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4.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5.xml" ContentType="application/vnd.openxmlformats-officedocument.drawing+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charts/chart23.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6.xml" ContentType="application/vnd.openxmlformats-officedocument.drawing+xml"/>
  <Override PartName="/xl/charts/chart24.xml" ContentType="application/vnd.openxmlformats-officedocument.drawingml.chart+xml"/>
  <Override PartName="/xl/charts/style23.xml" ContentType="application/vnd.ms-office.chartstyle+xml"/>
  <Override PartName="/xl/charts/colors23.xml" ContentType="application/vnd.ms-office.chartcolorstyle+xml"/>
  <Override PartName="/xl/charts/chart25.xml" ContentType="application/vnd.openxmlformats-officedocument.drawingml.chart+xml"/>
  <Override PartName="/xl/charts/style24.xml" ContentType="application/vnd.ms-office.chartstyle+xml"/>
  <Override PartName="/xl/charts/colors24.xml" ContentType="application/vnd.ms-office.chartcolorstyle+xml"/>
  <Override PartName="/xl/charts/chart26.xml" ContentType="application/vnd.openxmlformats-officedocument.drawingml.chart+xml"/>
  <Override PartName="/xl/charts/style25.xml" ContentType="application/vnd.ms-office.chartstyle+xml"/>
  <Override PartName="/xl/charts/colors25.xml" ContentType="application/vnd.ms-office.chartcolorstyle+xml"/>
  <Override PartName="/xl/charts/chart27.xml" ContentType="application/vnd.openxmlformats-officedocument.drawingml.chart+xml"/>
  <Override PartName="/xl/charts/style26.xml" ContentType="application/vnd.ms-office.chartstyle+xml"/>
  <Override PartName="/xl/charts/colors26.xml" ContentType="application/vnd.ms-office.chartcolorstyle+xml"/>
  <Override PartName="/xl/charts/chart28.xml" ContentType="application/vnd.openxmlformats-officedocument.drawingml.chart+xml"/>
  <Override PartName="/xl/charts/style27.xml" ContentType="application/vnd.ms-office.chartstyle+xml"/>
  <Override PartName="/xl/charts/colors2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defaultThemeVersion="166925"/>
  <mc:AlternateContent xmlns:mc="http://schemas.openxmlformats.org/markup-compatibility/2006">
    <mc:Choice Requires="x15">
      <x15ac:absPath xmlns:x15ac="http://schemas.microsoft.com/office/spreadsheetml/2010/11/ac" url="C:\Users\vinicius.silva\Downloads\"/>
    </mc:Choice>
  </mc:AlternateContent>
  <xr:revisionPtr revIDLastSave="0" documentId="13_ncr:1_{B3306056-72A0-41DA-B43D-0906F7BECD92}" xr6:coauthVersionLast="47" xr6:coauthVersionMax="47" xr10:uidLastSave="{00000000-0000-0000-0000-000000000000}"/>
  <bookViews>
    <workbookView xWindow="-120" yWindow="-120" windowWidth="20730" windowHeight="11040" tabRatio="861" firstSheet="4" activeTab="13" xr2:uid="{00000000-000D-0000-FFFF-FFFF00000000}"/>
  </bookViews>
  <sheets>
    <sheet name="CAPA" sheetId="12" r:id="rId1"/>
    <sheet name="DADOS - GOPOÚVA" sheetId="2" r:id="rId2"/>
    <sheet name="GRÁFICOS - GOPOÚVA" sheetId="1" r:id="rId3"/>
    <sheet name="GRÁFICOS - ÁGUA" sheetId="5" r:id="rId4"/>
    <sheet name="ÁGUA" sheetId="10" r:id="rId5"/>
    <sheet name="EQUIPES - ÁGUA" sheetId="16" state="hidden" r:id="rId6"/>
    <sheet name="GRÁFICOS - ESGOTO" sheetId="4" r:id="rId7"/>
    <sheet name="ESGOTO" sheetId="9" r:id="rId8"/>
    <sheet name="EQUIPES - ESGOTO" sheetId="15" state="hidden" r:id="rId9"/>
    <sheet name="GRÁFICOS - CAVALETE" sheetId="7" r:id="rId10"/>
    <sheet name="CAVALETE" sheetId="8" r:id="rId11"/>
    <sheet name="EQUIPES - CAVALETE " sheetId="13" state="hidden" r:id="rId12"/>
    <sheet name="GRÁFICOS - REPOSIÇÃO" sheetId="6" r:id="rId13"/>
    <sheet name="REPOSIÇÃO" sheetId="11" r:id="rId14"/>
    <sheet name="EQUIPES - REPOSIÇÃO" sheetId="14" state="hidden" r:id="rId15"/>
  </sheets>
  <definedNames>
    <definedName name="_xlnm._FilterDatabase" localSheetId="4" hidden="1">ÁGUA!$A$1:$AN$1014</definedName>
    <definedName name="_xlnm._FilterDatabase" localSheetId="10" hidden="1">CAVALETE!$A$1:$AH$774</definedName>
    <definedName name="_xlnm._FilterDatabase" localSheetId="7" hidden="1">ESGOTO!$A$1:$AN$561</definedName>
    <definedName name="_xlnm._FilterDatabase" localSheetId="13" hidden="1">REPOSIÇÃO!$A$1:$AM$513</definedName>
    <definedName name="_xlnm.Print_Area" localSheetId="0">CAPA!$B$1:$K$44</definedName>
    <definedName name="_xlnm.Print_Area" localSheetId="5">'EQUIPES - ÁGUA'!$A$1:$H$4</definedName>
    <definedName name="_xlnm.Print_Area" localSheetId="11">'EQUIPES - CAVALETE '!$A$1:$H$4</definedName>
    <definedName name="_xlnm.Print_Area" localSheetId="8">'EQUIPES - ESGOTO'!$A$1:$H$15</definedName>
    <definedName name="_xlnm.Print_Area" localSheetId="14">'EQUIPES - REPOSIÇÃO'!$A$1:$H$4</definedName>
    <definedName name="_xlnm.Print_Area" localSheetId="3">'GRÁFICOS - ÁGUA'!$A$1:$F$136</definedName>
    <definedName name="_xlnm.Print_Area" localSheetId="9">'GRÁFICOS - CAVALETE'!$A$1:$F$138</definedName>
    <definedName name="_xlnm.Print_Area" localSheetId="6">'GRÁFICOS - ESGOTO'!$A$1:$F$139</definedName>
    <definedName name="_xlnm.Print_Area" localSheetId="2">'GRÁFICOS - GOPOÚVA'!$A$1:$I$118</definedName>
    <definedName name="_xlnm.Print_Area" localSheetId="12">'GRÁFICOS - REPOSIÇÃO'!$A$1:$F$111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8" i="15" l="1"/>
  <c r="F45" i="15" s="1"/>
  <c r="B27" i="15"/>
  <c r="F31" i="15" s="1"/>
  <c r="B16" i="15"/>
  <c r="G25" i="15" s="1"/>
  <c r="E47" i="15"/>
  <c r="E46" i="15"/>
  <c r="E36" i="15"/>
  <c r="E35" i="15"/>
  <c r="E25" i="15"/>
  <c r="E24" i="15"/>
  <c r="B262" i="16"/>
  <c r="F266" i="16" s="1"/>
  <c r="B251" i="16"/>
  <c r="G260" i="16" s="1"/>
  <c r="B240" i="16"/>
  <c r="F249" i="16" s="1"/>
  <c r="B229" i="16"/>
  <c r="G238" i="16" s="1"/>
  <c r="B217" i="16"/>
  <c r="F221" i="16" s="1"/>
  <c r="B206" i="16"/>
  <c r="F215" i="16" s="1"/>
  <c r="B195" i="16"/>
  <c r="G204" i="16" s="1"/>
  <c r="B184" i="16"/>
  <c r="E188" i="16" s="1"/>
  <c r="B173" i="16"/>
  <c r="G182" i="16" s="1"/>
  <c r="B161" i="16"/>
  <c r="F168" i="16" s="1"/>
  <c r="B150" i="16"/>
  <c r="E154" i="16" s="1"/>
  <c r="B139" i="16"/>
  <c r="E146" i="16" s="1"/>
  <c r="B128" i="16"/>
  <c r="F135" i="16" s="1"/>
  <c r="B117" i="16"/>
  <c r="F124" i="16" s="1"/>
  <c r="B105" i="16"/>
  <c r="G114" i="16" s="1"/>
  <c r="B94" i="16"/>
  <c r="E98" i="16" s="1"/>
  <c r="B83" i="16"/>
  <c r="F91" i="16" s="1"/>
  <c r="B72" i="16"/>
  <c r="F76" i="16" s="1"/>
  <c r="F264" i="16"/>
  <c r="E265" i="16"/>
  <c r="F268" i="16"/>
  <c r="E269" i="16"/>
  <c r="G271" i="16"/>
  <c r="B61" i="16"/>
  <c r="G69" i="16" s="1"/>
  <c r="B49" i="16"/>
  <c r="F53" i="16" s="1"/>
  <c r="B38" i="16"/>
  <c r="G47" i="16" s="1"/>
  <c r="B27" i="16"/>
  <c r="F31" i="16" s="1"/>
  <c r="B16" i="16"/>
  <c r="G25" i="16" s="1"/>
  <c r="E244" i="16"/>
  <c r="G243" i="16"/>
  <c r="AF1014" i="10"/>
  <c r="AF1012" i="10"/>
  <c r="AF1011" i="10"/>
  <c r="AF1009" i="10"/>
  <c r="AG1009" i="10" s="1"/>
  <c r="AF1008" i="10"/>
  <c r="AF1005" i="10"/>
  <c r="AG1005" i="10" s="1"/>
  <c r="AF1004" i="10"/>
  <c r="AF1002" i="10"/>
  <c r="AG1002" i="10" s="1"/>
  <c r="AF1000" i="10"/>
  <c r="AF999" i="10"/>
  <c r="AF998" i="10"/>
  <c r="AF997" i="10"/>
  <c r="AF1010" i="10"/>
  <c r="AF1006" i="10"/>
  <c r="AF1003" i="10"/>
  <c r="AF1001" i="10"/>
  <c r="AF1013" i="10"/>
  <c r="AG1013" i="10" s="1"/>
  <c r="AF1007" i="10"/>
  <c r="AG1007" i="10" s="1"/>
  <c r="AF414" i="10"/>
  <c r="AM155" i="11"/>
  <c r="AM156" i="11"/>
  <c r="AM157" i="11"/>
  <c r="AM158" i="11"/>
  <c r="AM159" i="11"/>
  <c r="AM160" i="11"/>
  <c r="AM161" i="11"/>
  <c r="AM162" i="11"/>
  <c r="AM163" i="11"/>
  <c r="AM164" i="11"/>
  <c r="AM165" i="11"/>
  <c r="AM166" i="11"/>
  <c r="AM167" i="11"/>
  <c r="AM168" i="11"/>
  <c r="AM169" i="11"/>
  <c r="AM170" i="11"/>
  <c r="AM171" i="11"/>
  <c r="AM172" i="11"/>
  <c r="AM173" i="11"/>
  <c r="AM174" i="11"/>
  <c r="AM175" i="11"/>
  <c r="AM176" i="11"/>
  <c r="AM177" i="11"/>
  <c r="AM178" i="11"/>
  <c r="AM179" i="11"/>
  <c r="AM180" i="11"/>
  <c r="AM181" i="11"/>
  <c r="AM182" i="11"/>
  <c r="AM183" i="11"/>
  <c r="AM184" i="11"/>
  <c r="AM185" i="11"/>
  <c r="AM186" i="11"/>
  <c r="AM187" i="11"/>
  <c r="AM188" i="11"/>
  <c r="AM189" i="11"/>
  <c r="AM190" i="11"/>
  <c r="AM191" i="11"/>
  <c r="AM192" i="11"/>
  <c r="AM193" i="11"/>
  <c r="AM194" i="11"/>
  <c r="AM195" i="11"/>
  <c r="AM196" i="11"/>
  <c r="AM197" i="11"/>
  <c r="AM198" i="11"/>
  <c r="AM199" i="11"/>
  <c r="AM200" i="11"/>
  <c r="AM201" i="11"/>
  <c r="AM202" i="11"/>
  <c r="AM203" i="11"/>
  <c r="AM204" i="11"/>
  <c r="AM205" i="11"/>
  <c r="AM206" i="11"/>
  <c r="AM207" i="11"/>
  <c r="AM208" i="11"/>
  <c r="AM209" i="11"/>
  <c r="AM210" i="11"/>
  <c r="AM211" i="11"/>
  <c r="AM212" i="11"/>
  <c r="AM213" i="11"/>
  <c r="AM214" i="11"/>
  <c r="AM215" i="11"/>
  <c r="AM216" i="11"/>
  <c r="AM217" i="11"/>
  <c r="AM218" i="11"/>
  <c r="AM219" i="11"/>
  <c r="AM220" i="11"/>
  <c r="AM221" i="11"/>
  <c r="AM222" i="11"/>
  <c r="AM223" i="11"/>
  <c r="AM224" i="11"/>
  <c r="AM225" i="11"/>
  <c r="AM226" i="11"/>
  <c r="AM227" i="11"/>
  <c r="AM228" i="11"/>
  <c r="AM229" i="11"/>
  <c r="AM230" i="11"/>
  <c r="AM231" i="11"/>
  <c r="AM232" i="11"/>
  <c r="AM233" i="11"/>
  <c r="AM234" i="11"/>
  <c r="AM235" i="11"/>
  <c r="AM236" i="11"/>
  <c r="AM237" i="11"/>
  <c r="AM238" i="11"/>
  <c r="AM239" i="11"/>
  <c r="AM240" i="11"/>
  <c r="AM241" i="11"/>
  <c r="AM242" i="11"/>
  <c r="AM243" i="11"/>
  <c r="AM244" i="11"/>
  <c r="AM245" i="11"/>
  <c r="AM246" i="11"/>
  <c r="AM247" i="11"/>
  <c r="AM248" i="11"/>
  <c r="AM249" i="11"/>
  <c r="AM250" i="11"/>
  <c r="AM251" i="11"/>
  <c r="AM252" i="11"/>
  <c r="AM253" i="11"/>
  <c r="AM254" i="11"/>
  <c r="AM255" i="11"/>
  <c r="AM256" i="11"/>
  <c r="AM257" i="11"/>
  <c r="AM258" i="11"/>
  <c r="AM259" i="11"/>
  <c r="AM260" i="11"/>
  <c r="AM261" i="11"/>
  <c r="AM262" i="11"/>
  <c r="AM263" i="11"/>
  <c r="AM264" i="11"/>
  <c r="AM265" i="11"/>
  <c r="AM266" i="11"/>
  <c r="AM267" i="11"/>
  <c r="AM268" i="11"/>
  <c r="AM269" i="11"/>
  <c r="AM270" i="11"/>
  <c r="AM271" i="11"/>
  <c r="AM272" i="11"/>
  <c r="AM273" i="11"/>
  <c r="AM274" i="11"/>
  <c r="AM275" i="11"/>
  <c r="AM276" i="11"/>
  <c r="AM277" i="11"/>
  <c r="AM278" i="11"/>
  <c r="AM279" i="11"/>
  <c r="AM280" i="11"/>
  <c r="AM281" i="11"/>
  <c r="AM282" i="11"/>
  <c r="AM283" i="11"/>
  <c r="AM284" i="11"/>
  <c r="AM285" i="11"/>
  <c r="AM286" i="11"/>
  <c r="AM287" i="11"/>
  <c r="AM288" i="11"/>
  <c r="AM289" i="11"/>
  <c r="AM290" i="11"/>
  <c r="AM291" i="11"/>
  <c r="AM292" i="11"/>
  <c r="AM293" i="11"/>
  <c r="AM294" i="11"/>
  <c r="AM295" i="11"/>
  <c r="AM296" i="11"/>
  <c r="AM297" i="11"/>
  <c r="AM298" i="11"/>
  <c r="AM299" i="11"/>
  <c r="AM300" i="11"/>
  <c r="AM301" i="11"/>
  <c r="AM302" i="11"/>
  <c r="AM303" i="11"/>
  <c r="AM304" i="11"/>
  <c r="AM305" i="11"/>
  <c r="AM306" i="11"/>
  <c r="AM307" i="11"/>
  <c r="AM308" i="11"/>
  <c r="AM309" i="11"/>
  <c r="AM310" i="11"/>
  <c r="AM311" i="11"/>
  <c r="AM312" i="11"/>
  <c r="AM313" i="11"/>
  <c r="AM314" i="11"/>
  <c r="AM315" i="11"/>
  <c r="AM316" i="11"/>
  <c r="AM317" i="11"/>
  <c r="AM318" i="11"/>
  <c r="AM319" i="11"/>
  <c r="AM320" i="11"/>
  <c r="AM321" i="11"/>
  <c r="AM322" i="11"/>
  <c r="AM323" i="11"/>
  <c r="AM324" i="11"/>
  <c r="AM325" i="11"/>
  <c r="AM326" i="11"/>
  <c r="AM327" i="11"/>
  <c r="AM328" i="11"/>
  <c r="AM329" i="11"/>
  <c r="AM330" i="11"/>
  <c r="AM331" i="11"/>
  <c r="AM332" i="11"/>
  <c r="AM333" i="11"/>
  <c r="AM334" i="11"/>
  <c r="AM335" i="11"/>
  <c r="AM336" i="11"/>
  <c r="AM337" i="11"/>
  <c r="AM338" i="11"/>
  <c r="AM339" i="11"/>
  <c r="AM340" i="11"/>
  <c r="AM341" i="11"/>
  <c r="AM342" i="11"/>
  <c r="AM343" i="11"/>
  <c r="AM344" i="11"/>
  <c r="AM345" i="11"/>
  <c r="AM346" i="11"/>
  <c r="AM347" i="11"/>
  <c r="AM348" i="11"/>
  <c r="AM349" i="11"/>
  <c r="AM350" i="11"/>
  <c r="AM351" i="11"/>
  <c r="AM352" i="11"/>
  <c r="AM353" i="11"/>
  <c r="AM354" i="11"/>
  <c r="AM355" i="11"/>
  <c r="AM356" i="11"/>
  <c r="AM357" i="11"/>
  <c r="AM358" i="11"/>
  <c r="AM359" i="11"/>
  <c r="AM360" i="11"/>
  <c r="AM361" i="11"/>
  <c r="AM362" i="11"/>
  <c r="AM363" i="11"/>
  <c r="AM364" i="11"/>
  <c r="AM365" i="11"/>
  <c r="AM366" i="11"/>
  <c r="AM367" i="11"/>
  <c r="AM368" i="11"/>
  <c r="AM369" i="11"/>
  <c r="AM370" i="11"/>
  <c r="AM371" i="11"/>
  <c r="AM372" i="11"/>
  <c r="AM373" i="11"/>
  <c r="AM374" i="11"/>
  <c r="AM375" i="11"/>
  <c r="AM376" i="11"/>
  <c r="AM377" i="11"/>
  <c r="AM378" i="11"/>
  <c r="AM379" i="11"/>
  <c r="AM380" i="11"/>
  <c r="AM381" i="11"/>
  <c r="AM382" i="11"/>
  <c r="AM383" i="11"/>
  <c r="AM384" i="11"/>
  <c r="AM385" i="11"/>
  <c r="AM386" i="11"/>
  <c r="AM387" i="11"/>
  <c r="AM388" i="11"/>
  <c r="AM389" i="11"/>
  <c r="AM390" i="11"/>
  <c r="AM391" i="11"/>
  <c r="AM392" i="11"/>
  <c r="AM393" i="11"/>
  <c r="AM394" i="11"/>
  <c r="AM395" i="11"/>
  <c r="AM396" i="11"/>
  <c r="AM397" i="11"/>
  <c r="AM398" i="11"/>
  <c r="AM399" i="11"/>
  <c r="AM400" i="11"/>
  <c r="AM401" i="11"/>
  <c r="AM402" i="11"/>
  <c r="AM403" i="11"/>
  <c r="AM404" i="11"/>
  <c r="AM405" i="11"/>
  <c r="AM406" i="11"/>
  <c r="AM407" i="11"/>
  <c r="AM408" i="11"/>
  <c r="AM409" i="11"/>
  <c r="AM410" i="11"/>
  <c r="AM411" i="11"/>
  <c r="AM412" i="11"/>
  <c r="AM413" i="11"/>
  <c r="AM414" i="11"/>
  <c r="AM415" i="11"/>
  <c r="AM416" i="11"/>
  <c r="AM417" i="11"/>
  <c r="AM418" i="11"/>
  <c r="AM419" i="11"/>
  <c r="AM420" i="11"/>
  <c r="AM421" i="11"/>
  <c r="AM422" i="11"/>
  <c r="AM423" i="11"/>
  <c r="AM424" i="11"/>
  <c r="AM425" i="11"/>
  <c r="AM426" i="11"/>
  <c r="AM427" i="11"/>
  <c r="AM428" i="11"/>
  <c r="AM429" i="11"/>
  <c r="AM430" i="11"/>
  <c r="AM431" i="11"/>
  <c r="AM432" i="11"/>
  <c r="AM433" i="11"/>
  <c r="AM434" i="11"/>
  <c r="AM435" i="11"/>
  <c r="AM436" i="11"/>
  <c r="AM437" i="11"/>
  <c r="AM438" i="11"/>
  <c r="AM439" i="11"/>
  <c r="AM440" i="11"/>
  <c r="AM441" i="11"/>
  <c r="AM442" i="11"/>
  <c r="AM443" i="11"/>
  <c r="AM444" i="11"/>
  <c r="AM445" i="11"/>
  <c r="AM446" i="11"/>
  <c r="AM447" i="11"/>
  <c r="AM448" i="11"/>
  <c r="AM449" i="11"/>
  <c r="AM450" i="11"/>
  <c r="AM451" i="11"/>
  <c r="AM452" i="11"/>
  <c r="AM453" i="11"/>
  <c r="AM454" i="11"/>
  <c r="AM455" i="11"/>
  <c r="AM456" i="11"/>
  <c r="AM457" i="11"/>
  <c r="AM458" i="11"/>
  <c r="AM459" i="11"/>
  <c r="AM460" i="11"/>
  <c r="AM461" i="11"/>
  <c r="AM462" i="11"/>
  <c r="AM463" i="11"/>
  <c r="AM464" i="11"/>
  <c r="AM465" i="11"/>
  <c r="AM466" i="11"/>
  <c r="AM467" i="11"/>
  <c r="AM468" i="11"/>
  <c r="AM469" i="11"/>
  <c r="AM470" i="11"/>
  <c r="AM471" i="11"/>
  <c r="AM472" i="11"/>
  <c r="AM473" i="11"/>
  <c r="AM474" i="11"/>
  <c r="AM475" i="11"/>
  <c r="AM476" i="11"/>
  <c r="AM477" i="11"/>
  <c r="AM478" i="11"/>
  <c r="AM479" i="11"/>
  <c r="AM480" i="11"/>
  <c r="AM481" i="11"/>
  <c r="AM482" i="11"/>
  <c r="AM483" i="11"/>
  <c r="AM484" i="11"/>
  <c r="AM485" i="11"/>
  <c r="AM486" i="11"/>
  <c r="AM487" i="11"/>
  <c r="AM488" i="11"/>
  <c r="AM489" i="11"/>
  <c r="AM490" i="11"/>
  <c r="AM491" i="11"/>
  <c r="AM492" i="11"/>
  <c r="AM493" i="11"/>
  <c r="AM494" i="11"/>
  <c r="AM495" i="11"/>
  <c r="AM496" i="11"/>
  <c r="AM497" i="11"/>
  <c r="AM498" i="11"/>
  <c r="AM499" i="11"/>
  <c r="AM500" i="11"/>
  <c r="AM501" i="11"/>
  <c r="AM502" i="11"/>
  <c r="AM503" i="11"/>
  <c r="AM504" i="11"/>
  <c r="AM505" i="11"/>
  <c r="AM506" i="11"/>
  <c r="AM507" i="11"/>
  <c r="AM508" i="11"/>
  <c r="AM509" i="11"/>
  <c r="AM510" i="11"/>
  <c r="AM511" i="11"/>
  <c r="AM512" i="11"/>
  <c r="AM513" i="11"/>
  <c r="AM154" i="11"/>
  <c r="AM3" i="11"/>
  <c r="AM4" i="11"/>
  <c r="AM5" i="11"/>
  <c r="AM6" i="11"/>
  <c r="AM7" i="11"/>
  <c r="AM8" i="11"/>
  <c r="AM9" i="11"/>
  <c r="AM10" i="11"/>
  <c r="AM11" i="11"/>
  <c r="AM12" i="11"/>
  <c r="AM13" i="11"/>
  <c r="AM14" i="11"/>
  <c r="AM15" i="11"/>
  <c r="AM16" i="11"/>
  <c r="AM17" i="11"/>
  <c r="AM18" i="11"/>
  <c r="AM19" i="11"/>
  <c r="AM20" i="11"/>
  <c r="AM21" i="11"/>
  <c r="AM22" i="11"/>
  <c r="AM23" i="11"/>
  <c r="AM24" i="11"/>
  <c r="AM25" i="11"/>
  <c r="AM26" i="11"/>
  <c r="AM27" i="11"/>
  <c r="AM28" i="11"/>
  <c r="AM29" i="11"/>
  <c r="AM30" i="11"/>
  <c r="AM31" i="11"/>
  <c r="AM32" i="11"/>
  <c r="AM33" i="11"/>
  <c r="AM34" i="11"/>
  <c r="AM35" i="11"/>
  <c r="AM36" i="11"/>
  <c r="AM37" i="11"/>
  <c r="AM38" i="11"/>
  <c r="AM39" i="11"/>
  <c r="AM40" i="11"/>
  <c r="AM41" i="11"/>
  <c r="AM42" i="11"/>
  <c r="AM43" i="11"/>
  <c r="AM44" i="11"/>
  <c r="AM45" i="11"/>
  <c r="AM46" i="11"/>
  <c r="AM47" i="11"/>
  <c r="AM48" i="11"/>
  <c r="AM49" i="11"/>
  <c r="AM50" i="11"/>
  <c r="AM51" i="11"/>
  <c r="AM52" i="11"/>
  <c r="AM53" i="11"/>
  <c r="AM54" i="11"/>
  <c r="AM55" i="11"/>
  <c r="AM56" i="11"/>
  <c r="AM57" i="11"/>
  <c r="AM58" i="11"/>
  <c r="AM59" i="11"/>
  <c r="AM60" i="11"/>
  <c r="AM61" i="11"/>
  <c r="AM62" i="11"/>
  <c r="AM63" i="11"/>
  <c r="AM64" i="11"/>
  <c r="AM65" i="11"/>
  <c r="AM66" i="11"/>
  <c r="AM67" i="11"/>
  <c r="AM68" i="11"/>
  <c r="AM69" i="11"/>
  <c r="AM70" i="11"/>
  <c r="AM71" i="11"/>
  <c r="AM72" i="11"/>
  <c r="AM73" i="11"/>
  <c r="AM74" i="11"/>
  <c r="AM75" i="11"/>
  <c r="AM76" i="11"/>
  <c r="AM77" i="11"/>
  <c r="AM78" i="11"/>
  <c r="AM79" i="11"/>
  <c r="AM80" i="11"/>
  <c r="AM81" i="11"/>
  <c r="AM82" i="11"/>
  <c r="AM83" i="11"/>
  <c r="AM84" i="11"/>
  <c r="AM85" i="11"/>
  <c r="AM86" i="11"/>
  <c r="AM87" i="11"/>
  <c r="AM88" i="11"/>
  <c r="AM89" i="11"/>
  <c r="AM90" i="11"/>
  <c r="AM91" i="11"/>
  <c r="AM92" i="11"/>
  <c r="AM93" i="11"/>
  <c r="AM94" i="11"/>
  <c r="AM95" i="11"/>
  <c r="AM96" i="11"/>
  <c r="AM97" i="11"/>
  <c r="AM98" i="11"/>
  <c r="AM99" i="11"/>
  <c r="AM100" i="11"/>
  <c r="AM101" i="11"/>
  <c r="AM102" i="11"/>
  <c r="AM103" i="11"/>
  <c r="AM104" i="11"/>
  <c r="AM105" i="11"/>
  <c r="AM106" i="11"/>
  <c r="AM107" i="11"/>
  <c r="AM108" i="11"/>
  <c r="AM109" i="11"/>
  <c r="AM110" i="11"/>
  <c r="AM111" i="11"/>
  <c r="AM112" i="11"/>
  <c r="AM113" i="11"/>
  <c r="AM114" i="11"/>
  <c r="AM115" i="11"/>
  <c r="AM116" i="11"/>
  <c r="AM117" i="11"/>
  <c r="AM118" i="11"/>
  <c r="AM119" i="11"/>
  <c r="AM120" i="11"/>
  <c r="AM121" i="11"/>
  <c r="AM122" i="11"/>
  <c r="AM123" i="11"/>
  <c r="AM124" i="11"/>
  <c r="AM125" i="11"/>
  <c r="AM126" i="11"/>
  <c r="AM127" i="11"/>
  <c r="AM128" i="11"/>
  <c r="AM129" i="11"/>
  <c r="AM130" i="11"/>
  <c r="AM131" i="11"/>
  <c r="AM132" i="11"/>
  <c r="AM133" i="11"/>
  <c r="AM134" i="11"/>
  <c r="AM135" i="11"/>
  <c r="AM136" i="11"/>
  <c r="AM137" i="11"/>
  <c r="AM138" i="11"/>
  <c r="AM139" i="11"/>
  <c r="AM140" i="11"/>
  <c r="AM141" i="11"/>
  <c r="AM142" i="11"/>
  <c r="AM143" i="11"/>
  <c r="AM144" i="11"/>
  <c r="AM145" i="11"/>
  <c r="AM146" i="11"/>
  <c r="AM147" i="11"/>
  <c r="AM148" i="11"/>
  <c r="AM149" i="11"/>
  <c r="AM150" i="11"/>
  <c r="AM151" i="11"/>
  <c r="AM152" i="11"/>
  <c r="AM153" i="11"/>
  <c r="AM2" i="11"/>
  <c r="AH2" i="8"/>
  <c r="AH3" i="8"/>
  <c r="AH4" i="8"/>
  <c r="AH5" i="8"/>
  <c r="AH6" i="8"/>
  <c r="AH7" i="8"/>
  <c r="AH8" i="8"/>
  <c r="AH9" i="8"/>
  <c r="AH10" i="8"/>
  <c r="AH11" i="8"/>
  <c r="AH12" i="8"/>
  <c r="AH13" i="8"/>
  <c r="AH14" i="8"/>
  <c r="AH15" i="8"/>
  <c r="AH16" i="8"/>
  <c r="AH17" i="8"/>
  <c r="AH18" i="8"/>
  <c r="AH19" i="8"/>
  <c r="AH20" i="8"/>
  <c r="AH21" i="8"/>
  <c r="AH22" i="8"/>
  <c r="AH23" i="8"/>
  <c r="AH24" i="8"/>
  <c r="AH25" i="8"/>
  <c r="AH26" i="8"/>
  <c r="AH27" i="8"/>
  <c r="AH28" i="8"/>
  <c r="AH29" i="8"/>
  <c r="AH30" i="8"/>
  <c r="AH31" i="8"/>
  <c r="AH32" i="8"/>
  <c r="AH33" i="8"/>
  <c r="AH34" i="8"/>
  <c r="AH35" i="8"/>
  <c r="AH36" i="8"/>
  <c r="AH37" i="8"/>
  <c r="AH38" i="8"/>
  <c r="AH39" i="8"/>
  <c r="AH40" i="8"/>
  <c r="AH41" i="8"/>
  <c r="AH42" i="8"/>
  <c r="AH43" i="8"/>
  <c r="AH44" i="8"/>
  <c r="AH45" i="8"/>
  <c r="AH46" i="8"/>
  <c r="AH47" i="8"/>
  <c r="AH48" i="8"/>
  <c r="AH49" i="8"/>
  <c r="AH50" i="8"/>
  <c r="AH51" i="8"/>
  <c r="AH52" i="8"/>
  <c r="AH53" i="8"/>
  <c r="AH54" i="8"/>
  <c r="AH55" i="8"/>
  <c r="AH56" i="8"/>
  <c r="AH57" i="8"/>
  <c r="AH58" i="8"/>
  <c r="AH59" i="8"/>
  <c r="AH60" i="8"/>
  <c r="AH61" i="8"/>
  <c r="AH62" i="8"/>
  <c r="AH63" i="8"/>
  <c r="AH64" i="8"/>
  <c r="AH65" i="8"/>
  <c r="AH66" i="8"/>
  <c r="AH67" i="8"/>
  <c r="AH68" i="8"/>
  <c r="AH69" i="8"/>
  <c r="AH70" i="8"/>
  <c r="AH71" i="8"/>
  <c r="AH72" i="8"/>
  <c r="AH73" i="8"/>
  <c r="AH74" i="8"/>
  <c r="AH75" i="8"/>
  <c r="AH76" i="8"/>
  <c r="AH77" i="8"/>
  <c r="AH78" i="8"/>
  <c r="AH79" i="8"/>
  <c r="AH80" i="8"/>
  <c r="AH81" i="8"/>
  <c r="AH82" i="8"/>
  <c r="AH83" i="8"/>
  <c r="AH84" i="8"/>
  <c r="AH85" i="8"/>
  <c r="AH86" i="8"/>
  <c r="AH87" i="8"/>
  <c r="AH88" i="8"/>
  <c r="AH89" i="8"/>
  <c r="AH90" i="8"/>
  <c r="AH91" i="8"/>
  <c r="AH92" i="8"/>
  <c r="AH93" i="8"/>
  <c r="AH94" i="8"/>
  <c r="AH95" i="8"/>
  <c r="AH96" i="8"/>
  <c r="AH97" i="8"/>
  <c r="AH98" i="8"/>
  <c r="AH99" i="8"/>
  <c r="AH100" i="8"/>
  <c r="AH101" i="8"/>
  <c r="AH102" i="8"/>
  <c r="AH103" i="8"/>
  <c r="AH104" i="8"/>
  <c r="AH105" i="8"/>
  <c r="AH106" i="8"/>
  <c r="AH107" i="8"/>
  <c r="AH108" i="8"/>
  <c r="AH109" i="8"/>
  <c r="AH110" i="8"/>
  <c r="AH111" i="8"/>
  <c r="AH112" i="8"/>
  <c r="AH113" i="8"/>
  <c r="AH114" i="8"/>
  <c r="AH115" i="8"/>
  <c r="AH116" i="8"/>
  <c r="AH117" i="8"/>
  <c r="AH118" i="8"/>
  <c r="AH119" i="8"/>
  <c r="AH120" i="8"/>
  <c r="AH121" i="8"/>
  <c r="AH122" i="8"/>
  <c r="AH123" i="8"/>
  <c r="AH124" i="8"/>
  <c r="AH125" i="8"/>
  <c r="AH126" i="8"/>
  <c r="AH127" i="8"/>
  <c r="AH128" i="8"/>
  <c r="AH129" i="8"/>
  <c r="AH130" i="8"/>
  <c r="AH131" i="8"/>
  <c r="AH132" i="8"/>
  <c r="AH133" i="8"/>
  <c r="AH134" i="8"/>
  <c r="AH135" i="8"/>
  <c r="AH136" i="8"/>
  <c r="AH137" i="8"/>
  <c r="AH138" i="8"/>
  <c r="AH139" i="8"/>
  <c r="AH140" i="8"/>
  <c r="AH141" i="8"/>
  <c r="AH142" i="8"/>
  <c r="AH143" i="8"/>
  <c r="AH144" i="8"/>
  <c r="AH145" i="8"/>
  <c r="AH146" i="8"/>
  <c r="AH147" i="8"/>
  <c r="AH148" i="8"/>
  <c r="AH149" i="8"/>
  <c r="AH150" i="8"/>
  <c r="AH151" i="8"/>
  <c r="AH152" i="8"/>
  <c r="AH153" i="8"/>
  <c r="AH154" i="8"/>
  <c r="AH155" i="8"/>
  <c r="AH156" i="8"/>
  <c r="AH157" i="8"/>
  <c r="AH158" i="8"/>
  <c r="AH159" i="8"/>
  <c r="AH160" i="8"/>
  <c r="AH161" i="8"/>
  <c r="AH162" i="8"/>
  <c r="AH163" i="8"/>
  <c r="AH164" i="8"/>
  <c r="AH165" i="8"/>
  <c r="AH166" i="8"/>
  <c r="AH168" i="8"/>
  <c r="AH169" i="8"/>
  <c r="AH170" i="8"/>
  <c r="AH171" i="8"/>
  <c r="AH172" i="8"/>
  <c r="AH173" i="8"/>
  <c r="AH174" i="8"/>
  <c r="AH175" i="8"/>
  <c r="AH176" i="8"/>
  <c r="AH177" i="8"/>
  <c r="AH178" i="8"/>
  <c r="AH179" i="8"/>
  <c r="AH180" i="8"/>
  <c r="AH181" i="8"/>
  <c r="AH182" i="8"/>
  <c r="AH183" i="8"/>
  <c r="AH184" i="8"/>
  <c r="AH185" i="8"/>
  <c r="AH186" i="8"/>
  <c r="AH187" i="8"/>
  <c r="AH188" i="8"/>
  <c r="AH189" i="8"/>
  <c r="AH190" i="8"/>
  <c r="AH191" i="8"/>
  <c r="AH192" i="8"/>
  <c r="AH193" i="8"/>
  <c r="AH194" i="8"/>
  <c r="AH195" i="8"/>
  <c r="AH196" i="8"/>
  <c r="AH197" i="8"/>
  <c r="AH198" i="8"/>
  <c r="AH199" i="8"/>
  <c r="AH200" i="8"/>
  <c r="AH201" i="8"/>
  <c r="AH202" i="8"/>
  <c r="AH203" i="8"/>
  <c r="AH204" i="8"/>
  <c r="AH205" i="8"/>
  <c r="AH206" i="8"/>
  <c r="AH207" i="8"/>
  <c r="AH208" i="8"/>
  <c r="AH209" i="8"/>
  <c r="AH210" i="8"/>
  <c r="AH211" i="8"/>
  <c r="AH212" i="8"/>
  <c r="AH213" i="8"/>
  <c r="AH214" i="8"/>
  <c r="AH215" i="8"/>
  <c r="AH216" i="8"/>
  <c r="AH217" i="8"/>
  <c r="AH218" i="8"/>
  <c r="AH219" i="8"/>
  <c r="AH220" i="8"/>
  <c r="AH221" i="8"/>
  <c r="AH222" i="8"/>
  <c r="AH223" i="8"/>
  <c r="AH224" i="8"/>
  <c r="AH225" i="8"/>
  <c r="AH226" i="8"/>
  <c r="AH227" i="8"/>
  <c r="AH228" i="8"/>
  <c r="AH229" i="8"/>
  <c r="AH230" i="8"/>
  <c r="AH231" i="8"/>
  <c r="AH232" i="8"/>
  <c r="AH233" i="8"/>
  <c r="AH234" i="8"/>
  <c r="AH235" i="8"/>
  <c r="AH236" i="8"/>
  <c r="AH237" i="8"/>
  <c r="AH238" i="8"/>
  <c r="AH239" i="8"/>
  <c r="AH240" i="8"/>
  <c r="AH241" i="8"/>
  <c r="AH242" i="8"/>
  <c r="AH243" i="8"/>
  <c r="AH244" i="8"/>
  <c r="AH245" i="8"/>
  <c r="AH246" i="8"/>
  <c r="AH247" i="8"/>
  <c r="AH248" i="8"/>
  <c r="AH249" i="8"/>
  <c r="AH250" i="8"/>
  <c r="AH251" i="8"/>
  <c r="AH252" i="8"/>
  <c r="AH253" i="8"/>
  <c r="AH254" i="8"/>
  <c r="AH255" i="8"/>
  <c r="AH256" i="8"/>
  <c r="AH257" i="8"/>
  <c r="AH258" i="8"/>
  <c r="AH259" i="8"/>
  <c r="AH260" i="8"/>
  <c r="AH261" i="8"/>
  <c r="AH262" i="8"/>
  <c r="AH263" i="8"/>
  <c r="AH264" i="8"/>
  <c r="AH265" i="8"/>
  <c r="AH266" i="8"/>
  <c r="AH267" i="8"/>
  <c r="AH268" i="8"/>
  <c r="AH269" i="8"/>
  <c r="AH270" i="8"/>
  <c r="AH271" i="8"/>
  <c r="AH272" i="8"/>
  <c r="AH273" i="8"/>
  <c r="AH274" i="8"/>
  <c r="AH275" i="8"/>
  <c r="AH276" i="8"/>
  <c r="AH277" i="8"/>
  <c r="AH278" i="8"/>
  <c r="AH279" i="8"/>
  <c r="AH280" i="8"/>
  <c r="AH281" i="8"/>
  <c r="AH282" i="8"/>
  <c r="AH283" i="8"/>
  <c r="AH284" i="8"/>
  <c r="AH285" i="8"/>
  <c r="AH286" i="8"/>
  <c r="AH287" i="8"/>
  <c r="AH288" i="8"/>
  <c r="AH289" i="8"/>
  <c r="AH290" i="8"/>
  <c r="AH291" i="8"/>
  <c r="AH292" i="8"/>
  <c r="AH293" i="8"/>
  <c r="AH294" i="8"/>
  <c r="AH295" i="8"/>
  <c r="AH296" i="8"/>
  <c r="AH297" i="8"/>
  <c r="AH298" i="8"/>
  <c r="AH299" i="8"/>
  <c r="AH300" i="8"/>
  <c r="AH301" i="8"/>
  <c r="AH302" i="8"/>
  <c r="AH303" i="8"/>
  <c r="AH304" i="8"/>
  <c r="AH305" i="8"/>
  <c r="AH306" i="8"/>
  <c r="AH307" i="8"/>
  <c r="AH308" i="8"/>
  <c r="AH309" i="8"/>
  <c r="AH310" i="8"/>
  <c r="AH311" i="8"/>
  <c r="AH312" i="8"/>
  <c r="AH313" i="8"/>
  <c r="AH314" i="8"/>
  <c r="AH315" i="8"/>
  <c r="AH316" i="8"/>
  <c r="AH317" i="8"/>
  <c r="AH318" i="8"/>
  <c r="AH319" i="8"/>
  <c r="AH320" i="8"/>
  <c r="AH321" i="8"/>
  <c r="AH322" i="8"/>
  <c r="AH323" i="8"/>
  <c r="AH324" i="8"/>
  <c r="AH325" i="8"/>
  <c r="AH326" i="8"/>
  <c r="AH327" i="8"/>
  <c r="AH328" i="8"/>
  <c r="AH329" i="8"/>
  <c r="AH330" i="8"/>
  <c r="AH331" i="8"/>
  <c r="AH332" i="8"/>
  <c r="AH333" i="8"/>
  <c r="AH334" i="8"/>
  <c r="AH335" i="8"/>
  <c r="AH336" i="8"/>
  <c r="AH337" i="8"/>
  <c r="AH338" i="8"/>
  <c r="AH339" i="8"/>
  <c r="AH340" i="8"/>
  <c r="AH341" i="8"/>
  <c r="AH342" i="8"/>
  <c r="AH343" i="8"/>
  <c r="AH344" i="8"/>
  <c r="AH345" i="8"/>
  <c r="AH346" i="8"/>
  <c r="AH347" i="8"/>
  <c r="AH348" i="8"/>
  <c r="AH349" i="8"/>
  <c r="AH350" i="8"/>
  <c r="AH351" i="8"/>
  <c r="AH352" i="8"/>
  <c r="AH353" i="8"/>
  <c r="AH354" i="8"/>
  <c r="AH355" i="8"/>
  <c r="AH356" i="8"/>
  <c r="AH357" i="8"/>
  <c r="AH358" i="8"/>
  <c r="AH359" i="8"/>
  <c r="AH360" i="8"/>
  <c r="AH361" i="8"/>
  <c r="AH362" i="8"/>
  <c r="AH363" i="8"/>
  <c r="AH364" i="8"/>
  <c r="AH365" i="8"/>
  <c r="AH366" i="8"/>
  <c r="AH367" i="8"/>
  <c r="AH368" i="8"/>
  <c r="AH369" i="8"/>
  <c r="AH370" i="8"/>
  <c r="AH371" i="8"/>
  <c r="AH372" i="8"/>
  <c r="AH373" i="8"/>
  <c r="AH374" i="8"/>
  <c r="AH375" i="8"/>
  <c r="AH376" i="8"/>
  <c r="AH377" i="8"/>
  <c r="AH378" i="8"/>
  <c r="AH379" i="8"/>
  <c r="AH380" i="8"/>
  <c r="AH381" i="8"/>
  <c r="AH382" i="8"/>
  <c r="AH383" i="8"/>
  <c r="AH384" i="8"/>
  <c r="AH385" i="8"/>
  <c r="AH386" i="8"/>
  <c r="AH387" i="8"/>
  <c r="AH388" i="8"/>
  <c r="AH389" i="8"/>
  <c r="AH390" i="8"/>
  <c r="AH391" i="8"/>
  <c r="AH392" i="8"/>
  <c r="AH393" i="8"/>
  <c r="AH394" i="8"/>
  <c r="AH395" i="8"/>
  <c r="AH396" i="8"/>
  <c r="AH397" i="8"/>
  <c r="AH398" i="8"/>
  <c r="AH399" i="8"/>
  <c r="AH400" i="8"/>
  <c r="AH401" i="8"/>
  <c r="AH402" i="8"/>
  <c r="AH403" i="8"/>
  <c r="AH404" i="8"/>
  <c r="AH405" i="8"/>
  <c r="AH406" i="8"/>
  <c r="AH407" i="8"/>
  <c r="AH408" i="8"/>
  <c r="AH409" i="8"/>
  <c r="AH410" i="8"/>
  <c r="AH411" i="8"/>
  <c r="AH412" i="8"/>
  <c r="AH413" i="8"/>
  <c r="AH414" i="8"/>
  <c r="AH415" i="8"/>
  <c r="AH416" i="8"/>
  <c r="AH417" i="8"/>
  <c r="AH418" i="8"/>
  <c r="AH419" i="8"/>
  <c r="AH420" i="8"/>
  <c r="AH421" i="8"/>
  <c r="AH422" i="8"/>
  <c r="AH423" i="8"/>
  <c r="AH424" i="8"/>
  <c r="AH425" i="8"/>
  <c r="AH426" i="8"/>
  <c r="AH427" i="8"/>
  <c r="AH428" i="8"/>
  <c r="AH429" i="8"/>
  <c r="AH430" i="8"/>
  <c r="AH431" i="8"/>
  <c r="AH432" i="8"/>
  <c r="AH433" i="8"/>
  <c r="AH434" i="8"/>
  <c r="AH435" i="8"/>
  <c r="AH436" i="8"/>
  <c r="AH437" i="8"/>
  <c r="AH438" i="8"/>
  <c r="AH439" i="8"/>
  <c r="AH440" i="8"/>
  <c r="AH441" i="8"/>
  <c r="AH442" i="8"/>
  <c r="AH443" i="8"/>
  <c r="AH444" i="8"/>
  <c r="AH445" i="8"/>
  <c r="AH446" i="8"/>
  <c r="AH447" i="8"/>
  <c r="AH448" i="8"/>
  <c r="AH449" i="8"/>
  <c r="AH450" i="8"/>
  <c r="AH451" i="8"/>
  <c r="AH452" i="8"/>
  <c r="AH453" i="8"/>
  <c r="AH454" i="8"/>
  <c r="AH455" i="8"/>
  <c r="AH456" i="8"/>
  <c r="AH457" i="8"/>
  <c r="AH458" i="8"/>
  <c r="AH459" i="8"/>
  <c r="AH460" i="8"/>
  <c r="AH461" i="8"/>
  <c r="AH462" i="8"/>
  <c r="AH463" i="8"/>
  <c r="AH464" i="8"/>
  <c r="AH465" i="8"/>
  <c r="AH466" i="8"/>
  <c r="AH467" i="8"/>
  <c r="AH468" i="8"/>
  <c r="AH469" i="8"/>
  <c r="AH470" i="8"/>
  <c r="AH471" i="8"/>
  <c r="AH472" i="8"/>
  <c r="AH473" i="8"/>
  <c r="AH474" i="8"/>
  <c r="AH475" i="8"/>
  <c r="AH476" i="8"/>
  <c r="AH477" i="8"/>
  <c r="AH478" i="8"/>
  <c r="AH479" i="8"/>
  <c r="AH480" i="8"/>
  <c r="AH481" i="8"/>
  <c r="AH482" i="8"/>
  <c r="AH483" i="8"/>
  <c r="AH484" i="8"/>
  <c r="AH485" i="8"/>
  <c r="AH486" i="8"/>
  <c r="AH487" i="8"/>
  <c r="AH488" i="8"/>
  <c r="AH489" i="8"/>
  <c r="AH490" i="8"/>
  <c r="AH491" i="8"/>
  <c r="AH492" i="8"/>
  <c r="AH493" i="8"/>
  <c r="AH494" i="8"/>
  <c r="AH495" i="8"/>
  <c r="AH496" i="8"/>
  <c r="AH497" i="8"/>
  <c r="AH498" i="8"/>
  <c r="AH499" i="8"/>
  <c r="AH500" i="8"/>
  <c r="AH501" i="8"/>
  <c r="AH502" i="8"/>
  <c r="AH503" i="8"/>
  <c r="AH504" i="8"/>
  <c r="AH505" i="8"/>
  <c r="AH506" i="8"/>
  <c r="AH507" i="8"/>
  <c r="AH508" i="8"/>
  <c r="AH509" i="8"/>
  <c r="AH510" i="8"/>
  <c r="AH511" i="8"/>
  <c r="AH512" i="8"/>
  <c r="AH513" i="8"/>
  <c r="AH514" i="8"/>
  <c r="AH515" i="8"/>
  <c r="AH516" i="8"/>
  <c r="AH517" i="8"/>
  <c r="AH518" i="8"/>
  <c r="AH519" i="8"/>
  <c r="AH520" i="8"/>
  <c r="AH521" i="8"/>
  <c r="AH522" i="8"/>
  <c r="AH523" i="8"/>
  <c r="AH524" i="8"/>
  <c r="AH525" i="8"/>
  <c r="AH526" i="8"/>
  <c r="AH527" i="8"/>
  <c r="AH528" i="8"/>
  <c r="AH529" i="8"/>
  <c r="AH530" i="8"/>
  <c r="AH531" i="8"/>
  <c r="AH532" i="8"/>
  <c r="AH533" i="8"/>
  <c r="AH534" i="8"/>
  <c r="AH535" i="8"/>
  <c r="AH536" i="8"/>
  <c r="AH537" i="8"/>
  <c r="AH538" i="8"/>
  <c r="AH539" i="8"/>
  <c r="AH540" i="8"/>
  <c r="AH541" i="8"/>
  <c r="AH542" i="8"/>
  <c r="AH543" i="8"/>
  <c r="AH544" i="8"/>
  <c r="AH545" i="8"/>
  <c r="AH546" i="8"/>
  <c r="AH547" i="8"/>
  <c r="AH548" i="8"/>
  <c r="AH549" i="8"/>
  <c r="AH550" i="8"/>
  <c r="AH551" i="8"/>
  <c r="AH552" i="8"/>
  <c r="AH553" i="8"/>
  <c r="AH554" i="8"/>
  <c r="AH555" i="8"/>
  <c r="AH556" i="8"/>
  <c r="AH557" i="8"/>
  <c r="AH558" i="8"/>
  <c r="AH559" i="8"/>
  <c r="AH560" i="8"/>
  <c r="AH561" i="8"/>
  <c r="AH562" i="8"/>
  <c r="AH563" i="8"/>
  <c r="AH564" i="8"/>
  <c r="AH565" i="8"/>
  <c r="AH566" i="8"/>
  <c r="AH567" i="8"/>
  <c r="AH568" i="8"/>
  <c r="AH569" i="8"/>
  <c r="AH570" i="8"/>
  <c r="AH571" i="8"/>
  <c r="AH572" i="8"/>
  <c r="AH573" i="8"/>
  <c r="AH574" i="8"/>
  <c r="AH575" i="8"/>
  <c r="AH576" i="8"/>
  <c r="AH577" i="8"/>
  <c r="AH578" i="8"/>
  <c r="AH579" i="8"/>
  <c r="AH580" i="8"/>
  <c r="AH581" i="8"/>
  <c r="AH582" i="8"/>
  <c r="AH583" i="8"/>
  <c r="AH584" i="8"/>
  <c r="AH585" i="8"/>
  <c r="AH586" i="8"/>
  <c r="AH587" i="8"/>
  <c r="AH588" i="8"/>
  <c r="AH589" i="8"/>
  <c r="AH590" i="8"/>
  <c r="AH591" i="8"/>
  <c r="AH592" i="8"/>
  <c r="AH593" i="8"/>
  <c r="AH594" i="8"/>
  <c r="AH595" i="8"/>
  <c r="AH596" i="8"/>
  <c r="AH597" i="8"/>
  <c r="AH598" i="8"/>
  <c r="AH599" i="8"/>
  <c r="AH600" i="8"/>
  <c r="AH601" i="8"/>
  <c r="AH602" i="8"/>
  <c r="AH603" i="8"/>
  <c r="AH604" i="8"/>
  <c r="AH605" i="8"/>
  <c r="AH606" i="8"/>
  <c r="AH607" i="8"/>
  <c r="AH608" i="8"/>
  <c r="AH609" i="8"/>
  <c r="AH610" i="8"/>
  <c r="AH611" i="8"/>
  <c r="AH612" i="8"/>
  <c r="AH613" i="8"/>
  <c r="AH614" i="8"/>
  <c r="AH615" i="8"/>
  <c r="AH616" i="8"/>
  <c r="AH617" i="8"/>
  <c r="AH618" i="8"/>
  <c r="AH619" i="8"/>
  <c r="AH620" i="8"/>
  <c r="AH621" i="8"/>
  <c r="AH622" i="8"/>
  <c r="AH623" i="8"/>
  <c r="AH624" i="8"/>
  <c r="AH625" i="8"/>
  <c r="AH626" i="8"/>
  <c r="AH627" i="8"/>
  <c r="AH628" i="8"/>
  <c r="AH629" i="8"/>
  <c r="AH630" i="8"/>
  <c r="AH631" i="8"/>
  <c r="AH632" i="8"/>
  <c r="AH633" i="8"/>
  <c r="AH634" i="8"/>
  <c r="AH635" i="8"/>
  <c r="AH636" i="8"/>
  <c r="AH637" i="8"/>
  <c r="AH638" i="8"/>
  <c r="AH639" i="8"/>
  <c r="AH640" i="8"/>
  <c r="AH641" i="8"/>
  <c r="AH642" i="8"/>
  <c r="AH643" i="8"/>
  <c r="AH644" i="8"/>
  <c r="AH645" i="8"/>
  <c r="AH646" i="8"/>
  <c r="AH647" i="8"/>
  <c r="AH648" i="8"/>
  <c r="AH649" i="8"/>
  <c r="AH650" i="8"/>
  <c r="AH651" i="8"/>
  <c r="AH652" i="8"/>
  <c r="AH653" i="8"/>
  <c r="AH654" i="8"/>
  <c r="AH655" i="8"/>
  <c r="AH656" i="8"/>
  <c r="AH657" i="8"/>
  <c r="AH658" i="8"/>
  <c r="AH659" i="8"/>
  <c r="AH660" i="8"/>
  <c r="AH661" i="8"/>
  <c r="AH662" i="8"/>
  <c r="AH663" i="8"/>
  <c r="AH664" i="8"/>
  <c r="AH665" i="8"/>
  <c r="AH666" i="8"/>
  <c r="AH667" i="8"/>
  <c r="AH668" i="8"/>
  <c r="AH669" i="8"/>
  <c r="AH670" i="8"/>
  <c r="AH671" i="8"/>
  <c r="AH672" i="8"/>
  <c r="AH673" i="8"/>
  <c r="AH674" i="8"/>
  <c r="AH675" i="8"/>
  <c r="AH676" i="8"/>
  <c r="AH677" i="8"/>
  <c r="AH678" i="8"/>
  <c r="AH679" i="8"/>
  <c r="AH680" i="8"/>
  <c r="AH681" i="8"/>
  <c r="AH682" i="8"/>
  <c r="AH683" i="8"/>
  <c r="AH684" i="8"/>
  <c r="AH685" i="8"/>
  <c r="AH686" i="8"/>
  <c r="AH687" i="8"/>
  <c r="AH688" i="8"/>
  <c r="AH689" i="8"/>
  <c r="AH690" i="8"/>
  <c r="AH691" i="8"/>
  <c r="AH692" i="8"/>
  <c r="AH693" i="8"/>
  <c r="AH694" i="8"/>
  <c r="AH695" i="8"/>
  <c r="AH696" i="8"/>
  <c r="AH697" i="8"/>
  <c r="AH698" i="8"/>
  <c r="AH699" i="8"/>
  <c r="AH700" i="8"/>
  <c r="AH701" i="8"/>
  <c r="AH702" i="8"/>
  <c r="AH703" i="8"/>
  <c r="AH704" i="8"/>
  <c r="AH705" i="8"/>
  <c r="AH706" i="8"/>
  <c r="AH707" i="8"/>
  <c r="AH708" i="8"/>
  <c r="AH709" i="8"/>
  <c r="AH710" i="8"/>
  <c r="AH711" i="8"/>
  <c r="AH712" i="8"/>
  <c r="AH713" i="8"/>
  <c r="AH714" i="8"/>
  <c r="AH715" i="8"/>
  <c r="AH716" i="8"/>
  <c r="AH717" i="8"/>
  <c r="AH718" i="8"/>
  <c r="AH719" i="8"/>
  <c r="AH720" i="8"/>
  <c r="AH721" i="8"/>
  <c r="AH722" i="8"/>
  <c r="AH723" i="8"/>
  <c r="AH724" i="8"/>
  <c r="AH725" i="8"/>
  <c r="AH726" i="8"/>
  <c r="AH727" i="8"/>
  <c r="AH728" i="8"/>
  <c r="AH729" i="8"/>
  <c r="AH730" i="8"/>
  <c r="AH731" i="8"/>
  <c r="AH732" i="8"/>
  <c r="AH733" i="8"/>
  <c r="AH734" i="8"/>
  <c r="AH735" i="8"/>
  <c r="AH736" i="8"/>
  <c r="AH737" i="8"/>
  <c r="AH738" i="8"/>
  <c r="AH739" i="8"/>
  <c r="AH740" i="8"/>
  <c r="AH741" i="8"/>
  <c r="AH742" i="8"/>
  <c r="AH743" i="8"/>
  <c r="AH744" i="8"/>
  <c r="AH745" i="8"/>
  <c r="AH746" i="8"/>
  <c r="AH747" i="8"/>
  <c r="AH748" i="8"/>
  <c r="AH749" i="8"/>
  <c r="AH750" i="8"/>
  <c r="AH751" i="8"/>
  <c r="AH752" i="8"/>
  <c r="AH753" i="8"/>
  <c r="AH754" i="8"/>
  <c r="AH755" i="8"/>
  <c r="AH756" i="8"/>
  <c r="AH757" i="8"/>
  <c r="AH758" i="8"/>
  <c r="AH759" i="8"/>
  <c r="AH760" i="8"/>
  <c r="AH761" i="8"/>
  <c r="AH762" i="8"/>
  <c r="AH763" i="8"/>
  <c r="AH764" i="8"/>
  <c r="AH765" i="8"/>
  <c r="AH766" i="8"/>
  <c r="AH767" i="8"/>
  <c r="AH768" i="8"/>
  <c r="AH769" i="8"/>
  <c r="AH770" i="8"/>
  <c r="AH771" i="8"/>
  <c r="AH772" i="8"/>
  <c r="AH773" i="8"/>
  <c r="AH774" i="8"/>
  <c r="AH167" i="8"/>
  <c r="AN85" i="9"/>
  <c r="AN86" i="9"/>
  <c r="AN87" i="9"/>
  <c r="AN88" i="9"/>
  <c r="AN89" i="9"/>
  <c r="AN90" i="9"/>
  <c r="AN91" i="9"/>
  <c r="AN92" i="9"/>
  <c r="AN93" i="9"/>
  <c r="AN94" i="9"/>
  <c r="AN95" i="9"/>
  <c r="AN96" i="9"/>
  <c r="AN97" i="9"/>
  <c r="AN98" i="9"/>
  <c r="AN99" i="9"/>
  <c r="AN100" i="9"/>
  <c r="AN101" i="9"/>
  <c r="AN102" i="9"/>
  <c r="AN103" i="9"/>
  <c r="AN104" i="9"/>
  <c r="AN105" i="9"/>
  <c r="AN106" i="9"/>
  <c r="AN107" i="9"/>
  <c r="AN108" i="9"/>
  <c r="AN109" i="9"/>
  <c r="AN110" i="9"/>
  <c r="AN111" i="9"/>
  <c r="AN112" i="9"/>
  <c r="AN113" i="9"/>
  <c r="AN114" i="9"/>
  <c r="AN115" i="9"/>
  <c r="AN116" i="9"/>
  <c r="AN117" i="9"/>
  <c r="AN118" i="9"/>
  <c r="AN119" i="9"/>
  <c r="AN120" i="9"/>
  <c r="AN121" i="9"/>
  <c r="AN122" i="9"/>
  <c r="AN123" i="9"/>
  <c r="AN124" i="9"/>
  <c r="AN125" i="9"/>
  <c r="AN126" i="9"/>
  <c r="AN127" i="9"/>
  <c r="AN128" i="9"/>
  <c r="AN129" i="9"/>
  <c r="AN130" i="9"/>
  <c r="AN131" i="9"/>
  <c r="AN132" i="9"/>
  <c r="AN133" i="9"/>
  <c r="AN134" i="9"/>
  <c r="AN135" i="9"/>
  <c r="AN136" i="9"/>
  <c r="AN137" i="9"/>
  <c r="AN138" i="9"/>
  <c r="AN139" i="9"/>
  <c r="AN140" i="9"/>
  <c r="AN141" i="9"/>
  <c r="AN142" i="9"/>
  <c r="AN143" i="9"/>
  <c r="AN144" i="9"/>
  <c r="AN145" i="9"/>
  <c r="AN146" i="9"/>
  <c r="AN147" i="9"/>
  <c r="AN148" i="9"/>
  <c r="AN149" i="9"/>
  <c r="AN150" i="9"/>
  <c r="AN151" i="9"/>
  <c r="AN152" i="9"/>
  <c r="AN153" i="9"/>
  <c r="AN154" i="9"/>
  <c r="AN155" i="9"/>
  <c r="AN156" i="9"/>
  <c r="AN157" i="9"/>
  <c r="AN158" i="9"/>
  <c r="AN159" i="9"/>
  <c r="AN160" i="9"/>
  <c r="AN161" i="9"/>
  <c r="AN162" i="9"/>
  <c r="AN163" i="9"/>
  <c r="AN164" i="9"/>
  <c r="AN165" i="9"/>
  <c r="AN166" i="9"/>
  <c r="AN167" i="9"/>
  <c r="AN168" i="9"/>
  <c r="AN169" i="9"/>
  <c r="AN170" i="9"/>
  <c r="AN171" i="9"/>
  <c r="AN172" i="9"/>
  <c r="AN173" i="9"/>
  <c r="AN174" i="9"/>
  <c r="AN175" i="9"/>
  <c r="AN176" i="9"/>
  <c r="AN177" i="9"/>
  <c r="AN178" i="9"/>
  <c r="AN179" i="9"/>
  <c r="AN180" i="9"/>
  <c r="AN181" i="9"/>
  <c r="AN182" i="9"/>
  <c r="AN183" i="9"/>
  <c r="AN184" i="9"/>
  <c r="AN185" i="9"/>
  <c r="AN186" i="9"/>
  <c r="AN187" i="9"/>
  <c r="AN188" i="9"/>
  <c r="AN189" i="9"/>
  <c r="AN190" i="9"/>
  <c r="AN191" i="9"/>
  <c r="AN192" i="9"/>
  <c r="AN193" i="9"/>
  <c r="AN194" i="9"/>
  <c r="AN195" i="9"/>
  <c r="AN196" i="9"/>
  <c r="AN197" i="9"/>
  <c r="AN198" i="9"/>
  <c r="AN199" i="9"/>
  <c r="AN200" i="9"/>
  <c r="AN201" i="9"/>
  <c r="AN202" i="9"/>
  <c r="AN203" i="9"/>
  <c r="AN204" i="9"/>
  <c r="AN205" i="9"/>
  <c r="AN206" i="9"/>
  <c r="AN207" i="9"/>
  <c r="AN208" i="9"/>
  <c r="AN209" i="9"/>
  <c r="AN210" i="9"/>
  <c r="AN211" i="9"/>
  <c r="AN212" i="9"/>
  <c r="AN213" i="9"/>
  <c r="AN214" i="9"/>
  <c r="AN215" i="9"/>
  <c r="AN216" i="9"/>
  <c r="AN217" i="9"/>
  <c r="AN218" i="9"/>
  <c r="AN219" i="9"/>
  <c r="AN220" i="9"/>
  <c r="AN221" i="9"/>
  <c r="AN222" i="9"/>
  <c r="AN223" i="9"/>
  <c r="AN224" i="9"/>
  <c r="AN225" i="9"/>
  <c r="AN226" i="9"/>
  <c r="AN227" i="9"/>
  <c r="AN228" i="9"/>
  <c r="AN229" i="9"/>
  <c r="AN230" i="9"/>
  <c r="AN231" i="9"/>
  <c r="AN232" i="9"/>
  <c r="AN233" i="9"/>
  <c r="AN234" i="9"/>
  <c r="AN235" i="9"/>
  <c r="AN236" i="9"/>
  <c r="AN237" i="9"/>
  <c r="AN238" i="9"/>
  <c r="AN239" i="9"/>
  <c r="AN240" i="9"/>
  <c r="AN241" i="9"/>
  <c r="AN242" i="9"/>
  <c r="AN243" i="9"/>
  <c r="AN244" i="9"/>
  <c r="AN245" i="9"/>
  <c r="AN246" i="9"/>
  <c r="AN247" i="9"/>
  <c r="AN248" i="9"/>
  <c r="AN249" i="9"/>
  <c r="AN250" i="9"/>
  <c r="AN251" i="9"/>
  <c r="AN252" i="9"/>
  <c r="AN253" i="9"/>
  <c r="AN254" i="9"/>
  <c r="AN255" i="9"/>
  <c r="AN256" i="9"/>
  <c r="AN257" i="9"/>
  <c r="AN258" i="9"/>
  <c r="AN259" i="9"/>
  <c r="AN260" i="9"/>
  <c r="AN261" i="9"/>
  <c r="AN262" i="9"/>
  <c r="AN263" i="9"/>
  <c r="AN264" i="9"/>
  <c r="AN265" i="9"/>
  <c r="AN266" i="9"/>
  <c r="AN267" i="9"/>
  <c r="AN268" i="9"/>
  <c r="AN269" i="9"/>
  <c r="AN270" i="9"/>
  <c r="AN271" i="9"/>
  <c r="AN272" i="9"/>
  <c r="AN273" i="9"/>
  <c r="AN274" i="9"/>
  <c r="AN275" i="9"/>
  <c r="AN276" i="9"/>
  <c r="AN277" i="9"/>
  <c r="AN278" i="9"/>
  <c r="AN279" i="9"/>
  <c r="AN280" i="9"/>
  <c r="AN281" i="9"/>
  <c r="AN282" i="9"/>
  <c r="AN283" i="9"/>
  <c r="AN284" i="9"/>
  <c r="AN285" i="9"/>
  <c r="AN286" i="9"/>
  <c r="AN287" i="9"/>
  <c r="AN288" i="9"/>
  <c r="AN289" i="9"/>
  <c r="AN290" i="9"/>
  <c r="AN291" i="9"/>
  <c r="AN292" i="9"/>
  <c r="AN293" i="9"/>
  <c r="AN294" i="9"/>
  <c r="AN295" i="9"/>
  <c r="AN296" i="9"/>
  <c r="AN297" i="9"/>
  <c r="AN298" i="9"/>
  <c r="AN299" i="9"/>
  <c r="AN300" i="9"/>
  <c r="AN301" i="9"/>
  <c r="AN302" i="9"/>
  <c r="AN303" i="9"/>
  <c r="AN304" i="9"/>
  <c r="AN305" i="9"/>
  <c r="AN306" i="9"/>
  <c r="AN307" i="9"/>
  <c r="AN308" i="9"/>
  <c r="AN309" i="9"/>
  <c r="AN310" i="9"/>
  <c r="AN311" i="9"/>
  <c r="AN312" i="9"/>
  <c r="AN313" i="9"/>
  <c r="AN314" i="9"/>
  <c r="AN315" i="9"/>
  <c r="AN316" i="9"/>
  <c r="AN317" i="9"/>
  <c r="AN318" i="9"/>
  <c r="AN319" i="9"/>
  <c r="AN320" i="9"/>
  <c r="AN321" i="9"/>
  <c r="AN322" i="9"/>
  <c r="AN323" i="9"/>
  <c r="AN324" i="9"/>
  <c r="AN325" i="9"/>
  <c r="AN326" i="9"/>
  <c r="AN327" i="9"/>
  <c r="AN328" i="9"/>
  <c r="AN329" i="9"/>
  <c r="AN330" i="9"/>
  <c r="AN331" i="9"/>
  <c r="AN332" i="9"/>
  <c r="AN333" i="9"/>
  <c r="AN334" i="9"/>
  <c r="AN335" i="9"/>
  <c r="AN336" i="9"/>
  <c r="AN337" i="9"/>
  <c r="AN338" i="9"/>
  <c r="AN339" i="9"/>
  <c r="AN340" i="9"/>
  <c r="AN341" i="9"/>
  <c r="AN342" i="9"/>
  <c r="AN343" i="9"/>
  <c r="AN344" i="9"/>
  <c r="AN345" i="9"/>
  <c r="AN346" i="9"/>
  <c r="AN347" i="9"/>
  <c r="AN348" i="9"/>
  <c r="AN349" i="9"/>
  <c r="AN350" i="9"/>
  <c r="AN351" i="9"/>
  <c r="AN352" i="9"/>
  <c r="AN353" i="9"/>
  <c r="AN354" i="9"/>
  <c r="AN355" i="9"/>
  <c r="AN356" i="9"/>
  <c r="AN357" i="9"/>
  <c r="AN358" i="9"/>
  <c r="AN359" i="9"/>
  <c r="AN360" i="9"/>
  <c r="AN361" i="9"/>
  <c r="AN362" i="9"/>
  <c r="AN363" i="9"/>
  <c r="AN364" i="9"/>
  <c r="AN365" i="9"/>
  <c r="AN366" i="9"/>
  <c r="AN367" i="9"/>
  <c r="AN368" i="9"/>
  <c r="AN369" i="9"/>
  <c r="AN370" i="9"/>
  <c r="AN371" i="9"/>
  <c r="AN372" i="9"/>
  <c r="AN373" i="9"/>
  <c r="AN374" i="9"/>
  <c r="AN375" i="9"/>
  <c r="AN376" i="9"/>
  <c r="AN377" i="9"/>
  <c r="AN378" i="9"/>
  <c r="AN379" i="9"/>
  <c r="AN380" i="9"/>
  <c r="AN381" i="9"/>
  <c r="AN382" i="9"/>
  <c r="AN383" i="9"/>
  <c r="AN384" i="9"/>
  <c r="AN385" i="9"/>
  <c r="AN386" i="9"/>
  <c r="AN387" i="9"/>
  <c r="AN388" i="9"/>
  <c r="AN389" i="9"/>
  <c r="AN390" i="9"/>
  <c r="AN391" i="9"/>
  <c r="AN392" i="9"/>
  <c r="AN393" i="9"/>
  <c r="AN394" i="9"/>
  <c r="AN395" i="9"/>
  <c r="AN396" i="9"/>
  <c r="AN397" i="9"/>
  <c r="AN398" i="9"/>
  <c r="AN399" i="9"/>
  <c r="AN400" i="9"/>
  <c r="AN401" i="9"/>
  <c r="AN402" i="9"/>
  <c r="AN403" i="9"/>
  <c r="AN404" i="9"/>
  <c r="AN405" i="9"/>
  <c r="AN406" i="9"/>
  <c r="AN407" i="9"/>
  <c r="AN408" i="9"/>
  <c r="AN409" i="9"/>
  <c r="AN410" i="9"/>
  <c r="AN411" i="9"/>
  <c r="AN412" i="9"/>
  <c r="AN413" i="9"/>
  <c r="AN414" i="9"/>
  <c r="AN415" i="9"/>
  <c r="AN416" i="9"/>
  <c r="AN417" i="9"/>
  <c r="AN418" i="9"/>
  <c r="AN419" i="9"/>
  <c r="AN420" i="9"/>
  <c r="AN421" i="9"/>
  <c r="AN422" i="9"/>
  <c r="AN423" i="9"/>
  <c r="AN424" i="9"/>
  <c r="AN425" i="9"/>
  <c r="AN426" i="9"/>
  <c r="AN427" i="9"/>
  <c r="AN428" i="9"/>
  <c r="AN429" i="9"/>
  <c r="AN430" i="9"/>
  <c r="AN431" i="9"/>
  <c r="AN432" i="9"/>
  <c r="AN433" i="9"/>
  <c r="AN434" i="9"/>
  <c r="AN435" i="9"/>
  <c r="AN436" i="9"/>
  <c r="AN437" i="9"/>
  <c r="AN438" i="9"/>
  <c r="AN439" i="9"/>
  <c r="AN440" i="9"/>
  <c r="AN441" i="9"/>
  <c r="AN442" i="9"/>
  <c r="AN443" i="9"/>
  <c r="AN444" i="9"/>
  <c r="AN445" i="9"/>
  <c r="AN446" i="9"/>
  <c r="AN447" i="9"/>
  <c r="AN448" i="9"/>
  <c r="AN449" i="9"/>
  <c r="AN450" i="9"/>
  <c r="AN451" i="9"/>
  <c r="AN452" i="9"/>
  <c r="AN453" i="9"/>
  <c r="AN454" i="9"/>
  <c r="AN455" i="9"/>
  <c r="AN456" i="9"/>
  <c r="AN457" i="9"/>
  <c r="AN458" i="9"/>
  <c r="AN459" i="9"/>
  <c r="AN460" i="9"/>
  <c r="AN461" i="9"/>
  <c r="AN462" i="9"/>
  <c r="AN463" i="9"/>
  <c r="AN464" i="9"/>
  <c r="AN465" i="9"/>
  <c r="AN466" i="9"/>
  <c r="AN467" i="9"/>
  <c r="AN468" i="9"/>
  <c r="AN469" i="9"/>
  <c r="AN470" i="9"/>
  <c r="AN471" i="9"/>
  <c r="AN472" i="9"/>
  <c r="AN473" i="9"/>
  <c r="AN474" i="9"/>
  <c r="AN475" i="9"/>
  <c r="AN476" i="9"/>
  <c r="AN477" i="9"/>
  <c r="AN478" i="9"/>
  <c r="AN479" i="9"/>
  <c r="AN480" i="9"/>
  <c r="AN481" i="9"/>
  <c r="AN482" i="9"/>
  <c r="AN483" i="9"/>
  <c r="AN484" i="9"/>
  <c r="AN485" i="9"/>
  <c r="AN486" i="9"/>
  <c r="AN487" i="9"/>
  <c r="AN488" i="9"/>
  <c r="AN489" i="9"/>
  <c r="AN490" i="9"/>
  <c r="AN491" i="9"/>
  <c r="AN492" i="9"/>
  <c r="AN493" i="9"/>
  <c r="AN494" i="9"/>
  <c r="AN495" i="9"/>
  <c r="AN496" i="9"/>
  <c r="AN497" i="9"/>
  <c r="AN498" i="9"/>
  <c r="AN499" i="9"/>
  <c r="AN500" i="9"/>
  <c r="AN501" i="9"/>
  <c r="AN502" i="9"/>
  <c r="AN503" i="9"/>
  <c r="AN504" i="9"/>
  <c r="AN505" i="9"/>
  <c r="AN506" i="9"/>
  <c r="AN507" i="9"/>
  <c r="AN508" i="9"/>
  <c r="AN509" i="9"/>
  <c r="AN510" i="9"/>
  <c r="AN511" i="9"/>
  <c r="AN512" i="9"/>
  <c r="AN513" i="9"/>
  <c r="AN514" i="9"/>
  <c r="AN515" i="9"/>
  <c r="AN516" i="9"/>
  <c r="AN517" i="9"/>
  <c r="AN518" i="9"/>
  <c r="AN519" i="9"/>
  <c r="AN520" i="9"/>
  <c r="AN521" i="9"/>
  <c r="AN522" i="9"/>
  <c r="AN523" i="9"/>
  <c r="AN524" i="9"/>
  <c r="AN525" i="9"/>
  <c r="AN526" i="9"/>
  <c r="AN527" i="9"/>
  <c r="AN528" i="9"/>
  <c r="AN529" i="9"/>
  <c r="AN530" i="9"/>
  <c r="AN531" i="9"/>
  <c r="AN532" i="9"/>
  <c r="AN533" i="9"/>
  <c r="AN534" i="9"/>
  <c r="AN535" i="9"/>
  <c r="AN536" i="9"/>
  <c r="AN537" i="9"/>
  <c r="AN538" i="9"/>
  <c r="AN539" i="9"/>
  <c r="AN540" i="9"/>
  <c r="AN541" i="9"/>
  <c r="AN542" i="9"/>
  <c r="AN543" i="9"/>
  <c r="AN544" i="9"/>
  <c r="AN545" i="9"/>
  <c r="AN546" i="9"/>
  <c r="AN547" i="9"/>
  <c r="AN548" i="9"/>
  <c r="AN549" i="9"/>
  <c r="AN550" i="9"/>
  <c r="AN551" i="9"/>
  <c r="AN552" i="9"/>
  <c r="AN553" i="9"/>
  <c r="AN554" i="9"/>
  <c r="AN555" i="9"/>
  <c r="AN556" i="9"/>
  <c r="AN557" i="9"/>
  <c r="AN558" i="9"/>
  <c r="AN559" i="9"/>
  <c r="AN560" i="9"/>
  <c r="AN561" i="9"/>
  <c r="AN84" i="9"/>
  <c r="AN3" i="9"/>
  <c r="AN4" i="9"/>
  <c r="AN5" i="9"/>
  <c r="AN6" i="9"/>
  <c r="AN7" i="9"/>
  <c r="AN8" i="9"/>
  <c r="AN9" i="9"/>
  <c r="AN10" i="9"/>
  <c r="AN11" i="9"/>
  <c r="AN12" i="9"/>
  <c r="AN13" i="9"/>
  <c r="AN14" i="9"/>
  <c r="AN15" i="9"/>
  <c r="AN16" i="9"/>
  <c r="AN17" i="9"/>
  <c r="AN18" i="9"/>
  <c r="AN19" i="9"/>
  <c r="AN20" i="9"/>
  <c r="AN21" i="9"/>
  <c r="AN22" i="9"/>
  <c r="AN23" i="9"/>
  <c r="AN24" i="9"/>
  <c r="AN25" i="9"/>
  <c r="AN26" i="9"/>
  <c r="AN27" i="9"/>
  <c r="AN28" i="9"/>
  <c r="AN29" i="9"/>
  <c r="AN30" i="9"/>
  <c r="AN31" i="9"/>
  <c r="AN32" i="9"/>
  <c r="AN33" i="9"/>
  <c r="AN34" i="9"/>
  <c r="AN35" i="9"/>
  <c r="AN36" i="9"/>
  <c r="AN37" i="9"/>
  <c r="AN38" i="9"/>
  <c r="AN39" i="9"/>
  <c r="AN40" i="9"/>
  <c r="AN41" i="9"/>
  <c r="AN42" i="9"/>
  <c r="AN43" i="9"/>
  <c r="AN44" i="9"/>
  <c r="AN45" i="9"/>
  <c r="AN46" i="9"/>
  <c r="AN47" i="9"/>
  <c r="AN48" i="9"/>
  <c r="AN49" i="9"/>
  <c r="AN50" i="9"/>
  <c r="AN51" i="9"/>
  <c r="AN52" i="9"/>
  <c r="AN53" i="9"/>
  <c r="AN54" i="9"/>
  <c r="AN55" i="9"/>
  <c r="AN56" i="9"/>
  <c r="AN57" i="9"/>
  <c r="AN58" i="9"/>
  <c r="AN59" i="9"/>
  <c r="AN60" i="9"/>
  <c r="AN61" i="9"/>
  <c r="AN62" i="9"/>
  <c r="AN63" i="9"/>
  <c r="AN64" i="9"/>
  <c r="AN65" i="9"/>
  <c r="AN66" i="9"/>
  <c r="AN67" i="9"/>
  <c r="AN68" i="9"/>
  <c r="AN69" i="9"/>
  <c r="AN70" i="9"/>
  <c r="AN71" i="9"/>
  <c r="AN72" i="9"/>
  <c r="AN73" i="9"/>
  <c r="AN74" i="9"/>
  <c r="AN75" i="9"/>
  <c r="AN76" i="9"/>
  <c r="AN77" i="9"/>
  <c r="AN78" i="9"/>
  <c r="AN79" i="9"/>
  <c r="AN80" i="9"/>
  <c r="AN81" i="9"/>
  <c r="AN82" i="9"/>
  <c r="AN83" i="9"/>
  <c r="AN2" i="9"/>
  <c r="AG1001" i="10"/>
  <c r="AG1003" i="10"/>
  <c r="AG1004" i="10"/>
  <c r="AG1006" i="10"/>
  <c r="AG1008" i="10"/>
  <c r="AG1010" i="10"/>
  <c r="AG1011" i="10"/>
  <c r="AG1012" i="10"/>
  <c r="AG1014" i="10"/>
  <c r="AJ1001" i="10"/>
  <c r="AJ1002" i="10"/>
  <c r="AJ1003" i="10"/>
  <c r="AJ1004" i="10"/>
  <c r="AJ1005" i="10"/>
  <c r="AJ1006" i="10"/>
  <c r="AJ1007" i="10"/>
  <c r="AJ1008" i="10"/>
  <c r="AJ1009" i="10"/>
  <c r="AJ1010" i="10"/>
  <c r="AJ1011" i="10"/>
  <c r="AJ1012" i="10"/>
  <c r="AJ1013" i="10"/>
  <c r="AJ1014" i="10"/>
  <c r="AM2" i="10" a="1"/>
  <c r="AM2" i="10" s="1"/>
  <c r="AF372" i="11"/>
  <c r="AF378" i="11"/>
  <c r="E74" i="2"/>
  <c r="E75" i="2"/>
  <c r="E76" i="2"/>
  <c r="D74" i="2"/>
  <c r="D75" i="2"/>
  <c r="D76" i="2"/>
  <c r="C21" i="12"/>
  <c r="E31" i="15" l="1"/>
  <c r="F34" i="15"/>
  <c r="F271" i="16"/>
  <c r="G269" i="16"/>
  <c r="G267" i="16"/>
  <c r="E34" i="15"/>
  <c r="E270" i="16"/>
  <c r="F154" i="16"/>
  <c r="G156" i="16"/>
  <c r="F269" i="16"/>
  <c r="D269" i="16" s="1"/>
  <c r="E87" i="16"/>
  <c r="E90" i="16"/>
  <c r="F90" i="16"/>
  <c r="F267" i="16"/>
  <c r="E19" i="15"/>
  <c r="E266" i="16"/>
  <c r="F19" i="15"/>
  <c r="E157" i="16"/>
  <c r="G265" i="16"/>
  <c r="F191" i="16"/>
  <c r="F265" i="16"/>
  <c r="D265" i="16" s="1"/>
  <c r="E53" i="16"/>
  <c r="E221" i="16"/>
  <c r="F65" i="16"/>
  <c r="E224" i="16"/>
  <c r="G58" i="16"/>
  <c r="G66" i="16"/>
  <c r="F20" i="15"/>
  <c r="G22" i="15"/>
  <c r="F87" i="16"/>
  <c r="G268" i="16"/>
  <c r="G264" i="16"/>
  <c r="E20" i="15"/>
  <c r="G47" i="15"/>
  <c r="F66" i="16"/>
  <c r="E268" i="16"/>
  <c r="E264" i="16"/>
  <c r="E22" i="15"/>
  <c r="E42" i="15"/>
  <c r="F22" i="15"/>
  <c r="F42" i="15"/>
  <c r="E45" i="15"/>
  <c r="E68" i="16"/>
  <c r="F68" i="16"/>
  <c r="G226" i="16"/>
  <c r="F85" i="16"/>
  <c r="E271" i="16"/>
  <c r="D271" i="16" s="1"/>
  <c r="E267" i="16"/>
  <c r="E79" i="16"/>
  <c r="G81" i="16"/>
  <c r="G270" i="16"/>
  <c r="G266" i="16"/>
  <c r="E76" i="16"/>
  <c r="F270" i="16"/>
  <c r="G36" i="15"/>
  <c r="G19" i="15"/>
  <c r="G42" i="15"/>
  <c r="G45" i="15"/>
  <c r="E40" i="15"/>
  <c r="E43" i="15"/>
  <c r="F40" i="15"/>
  <c r="F43" i="15"/>
  <c r="F46" i="15"/>
  <c r="G40" i="15"/>
  <c r="G43" i="15"/>
  <c r="G46" i="15"/>
  <c r="E41" i="15"/>
  <c r="E44" i="15"/>
  <c r="F41" i="15"/>
  <c r="F44" i="15"/>
  <c r="F47" i="15"/>
  <c r="G41" i="15"/>
  <c r="G44" i="15"/>
  <c r="G34" i="15"/>
  <c r="D34" i="15" s="1"/>
  <c r="E29" i="15"/>
  <c r="E32" i="15"/>
  <c r="F32" i="15"/>
  <c r="G29" i="15"/>
  <c r="G32" i="15"/>
  <c r="G35" i="15"/>
  <c r="E33" i="15"/>
  <c r="G31" i="15"/>
  <c r="D31" i="15" s="1"/>
  <c r="F35" i="15"/>
  <c r="E30" i="15"/>
  <c r="F30" i="15"/>
  <c r="F33" i="15"/>
  <c r="F36" i="15"/>
  <c r="F29" i="15"/>
  <c r="G30" i="15"/>
  <c r="G33" i="15"/>
  <c r="E23" i="15"/>
  <c r="F23" i="15"/>
  <c r="G23" i="15"/>
  <c r="G20" i="15"/>
  <c r="E18" i="15"/>
  <c r="E21" i="15"/>
  <c r="F18" i="15"/>
  <c r="F21" i="15"/>
  <c r="F24" i="15"/>
  <c r="G24" i="15"/>
  <c r="G18" i="15"/>
  <c r="G21" i="15"/>
  <c r="F25" i="15"/>
  <c r="D25" i="15" s="1"/>
  <c r="D266" i="16"/>
  <c r="G246" i="16"/>
  <c r="F98" i="16"/>
  <c r="E247" i="16"/>
  <c r="E101" i="16"/>
  <c r="G249" i="16"/>
  <c r="F101" i="16"/>
  <c r="G126" i="16"/>
  <c r="E42" i="16"/>
  <c r="E121" i="16"/>
  <c r="F42" i="16"/>
  <c r="F121" i="16"/>
  <c r="E45" i="16"/>
  <c r="E124" i="16"/>
  <c r="F45" i="16"/>
  <c r="G137" i="16"/>
  <c r="E132" i="16"/>
  <c r="F157" i="16"/>
  <c r="E135" i="16"/>
  <c r="G170" i="16"/>
  <c r="G70" i="16"/>
  <c r="E34" i="16"/>
  <c r="F63" i="16"/>
  <c r="F79" i="16"/>
  <c r="F159" i="16"/>
  <c r="G36" i="16"/>
  <c r="E56" i="16"/>
  <c r="E31" i="16"/>
  <c r="F56" i="16"/>
  <c r="E143" i="16"/>
  <c r="E168" i="16"/>
  <c r="F34" i="16"/>
  <c r="G63" i="16"/>
  <c r="G92" i="16"/>
  <c r="G153" i="16"/>
  <c r="F188" i="16"/>
  <c r="F132" i="16"/>
  <c r="G159" i="16"/>
  <c r="E165" i="16"/>
  <c r="G148" i="16"/>
  <c r="F165" i="16"/>
  <c r="E65" i="16"/>
  <c r="E191" i="16"/>
  <c r="G193" i="16"/>
  <c r="G103" i="16"/>
  <c r="F69" i="16"/>
  <c r="E258" i="16"/>
  <c r="F258" i="16"/>
  <c r="G255" i="16"/>
  <c r="G259" i="16"/>
  <c r="E255" i="16"/>
  <c r="F255" i="16"/>
  <c r="G258" i="16"/>
  <c r="E253" i="16"/>
  <c r="G256" i="16"/>
  <c r="E254" i="16"/>
  <c r="E257" i="16"/>
  <c r="E260" i="16"/>
  <c r="E259" i="16"/>
  <c r="F253" i="16"/>
  <c r="F256" i="16"/>
  <c r="G253" i="16"/>
  <c r="F254" i="16"/>
  <c r="F257" i="16"/>
  <c r="F260" i="16"/>
  <c r="E256" i="16"/>
  <c r="F259" i="16"/>
  <c r="G254" i="16"/>
  <c r="G257" i="16"/>
  <c r="F244" i="16"/>
  <c r="F247" i="16"/>
  <c r="E242" i="16"/>
  <c r="E248" i="16"/>
  <c r="G244" i="16"/>
  <c r="G247" i="16"/>
  <c r="E245" i="16"/>
  <c r="F242" i="16"/>
  <c r="F245" i="16"/>
  <c r="F248" i="16"/>
  <c r="G242" i="16"/>
  <c r="G245" i="16"/>
  <c r="G248" i="16"/>
  <c r="E243" i="16"/>
  <c r="E246" i="16"/>
  <c r="E249" i="16"/>
  <c r="F243" i="16"/>
  <c r="F246" i="16"/>
  <c r="E236" i="16"/>
  <c r="F236" i="16"/>
  <c r="G233" i="16"/>
  <c r="E237" i="16"/>
  <c r="F231" i="16"/>
  <c r="F234" i="16"/>
  <c r="F237" i="16"/>
  <c r="G231" i="16"/>
  <c r="G234" i="16"/>
  <c r="G237" i="16"/>
  <c r="E233" i="16"/>
  <c r="F233" i="16"/>
  <c r="G236" i="16"/>
  <c r="E234" i="16"/>
  <c r="E232" i="16"/>
  <c r="E235" i="16"/>
  <c r="E238" i="16"/>
  <c r="E231" i="16"/>
  <c r="F232" i="16"/>
  <c r="F235" i="16"/>
  <c r="F238" i="16"/>
  <c r="G232" i="16"/>
  <c r="G235" i="16"/>
  <c r="E219" i="16"/>
  <c r="F225" i="16"/>
  <c r="G225" i="16"/>
  <c r="F224" i="16"/>
  <c r="G224" i="16"/>
  <c r="E225" i="16"/>
  <c r="G222" i="16"/>
  <c r="E220" i="16"/>
  <c r="E223" i="16"/>
  <c r="E226" i="16"/>
  <c r="G221" i="16"/>
  <c r="E222" i="16"/>
  <c r="F222" i="16"/>
  <c r="G219" i="16"/>
  <c r="F220" i="16"/>
  <c r="F223" i="16"/>
  <c r="F226" i="16"/>
  <c r="F219" i="16"/>
  <c r="G220" i="16"/>
  <c r="G223" i="16"/>
  <c r="G209" i="16"/>
  <c r="G212" i="16"/>
  <c r="G215" i="16"/>
  <c r="E210" i="16"/>
  <c r="E213" i="16"/>
  <c r="F210" i="16"/>
  <c r="F213" i="16"/>
  <c r="G213" i="16"/>
  <c r="E208" i="16"/>
  <c r="E211" i="16"/>
  <c r="F211" i="16"/>
  <c r="G208" i="16"/>
  <c r="G214" i="16"/>
  <c r="E209" i="16"/>
  <c r="E212" i="16"/>
  <c r="E215" i="16"/>
  <c r="G210" i="16"/>
  <c r="E214" i="16"/>
  <c r="F208" i="16"/>
  <c r="F214" i="16"/>
  <c r="G211" i="16"/>
  <c r="F209" i="16"/>
  <c r="F212" i="16"/>
  <c r="G202" i="16"/>
  <c r="E197" i="16"/>
  <c r="E203" i="16"/>
  <c r="F197" i="16"/>
  <c r="F200" i="16"/>
  <c r="F203" i="16"/>
  <c r="G197" i="16"/>
  <c r="G203" i="16"/>
  <c r="E204" i="16"/>
  <c r="F198" i="16"/>
  <c r="F201" i="16"/>
  <c r="F204" i="16"/>
  <c r="E199" i="16"/>
  <c r="E202" i="16"/>
  <c r="F199" i="16"/>
  <c r="F202" i="16"/>
  <c r="G199" i="16"/>
  <c r="E200" i="16"/>
  <c r="G200" i="16"/>
  <c r="E198" i="16"/>
  <c r="E201" i="16"/>
  <c r="G198" i="16"/>
  <c r="G201" i="16"/>
  <c r="G188" i="16"/>
  <c r="G191" i="16"/>
  <c r="E186" i="16"/>
  <c r="E189" i="16"/>
  <c r="E192" i="16"/>
  <c r="F186" i="16"/>
  <c r="F189" i="16"/>
  <c r="F192" i="16"/>
  <c r="G186" i="16"/>
  <c r="G189" i="16"/>
  <c r="G192" i="16"/>
  <c r="E187" i="16"/>
  <c r="E190" i="16"/>
  <c r="E193" i="16"/>
  <c r="F187" i="16"/>
  <c r="F190" i="16"/>
  <c r="F193" i="16"/>
  <c r="G187" i="16"/>
  <c r="G190" i="16"/>
  <c r="E177" i="16"/>
  <c r="F177" i="16"/>
  <c r="G177" i="16"/>
  <c r="G178" i="16"/>
  <c r="G180" i="16"/>
  <c r="E175" i="16"/>
  <c r="E178" i="16"/>
  <c r="E181" i="16"/>
  <c r="F181" i="16"/>
  <c r="G181" i="16"/>
  <c r="E176" i="16"/>
  <c r="E179" i="16"/>
  <c r="E182" i="16"/>
  <c r="E180" i="16"/>
  <c r="F180" i="16"/>
  <c r="F175" i="16"/>
  <c r="F176" i="16"/>
  <c r="F179" i="16"/>
  <c r="F182" i="16"/>
  <c r="F178" i="16"/>
  <c r="G175" i="16"/>
  <c r="G176" i="16"/>
  <c r="G179" i="16"/>
  <c r="G168" i="16"/>
  <c r="E169" i="16"/>
  <c r="F166" i="16"/>
  <c r="G166" i="16"/>
  <c r="E164" i="16"/>
  <c r="E167" i="16"/>
  <c r="E170" i="16"/>
  <c r="G165" i="16"/>
  <c r="E163" i="16"/>
  <c r="E166" i="16"/>
  <c r="F169" i="16"/>
  <c r="G169" i="16"/>
  <c r="F164" i="16"/>
  <c r="F167" i="16"/>
  <c r="F170" i="16"/>
  <c r="F163" i="16"/>
  <c r="G163" i="16"/>
  <c r="G164" i="16"/>
  <c r="G167" i="16"/>
  <c r="E155" i="16"/>
  <c r="G154" i="16"/>
  <c r="G157" i="16"/>
  <c r="E152" i="16"/>
  <c r="E158" i="16"/>
  <c r="F152" i="16"/>
  <c r="F155" i="16"/>
  <c r="F158" i="16"/>
  <c r="G152" i="16"/>
  <c r="G158" i="16"/>
  <c r="E153" i="16"/>
  <c r="E156" i="16"/>
  <c r="E159" i="16"/>
  <c r="G155" i="16"/>
  <c r="F153" i="16"/>
  <c r="F156" i="16"/>
  <c r="F143" i="16"/>
  <c r="F146" i="16"/>
  <c r="G146" i="16"/>
  <c r="E141" i="16"/>
  <c r="E144" i="16"/>
  <c r="E147" i="16"/>
  <c r="F141" i="16"/>
  <c r="F147" i="16"/>
  <c r="E142" i="16"/>
  <c r="E145" i="16"/>
  <c r="E148" i="16"/>
  <c r="G147" i="16"/>
  <c r="F142" i="16"/>
  <c r="F145" i="16"/>
  <c r="F148" i="16"/>
  <c r="G143" i="16"/>
  <c r="F144" i="16"/>
  <c r="G141" i="16"/>
  <c r="G144" i="16"/>
  <c r="G142" i="16"/>
  <c r="G145" i="16"/>
  <c r="E130" i="16"/>
  <c r="F130" i="16"/>
  <c r="G132" i="16"/>
  <c r="E136" i="16"/>
  <c r="F133" i="16"/>
  <c r="G130" i="16"/>
  <c r="G136" i="16"/>
  <c r="E131" i="16"/>
  <c r="E137" i="16"/>
  <c r="F131" i="16"/>
  <c r="F134" i="16"/>
  <c r="F137" i="16"/>
  <c r="G135" i="16"/>
  <c r="E133" i="16"/>
  <c r="F136" i="16"/>
  <c r="G133" i="16"/>
  <c r="E134" i="16"/>
  <c r="G131" i="16"/>
  <c r="G134" i="16"/>
  <c r="G121" i="16"/>
  <c r="E122" i="16"/>
  <c r="F122" i="16"/>
  <c r="G122" i="16"/>
  <c r="E120" i="16"/>
  <c r="E126" i="16"/>
  <c r="F120" i="16"/>
  <c r="F123" i="16"/>
  <c r="F126" i="16"/>
  <c r="G124" i="16"/>
  <c r="E119" i="16"/>
  <c r="E125" i="16"/>
  <c r="F119" i="16"/>
  <c r="F125" i="16"/>
  <c r="G119" i="16"/>
  <c r="G125" i="16"/>
  <c r="E123" i="16"/>
  <c r="G120" i="16"/>
  <c r="G123" i="16"/>
  <c r="F109" i="16"/>
  <c r="G109" i="16"/>
  <c r="E107" i="16"/>
  <c r="E110" i="16"/>
  <c r="F107" i="16"/>
  <c r="F110" i="16"/>
  <c r="G107" i="16"/>
  <c r="G110" i="16"/>
  <c r="E108" i="16"/>
  <c r="E114" i="16"/>
  <c r="F108" i="16"/>
  <c r="F111" i="16"/>
  <c r="F114" i="16"/>
  <c r="E109" i="16"/>
  <c r="E112" i="16"/>
  <c r="F112" i="16"/>
  <c r="G112" i="16"/>
  <c r="E113" i="16"/>
  <c r="F113" i="16"/>
  <c r="G113" i="16"/>
  <c r="E111" i="16"/>
  <c r="G108" i="16"/>
  <c r="G111" i="16"/>
  <c r="G98" i="16"/>
  <c r="G101" i="16"/>
  <c r="E96" i="16"/>
  <c r="E99" i="16"/>
  <c r="E102" i="16"/>
  <c r="F96" i="16"/>
  <c r="F99" i="16"/>
  <c r="F102" i="16"/>
  <c r="G96" i="16"/>
  <c r="G102" i="16"/>
  <c r="E97" i="16"/>
  <c r="E100" i="16"/>
  <c r="E103" i="16"/>
  <c r="G99" i="16"/>
  <c r="F97" i="16"/>
  <c r="F100" i="16"/>
  <c r="F103" i="16"/>
  <c r="G97" i="16"/>
  <c r="G100" i="16"/>
  <c r="G90" i="16"/>
  <c r="G87" i="16"/>
  <c r="E85" i="16"/>
  <c r="E88" i="16"/>
  <c r="E91" i="16"/>
  <c r="G85" i="16"/>
  <c r="F88" i="16"/>
  <c r="G91" i="16"/>
  <c r="E86" i="16"/>
  <c r="E89" i="16"/>
  <c r="E92" i="16"/>
  <c r="G88" i="16"/>
  <c r="F86" i="16"/>
  <c r="F89" i="16"/>
  <c r="F92" i="16"/>
  <c r="G86" i="16"/>
  <c r="G89" i="16"/>
  <c r="E80" i="16"/>
  <c r="F74" i="16"/>
  <c r="G74" i="16"/>
  <c r="G77" i="16"/>
  <c r="G80" i="16"/>
  <c r="G79" i="16"/>
  <c r="E77" i="16"/>
  <c r="F77" i="16"/>
  <c r="E81" i="16"/>
  <c r="F75" i="16"/>
  <c r="F78" i="16"/>
  <c r="F81" i="16"/>
  <c r="G76" i="16"/>
  <c r="E74" i="16"/>
  <c r="F80" i="16"/>
  <c r="E75" i="16"/>
  <c r="E78" i="16"/>
  <c r="G75" i="16"/>
  <c r="G78" i="16"/>
  <c r="G65" i="16"/>
  <c r="G68" i="16"/>
  <c r="E63" i="16"/>
  <c r="E66" i="16"/>
  <c r="E69" i="16"/>
  <c r="D69" i="16" s="1"/>
  <c r="E64" i="16"/>
  <c r="E67" i="16"/>
  <c r="E70" i="16"/>
  <c r="F64" i="16"/>
  <c r="F67" i="16"/>
  <c r="F70" i="16"/>
  <c r="G64" i="16"/>
  <c r="G67" i="16"/>
  <c r="E51" i="16"/>
  <c r="F51" i="16"/>
  <c r="G51" i="16"/>
  <c r="G54" i="16"/>
  <c r="G57" i="16"/>
  <c r="G56" i="16"/>
  <c r="E57" i="16"/>
  <c r="F57" i="16"/>
  <c r="E52" i="16"/>
  <c r="E58" i="16"/>
  <c r="F52" i="16"/>
  <c r="F55" i="16"/>
  <c r="F58" i="16"/>
  <c r="G53" i="16"/>
  <c r="E54" i="16"/>
  <c r="F54" i="16"/>
  <c r="E55" i="16"/>
  <c r="G52" i="16"/>
  <c r="G55" i="16"/>
  <c r="F43" i="16"/>
  <c r="G43" i="16"/>
  <c r="E41" i="16"/>
  <c r="E44" i="16"/>
  <c r="E47" i="16"/>
  <c r="G42" i="16"/>
  <c r="G45" i="16"/>
  <c r="E40" i="16"/>
  <c r="E43" i="16"/>
  <c r="E46" i="16"/>
  <c r="F40" i="16"/>
  <c r="F46" i="16"/>
  <c r="G40" i="16"/>
  <c r="G46" i="16"/>
  <c r="F41" i="16"/>
  <c r="F44" i="16"/>
  <c r="F47" i="16"/>
  <c r="G41" i="16"/>
  <c r="G44" i="16"/>
  <c r="G31" i="16"/>
  <c r="F32" i="16"/>
  <c r="E36" i="16"/>
  <c r="F30" i="16"/>
  <c r="F33" i="16"/>
  <c r="F36" i="16"/>
  <c r="G34" i="16"/>
  <c r="E29" i="16"/>
  <c r="E32" i="16"/>
  <c r="E35" i="16"/>
  <c r="F29" i="16"/>
  <c r="F35" i="16"/>
  <c r="G29" i="16"/>
  <c r="G32" i="16"/>
  <c r="G35" i="16"/>
  <c r="E30" i="16"/>
  <c r="E33" i="16"/>
  <c r="G30" i="16"/>
  <c r="G33" i="16"/>
  <c r="E20" i="16"/>
  <c r="E23" i="16"/>
  <c r="F20" i="16"/>
  <c r="F23" i="16"/>
  <c r="G20" i="16"/>
  <c r="G23" i="16"/>
  <c r="E18" i="16"/>
  <c r="E21" i="16"/>
  <c r="E24" i="16"/>
  <c r="F18" i="16"/>
  <c r="F21" i="16"/>
  <c r="F24" i="16"/>
  <c r="G18" i="16"/>
  <c r="G21" i="16"/>
  <c r="G24" i="16"/>
  <c r="E19" i="16"/>
  <c r="E22" i="16"/>
  <c r="E25" i="16"/>
  <c r="F19" i="16"/>
  <c r="F22" i="16"/>
  <c r="F25" i="16"/>
  <c r="G19" i="16"/>
  <c r="G22" i="16"/>
  <c r="AL3" i="11" a="1"/>
  <c r="AL3" i="11" s="1"/>
  <c r="AL4" i="11" a="1"/>
  <c r="AL4" i="11" s="1"/>
  <c r="AL5" i="11" a="1"/>
  <c r="AL5" i="11" s="1"/>
  <c r="AL6" i="11" a="1"/>
  <c r="AL6" i="11" s="1"/>
  <c r="AL7" i="11" a="1"/>
  <c r="AL7" i="11" s="1"/>
  <c r="AL8" i="11" a="1"/>
  <c r="AL8" i="11" s="1"/>
  <c r="AL9" i="11" a="1"/>
  <c r="AL9" i="11" s="1"/>
  <c r="AL10" i="11" a="1"/>
  <c r="AL10" i="11" s="1"/>
  <c r="AL11" i="11" a="1"/>
  <c r="AL11" i="11" s="1"/>
  <c r="AL12" i="11" a="1"/>
  <c r="AL12" i="11" s="1"/>
  <c r="AL13" i="11" a="1"/>
  <c r="AL13" i="11" s="1"/>
  <c r="AL14" i="11" a="1"/>
  <c r="AL14" i="11" s="1"/>
  <c r="AL15" i="11" a="1"/>
  <c r="AL15" i="11" s="1"/>
  <c r="AL16" i="11" a="1"/>
  <c r="AL16" i="11" s="1"/>
  <c r="AL17" i="11" a="1"/>
  <c r="AL17" i="11" s="1"/>
  <c r="AL18" i="11" a="1"/>
  <c r="AL18" i="11" s="1"/>
  <c r="AL19" i="11" a="1"/>
  <c r="AL19" i="11" s="1"/>
  <c r="AL20" i="11" a="1"/>
  <c r="AL20" i="11" s="1"/>
  <c r="AL21" i="11" a="1"/>
  <c r="AL21" i="11" s="1"/>
  <c r="AL22" i="11" a="1"/>
  <c r="AL22" i="11" s="1"/>
  <c r="AL23" i="11" a="1"/>
  <c r="AL23" i="11" s="1"/>
  <c r="AL24" i="11" a="1"/>
  <c r="AL24" i="11" s="1"/>
  <c r="AL25" i="11" a="1"/>
  <c r="AL25" i="11" s="1"/>
  <c r="AL26" i="11" a="1"/>
  <c r="AL26" i="11" s="1"/>
  <c r="AL27" i="11" a="1"/>
  <c r="AL27" i="11" s="1"/>
  <c r="AL28" i="11" a="1"/>
  <c r="AL28" i="11" s="1"/>
  <c r="AL29" i="11" a="1"/>
  <c r="AL29" i="11" s="1"/>
  <c r="AL30" i="11" a="1"/>
  <c r="AL30" i="11" s="1"/>
  <c r="AL31" i="11" a="1"/>
  <c r="AL31" i="11" s="1"/>
  <c r="AL32" i="11" a="1"/>
  <c r="AL32" i="11" s="1"/>
  <c r="AL33" i="11" a="1"/>
  <c r="AL33" i="11" s="1"/>
  <c r="AL34" i="11" a="1"/>
  <c r="AL34" i="11" s="1"/>
  <c r="AL35" i="11" a="1"/>
  <c r="AL35" i="11" s="1"/>
  <c r="AL36" i="11" a="1"/>
  <c r="AL36" i="11" s="1"/>
  <c r="AL37" i="11" a="1"/>
  <c r="AL37" i="11" s="1"/>
  <c r="AL38" i="11" a="1"/>
  <c r="AL38" i="11" s="1"/>
  <c r="AL39" i="11" a="1"/>
  <c r="AL39" i="11" s="1"/>
  <c r="AL40" i="11" a="1"/>
  <c r="AL40" i="11" s="1"/>
  <c r="AL41" i="11" a="1"/>
  <c r="AL41" i="11" s="1"/>
  <c r="AL42" i="11" a="1"/>
  <c r="AL42" i="11" s="1"/>
  <c r="AL43" i="11" a="1"/>
  <c r="AL43" i="11" s="1"/>
  <c r="AL44" i="11" a="1"/>
  <c r="AL44" i="11" s="1"/>
  <c r="AL45" i="11" a="1"/>
  <c r="AL45" i="11" s="1"/>
  <c r="AL46" i="11" a="1"/>
  <c r="AL46" i="11" s="1"/>
  <c r="AL47" i="11" a="1"/>
  <c r="AL47" i="11" s="1"/>
  <c r="AL48" i="11" a="1"/>
  <c r="AL48" i="11" s="1"/>
  <c r="AL49" i="11" a="1"/>
  <c r="AL49" i="11" s="1"/>
  <c r="AL50" i="11" a="1"/>
  <c r="AL50" i="11" s="1"/>
  <c r="AL51" i="11" a="1"/>
  <c r="AL51" i="11" s="1"/>
  <c r="AL52" i="11" a="1"/>
  <c r="AL52" i="11" s="1"/>
  <c r="AL53" i="11" a="1"/>
  <c r="AL53" i="11" s="1"/>
  <c r="AL54" i="11" a="1"/>
  <c r="AL54" i="11" s="1"/>
  <c r="AL55" i="11" a="1"/>
  <c r="AL55" i="11" s="1"/>
  <c r="AL56" i="11" a="1"/>
  <c r="AL56" i="11" s="1"/>
  <c r="AL57" i="11" a="1"/>
  <c r="AL57" i="11" s="1"/>
  <c r="AL58" i="11" a="1"/>
  <c r="AL58" i="11" s="1"/>
  <c r="AL59" i="11" a="1"/>
  <c r="AL59" i="11" s="1"/>
  <c r="AL60" i="11" a="1"/>
  <c r="AL60" i="11" s="1"/>
  <c r="AL61" i="11" a="1"/>
  <c r="AL61" i="11" s="1"/>
  <c r="AL62" i="11" a="1"/>
  <c r="AL62" i="11" s="1"/>
  <c r="AL63" i="11" a="1"/>
  <c r="AL63" i="11" s="1"/>
  <c r="AL64" i="11" a="1"/>
  <c r="AL64" i="11" s="1"/>
  <c r="AL65" i="11" a="1"/>
  <c r="AL65" i="11" s="1"/>
  <c r="AL66" i="11" a="1"/>
  <c r="AL66" i="11" s="1"/>
  <c r="AL67" i="11" a="1"/>
  <c r="AL67" i="11" s="1"/>
  <c r="AL68" i="11" a="1"/>
  <c r="AL68" i="11" s="1"/>
  <c r="AL69" i="11" a="1"/>
  <c r="AL69" i="11" s="1"/>
  <c r="AL70" i="11" a="1"/>
  <c r="AL70" i="11" s="1"/>
  <c r="AL71" i="11" a="1"/>
  <c r="AL71" i="11" s="1"/>
  <c r="AL72" i="11" a="1"/>
  <c r="AL72" i="11" s="1"/>
  <c r="AL73" i="11" a="1"/>
  <c r="AL73" i="11" s="1"/>
  <c r="AL74" i="11" a="1"/>
  <c r="AL74" i="11" s="1"/>
  <c r="AL75" i="11" a="1"/>
  <c r="AL75" i="11" s="1"/>
  <c r="AL76" i="11" a="1"/>
  <c r="AL76" i="11" s="1"/>
  <c r="AL77" i="11" a="1"/>
  <c r="AL77" i="11" s="1"/>
  <c r="AL78" i="11" a="1"/>
  <c r="AL78" i="11" s="1"/>
  <c r="AL79" i="11" a="1"/>
  <c r="AL79" i="11" s="1"/>
  <c r="AL80" i="11" a="1"/>
  <c r="AL80" i="11" s="1"/>
  <c r="AL81" i="11" a="1"/>
  <c r="AL81" i="11" s="1"/>
  <c r="AL82" i="11" a="1"/>
  <c r="AL82" i="11" s="1"/>
  <c r="AL83" i="11" a="1"/>
  <c r="AL83" i="11" s="1"/>
  <c r="AL84" i="11" a="1"/>
  <c r="AL84" i="11" s="1"/>
  <c r="AL85" i="11" a="1"/>
  <c r="AL85" i="11" s="1"/>
  <c r="AL86" i="11" a="1"/>
  <c r="AL86" i="11" s="1"/>
  <c r="AL87" i="11" a="1"/>
  <c r="AL87" i="11" s="1"/>
  <c r="AL88" i="11" a="1"/>
  <c r="AL88" i="11" s="1"/>
  <c r="AL89" i="11" a="1"/>
  <c r="AL89" i="11" s="1"/>
  <c r="AL90" i="11" a="1"/>
  <c r="AL90" i="11" s="1"/>
  <c r="AL91" i="11" a="1"/>
  <c r="AL91" i="11" s="1"/>
  <c r="AL92" i="11" a="1"/>
  <c r="AL92" i="11" s="1"/>
  <c r="AL93" i="11" a="1"/>
  <c r="AL93" i="11" s="1"/>
  <c r="AL94" i="11" a="1"/>
  <c r="AL94" i="11" s="1"/>
  <c r="AL95" i="11" a="1"/>
  <c r="AL95" i="11" s="1"/>
  <c r="AL96" i="11" a="1"/>
  <c r="AL96" i="11" s="1"/>
  <c r="AL97" i="11" a="1"/>
  <c r="AL97" i="11" s="1"/>
  <c r="AL98" i="11" a="1"/>
  <c r="AL98" i="11" s="1"/>
  <c r="AL99" i="11" a="1"/>
  <c r="AL99" i="11" s="1"/>
  <c r="AL100" i="11" a="1"/>
  <c r="AL100" i="11" s="1"/>
  <c r="AL101" i="11" a="1"/>
  <c r="AL101" i="11" s="1"/>
  <c r="AL102" i="11" a="1"/>
  <c r="AL102" i="11" s="1"/>
  <c r="AL103" i="11" a="1"/>
  <c r="AL103" i="11" s="1"/>
  <c r="AL104" i="11" a="1"/>
  <c r="AL104" i="11" s="1"/>
  <c r="AL105" i="11" a="1"/>
  <c r="AL105" i="11" s="1"/>
  <c r="AL106" i="11" a="1"/>
  <c r="AL106" i="11" s="1"/>
  <c r="AL107" i="11" a="1"/>
  <c r="AL107" i="11" s="1"/>
  <c r="AL108" i="11" a="1"/>
  <c r="AL108" i="11" s="1"/>
  <c r="AL109" i="11" a="1"/>
  <c r="AL109" i="11" s="1"/>
  <c r="AL110" i="11" a="1"/>
  <c r="AL110" i="11" s="1"/>
  <c r="AL111" i="11" a="1"/>
  <c r="AL111" i="11" s="1"/>
  <c r="AL112" i="11" a="1"/>
  <c r="AL112" i="11" s="1"/>
  <c r="AL113" i="11" a="1"/>
  <c r="AL113" i="11" s="1"/>
  <c r="AL114" i="11" a="1"/>
  <c r="AL114" i="11" s="1"/>
  <c r="AL115" i="11" a="1"/>
  <c r="AL115" i="11" s="1"/>
  <c r="AL116" i="11" a="1"/>
  <c r="AL116" i="11" s="1"/>
  <c r="AL117" i="11" a="1"/>
  <c r="AL117" i="11" s="1"/>
  <c r="AL118" i="11" a="1"/>
  <c r="AL118" i="11" s="1"/>
  <c r="AL119" i="11" a="1"/>
  <c r="AL119" i="11" s="1"/>
  <c r="AL120" i="11" a="1"/>
  <c r="AL120" i="11" s="1"/>
  <c r="AL121" i="11" a="1"/>
  <c r="AL121" i="11" s="1"/>
  <c r="AL122" i="11" a="1"/>
  <c r="AL122" i="11" s="1"/>
  <c r="AL123" i="11" a="1"/>
  <c r="AL123" i="11" s="1"/>
  <c r="AL124" i="11" a="1"/>
  <c r="AL124" i="11" s="1"/>
  <c r="AL125" i="11" a="1"/>
  <c r="AL125" i="11" s="1"/>
  <c r="AL126" i="11" a="1"/>
  <c r="AL126" i="11" s="1"/>
  <c r="AL127" i="11" a="1"/>
  <c r="AL127" i="11" s="1"/>
  <c r="AL128" i="11" a="1"/>
  <c r="AL128" i="11" s="1"/>
  <c r="AL129" i="11" a="1"/>
  <c r="AL129" i="11" s="1"/>
  <c r="AL130" i="11" a="1"/>
  <c r="AL130" i="11" s="1"/>
  <c r="AL131" i="11" a="1"/>
  <c r="AL131" i="11" s="1"/>
  <c r="AL132" i="11" a="1"/>
  <c r="AL132" i="11" s="1"/>
  <c r="AL133" i="11" a="1"/>
  <c r="AL133" i="11" s="1"/>
  <c r="AL134" i="11" a="1"/>
  <c r="AL134" i="11" s="1"/>
  <c r="AL135" i="11" a="1"/>
  <c r="AL135" i="11" s="1"/>
  <c r="AL136" i="11" a="1"/>
  <c r="AL136" i="11" s="1"/>
  <c r="AL137" i="11" a="1"/>
  <c r="AL137" i="11" s="1"/>
  <c r="AL138" i="11" a="1"/>
  <c r="AL138" i="11" s="1"/>
  <c r="AL139" i="11" a="1"/>
  <c r="AL139" i="11" s="1"/>
  <c r="AL140" i="11" a="1"/>
  <c r="AL140" i="11" s="1"/>
  <c r="AL141" i="11" a="1"/>
  <c r="AL141" i="11" s="1"/>
  <c r="AL142" i="11" a="1"/>
  <c r="AL142" i="11" s="1"/>
  <c r="AL143" i="11" a="1"/>
  <c r="AL143" i="11" s="1"/>
  <c r="AL144" i="11" a="1"/>
  <c r="AL144" i="11" s="1"/>
  <c r="AL145" i="11" a="1"/>
  <c r="AL145" i="11" s="1"/>
  <c r="AL146" i="11" a="1"/>
  <c r="AL146" i="11" s="1"/>
  <c r="AL147" i="11" a="1"/>
  <c r="AL147" i="11" s="1"/>
  <c r="AL148" i="11" a="1"/>
  <c r="AL148" i="11" s="1"/>
  <c r="AL149" i="11" a="1"/>
  <c r="AL149" i="11" s="1"/>
  <c r="AL150" i="11" a="1"/>
  <c r="AL150" i="11" s="1"/>
  <c r="AL151" i="11" a="1"/>
  <c r="AL151" i="11" s="1"/>
  <c r="AL152" i="11" a="1"/>
  <c r="AL152" i="11" s="1"/>
  <c r="AL153" i="11" a="1"/>
  <c r="AL153" i="11" s="1"/>
  <c r="AL154" i="11" a="1"/>
  <c r="AL154" i="11" s="1"/>
  <c r="AL155" i="11" a="1"/>
  <c r="AL155" i="11" s="1"/>
  <c r="AL156" i="11" a="1"/>
  <c r="AL156" i="11" s="1"/>
  <c r="AL157" i="11" a="1"/>
  <c r="AL157" i="11" s="1"/>
  <c r="AL158" i="11" a="1"/>
  <c r="AL158" i="11" s="1"/>
  <c r="AL159" i="11" a="1"/>
  <c r="AL159" i="11" s="1"/>
  <c r="AL160" i="11" a="1"/>
  <c r="AL160" i="11" s="1"/>
  <c r="AL161" i="11" a="1"/>
  <c r="AL161" i="11" s="1"/>
  <c r="AL162" i="11" a="1"/>
  <c r="AL162" i="11" s="1"/>
  <c r="AL163" i="11" a="1"/>
  <c r="AL163" i="11" s="1"/>
  <c r="AL164" i="11" a="1"/>
  <c r="AL164" i="11" s="1"/>
  <c r="AL165" i="11" a="1"/>
  <c r="AL165" i="11" s="1"/>
  <c r="AL166" i="11" a="1"/>
  <c r="AL166" i="11" s="1"/>
  <c r="AL167" i="11" a="1"/>
  <c r="AL167" i="11" s="1"/>
  <c r="AL168" i="11" a="1"/>
  <c r="AL168" i="11" s="1"/>
  <c r="AL169" i="11" a="1"/>
  <c r="AL169" i="11" s="1"/>
  <c r="AL170" i="11" a="1"/>
  <c r="AL170" i="11" s="1"/>
  <c r="AL171" i="11" a="1"/>
  <c r="AL171" i="11" s="1"/>
  <c r="AL172" i="11" a="1"/>
  <c r="AL172" i="11" s="1"/>
  <c r="AL173" i="11" a="1"/>
  <c r="AL173" i="11" s="1"/>
  <c r="AL174" i="11" a="1"/>
  <c r="AL174" i="11" s="1"/>
  <c r="AL175" i="11" a="1"/>
  <c r="AL175" i="11" s="1"/>
  <c r="AL176" i="11" a="1"/>
  <c r="AL176" i="11" s="1"/>
  <c r="AL177" i="11" a="1"/>
  <c r="AL177" i="11" s="1"/>
  <c r="AL178" i="11" a="1"/>
  <c r="AL178" i="11" s="1"/>
  <c r="AL179" i="11" a="1"/>
  <c r="AL179" i="11" s="1"/>
  <c r="AL180" i="11" a="1"/>
  <c r="AL180" i="11" s="1"/>
  <c r="AL181" i="11" a="1"/>
  <c r="AL181" i="11" s="1"/>
  <c r="AL182" i="11" a="1"/>
  <c r="AL182" i="11" s="1"/>
  <c r="AL183" i="11" a="1"/>
  <c r="AL183" i="11" s="1"/>
  <c r="AL184" i="11" a="1"/>
  <c r="AL184" i="11" s="1"/>
  <c r="AL185" i="11" a="1"/>
  <c r="AL185" i="11" s="1"/>
  <c r="AL186" i="11" a="1"/>
  <c r="AL186" i="11" s="1"/>
  <c r="AL187" i="11" a="1"/>
  <c r="AL187" i="11" s="1"/>
  <c r="AL188" i="11" a="1"/>
  <c r="AL188" i="11" s="1"/>
  <c r="AL189" i="11" a="1"/>
  <c r="AL189" i="11" s="1"/>
  <c r="AL190" i="11" a="1"/>
  <c r="AL190" i="11" s="1"/>
  <c r="AL191" i="11" a="1"/>
  <c r="AL191" i="11" s="1"/>
  <c r="AL192" i="11" a="1"/>
  <c r="AL192" i="11" s="1"/>
  <c r="AL193" i="11" a="1"/>
  <c r="AL193" i="11" s="1"/>
  <c r="AL194" i="11" a="1"/>
  <c r="AL194" i="11" s="1"/>
  <c r="AL195" i="11" a="1"/>
  <c r="AL195" i="11" s="1"/>
  <c r="AL196" i="11" a="1"/>
  <c r="AL196" i="11" s="1"/>
  <c r="AL197" i="11" a="1"/>
  <c r="AL197" i="11" s="1"/>
  <c r="AL198" i="11" a="1"/>
  <c r="AL198" i="11" s="1"/>
  <c r="AL199" i="11" a="1"/>
  <c r="AL199" i="11" s="1"/>
  <c r="AL200" i="11" a="1"/>
  <c r="AL200" i="11" s="1"/>
  <c r="AL201" i="11" a="1"/>
  <c r="AL201" i="11" s="1"/>
  <c r="AL202" i="11" a="1"/>
  <c r="AL202" i="11" s="1"/>
  <c r="AL203" i="11" a="1"/>
  <c r="AL203" i="11" s="1"/>
  <c r="AL204" i="11" a="1"/>
  <c r="AL204" i="11" s="1"/>
  <c r="AL205" i="11" a="1"/>
  <c r="AL205" i="11" s="1"/>
  <c r="AL206" i="11" a="1"/>
  <c r="AL206" i="11" s="1"/>
  <c r="AL207" i="11" a="1"/>
  <c r="AL207" i="11" s="1"/>
  <c r="AL208" i="11" a="1"/>
  <c r="AL208" i="11" s="1"/>
  <c r="AL209" i="11" a="1"/>
  <c r="AL209" i="11" s="1"/>
  <c r="AL210" i="11" a="1"/>
  <c r="AL210" i="11" s="1"/>
  <c r="AL211" i="11" a="1"/>
  <c r="AL211" i="11" s="1"/>
  <c r="AL212" i="11" a="1"/>
  <c r="AL212" i="11" s="1"/>
  <c r="AL213" i="11" a="1"/>
  <c r="AL213" i="11" s="1"/>
  <c r="AL214" i="11" a="1"/>
  <c r="AL214" i="11" s="1"/>
  <c r="AL215" i="11" a="1"/>
  <c r="AL215" i="11" s="1"/>
  <c r="AL216" i="11" a="1"/>
  <c r="AL216" i="11" s="1"/>
  <c r="AL217" i="11" a="1"/>
  <c r="AL217" i="11" s="1"/>
  <c r="AL218" i="11" a="1"/>
  <c r="AL218" i="11" s="1"/>
  <c r="AL219" i="11" a="1"/>
  <c r="AL219" i="11" s="1"/>
  <c r="AL220" i="11" a="1"/>
  <c r="AL220" i="11" s="1"/>
  <c r="AL221" i="11" a="1"/>
  <c r="AL221" i="11" s="1"/>
  <c r="AL222" i="11" a="1"/>
  <c r="AL222" i="11" s="1"/>
  <c r="AL223" i="11" a="1"/>
  <c r="AL223" i="11" s="1"/>
  <c r="AL224" i="11" a="1"/>
  <c r="AL224" i="11" s="1"/>
  <c r="AL225" i="11" a="1"/>
  <c r="AL225" i="11" s="1"/>
  <c r="AL226" i="11" a="1"/>
  <c r="AL226" i="11" s="1"/>
  <c r="AL227" i="11" a="1"/>
  <c r="AL227" i="11" s="1"/>
  <c r="AL228" i="11" a="1"/>
  <c r="AL228" i="11" s="1"/>
  <c r="AL229" i="11" a="1"/>
  <c r="AL229" i="11" s="1"/>
  <c r="AL230" i="11" a="1"/>
  <c r="AL230" i="11" s="1"/>
  <c r="AL231" i="11" a="1"/>
  <c r="AL231" i="11" s="1"/>
  <c r="AL232" i="11" a="1"/>
  <c r="AL232" i="11" s="1"/>
  <c r="AL233" i="11" a="1"/>
  <c r="AL233" i="11" s="1"/>
  <c r="AL234" i="11" a="1"/>
  <c r="AL234" i="11" s="1"/>
  <c r="AL235" i="11" a="1"/>
  <c r="AL235" i="11" s="1"/>
  <c r="AL236" i="11" a="1"/>
  <c r="AL236" i="11" s="1"/>
  <c r="AL237" i="11" a="1"/>
  <c r="AL237" i="11" s="1"/>
  <c r="AL238" i="11" a="1"/>
  <c r="AL238" i="11" s="1"/>
  <c r="AL239" i="11" a="1"/>
  <c r="AL239" i="11" s="1"/>
  <c r="AL240" i="11" a="1"/>
  <c r="AL240" i="11" s="1"/>
  <c r="AL241" i="11" a="1"/>
  <c r="AL241" i="11" s="1"/>
  <c r="AL242" i="11" a="1"/>
  <c r="AL242" i="11" s="1"/>
  <c r="AL243" i="11" a="1"/>
  <c r="AL243" i="11" s="1"/>
  <c r="AL244" i="11" a="1"/>
  <c r="AL244" i="11" s="1"/>
  <c r="AL245" i="11" a="1"/>
  <c r="AL245" i="11" s="1"/>
  <c r="AL246" i="11" a="1"/>
  <c r="AL246" i="11" s="1"/>
  <c r="AL247" i="11" a="1"/>
  <c r="AL247" i="11" s="1"/>
  <c r="AL248" i="11" a="1"/>
  <c r="AL248" i="11" s="1"/>
  <c r="AL249" i="11" a="1"/>
  <c r="AL249" i="11" s="1"/>
  <c r="AL250" i="11" a="1"/>
  <c r="AL250" i="11" s="1"/>
  <c r="AL251" i="11" a="1"/>
  <c r="AL251" i="11" s="1"/>
  <c r="AL252" i="11" a="1"/>
  <c r="AL252" i="11" s="1"/>
  <c r="AL253" i="11" a="1"/>
  <c r="AL253" i="11" s="1"/>
  <c r="AL254" i="11" a="1"/>
  <c r="AL254" i="11" s="1"/>
  <c r="AL255" i="11" a="1"/>
  <c r="AL255" i="11" s="1"/>
  <c r="AL256" i="11" a="1"/>
  <c r="AL256" i="11" s="1"/>
  <c r="AL257" i="11" a="1"/>
  <c r="AL257" i="11" s="1"/>
  <c r="AL258" i="11" a="1"/>
  <c r="AL258" i="11" s="1"/>
  <c r="AL259" i="11" a="1"/>
  <c r="AL259" i="11" s="1"/>
  <c r="AL260" i="11" a="1"/>
  <c r="AL260" i="11" s="1"/>
  <c r="AL261" i="11" a="1"/>
  <c r="AL261" i="11" s="1"/>
  <c r="AL262" i="11" a="1"/>
  <c r="AL262" i="11" s="1"/>
  <c r="AL263" i="11" a="1"/>
  <c r="AL263" i="11" s="1"/>
  <c r="AL264" i="11" a="1"/>
  <c r="AL264" i="11" s="1"/>
  <c r="AL265" i="11" a="1"/>
  <c r="AL265" i="11" s="1"/>
  <c r="AL266" i="11" a="1"/>
  <c r="AL266" i="11" s="1"/>
  <c r="AL267" i="11" a="1"/>
  <c r="AL267" i="11" s="1"/>
  <c r="AL268" i="11" a="1"/>
  <c r="AL268" i="11" s="1"/>
  <c r="AL269" i="11" a="1"/>
  <c r="AL269" i="11" s="1"/>
  <c r="AL270" i="11" a="1"/>
  <c r="AL270" i="11" s="1"/>
  <c r="AL271" i="11" a="1"/>
  <c r="AL271" i="11" s="1"/>
  <c r="AL272" i="11" a="1"/>
  <c r="AL272" i="11" s="1"/>
  <c r="AL273" i="11" a="1"/>
  <c r="AL273" i="11" s="1"/>
  <c r="AL274" i="11" a="1"/>
  <c r="AL274" i="11" s="1"/>
  <c r="AL275" i="11" a="1"/>
  <c r="AL275" i="11" s="1"/>
  <c r="AL276" i="11" a="1"/>
  <c r="AL276" i="11" s="1"/>
  <c r="AL277" i="11" a="1"/>
  <c r="AL277" i="11" s="1"/>
  <c r="AL278" i="11" a="1"/>
  <c r="AL278" i="11" s="1"/>
  <c r="AL279" i="11" a="1"/>
  <c r="AL279" i="11" s="1"/>
  <c r="AL280" i="11" a="1"/>
  <c r="AL280" i="11" s="1"/>
  <c r="AL281" i="11" a="1"/>
  <c r="AL281" i="11" s="1"/>
  <c r="AL282" i="11" a="1"/>
  <c r="AL282" i="11" s="1"/>
  <c r="AL283" i="11" a="1"/>
  <c r="AL283" i="11" s="1"/>
  <c r="AL284" i="11" a="1"/>
  <c r="AL284" i="11" s="1"/>
  <c r="AL285" i="11" a="1"/>
  <c r="AL285" i="11" s="1"/>
  <c r="AL286" i="11" a="1"/>
  <c r="AL286" i="11" s="1"/>
  <c r="AL287" i="11" a="1"/>
  <c r="AL287" i="11" s="1"/>
  <c r="AL288" i="11" a="1"/>
  <c r="AL288" i="11" s="1"/>
  <c r="AL289" i="11" a="1"/>
  <c r="AL289" i="11" s="1"/>
  <c r="AL290" i="11" a="1"/>
  <c r="AL290" i="11" s="1"/>
  <c r="AL291" i="11" a="1"/>
  <c r="AL291" i="11" s="1"/>
  <c r="AL292" i="11" a="1"/>
  <c r="AL292" i="11" s="1"/>
  <c r="AL293" i="11" a="1"/>
  <c r="AL293" i="11" s="1"/>
  <c r="AL294" i="11" a="1"/>
  <c r="AL294" i="11" s="1"/>
  <c r="AL295" i="11" a="1"/>
  <c r="AL295" i="11" s="1"/>
  <c r="AL296" i="11" a="1"/>
  <c r="AL296" i="11" s="1"/>
  <c r="AL297" i="11" a="1"/>
  <c r="AL297" i="11" s="1"/>
  <c r="AL298" i="11" a="1"/>
  <c r="AL298" i="11" s="1"/>
  <c r="AL299" i="11" a="1"/>
  <c r="AL299" i="11" s="1"/>
  <c r="AL300" i="11" a="1"/>
  <c r="AL300" i="11" s="1"/>
  <c r="AL301" i="11" a="1"/>
  <c r="AL301" i="11" s="1"/>
  <c r="AL302" i="11" a="1"/>
  <c r="AL302" i="11" s="1"/>
  <c r="AL303" i="11" a="1"/>
  <c r="AL303" i="11" s="1"/>
  <c r="AL304" i="11" a="1"/>
  <c r="AL304" i="11" s="1"/>
  <c r="AL305" i="11" a="1"/>
  <c r="AL305" i="11" s="1"/>
  <c r="AL306" i="11" a="1"/>
  <c r="AL306" i="11" s="1"/>
  <c r="AL307" i="11" a="1"/>
  <c r="AL307" i="11" s="1"/>
  <c r="AL308" i="11" a="1"/>
  <c r="AL308" i="11" s="1"/>
  <c r="AL309" i="11" a="1"/>
  <c r="AL309" i="11" s="1"/>
  <c r="AL310" i="11" a="1"/>
  <c r="AL310" i="11" s="1"/>
  <c r="AL311" i="11" a="1"/>
  <c r="AL311" i="11" s="1"/>
  <c r="AL312" i="11" a="1"/>
  <c r="AL312" i="11" s="1"/>
  <c r="AL313" i="11" a="1"/>
  <c r="AL313" i="11" s="1"/>
  <c r="AL314" i="11" a="1"/>
  <c r="AL314" i="11" s="1"/>
  <c r="AL315" i="11" a="1"/>
  <c r="AL315" i="11" s="1"/>
  <c r="AL316" i="11" a="1"/>
  <c r="AL316" i="11" s="1"/>
  <c r="AL317" i="11" a="1"/>
  <c r="AL317" i="11" s="1"/>
  <c r="AL318" i="11" a="1"/>
  <c r="AL318" i="11" s="1"/>
  <c r="AL319" i="11" a="1"/>
  <c r="AL319" i="11" s="1"/>
  <c r="AL320" i="11" a="1"/>
  <c r="AL320" i="11" s="1"/>
  <c r="AL321" i="11" a="1"/>
  <c r="AL321" i="11" s="1"/>
  <c r="AL322" i="11" a="1"/>
  <c r="AL322" i="11" s="1"/>
  <c r="AL323" i="11" a="1"/>
  <c r="AL323" i="11" s="1"/>
  <c r="AL324" i="11" a="1"/>
  <c r="AL324" i="11" s="1"/>
  <c r="AL325" i="11" a="1"/>
  <c r="AL325" i="11" s="1"/>
  <c r="AL326" i="11" a="1"/>
  <c r="AL326" i="11" s="1"/>
  <c r="AL327" i="11" a="1"/>
  <c r="AL327" i="11" s="1"/>
  <c r="AL328" i="11" a="1"/>
  <c r="AL328" i="11" s="1"/>
  <c r="AL329" i="11" a="1"/>
  <c r="AL329" i="11" s="1"/>
  <c r="AL330" i="11" a="1"/>
  <c r="AL330" i="11" s="1"/>
  <c r="AL331" i="11" a="1"/>
  <c r="AL331" i="11" s="1"/>
  <c r="AL332" i="11" a="1"/>
  <c r="AL332" i="11" s="1"/>
  <c r="AL333" i="11" a="1"/>
  <c r="AL333" i="11" s="1"/>
  <c r="AL334" i="11" a="1"/>
  <c r="AL334" i="11" s="1"/>
  <c r="AL335" i="11" a="1"/>
  <c r="AL335" i="11" s="1"/>
  <c r="AL336" i="11" a="1"/>
  <c r="AL336" i="11" s="1"/>
  <c r="AL337" i="11" a="1"/>
  <c r="AL337" i="11" s="1"/>
  <c r="AL338" i="11" a="1"/>
  <c r="AL338" i="11" s="1"/>
  <c r="AL339" i="11" a="1"/>
  <c r="AL339" i="11" s="1"/>
  <c r="AL340" i="11" a="1"/>
  <c r="AL340" i="11" s="1"/>
  <c r="AL341" i="11" a="1"/>
  <c r="AL341" i="11" s="1"/>
  <c r="AL342" i="11" a="1"/>
  <c r="AL342" i="11" s="1"/>
  <c r="AL343" i="11" a="1"/>
  <c r="AL343" i="11" s="1"/>
  <c r="AL344" i="11" a="1"/>
  <c r="AL344" i="11" s="1"/>
  <c r="AL345" i="11" a="1"/>
  <c r="AL345" i="11" s="1"/>
  <c r="AL346" i="11" a="1"/>
  <c r="AL346" i="11" s="1"/>
  <c r="AL347" i="11" a="1"/>
  <c r="AL347" i="11" s="1"/>
  <c r="AL348" i="11" a="1"/>
  <c r="AL348" i="11" s="1"/>
  <c r="AL349" i="11" a="1"/>
  <c r="AL349" i="11" s="1"/>
  <c r="AL350" i="11" a="1"/>
  <c r="AL350" i="11" s="1"/>
  <c r="AL351" i="11" a="1"/>
  <c r="AL351" i="11" s="1"/>
  <c r="AL352" i="11" a="1"/>
  <c r="AL352" i="11" s="1"/>
  <c r="AL353" i="11" a="1"/>
  <c r="AL353" i="11" s="1"/>
  <c r="AL354" i="11" a="1"/>
  <c r="AL354" i="11" s="1"/>
  <c r="AL355" i="11" a="1"/>
  <c r="AL355" i="11" s="1"/>
  <c r="AL356" i="11" a="1"/>
  <c r="AL356" i="11" s="1"/>
  <c r="AL357" i="11" a="1"/>
  <c r="AL357" i="11" s="1"/>
  <c r="AL358" i="11" a="1"/>
  <c r="AL358" i="11" s="1"/>
  <c r="AL359" i="11" a="1"/>
  <c r="AL359" i="11" s="1"/>
  <c r="AL360" i="11" a="1"/>
  <c r="AL360" i="11" s="1"/>
  <c r="AL361" i="11" a="1"/>
  <c r="AL361" i="11" s="1"/>
  <c r="AL362" i="11" a="1"/>
  <c r="AL362" i="11" s="1"/>
  <c r="AL363" i="11" a="1"/>
  <c r="AL363" i="11" s="1"/>
  <c r="AL364" i="11" a="1"/>
  <c r="AL364" i="11" s="1"/>
  <c r="AL365" i="11" a="1"/>
  <c r="AL365" i="11" s="1"/>
  <c r="AL366" i="11" a="1"/>
  <c r="AL366" i="11" s="1"/>
  <c r="AL367" i="11" a="1"/>
  <c r="AL367" i="11" s="1"/>
  <c r="AL368" i="11" a="1"/>
  <c r="AL368" i="11" s="1"/>
  <c r="AL369" i="11" a="1"/>
  <c r="AL369" i="11" s="1"/>
  <c r="AL370" i="11" a="1"/>
  <c r="AL370" i="11" s="1"/>
  <c r="AL371" i="11" a="1"/>
  <c r="AL371" i="11" s="1"/>
  <c r="AL372" i="11" a="1"/>
  <c r="AL372" i="11" s="1"/>
  <c r="AL373" i="11" a="1"/>
  <c r="AL373" i="11" s="1"/>
  <c r="AL374" i="11" a="1"/>
  <c r="AL374" i="11" s="1"/>
  <c r="AL375" i="11" a="1"/>
  <c r="AL375" i="11" s="1"/>
  <c r="AL376" i="11" a="1"/>
  <c r="AL376" i="11" s="1"/>
  <c r="AL377" i="11" a="1"/>
  <c r="AL377" i="11" s="1"/>
  <c r="AL378" i="11" a="1"/>
  <c r="AL378" i="11" s="1"/>
  <c r="AL379" i="11" a="1"/>
  <c r="AL379" i="11" s="1"/>
  <c r="AL380" i="11" a="1"/>
  <c r="AL380" i="11" s="1"/>
  <c r="AL381" i="11" a="1"/>
  <c r="AL381" i="11" s="1"/>
  <c r="AL382" i="11" a="1"/>
  <c r="AL382" i="11" s="1"/>
  <c r="AL383" i="11" a="1"/>
  <c r="AL383" i="11" s="1"/>
  <c r="AL384" i="11" a="1"/>
  <c r="AL384" i="11" s="1"/>
  <c r="AL385" i="11" a="1"/>
  <c r="AL385" i="11" s="1"/>
  <c r="AL386" i="11" a="1"/>
  <c r="AL386" i="11" s="1"/>
  <c r="AL387" i="11" a="1"/>
  <c r="AL387" i="11" s="1"/>
  <c r="AL388" i="11" a="1"/>
  <c r="AL388" i="11" s="1"/>
  <c r="AL389" i="11" a="1"/>
  <c r="AL389" i="11" s="1"/>
  <c r="AL390" i="11" a="1"/>
  <c r="AL390" i="11" s="1"/>
  <c r="AL391" i="11" a="1"/>
  <c r="AL391" i="11" s="1"/>
  <c r="AL392" i="11" a="1"/>
  <c r="AL392" i="11" s="1"/>
  <c r="AL393" i="11" a="1"/>
  <c r="AL393" i="11" s="1"/>
  <c r="AL394" i="11" a="1"/>
  <c r="AL394" i="11" s="1"/>
  <c r="AL395" i="11" a="1"/>
  <c r="AL395" i="11" s="1"/>
  <c r="AL396" i="11" a="1"/>
  <c r="AL396" i="11" s="1"/>
  <c r="AL397" i="11" a="1"/>
  <c r="AL397" i="11" s="1"/>
  <c r="AL398" i="11" a="1"/>
  <c r="AL398" i="11" s="1"/>
  <c r="AL399" i="11" a="1"/>
  <c r="AL399" i="11" s="1"/>
  <c r="AL400" i="11" a="1"/>
  <c r="AL400" i="11" s="1"/>
  <c r="AL401" i="11" a="1"/>
  <c r="AL401" i="11" s="1"/>
  <c r="AL402" i="11" a="1"/>
  <c r="AL402" i="11" s="1"/>
  <c r="AL403" i="11" a="1"/>
  <c r="AL403" i="11" s="1"/>
  <c r="AL404" i="11" a="1"/>
  <c r="AL404" i="11" s="1"/>
  <c r="AL405" i="11" a="1"/>
  <c r="AL405" i="11" s="1"/>
  <c r="AL406" i="11" a="1"/>
  <c r="AL406" i="11" s="1"/>
  <c r="AL407" i="11" a="1"/>
  <c r="AL407" i="11" s="1"/>
  <c r="AL408" i="11" a="1"/>
  <c r="AL408" i="11" s="1"/>
  <c r="AL409" i="11" a="1"/>
  <c r="AL409" i="11" s="1"/>
  <c r="AL410" i="11" a="1"/>
  <c r="AL410" i="11" s="1"/>
  <c r="AL411" i="11" a="1"/>
  <c r="AL411" i="11" s="1"/>
  <c r="AL412" i="11" a="1"/>
  <c r="AL412" i="11" s="1"/>
  <c r="AL413" i="11" a="1"/>
  <c r="AL413" i="11" s="1"/>
  <c r="AL414" i="11" a="1"/>
  <c r="AL414" i="11" s="1"/>
  <c r="AL415" i="11" a="1"/>
  <c r="AL415" i="11" s="1"/>
  <c r="AL416" i="11" a="1"/>
  <c r="AL416" i="11" s="1"/>
  <c r="AL417" i="11" a="1"/>
  <c r="AL417" i="11" s="1"/>
  <c r="AL418" i="11" a="1"/>
  <c r="AL418" i="11" s="1"/>
  <c r="AL419" i="11" a="1"/>
  <c r="AL419" i="11" s="1"/>
  <c r="AL420" i="11" a="1"/>
  <c r="AL420" i="11" s="1"/>
  <c r="AL421" i="11" a="1"/>
  <c r="AL421" i="11" s="1"/>
  <c r="AL422" i="11" a="1"/>
  <c r="AL422" i="11" s="1"/>
  <c r="AL423" i="11" a="1"/>
  <c r="AL423" i="11" s="1"/>
  <c r="AL424" i="11" a="1"/>
  <c r="AL424" i="11" s="1"/>
  <c r="AL425" i="11" a="1"/>
  <c r="AL425" i="11" s="1"/>
  <c r="AL426" i="11" a="1"/>
  <c r="AL426" i="11" s="1"/>
  <c r="AL427" i="11" a="1"/>
  <c r="AL427" i="11" s="1"/>
  <c r="AL428" i="11" a="1"/>
  <c r="AL428" i="11" s="1"/>
  <c r="AL429" i="11" a="1"/>
  <c r="AL429" i="11" s="1"/>
  <c r="AL430" i="11" a="1"/>
  <c r="AL430" i="11" s="1"/>
  <c r="AL431" i="11" a="1"/>
  <c r="AL431" i="11" s="1"/>
  <c r="AL432" i="11" a="1"/>
  <c r="AL432" i="11" s="1"/>
  <c r="AL433" i="11" a="1"/>
  <c r="AL433" i="11" s="1"/>
  <c r="AL434" i="11" a="1"/>
  <c r="AL434" i="11" s="1"/>
  <c r="AL435" i="11" a="1"/>
  <c r="AL435" i="11" s="1"/>
  <c r="AL436" i="11" a="1"/>
  <c r="AL436" i="11" s="1"/>
  <c r="AL437" i="11" a="1"/>
  <c r="AL437" i="11" s="1"/>
  <c r="AL438" i="11" a="1"/>
  <c r="AL438" i="11" s="1"/>
  <c r="AL439" i="11" a="1"/>
  <c r="AL439" i="11" s="1"/>
  <c r="AL440" i="11" a="1"/>
  <c r="AL440" i="11" s="1"/>
  <c r="AL441" i="11" a="1"/>
  <c r="AL441" i="11" s="1"/>
  <c r="AL442" i="11" a="1"/>
  <c r="AL442" i="11" s="1"/>
  <c r="AL443" i="11" a="1"/>
  <c r="AL443" i="11" s="1"/>
  <c r="AL444" i="11" a="1"/>
  <c r="AL444" i="11" s="1"/>
  <c r="AL445" i="11" a="1"/>
  <c r="AL445" i="11" s="1"/>
  <c r="AL446" i="11" a="1"/>
  <c r="AL446" i="11" s="1"/>
  <c r="AL447" i="11" a="1"/>
  <c r="AL447" i="11" s="1"/>
  <c r="AL448" i="11" a="1"/>
  <c r="AL448" i="11" s="1"/>
  <c r="AL449" i="11" a="1"/>
  <c r="AL449" i="11" s="1"/>
  <c r="AL450" i="11" a="1"/>
  <c r="AL450" i="11" s="1"/>
  <c r="AL451" i="11" a="1"/>
  <c r="AL451" i="11" s="1"/>
  <c r="AL452" i="11" a="1"/>
  <c r="AL452" i="11" s="1"/>
  <c r="AL453" i="11" a="1"/>
  <c r="AL453" i="11" s="1"/>
  <c r="AL454" i="11" a="1"/>
  <c r="AL454" i="11" s="1"/>
  <c r="AL455" i="11" a="1"/>
  <c r="AL455" i="11" s="1"/>
  <c r="AL456" i="11" a="1"/>
  <c r="AL456" i="11" s="1"/>
  <c r="AL457" i="11" a="1"/>
  <c r="AL457" i="11" s="1"/>
  <c r="AL458" i="11" a="1"/>
  <c r="AL458" i="11" s="1"/>
  <c r="AL459" i="11" a="1"/>
  <c r="AL459" i="11" s="1"/>
  <c r="AL460" i="11" a="1"/>
  <c r="AL460" i="11" s="1"/>
  <c r="AL461" i="11" a="1"/>
  <c r="AL461" i="11" s="1"/>
  <c r="AL462" i="11" a="1"/>
  <c r="AL462" i="11" s="1"/>
  <c r="AL463" i="11" a="1"/>
  <c r="AL463" i="11" s="1"/>
  <c r="AL464" i="11" a="1"/>
  <c r="AL464" i="11" s="1"/>
  <c r="AL465" i="11" a="1"/>
  <c r="AL465" i="11" s="1"/>
  <c r="AL466" i="11" a="1"/>
  <c r="AL466" i="11" s="1"/>
  <c r="AL467" i="11" a="1"/>
  <c r="AL467" i="11" s="1"/>
  <c r="AL468" i="11" a="1"/>
  <c r="AL468" i="11" s="1"/>
  <c r="AL469" i="11" a="1"/>
  <c r="AL469" i="11" s="1"/>
  <c r="AL470" i="11" a="1"/>
  <c r="AL470" i="11" s="1"/>
  <c r="AL471" i="11" a="1"/>
  <c r="AL471" i="11" s="1"/>
  <c r="AL472" i="11" a="1"/>
  <c r="AL472" i="11" s="1"/>
  <c r="AL473" i="11" a="1"/>
  <c r="AL473" i="11" s="1"/>
  <c r="AL474" i="11" a="1"/>
  <c r="AL474" i="11" s="1"/>
  <c r="AL475" i="11" a="1"/>
  <c r="AL475" i="11" s="1"/>
  <c r="AL476" i="11" a="1"/>
  <c r="AL476" i="11" s="1"/>
  <c r="AL477" i="11" a="1"/>
  <c r="AL477" i="11" s="1"/>
  <c r="AL478" i="11" a="1"/>
  <c r="AL478" i="11" s="1"/>
  <c r="AL479" i="11" a="1"/>
  <c r="AL479" i="11" s="1"/>
  <c r="AL480" i="11" a="1"/>
  <c r="AL480" i="11" s="1"/>
  <c r="AL481" i="11" a="1"/>
  <c r="AL481" i="11" s="1"/>
  <c r="AL482" i="11" a="1"/>
  <c r="AL482" i="11" s="1"/>
  <c r="AL483" i="11" a="1"/>
  <c r="AL483" i="11" s="1"/>
  <c r="AL484" i="11" a="1"/>
  <c r="AL484" i="11" s="1"/>
  <c r="AL485" i="11" a="1"/>
  <c r="AL485" i="11" s="1"/>
  <c r="AL486" i="11" a="1"/>
  <c r="AL486" i="11" s="1"/>
  <c r="AL487" i="11" a="1"/>
  <c r="AL487" i="11" s="1"/>
  <c r="AL488" i="11" a="1"/>
  <c r="AL488" i="11" s="1"/>
  <c r="AL489" i="11" a="1"/>
  <c r="AL489" i="11" s="1"/>
  <c r="AL490" i="11" a="1"/>
  <c r="AL490" i="11" s="1"/>
  <c r="AL491" i="11" a="1"/>
  <c r="AL491" i="11" s="1"/>
  <c r="AL492" i="11" a="1"/>
  <c r="AL492" i="11" s="1"/>
  <c r="AL493" i="11" a="1"/>
  <c r="AL493" i="11" s="1"/>
  <c r="AL494" i="11" a="1"/>
  <c r="AL494" i="11" s="1"/>
  <c r="AL495" i="11" a="1"/>
  <c r="AL495" i="11" s="1"/>
  <c r="AL496" i="11" a="1"/>
  <c r="AL496" i="11" s="1"/>
  <c r="AL497" i="11" a="1"/>
  <c r="AL497" i="11" s="1"/>
  <c r="AL498" i="11" a="1"/>
  <c r="AL498" i="11" s="1"/>
  <c r="AL499" i="11" a="1"/>
  <c r="AL499" i="11" s="1"/>
  <c r="AL500" i="11" a="1"/>
  <c r="AL500" i="11" s="1"/>
  <c r="AL501" i="11" a="1"/>
  <c r="AL501" i="11" s="1"/>
  <c r="AL502" i="11" a="1"/>
  <c r="AL502" i="11" s="1"/>
  <c r="AL503" i="11" a="1"/>
  <c r="AL503" i="11" s="1"/>
  <c r="AL504" i="11" a="1"/>
  <c r="AL504" i="11" s="1"/>
  <c r="AL505" i="11" a="1"/>
  <c r="AL505" i="11" s="1"/>
  <c r="AL506" i="11" a="1"/>
  <c r="AL506" i="11" s="1"/>
  <c r="AL507" i="11" a="1"/>
  <c r="AL507" i="11" s="1"/>
  <c r="AL508" i="11" a="1"/>
  <c r="AL508" i="11" s="1"/>
  <c r="AL509" i="11" a="1"/>
  <c r="AL509" i="11" s="1"/>
  <c r="AL510" i="11" a="1"/>
  <c r="AL510" i="11" s="1"/>
  <c r="AL511" i="11" a="1"/>
  <c r="AL511" i="11" s="1"/>
  <c r="AL512" i="11" a="1"/>
  <c r="AL512" i="11" s="1"/>
  <c r="AL513" i="11" a="1"/>
  <c r="AL513" i="11" s="1"/>
  <c r="AL2" i="11" a="1"/>
  <c r="AL2" i="11" s="1"/>
  <c r="AG774" i="8" a="1"/>
  <c r="AG774" i="8" s="1"/>
  <c r="AG771" i="8" a="1"/>
  <c r="AG771" i="8" s="1"/>
  <c r="AG2" i="8" a="1"/>
  <c r="AG2" i="8" s="1"/>
  <c r="AG772" i="8" a="1"/>
  <c r="AG772" i="8" s="1"/>
  <c r="AG769" i="8" a="1"/>
  <c r="AG769" i="8" s="1"/>
  <c r="AG766" i="8" a="1"/>
  <c r="AG766" i="8" s="1"/>
  <c r="AG763" i="8" a="1"/>
  <c r="AG763" i="8" s="1"/>
  <c r="AG761" i="8" a="1"/>
  <c r="AG761" i="8" s="1"/>
  <c r="AG758" i="8" a="1"/>
  <c r="AG758" i="8" s="1"/>
  <c r="AG755" i="8" a="1"/>
  <c r="AG755" i="8" s="1"/>
  <c r="AG752" i="8" a="1"/>
  <c r="AG752" i="8" s="1"/>
  <c r="AG749" i="8" a="1"/>
  <c r="AG749" i="8" s="1"/>
  <c r="AG746" i="8" a="1"/>
  <c r="AG746" i="8" s="1"/>
  <c r="AG743" i="8" a="1"/>
  <c r="AG743" i="8" s="1"/>
  <c r="AG740" i="8" a="1"/>
  <c r="AG740" i="8" s="1"/>
  <c r="AG737" i="8" a="1"/>
  <c r="AG737" i="8" s="1"/>
  <c r="AG734" i="8" a="1"/>
  <c r="AG734" i="8" s="1"/>
  <c r="AG731" i="8" a="1"/>
  <c r="AG731" i="8" s="1"/>
  <c r="AG728" i="8" a="1"/>
  <c r="AG728" i="8" s="1"/>
  <c r="AG725" i="8" a="1"/>
  <c r="AG725" i="8" s="1"/>
  <c r="AG722" i="8" a="1"/>
  <c r="AG722" i="8" s="1"/>
  <c r="AG719" i="8" a="1"/>
  <c r="AG719" i="8" s="1"/>
  <c r="AG716" i="8" a="1"/>
  <c r="AG716" i="8" s="1"/>
  <c r="AG713" i="8" a="1"/>
  <c r="AG713" i="8" s="1"/>
  <c r="AG710" i="8" a="1"/>
  <c r="AG710" i="8" s="1"/>
  <c r="AG707" i="8" a="1"/>
  <c r="AG707" i="8" s="1"/>
  <c r="AG704" i="8" a="1"/>
  <c r="AG704" i="8" s="1"/>
  <c r="AG701" i="8" a="1"/>
  <c r="AG701" i="8" s="1"/>
  <c r="AG698" i="8" a="1"/>
  <c r="AG698" i="8" s="1"/>
  <c r="AG695" i="8" a="1"/>
  <c r="AG695" i="8" s="1"/>
  <c r="AG692" i="8" a="1"/>
  <c r="AG692" i="8" s="1"/>
  <c r="AG689" i="8" a="1"/>
  <c r="AG689" i="8" s="1"/>
  <c r="AG686" i="8" a="1"/>
  <c r="AG686" i="8" s="1"/>
  <c r="AG683" i="8" a="1"/>
  <c r="AG683" i="8" s="1"/>
  <c r="AG680" i="8" a="1"/>
  <c r="AG680" i="8" s="1"/>
  <c r="AG677" i="8" a="1"/>
  <c r="AG677" i="8" s="1"/>
  <c r="AG674" i="8" a="1"/>
  <c r="AG674" i="8" s="1"/>
  <c r="AG671" i="8" a="1"/>
  <c r="AG671" i="8" s="1"/>
  <c r="AG668" i="8" a="1"/>
  <c r="AG668" i="8" s="1"/>
  <c r="AG665" i="8" a="1"/>
  <c r="AG665" i="8" s="1"/>
  <c r="AG662" i="8" a="1"/>
  <c r="AG662" i="8" s="1"/>
  <c r="AG659" i="8" a="1"/>
  <c r="AG659" i="8" s="1"/>
  <c r="AG656" i="8" a="1"/>
  <c r="AG656" i="8" s="1"/>
  <c r="AG653" i="8" a="1"/>
  <c r="AG653" i="8" s="1"/>
  <c r="AG650" i="8" a="1"/>
  <c r="AG650" i="8" s="1"/>
  <c r="AG647" i="8" a="1"/>
  <c r="AG647" i="8" s="1"/>
  <c r="AG644" i="8" a="1"/>
  <c r="AG644" i="8" s="1"/>
  <c r="AG641" i="8" a="1"/>
  <c r="AG641" i="8" s="1"/>
  <c r="AG638" i="8" a="1"/>
  <c r="AG638" i="8" s="1"/>
  <c r="AG635" i="8" a="1"/>
  <c r="AG635" i="8" s="1"/>
  <c r="AG632" i="8" a="1"/>
  <c r="AG632" i="8" s="1"/>
  <c r="AG629" i="8" a="1"/>
  <c r="AG629" i="8" s="1"/>
  <c r="AG626" i="8" a="1"/>
  <c r="AG626" i="8" s="1"/>
  <c r="AG623" i="8" a="1"/>
  <c r="AG623" i="8" s="1"/>
  <c r="AG620" i="8" a="1"/>
  <c r="AG620" i="8" s="1"/>
  <c r="AG617" i="8" a="1"/>
  <c r="AG617" i="8" s="1"/>
  <c r="AG614" i="8" a="1"/>
  <c r="AG614" i="8" s="1"/>
  <c r="AG611" i="8" a="1"/>
  <c r="AG611" i="8" s="1"/>
  <c r="AG608" i="8" a="1"/>
  <c r="AG608" i="8" s="1"/>
  <c r="AG605" i="8" a="1"/>
  <c r="AG605" i="8" s="1"/>
  <c r="AG602" i="8" a="1"/>
  <c r="AG602" i="8" s="1"/>
  <c r="AG599" i="8" a="1"/>
  <c r="AG599" i="8" s="1"/>
  <c r="AG596" i="8" a="1"/>
  <c r="AG596" i="8" s="1"/>
  <c r="AG593" i="8" a="1"/>
  <c r="AG593" i="8" s="1"/>
  <c r="AG590" i="8" a="1"/>
  <c r="AG590" i="8" s="1"/>
  <c r="AG587" i="8" a="1"/>
  <c r="AG587" i="8" s="1"/>
  <c r="AG584" i="8" a="1"/>
  <c r="AG584" i="8" s="1"/>
  <c r="AG581" i="8" a="1"/>
  <c r="AG581" i="8" s="1"/>
  <c r="AG578" i="8" a="1"/>
  <c r="AG578" i="8" s="1"/>
  <c r="AG575" i="8" a="1"/>
  <c r="AG575" i="8" s="1"/>
  <c r="AG572" i="8" a="1"/>
  <c r="AG572" i="8" s="1"/>
  <c r="AG569" i="8" a="1"/>
  <c r="AG569" i="8" s="1"/>
  <c r="AG566" i="8" a="1"/>
  <c r="AG566" i="8" s="1"/>
  <c r="AG563" i="8" a="1"/>
  <c r="AG563" i="8" s="1"/>
  <c r="AG560" i="8" a="1"/>
  <c r="AG560" i="8" s="1"/>
  <c r="AG557" i="8" a="1"/>
  <c r="AG557" i="8" s="1"/>
  <c r="AG554" i="8" a="1"/>
  <c r="AG554" i="8" s="1"/>
  <c r="AG551" i="8" a="1"/>
  <c r="AG551" i="8" s="1"/>
  <c r="AG548" i="8" a="1"/>
  <c r="AG548" i="8" s="1"/>
  <c r="AG545" i="8" a="1"/>
  <c r="AG545" i="8" s="1"/>
  <c r="AG542" i="8" a="1"/>
  <c r="AG542" i="8" s="1"/>
  <c r="AG539" i="8" a="1"/>
  <c r="AG539" i="8" s="1"/>
  <c r="AG536" i="8" a="1"/>
  <c r="AG536" i="8" s="1"/>
  <c r="AG533" i="8" a="1"/>
  <c r="AG533" i="8" s="1"/>
  <c r="AG530" i="8" a="1"/>
  <c r="AG530" i="8" s="1"/>
  <c r="AG527" i="8" a="1"/>
  <c r="AG527" i="8" s="1"/>
  <c r="AG524" i="8" a="1"/>
  <c r="AG524" i="8" s="1"/>
  <c r="AG521" i="8" a="1"/>
  <c r="AG521" i="8" s="1"/>
  <c r="AG518" i="8" a="1"/>
  <c r="AG518" i="8" s="1"/>
  <c r="AG515" i="8" a="1"/>
  <c r="AG515" i="8" s="1"/>
  <c r="AG512" i="8" a="1"/>
  <c r="AG512" i="8" s="1"/>
  <c r="AG509" i="8" a="1"/>
  <c r="AG509" i="8" s="1"/>
  <c r="AG506" i="8" a="1"/>
  <c r="AG506" i="8" s="1"/>
  <c r="AG503" i="8" a="1"/>
  <c r="AG503" i="8" s="1"/>
  <c r="AG500" i="8" a="1"/>
  <c r="AG500" i="8" s="1"/>
  <c r="AG497" i="8" a="1"/>
  <c r="AG497" i="8" s="1"/>
  <c r="AG494" i="8" a="1"/>
  <c r="AG494" i="8" s="1"/>
  <c r="AG491" i="8" a="1"/>
  <c r="AG491" i="8" s="1"/>
  <c r="AG488" i="8" a="1"/>
  <c r="AG488" i="8" s="1"/>
  <c r="AG485" i="8" a="1"/>
  <c r="AG485" i="8" s="1"/>
  <c r="AG482" i="8" a="1"/>
  <c r="AG482" i="8" s="1"/>
  <c r="AG479" i="8" a="1"/>
  <c r="AG479" i="8" s="1"/>
  <c r="AG476" i="8" a="1"/>
  <c r="AG476" i="8" s="1"/>
  <c r="AG473" i="8" a="1"/>
  <c r="AG473" i="8" s="1"/>
  <c r="AG470" i="8" a="1"/>
  <c r="AG470" i="8" s="1"/>
  <c r="AG467" i="8" a="1"/>
  <c r="AG467" i="8" s="1"/>
  <c r="AG464" i="8" a="1"/>
  <c r="AG464" i="8" s="1"/>
  <c r="AG461" i="8" a="1"/>
  <c r="AG461" i="8" s="1"/>
  <c r="AG458" i="8" a="1"/>
  <c r="AG458" i="8" s="1"/>
  <c r="AG455" i="8" a="1"/>
  <c r="AG455" i="8" s="1"/>
  <c r="AG452" i="8" a="1"/>
  <c r="AG452" i="8" s="1"/>
  <c r="AG449" i="8" a="1"/>
  <c r="AG449" i="8" s="1"/>
  <c r="AG446" i="8" a="1"/>
  <c r="AG446" i="8" s="1"/>
  <c r="AG443" i="8" a="1"/>
  <c r="AG443" i="8" s="1"/>
  <c r="AG768" i="8" a="1"/>
  <c r="AG768" i="8" s="1"/>
  <c r="AG760" i="8" a="1"/>
  <c r="AG760" i="8" s="1"/>
  <c r="AG754" i="8" a="1"/>
  <c r="AG754" i="8" s="1"/>
  <c r="AG748" i="8" a="1"/>
  <c r="AG748" i="8" s="1"/>
  <c r="AG742" i="8" a="1"/>
  <c r="AG742" i="8" s="1"/>
  <c r="AG739" i="8" a="1"/>
  <c r="AG739" i="8" s="1"/>
  <c r="AG736" i="8" a="1"/>
  <c r="AG736" i="8" s="1"/>
  <c r="AG733" i="8" a="1"/>
  <c r="AG733" i="8" s="1"/>
  <c r="AG730" i="8" a="1"/>
  <c r="AG730" i="8" s="1"/>
  <c r="AG727" i="8" a="1"/>
  <c r="AG727" i="8" s="1"/>
  <c r="AG724" i="8" a="1"/>
  <c r="AG724" i="8" s="1"/>
  <c r="AG721" i="8" a="1"/>
  <c r="AG721" i="8" s="1"/>
  <c r="AG718" i="8" a="1"/>
  <c r="AG718" i="8" s="1"/>
  <c r="AG715" i="8" a="1"/>
  <c r="AG715" i="8" s="1"/>
  <c r="AG712" i="8" a="1"/>
  <c r="AG712" i="8" s="1"/>
  <c r="AG709" i="8" a="1"/>
  <c r="AG709" i="8" s="1"/>
  <c r="AG706" i="8" a="1"/>
  <c r="AG706" i="8" s="1"/>
  <c r="AG703" i="8" a="1"/>
  <c r="AG703" i="8" s="1"/>
  <c r="AG700" i="8" a="1"/>
  <c r="AG700" i="8" s="1"/>
  <c r="AG697" i="8" a="1"/>
  <c r="AG697" i="8" s="1"/>
  <c r="AG694" i="8" a="1"/>
  <c r="AG694" i="8" s="1"/>
  <c r="AG691" i="8" a="1"/>
  <c r="AG691" i="8" s="1"/>
  <c r="AG688" i="8" a="1"/>
  <c r="AG688" i="8" s="1"/>
  <c r="AG685" i="8" a="1"/>
  <c r="AG685" i="8" s="1"/>
  <c r="AG682" i="8" a="1"/>
  <c r="AG682" i="8" s="1"/>
  <c r="AG679" i="8" a="1"/>
  <c r="AG679" i="8" s="1"/>
  <c r="AG676" i="8" a="1"/>
  <c r="AG676" i="8" s="1"/>
  <c r="AG673" i="8" a="1"/>
  <c r="AG673" i="8" s="1"/>
  <c r="AG670" i="8" a="1"/>
  <c r="AG670" i="8" s="1"/>
  <c r="AG667" i="8" a="1"/>
  <c r="AG667" i="8" s="1"/>
  <c r="AG664" i="8" a="1"/>
  <c r="AG664" i="8" s="1"/>
  <c r="AG661" i="8" a="1"/>
  <c r="AG661" i="8" s="1"/>
  <c r="AG658" i="8" a="1"/>
  <c r="AG658" i="8" s="1"/>
  <c r="AG655" i="8" a="1"/>
  <c r="AG655" i="8" s="1"/>
  <c r="AG652" i="8" a="1"/>
  <c r="AG652" i="8" s="1"/>
  <c r="AG649" i="8" a="1"/>
  <c r="AG649" i="8" s="1"/>
  <c r="AG646" i="8" a="1"/>
  <c r="AG646" i="8" s="1"/>
  <c r="AG643" i="8" a="1"/>
  <c r="AG643" i="8" s="1"/>
  <c r="AG640" i="8" a="1"/>
  <c r="AG640" i="8" s="1"/>
  <c r="AG637" i="8" a="1"/>
  <c r="AG637" i="8" s="1"/>
  <c r="AG634" i="8" a="1"/>
  <c r="AG634" i="8" s="1"/>
  <c r="AG631" i="8" a="1"/>
  <c r="AG631" i="8" s="1"/>
  <c r="AG628" i="8" a="1"/>
  <c r="AG628" i="8" s="1"/>
  <c r="AG625" i="8" a="1"/>
  <c r="AG625" i="8" s="1"/>
  <c r="AG622" i="8" a="1"/>
  <c r="AG622" i="8" s="1"/>
  <c r="AG619" i="8" a="1"/>
  <c r="AG619" i="8" s="1"/>
  <c r="AG616" i="8" a="1"/>
  <c r="AG616" i="8" s="1"/>
  <c r="AG613" i="8" a="1"/>
  <c r="AG613" i="8" s="1"/>
  <c r="AG610" i="8" a="1"/>
  <c r="AG610" i="8" s="1"/>
  <c r="AG607" i="8" a="1"/>
  <c r="AG607" i="8" s="1"/>
  <c r="AG604" i="8" a="1"/>
  <c r="AG604" i="8" s="1"/>
  <c r="AG601" i="8" a="1"/>
  <c r="AG601" i="8" s="1"/>
  <c r="AG598" i="8" a="1"/>
  <c r="AG598" i="8" s="1"/>
  <c r="AG595" i="8" a="1"/>
  <c r="AG595" i="8" s="1"/>
  <c r="AG592" i="8" a="1"/>
  <c r="AG592" i="8" s="1"/>
  <c r="AG589" i="8" a="1"/>
  <c r="AG589" i="8" s="1"/>
  <c r="AG586" i="8" a="1"/>
  <c r="AG586" i="8" s="1"/>
  <c r="AG583" i="8" a="1"/>
  <c r="AG583" i="8" s="1"/>
  <c r="AG580" i="8" a="1"/>
  <c r="AG580" i="8" s="1"/>
  <c r="AG577" i="8" a="1"/>
  <c r="AG577" i="8" s="1"/>
  <c r="AG574" i="8" a="1"/>
  <c r="AG574" i="8" s="1"/>
  <c r="AG571" i="8" a="1"/>
  <c r="AG571" i="8" s="1"/>
  <c r="AG568" i="8" a="1"/>
  <c r="AG568" i="8" s="1"/>
  <c r="AG565" i="8" a="1"/>
  <c r="AG565" i="8" s="1"/>
  <c r="AG562" i="8" a="1"/>
  <c r="AG562" i="8" s="1"/>
  <c r="AG559" i="8" a="1"/>
  <c r="AG559" i="8" s="1"/>
  <c r="AG556" i="8" a="1"/>
  <c r="AG556" i="8" s="1"/>
  <c r="AG553" i="8" a="1"/>
  <c r="AG553" i="8" s="1"/>
  <c r="AG550" i="8" a="1"/>
  <c r="AG550" i="8" s="1"/>
  <c r="AG547" i="8" a="1"/>
  <c r="AG547" i="8" s="1"/>
  <c r="AG544" i="8" a="1"/>
  <c r="AG544" i="8" s="1"/>
  <c r="AG541" i="8" a="1"/>
  <c r="AG541" i="8" s="1"/>
  <c r="AG538" i="8" a="1"/>
  <c r="AG538" i="8" s="1"/>
  <c r="AG535" i="8" a="1"/>
  <c r="AG535" i="8" s="1"/>
  <c r="AG532" i="8" a="1"/>
  <c r="AG532" i="8" s="1"/>
  <c r="AG529" i="8" a="1"/>
  <c r="AG529" i="8" s="1"/>
  <c r="AG526" i="8" a="1"/>
  <c r="AG526" i="8" s="1"/>
  <c r="AG523" i="8" a="1"/>
  <c r="AG523" i="8" s="1"/>
  <c r="AG520" i="8" a="1"/>
  <c r="AG520" i="8" s="1"/>
  <c r="AG517" i="8" a="1"/>
  <c r="AG517" i="8" s="1"/>
  <c r="AG514" i="8" a="1"/>
  <c r="AG514" i="8" s="1"/>
  <c r="AG511" i="8" a="1"/>
  <c r="AG511" i="8" s="1"/>
  <c r="AG508" i="8" a="1"/>
  <c r="AG508" i="8" s="1"/>
  <c r="AG505" i="8" a="1"/>
  <c r="AG505" i="8" s="1"/>
  <c r="AG502" i="8" a="1"/>
  <c r="AG502" i="8" s="1"/>
  <c r="AG499" i="8" a="1"/>
  <c r="AG499" i="8" s="1"/>
  <c r="AG496" i="8" a="1"/>
  <c r="AG496" i="8" s="1"/>
  <c r="AG493" i="8" a="1"/>
  <c r="AG493" i="8" s="1"/>
  <c r="AG490" i="8" a="1"/>
  <c r="AG490" i="8" s="1"/>
  <c r="AG487" i="8" a="1"/>
  <c r="AG487" i="8" s="1"/>
  <c r="AG484" i="8" a="1"/>
  <c r="AG484" i="8" s="1"/>
  <c r="AG481" i="8" a="1"/>
  <c r="AG481" i="8" s="1"/>
  <c r="AG478" i="8" a="1"/>
  <c r="AG478" i="8" s="1"/>
  <c r="AG475" i="8" a="1"/>
  <c r="AG475" i="8" s="1"/>
  <c r="AG472" i="8" a="1"/>
  <c r="AG472" i="8" s="1"/>
  <c r="AG469" i="8" a="1"/>
  <c r="AG469" i="8" s="1"/>
  <c r="AG466" i="8" a="1"/>
  <c r="AG466" i="8" s="1"/>
  <c r="AG463" i="8" a="1"/>
  <c r="AG463" i="8" s="1"/>
  <c r="AG460" i="8" a="1"/>
  <c r="AG460" i="8" s="1"/>
  <c r="AG457" i="8" a="1"/>
  <c r="AG457" i="8" s="1"/>
  <c r="AG454" i="8" a="1"/>
  <c r="AG454" i="8" s="1"/>
  <c r="AG451" i="8" a="1"/>
  <c r="AG451" i="8" s="1"/>
  <c r="AG448" i="8" a="1"/>
  <c r="AG448" i="8" s="1"/>
  <c r="AG445" i="8" a="1"/>
  <c r="AG445" i="8" s="1"/>
  <c r="AG442" i="8" a="1"/>
  <c r="AG442" i="8" s="1"/>
  <c r="AG439" i="8" a="1"/>
  <c r="AG439" i="8" s="1"/>
  <c r="AG765" i="8" a="1"/>
  <c r="AG765" i="8" s="1"/>
  <c r="AG757" i="8" a="1"/>
  <c r="AG757" i="8" s="1"/>
  <c r="AG751" i="8" a="1"/>
  <c r="AG751" i="8" s="1"/>
  <c r="AG745" i="8" a="1"/>
  <c r="AG745" i="8" s="1"/>
  <c r="AG773" i="8" a="1"/>
  <c r="AG773" i="8" s="1"/>
  <c r="AG770" i="8" a="1"/>
  <c r="AG770" i="8" s="1"/>
  <c r="AG767" i="8" a="1"/>
  <c r="AG767" i="8" s="1"/>
  <c r="AG764" i="8" a="1"/>
  <c r="AG764" i="8" s="1"/>
  <c r="AG762" i="8" a="1"/>
  <c r="AG762" i="8" s="1"/>
  <c r="AG759" i="8" a="1"/>
  <c r="AG759" i="8" s="1"/>
  <c r="AG756" i="8" a="1"/>
  <c r="AG756" i="8" s="1"/>
  <c r="AG753" i="8" a="1"/>
  <c r="AG753" i="8" s="1"/>
  <c r="AG750" i="8" a="1"/>
  <c r="AG750" i="8" s="1"/>
  <c r="AG747" i="8" a="1"/>
  <c r="AG747" i="8" s="1"/>
  <c r="AG744" i="8" a="1"/>
  <c r="AG744" i="8" s="1"/>
  <c r="AG741" i="8" a="1"/>
  <c r="AG741" i="8" s="1"/>
  <c r="AG738" i="8" a="1"/>
  <c r="AG738" i="8" s="1"/>
  <c r="AG735" i="8" a="1"/>
  <c r="AG735" i="8" s="1"/>
  <c r="AG732" i="8" a="1"/>
  <c r="AG732" i="8" s="1"/>
  <c r="AG729" i="8" a="1"/>
  <c r="AG729" i="8" s="1"/>
  <c r="AG726" i="8" a="1"/>
  <c r="AG726" i="8" s="1"/>
  <c r="AG723" i="8" a="1"/>
  <c r="AG723" i="8" s="1"/>
  <c r="AG720" i="8" a="1"/>
  <c r="AG720" i="8" s="1"/>
  <c r="AG717" i="8" a="1"/>
  <c r="AG717" i="8" s="1"/>
  <c r="AG714" i="8" a="1"/>
  <c r="AG714" i="8" s="1"/>
  <c r="AG711" i="8" a="1"/>
  <c r="AG711" i="8" s="1"/>
  <c r="AG708" i="8" a="1"/>
  <c r="AG708" i="8" s="1"/>
  <c r="AG705" i="8" a="1"/>
  <c r="AG705" i="8" s="1"/>
  <c r="AG702" i="8" a="1"/>
  <c r="AG702" i="8" s="1"/>
  <c r="AG699" i="8" a="1"/>
  <c r="AG699" i="8" s="1"/>
  <c r="AG696" i="8" a="1"/>
  <c r="AG696" i="8" s="1"/>
  <c r="AG693" i="8" a="1"/>
  <c r="AG693" i="8" s="1"/>
  <c r="AG690" i="8" a="1"/>
  <c r="AG690" i="8" s="1"/>
  <c r="AG687" i="8" a="1"/>
  <c r="AG687" i="8" s="1"/>
  <c r="AG684" i="8" a="1"/>
  <c r="AG684" i="8" s="1"/>
  <c r="AG681" i="8" a="1"/>
  <c r="AG681" i="8" s="1"/>
  <c r="AG678" i="8" a="1"/>
  <c r="AG678" i="8" s="1"/>
  <c r="AG675" i="8" a="1"/>
  <c r="AG675" i="8" s="1"/>
  <c r="AG672" i="8" a="1"/>
  <c r="AG672" i="8" s="1"/>
  <c r="AG669" i="8" a="1"/>
  <c r="AG669" i="8" s="1"/>
  <c r="AG666" i="8" a="1"/>
  <c r="AG666" i="8" s="1"/>
  <c r="AG663" i="8" a="1"/>
  <c r="AG663" i="8" s="1"/>
  <c r="AG660" i="8" a="1"/>
  <c r="AG660" i="8" s="1"/>
  <c r="AG657" i="8" a="1"/>
  <c r="AG657" i="8" s="1"/>
  <c r="AG654" i="8" a="1"/>
  <c r="AG654" i="8" s="1"/>
  <c r="AG651" i="8" a="1"/>
  <c r="AG651" i="8" s="1"/>
  <c r="AG648" i="8" a="1"/>
  <c r="AG648" i="8" s="1"/>
  <c r="AG645" i="8" a="1"/>
  <c r="AG645" i="8" s="1"/>
  <c r="AG642" i="8" a="1"/>
  <c r="AG642" i="8" s="1"/>
  <c r="AG639" i="8" a="1"/>
  <c r="AG639" i="8" s="1"/>
  <c r="AG636" i="8" a="1"/>
  <c r="AG636" i="8" s="1"/>
  <c r="AG633" i="8" a="1"/>
  <c r="AG633" i="8" s="1"/>
  <c r="AG630" i="8" a="1"/>
  <c r="AG630" i="8" s="1"/>
  <c r="AG627" i="8" a="1"/>
  <c r="AG627" i="8" s="1"/>
  <c r="AG624" i="8" a="1"/>
  <c r="AG624" i="8" s="1"/>
  <c r="AG621" i="8" a="1"/>
  <c r="AG621" i="8" s="1"/>
  <c r="AG618" i="8" a="1"/>
  <c r="AG618" i="8" s="1"/>
  <c r="AG615" i="8" a="1"/>
  <c r="AG615" i="8" s="1"/>
  <c r="AG612" i="8" a="1"/>
  <c r="AG612" i="8" s="1"/>
  <c r="AG609" i="8" a="1"/>
  <c r="AG609" i="8" s="1"/>
  <c r="AG606" i="8" a="1"/>
  <c r="AG606" i="8" s="1"/>
  <c r="AG603" i="8" a="1"/>
  <c r="AG603" i="8" s="1"/>
  <c r="AG600" i="8" a="1"/>
  <c r="AG600" i="8" s="1"/>
  <c r="AG597" i="8" a="1"/>
  <c r="AG597" i="8" s="1"/>
  <c r="AG594" i="8" a="1"/>
  <c r="AG594" i="8" s="1"/>
  <c r="AG591" i="8" a="1"/>
  <c r="AG591" i="8" s="1"/>
  <c r="AG588" i="8" a="1"/>
  <c r="AG588" i="8" s="1"/>
  <c r="AG585" i="8" a="1"/>
  <c r="AG585" i="8" s="1"/>
  <c r="AG582" i="8" a="1"/>
  <c r="AG582" i="8" s="1"/>
  <c r="AG579" i="8" a="1"/>
  <c r="AG579" i="8" s="1"/>
  <c r="AG576" i="8" a="1"/>
  <c r="AG576" i="8" s="1"/>
  <c r="AG573" i="8" a="1"/>
  <c r="AG573" i="8" s="1"/>
  <c r="AG570" i="8" a="1"/>
  <c r="AG570" i="8" s="1"/>
  <c r="AG567" i="8" a="1"/>
  <c r="AG567" i="8" s="1"/>
  <c r="AG564" i="8" a="1"/>
  <c r="AG564" i="8" s="1"/>
  <c r="AG561" i="8" a="1"/>
  <c r="AG561" i="8" s="1"/>
  <c r="AG558" i="8" a="1"/>
  <c r="AG558" i="8" s="1"/>
  <c r="AG555" i="8" a="1"/>
  <c r="AG555" i="8" s="1"/>
  <c r="AG552" i="8" a="1"/>
  <c r="AG552" i="8" s="1"/>
  <c r="AG549" i="8" a="1"/>
  <c r="AG549" i="8" s="1"/>
  <c r="AG546" i="8" a="1"/>
  <c r="AG546" i="8" s="1"/>
  <c r="AG543" i="8" a="1"/>
  <c r="AG543" i="8" s="1"/>
  <c r="AG540" i="8" a="1"/>
  <c r="AG540" i="8" s="1"/>
  <c r="AG537" i="8" a="1"/>
  <c r="AG537" i="8" s="1"/>
  <c r="AG534" i="8" a="1"/>
  <c r="AG534" i="8" s="1"/>
  <c r="AG531" i="8" a="1"/>
  <c r="AG531" i="8" s="1"/>
  <c r="AG528" i="8" a="1"/>
  <c r="AG528" i="8" s="1"/>
  <c r="AG525" i="8" a="1"/>
  <c r="AG525" i="8" s="1"/>
  <c r="AG522" i="8" a="1"/>
  <c r="AG522" i="8" s="1"/>
  <c r="AG519" i="8" a="1"/>
  <c r="AG519" i="8" s="1"/>
  <c r="AG516" i="8" a="1"/>
  <c r="AG516" i="8" s="1"/>
  <c r="AG513" i="8" a="1"/>
  <c r="AG513" i="8" s="1"/>
  <c r="AG510" i="8" a="1"/>
  <c r="AG510" i="8" s="1"/>
  <c r="AG507" i="8" a="1"/>
  <c r="AG507" i="8" s="1"/>
  <c r="AG504" i="8" a="1"/>
  <c r="AG504" i="8" s="1"/>
  <c r="AG501" i="8" a="1"/>
  <c r="AG501" i="8" s="1"/>
  <c r="AG498" i="8" a="1"/>
  <c r="AG498" i="8" s="1"/>
  <c r="AG495" i="8" a="1"/>
  <c r="AG495" i="8" s="1"/>
  <c r="AG492" i="8" a="1"/>
  <c r="AG492" i="8" s="1"/>
  <c r="AG489" i="8" a="1"/>
  <c r="AG489" i="8" s="1"/>
  <c r="AG486" i="8" a="1"/>
  <c r="AG486" i="8" s="1"/>
  <c r="AG483" i="8" a="1"/>
  <c r="AG483" i="8" s="1"/>
  <c r="AG480" i="8" a="1"/>
  <c r="AG480" i="8" s="1"/>
  <c r="AG477" i="8" a="1"/>
  <c r="AG477" i="8" s="1"/>
  <c r="AG474" i="8" a="1"/>
  <c r="AG474" i="8" s="1"/>
  <c r="AG436" i="8" a="1"/>
  <c r="AG436" i="8" s="1"/>
  <c r="AG433" i="8" a="1"/>
  <c r="AG433" i="8" s="1"/>
  <c r="AG430" i="8" a="1"/>
  <c r="AG430" i="8" s="1"/>
  <c r="AG427" i="8" a="1"/>
  <c r="AG427" i="8" s="1"/>
  <c r="AG424" i="8" a="1"/>
  <c r="AG424" i="8" s="1"/>
  <c r="AG421" i="8" a="1"/>
  <c r="AG421" i="8" s="1"/>
  <c r="AG418" i="8" a="1"/>
  <c r="AG418" i="8" s="1"/>
  <c r="AG415" i="8" a="1"/>
  <c r="AG415" i="8" s="1"/>
  <c r="AG412" i="8" a="1"/>
  <c r="AG412" i="8" s="1"/>
  <c r="AG409" i="8" a="1"/>
  <c r="AG409" i="8" s="1"/>
  <c r="AG406" i="8" a="1"/>
  <c r="AG406" i="8" s="1"/>
  <c r="AG403" i="8" a="1"/>
  <c r="AG403" i="8" s="1"/>
  <c r="AG400" i="8" a="1"/>
  <c r="AG400" i="8" s="1"/>
  <c r="AG397" i="8" a="1"/>
  <c r="AG397" i="8" s="1"/>
  <c r="AG394" i="8" a="1"/>
  <c r="AG394" i="8" s="1"/>
  <c r="AG391" i="8" a="1"/>
  <c r="AG391" i="8" s="1"/>
  <c r="AG388" i="8" a="1"/>
  <c r="AG388" i="8" s="1"/>
  <c r="AG385" i="8" a="1"/>
  <c r="AG385" i="8" s="1"/>
  <c r="AG382" i="8" a="1"/>
  <c r="AG382" i="8" s="1"/>
  <c r="AG379" i="8" a="1"/>
  <c r="AG379" i="8" s="1"/>
  <c r="AG376" i="8" a="1"/>
  <c r="AG376" i="8" s="1"/>
  <c r="AG373" i="8" a="1"/>
  <c r="AG373" i="8" s="1"/>
  <c r="AG370" i="8" a="1"/>
  <c r="AG370" i="8" s="1"/>
  <c r="AG367" i="8" a="1"/>
  <c r="AG367" i="8" s="1"/>
  <c r="AG364" i="8" a="1"/>
  <c r="AG364" i="8" s="1"/>
  <c r="AG361" i="8" a="1"/>
  <c r="AG361" i="8" s="1"/>
  <c r="AG358" i="8" a="1"/>
  <c r="AG358" i="8" s="1"/>
  <c r="AG355" i="8" a="1"/>
  <c r="AG355" i="8" s="1"/>
  <c r="AG352" i="8" a="1"/>
  <c r="AG352" i="8" s="1"/>
  <c r="AG349" i="8" a="1"/>
  <c r="AG349" i="8" s="1"/>
  <c r="AG346" i="8" a="1"/>
  <c r="AG346" i="8" s="1"/>
  <c r="AG343" i="8" a="1"/>
  <c r="AG343" i="8" s="1"/>
  <c r="AG340" i="8" a="1"/>
  <c r="AG340" i="8" s="1"/>
  <c r="AG337" i="8" a="1"/>
  <c r="AG337" i="8" s="1"/>
  <c r="AG334" i="8" a="1"/>
  <c r="AG334" i="8" s="1"/>
  <c r="AG331" i="8" a="1"/>
  <c r="AG331" i="8" s="1"/>
  <c r="AG328" i="8" a="1"/>
  <c r="AG328" i="8" s="1"/>
  <c r="AG325" i="8" a="1"/>
  <c r="AG325" i="8" s="1"/>
  <c r="AG322" i="8" a="1"/>
  <c r="AG322" i="8" s="1"/>
  <c r="AG319" i="8" a="1"/>
  <c r="AG319" i="8" s="1"/>
  <c r="AG316" i="8" a="1"/>
  <c r="AG316" i="8" s="1"/>
  <c r="AG313" i="8" a="1"/>
  <c r="AG313" i="8" s="1"/>
  <c r="AG310" i="8" a="1"/>
  <c r="AG310" i="8" s="1"/>
  <c r="AG307" i="8" a="1"/>
  <c r="AG307" i="8" s="1"/>
  <c r="AG304" i="8" a="1"/>
  <c r="AG304" i="8" s="1"/>
  <c r="AG301" i="8" a="1"/>
  <c r="AG301" i="8" s="1"/>
  <c r="AG298" i="8" a="1"/>
  <c r="AG298" i="8" s="1"/>
  <c r="AG295" i="8" a="1"/>
  <c r="AG295" i="8" s="1"/>
  <c r="AG292" i="8" a="1"/>
  <c r="AG292" i="8" s="1"/>
  <c r="AG289" i="8" a="1"/>
  <c r="AG289" i="8" s="1"/>
  <c r="AG286" i="8" a="1"/>
  <c r="AG286" i="8" s="1"/>
  <c r="AG283" i="8" a="1"/>
  <c r="AG283" i="8" s="1"/>
  <c r="AG280" i="8" a="1"/>
  <c r="AG280" i="8" s="1"/>
  <c r="AG277" i="8" a="1"/>
  <c r="AG277" i="8" s="1"/>
  <c r="AG274" i="8" a="1"/>
  <c r="AG274" i="8" s="1"/>
  <c r="AG271" i="8" a="1"/>
  <c r="AG271" i="8" s="1"/>
  <c r="AG268" i="8" a="1"/>
  <c r="AG268" i="8" s="1"/>
  <c r="AG265" i="8" a="1"/>
  <c r="AG265" i="8" s="1"/>
  <c r="AG262" i="8" a="1"/>
  <c r="AG262" i="8" s="1"/>
  <c r="AG259" i="8" a="1"/>
  <c r="AG259" i="8" s="1"/>
  <c r="AG256" i="8" a="1"/>
  <c r="AG256" i="8" s="1"/>
  <c r="AG253" i="8" a="1"/>
  <c r="AG253" i="8" s="1"/>
  <c r="AG250" i="8" a="1"/>
  <c r="AG250" i="8" s="1"/>
  <c r="AG247" i="8" a="1"/>
  <c r="AG247" i="8" s="1"/>
  <c r="AG244" i="8" a="1"/>
  <c r="AG244" i="8" s="1"/>
  <c r="AG241" i="8" a="1"/>
  <c r="AG241" i="8" s="1"/>
  <c r="AG238" i="8" a="1"/>
  <c r="AG238" i="8" s="1"/>
  <c r="AG235" i="8" a="1"/>
  <c r="AG235" i="8" s="1"/>
  <c r="AG232" i="8" a="1"/>
  <c r="AG232" i="8" s="1"/>
  <c r="AG229" i="8" a="1"/>
  <c r="AG229" i="8" s="1"/>
  <c r="AG226" i="8" a="1"/>
  <c r="AG226" i="8" s="1"/>
  <c r="AG223" i="8" a="1"/>
  <c r="AG223" i="8" s="1"/>
  <c r="AG220" i="8" a="1"/>
  <c r="AG220" i="8" s="1"/>
  <c r="AG217" i="8" a="1"/>
  <c r="AG217" i="8" s="1"/>
  <c r="AG214" i="8" a="1"/>
  <c r="AG214" i="8" s="1"/>
  <c r="AG211" i="8" a="1"/>
  <c r="AG211" i="8" s="1"/>
  <c r="AG208" i="8" a="1"/>
  <c r="AG208" i="8" s="1"/>
  <c r="AG205" i="8" a="1"/>
  <c r="AG205" i="8" s="1"/>
  <c r="AG202" i="8" a="1"/>
  <c r="AG202" i="8" s="1"/>
  <c r="AG199" i="8" a="1"/>
  <c r="AG199" i="8" s="1"/>
  <c r="AG196" i="8" a="1"/>
  <c r="AG196" i="8" s="1"/>
  <c r="AG193" i="8" a="1"/>
  <c r="AG193" i="8" s="1"/>
  <c r="AG190" i="8" a="1"/>
  <c r="AG190" i="8" s="1"/>
  <c r="AG187" i="8" a="1"/>
  <c r="AG187" i="8" s="1"/>
  <c r="AG184" i="8" a="1"/>
  <c r="AG184" i="8" s="1"/>
  <c r="AG181" i="8" a="1"/>
  <c r="AG181" i="8" s="1"/>
  <c r="AG178" i="8" a="1"/>
  <c r="AG178" i="8" s="1"/>
  <c r="AG175" i="8" a="1"/>
  <c r="AG175" i="8" s="1"/>
  <c r="AG172" i="8" a="1"/>
  <c r="AG172" i="8" s="1"/>
  <c r="AG169" i="8" a="1"/>
  <c r="AG169" i="8" s="1"/>
  <c r="AG166" i="8" a="1"/>
  <c r="AG166" i="8" s="1"/>
  <c r="AG163" i="8" a="1"/>
  <c r="AG163" i="8" s="1"/>
  <c r="AG160" i="8" a="1"/>
  <c r="AG160" i="8" s="1"/>
  <c r="AG157" i="8" a="1"/>
  <c r="AG157" i="8" s="1"/>
  <c r="AG154" i="8" a="1"/>
  <c r="AG154" i="8" s="1"/>
  <c r="AG151" i="8" a="1"/>
  <c r="AG151" i="8" s="1"/>
  <c r="AG148" i="8" a="1"/>
  <c r="AG148" i="8" s="1"/>
  <c r="AG145" i="8" a="1"/>
  <c r="AG145" i="8" s="1"/>
  <c r="AG142" i="8" a="1"/>
  <c r="AG142" i="8" s="1"/>
  <c r="AG139" i="8" a="1"/>
  <c r="AG139" i="8" s="1"/>
  <c r="AG136" i="8" a="1"/>
  <c r="AG136" i="8" s="1"/>
  <c r="AG133" i="8" a="1"/>
  <c r="AG133" i="8" s="1"/>
  <c r="AG130" i="8" a="1"/>
  <c r="AG130" i="8" s="1"/>
  <c r="AG127" i="8" a="1"/>
  <c r="AG127" i="8" s="1"/>
  <c r="AG124" i="8" a="1"/>
  <c r="AG124" i="8" s="1"/>
  <c r="AG121" i="8" a="1"/>
  <c r="AG121" i="8" s="1"/>
  <c r="AG118" i="8" a="1"/>
  <c r="AG118" i="8" s="1"/>
  <c r="AG115" i="8" a="1"/>
  <c r="AG115" i="8" s="1"/>
  <c r="AG112" i="8" a="1"/>
  <c r="AG112" i="8" s="1"/>
  <c r="AG109" i="8" a="1"/>
  <c r="AG109" i="8" s="1"/>
  <c r="AG106" i="8" a="1"/>
  <c r="AG106" i="8" s="1"/>
  <c r="AG103" i="8" a="1"/>
  <c r="AG103" i="8" s="1"/>
  <c r="AG100" i="8" a="1"/>
  <c r="AG100" i="8" s="1"/>
  <c r="AG97" i="8" a="1"/>
  <c r="AG97" i="8" s="1"/>
  <c r="AG94" i="8" a="1"/>
  <c r="AG94" i="8" s="1"/>
  <c r="AG91" i="8" a="1"/>
  <c r="AG91" i="8" s="1"/>
  <c r="AG88" i="8" a="1"/>
  <c r="AG88" i="8" s="1"/>
  <c r="AG85" i="8" a="1"/>
  <c r="AG85" i="8" s="1"/>
  <c r="AG82" i="8" a="1"/>
  <c r="AG82" i="8" s="1"/>
  <c r="AG79" i="8" a="1"/>
  <c r="AG79" i="8" s="1"/>
  <c r="AG76" i="8" a="1"/>
  <c r="AG76" i="8" s="1"/>
  <c r="AG73" i="8" a="1"/>
  <c r="AG73" i="8" s="1"/>
  <c r="AG70" i="8" a="1"/>
  <c r="AG70" i="8" s="1"/>
  <c r="AG67" i="8" a="1"/>
  <c r="AG67" i="8" s="1"/>
  <c r="AG64" i="8" a="1"/>
  <c r="AG64" i="8" s="1"/>
  <c r="AG61" i="8" a="1"/>
  <c r="AG61" i="8" s="1"/>
  <c r="AG58" i="8" a="1"/>
  <c r="AG58" i="8" s="1"/>
  <c r="AG55" i="8" a="1"/>
  <c r="AG55" i="8" s="1"/>
  <c r="AG52" i="8" a="1"/>
  <c r="AG52" i="8" s="1"/>
  <c r="AG49" i="8" a="1"/>
  <c r="AG49" i="8" s="1"/>
  <c r="AG46" i="8" a="1"/>
  <c r="AG46" i="8" s="1"/>
  <c r="AG43" i="8" a="1"/>
  <c r="AG43" i="8" s="1"/>
  <c r="AG40" i="8" a="1"/>
  <c r="AG40" i="8" s="1"/>
  <c r="AG37" i="8" a="1"/>
  <c r="AG37" i="8" s="1"/>
  <c r="AG34" i="8" a="1"/>
  <c r="AG34" i="8" s="1"/>
  <c r="AG31" i="8" a="1"/>
  <c r="AG31" i="8" s="1"/>
  <c r="AG28" i="8" a="1"/>
  <c r="AG28" i="8" s="1"/>
  <c r="AG25" i="8" a="1"/>
  <c r="AG25" i="8" s="1"/>
  <c r="AG22" i="8" a="1"/>
  <c r="AG22" i="8" s="1"/>
  <c r="AG19" i="8" a="1"/>
  <c r="AG19" i="8" s="1"/>
  <c r="AG16" i="8" a="1"/>
  <c r="AG16" i="8" s="1"/>
  <c r="AG13" i="8" a="1"/>
  <c r="AG13" i="8" s="1"/>
  <c r="AG10" i="8" a="1"/>
  <c r="AG10" i="8" s="1"/>
  <c r="AG7" i="8" a="1"/>
  <c r="AG7" i="8" s="1"/>
  <c r="AG4" i="8" a="1"/>
  <c r="AG4" i="8" s="1"/>
  <c r="AG471" i="8" a="1"/>
  <c r="AG471" i="8" s="1"/>
  <c r="AG468" i="8" a="1"/>
  <c r="AG468" i="8" s="1"/>
  <c r="AG465" i="8" a="1"/>
  <c r="AG465" i="8" s="1"/>
  <c r="AG462" i="8" a="1"/>
  <c r="AG462" i="8" s="1"/>
  <c r="AG459" i="8" a="1"/>
  <c r="AG459" i="8" s="1"/>
  <c r="AG456" i="8" a="1"/>
  <c r="AG456" i="8" s="1"/>
  <c r="AG453" i="8" a="1"/>
  <c r="AG453" i="8" s="1"/>
  <c r="AG450" i="8" a="1"/>
  <c r="AG450" i="8" s="1"/>
  <c r="AG447" i="8" a="1"/>
  <c r="AG447" i="8" s="1"/>
  <c r="AG444" i="8" a="1"/>
  <c r="AG444" i="8" s="1"/>
  <c r="AG441" i="8" a="1"/>
  <c r="AG441" i="8" s="1"/>
  <c r="AG438" i="8" a="1"/>
  <c r="AG438" i="8" s="1"/>
  <c r="AG435" i="8" a="1"/>
  <c r="AG435" i="8" s="1"/>
  <c r="AG432" i="8" a="1"/>
  <c r="AG432" i="8" s="1"/>
  <c r="AG429" i="8" a="1"/>
  <c r="AG429" i="8" s="1"/>
  <c r="AG426" i="8" a="1"/>
  <c r="AG426" i="8" s="1"/>
  <c r="AG423" i="8" a="1"/>
  <c r="AG423" i="8" s="1"/>
  <c r="AG420" i="8" a="1"/>
  <c r="AG420" i="8" s="1"/>
  <c r="AG417" i="8" a="1"/>
  <c r="AG417" i="8" s="1"/>
  <c r="AG414" i="8" a="1"/>
  <c r="AG414" i="8" s="1"/>
  <c r="AG411" i="8" a="1"/>
  <c r="AG411" i="8" s="1"/>
  <c r="AG408" i="8" a="1"/>
  <c r="AG408" i="8" s="1"/>
  <c r="AG405" i="8" a="1"/>
  <c r="AG405" i="8" s="1"/>
  <c r="AG402" i="8" a="1"/>
  <c r="AG402" i="8" s="1"/>
  <c r="AG399" i="8" a="1"/>
  <c r="AG399" i="8" s="1"/>
  <c r="AG396" i="8" a="1"/>
  <c r="AG396" i="8" s="1"/>
  <c r="AG393" i="8" a="1"/>
  <c r="AG393" i="8" s="1"/>
  <c r="AG390" i="8" a="1"/>
  <c r="AG390" i="8" s="1"/>
  <c r="AG387" i="8" a="1"/>
  <c r="AG387" i="8" s="1"/>
  <c r="AG384" i="8" a="1"/>
  <c r="AG384" i="8" s="1"/>
  <c r="AG381" i="8" a="1"/>
  <c r="AG381" i="8" s="1"/>
  <c r="AG378" i="8" a="1"/>
  <c r="AG378" i="8" s="1"/>
  <c r="AG375" i="8" a="1"/>
  <c r="AG375" i="8" s="1"/>
  <c r="AG372" i="8" a="1"/>
  <c r="AG372" i="8" s="1"/>
  <c r="AG369" i="8" a="1"/>
  <c r="AG369" i="8" s="1"/>
  <c r="AG366" i="8" a="1"/>
  <c r="AG366" i="8" s="1"/>
  <c r="AG363" i="8" a="1"/>
  <c r="AG363" i="8" s="1"/>
  <c r="AG360" i="8" a="1"/>
  <c r="AG360" i="8" s="1"/>
  <c r="AG357" i="8" a="1"/>
  <c r="AG357" i="8" s="1"/>
  <c r="AG354" i="8" a="1"/>
  <c r="AG354" i="8" s="1"/>
  <c r="AG351" i="8" a="1"/>
  <c r="AG351" i="8" s="1"/>
  <c r="AG348" i="8" a="1"/>
  <c r="AG348" i="8" s="1"/>
  <c r="AG345" i="8" a="1"/>
  <c r="AG345" i="8" s="1"/>
  <c r="AG342" i="8" a="1"/>
  <c r="AG342" i="8" s="1"/>
  <c r="AG339" i="8" a="1"/>
  <c r="AG339" i="8" s="1"/>
  <c r="AG336" i="8" a="1"/>
  <c r="AG336" i="8" s="1"/>
  <c r="AG333" i="8" a="1"/>
  <c r="AG333" i="8" s="1"/>
  <c r="AG330" i="8" a="1"/>
  <c r="AG330" i="8" s="1"/>
  <c r="AG327" i="8" a="1"/>
  <c r="AG327" i="8" s="1"/>
  <c r="AG324" i="8" a="1"/>
  <c r="AG324" i="8" s="1"/>
  <c r="AG321" i="8" a="1"/>
  <c r="AG321" i="8" s="1"/>
  <c r="AG318" i="8" a="1"/>
  <c r="AG318" i="8" s="1"/>
  <c r="AG315" i="8" a="1"/>
  <c r="AG315" i="8" s="1"/>
  <c r="AG312" i="8" a="1"/>
  <c r="AG312" i="8" s="1"/>
  <c r="AG309" i="8" a="1"/>
  <c r="AG309" i="8" s="1"/>
  <c r="AG306" i="8" a="1"/>
  <c r="AG306" i="8" s="1"/>
  <c r="AG303" i="8" a="1"/>
  <c r="AG303" i="8" s="1"/>
  <c r="AG300" i="8" a="1"/>
  <c r="AG300" i="8" s="1"/>
  <c r="AG297" i="8" a="1"/>
  <c r="AG297" i="8" s="1"/>
  <c r="AG294" i="8" a="1"/>
  <c r="AG294" i="8" s="1"/>
  <c r="AG291" i="8" a="1"/>
  <c r="AG291" i="8" s="1"/>
  <c r="AG288" i="8" a="1"/>
  <c r="AG288" i="8" s="1"/>
  <c r="AG285" i="8" a="1"/>
  <c r="AG285" i="8" s="1"/>
  <c r="AG282" i="8" a="1"/>
  <c r="AG282" i="8" s="1"/>
  <c r="AG279" i="8" a="1"/>
  <c r="AG279" i="8" s="1"/>
  <c r="AG276" i="8" a="1"/>
  <c r="AG276" i="8" s="1"/>
  <c r="AG273" i="8" a="1"/>
  <c r="AG273" i="8" s="1"/>
  <c r="AG270" i="8" a="1"/>
  <c r="AG270" i="8" s="1"/>
  <c r="AG267" i="8" a="1"/>
  <c r="AG267" i="8" s="1"/>
  <c r="AG264" i="8" a="1"/>
  <c r="AG264" i="8" s="1"/>
  <c r="AG261" i="8" a="1"/>
  <c r="AG261" i="8" s="1"/>
  <c r="AG258" i="8" a="1"/>
  <c r="AG258" i="8" s="1"/>
  <c r="AG255" i="8" a="1"/>
  <c r="AG255" i="8" s="1"/>
  <c r="AG252" i="8" a="1"/>
  <c r="AG252" i="8" s="1"/>
  <c r="AG249" i="8" a="1"/>
  <c r="AG249" i="8" s="1"/>
  <c r="AG246" i="8" a="1"/>
  <c r="AG246" i="8" s="1"/>
  <c r="AG243" i="8" a="1"/>
  <c r="AG243" i="8" s="1"/>
  <c r="AG240" i="8" a="1"/>
  <c r="AG240" i="8" s="1"/>
  <c r="AG237" i="8" a="1"/>
  <c r="AG237" i="8" s="1"/>
  <c r="AG234" i="8" a="1"/>
  <c r="AG234" i="8" s="1"/>
  <c r="AG231" i="8" a="1"/>
  <c r="AG231" i="8" s="1"/>
  <c r="AG228" i="8" a="1"/>
  <c r="AG228" i="8" s="1"/>
  <c r="AG225" i="8" a="1"/>
  <c r="AG225" i="8" s="1"/>
  <c r="AG222" i="8" a="1"/>
  <c r="AG222" i="8" s="1"/>
  <c r="AG219" i="8" a="1"/>
  <c r="AG219" i="8" s="1"/>
  <c r="AG216" i="8" a="1"/>
  <c r="AG216" i="8" s="1"/>
  <c r="AG213" i="8" a="1"/>
  <c r="AG213" i="8" s="1"/>
  <c r="AG210" i="8" a="1"/>
  <c r="AG210" i="8" s="1"/>
  <c r="AG207" i="8" a="1"/>
  <c r="AG207" i="8" s="1"/>
  <c r="AG204" i="8" a="1"/>
  <c r="AG204" i="8" s="1"/>
  <c r="AG201" i="8" a="1"/>
  <c r="AG201" i="8" s="1"/>
  <c r="AG198" i="8" a="1"/>
  <c r="AG198" i="8" s="1"/>
  <c r="AG195" i="8" a="1"/>
  <c r="AG195" i="8" s="1"/>
  <c r="AG192" i="8" a="1"/>
  <c r="AG192" i="8" s="1"/>
  <c r="AG189" i="8" a="1"/>
  <c r="AG189" i="8" s="1"/>
  <c r="AG186" i="8" a="1"/>
  <c r="AG186" i="8" s="1"/>
  <c r="AG183" i="8" a="1"/>
  <c r="AG183" i="8" s="1"/>
  <c r="AG180" i="8" a="1"/>
  <c r="AG180" i="8" s="1"/>
  <c r="AG177" i="8" a="1"/>
  <c r="AG177" i="8" s="1"/>
  <c r="AG174" i="8" a="1"/>
  <c r="AG174" i="8" s="1"/>
  <c r="AG171" i="8" a="1"/>
  <c r="AG171" i="8" s="1"/>
  <c r="AG168" i="8" a="1"/>
  <c r="AG168" i="8" s="1"/>
  <c r="AG165" i="8" a="1"/>
  <c r="AG165" i="8" s="1"/>
  <c r="AG162" i="8" a="1"/>
  <c r="AG162" i="8" s="1"/>
  <c r="AG159" i="8" a="1"/>
  <c r="AG159" i="8" s="1"/>
  <c r="AG156" i="8" a="1"/>
  <c r="AG156" i="8" s="1"/>
  <c r="AG153" i="8" a="1"/>
  <c r="AG153" i="8" s="1"/>
  <c r="AG150" i="8" a="1"/>
  <c r="AG150" i="8" s="1"/>
  <c r="AG147" i="8" a="1"/>
  <c r="AG147" i="8" s="1"/>
  <c r="AG144" i="8" a="1"/>
  <c r="AG144" i="8" s="1"/>
  <c r="AG141" i="8" a="1"/>
  <c r="AG141" i="8" s="1"/>
  <c r="AG138" i="8" a="1"/>
  <c r="AG138" i="8" s="1"/>
  <c r="AG135" i="8" a="1"/>
  <c r="AG135" i="8" s="1"/>
  <c r="AG132" i="8" a="1"/>
  <c r="AG132" i="8" s="1"/>
  <c r="AG129" i="8" a="1"/>
  <c r="AG129" i="8" s="1"/>
  <c r="AG126" i="8" a="1"/>
  <c r="AG126" i="8" s="1"/>
  <c r="AG123" i="8" a="1"/>
  <c r="AG123" i="8" s="1"/>
  <c r="AG120" i="8" a="1"/>
  <c r="AG120" i="8" s="1"/>
  <c r="AG117" i="8" a="1"/>
  <c r="AG117" i="8" s="1"/>
  <c r="AG114" i="8" a="1"/>
  <c r="AG114" i="8" s="1"/>
  <c r="AG111" i="8" a="1"/>
  <c r="AG111" i="8" s="1"/>
  <c r="AG108" i="8" a="1"/>
  <c r="AG108" i="8" s="1"/>
  <c r="AG105" i="8" a="1"/>
  <c r="AG105" i="8" s="1"/>
  <c r="AG102" i="8" a="1"/>
  <c r="AG102" i="8" s="1"/>
  <c r="AG99" i="8" a="1"/>
  <c r="AG99" i="8" s="1"/>
  <c r="AG96" i="8" a="1"/>
  <c r="AG96" i="8" s="1"/>
  <c r="AG93" i="8" a="1"/>
  <c r="AG93" i="8" s="1"/>
  <c r="AG90" i="8" a="1"/>
  <c r="AG90" i="8" s="1"/>
  <c r="AG87" i="8" a="1"/>
  <c r="AG87" i="8" s="1"/>
  <c r="AG84" i="8" a="1"/>
  <c r="AG84" i="8" s="1"/>
  <c r="AG81" i="8" a="1"/>
  <c r="AG81" i="8" s="1"/>
  <c r="AG78" i="8" a="1"/>
  <c r="AG78" i="8" s="1"/>
  <c r="AG75" i="8" a="1"/>
  <c r="AG75" i="8" s="1"/>
  <c r="AG72" i="8" a="1"/>
  <c r="AG72" i="8" s="1"/>
  <c r="AG69" i="8" a="1"/>
  <c r="AG69" i="8" s="1"/>
  <c r="AG66" i="8" a="1"/>
  <c r="AG66" i="8" s="1"/>
  <c r="AG63" i="8" a="1"/>
  <c r="AG63" i="8" s="1"/>
  <c r="AG60" i="8" a="1"/>
  <c r="AG60" i="8" s="1"/>
  <c r="AG57" i="8" a="1"/>
  <c r="AG57" i="8" s="1"/>
  <c r="AG54" i="8" a="1"/>
  <c r="AG54" i="8" s="1"/>
  <c r="AG51" i="8" a="1"/>
  <c r="AG51" i="8" s="1"/>
  <c r="AG48" i="8" a="1"/>
  <c r="AG48" i="8" s="1"/>
  <c r="AG45" i="8" a="1"/>
  <c r="AG45" i="8" s="1"/>
  <c r="AG42" i="8" a="1"/>
  <c r="AG42" i="8" s="1"/>
  <c r="AG39" i="8" a="1"/>
  <c r="AG39" i="8" s="1"/>
  <c r="AG36" i="8" a="1"/>
  <c r="AG36" i="8" s="1"/>
  <c r="AG33" i="8" a="1"/>
  <c r="AG33" i="8" s="1"/>
  <c r="AG30" i="8" a="1"/>
  <c r="AG30" i="8" s="1"/>
  <c r="AG27" i="8" a="1"/>
  <c r="AG27" i="8" s="1"/>
  <c r="AG24" i="8" a="1"/>
  <c r="AG24" i="8" s="1"/>
  <c r="AG21" i="8" a="1"/>
  <c r="AG21" i="8" s="1"/>
  <c r="AG18" i="8" a="1"/>
  <c r="AG18" i="8" s="1"/>
  <c r="AG15" i="8" a="1"/>
  <c r="AG15" i="8" s="1"/>
  <c r="AG12" i="8" a="1"/>
  <c r="AG12" i="8" s="1"/>
  <c r="AG9" i="8" a="1"/>
  <c r="AG9" i="8" s="1"/>
  <c r="AG6" i="8" a="1"/>
  <c r="AG6" i="8" s="1"/>
  <c r="AG3" i="8" a="1"/>
  <c r="AG3" i="8" s="1"/>
  <c r="AG440" i="8" a="1"/>
  <c r="AG440" i="8" s="1"/>
  <c r="AG437" i="8" a="1"/>
  <c r="AG437" i="8" s="1"/>
  <c r="AG434" i="8" a="1"/>
  <c r="AG434" i="8" s="1"/>
  <c r="AG431" i="8" a="1"/>
  <c r="AG431" i="8" s="1"/>
  <c r="AG428" i="8" a="1"/>
  <c r="AG428" i="8" s="1"/>
  <c r="AG425" i="8" a="1"/>
  <c r="AG425" i="8" s="1"/>
  <c r="AG422" i="8" a="1"/>
  <c r="AG422" i="8" s="1"/>
  <c r="AG419" i="8" a="1"/>
  <c r="AG419" i="8" s="1"/>
  <c r="AG416" i="8" a="1"/>
  <c r="AG416" i="8" s="1"/>
  <c r="AG413" i="8" a="1"/>
  <c r="AG413" i="8" s="1"/>
  <c r="AG410" i="8" a="1"/>
  <c r="AG410" i="8" s="1"/>
  <c r="AG407" i="8" a="1"/>
  <c r="AG407" i="8" s="1"/>
  <c r="AG404" i="8" a="1"/>
  <c r="AG404" i="8" s="1"/>
  <c r="AG401" i="8" a="1"/>
  <c r="AG401" i="8" s="1"/>
  <c r="AG398" i="8" a="1"/>
  <c r="AG398" i="8" s="1"/>
  <c r="AG395" i="8" a="1"/>
  <c r="AG395" i="8" s="1"/>
  <c r="AG392" i="8" a="1"/>
  <c r="AG392" i="8" s="1"/>
  <c r="AG389" i="8" a="1"/>
  <c r="AG389" i="8" s="1"/>
  <c r="AG386" i="8" a="1"/>
  <c r="AG386" i="8" s="1"/>
  <c r="AG383" i="8" a="1"/>
  <c r="AG383" i="8" s="1"/>
  <c r="AG380" i="8" a="1"/>
  <c r="AG380" i="8" s="1"/>
  <c r="AG377" i="8" a="1"/>
  <c r="AG377" i="8" s="1"/>
  <c r="AG374" i="8" a="1"/>
  <c r="AG374" i="8" s="1"/>
  <c r="AG371" i="8" a="1"/>
  <c r="AG371" i="8" s="1"/>
  <c r="AG368" i="8" a="1"/>
  <c r="AG368" i="8" s="1"/>
  <c r="AG365" i="8" a="1"/>
  <c r="AG365" i="8" s="1"/>
  <c r="AG362" i="8" a="1"/>
  <c r="AG362" i="8" s="1"/>
  <c r="AG359" i="8" a="1"/>
  <c r="AG359" i="8" s="1"/>
  <c r="AG356" i="8" a="1"/>
  <c r="AG356" i="8" s="1"/>
  <c r="AG353" i="8" a="1"/>
  <c r="AG353" i="8" s="1"/>
  <c r="AG350" i="8" a="1"/>
  <c r="AG350" i="8" s="1"/>
  <c r="AG347" i="8" a="1"/>
  <c r="AG347" i="8" s="1"/>
  <c r="AG344" i="8" a="1"/>
  <c r="AG344" i="8" s="1"/>
  <c r="AG341" i="8" a="1"/>
  <c r="AG341" i="8" s="1"/>
  <c r="AG338" i="8" a="1"/>
  <c r="AG338" i="8" s="1"/>
  <c r="AG335" i="8" a="1"/>
  <c r="AG335" i="8" s="1"/>
  <c r="AG332" i="8" a="1"/>
  <c r="AG332" i="8" s="1"/>
  <c r="AG329" i="8" a="1"/>
  <c r="AG329" i="8" s="1"/>
  <c r="AG326" i="8" a="1"/>
  <c r="AG326" i="8" s="1"/>
  <c r="AG323" i="8" a="1"/>
  <c r="AG323" i="8" s="1"/>
  <c r="AG320" i="8" a="1"/>
  <c r="AG320" i="8" s="1"/>
  <c r="AG317" i="8" a="1"/>
  <c r="AG317" i="8" s="1"/>
  <c r="AG314" i="8" a="1"/>
  <c r="AG314" i="8" s="1"/>
  <c r="AG311" i="8" a="1"/>
  <c r="AG311" i="8" s="1"/>
  <c r="AG308" i="8" a="1"/>
  <c r="AG308" i="8" s="1"/>
  <c r="AG305" i="8" a="1"/>
  <c r="AG305" i="8" s="1"/>
  <c r="AG302" i="8" a="1"/>
  <c r="AG302" i="8" s="1"/>
  <c r="AG299" i="8" a="1"/>
  <c r="AG299" i="8" s="1"/>
  <c r="AG296" i="8" a="1"/>
  <c r="AG296" i="8" s="1"/>
  <c r="AG293" i="8" a="1"/>
  <c r="AG293" i="8" s="1"/>
  <c r="AG290" i="8" a="1"/>
  <c r="AG290" i="8" s="1"/>
  <c r="AG287" i="8" a="1"/>
  <c r="AG287" i="8" s="1"/>
  <c r="AG284" i="8" a="1"/>
  <c r="AG284" i="8" s="1"/>
  <c r="AG281" i="8" a="1"/>
  <c r="AG281" i="8" s="1"/>
  <c r="AG278" i="8" a="1"/>
  <c r="AG278" i="8" s="1"/>
  <c r="AG275" i="8" a="1"/>
  <c r="AG275" i="8" s="1"/>
  <c r="AG272" i="8" a="1"/>
  <c r="AG272" i="8" s="1"/>
  <c r="AG269" i="8" a="1"/>
  <c r="AG269" i="8" s="1"/>
  <c r="AG266" i="8" a="1"/>
  <c r="AG266" i="8" s="1"/>
  <c r="AG263" i="8" a="1"/>
  <c r="AG263" i="8" s="1"/>
  <c r="AG260" i="8" a="1"/>
  <c r="AG260" i="8" s="1"/>
  <c r="AG257" i="8" a="1"/>
  <c r="AG257" i="8" s="1"/>
  <c r="AG254" i="8" a="1"/>
  <c r="AG254" i="8" s="1"/>
  <c r="AG251" i="8" a="1"/>
  <c r="AG251" i="8" s="1"/>
  <c r="AG248" i="8" a="1"/>
  <c r="AG248" i="8" s="1"/>
  <c r="AG245" i="8" a="1"/>
  <c r="AG245" i="8" s="1"/>
  <c r="AG242" i="8" a="1"/>
  <c r="AG242" i="8" s="1"/>
  <c r="AG239" i="8" a="1"/>
  <c r="AG239" i="8" s="1"/>
  <c r="AG236" i="8" a="1"/>
  <c r="AG236" i="8" s="1"/>
  <c r="AG233" i="8" a="1"/>
  <c r="AG233" i="8" s="1"/>
  <c r="AG230" i="8" a="1"/>
  <c r="AG230" i="8" s="1"/>
  <c r="AG227" i="8" a="1"/>
  <c r="AG227" i="8" s="1"/>
  <c r="AG224" i="8" a="1"/>
  <c r="AG224" i="8" s="1"/>
  <c r="AG221" i="8" a="1"/>
  <c r="AG221" i="8" s="1"/>
  <c r="AG218" i="8" a="1"/>
  <c r="AG218" i="8" s="1"/>
  <c r="AG215" i="8" a="1"/>
  <c r="AG215" i="8" s="1"/>
  <c r="AG212" i="8" a="1"/>
  <c r="AG212" i="8" s="1"/>
  <c r="AG209" i="8" a="1"/>
  <c r="AG209" i="8" s="1"/>
  <c r="AG206" i="8" a="1"/>
  <c r="AG206" i="8" s="1"/>
  <c r="AG203" i="8" a="1"/>
  <c r="AG203" i="8" s="1"/>
  <c r="AG200" i="8" a="1"/>
  <c r="AG200" i="8" s="1"/>
  <c r="AG197" i="8" a="1"/>
  <c r="AG197" i="8" s="1"/>
  <c r="AG194" i="8" a="1"/>
  <c r="AG194" i="8" s="1"/>
  <c r="AG191" i="8" a="1"/>
  <c r="AG191" i="8" s="1"/>
  <c r="AG188" i="8" a="1"/>
  <c r="AG188" i="8" s="1"/>
  <c r="AG185" i="8" a="1"/>
  <c r="AG185" i="8" s="1"/>
  <c r="AG182" i="8" a="1"/>
  <c r="AG182" i="8" s="1"/>
  <c r="AG179" i="8" a="1"/>
  <c r="AG179" i="8" s="1"/>
  <c r="AG176" i="8" a="1"/>
  <c r="AG176" i="8" s="1"/>
  <c r="AG173" i="8" a="1"/>
  <c r="AG173" i="8" s="1"/>
  <c r="AG170" i="8" a="1"/>
  <c r="AG170" i="8" s="1"/>
  <c r="AG167" i="8" a="1"/>
  <c r="AG167" i="8" s="1"/>
  <c r="AG164" i="8" a="1"/>
  <c r="AG164" i="8" s="1"/>
  <c r="AG161" i="8" a="1"/>
  <c r="AG161" i="8" s="1"/>
  <c r="AG158" i="8" a="1"/>
  <c r="AG158" i="8" s="1"/>
  <c r="AG155" i="8" a="1"/>
  <c r="AG155" i="8" s="1"/>
  <c r="AG152" i="8" a="1"/>
  <c r="AG152" i="8" s="1"/>
  <c r="AG149" i="8" a="1"/>
  <c r="AG149" i="8" s="1"/>
  <c r="AG146" i="8" a="1"/>
  <c r="AG146" i="8" s="1"/>
  <c r="AG143" i="8" a="1"/>
  <c r="AG143" i="8" s="1"/>
  <c r="AG140" i="8" a="1"/>
  <c r="AG140" i="8" s="1"/>
  <c r="AG137" i="8" a="1"/>
  <c r="AG137" i="8" s="1"/>
  <c r="AG134" i="8" a="1"/>
  <c r="AG134" i="8" s="1"/>
  <c r="AG131" i="8" a="1"/>
  <c r="AG131" i="8" s="1"/>
  <c r="AG128" i="8" a="1"/>
  <c r="AG128" i="8" s="1"/>
  <c r="AG125" i="8" a="1"/>
  <c r="AG125" i="8" s="1"/>
  <c r="AG122" i="8" a="1"/>
  <c r="AG122" i="8" s="1"/>
  <c r="AG119" i="8" a="1"/>
  <c r="AG119" i="8" s="1"/>
  <c r="AG116" i="8" a="1"/>
  <c r="AG116" i="8" s="1"/>
  <c r="AG113" i="8" a="1"/>
  <c r="AG113" i="8" s="1"/>
  <c r="AG110" i="8" a="1"/>
  <c r="AG110" i="8" s="1"/>
  <c r="AG107" i="8" a="1"/>
  <c r="AG107" i="8" s="1"/>
  <c r="AG104" i="8" a="1"/>
  <c r="AG104" i="8" s="1"/>
  <c r="AG101" i="8" a="1"/>
  <c r="AG101" i="8" s="1"/>
  <c r="AG98" i="8" a="1"/>
  <c r="AG98" i="8" s="1"/>
  <c r="AG95" i="8" a="1"/>
  <c r="AG95" i="8" s="1"/>
  <c r="AG92" i="8" a="1"/>
  <c r="AG92" i="8" s="1"/>
  <c r="AG89" i="8" a="1"/>
  <c r="AG89" i="8" s="1"/>
  <c r="AG86" i="8" a="1"/>
  <c r="AG86" i="8" s="1"/>
  <c r="AG83" i="8" a="1"/>
  <c r="AG83" i="8" s="1"/>
  <c r="AG80" i="8" a="1"/>
  <c r="AG80" i="8" s="1"/>
  <c r="AG77" i="8" a="1"/>
  <c r="AG77" i="8" s="1"/>
  <c r="AG74" i="8" a="1"/>
  <c r="AG74" i="8" s="1"/>
  <c r="AG71" i="8" a="1"/>
  <c r="AG71" i="8" s="1"/>
  <c r="AG68" i="8" a="1"/>
  <c r="AG68" i="8" s="1"/>
  <c r="AG65" i="8" a="1"/>
  <c r="AG65" i="8" s="1"/>
  <c r="AG62" i="8" a="1"/>
  <c r="AG62" i="8" s="1"/>
  <c r="AG59" i="8" a="1"/>
  <c r="AG59" i="8" s="1"/>
  <c r="AG56" i="8" a="1"/>
  <c r="AG56" i="8" s="1"/>
  <c r="AG53" i="8" a="1"/>
  <c r="AG53" i="8" s="1"/>
  <c r="AG50" i="8" a="1"/>
  <c r="AG50" i="8" s="1"/>
  <c r="AG47" i="8" a="1"/>
  <c r="AG47" i="8" s="1"/>
  <c r="AG44" i="8" a="1"/>
  <c r="AG44" i="8" s="1"/>
  <c r="AG41" i="8" a="1"/>
  <c r="AG41" i="8" s="1"/>
  <c r="AG38" i="8" a="1"/>
  <c r="AG38" i="8" s="1"/>
  <c r="AG35" i="8" a="1"/>
  <c r="AG35" i="8" s="1"/>
  <c r="AG32" i="8" a="1"/>
  <c r="AG32" i="8" s="1"/>
  <c r="AG29" i="8" a="1"/>
  <c r="AG29" i="8" s="1"/>
  <c r="AG26" i="8" a="1"/>
  <c r="AG26" i="8" s="1"/>
  <c r="AG23" i="8" a="1"/>
  <c r="AG23" i="8" s="1"/>
  <c r="AG20" i="8" a="1"/>
  <c r="AG20" i="8" s="1"/>
  <c r="AG17" i="8" a="1"/>
  <c r="AG17" i="8" s="1"/>
  <c r="AG14" i="8" a="1"/>
  <c r="AG14" i="8" s="1"/>
  <c r="AG11" i="8" a="1"/>
  <c r="AG11" i="8" s="1"/>
  <c r="AG8" i="8" a="1"/>
  <c r="AG8" i="8" s="1"/>
  <c r="AG5" i="8" a="1"/>
  <c r="AG5" i="8" s="1"/>
  <c r="AM2" i="9" a="1"/>
  <c r="AM2" i="9" s="1"/>
  <c r="AM3" i="9" a="1"/>
  <c r="AM3" i="9" s="1"/>
  <c r="AM4" i="9" a="1"/>
  <c r="AM4" i="9" s="1"/>
  <c r="AM5" i="9" a="1"/>
  <c r="AM5" i="9" s="1"/>
  <c r="AM6" i="9" a="1"/>
  <c r="AM6" i="9" s="1"/>
  <c r="AM7" i="9" a="1"/>
  <c r="AM7" i="9" s="1"/>
  <c r="AM8" i="9" a="1"/>
  <c r="AM8" i="9" s="1"/>
  <c r="AM9" i="9" a="1"/>
  <c r="AM9" i="9" s="1"/>
  <c r="AM10" i="9" a="1"/>
  <c r="AM10" i="9" s="1"/>
  <c r="AM11" i="9" a="1"/>
  <c r="AM11" i="9" s="1"/>
  <c r="AM12" i="9" a="1"/>
  <c r="AM12" i="9" s="1"/>
  <c r="AM13" i="9" a="1"/>
  <c r="AM13" i="9" s="1"/>
  <c r="AM14" i="9" a="1"/>
  <c r="AM14" i="9" s="1"/>
  <c r="AM15" i="9" a="1"/>
  <c r="AM15" i="9" s="1"/>
  <c r="AM16" i="9" a="1"/>
  <c r="AM16" i="9" s="1"/>
  <c r="AM17" i="9" a="1"/>
  <c r="AM17" i="9" s="1"/>
  <c r="AM18" i="9" a="1"/>
  <c r="AM18" i="9" s="1"/>
  <c r="AM19" i="9" a="1"/>
  <c r="AM19" i="9" s="1"/>
  <c r="AM20" i="9" a="1"/>
  <c r="AM20" i="9" s="1"/>
  <c r="AM21" i="9" a="1"/>
  <c r="AM21" i="9" s="1"/>
  <c r="AM22" i="9" a="1"/>
  <c r="AM22" i="9" s="1"/>
  <c r="AM23" i="9" a="1"/>
  <c r="AM23" i="9" s="1"/>
  <c r="AM24" i="9" a="1"/>
  <c r="AM24" i="9" s="1"/>
  <c r="AM25" i="9" a="1"/>
  <c r="AM25" i="9" s="1"/>
  <c r="AM26" i="9" a="1"/>
  <c r="AM26" i="9" s="1"/>
  <c r="AM27" i="9" a="1"/>
  <c r="AM27" i="9" s="1"/>
  <c r="AM28" i="9" a="1"/>
  <c r="AM28" i="9" s="1"/>
  <c r="AM29" i="9" a="1"/>
  <c r="AM29" i="9" s="1"/>
  <c r="AM30" i="9" a="1"/>
  <c r="AM30" i="9" s="1"/>
  <c r="AM31" i="9" a="1"/>
  <c r="AM31" i="9" s="1"/>
  <c r="AM32" i="9" a="1"/>
  <c r="AM32" i="9" s="1"/>
  <c r="AM33" i="9" a="1"/>
  <c r="AM33" i="9" s="1"/>
  <c r="AM34" i="9" a="1"/>
  <c r="AM34" i="9" s="1"/>
  <c r="AM35" i="9" a="1"/>
  <c r="AM35" i="9" s="1"/>
  <c r="AM36" i="9" a="1"/>
  <c r="AM36" i="9" s="1"/>
  <c r="AM37" i="9" a="1"/>
  <c r="AM37" i="9" s="1"/>
  <c r="AM38" i="9" a="1"/>
  <c r="AM38" i="9" s="1"/>
  <c r="AM39" i="9" a="1"/>
  <c r="AM39" i="9" s="1"/>
  <c r="AM40" i="9" a="1"/>
  <c r="AM40" i="9" s="1"/>
  <c r="AM41" i="9" a="1"/>
  <c r="AM41" i="9" s="1"/>
  <c r="AM42" i="9" a="1"/>
  <c r="AM42" i="9" s="1"/>
  <c r="AM43" i="9" a="1"/>
  <c r="AM43" i="9" s="1"/>
  <c r="AM44" i="9" a="1"/>
  <c r="AM44" i="9" s="1"/>
  <c r="AM45" i="9" a="1"/>
  <c r="AM45" i="9" s="1"/>
  <c r="AM46" i="9" a="1"/>
  <c r="AM46" i="9" s="1"/>
  <c r="AM47" i="9" a="1"/>
  <c r="AM47" i="9" s="1"/>
  <c r="AM48" i="9" a="1"/>
  <c r="AM48" i="9" s="1"/>
  <c r="AM49" i="9" a="1"/>
  <c r="AM49" i="9" s="1"/>
  <c r="AM50" i="9" a="1"/>
  <c r="AM50" i="9" s="1"/>
  <c r="AM51" i="9" a="1"/>
  <c r="AM51" i="9" s="1"/>
  <c r="AM52" i="9" a="1"/>
  <c r="AM52" i="9" s="1"/>
  <c r="AM53" i="9" a="1"/>
  <c r="AM53" i="9" s="1"/>
  <c r="AM54" i="9" a="1"/>
  <c r="AM54" i="9" s="1"/>
  <c r="AM55" i="9" a="1"/>
  <c r="AM55" i="9" s="1"/>
  <c r="AM56" i="9" a="1"/>
  <c r="AM56" i="9" s="1"/>
  <c r="AM57" i="9" a="1"/>
  <c r="AM57" i="9" s="1"/>
  <c r="AM58" i="9" a="1"/>
  <c r="AM58" i="9" s="1"/>
  <c r="AM59" i="9" a="1"/>
  <c r="AM59" i="9" s="1"/>
  <c r="AM60" i="9" a="1"/>
  <c r="AM60" i="9" s="1"/>
  <c r="AM61" i="9" a="1"/>
  <c r="AM61" i="9" s="1"/>
  <c r="AM62" i="9" a="1"/>
  <c r="AM62" i="9" s="1"/>
  <c r="AM63" i="9" a="1"/>
  <c r="AM63" i="9" s="1"/>
  <c r="AM64" i="9" a="1"/>
  <c r="AM64" i="9" s="1"/>
  <c r="AM65" i="9" a="1"/>
  <c r="AM65" i="9" s="1"/>
  <c r="AM66" i="9" a="1"/>
  <c r="AM66" i="9" s="1"/>
  <c r="AM67" i="9" a="1"/>
  <c r="AM67" i="9" s="1"/>
  <c r="AM68" i="9" a="1"/>
  <c r="AM68" i="9" s="1"/>
  <c r="AM69" i="9" a="1"/>
  <c r="AM69" i="9" s="1"/>
  <c r="AM70" i="9" a="1"/>
  <c r="AM70" i="9" s="1"/>
  <c r="AM71" i="9" a="1"/>
  <c r="AM71" i="9" s="1"/>
  <c r="AM72" i="9" a="1"/>
  <c r="AM72" i="9" s="1"/>
  <c r="AM73" i="9" a="1"/>
  <c r="AM73" i="9" s="1"/>
  <c r="AM74" i="9" a="1"/>
  <c r="AM74" i="9" s="1"/>
  <c r="AM75" i="9" a="1"/>
  <c r="AM75" i="9" s="1"/>
  <c r="AM76" i="9" a="1"/>
  <c r="AM76" i="9" s="1"/>
  <c r="AM77" i="9" a="1"/>
  <c r="AM77" i="9" s="1"/>
  <c r="AM78" i="9" a="1"/>
  <c r="AM78" i="9" s="1"/>
  <c r="AM79" i="9" a="1"/>
  <c r="AM79" i="9" s="1"/>
  <c r="AM80" i="9" a="1"/>
  <c r="AM80" i="9" s="1"/>
  <c r="AM81" i="9" a="1"/>
  <c r="AM81" i="9" s="1"/>
  <c r="AM82" i="9" a="1"/>
  <c r="AM82" i="9" s="1"/>
  <c r="AM83" i="9" a="1"/>
  <c r="AM83" i="9" s="1"/>
  <c r="AM84" i="9" a="1"/>
  <c r="AM84" i="9" s="1"/>
  <c r="AM85" i="9" a="1"/>
  <c r="AM85" i="9" s="1"/>
  <c r="AM86" i="9" a="1"/>
  <c r="AM86" i="9" s="1"/>
  <c r="AM87" i="9" a="1"/>
  <c r="AM87" i="9" s="1"/>
  <c r="AM88" i="9" a="1"/>
  <c r="AM88" i="9" s="1"/>
  <c r="AM89" i="9" a="1"/>
  <c r="AM89" i="9" s="1"/>
  <c r="AM90" i="9" a="1"/>
  <c r="AM90" i="9" s="1"/>
  <c r="AM91" i="9" a="1"/>
  <c r="AM91" i="9" s="1"/>
  <c r="AM92" i="9" a="1"/>
  <c r="AM92" i="9" s="1"/>
  <c r="AM93" i="9" a="1"/>
  <c r="AM93" i="9" s="1"/>
  <c r="AM94" i="9" a="1"/>
  <c r="AM94" i="9" s="1"/>
  <c r="AM95" i="9" a="1"/>
  <c r="AM95" i="9" s="1"/>
  <c r="AM96" i="9" a="1"/>
  <c r="AM96" i="9" s="1"/>
  <c r="AM97" i="9" a="1"/>
  <c r="AM97" i="9" s="1"/>
  <c r="AM98" i="9" a="1"/>
  <c r="AM98" i="9" s="1"/>
  <c r="AM99" i="9" a="1"/>
  <c r="AM99" i="9" s="1"/>
  <c r="AM100" i="9" a="1"/>
  <c r="AM100" i="9" s="1"/>
  <c r="AM101" i="9" a="1"/>
  <c r="AM101" i="9" s="1"/>
  <c r="AM102" i="9" a="1"/>
  <c r="AM102" i="9" s="1"/>
  <c r="AM103" i="9" a="1"/>
  <c r="AM103" i="9" s="1"/>
  <c r="AM104" i="9" a="1"/>
  <c r="AM104" i="9" s="1"/>
  <c r="AM105" i="9" a="1"/>
  <c r="AM105" i="9" s="1"/>
  <c r="AM106" i="9" a="1"/>
  <c r="AM106" i="9" s="1"/>
  <c r="AM107" i="9" a="1"/>
  <c r="AM107" i="9" s="1"/>
  <c r="AM108" i="9" a="1"/>
  <c r="AM108" i="9" s="1"/>
  <c r="AM109" i="9" a="1"/>
  <c r="AM109" i="9" s="1"/>
  <c r="AM110" i="9" a="1"/>
  <c r="AM110" i="9" s="1"/>
  <c r="AM111" i="9" a="1"/>
  <c r="AM111" i="9" s="1"/>
  <c r="AM112" i="9" a="1"/>
  <c r="AM112" i="9" s="1"/>
  <c r="AM113" i="9" a="1"/>
  <c r="AM113" i="9" s="1"/>
  <c r="AM114" i="9" a="1"/>
  <c r="AM114" i="9" s="1"/>
  <c r="AM115" i="9" a="1"/>
  <c r="AM115" i="9" s="1"/>
  <c r="AM116" i="9" a="1"/>
  <c r="AM116" i="9" s="1"/>
  <c r="AM117" i="9" a="1"/>
  <c r="AM117" i="9" s="1"/>
  <c r="AM118" i="9" a="1"/>
  <c r="AM118" i="9" s="1"/>
  <c r="AM119" i="9" a="1"/>
  <c r="AM119" i="9" s="1"/>
  <c r="AM120" i="9" a="1"/>
  <c r="AM120" i="9" s="1"/>
  <c r="AM121" i="9" a="1"/>
  <c r="AM121" i="9" s="1"/>
  <c r="AM122" i="9" a="1"/>
  <c r="AM122" i="9" s="1"/>
  <c r="AM123" i="9" a="1"/>
  <c r="AM123" i="9" s="1"/>
  <c r="AM124" i="9" a="1"/>
  <c r="AM124" i="9" s="1"/>
  <c r="AM125" i="9" a="1"/>
  <c r="AM125" i="9" s="1"/>
  <c r="AM126" i="9" a="1"/>
  <c r="AM126" i="9" s="1"/>
  <c r="AM127" i="9" a="1"/>
  <c r="AM127" i="9" s="1"/>
  <c r="AM128" i="9" a="1"/>
  <c r="AM128" i="9" s="1"/>
  <c r="AM129" i="9" a="1"/>
  <c r="AM129" i="9" s="1"/>
  <c r="AM130" i="9" a="1"/>
  <c r="AM130" i="9" s="1"/>
  <c r="AM131" i="9" a="1"/>
  <c r="AM131" i="9" s="1"/>
  <c r="AM132" i="9" a="1"/>
  <c r="AM132" i="9" s="1"/>
  <c r="AM133" i="9" a="1"/>
  <c r="AM133" i="9" s="1"/>
  <c r="AM134" i="9" a="1"/>
  <c r="AM134" i="9" s="1"/>
  <c r="AM135" i="9" a="1"/>
  <c r="AM135" i="9" s="1"/>
  <c r="AM136" i="9" a="1"/>
  <c r="AM136" i="9" s="1"/>
  <c r="AM137" i="9" a="1"/>
  <c r="AM137" i="9" s="1"/>
  <c r="AM138" i="9" a="1"/>
  <c r="AM138" i="9" s="1"/>
  <c r="AM139" i="9" a="1"/>
  <c r="AM139" i="9" s="1"/>
  <c r="AM140" i="9" a="1"/>
  <c r="AM140" i="9" s="1"/>
  <c r="AM141" i="9" a="1"/>
  <c r="AM141" i="9" s="1"/>
  <c r="AM142" i="9" a="1"/>
  <c r="AM142" i="9" s="1"/>
  <c r="AM143" i="9" a="1"/>
  <c r="AM143" i="9" s="1"/>
  <c r="AM144" i="9" a="1"/>
  <c r="AM144" i="9" s="1"/>
  <c r="AM145" i="9" a="1"/>
  <c r="AM145" i="9" s="1"/>
  <c r="AM146" i="9" a="1"/>
  <c r="AM146" i="9" s="1"/>
  <c r="AM147" i="9" a="1"/>
  <c r="AM147" i="9" s="1"/>
  <c r="AM148" i="9" a="1"/>
  <c r="AM148" i="9" s="1"/>
  <c r="AM149" i="9" a="1"/>
  <c r="AM149" i="9" s="1"/>
  <c r="AM150" i="9" a="1"/>
  <c r="AM150" i="9" s="1"/>
  <c r="AM151" i="9" a="1"/>
  <c r="AM151" i="9" s="1"/>
  <c r="AM152" i="9" a="1"/>
  <c r="AM152" i="9" s="1"/>
  <c r="AM153" i="9" a="1"/>
  <c r="AM153" i="9" s="1"/>
  <c r="AM154" i="9" a="1"/>
  <c r="AM154" i="9" s="1"/>
  <c r="AM155" i="9" a="1"/>
  <c r="AM155" i="9" s="1"/>
  <c r="AM156" i="9" a="1"/>
  <c r="AM156" i="9" s="1"/>
  <c r="AM157" i="9" a="1"/>
  <c r="AM157" i="9" s="1"/>
  <c r="AM158" i="9" a="1"/>
  <c r="AM158" i="9" s="1"/>
  <c r="AM159" i="9" a="1"/>
  <c r="AM159" i="9" s="1"/>
  <c r="AM160" i="9" a="1"/>
  <c r="AM160" i="9" s="1"/>
  <c r="AM161" i="9" a="1"/>
  <c r="AM161" i="9" s="1"/>
  <c r="AM162" i="9" a="1"/>
  <c r="AM162" i="9" s="1"/>
  <c r="AM163" i="9" a="1"/>
  <c r="AM163" i="9" s="1"/>
  <c r="AM164" i="9" a="1"/>
  <c r="AM164" i="9" s="1"/>
  <c r="AM165" i="9" a="1"/>
  <c r="AM165" i="9" s="1"/>
  <c r="AM166" i="9" a="1"/>
  <c r="AM166" i="9" s="1"/>
  <c r="AM167" i="9" a="1"/>
  <c r="AM167" i="9" s="1"/>
  <c r="AM168" i="9" a="1"/>
  <c r="AM168" i="9" s="1"/>
  <c r="AM169" i="9" a="1"/>
  <c r="AM169" i="9" s="1"/>
  <c r="AM170" i="9" a="1"/>
  <c r="AM170" i="9" s="1"/>
  <c r="AM171" i="9" a="1"/>
  <c r="AM171" i="9" s="1"/>
  <c r="AM172" i="9" a="1"/>
  <c r="AM172" i="9" s="1"/>
  <c r="AM173" i="9" a="1"/>
  <c r="AM173" i="9" s="1"/>
  <c r="AM174" i="9" a="1"/>
  <c r="AM174" i="9" s="1"/>
  <c r="AM175" i="9" a="1"/>
  <c r="AM175" i="9" s="1"/>
  <c r="AM176" i="9" a="1"/>
  <c r="AM176" i="9" s="1"/>
  <c r="AM177" i="9" a="1"/>
  <c r="AM177" i="9" s="1"/>
  <c r="AM178" i="9" a="1"/>
  <c r="AM178" i="9" s="1"/>
  <c r="AM179" i="9" a="1"/>
  <c r="AM179" i="9" s="1"/>
  <c r="AM180" i="9" a="1"/>
  <c r="AM180" i="9" s="1"/>
  <c r="AM181" i="9" a="1"/>
  <c r="AM181" i="9" s="1"/>
  <c r="AM182" i="9" a="1"/>
  <c r="AM182" i="9" s="1"/>
  <c r="AM183" i="9" a="1"/>
  <c r="AM183" i="9" s="1"/>
  <c r="AM184" i="9" a="1"/>
  <c r="AM184" i="9" s="1"/>
  <c r="AM185" i="9" a="1"/>
  <c r="AM185" i="9" s="1"/>
  <c r="AM186" i="9" a="1"/>
  <c r="AM186" i="9" s="1"/>
  <c r="AM187" i="9" a="1"/>
  <c r="AM187" i="9" s="1"/>
  <c r="AM188" i="9" a="1"/>
  <c r="AM188" i="9" s="1"/>
  <c r="AM189" i="9" a="1"/>
  <c r="AM189" i="9" s="1"/>
  <c r="AM190" i="9" a="1"/>
  <c r="AM190" i="9" s="1"/>
  <c r="AM191" i="9" a="1"/>
  <c r="AM191" i="9" s="1"/>
  <c r="AM192" i="9" a="1"/>
  <c r="AM192" i="9" s="1"/>
  <c r="AM193" i="9" a="1"/>
  <c r="AM193" i="9" s="1"/>
  <c r="AM194" i="9" a="1"/>
  <c r="AM194" i="9" s="1"/>
  <c r="AM195" i="9" a="1"/>
  <c r="AM195" i="9" s="1"/>
  <c r="AM196" i="9" a="1"/>
  <c r="AM196" i="9" s="1"/>
  <c r="AM197" i="9" a="1"/>
  <c r="AM197" i="9" s="1"/>
  <c r="AM198" i="9" a="1"/>
  <c r="AM198" i="9" s="1"/>
  <c r="AM199" i="9" a="1"/>
  <c r="AM199" i="9" s="1"/>
  <c r="AM200" i="9" a="1"/>
  <c r="AM200" i="9" s="1"/>
  <c r="AM201" i="9" a="1"/>
  <c r="AM201" i="9" s="1"/>
  <c r="AM202" i="9" a="1"/>
  <c r="AM202" i="9" s="1"/>
  <c r="AM203" i="9" a="1"/>
  <c r="AM203" i="9" s="1"/>
  <c r="AM204" i="9" a="1"/>
  <c r="AM204" i="9" s="1"/>
  <c r="AM205" i="9" a="1"/>
  <c r="AM205" i="9" s="1"/>
  <c r="AM206" i="9" a="1"/>
  <c r="AM206" i="9" s="1"/>
  <c r="AM207" i="9" a="1"/>
  <c r="AM207" i="9" s="1"/>
  <c r="AM208" i="9" a="1"/>
  <c r="AM208" i="9" s="1"/>
  <c r="AM209" i="9" a="1"/>
  <c r="AM209" i="9" s="1"/>
  <c r="AM210" i="9" a="1"/>
  <c r="AM210" i="9" s="1"/>
  <c r="AM211" i="9" a="1"/>
  <c r="AM211" i="9" s="1"/>
  <c r="AM212" i="9" a="1"/>
  <c r="AM212" i="9" s="1"/>
  <c r="AM213" i="9" a="1"/>
  <c r="AM213" i="9" s="1"/>
  <c r="AM214" i="9" a="1"/>
  <c r="AM214" i="9" s="1"/>
  <c r="AM215" i="9" a="1"/>
  <c r="AM215" i="9" s="1"/>
  <c r="AM216" i="9" a="1"/>
  <c r="AM216" i="9" s="1"/>
  <c r="AM217" i="9" a="1"/>
  <c r="AM217" i="9" s="1"/>
  <c r="AM218" i="9" a="1"/>
  <c r="AM218" i="9" s="1"/>
  <c r="AM219" i="9" a="1"/>
  <c r="AM219" i="9" s="1"/>
  <c r="AM220" i="9" a="1"/>
  <c r="AM220" i="9" s="1"/>
  <c r="AM221" i="9" a="1"/>
  <c r="AM221" i="9" s="1"/>
  <c r="AM222" i="9" a="1"/>
  <c r="AM222" i="9" s="1"/>
  <c r="AM223" i="9" a="1"/>
  <c r="AM223" i="9" s="1"/>
  <c r="AM224" i="9" a="1"/>
  <c r="AM224" i="9" s="1"/>
  <c r="AM225" i="9" a="1"/>
  <c r="AM225" i="9" s="1"/>
  <c r="AM226" i="9" a="1"/>
  <c r="AM226" i="9" s="1"/>
  <c r="AM227" i="9" a="1"/>
  <c r="AM227" i="9" s="1"/>
  <c r="AM228" i="9" a="1"/>
  <c r="AM228" i="9" s="1"/>
  <c r="AM229" i="9" a="1"/>
  <c r="AM229" i="9" s="1"/>
  <c r="AM230" i="9" a="1"/>
  <c r="AM230" i="9" s="1"/>
  <c r="AM231" i="9" a="1"/>
  <c r="AM231" i="9" s="1"/>
  <c r="AM232" i="9" a="1"/>
  <c r="AM232" i="9" s="1"/>
  <c r="AM233" i="9" a="1"/>
  <c r="AM233" i="9" s="1"/>
  <c r="AM234" i="9" a="1"/>
  <c r="AM234" i="9" s="1"/>
  <c r="AM235" i="9" a="1"/>
  <c r="AM235" i="9" s="1"/>
  <c r="AM236" i="9" a="1"/>
  <c r="AM236" i="9" s="1"/>
  <c r="AM237" i="9" a="1"/>
  <c r="AM237" i="9" s="1"/>
  <c r="AM238" i="9" a="1"/>
  <c r="AM238" i="9" s="1"/>
  <c r="AM239" i="9" a="1"/>
  <c r="AM239" i="9" s="1"/>
  <c r="AM240" i="9" a="1"/>
  <c r="AM240" i="9" s="1"/>
  <c r="AM241" i="9" a="1"/>
  <c r="AM241" i="9" s="1"/>
  <c r="AM242" i="9" a="1"/>
  <c r="AM242" i="9" s="1"/>
  <c r="AM243" i="9" a="1"/>
  <c r="AM243" i="9" s="1"/>
  <c r="AM244" i="9" a="1"/>
  <c r="AM244" i="9" s="1"/>
  <c r="AM245" i="9" a="1"/>
  <c r="AM245" i="9" s="1"/>
  <c r="AM246" i="9" a="1"/>
  <c r="AM246" i="9" s="1"/>
  <c r="AM247" i="9" a="1"/>
  <c r="AM247" i="9" s="1"/>
  <c r="AM248" i="9" a="1"/>
  <c r="AM248" i="9" s="1"/>
  <c r="AM249" i="9" a="1"/>
  <c r="AM249" i="9" s="1"/>
  <c r="AM250" i="9" a="1"/>
  <c r="AM250" i="9" s="1"/>
  <c r="AM251" i="9" a="1"/>
  <c r="AM251" i="9" s="1"/>
  <c r="AM252" i="9" a="1"/>
  <c r="AM252" i="9" s="1"/>
  <c r="AM253" i="9" a="1"/>
  <c r="AM253" i="9" s="1"/>
  <c r="AM254" i="9" a="1"/>
  <c r="AM254" i="9" s="1"/>
  <c r="AM255" i="9" a="1"/>
  <c r="AM255" i="9" s="1"/>
  <c r="AM256" i="9" a="1"/>
  <c r="AM256" i="9" s="1"/>
  <c r="AM257" i="9" a="1"/>
  <c r="AM257" i="9" s="1"/>
  <c r="AM258" i="9" a="1"/>
  <c r="AM258" i="9" s="1"/>
  <c r="AM259" i="9" a="1"/>
  <c r="AM259" i="9" s="1"/>
  <c r="AM260" i="9" a="1"/>
  <c r="AM260" i="9" s="1"/>
  <c r="AM261" i="9" a="1"/>
  <c r="AM261" i="9" s="1"/>
  <c r="AM262" i="9" a="1"/>
  <c r="AM262" i="9" s="1"/>
  <c r="AM263" i="9" a="1"/>
  <c r="AM263" i="9" s="1"/>
  <c r="AM264" i="9" a="1"/>
  <c r="AM264" i="9" s="1"/>
  <c r="AM265" i="9" a="1"/>
  <c r="AM265" i="9" s="1"/>
  <c r="AM266" i="9" a="1"/>
  <c r="AM266" i="9" s="1"/>
  <c r="AM267" i="9" a="1"/>
  <c r="AM267" i="9" s="1"/>
  <c r="AM268" i="9" a="1"/>
  <c r="AM268" i="9" s="1"/>
  <c r="AM269" i="9" a="1"/>
  <c r="AM269" i="9" s="1"/>
  <c r="AM270" i="9" a="1"/>
  <c r="AM270" i="9" s="1"/>
  <c r="AM271" i="9" a="1"/>
  <c r="AM271" i="9" s="1"/>
  <c r="AM272" i="9" a="1"/>
  <c r="AM272" i="9" s="1"/>
  <c r="AM273" i="9" a="1"/>
  <c r="AM273" i="9" s="1"/>
  <c r="AM274" i="9" a="1"/>
  <c r="AM274" i="9" s="1"/>
  <c r="AM275" i="9" a="1"/>
  <c r="AM275" i="9" s="1"/>
  <c r="AM276" i="9" a="1"/>
  <c r="AM276" i="9" s="1"/>
  <c r="AM277" i="9" a="1"/>
  <c r="AM277" i="9" s="1"/>
  <c r="AM278" i="9" a="1"/>
  <c r="AM278" i="9" s="1"/>
  <c r="AM279" i="9" a="1"/>
  <c r="AM279" i="9" s="1"/>
  <c r="AM280" i="9" a="1"/>
  <c r="AM280" i="9" s="1"/>
  <c r="AM281" i="9" a="1"/>
  <c r="AM281" i="9" s="1"/>
  <c r="AM282" i="9" a="1"/>
  <c r="AM282" i="9" s="1"/>
  <c r="AM283" i="9" a="1"/>
  <c r="AM283" i="9" s="1"/>
  <c r="AM284" i="9" a="1"/>
  <c r="AM284" i="9" s="1"/>
  <c r="AM285" i="9" a="1"/>
  <c r="AM285" i="9" s="1"/>
  <c r="AM286" i="9" a="1"/>
  <c r="AM286" i="9" s="1"/>
  <c r="AM287" i="9" a="1"/>
  <c r="AM287" i="9" s="1"/>
  <c r="AM288" i="9" a="1"/>
  <c r="AM288" i="9" s="1"/>
  <c r="AM289" i="9" a="1"/>
  <c r="AM289" i="9" s="1"/>
  <c r="AM290" i="9" a="1"/>
  <c r="AM290" i="9" s="1"/>
  <c r="AM291" i="9" a="1"/>
  <c r="AM291" i="9" s="1"/>
  <c r="AM292" i="9" a="1"/>
  <c r="AM292" i="9" s="1"/>
  <c r="AM293" i="9" a="1"/>
  <c r="AM293" i="9" s="1"/>
  <c r="AM294" i="9" a="1"/>
  <c r="AM294" i="9" s="1"/>
  <c r="AM295" i="9" a="1"/>
  <c r="AM295" i="9" s="1"/>
  <c r="AM296" i="9" a="1"/>
  <c r="AM296" i="9" s="1"/>
  <c r="AM297" i="9" a="1"/>
  <c r="AM297" i="9" s="1"/>
  <c r="AM298" i="9" a="1"/>
  <c r="AM298" i="9" s="1"/>
  <c r="AM299" i="9" a="1"/>
  <c r="AM299" i="9" s="1"/>
  <c r="AM300" i="9" a="1"/>
  <c r="AM300" i="9" s="1"/>
  <c r="AM301" i="9" a="1"/>
  <c r="AM301" i="9" s="1"/>
  <c r="AM302" i="9" a="1"/>
  <c r="AM302" i="9" s="1"/>
  <c r="AM303" i="9" a="1"/>
  <c r="AM303" i="9" s="1"/>
  <c r="AM304" i="9" a="1"/>
  <c r="AM304" i="9" s="1"/>
  <c r="AM305" i="9" a="1"/>
  <c r="AM305" i="9" s="1"/>
  <c r="AM306" i="9" a="1"/>
  <c r="AM306" i="9" s="1"/>
  <c r="AM307" i="9" a="1"/>
  <c r="AM307" i="9" s="1"/>
  <c r="AM308" i="9" a="1"/>
  <c r="AM308" i="9" s="1"/>
  <c r="AM309" i="9" a="1"/>
  <c r="AM309" i="9" s="1"/>
  <c r="AM310" i="9" a="1"/>
  <c r="AM310" i="9" s="1"/>
  <c r="AM311" i="9" a="1"/>
  <c r="AM311" i="9" s="1"/>
  <c r="AM312" i="9" a="1"/>
  <c r="AM312" i="9" s="1"/>
  <c r="AM313" i="9" a="1"/>
  <c r="AM313" i="9" s="1"/>
  <c r="AM314" i="9" a="1"/>
  <c r="AM314" i="9" s="1"/>
  <c r="AM315" i="9" a="1"/>
  <c r="AM315" i="9" s="1"/>
  <c r="AM316" i="9" a="1"/>
  <c r="AM316" i="9" s="1"/>
  <c r="AM317" i="9" a="1"/>
  <c r="AM317" i="9" s="1"/>
  <c r="AM318" i="9" a="1"/>
  <c r="AM318" i="9" s="1"/>
  <c r="AM319" i="9" a="1"/>
  <c r="AM319" i="9" s="1"/>
  <c r="AM320" i="9" a="1"/>
  <c r="AM320" i="9" s="1"/>
  <c r="AM321" i="9" a="1"/>
  <c r="AM321" i="9" s="1"/>
  <c r="AM322" i="9" a="1"/>
  <c r="AM322" i="9" s="1"/>
  <c r="AM323" i="9" a="1"/>
  <c r="AM323" i="9" s="1"/>
  <c r="AM324" i="9" a="1"/>
  <c r="AM324" i="9" s="1"/>
  <c r="AM325" i="9" a="1"/>
  <c r="AM325" i="9" s="1"/>
  <c r="AM326" i="9" a="1"/>
  <c r="AM326" i="9" s="1"/>
  <c r="AM327" i="9" a="1"/>
  <c r="AM327" i="9" s="1"/>
  <c r="AM328" i="9" a="1"/>
  <c r="AM328" i="9" s="1"/>
  <c r="AM329" i="9" a="1"/>
  <c r="AM329" i="9" s="1"/>
  <c r="AM330" i="9" a="1"/>
  <c r="AM330" i="9" s="1"/>
  <c r="AM331" i="9" a="1"/>
  <c r="AM331" i="9" s="1"/>
  <c r="AM332" i="9" a="1"/>
  <c r="AM332" i="9" s="1"/>
  <c r="AM333" i="9" a="1"/>
  <c r="AM333" i="9" s="1"/>
  <c r="AM334" i="9" a="1"/>
  <c r="AM334" i="9" s="1"/>
  <c r="AM335" i="9" a="1"/>
  <c r="AM335" i="9" s="1"/>
  <c r="AM336" i="9" a="1"/>
  <c r="AM336" i="9" s="1"/>
  <c r="AM337" i="9" a="1"/>
  <c r="AM337" i="9" s="1"/>
  <c r="AM338" i="9" a="1"/>
  <c r="AM338" i="9" s="1"/>
  <c r="AM339" i="9" a="1"/>
  <c r="AM339" i="9" s="1"/>
  <c r="AM340" i="9" a="1"/>
  <c r="AM340" i="9" s="1"/>
  <c r="AM341" i="9" a="1"/>
  <c r="AM341" i="9" s="1"/>
  <c r="AM342" i="9" a="1"/>
  <c r="AM342" i="9" s="1"/>
  <c r="AM343" i="9" a="1"/>
  <c r="AM343" i="9" s="1"/>
  <c r="AM344" i="9" a="1"/>
  <c r="AM344" i="9" s="1"/>
  <c r="AM345" i="9" a="1"/>
  <c r="AM345" i="9" s="1"/>
  <c r="AM346" i="9" a="1"/>
  <c r="AM346" i="9" s="1"/>
  <c r="AM347" i="9" a="1"/>
  <c r="AM347" i="9" s="1"/>
  <c r="AM348" i="9" a="1"/>
  <c r="AM348" i="9" s="1"/>
  <c r="AM349" i="9" a="1"/>
  <c r="AM349" i="9" s="1"/>
  <c r="AM350" i="9" a="1"/>
  <c r="AM350" i="9" s="1"/>
  <c r="AM351" i="9" a="1"/>
  <c r="AM351" i="9" s="1"/>
  <c r="AM352" i="9" a="1"/>
  <c r="AM352" i="9" s="1"/>
  <c r="AM353" i="9" a="1"/>
  <c r="AM353" i="9" s="1"/>
  <c r="AM354" i="9" a="1"/>
  <c r="AM354" i="9" s="1"/>
  <c r="AM355" i="9" a="1"/>
  <c r="AM355" i="9" s="1"/>
  <c r="AM356" i="9" a="1"/>
  <c r="AM356" i="9" s="1"/>
  <c r="AM357" i="9" a="1"/>
  <c r="AM357" i="9" s="1"/>
  <c r="AM358" i="9" a="1"/>
  <c r="AM358" i="9" s="1"/>
  <c r="AM359" i="9" a="1"/>
  <c r="AM359" i="9" s="1"/>
  <c r="AM360" i="9" a="1"/>
  <c r="AM360" i="9" s="1"/>
  <c r="AM361" i="9" a="1"/>
  <c r="AM361" i="9" s="1"/>
  <c r="AM362" i="9" a="1"/>
  <c r="AM362" i="9" s="1"/>
  <c r="AM363" i="9" a="1"/>
  <c r="AM363" i="9" s="1"/>
  <c r="AM364" i="9" a="1"/>
  <c r="AM364" i="9" s="1"/>
  <c r="AM365" i="9" a="1"/>
  <c r="AM365" i="9" s="1"/>
  <c r="AM366" i="9" a="1"/>
  <c r="AM366" i="9" s="1"/>
  <c r="AM367" i="9" a="1"/>
  <c r="AM367" i="9" s="1"/>
  <c r="AM368" i="9" a="1"/>
  <c r="AM368" i="9" s="1"/>
  <c r="AM369" i="9" a="1"/>
  <c r="AM369" i="9" s="1"/>
  <c r="AM370" i="9" a="1"/>
  <c r="AM370" i="9" s="1"/>
  <c r="AM371" i="9" a="1"/>
  <c r="AM371" i="9" s="1"/>
  <c r="AM372" i="9" a="1"/>
  <c r="AM372" i="9" s="1"/>
  <c r="AM373" i="9" a="1"/>
  <c r="AM373" i="9" s="1"/>
  <c r="AM374" i="9" a="1"/>
  <c r="AM374" i="9" s="1"/>
  <c r="AM375" i="9" a="1"/>
  <c r="AM375" i="9" s="1"/>
  <c r="AM376" i="9" a="1"/>
  <c r="AM376" i="9" s="1"/>
  <c r="AM377" i="9" a="1"/>
  <c r="AM377" i="9" s="1"/>
  <c r="AM378" i="9" a="1"/>
  <c r="AM378" i="9" s="1"/>
  <c r="AM379" i="9" a="1"/>
  <c r="AM379" i="9" s="1"/>
  <c r="AM380" i="9" a="1"/>
  <c r="AM380" i="9" s="1"/>
  <c r="AM381" i="9" a="1"/>
  <c r="AM381" i="9" s="1"/>
  <c r="AM382" i="9" a="1"/>
  <c r="AM382" i="9" s="1"/>
  <c r="AM383" i="9" a="1"/>
  <c r="AM383" i="9" s="1"/>
  <c r="AM384" i="9" a="1"/>
  <c r="AM384" i="9" s="1"/>
  <c r="AM385" i="9" a="1"/>
  <c r="AM385" i="9" s="1"/>
  <c r="AM386" i="9" a="1"/>
  <c r="AM386" i="9" s="1"/>
  <c r="AM387" i="9" a="1"/>
  <c r="AM387" i="9" s="1"/>
  <c r="AM388" i="9" a="1"/>
  <c r="AM388" i="9" s="1"/>
  <c r="AM389" i="9" a="1"/>
  <c r="AM389" i="9" s="1"/>
  <c r="AM390" i="9" a="1"/>
  <c r="AM390" i="9" s="1"/>
  <c r="AM391" i="9" a="1"/>
  <c r="AM391" i="9" s="1"/>
  <c r="AM392" i="9" a="1"/>
  <c r="AM392" i="9" s="1"/>
  <c r="AM393" i="9" a="1"/>
  <c r="AM393" i="9" s="1"/>
  <c r="AM394" i="9" a="1"/>
  <c r="AM394" i="9" s="1"/>
  <c r="AM395" i="9" a="1"/>
  <c r="AM395" i="9" s="1"/>
  <c r="AM396" i="9" a="1"/>
  <c r="AM396" i="9" s="1"/>
  <c r="AM397" i="9" a="1"/>
  <c r="AM397" i="9" s="1"/>
  <c r="AM398" i="9" a="1"/>
  <c r="AM398" i="9" s="1"/>
  <c r="AM399" i="9" a="1"/>
  <c r="AM399" i="9" s="1"/>
  <c r="AM400" i="9" a="1"/>
  <c r="AM400" i="9" s="1"/>
  <c r="AM401" i="9" a="1"/>
  <c r="AM401" i="9" s="1"/>
  <c r="AM402" i="9" a="1"/>
  <c r="AM402" i="9" s="1"/>
  <c r="AM403" i="9" a="1"/>
  <c r="AM403" i="9" s="1"/>
  <c r="AM404" i="9" a="1"/>
  <c r="AM404" i="9" s="1"/>
  <c r="AM405" i="9" a="1"/>
  <c r="AM405" i="9" s="1"/>
  <c r="AM406" i="9" a="1"/>
  <c r="AM406" i="9" s="1"/>
  <c r="AM407" i="9" a="1"/>
  <c r="AM407" i="9" s="1"/>
  <c r="AM408" i="9" a="1"/>
  <c r="AM408" i="9" s="1"/>
  <c r="AM409" i="9" a="1"/>
  <c r="AM409" i="9" s="1"/>
  <c r="AM410" i="9" a="1"/>
  <c r="AM410" i="9" s="1"/>
  <c r="AM411" i="9" a="1"/>
  <c r="AM411" i="9" s="1"/>
  <c r="AM412" i="9" a="1"/>
  <c r="AM412" i="9" s="1"/>
  <c r="AM413" i="9" a="1"/>
  <c r="AM413" i="9" s="1"/>
  <c r="AM414" i="9" a="1"/>
  <c r="AM414" i="9" s="1"/>
  <c r="AM415" i="9" a="1"/>
  <c r="AM415" i="9" s="1"/>
  <c r="AM416" i="9" a="1"/>
  <c r="AM416" i="9" s="1"/>
  <c r="AM417" i="9" a="1"/>
  <c r="AM417" i="9" s="1"/>
  <c r="AM418" i="9" a="1"/>
  <c r="AM418" i="9" s="1"/>
  <c r="AM419" i="9" a="1"/>
  <c r="AM419" i="9" s="1"/>
  <c r="AM420" i="9" a="1"/>
  <c r="AM420" i="9" s="1"/>
  <c r="AM421" i="9" a="1"/>
  <c r="AM421" i="9" s="1"/>
  <c r="AM422" i="9" a="1"/>
  <c r="AM422" i="9" s="1"/>
  <c r="AM423" i="9" a="1"/>
  <c r="AM423" i="9" s="1"/>
  <c r="AM424" i="9" a="1"/>
  <c r="AM424" i="9" s="1"/>
  <c r="AM425" i="9" a="1"/>
  <c r="AM425" i="9" s="1"/>
  <c r="AM426" i="9" a="1"/>
  <c r="AM426" i="9" s="1"/>
  <c r="AM427" i="9" a="1"/>
  <c r="AM427" i="9" s="1"/>
  <c r="AM428" i="9" a="1"/>
  <c r="AM428" i="9" s="1"/>
  <c r="AM429" i="9" a="1"/>
  <c r="AM429" i="9" s="1"/>
  <c r="AM430" i="9" a="1"/>
  <c r="AM430" i="9" s="1"/>
  <c r="AM431" i="9" a="1"/>
  <c r="AM431" i="9" s="1"/>
  <c r="AM432" i="9" a="1"/>
  <c r="AM432" i="9" s="1"/>
  <c r="AM433" i="9" a="1"/>
  <c r="AM433" i="9" s="1"/>
  <c r="AM434" i="9" a="1"/>
  <c r="AM434" i="9" s="1"/>
  <c r="AM435" i="9" a="1"/>
  <c r="AM435" i="9" s="1"/>
  <c r="AM436" i="9" a="1"/>
  <c r="AM436" i="9" s="1"/>
  <c r="AM437" i="9" a="1"/>
  <c r="AM437" i="9" s="1"/>
  <c r="AM438" i="9" a="1"/>
  <c r="AM438" i="9" s="1"/>
  <c r="AM439" i="9" a="1"/>
  <c r="AM439" i="9" s="1"/>
  <c r="AM440" i="9" a="1"/>
  <c r="AM440" i="9" s="1"/>
  <c r="AM441" i="9" a="1"/>
  <c r="AM441" i="9" s="1"/>
  <c r="AM442" i="9" a="1"/>
  <c r="AM442" i="9" s="1"/>
  <c r="AM443" i="9" a="1"/>
  <c r="AM443" i="9" s="1"/>
  <c r="AM444" i="9" a="1"/>
  <c r="AM444" i="9" s="1"/>
  <c r="AM445" i="9" a="1"/>
  <c r="AM445" i="9" s="1"/>
  <c r="AM446" i="9" a="1"/>
  <c r="AM446" i="9" s="1"/>
  <c r="AM447" i="9" a="1"/>
  <c r="AM447" i="9" s="1"/>
  <c r="AM448" i="9" a="1"/>
  <c r="AM448" i="9" s="1"/>
  <c r="AM449" i="9" a="1"/>
  <c r="AM449" i="9" s="1"/>
  <c r="AM450" i="9" a="1"/>
  <c r="AM450" i="9" s="1"/>
  <c r="AM451" i="9" a="1"/>
  <c r="AM451" i="9" s="1"/>
  <c r="AM452" i="9" a="1"/>
  <c r="AM452" i="9" s="1"/>
  <c r="AM453" i="9" a="1"/>
  <c r="AM453" i="9" s="1"/>
  <c r="AM454" i="9" a="1"/>
  <c r="AM454" i="9" s="1"/>
  <c r="AM455" i="9" a="1"/>
  <c r="AM455" i="9" s="1"/>
  <c r="AM456" i="9" a="1"/>
  <c r="AM456" i="9" s="1"/>
  <c r="AM457" i="9" a="1"/>
  <c r="AM457" i="9" s="1"/>
  <c r="AM458" i="9" a="1"/>
  <c r="AM458" i="9" s="1"/>
  <c r="AM459" i="9" a="1"/>
  <c r="AM459" i="9" s="1"/>
  <c r="AM460" i="9" a="1"/>
  <c r="AM460" i="9" s="1"/>
  <c r="AM461" i="9" a="1"/>
  <c r="AM461" i="9" s="1"/>
  <c r="AM462" i="9" a="1"/>
  <c r="AM462" i="9" s="1"/>
  <c r="AM463" i="9" a="1"/>
  <c r="AM463" i="9" s="1"/>
  <c r="AM464" i="9" a="1"/>
  <c r="AM464" i="9" s="1"/>
  <c r="AM465" i="9" a="1"/>
  <c r="AM465" i="9" s="1"/>
  <c r="AM466" i="9" a="1"/>
  <c r="AM466" i="9" s="1"/>
  <c r="AM467" i="9" a="1"/>
  <c r="AM467" i="9" s="1"/>
  <c r="AM468" i="9" a="1"/>
  <c r="AM468" i="9" s="1"/>
  <c r="AM469" i="9" a="1"/>
  <c r="AM469" i="9" s="1"/>
  <c r="AM470" i="9" a="1"/>
  <c r="AM470" i="9" s="1"/>
  <c r="AM471" i="9" a="1"/>
  <c r="AM471" i="9" s="1"/>
  <c r="AM472" i="9" a="1"/>
  <c r="AM472" i="9" s="1"/>
  <c r="AM473" i="9" a="1"/>
  <c r="AM473" i="9" s="1"/>
  <c r="AM474" i="9" a="1"/>
  <c r="AM474" i="9" s="1"/>
  <c r="AM475" i="9" a="1"/>
  <c r="AM475" i="9" s="1"/>
  <c r="AM476" i="9" a="1"/>
  <c r="AM476" i="9" s="1"/>
  <c r="AM477" i="9" a="1"/>
  <c r="AM477" i="9" s="1"/>
  <c r="AM478" i="9" a="1"/>
  <c r="AM478" i="9" s="1"/>
  <c r="AM479" i="9" a="1"/>
  <c r="AM479" i="9" s="1"/>
  <c r="AM480" i="9" a="1"/>
  <c r="AM480" i="9" s="1"/>
  <c r="AM481" i="9" a="1"/>
  <c r="AM481" i="9" s="1"/>
  <c r="AM482" i="9" a="1"/>
  <c r="AM482" i="9" s="1"/>
  <c r="AM483" i="9" a="1"/>
  <c r="AM483" i="9" s="1"/>
  <c r="AM484" i="9" a="1"/>
  <c r="AM484" i="9" s="1"/>
  <c r="AM485" i="9" a="1"/>
  <c r="AM485" i="9" s="1"/>
  <c r="AM486" i="9" a="1"/>
  <c r="AM486" i="9" s="1"/>
  <c r="AM487" i="9" a="1"/>
  <c r="AM487" i="9" s="1"/>
  <c r="AM488" i="9" a="1"/>
  <c r="AM488" i="9" s="1"/>
  <c r="AM489" i="9" a="1"/>
  <c r="AM489" i="9" s="1"/>
  <c r="AM490" i="9" a="1"/>
  <c r="AM490" i="9" s="1"/>
  <c r="AM491" i="9" a="1"/>
  <c r="AM491" i="9" s="1"/>
  <c r="AM492" i="9" a="1"/>
  <c r="AM492" i="9" s="1"/>
  <c r="AM493" i="9" a="1"/>
  <c r="AM493" i="9" s="1"/>
  <c r="AM494" i="9" a="1"/>
  <c r="AM494" i="9" s="1"/>
  <c r="AM495" i="9" a="1"/>
  <c r="AM495" i="9" s="1"/>
  <c r="AM496" i="9" a="1"/>
  <c r="AM496" i="9" s="1"/>
  <c r="AM497" i="9" a="1"/>
  <c r="AM497" i="9" s="1"/>
  <c r="AM498" i="9" a="1"/>
  <c r="AM498" i="9" s="1"/>
  <c r="AM499" i="9" a="1"/>
  <c r="AM499" i="9" s="1"/>
  <c r="AM500" i="9" a="1"/>
  <c r="AM500" i="9" s="1"/>
  <c r="AM501" i="9" a="1"/>
  <c r="AM501" i="9" s="1"/>
  <c r="AM502" i="9" a="1"/>
  <c r="AM502" i="9" s="1"/>
  <c r="AM503" i="9" a="1"/>
  <c r="AM503" i="9" s="1"/>
  <c r="AM504" i="9" a="1"/>
  <c r="AM504" i="9" s="1"/>
  <c r="AM505" i="9" a="1"/>
  <c r="AM505" i="9" s="1"/>
  <c r="AM506" i="9" a="1"/>
  <c r="AM506" i="9" s="1"/>
  <c r="AM507" i="9" a="1"/>
  <c r="AM507" i="9" s="1"/>
  <c r="AM508" i="9" a="1"/>
  <c r="AM508" i="9" s="1"/>
  <c r="AM509" i="9" a="1"/>
  <c r="AM509" i="9" s="1"/>
  <c r="AM510" i="9" a="1"/>
  <c r="AM510" i="9" s="1"/>
  <c r="AM511" i="9" a="1"/>
  <c r="AM511" i="9" s="1"/>
  <c r="AM512" i="9" a="1"/>
  <c r="AM512" i="9" s="1"/>
  <c r="AM513" i="9" a="1"/>
  <c r="AM513" i="9" s="1"/>
  <c r="AM514" i="9" a="1"/>
  <c r="AM514" i="9" s="1"/>
  <c r="AM515" i="9" a="1"/>
  <c r="AM515" i="9" s="1"/>
  <c r="AM516" i="9" a="1"/>
  <c r="AM516" i="9" s="1"/>
  <c r="AM517" i="9" a="1"/>
  <c r="AM517" i="9" s="1"/>
  <c r="AM518" i="9" a="1"/>
  <c r="AM518" i="9" s="1"/>
  <c r="AM519" i="9" a="1"/>
  <c r="AM519" i="9" s="1"/>
  <c r="AM520" i="9" a="1"/>
  <c r="AM520" i="9" s="1"/>
  <c r="AM521" i="9" a="1"/>
  <c r="AM521" i="9" s="1"/>
  <c r="AM522" i="9" a="1"/>
  <c r="AM522" i="9" s="1"/>
  <c r="AM523" i="9" a="1"/>
  <c r="AM523" i="9" s="1"/>
  <c r="AM524" i="9" a="1"/>
  <c r="AM524" i="9" s="1"/>
  <c r="AM525" i="9" a="1"/>
  <c r="AM525" i="9" s="1"/>
  <c r="AM526" i="9" a="1"/>
  <c r="AM526" i="9" s="1"/>
  <c r="AM527" i="9" a="1"/>
  <c r="AM527" i="9" s="1"/>
  <c r="AM528" i="9" a="1"/>
  <c r="AM528" i="9" s="1"/>
  <c r="AM529" i="9" a="1"/>
  <c r="AM529" i="9" s="1"/>
  <c r="AM530" i="9" a="1"/>
  <c r="AM530" i="9" s="1"/>
  <c r="AM531" i="9" a="1"/>
  <c r="AM531" i="9" s="1"/>
  <c r="AM532" i="9" a="1"/>
  <c r="AM532" i="9" s="1"/>
  <c r="AM533" i="9" a="1"/>
  <c r="AM533" i="9" s="1"/>
  <c r="AM534" i="9" a="1"/>
  <c r="AM534" i="9" s="1"/>
  <c r="AM535" i="9" a="1"/>
  <c r="AM535" i="9" s="1"/>
  <c r="AM536" i="9" a="1"/>
  <c r="AM536" i="9" s="1"/>
  <c r="AM537" i="9" a="1"/>
  <c r="AM537" i="9" s="1"/>
  <c r="AM538" i="9" a="1"/>
  <c r="AM538" i="9" s="1"/>
  <c r="AM539" i="9" a="1"/>
  <c r="AM539" i="9" s="1"/>
  <c r="AM540" i="9" a="1"/>
  <c r="AM540" i="9" s="1"/>
  <c r="AM541" i="9" a="1"/>
  <c r="AM541" i="9" s="1"/>
  <c r="AM542" i="9" a="1"/>
  <c r="AM542" i="9" s="1"/>
  <c r="AM543" i="9" a="1"/>
  <c r="AM543" i="9" s="1"/>
  <c r="AM544" i="9" a="1"/>
  <c r="AM544" i="9" s="1"/>
  <c r="AM545" i="9" a="1"/>
  <c r="AM545" i="9" s="1"/>
  <c r="AM546" i="9" a="1"/>
  <c r="AM546" i="9" s="1"/>
  <c r="AM547" i="9" a="1"/>
  <c r="AM547" i="9" s="1"/>
  <c r="AM548" i="9" a="1"/>
  <c r="AM548" i="9" s="1"/>
  <c r="AM549" i="9" a="1"/>
  <c r="AM549" i="9" s="1"/>
  <c r="AM550" i="9" a="1"/>
  <c r="AM550" i="9" s="1"/>
  <c r="AM551" i="9" a="1"/>
  <c r="AM551" i="9" s="1"/>
  <c r="AM552" i="9" a="1"/>
  <c r="AM552" i="9" s="1"/>
  <c r="AM553" i="9" a="1"/>
  <c r="AM553" i="9" s="1"/>
  <c r="AM554" i="9" a="1"/>
  <c r="AM554" i="9" s="1"/>
  <c r="AM555" i="9" a="1"/>
  <c r="AM555" i="9" s="1"/>
  <c r="AM556" i="9" a="1"/>
  <c r="AM556" i="9" s="1"/>
  <c r="AM557" i="9" a="1"/>
  <c r="AM557" i="9" s="1"/>
  <c r="AM558" i="9" a="1"/>
  <c r="AM558" i="9" s="1"/>
  <c r="AM559" i="9" a="1"/>
  <c r="AM559" i="9" s="1"/>
  <c r="AM560" i="9" a="1"/>
  <c r="AM560" i="9" s="1"/>
  <c r="AM561" i="9" a="1"/>
  <c r="AM561" i="9" s="1"/>
  <c r="AM1014" i="10" a="1"/>
  <c r="AM1014" i="10" s="1"/>
  <c r="AM1011" i="10" a="1"/>
  <c r="AM1011" i="10" s="1"/>
  <c r="AM1008" i="10" a="1"/>
  <c r="AM1008" i="10" s="1"/>
  <c r="AM999" i="10" a="1"/>
  <c r="AM999" i="10" s="1"/>
  <c r="AM993" i="10" a="1"/>
  <c r="AM993" i="10" s="1"/>
  <c r="AM984" i="10" a="1"/>
  <c r="AM984" i="10" s="1"/>
  <c r="AM1013" i="10" a="1"/>
  <c r="AM1013" i="10" s="1"/>
  <c r="AM1007" i="10" a="1"/>
  <c r="AM1007" i="10" s="1"/>
  <c r="AM1001" i="10" a="1"/>
  <c r="AM1001" i="10" s="1"/>
  <c r="AM995" i="10" a="1"/>
  <c r="AM995" i="10" s="1"/>
  <c r="AM989" i="10" a="1"/>
  <c r="AM989" i="10" s="1"/>
  <c r="AM983" i="10" a="1"/>
  <c r="AM983" i="10" s="1"/>
  <c r="AM977" i="10" a="1"/>
  <c r="AM977" i="10" s="1"/>
  <c r="AM971" i="10" a="1"/>
  <c r="AM971" i="10" s="1"/>
  <c r="AM965" i="10" a="1"/>
  <c r="AM965" i="10" s="1"/>
  <c r="AM959" i="10" a="1"/>
  <c r="AM959" i="10" s="1"/>
  <c r="AM953" i="10" a="1"/>
  <c r="AM953" i="10" s="1"/>
  <c r="AM947" i="10" a="1"/>
  <c r="AM947" i="10" s="1"/>
  <c r="AM941" i="10" a="1"/>
  <c r="AM941" i="10" s="1"/>
  <c r="AM935" i="10" a="1"/>
  <c r="AM935" i="10" s="1"/>
  <c r="AM929" i="10" a="1"/>
  <c r="AM929" i="10" s="1"/>
  <c r="AM923" i="10" a="1"/>
  <c r="AM923" i="10" s="1"/>
  <c r="AM917" i="10" a="1"/>
  <c r="AM917" i="10" s="1"/>
  <c r="AM911" i="10" a="1"/>
  <c r="AM911" i="10" s="1"/>
  <c r="AM905" i="10" a="1"/>
  <c r="AM905" i="10" s="1"/>
  <c r="AM902" i="10" a="1"/>
  <c r="AM902" i="10" s="1"/>
  <c r="AM899" i="10" a="1"/>
  <c r="AM899" i="10" s="1"/>
  <c r="AM896" i="10" a="1"/>
  <c r="AM896" i="10" s="1"/>
  <c r="AM893" i="10" a="1"/>
  <c r="AM893" i="10" s="1"/>
  <c r="AM890" i="10" a="1"/>
  <c r="AM890" i="10" s="1"/>
  <c r="AM887" i="10" a="1"/>
  <c r="AM887" i="10" s="1"/>
  <c r="AM884" i="10" a="1"/>
  <c r="AM884" i="10" s="1"/>
  <c r="AM881" i="10" a="1"/>
  <c r="AM881" i="10" s="1"/>
  <c r="AM878" i="10" a="1"/>
  <c r="AM878" i="10" s="1"/>
  <c r="AM875" i="10" a="1"/>
  <c r="AM875" i="10" s="1"/>
  <c r="AM872" i="10" a="1"/>
  <c r="AM872" i="10" s="1"/>
  <c r="AM869" i="10" a="1"/>
  <c r="AM869" i="10" s="1"/>
  <c r="AM866" i="10" a="1"/>
  <c r="AM866" i="10" s="1"/>
  <c r="AM863" i="10" a="1"/>
  <c r="AM863" i="10" s="1"/>
  <c r="AM860" i="10" a="1"/>
  <c r="AM860" i="10" s="1"/>
  <c r="AM857" i="10" a="1"/>
  <c r="AM857" i="10" s="1"/>
  <c r="AM854" i="10" a="1"/>
  <c r="AM854" i="10" s="1"/>
  <c r="AM851" i="10" a="1"/>
  <c r="AM851" i="10" s="1"/>
  <c r="AM848" i="10" a="1"/>
  <c r="AM848" i="10" s="1"/>
  <c r="AM845" i="10" a="1"/>
  <c r="AM845" i="10" s="1"/>
  <c r="AM842" i="10" a="1"/>
  <c r="AM842" i="10" s="1"/>
  <c r="AM839" i="10" a="1"/>
  <c r="AM839" i="10" s="1"/>
  <c r="AM836" i="10" a="1"/>
  <c r="AM836" i="10" s="1"/>
  <c r="AM833" i="10" a="1"/>
  <c r="AM833" i="10" s="1"/>
  <c r="AM830" i="10" a="1"/>
  <c r="AM830" i="10" s="1"/>
  <c r="AM827" i="10" a="1"/>
  <c r="AM827" i="10" s="1"/>
  <c r="AM824" i="10" a="1"/>
  <c r="AM824" i="10" s="1"/>
  <c r="AM821" i="10" a="1"/>
  <c r="AM821" i="10" s="1"/>
  <c r="AM818" i="10" a="1"/>
  <c r="AM818" i="10" s="1"/>
  <c r="AM815" i="10" a="1"/>
  <c r="AM815" i="10" s="1"/>
  <c r="AM812" i="10" a="1"/>
  <c r="AM812" i="10" s="1"/>
  <c r="AM809" i="10" a="1"/>
  <c r="AM809" i="10" s="1"/>
  <c r="AM806" i="10" a="1"/>
  <c r="AM806" i="10" s="1"/>
  <c r="AM803" i="10" a="1"/>
  <c r="AM803" i="10" s="1"/>
  <c r="AM800" i="10" a="1"/>
  <c r="AM800" i="10" s="1"/>
  <c r="AM797" i="10" a="1"/>
  <c r="AM797" i="10" s="1"/>
  <c r="AM794" i="10" a="1"/>
  <c r="AM794" i="10" s="1"/>
  <c r="AM791" i="10" a="1"/>
  <c r="AM791" i="10" s="1"/>
  <c r="AM788" i="10" a="1"/>
  <c r="AM788" i="10" s="1"/>
  <c r="AM785" i="10" a="1"/>
  <c r="AM785" i="10" s="1"/>
  <c r="AM782" i="10" a="1"/>
  <c r="AM782" i="10" s="1"/>
  <c r="AM779" i="10" a="1"/>
  <c r="AM779" i="10" s="1"/>
  <c r="AM776" i="10" a="1"/>
  <c r="AM776" i="10" s="1"/>
  <c r="AM773" i="10" a="1"/>
  <c r="AM773" i="10" s="1"/>
  <c r="AM770" i="10" a="1"/>
  <c r="AM770" i="10" s="1"/>
  <c r="AM767" i="10" a="1"/>
  <c r="AM767" i="10" s="1"/>
  <c r="AM764" i="10" a="1"/>
  <c r="AM764" i="10" s="1"/>
  <c r="AM761" i="10" a="1"/>
  <c r="AM761" i="10" s="1"/>
  <c r="AM758" i="10" a="1"/>
  <c r="AM758" i="10" s="1"/>
  <c r="AM755" i="10" a="1"/>
  <c r="AM755" i="10" s="1"/>
  <c r="AM752" i="10" a="1"/>
  <c r="AM752" i="10" s="1"/>
  <c r="AM749" i="10" a="1"/>
  <c r="AM749" i="10" s="1"/>
  <c r="AM746" i="10" a="1"/>
  <c r="AM746" i="10" s="1"/>
  <c r="AM743" i="10" a="1"/>
  <c r="AM743" i="10" s="1"/>
  <c r="AM740" i="10" a="1"/>
  <c r="AM740" i="10" s="1"/>
  <c r="AM737" i="10" a="1"/>
  <c r="AM737" i="10" s="1"/>
  <c r="AM734" i="10" a="1"/>
  <c r="AM734" i="10" s="1"/>
  <c r="AM731" i="10" a="1"/>
  <c r="AM731" i="10" s="1"/>
  <c r="AM728" i="10" a="1"/>
  <c r="AM728" i="10" s="1"/>
  <c r="AM725" i="10" a="1"/>
  <c r="AM725" i="10" s="1"/>
  <c r="AM722" i="10" a="1"/>
  <c r="AM722" i="10" s="1"/>
  <c r="AM719" i="10" a="1"/>
  <c r="AM719" i="10" s="1"/>
  <c r="AM716" i="10" a="1"/>
  <c r="AM716" i="10" s="1"/>
  <c r="AM713" i="10" a="1"/>
  <c r="AM713" i="10" s="1"/>
  <c r="AM710" i="10" a="1"/>
  <c r="AM710" i="10" s="1"/>
  <c r="AM707" i="10" a="1"/>
  <c r="AM707" i="10" s="1"/>
  <c r="AM704" i="10" a="1"/>
  <c r="AM704" i="10" s="1"/>
  <c r="AM701" i="10" a="1"/>
  <c r="AM701" i="10" s="1"/>
  <c r="AM698" i="10" a="1"/>
  <c r="AM698" i="10" s="1"/>
  <c r="AM695" i="10" a="1"/>
  <c r="AM695" i="10" s="1"/>
  <c r="AM692" i="10" a="1"/>
  <c r="AM692" i="10" s="1"/>
  <c r="AM689" i="10" a="1"/>
  <c r="AM689" i="10" s="1"/>
  <c r="AM686" i="10" a="1"/>
  <c r="AM686" i="10" s="1"/>
  <c r="AM683" i="10" a="1"/>
  <c r="AM683" i="10" s="1"/>
  <c r="AM680" i="10" a="1"/>
  <c r="AM680" i="10" s="1"/>
  <c r="AM677" i="10" a="1"/>
  <c r="AM677" i="10" s="1"/>
  <c r="AM674" i="10" a="1"/>
  <c r="AM674" i="10" s="1"/>
  <c r="AM671" i="10" a="1"/>
  <c r="AM671" i="10" s="1"/>
  <c r="AM668" i="10" a="1"/>
  <c r="AM668" i="10" s="1"/>
  <c r="AM665" i="10" a="1"/>
  <c r="AM665" i="10" s="1"/>
  <c r="AM662" i="10" a="1"/>
  <c r="AM662" i="10" s="1"/>
  <c r="AM659" i="10" a="1"/>
  <c r="AM659" i="10" s="1"/>
  <c r="AM656" i="10" a="1"/>
  <c r="AM656" i="10" s="1"/>
  <c r="AM653" i="10" a="1"/>
  <c r="AM653" i="10" s="1"/>
  <c r="AM650" i="10" a="1"/>
  <c r="AM650" i="10" s="1"/>
  <c r="AM647" i="10" a="1"/>
  <c r="AM647" i="10" s="1"/>
  <c r="AM644" i="10" a="1"/>
  <c r="AM644" i="10" s="1"/>
  <c r="AM641" i="10" a="1"/>
  <c r="AM641" i="10" s="1"/>
  <c r="AM638" i="10" a="1"/>
  <c r="AM638" i="10" s="1"/>
  <c r="AM635" i="10" a="1"/>
  <c r="AM635" i="10" s="1"/>
  <c r="AM632" i="10" a="1"/>
  <c r="AM632" i="10" s="1"/>
  <c r="AM629" i="10" a="1"/>
  <c r="AM629" i="10" s="1"/>
  <c r="AM626" i="10" a="1"/>
  <c r="AM626" i="10" s="1"/>
  <c r="AM623" i="10" a="1"/>
  <c r="AM623" i="10" s="1"/>
  <c r="AM620" i="10" a="1"/>
  <c r="AM620" i="10" s="1"/>
  <c r="AM617" i="10" a="1"/>
  <c r="AM617" i="10" s="1"/>
  <c r="AM614" i="10" a="1"/>
  <c r="AM614" i="10" s="1"/>
  <c r="AM611" i="10" a="1"/>
  <c r="AM611" i="10" s="1"/>
  <c r="AM608" i="10" a="1"/>
  <c r="AM608" i="10" s="1"/>
  <c r="AM605" i="10" a="1"/>
  <c r="AM605" i="10" s="1"/>
  <c r="AM602" i="10" a="1"/>
  <c r="AM602" i="10" s="1"/>
  <c r="AM599" i="10" a="1"/>
  <c r="AM599" i="10" s="1"/>
  <c r="AM596" i="10" a="1"/>
  <c r="AM596" i="10" s="1"/>
  <c r="AM593" i="10" a="1"/>
  <c r="AM593" i="10" s="1"/>
  <c r="AM590" i="10" a="1"/>
  <c r="AM590" i="10" s="1"/>
  <c r="AM587" i="10" a="1"/>
  <c r="AM587" i="10" s="1"/>
  <c r="AM584" i="10" a="1"/>
  <c r="AM584" i="10" s="1"/>
  <c r="AM581" i="10" a="1"/>
  <c r="AM581" i="10" s="1"/>
  <c r="AM578" i="10" a="1"/>
  <c r="AM578" i="10" s="1"/>
  <c r="AM575" i="10" a="1"/>
  <c r="AM575" i="10" s="1"/>
  <c r="AM572" i="10" a="1"/>
  <c r="AM572" i="10" s="1"/>
  <c r="AM569" i="10" a="1"/>
  <c r="AM569" i="10" s="1"/>
  <c r="AM566" i="10" a="1"/>
  <c r="AM566" i="10" s="1"/>
  <c r="AM563" i="10" a="1"/>
  <c r="AM563" i="10" s="1"/>
  <c r="AM560" i="10" a="1"/>
  <c r="AM560" i="10" s="1"/>
  <c r="AM557" i="10" a="1"/>
  <c r="AM557" i="10" s="1"/>
  <c r="AM554" i="10" a="1"/>
  <c r="AM554" i="10" s="1"/>
  <c r="AM551" i="10" a="1"/>
  <c r="AM551" i="10" s="1"/>
  <c r="AM548" i="10" a="1"/>
  <c r="AM548" i="10" s="1"/>
  <c r="AM545" i="10" a="1"/>
  <c r="AM545" i="10" s="1"/>
  <c r="AM542" i="10" a="1"/>
  <c r="AM542" i="10" s="1"/>
  <c r="AM539" i="10" a="1"/>
  <c r="AM539" i="10" s="1"/>
  <c r="AM536" i="10" a="1"/>
  <c r="AM536" i="10" s="1"/>
  <c r="AM533" i="10" a="1"/>
  <c r="AM533" i="10" s="1"/>
  <c r="AM530" i="10" a="1"/>
  <c r="AM530" i="10" s="1"/>
  <c r="AM527" i="10" a="1"/>
  <c r="AM527" i="10" s="1"/>
  <c r="AM524" i="10" a="1"/>
  <c r="AM524" i="10" s="1"/>
  <c r="AM521" i="10" a="1"/>
  <c r="AM521" i="10" s="1"/>
  <c r="AM518" i="10" a="1"/>
  <c r="AM518" i="10" s="1"/>
  <c r="AM515" i="10" a="1"/>
  <c r="AM515" i="10" s="1"/>
  <c r="AM512" i="10" a="1"/>
  <c r="AM512" i="10" s="1"/>
  <c r="AM509" i="10" a="1"/>
  <c r="AM509" i="10" s="1"/>
  <c r="AM506" i="10" a="1"/>
  <c r="AM506" i="10" s="1"/>
  <c r="AM503" i="10" a="1"/>
  <c r="AM503" i="10" s="1"/>
  <c r="AM500" i="10" a="1"/>
  <c r="AM500" i="10" s="1"/>
  <c r="AM497" i="10" a="1"/>
  <c r="AM497" i="10" s="1"/>
  <c r="AM1005" i="10" a="1"/>
  <c r="AM1005" i="10" s="1"/>
  <c r="AM996" i="10" a="1"/>
  <c r="AM996" i="10" s="1"/>
  <c r="AM987" i="10" a="1"/>
  <c r="AM987" i="10" s="1"/>
  <c r="AM978" i="10" a="1"/>
  <c r="AM978" i="10" s="1"/>
  <c r="AM1010" i="10" a="1"/>
  <c r="AM1010" i="10" s="1"/>
  <c r="AM1004" i="10" a="1"/>
  <c r="AM1004" i="10" s="1"/>
  <c r="AM998" i="10" a="1"/>
  <c r="AM998" i="10" s="1"/>
  <c r="AM992" i="10" a="1"/>
  <c r="AM992" i="10" s="1"/>
  <c r="AM986" i="10" a="1"/>
  <c r="AM986" i="10" s="1"/>
  <c r="AM980" i="10" a="1"/>
  <c r="AM980" i="10" s="1"/>
  <c r="AM974" i="10" a="1"/>
  <c r="AM974" i="10" s="1"/>
  <c r="AM968" i="10" a="1"/>
  <c r="AM968" i="10" s="1"/>
  <c r="AM962" i="10" a="1"/>
  <c r="AM962" i="10" s="1"/>
  <c r="AM956" i="10" a="1"/>
  <c r="AM956" i="10" s="1"/>
  <c r="AM950" i="10" a="1"/>
  <c r="AM950" i="10" s="1"/>
  <c r="AM944" i="10" a="1"/>
  <c r="AM944" i="10" s="1"/>
  <c r="AM938" i="10" a="1"/>
  <c r="AM938" i="10" s="1"/>
  <c r="AM932" i="10" a="1"/>
  <c r="AM932" i="10" s="1"/>
  <c r="AM926" i="10" a="1"/>
  <c r="AM926" i="10" s="1"/>
  <c r="AM920" i="10" a="1"/>
  <c r="AM920" i="10" s="1"/>
  <c r="AM914" i="10" a="1"/>
  <c r="AM914" i="10" s="1"/>
  <c r="AM908" i="10" a="1"/>
  <c r="AM908" i="10" s="1"/>
  <c r="AM1012" i="10" a="1"/>
  <c r="AM1012" i="10" s="1"/>
  <c r="AM1009" i="10" a="1"/>
  <c r="AM1009" i="10" s="1"/>
  <c r="AM1006" i="10" a="1"/>
  <c r="AM1006" i="10" s="1"/>
  <c r="AM1003" i="10" a="1"/>
  <c r="AM1003" i="10" s="1"/>
  <c r="AM1000" i="10" a="1"/>
  <c r="AM1000" i="10" s="1"/>
  <c r="AM997" i="10" a="1"/>
  <c r="AM997" i="10" s="1"/>
  <c r="AM994" i="10" a="1"/>
  <c r="AM994" i="10" s="1"/>
  <c r="AM991" i="10" a="1"/>
  <c r="AM991" i="10" s="1"/>
  <c r="AM988" i="10" a="1"/>
  <c r="AM988" i="10" s="1"/>
  <c r="AM985" i="10" a="1"/>
  <c r="AM985" i="10" s="1"/>
  <c r="AM982" i="10" a="1"/>
  <c r="AM982" i="10" s="1"/>
  <c r="AM979" i="10" a="1"/>
  <c r="AM979" i="10" s="1"/>
  <c r="AM976" i="10" a="1"/>
  <c r="AM976" i="10" s="1"/>
  <c r="AM973" i="10" a="1"/>
  <c r="AM973" i="10" s="1"/>
  <c r="AM970" i="10" a="1"/>
  <c r="AM970" i="10" s="1"/>
  <c r="AM967" i="10" a="1"/>
  <c r="AM967" i="10" s="1"/>
  <c r="AM964" i="10" a="1"/>
  <c r="AM964" i="10" s="1"/>
  <c r="AM961" i="10" a="1"/>
  <c r="AM961" i="10" s="1"/>
  <c r="AM958" i="10" a="1"/>
  <c r="AM958" i="10" s="1"/>
  <c r="AM955" i="10" a="1"/>
  <c r="AM955" i="10" s="1"/>
  <c r="AM952" i="10" a="1"/>
  <c r="AM952" i="10" s="1"/>
  <c r="AM949" i="10" a="1"/>
  <c r="AM949" i="10" s="1"/>
  <c r="AM946" i="10" a="1"/>
  <c r="AM946" i="10" s="1"/>
  <c r="AM943" i="10" a="1"/>
  <c r="AM943" i="10" s="1"/>
  <c r="AM940" i="10" a="1"/>
  <c r="AM940" i="10" s="1"/>
  <c r="AM937" i="10" a="1"/>
  <c r="AM937" i="10" s="1"/>
  <c r="AM934" i="10" a="1"/>
  <c r="AM934" i="10" s="1"/>
  <c r="AM931" i="10" a="1"/>
  <c r="AM931" i="10" s="1"/>
  <c r="AM928" i="10" a="1"/>
  <c r="AM928" i="10" s="1"/>
  <c r="AM925" i="10" a="1"/>
  <c r="AM925" i="10" s="1"/>
  <c r="AM922" i="10" a="1"/>
  <c r="AM922" i="10" s="1"/>
  <c r="AM919" i="10" a="1"/>
  <c r="AM919" i="10" s="1"/>
  <c r="AM916" i="10" a="1"/>
  <c r="AM916" i="10" s="1"/>
  <c r="AM913" i="10" a="1"/>
  <c r="AM913" i="10" s="1"/>
  <c r="AM910" i="10" a="1"/>
  <c r="AM910" i="10" s="1"/>
  <c r="AM907" i="10" a="1"/>
  <c r="AM907" i="10" s="1"/>
  <c r="AM904" i="10" a="1"/>
  <c r="AM904" i="10" s="1"/>
  <c r="AM901" i="10" a="1"/>
  <c r="AM901" i="10" s="1"/>
  <c r="AM898" i="10" a="1"/>
  <c r="AM898" i="10" s="1"/>
  <c r="AM895" i="10" a="1"/>
  <c r="AM895" i="10" s="1"/>
  <c r="AM892" i="10" a="1"/>
  <c r="AM892" i="10" s="1"/>
  <c r="AM889" i="10" a="1"/>
  <c r="AM889" i="10" s="1"/>
  <c r="AM886" i="10" a="1"/>
  <c r="AM886" i="10" s="1"/>
  <c r="AM883" i="10" a="1"/>
  <c r="AM883" i="10" s="1"/>
  <c r="AM880" i="10" a="1"/>
  <c r="AM880" i="10" s="1"/>
  <c r="AM877" i="10" a="1"/>
  <c r="AM877" i="10" s="1"/>
  <c r="AM874" i="10" a="1"/>
  <c r="AM874" i="10" s="1"/>
  <c r="AM871" i="10" a="1"/>
  <c r="AM871" i="10" s="1"/>
  <c r="AM868" i="10" a="1"/>
  <c r="AM868" i="10" s="1"/>
  <c r="AM865" i="10" a="1"/>
  <c r="AM865" i="10" s="1"/>
  <c r="AM862" i="10" a="1"/>
  <c r="AM862" i="10" s="1"/>
  <c r="AM859" i="10" a="1"/>
  <c r="AM859" i="10" s="1"/>
  <c r="AM856" i="10" a="1"/>
  <c r="AM856" i="10" s="1"/>
  <c r="AM853" i="10" a="1"/>
  <c r="AM853" i="10" s="1"/>
  <c r="AM850" i="10" a="1"/>
  <c r="AM850" i="10" s="1"/>
  <c r="AM847" i="10" a="1"/>
  <c r="AM847" i="10" s="1"/>
  <c r="AM844" i="10" a="1"/>
  <c r="AM844" i="10" s="1"/>
  <c r="AM841" i="10" a="1"/>
  <c r="AM841" i="10" s="1"/>
  <c r="AM838" i="10" a="1"/>
  <c r="AM838" i="10" s="1"/>
  <c r="AM835" i="10" a="1"/>
  <c r="AM835" i="10" s="1"/>
  <c r="AM832" i="10" a="1"/>
  <c r="AM832" i="10" s="1"/>
  <c r="AM829" i="10" a="1"/>
  <c r="AM829" i="10" s="1"/>
  <c r="AM826" i="10" a="1"/>
  <c r="AM826" i="10" s="1"/>
  <c r="AM823" i="10" a="1"/>
  <c r="AM823" i="10" s="1"/>
  <c r="AM820" i="10" a="1"/>
  <c r="AM820" i="10" s="1"/>
  <c r="AM817" i="10" a="1"/>
  <c r="AM817" i="10" s="1"/>
  <c r="AM814" i="10" a="1"/>
  <c r="AM814" i="10" s="1"/>
  <c r="AM811" i="10" a="1"/>
  <c r="AM811" i="10" s="1"/>
  <c r="AM808" i="10" a="1"/>
  <c r="AM808" i="10" s="1"/>
  <c r="AM805" i="10" a="1"/>
  <c r="AM805" i="10" s="1"/>
  <c r="AM802" i="10" a="1"/>
  <c r="AM802" i="10" s="1"/>
  <c r="AM799" i="10" a="1"/>
  <c r="AM799" i="10" s="1"/>
  <c r="AM796" i="10" a="1"/>
  <c r="AM796" i="10" s="1"/>
  <c r="AM793" i="10" a="1"/>
  <c r="AM793" i="10" s="1"/>
  <c r="AM790" i="10" a="1"/>
  <c r="AM790" i="10" s="1"/>
  <c r="AM787" i="10" a="1"/>
  <c r="AM787" i="10" s="1"/>
  <c r="AM784" i="10" a="1"/>
  <c r="AM784" i="10" s="1"/>
  <c r="AM781" i="10" a="1"/>
  <c r="AM781" i="10" s="1"/>
  <c r="AM778" i="10" a="1"/>
  <c r="AM778" i="10" s="1"/>
  <c r="AM775" i="10" a="1"/>
  <c r="AM775" i="10" s="1"/>
  <c r="AM772" i="10" a="1"/>
  <c r="AM772" i="10" s="1"/>
  <c r="AM769" i="10" a="1"/>
  <c r="AM769" i="10" s="1"/>
  <c r="AM766" i="10" a="1"/>
  <c r="AM766" i="10" s="1"/>
  <c r="AM763" i="10" a="1"/>
  <c r="AM763" i="10" s="1"/>
  <c r="AM760" i="10" a="1"/>
  <c r="AM760" i="10" s="1"/>
  <c r="AM757" i="10" a="1"/>
  <c r="AM757" i="10" s="1"/>
  <c r="AM754" i="10" a="1"/>
  <c r="AM754" i="10" s="1"/>
  <c r="AM751" i="10" a="1"/>
  <c r="AM751" i="10" s="1"/>
  <c r="AM748" i="10" a="1"/>
  <c r="AM748" i="10" s="1"/>
  <c r="AM745" i="10" a="1"/>
  <c r="AM745" i="10" s="1"/>
  <c r="AM742" i="10" a="1"/>
  <c r="AM742" i="10" s="1"/>
  <c r="AM739" i="10" a="1"/>
  <c r="AM739" i="10" s="1"/>
  <c r="AM736" i="10" a="1"/>
  <c r="AM736" i="10" s="1"/>
  <c r="AM733" i="10" a="1"/>
  <c r="AM733" i="10" s="1"/>
  <c r="AM730" i="10" a="1"/>
  <c r="AM730" i="10" s="1"/>
  <c r="AM727" i="10" a="1"/>
  <c r="AM727" i="10" s="1"/>
  <c r="AM724" i="10" a="1"/>
  <c r="AM724" i="10" s="1"/>
  <c r="AM721" i="10" a="1"/>
  <c r="AM721" i="10" s="1"/>
  <c r="AM718" i="10" a="1"/>
  <c r="AM718" i="10" s="1"/>
  <c r="AM715" i="10" a="1"/>
  <c r="AM715" i="10" s="1"/>
  <c r="AM712" i="10" a="1"/>
  <c r="AM712" i="10" s="1"/>
  <c r="AM709" i="10" a="1"/>
  <c r="AM709" i="10" s="1"/>
  <c r="AM706" i="10" a="1"/>
  <c r="AM706" i="10" s="1"/>
  <c r="AM703" i="10" a="1"/>
  <c r="AM703" i="10" s="1"/>
  <c r="AM700" i="10" a="1"/>
  <c r="AM700" i="10" s="1"/>
  <c r="AM697" i="10" a="1"/>
  <c r="AM697" i="10" s="1"/>
  <c r="AM694" i="10" a="1"/>
  <c r="AM694" i="10" s="1"/>
  <c r="AM691" i="10" a="1"/>
  <c r="AM691" i="10" s="1"/>
  <c r="AM688" i="10" a="1"/>
  <c r="AM688" i="10" s="1"/>
  <c r="AM685" i="10" a="1"/>
  <c r="AM685" i="10" s="1"/>
  <c r="AM682" i="10" a="1"/>
  <c r="AM682" i="10" s="1"/>
  <c r="AM679" i="10" a="1"/>
  <c r="AM679" i="10" s="1"/>
  <c r="AM676" i="10" a="1"/>
  <c r="AM676" i="10" s="1"/>
  <c r="AM673" i="10" a="1"/>
  <c r="AM673" i="10" s="1"/>
  <c r="AM670" i="10" a="1"/>
  <c r="AM670" i="10" s="1"/>
  <c r="AM667" i="10" a="1"/>
  <c r="AM667" i="10" s="1"/>
  <c r="AM664" i="10" a="1"/>
  <c r="AM664" i="10" s="1"/>
  <c r="AM661" i="10" a="1"/>
  <c r="AM661" i="10" s="1"/>
  <c r="AM658" i="10" a="1"/>
  <c r="AM658" i="10" s="1"/>
  <c r="AM655" i="10" a="1"/>
  <c r="AM655" i="10" s="1"/>
  <c r="AM652" i="10" a="1"/>
  <c r="AM652" i="10" s="1"/>
  <c r="AM649" i="10" a="1"/>
  <c r="AM649" i="10" s="1"/>
  <c r="AM646" i="10" a="1"/>
  <c r="AM646" i="10" s="1"/>
  <c r="AM643" i="10" a="1"/>
  <c r="AM643" i="10" s="1"/>
  <c r="AM640" i="10" a="1"/>
  <c r="AM640" i="10" s="1"/>
  <c r="AM637" i="10" a="1"/>
  <c r="AM637" i="10" s="1"/>
  <c r="AM634" i="10" a="1"/>
  <c r="AM634" i="10" s="1"/>
  <c r="AM631" i="10" a="1"/>
  <c r="AM631" i="10" s="1"/>
  <c r="AM628" i="10" a="1"/>
  <c r="AM628" i="10" s="1"/>
  <c r="AM625" i="10" a="1"/>
  <c r="AM625" i="10" s="1"/>
  <c r="AM622" i="10" a="1"/>
  <c r="AM622" i="10" s="1"/>
  <c r="AM619" i="10" a="1"/>
  <c r="AM619" i="10" s="1"/>
  <c r="AM616" i="10" a="1"/>
  <c r="AM616" i="10" s="1"/>
  <c r="AM613" i="10" a="1"/>
  <c r="AM613" i="10" s="1"/>
  <c r="AM1002" i="10" a="1"/>
  <c r="AM1002" i="10" s="1"/>
  <c r="AM990" i="10" a="1"/>
  <c r="AM990" i="10" s="1"/>
  <c r="AM981" i="10" a="1"/>
  <c r="AM981" i="10" s="1"/>
  <c r="AM975" i="10" a="1"/>
  <c r="AM975" i="10" s="1"/>
  <c r="AM972" i="10" a="1"/>
  <c r="AM972" i="10" s="1"/>
  <c r="AM969" i="10" a="1"/>
  <c r="AM969" i="10" s="1"/>
  <c r="AM966" i="10" a="1"/>
  <c r="AM966" i="10" s="1"/>
  <c r="AM963" i="10" a="1"/>
  <c r="AM963" i="10" s="1"/>
  <c r="AM960" i="10" a="1"/>
  <c r="AM960" i="10" s="1"/>
  <c r="AM957" i="10" a="1"/>
  <c r="AM957" i="10" s="1"/>
  <c r="AM954" i="10" a="1"/>
  <c r="AM954" i="10" s="1"/>
  <c r="AM951" i="10" a="1"/>
  <c r="AM951" i="10" s="1"/>
  <c r="AM948" i="10" a="1"/>
  <c r="AM948" i="10" s="1"/>
  <c r="AM945" i="10" a="1"/>
  <c r="AM945" i="10" s="1"/>
  <c r="AM942" i="10" a="1"/>
  <c r="AM942" i="10" s="1"/>
  <c r="AM939" i="10" a="1"/>
  <c r="AM939" i="10" s="1"/>
  <c r="AM936" i="10" a="1"/>
  <c r="AM936" i="10" s="1"/>
  <c r="AM933" i="10" a="1"/>
  <c r="AM933" i="10" s="1"/>
  <c r="AM930" i="10" a="1"/>
  <c r="AM930" i="10" s="1"/>
  <c r="AM927" i="10" a="1"/>
  <c r="AM927" i="10" s="1"/>
  <c r="AM924" i="10" a="1"/>
  <c r="AM924" i="10" s="1"/>
  <c r="AM921" i="10" a="1"/>
  <c r="AM921" i="10" s="1"/>
  <c r="AM918" i="10" a="1"/>
  <c r="AM918" i="10" s="1"/>
  <c r="AM915" i="10" a="1"/>
  <c r="AM915" i="10" s="1"/>
  <c r="AM912" i="10" a="1"/>
  <c r="AM912" i="10" s="1"/>
  <c r="AM909" i="10" a="1"/>
  <c r="AM909" i="10" s="1"/>
  <c r="AM906" i="10" a="1"/>
  <c r="AM906" i="10" s="1"/>
  <c r="AM903" i="10" a="1"/>
  <c r="AM903" i="10" s="1"/>
  <c r="AM900" i="10" a="1"/>
  <c r="AM900" i="10" s="1"/>
  <c r="AM897" i="10" a="1"/>
  <c r="AM897" i="10" s="1"/>
  <c r="AM894" i="10" a="1"/>
  <c r="AM894" i="10" s="1"/>
  <c r="AM891" i="10" a="1"/>
  <c r="AM891" i="10" s="1"/>
  <c r="AM888" i="10" a="1"/>
  <c r="AM888" i="10" s="1"/>
  <c r="AM885" i="10" a="1"/>
  <c r="AM885" i="10" s="1"/>
  <c r="AM882" i="10" a="1"/>
  <c r="AM882" i="10" s="1"/>
  <c r="AM879" i="10" a="1"/>
  <c r="AM879" i="10" s="1"/>
  <c r="AM876" i="10" a="1"/>
  <c r="AM876" i="10" s="1"/>
  <c r="AM873" i="10" a="1"/>
  <c r="AM873" i="10" s="1"/>
  <c r="AM870" i="10" a="1"/>
  <c r="AM870" i="10" s="1"/>
  <c r="AM867" i="10" a="1"/>
  <c r="AM867" i="10" s="1"/>
  <c r="AM864" i="10" a="1"/>
  <c r="AM864" i="10" s="1"/>
  <c r="AM861" i="10" a="1"/>
  <c r="AM861" i="10" s="1"/>
  <c r="AM858" i="10" a="1"/>
  <c r="AM858" i="10" s="1"/>
  <c r="AM855" i="10" a="1"/>
  <c r="AM855" i="10" s="1"/>
  <c r="AM852" i="10" a="1"/>
  <c r="AM852" i="10" s="1"/>
  <c r="AM849" i="10" a="1"/>
  <c r="AM849" i="10" s="1"/>
  <c r="AM846" i="10" a="1"/>
  <c r="AM846" i="10" s="1"/>
  <c r="AM843" i="10" a="1"/>
  <c r="AM843" i="10" s="1"/>
  <c r="AM840" i="10" a="1"/>
  <c r="AM840" i="10" s="1"/>
  <c r="AM837" i="10" a="1"/>
  <c r="AM837" i="10" s="1"/>
  <c r="AM834" i="10" a="1"/>
  <c r="AM834" i="10" s="1"/>
  <c r="AM831" i="10" a="1"/>
  <c r="AM831" i="10" s="1"/>
  <c r="AM828" i="10" a="1"/>
  <c r="AM828" i="10" s="1"/>
  <c r="AM825" i="10" a="1"/>
  <c r="AM825" i="10" s="1"/>
  <c r="AM822" i="10" a="1"/>
  <c r="AM822" i="10" s="1"/>
  <c r="AM819" i="10" a="1"/>
  <c r="AM819" i="10" s="1"/>
  <c r="AM816" i="10" a="1"/>
  <c r="AM816" i="10" s="1"/>
  <c r="AM813" i="10" a="1"/>
  <c r="AM813" i="10" s="1"/>
  <c r="AM810" i="10" a="1"/>
  <c r="AM810" i="10" s="1"/>
  <c r="AM807" i="10" a="1"/>
  <c r="AM807" i="10" s="1"/>
  <c r="AM804" i="10" a="1"/>
  <c r="AM804" i="10" s="1"/>
  <c r="AM801" i="10" a="1"/>
  <c r="AM801" i="10" s="1"/>
  <c r="AM798" i="10" a="1"/>
  <c r="AM798" i="10" s="1"/>
  <c r="AM795" i="10" a="1"/>
  <c r="AM795" i="10" s="1"/>
  <c r="AM792" i="10" a="1"/>
  <c r="AM792" i="10" s="1"/>
  <c r="AM789" i="10" a="1"/>
  <c r="AM789" i="10" s="1"/>
  <c r="AM786" i="10" a="1"/>
  <c r="AM786" i="10" s="1"/>
  <c r="AM783" i="10" a="1"/>
  <c r="AM783" i="10" s="1"/>
  <c r="AM780" i="10" a="1"/>
  <c r="AM780" i="10" s="1"/>
  <c r="AM777" i="10" a="1"/>
  <c r="AM777" i="10" s="1"/>
  <c r="AM774" i="10" a="1"/>
  <c r="AM774" i="10" s="1"/>
  <c r="AM771" i="10" a="1"/>
  <c r="AM771" i="10" s="1"/>
  <c r="AM768" i="10" a="1"/>
  <c r="AM768" i="10" s="1"/>
  <c r="AM765" i="10" a="1"/>
  <c r="AM765" i="10" s="1"/>
  <c r="AM762" i="10" a="1"/>
  <c r="AM762" i="10" s="1"/>
  <c r="AM759" i="10" a="1"/>
  <c r="AM759" i="10" s="1"/>
  <c r="AM756" i="10" a="1"/>
  <c r="AM756" i="10" s="1"/>
  <c r="AM753" i="10" a="1"/>
  <c r="AM753" i="10" s="1"/>
  <c r="AM750" i="10" a="1"/>
  <c r="AM750" i="10" s="1"/>
  <c r="AM747" i="10" a="1"/>
  <c r="AM747" i="10" s="1"/>
  <c r="AM744" i="10" a="1"/>
  <c r="AM744" i="10" s="1"/>
  <c r="AM741" i="10" a="1"/>
  <c r="AM741" i="10" s="1"/>
  <c r="AM738" i="10" a="1"/>
  <c r="AM738" i="10" s="1"/>
  <c r="AM735" i="10" a="1"/>
  <c r="AM735" i="10" s="1"/>
  <c r="AM732" i="10" a="1"/>
  <c r="AM732" i="10" s="1"/>
  <c r="AM729" i="10" a="1"/>
  <c r="AM729" i="10" s="1"/>
  <c r="AM726" i="10" a="1"/>
  <c r="AM726" i="10" s="1"/>
  <c r="AM723" i="10" a="1"/>
  <c r="AM723" i="10" s="1"/>
  <c r="AM720" i="10" a="1"/>
  <c r="AM720" i="10" s="1"/>
  <c r="AM717" i="10" a="1"/>
  <c r="AM717" i="10" s="1"/>
  <c r="AM714" i="10" a="1"/>
  <c r="AM714" i="10" s="1"/>
  <c r="AM711" i="10" a="1"/>
  <c r="AM711" i="10" s="1"/>
  <c r="AM708" i="10" a="1"/>
  <c r="AM708" i="10" s="1"/>
  <c r="AM705" i="10" a="1"/>
  <c r="AM705" i="10" s="1"/>
  <c r="AM702" i="10" a="1"/>
  <c r="AM702" i="10" s="1"/>
  <c r="AM699" i="10" a="1"/>
  <c r="AM699" i="10" s="1"/>
  <c r="AM696" i="10" a="1"/>
  <c r="AM696" i="10" s="1"/>
  <c r="AM693" i="10" a="1"/>
  <c r="AM693" i="10" s="1"/>
  <c r="AM690" i="10" a="1"/>
  <c r="AM690" i="10" s="1"/>
  <c r="AM687" i="10" a="1"/>
  <c r="AM687" i="10" s="1"/>
  <c r="AM684" i="10" a="1"/>
  <c r="AM684" i="10" s="1"/>
  <c r="AM681" i="10" a="1"/>
  <c r="AM681" i="10" s="1"/>
  <c r="AM678" i="10" a="1"/>
  <c r="AM678" i="10" s="1"/>
  <c r="AM675" i="10" a="1"/>
  <c r="AM675" i="10" s="1"/>
  <c r="AM672" i="10" a="1"/>
  <c r="AM672" i="10" s="1"/>
  <c r="AM669" i="10" a="1"/>
  <c r="AM669" i="10" s="1"/>
  <c r="AM666" i="10" a="1"/>
  <c r="AM666" i="10" s="1"/>
  <c r="AM663" i="10" a="1"/>
  <c r="AM663" i="10" s="1"/>
  <c r="AM660" i="10" a="1"/>
  <c r="AM660" i="10" s="1"/>
  <c r="AM657" i="10" a="1"/>
  <c r="AM657" i="10" s="1"/>
  <c r="AM654" i="10" a="1"/>
  <c r="AM654" i="10" s="1"/>
  <c r="AM651" i="10" a="1"/>
  <c r="AM651" i="10" s="1"/>
  <c r="AM648" i="10" a="1"/>
  <c r="AM648" i="10" s="1"/>
  <c r="AM645" i="10" a="1"/>
  <c r="AM645" i="10" s="1"/>
  <c r="AM642" i="10" a="1"/>
  <c r="AM642" i="10" s="1"/>
  <c r="AM639" i="10" a="1"/>
  <c r="AM639" i="10" s="1"/>
  <c r="AM636" i="10" a="1"/>
  <c r="AM636" i="10" s="1"/>
  <c r="AM633" i="10" a="1"/>
  <c r="AM633" i="10" s="1"/>
  <c r="AM630" i="10" a="1"/>
  <c r="AM630" i="10" s="1"/>
  <c r="AM627" i="10" a="1"/>
  <c r="AM627" i="10" s="1"/>
  <c r="AM624" i="10" a="1"/>
  <c r="AM624" i="10" s="1"/>
  <c r="AM621" i="10" a="1"/>
  <c r="AM621" i="10" s="1"/>
  <c r="AM618" i="10" a="1"/>
  <c r="AM618" i="10" s="1"/>
  <c r="AM615" i="10" a="1"/>
  <c r="AM615" i="10" s="1"/>
  <c r="AM612" i="10" a="1"/>
  <c r="AM612" i="10" s="1"/>
  <c r="AM609" i="10" a="1"/>
  <c r="AM609" i="10" s="1"/>
  <c r="AM606" i="10" a="1"/>
  <c r="AM606" i="10" s="1"/>
  <c r="AM603" i="10" a="1"/>
  <c r="AM603" i="10" s="1"/>
  <c r="AM600" i="10" a="1"/>
  <c r="AM600" i="10" s="1"/>
  <c r="AM597" i="10" a="1"/>
  <c r="AM597" i="10" s="1"/>
  <c r="AM594" i="10" a="1"/>
  <c r="AM594" i="10" s="1"/>
  <c r="AM591" i="10" a="1"/>
  <c r="AM591" i="10" s="1"/>
  <c r="AM588" i="10" a="1"/>
  <c r="AM588" i="10" s="1"/>
  <c r="AM585" i="10" a="1"/>
  <c r="AM585" i="10" s="1"/>
  <c r="AM582" i="10" a="1"/>
  <c r="AM582" i="10" s="1"/>
  <c r="AM579" i="10" a="1"/>
  <c r="AM579" i="10" s="1"/>
  <c r="AM576" i="10" a="1"/>
  <c r="AM576" i="10" s="1"/>
  <c r="AM573" i="10" a="1"/>
  <c r="AM573" i="10" s="1"/>
  <c r="AM570" i="10" a="1"/>
  <c r="AM570" i="10" s="1"/>
  <c r="AM567" i="10" a="1"/>
  <c r="AM567" i="10" s="1"/>
  <c r="AM564" i="10" a="1"/>
  <c r="AM564" i="10" s="1"/>
  <c r="AM561" i="10" a="1"/>
  <c r="AM561" i="10" s="1"/>
  <c r="AM558" i="10" a="1"/>
  <c r="AM558" i="10" s="1"/>
  <c r="AM555" i="10" a="1"/>
  <c r="AM555" i="10" s="1"/>
  <c r="AM552" i="10" a="1"/>
  <c r="AM552" i="10" s="1"/>
  <c r="AM549" i="10" a="1"/>
  <c r="AM549" i="10" s="1"/>
  <c r="AM546" i="10" a="1"/>
  <c r="AM546" i="10" s="1"/>
  <c r="AM543" i="10" a="1"/>
  <c r="AM543" i="10" s="1"/>
  <c r="AM540" i="10" a="1"/>
  <c r="AM540" i="10" s="1"/>
  <c r="AM537" i="10" a="1"/>
  <c r="AM537" i="10" s="1"/>
  <c r="AM534" i="10" a="1"/>
  <c r="AM534" i="10" s="1"/>
  <c r="AM531" i="10" a="1"/>
  <c r="AM531" i="10" s="1"/>
  <c r="AM528" i="10" a="1"/>
  <c r="AM528" i="10" s="1"/>
  <c r="AM525" i="10" a="1"/>
  <c r="AM525" i="10" s="1"/>
  <c r="AM522" i="10" a="1"/>
  <c r="AM522" i="10" s="1"/>
  <c r="AM519" i="10" a="1"/>
  <c r="AM519" i="10" s="1"/>
  <c r="AM494" i="10" a="1"/>
  <c r="AM494" i="10" s="1"/>
  <c r="AM491" i="10" a="1"/>
  <c r="AM491" i="10" s="1"/>
  <c r="AM488" i="10" a="1"/>
  <c r="AM488" i="10" s="1"/>
  <c r="AM485" i="10" a="1"/>
  <c r="AM485" i="10" s="1"/>
  <c r="AM482" i="10" a="1"/>
  <c r="AM482" i="10" s="1"/>
  <c r="AM479" i="10" a="1"/>
  <c r="AM479" i="10" s="1"/>
  <c r="AM476" i="10" a="1"/>
  <c r="AM476" i="10" s="1"/>
  <c r="AM473" i="10" a="1"/>
  <c r="AM473" i="10" s="1"/>
  <c r="AM470" i="10" a="1"/>
  <c r="AM470" i="10" s="1"/>
  <c r="AM467" i="10" a="1"/>
  <c r="AM467" i="10" s="1"/>
  <c r="AM464" i="10" a="1"/>
  <c r="AM464" i="10" s="1"/>
  <c r="AM461" i="10" a="1"/>
  <c r="AM461" i="10" s="1"/>
  <c r="AM458" i="10" a="1"/>
  <c r="AM458" i="10" s="1"/>
  <c r="AM455" i="10" a="1"/>
  <c r="AM455" i="10" s="1"/>
  <c r="AM452" i="10" a="1"/>
  <c r="AM452" i="10" s="1"/>
  <c r="AM449" i="10" a="1"/>
  <c r="AM449" i="10" s="1"/>
  <c r="AM446" i="10" a="1"/>
  <c r="AM446" i="10" s="1"/>
  <c r="AM443" i="10" a="1"/>
  <c r="AM443" i="10" s="1"/>
  <c r="AM440" i="10" a="1"/>
  <c r="AM440" i="10" s="1"/>
  <c r="AM437" i="10" a="1"/>
  <c r="AM437" i="10" s="1"/>
  <c r="AM434" i="10" a="1"/>
  <c r="AM434" i="10" s="1"/>
  <c r="AM431" i="10" a="1"/>
  <c r="AM431" i="10" s="1"/>
  <c r="AM428" i="10" a="1"/>
  <c r="AM428" i="10" s="1"/>
  <c r="AM425" i="10" a="1"/>
  <c r="AM425" i="10" s="1"/>
  <c r="AM422" i="10" a="1"/>
  <c r="AM422" i="10" s="1"/>
  <c r="AM419" i="10" a="1"/>
  <c r="AM419" i="10" s="1"/>
  <c r="AM416" i="10" a="1"/>
  <c r="AM416" i="10" s="1"/>
  <c r="AM413" i="10" a="1"/>
  <c r="AM413" i="10" s="1"/>
  <c r="AM410" i="10" a="1"/>
  <c r="AM410" i="10" s="1"/>
  <c r="AM407" i="10" a="1"/>
  <c r="AM407" i="10" s="1"/>
  <c r="AM404" i="10" a="1"/>
  <c r="AM404" i="10" s="1"/>
  <c r="AM401" i="10" a="1"/>
  <c r="AM401" i="10" s="1"/>
  <c r="AM398" i="10" a="1"/>
  <c r="AM398" i="10" s="1"/>
  <c r="AM395" i="10" a="1"/>
  <c r="AM395" i="10" s="1"/>
  <c r="AM392" i="10" a="1"/>
  <c r="AM392" i="10" s="1"/>
  <c r="AM389" i="10" a="1"/>
  <c r="AM389" i="10" s="1"/>
  <c r="AM386" i="10" a="1"/>
  <c r="AM386" i="10" s="1"/>
  <c r="AM383" i="10" a="1"/>
  <c r="AM383" i="10" s="1"/>
  <c r="AM380" i="10" a="1"/>
  <c r="AM380" i="10" s="1"/>
  <c r="AM377" i="10" a="1"/>
  <c r="AM377" i="10" s="1"/>
  <c r="AM374" i="10" a="1"/>
  <c r="AM374" i="10" s="1"/>
  <c r="AM371" i="10" a="1"/>
  <c r="AM371" i="10" s="1"/>
  <c r="AM368" i="10" a="1"/>
  <c r="AM368" i="10" s="1"/>
  <c r="AM365" i="10" a="1"/>
  <c r="AM365" i="10" s="1"/>
  <c r="AM362" i="10" a="1"/>
  <c r="AM362" i="10" s="1"/>
  <c r="AM359" i="10" a="1"/>
  <c r="AM359" i="10" s="1"/>
  <c r="AM356" i="10" a="1"/>
  <c r="AM356" i="10" s="1"/>
  <c r="AM353" i="10" a="1"/>
  <c r="AM353" i="10" s="1"/>
  <c r="AM350" i="10" a="1"/>
  <c r="AM350" i="10" s="1"/>
  <c r="AM347" i="10" a="1"/>
  <c r="AM347" i="10" s="1"/>
  <c r="AM344" i="10" a="1"/>
  <c r="AM344" i="10" s="1"/>
  <c r="AM341" i="10" a="1"/>
  <c r="AM341" i="10" s="1"/>
  <c r="AM338" i="10" a="1"/>
  <c r="AM338" i="10" s="1"/>
  <c r="AM335" i="10" a="1"/>
  <c r="AM335" i="10" s="1"/>
  <c r="AM332" i="10" a="1"/>
  <c r="AM332" i="10" s="1"/>
  <c r="AM329" i="10" a="1"/>
  <c r="AM329" i="10" s="1"/>
  <c r="AM326" i="10" a="1"/>
  <c r="AM326" i="10" s="1"/>
  <c r="AM323" i="10" a="1"/>
  <c r="AM323" i="10" s="1"/>
  <c r="AM320" i="10" a="1"/>
  <c r="AM320" i="10" s="1"/>
  <c r="AM317" i="10" a="1"/>
  <c r="AM317" i="10" s="1"/>
  <c r="AM314" i="10" a="1"/>
  <c r="AM314" i="10" s="1"/>
  <c r="AM311" i="10" a="1"/>
  <c r="AM311" i="10" s="1"/>
  <c r="AM308" i="10" a="1"/>
  <c r="AM308" i="10" s="1"/>
  <c r="AM305" i="10" a="1"/>
  <c r="AM305" i="10" s="1"/>
  <c r="AM302" i="10" a="1"/>
  <c r="AM302" i="10" s="1"/>
  <c r="AM299" i="10" a="1"/>
  <c r="AM299" i="10" s="1"/>
  <c r="AM296" i="10" a="1"/>
  <c r="AM296" i="10" s="1"/>
  <c r="AM293" i="10" a="1"/>
  <c r="AM293" i="10" s="1"/>
  <c r="AM290" i="10" a="1"/>
  <c r="AM290" i="10" s="1"/>
  <c r="AM287" i="10" a="1"/>
  <c r="AM287" i="10" s="1"/>
  <c r="AM284" i="10" a="1"/>
  <c r="AM284" i="10" s="1"/>
  <c r="AM281" i="10" a="1"/>
  <c r="AM281" i="10" s="1"/>
  <c r="AM278" i="10" a="1"/>
  <c r="AM278" i="10" s="1"/>
  <c r="AM275" i="10" a="1"/>
  <c r="AM275" i="10" s="1"/>
  <c r="AM272" i="10" a="1"/>
  <c r="AM272" i="10" s="1"/>
  <c r="AM269" i="10" a="1"/>
  <c r="AM269" i="10" s="1"/>
  <c r="AM266" i="10" a="1"/>
  <c r="AM266" i="10" s="1"/>
  <c r="AM263" i="10" a="1"/>
  <c r="AM263" i="10" s="1"/>
  <c r="AM260" i="10" a="1"/>
  <c r="AM260" i="10" s="1"/>
  <c r="AM257" i="10" a="1"/>
  <c r="AM257" i="10" s="1"/>
  <c r="AM254" i="10" a="1"/>
  <c r="AM254" i="10" s="1"/>
  <c r="AM251" i="10" a="1"/>
  <c r="AM251" i="10" s="1"/>
  <c r="AM248" i="10" a="1"/>
  <c r="AM248" i="10" s="1"/>
  <c r="AM245" i="10" a="1"/>
  <c r="AM245" i="10" s="1"/>
  <c r="AM242" i="10" a="1"/>
  <c r="AM242" i="10" s="1"/>
  <c r="AM239" i="10" a="1"/>
  <c r="AM239" i="10" s="1"/>
  <c r="AM236" i="10" a="1"/>
  <c r="AM236" i="10" s="1"/>
  <c r="AM233" i="10" a="1"/>
  <c r="AM233" i="10" s="1"/>
  <c r="AM230" i="10" a="1"/>
  <c r="AM230" i="10" s="1"/>
  <c r="AM227" i="10" a="1"/>
  <c r="AM227" i="10" s="1"/>
  <c r="AM224" i="10" a="1"/>
  <c r="AM224" i="10" s="1"/>
  <c r="AM221" i="10" a="1"/>
  <c r="AM221" i="10" s="1"/>
  <c r="AM218" i="10" a="1"/>
  <c r="AM218" i="10" s="1"/>
  <c r="AM215" i="10" a="1"/>
  <c r="AM215" i="10" s="1"/>
  <c r="AM212" i="10" a="1"/>
  <c r="AM212" i="10" s="1"/>
  <c r="AM209" i="10" a="1"/>
  <c r="AM209" i="10" s="1"/>
  <c r="AM206" i="10" a="1"/>
  <c r="AM206" i="10" s="1"/>
  <c r="AM203" i="10" a="1"/>
  <c r="AM203" i="10" s="1"/>
  <c r="AM200" i="10" a="1"/>
  <c r="AM200" i="10" s="1"/>
  <c r="AM197" i="10" a="1"/>
  <c r="AM197" i="10" s="1"/>
  <c r="AM194" i="10" a="1"/>
  <c r="AM194" i="10" s="1"/>
  <c r="AM191" i="10" a="1"/>
  <c r="AM191" i="10" s="1"/>
  <c r="AM188" i="10" a="1"/>
  <c r="AM188" i="10" s="1"/>
  <c r="AM185" i="10" a="1"/>
  <c r="AM185" i="10" s="1"/>
  <c r="AM182" i="10" a="1"/>
  <c r="AM182" i="10" s="1"/>
  <c r="AM179" i="10" a="1"/>
  <c r="AM179" i="10" s="1"/>
  <c r="AM176" i="10" a="1"/>
  <c r="AM176" i="10" s="1"/>
  <c r="AM173" i="10" a="1"/>
  <c r="AM173" i="10" s="1"/>
  <c r="AM170" i="10" a="1"/>
  <c r="AM170" i="10" s="1"/>
  <c r="AM167" i="10" a="1"/>
  <c r="AM167" i="10" s="1"/>
  <c r="AM164" i="10" a="1"/>
  <c r="AM164" i="10" s="1"/>
  <c r="AM161" i="10" a="1"/>
  <c r="AM161" i="10" s="1"/>
  <c r="AM158" i="10" a="1"/>
  <c r="AM158" i="10" s="1"/>
  <c r="AM155" i="10" a="1"/>
  <c r="AM155" i="10" s="1"/>
  <c r="AM152" i="10" a="1"/>
  <c r="AM152" i="10" s="1"/>
  <c r="AM149" i="10" a="1"/>
  <c r="AM149" i="10" s="1"/>
  <c r="AM146" i="10" a="1"/>
  <c r="AM146" i="10" s="1"/>
  <c r="AM143" i="10" a="1"/>
  <c r="AM143" i="10" s="1"/>
  <c r="AM140" i="10" a="1"/>
  <c r="AM140" i="10" s="1"/>
  <c r="AM137" i="10" a="1"/>
  <c r="AM137" i="10" s="1"/>
  <c r="AM134" i="10" a="1"/>
  <c r="AM134" i="10" s="1"/>
  <c r="AM131" i="10" a="1"/>
  <c r="AM131" i="10" s="1"/>
  <c r="AM128" i="10" a="1"/>
  <c r="AM128" i="10" s="1"/>
  <c r="AM125" i="10" a="1"/>
  <c r="AM125" i="10" s="1"/>
  <c r="AM122" i="10" a="1"/>
  <c r="AM122" i="10" s="1"/>
  <c r="AM119" i="10" a="1"/>
  <c r="AM119" i="10" s="1"/>
  <c r="AM116" i="10" a="1"/>
  <c r="AM116" i="10" s="1"/>
  <c r="AM113" i="10" a="1"/>
  <c r="AM113" i="10" s="1"/>
  <c r="AM110" i="10" a="1"/>
  <c r="AM110" i="10" s="1"/>
  <c r="AM107" i="10" a="1"/>
  <c r="AM107" i="10" s="1"/>
  <c r="AM104" i="10" a="1"/>
  <c r="AM104" i="10" s="1"/>
  <c r="AM101" i="10" a="1"/>
  <c r="AM101" i="10" s="1"/>
  <c r="AM98" i="10" a="1"/>
  <c r="AM98" i="10" s="1"/>
  <c r="AM95" i="10" a="1"/>
  <c r="AM95" i="10" s="1"/>
  <c r="AM92" i="10" a="1"/>
  <c r="AM92" i="10" s="1"/>
  <c r="AM89" i="10" a="1"/>
  <c r="AM89" i="10" s="1"/>
  <c r="AM86" i="10" a="1"/>
  <c r="AM86" i="10" s="1"/>
  <c r="AM83" i="10" a="1"/>
  <c r="AM83" i="10" s="1"/>
  <c r="AM610" i="10" a="1"/>
  <c r="AM610" i="10" s="1"/>
  <c r="AM607" i="10" a="1"/>
  <c r="AM607" i="10" s="1"/>
  <c r="AM604" i="10" a="1"/>
  <c r="AM604" i="10" s="1"/>
  <c r="AM601" i="10" a="1"/>
  <c r="AM601" i="10" s="1"/>
  <c r="AM598" i="10" a="1"/>
  <c r="AM598" i="10" s="1"/>
  <c r="AM595" i="10" a="1"/>
  <c r="AM595" i="10" s="1"/>
  <c r="AM592" i="10" a="1"/>
  <c r="AM592" i="10" s="1"/>
  <c r="AM589" i="10" a="1"/>
  <c r="AM589" i="10" s="1"/>
  <c r="AM586" i="10" a="1"/>
  <c r="AM586" i="10" s="1"/>
  <c r="AM583" i="10" a="1"/>
  <c r="AM583" i="10" s="1"/>
  <c r="AM580" i="10" a="1"/>
  <c r="AM580" i="10" s="1"/>
  <c r="AM577" i="10" a="1"/>
  <c r="AM577" i="10" s="1"/>
  <c r="AM574" i="10" a="1"/>
  <c r="AM574" i="10" s="1"/>
  <c r="AM571" i="10" a="1"/>
  <c r="AM571" i="10" s="1"/>
  <c r="AM568" i="10" a="1"/>
  <c r="AM568" i="10" s="1"/>
  <c r="AM565" i="10" a="1"/>
  <c r="AM565" i="10" s="1"/>
  <c r="AM562" i="10" a="1"/>
  <c r="AM562" i="10" s="1"/>
  <c r="AM559" i="10" a="1"/>
  <c r="AM559" i="10" s="1"/>
  <c r="AM556" i="10" a="1"/>
  <c r="AM556" i="10" s="1"/>
  <c r="AM553" i="10" a="1"/>
  <c r="AM553" i="10" s="1"/>
  <c r="AM550" i="10" a="1"/>
  <c r="AM550" i="10" s="1"/>
  <c r="AM547" i="10" a="1"/>
  <c r="AM547" i="10" s="1"/>
  <c r="AM544" i="10" a="1"/>
  <c r="AM544" i="10" s="1"/>
  <c r="AM541" i="10" a="1"/>
  <c r="AM541" i="10" s="1"/>
  <c r="AM538" i="10" a="1"/>
  <c r="AM538" i="10" s="1"/>
  <c r="AM535" i="10" a="1"/>
  <c r="AM535" i="10" s="1"/>
  <c r="AM532" i="10" a="1"/>
  <c r="AM532" i="10" s="1"/>
  <c r="AM529" i="10" a="1"/>
  <c r="AM529" i="10" s="1"/>
  <c r="AM526" i="10" a="1"/>
  <c r="AM526" i="10" s="1"/>
  <c r="AM523" i="10" a="1"/>
  <c r="AM523" i="10" s="1"/>
  <c r="AM520" i="10" a="1"/>
  <c r="AM520" i="10" s="1"/>
  <c r="AM517" i="10" a="1"/>
  <c r="AM517" i="10" s="1"/>
  <c r="AM514" i="10" a="1"/>
  <c r="AM514" i="10" s="1"/>
  <c r="AM511" i="10" a="1"/>
  <c r="AM511" i="10" s="1"/>
  <c r="AM508" i="10" a="1"/>
  <c r="AM508" i="10" s="1"/>
  <c r="AM505" i="10" a="1"/>
  <c r="AM505" i="10" s="1"/>
  <c r="AM502" i="10" a="1"/>
  <c r="AM502" i="10" s="1"/>
  <c r="AM499" i="10" a="1"/>
  <c r="AM499" i="10" s="1"/>
  <c r="AM496" i="10" a="1"/>
  <c r="AM496" i="10" s="1"/>
  <c r="AM493" i="10" a="1"/>
  <c r="AM493" i="10" s="1"/>
  <c r="AM490" i="10" a="1"/>
  <c r="AM490" i="10" s="1"/>
  <c r="AM487" i="10" a="1"/>
  <c r="AM487" i="10" s="1"/>
  <c r="AM484" i="10" a="1"/>
  <c r="AM484" i="10" s="1"/>
  <c r="AM481" i="10" a="1"/>
  <c r="AM481" i="10" s="1"/>
  <c r="AM478" i="10" a="1"/>
  <c r="AM478" i="10" s="1"/>
  <c r="AM475" i="10" a="1"/>
  <c r="AM475" i="10" s="1"/>
  <c r="AM472" i="10" a="1"/>
  <c r="AM472" i="10" s="1"/>
  <c r="AM469" i="10" a="1"/>
  <c r="AM469" i="10" s="1"/>
  <c r="AM466" i="10" a="1"/>
  <c r="AM466" i="10" s="1"/>
  <c r="AM463" i="10" a="1"/>
  <c r="AM463" i="10" s="1"/>
  <c r="AM460" i="10" a="1"/>
  <c r="AM460" i="10" s="1"/>
  <c r="AM457" i="10" a="1"/>
  <c r="AM457" i="10" s="1"/>
  <c r="AM454" i="10" a="1"/>
  <c r="AM454" i="10" s="1"/>
  <c r="AM451" i="10" a="1"/>
  <c r="AM451" i="10" s="1"/>
  <c r="AM448" i="10" a="1"/>
  <c r="AM448" i="10" s="1"/>
  <c r="AM445" i="10" a="1"/>
  <c r="AM445" i="10" s="1"/>
  <c r="AM442" i="10" a="1"/>
  <c r="AM442" i="10" s="1"/>
  <c r="AM439" i="10" a="1"/>
  <c r="AM439" i="10" s="1"/>
  <c r="AM436" i="10" a="1"/>
  <c r="AM436" i="10" s="1"/>
  <c r="AM433" i="10" a="1"/>
  <c r="AM433" i="10" s="1"/>
  <c r="AM430" i="10" a="1"/>
  <c r="AM430" i="10" s="1"/>
  <c r="AM427" i="10" a="1"/>
  <c r="AM427" i="10" s="1"/>
  <c r="AM424" i="10" a="1"/>
  <c r="AM424" i="10" s="1"/>
  <c r="AM421" i="10" a="1"/>
  <c r="AM421" i="10" s="1"/>
  <c r="AM418" i="10" a="1"/>
  <c r="AM418" i="10" s="1"/>
  <c r="AM415" i="10" a="1"/>
  <c r="AM415" i="10" s="1"/>
  <c r="AM412" i="10" a="1"/>
  <c r="AM412" i="10" s="1"/>
  <c r="AM409" i="10" a="1"/>
  <c r="AM409" i="10" s="1"/>
  <c r="AM406" i="10" a="1"/>
  <c r="AM406" i="10" s="1"/>
  <c r="AM403" i="10" a="1"/>
  <c r="AM403" i="10" s="1"/>
  <c r="AM400" i="10" a="1"/>
  <c r="AM400" i="10" s="1"/>
  <c r="AM397" i="10" a="1"/>
  <c r="AM397" i="10" s="1"/>
  <c r="AM394" i="10" a="1"/>
  <c r="AM394" i="10" s="1"/>
  <c r="AM391" i="10" a="1"/>
  <c r="AM391" i="10" s="1"/>
  <c r="AM388" i="10" a="1"/>
  <c r="AM388" i="10" s="1"/>
  <c r="AM385" i="10" a="1"/>
  <c r="AM385" i="10" s="1"/>
  <c r="AM382" i="10" a="1"/>
  <c r="AM382" i="10" s="1"/>
  <c r="AM379" i="10" a="1"/>
  <c r="AM379" i="10" s="1"/>
  <c r="AM376" i="10" a="1"/>
  <c r="AM376" i="10" s="1"/>
  <c r="AM373" i="10" a="1"/>
  <c r="AM373" i="10" s="1"/>
  <c r="AM370" i="10" a="1"/>
  <c r="AM370" i="10" s="1"/>
  <c r="AM367" i="10" a="1"/>
  <c r="AM367" i="10" s="1"/>
  <c r="AM364" i="10" a="1"/>
  <c r="AM364" i="10" s="1"/>
  <c r="AM361" i="10" a="1"/>
  <c r="AM361" i="10" s="1"/>
  <c r="AM358" i="10" a="1"/>
  <c r="AM358" i="10" s="1"/>
  <c r="AM355" i="10" a="1"/>
  <c r="AM355" i="10" s="1"/>
  <c r="AM352" i="10" a="1"/>
  <c r="AM352" i="10" s="1"/>
  <c r="AM349" i="10" a="1"/>
  <c r="AM349" i="10" s="1"/>
  <c r="AM346" i="10" a="1"/>
  <c r="AM346" i="10" s="1"/>
  <c r="AM343" i="10" a="1"/>
  <c r="AM343" i="10" s="1"/>
  <c r="AM340" i="10" a="1"/>
  <c r="AM340" i="10" s="1"/>
  <c r="AM337" i="10" a="1"/>
  <c r="AM337" i="10" s="1"/>
  <c r="AM334" i="10" a="1"/>
  <c r="AM334" i="10" s="1"/>
  <c r="AM331" i="10" a="1"/>
  <c r="AM331" i="10" s="1"/>
  <c r="AM328" i="10" a="1"/>
  <c r="AM328" i="10" s="1"/>
  <c r="AM325" i="10" a="1"/>
  <c r="AM325" i="10" s="1"/>
  <c r="AM322" i="10" a="1"/>
  <c r="AM322" i="10" s="1"/>
  <c r="AM319" i="10" a="1"/>
  <c r="AM319" i="10" s="1"/>
  <c r="AM316" i="10" a="1"/>
  <c r="AM316" i="10" s="1"/>
  <c r="AM313" i="10" a="1"/>
  <c r="AM313" i="10" s="1"/>
  <c r="AM310" i="10" a="1"/>
  <c r="AM310" i="10" s="1"/>
  <c r="AM307" i="10" a="1"/>
  <c r="AM307" i="10" s="1"/>
  <c r="AM304" i="10" a="1"/>
  <c r="AM304" i="10" s="1"/>
  <c r="AM301" i="10" a="1"/>
  <c r="AM301" i="10" s="1"/>
  <c r="AM298" i="10" a="1"/>
  <c r="AM298" i="10" s="1"/>
  <c r="AM295" i="10" a="1"/>
  <c r="AM295" i="10" s="1"/>
  <c r="AM292" i="10" a="1"/>
  <c r="AM292" i="10" s="1"/>
  <c r="AM289" i="10" a="1"/>
  <c r="AM289" i="10" s="1"/>
  <c r="AM286" i="10" a="1"/>
  <c r="AM286" i="10" s="1"/>
  <c r="AM283" i="10" a="1"/>
  <c r="AM283" i="10" s="1"/>
  <c r="AM280" i="10" a="1"/>
  <c r="AM280" i="10" s="1"/>
  <c r="AM277" i="10" a="1"/>
  <c r="AM277" i="10" s="1"/>
  <c r="AM274" i="10" a="1"/>
  <c r="AM274" i="10" s="1"/>
  <c r="AM271" i="10" a="1"/>
  <c r="AM271" i="10" s="1"/>
  <c r="AM268" i="10" a="1"/>
  <c r="AM268" i="10" s="1"/>
  <c r="AM265" i="10" a="1"/>
  <c r="AM265" i="10" s="1"/>
  <c r="AM262" i="10" a="1"/>
  <c r="AM262" i="10" s="1"/>
  <c r="AM259" i="10" a="1"/>
  <c r="AM259" i="10" s="1"/>
  <c r="AM256" i="10" a="1"/>
  <c r="AM256" i="10" s="1"/>
  <c r="AM253" i="10" a="1"/>
  <c r="AM253" i="10" s="1"/>
  <c r="AM250" i="10" a="1"/>
  <c r="AM250" i="10" s="1"/>
  <c r="AM247" i="10" a="1"/>
  <c r="AM247" i="10" s="1"/>
  <c r="AM244" i="10" a="1"/>
  <c r="AM244" i="10" s="1"/>
  <c r="AM241" i="10" a="1"/>
  <c r="AM241" i="10" s="1"/>
  <c r="AM238" i="10" a="1"/>
  <c r="AM238" i="10" s="1"/>
  <c r="AM235" i="10" a="1"/>
  <c r="AM235" i="10" s="1"/>
  <c r="AM232" i="10" a="1"/>
  <c r="AM232" i="10" s="1"/>
  <c r="AM229" i="10" a="1"/>
  <c r="AM229" i="10" s="1"/>
  <c r="AM226" i="10" a="1"/>
  <c r="AM226" i="10" s="1"/>
  <c r="AM223" i="10" a="1"/>
  <c r="AM223" i="10" s="1"/>
  <c r="AM220" i="10" a="1"/>
  <c r="AM220" i="10" s="1"/>
  <c r="AM217" i="10" a="1"/>
  <c r="AM217" i="10" s="1"/>
  <c r="AM214" i="10" a="1"/>
  <c r="AM214" i="10" s="1"/>
  <c r="AM211" i="10" a="1"/>
  <c r="AM211" i="10" s="1"/>
  <c r="AM208" i="10" a="1"/>
  <c r="AM208" i="10" s="1"/>
  <c r="AM205" i="10" a="1"/>
  <c r="AM205" i="10" s="1"/>
  <c r="AM202" i="10" a="1"/>
  <c r="AM202" i="10" s="1"/>
  <c r="AM199" i="10" a="1"/>
  <c r="AM199" i="10" s="1"/>
  <c r="AM196" i="10" a="1"/>
  <c r="AM196" i="10" s="1"/>
  <c r="AM193" i="10" a="1"/>
  <c r="AM193" i="10" s="1"/>
  <c r="AM190" i="10" a="1"/>
  <c r="AM190" i="10" s="1"/>
  <c r="AM187" i="10" a="1"/>
  <c r="AM187" i="10" s="1"/>
  <c r="AM184" i="10" a="1"/>
  <c r="AM184" i="10" s="1"/>
  <c r="AM181" i="10" a="1"/>
  <c r="AM181" i="10" s="1"/>
  <c r="AM178" i="10" a="1"/>
  <c r="AM178" i="10" s="1"/>
  <c r="AM175" i="10" a="1"/>
  <c r="AM175" i="10" s="1"/>
  <c r="AM172" i="10" a="1"/>
  <c r="AM172" i="10" s="1"/>
  <c r="AM169" i="10" a="1"/>
  <c r="AM169" i="10" s="1"/>
  <c r="AM166" i="10" a="1"/>
  <c r="AM166" i="10" s="1"/>
  <c r="AM163" i="10" a="1"/>
  <c r="AM163" i="10" s="1"/>
  <c r="AM160" i="10" a="1"/>
  <c r="AM160" i="10" s="1"/>
  <c r="AM157" i="10" a="1"/>
  <c r="AM157" i="10" s="1"/>
  <c r="AM154" i="10" a="1"/>
  <c r="AM154" i="10" s="1"/>
  <c r="AM151" i="10" a="1"/>
  <c r="AM151" i="10" s="1"/>
  <c r="AM148" i="10" a="1"/>
  <c r="AM148" i="10" s="1"/>
  <c r="AM145" i="10" a="1"/>
  <c r="AM145" i="10" s="1"/>
  <c r="AM142" i="10" a="1"/>
  <c r="AM142" i="10" s="1"/>
  <c r="AM139" i="10" a="1"/>
  <c r="AM139" i="10" s="1"/>
  <c r="AM136" i="10" a="1"/>
  <c r="AM136" i="10" s="1"/>
  <c r="AM133" i="10" a="1"/>
  <c r="AM133" i="10" s="1"/>
  <c r="AM130" i="10" a="1"/>
  <c r="AM130" i="10" s="1"/>
  <c r="AM127" i="10" a="1"/>
  <c r="AM127" i="10" s="1"/>
  <c r="AM124" i="10" a="1"/>
  <c r="AM124" i="10" s="1"/>
  <c r="AM121" i="10" a="1"/>
  <c r="AM121" i="10" s="1"/>
  <c r="AM118" i="10" a="1"/>
  <c r="AM118" i="10" s="1"/>
  <c r="AM115" i="10" a="1"/>
  <c r="AM115" i="10" s="1"/>
  <c r="AM112" i="10" a="1"/>
  <c r="AM112" i="10" s="1"/>
  <c r="AM109" i="10" a="1"/>
  <c r="AM109" i="10" s="1"/>
  <c r="AM106" i="10" a="1"/>
  <c r="AM106" i="10" s="1"/>
  <c r="AM103" i="10" a="1"/>
  <c r="AM103" i="10" s="1"/>
  <c r="AM516" i="10" a="1"/>
  <c r="AM516" i="10" s="1"/>
  <c r="AM513" i="10" a="1"/>
  <c r="AM513" i="10" s="1"/>
  <c r="AM510" i="10" a="1"/>
  <c r="AM510" i="10" s="1"/>
  <c r="AM507" i="10" a="1"/>
  <c r="AM507" i="10" s="1"/>
  <c r="AM504" i="10" a="1"/>
  <c r="AM504" i="10" s="1"/>
  <c r="AM501" i="10" a="1"/>
  <c r="AM501" i="10" s="1"/>
  <c r="AM498" i="10" a="1"/>
  <c r="AM498" i="10" s="1"/>
  <c r="AM495" i="10" a="1"/>
  <c r="AM495" i="10" s="1"/>
  <c r="AM492" i="10" a="1"/>
  <c r="AM492" i="10" s="1"/>
  <c r="AM489" i="10" a="1"/>
  <c r="AM489" i="10" s="1"/>
  <c r="AM486" i="10" a="1"/>
  <c r="AM486" i="10" s="1"/>
  <c r="AM483" i="10" a="1"/>
  <c r="AM483" i="10" s="1"/>
  <c r="AM480" i="10" a="1"/>
  <c r="AM480" i="10" s="1"/>
  <c r="AM477" i="10" a="1"/>
  <c r="AM477" i="10" s="1"/>
  <c r="AM474" i="10" a="1"/>
  <c r="AM474" i="10" s="1"/>
  <c r="AM471" i="10" a="1"/>
  <c r="AM471" i="10" s="1"/>
  <c r="AM468" i="10" a="1"/>
  <c r="AM468" i="10" s="1"/>
  <c r="AM465" i="10" a="1"/>
  <c r="AM465" i="10" s="1"/>
  <c r="AM462" i="10" a="1"/>
  <c r="AM462" i="10" s="1"/>
  <c r="AM459" i="10" a="1"/>
  <c r="AM459" i="10" s="1"/>
  <c r="AM456" i="10" a="1"/>
  <c r="AM456" i="10" s="1"/>
  <c r="AM453" i="10" a="1"/>
  <c r="AM453" i="10" s="1"/>
  <c r="AM450" i="10" a="1"/>
  <c r="AM450" i="10" s="1"/>
  <c r="AM447" i="10" a="1"/>
  <c r="AM447" i="10" s="1"/>
  <c r="AM444" i="10" a="1"/>
  <c r="AM444" i="10" s="1"/>
  <c r="AM441" i="10" a="1"/>
  <c r="AM441" i="10" s="1"/>
  <c r="AM438" i="10" a="1"/>
  <c r="AM438" i="10" s="1"/>
  <c r="AM435" i="10" a="1"/>
  <c r="AM435" i="10" s="1"/>
  <c r="AM432" i="10" a="1"/>
  <c r="AM432" i="10" s="1"/>
  <c r="AM429" i="10" a="1"/>
  <c r="AM429" i="10" s="1"/>
  <c r="AM426" i="10" a="1"/>
  <c r="AM426" i="10" s="1"/>
  <c r="AM423" i="10" a="1"/>
  <c r="AM423" i="10" s="1"/>
  <c r="AM420" i="10" a="1"/>
  <c r="AM420" i="10" s="1"/>
  <c r="AM417" i="10" a="1"/>
  <c r="AM417" i="10" s="1"/>
  <c r="AM414" i="10" a="1"/>
  <c r="AM414" i="10" s="1"/>
  <c r="AM411" i="10" a="1"/>
  <c r="AM411" i="10" s="1"/>
  <c r="AM408" i="10" a="1"/>
  <c r="AM408" i="10" s="1"/>
  <c r="AM405" i="10" a="1"/>
  <c r="AM405" i="10" s="1"/>
  <c r="AM402" i="10" a="1"/>
  <c r="AM402" i="10" s="1"/>
  <c r="AM399" i="10" a="1"/>
  <c r="AM399" i="10" s="1"/>
  <c r="AM396" i="10" a="1"/>
  <c r="AM396" i="10" s="1"/>
  <c r="AM393" i="10" a="1"/>
  <c r="AM393" i="10" s="1"/>
  <c r="AM390" i="10" a="1"/>
  <c r="AM390" i="10" s="1"/>
  <c r="AM387" i="10" a="1"/>
  <c r="AM387" i="10" s="1"/>
  <c r="AM384" i="10" a="1"/>
  <c r="AM384" i="10" s="1"/>
  <c r="AM381" i="10" a="1"/>
  <c r="AM381" i="10" s="1"/>
  <c r="AM378" i="10" a="1"/>
  <c r="AM378" i="10" s="1"/>
  <c r="AM375" i="10" a="1"/>
  <c r="AM375" i="10" s="1"/>
  <c r="AM372" i="10" a="1"/>
  <c r="AM372" i="10" s="1"/>
  <c r="AM369" i="10" a="1"/>
  <c r="AM369" i="10" s="1"/>
  <c r="AM366" i="10" a="1"/>
  <c r="AM366" i="10" s="1"/>
  <c r="AM363" i="10" a="1"/>
  <c r="AM363" i="10" s="1"/>
  <c r="AM360" i="10" a="1"/>
  <c r="AM360" i="10" s="1"/>
  <c r="AM357" i="10" a="1"/>
  <c r="AM357" i="10" s="1"/>
  <c r="AM354" i="10" a="1"/>
  <c r="AM354" i="10" s="1"/>
  <c r="AM351" i="10" a="1"/>
  <c r="AM351" i="10" s="1"/>
  <c r="AM348" i="10" a="1"/>
  <c r="AM348" i="10" s="1"/>
  <c r="AM345" i="10" a="1"/>
  <c r="AM345" i="10" s="1"/>
  <c r="AM342" i="10" a="1"/>
  <c r="AM342" i="10" s="1"/>
  <c r="AM339" i="10" a="1"/>
  <c r="AM339" i="10" s="1"/>
  <c r="AM336" i="10" a="1"/>
  <c r="AM336" i="10" s="1"/>
  <c r="AM333" i="10" a="1"/>
  <c r="AM333" i="10" s="1"/>
  <c r="AM330" i="10" a="1"/>
  <c r="AM330" i="10" s="1"/>
  <c r="AM327" i="10" a="1"/>
  <c r="AM327" i="10" s="1"/>
  <c r="AM324" i="10" a="1"/>
  <c r="AM324" i="10" s="1"/>
  <c r="AM321" i="10" a="1"/>
  <c r="AM321" i="10" s="1"/>
  <c r="AM318" i="10" a="1"/>
  <c r="AM318" i="10" s="1"/>
  <c r="AM315" i="10" a="1"/>
  <c r="AM315" i="10" s="1"/>
  <c r="AM312" i="10" a="1"/>
  <c r="AM312" i="10" s="1"/>
  <c r="AM309" i="10" a="1"/>
  <c r="AM309" i="10" s="1"/>
  <c r="AM306" i="10" a="1"/>
  <c r="AM306" i="10" s="1"/>
  <c r="AM303" i="10" a="1"/>
  <c r="AM303" i="10" s="1"/>
  <c r="AM300" i="10" a="1"/>
  <c r="AM300" i="10" s="1"/>
  <c r="AM297" i="10" a="1"/>
  <c r="AM297" i="10" s="1"/>
  <c r="AM294" i="10" a="1"/>
  <c r="AM294" i="10" s="1"/>
  <c r="AM291" i="10" a="1"/>
  <c r="AM291" i="10" s="1"/>
  <c r="AM288" i="10" a="1"/>
  <c r="AM288" i="10" s="1"/>
  <c r="AM285" i="10" a="1"/>
  <c r="AM285" i="10" s="1"/>
  <c r="AM282" i="10" a="1"/>
  <c r="AM282" i="10" s="1"/>
  <c r="AM279" i="10" a="1"/>
  <c r="AM279" i="10" s="1"/>
  <c r="AM276" i="10" a="1"/>
  <c r="AM276" i="10" s="1"/>
  <c r="AM273" i="10" a="1"/>
  <c r="AM273" i="10" s="1"/>
  <c r="AM270" i="10" a="1"/>
  <c r="AM270" i="10" s="1"/>
  <c r="AM267" i="10" a="1"/>
  <c r="AM267" i="10" s="1"/>
  <c r="AM264" i="10" a="1"/>
  <c r="AM264" i="10" s="1"/>
  <c r="AM261" i="10" a="1"/>
  <c r="AM261" i="10" s="1"/>
  <c r="AM258" i="10" a="1"/>
  <c r="AM258" i="10" s="1"/>
  <c r="AM255" i="10" a="1"/>
  <c r="AM255" i="10" s="1"/>
  <c r="AM252" i="10" a="1"/>
  <c r="AM252" i="10" s="1"/>
  <c r="AM249" i="10" a="1"/>
  <c r="AM249" i="10" s="1"/>
  <c r="AM246" i="10" a="1"/>
  <c r="AM246" i="10" s="1"/>
  <c r="AM243" i="10" a="1"/>
  <c r="AM243" i="10" s="1"/>
  <c r="AM240" i="10" a="1"/>
  <c r="AM240" i="10" s="1"/>
  <c r="AM237" i="10" a="1"/>
  <c r="AM237" i="10" s="1"/>
  <c r="AM234" i="10" a="1"/>
  <c r="AM234" i="10" s="1"/>
  <c r="AM231" i="10" a="1"/>
  <c r="AM231" i="10" s="1"/>
  <c r="AM228" i="10" a="1"/>
  <c r="AM228" i="10" s="1"/>
  <c r="AM225" i="10" a="1"/>
  <c r="AM225" i="10" s="1"/>
  <c r="AM222" i="10" a="1"/>
  <c r="AM222" i="10" s="1"/>
  <c r="AM219" i="10" a="1"/>
  <c r="AM219" i="10" s="1"/>
  <c r="AM216" i="10" a="1"/>
  <c r="AM216" i="10" s="1"/>
  <c r="AM213" i="10" a="1"/>
  <c r="AM213" i="10" s="1"/>
  <c r="AM210" i="10" a="1"/>
  <c r="AM210" i="10" s="1"/>
  <c r="AM207" i="10" a="1"/>
  <c r="AM207" i="10" s="1"/>
  <c r="AM204" i="10" a="1"/>
  <c r="AM204" i="10" s="1"/>
  <c r="AM201" i="10" a="1"/>
  <c r="AM201" i="10" s="1"/>
  <c r="AM198" i="10" a="1"/>
  <c r="AM198" i="10" s="1"/>
  <c r="AM195" i="10" a="1"/>
  <c r="AM195" i="10" s="1"/>
  <c r="AM192" i="10" a="1"/>
  <c r="AM192" i="10" s="1"/>
  <c r="AM189" i="10" a="1"/>
  <c r="AM189" i="10" s="1"/>
  <c r="AM186" i="10" a="1"/>
  <c r="AM186" i="10" s="1"/>
  <c r="AM183" i="10" a="1"/>
  <c r="AM183" i="10" s="1"/>
  <c r="AM180" i="10" a="1"/>
  <c r="AM180" i="10" s="1"/>
  <c r="AM177" i="10" a="1"/>
  <c r="AM177" i="10" s="1"/>
  <c r="AM174" i="10" a="1"/>
  <c r="AM174" i="10" s="1"/>
  <c r="AM171" i="10" a="1"/>
  <c r="AM171" i="10" s="1"/>
  <c r="AM168" i="10" a="1"/>
  <c r="AM168" i="10" s="1"/>
  <c r="AM165" i="10" a="1"/>
  <c r="AM165" i="10" s="1"/>
  <c r="AM162" i="10" a="1"/>
  <c r="AM162" i="10" s="1"/>
  <c r="AM159" i="10" a="1"/>
  <c r="AM159" i="10" s="1"/>
  <c r="AM156" i="10" a="1"/>
  <c r="AM156" i="10" s="1"/>
  <c r="AM153" i="10" a="1"/>
  <c r="AM153" i="10" s="1"/>
  <c r="AM150" i="10" a="1"/>
  <c r="AM150" i="10" s="1"/>
  <c r="AM147" i="10" a="1"/>
  <c r="AM147" i="10" s="1"/>
  <c r="AM144" i="10" a="1"/>
  <c r="AM144" i="10" s="1"/>
  <c r="AM141" i="10" a="1"/>
  <c r="AM141" i="10" s="1"/>
  <c r="AM138" i="10" a="1"/>
  <c r="AM138" i="10" s="1"/>
  <c r="AM135" i="10" a="1"/>
  <c r="AM135" i="10" s="1"/>
  <c r="AM132" i="10" a="1"/>
  <c r="AM132" i="10" s="1"/>
  <c r="AM129" i="10" a="1"/>
  <c r="AM129" i="10" s="1"/>
  <c r="AM126" i="10" a="1"/>
  <c r="AM126" i="10" s="1"/>
  <c r="AM123" i="10" a="1"/>
  <c r="AM123" i="10" s="1"/>
  <c r="AM120" i="10" a="1"/>
  <c r="AM120" i="10" s="1"/>
  <c r="AM117" i="10" a="1"/>
  <c r="AM117" i="10" s="1"/>
  <c r="AM114" i="10" a="1"/>
  <c r="AM114" i="10" s="1"/>
  <c r="AM111" i="10" a="1"/>
  <c r="AM111" i="10" s="1"/>
  <c r="AM108" i="10" a="1"/>
  <c r="AM108" i="10" s="1"/>
  <c r="AM105" i="10" a="1"/>
  <c r="AM105" i="10" s="1"/>
  <c r="AM102" i="10" a="1"/>
  <c r="AM102" i="10" s="1"/>
  <c r="AM99" i="10" a="1"/>
  <c r="AM99" i="10" s="1"/>
  <c r="AM96" i="10" a="1"/>
  <c r="AM96" i="10" s="1"/>
  <c r="AM93" i="10" a="1"/>
  <c r="AM93" i="10" s="1"/>
  <c r="AM90" i="10" a="1"/>
  <c r="AM90" i="10" s="1"/>
  <c r="AM87" i="10" a="1"/>
  <c r="AM87" i="10" s="1"/>
  <c r="AM84" i="10" a="1"/>
  <c r="AM84" i="10" s="1"/>
  <c r="AM81" i="10" a="1"/>
  <c r="AM81" i="10" s="1"/>
  <c r="AM78" i="10" a="1"/>
  <c r="AM78" i="10" s="1"/>
  <c r="AM75" i="10" a="1"/>
  <c r="AM75" i="10" s="1"/>
  <c r="AM72" i="10" a="1"/>
  <c r="AM72" i="10" s="1"/>
  <c r="AM69" i="10" a="1"/>
  <c r="AM69" i="10" s="1"/>
  <c r="AM66" i="10" a="1"/>
  <c r="AM66" i="10" s="1"/>
  <c r="AM63" i="10" a="1"/>
  <c r="AM63" i="10" s="1"/>
  <c r="AM60" i="10" a="1"/>
  <c r="AM60" i="10" s="1"/>
  <c r="AM57" i="10" a="1"/>
  <c r="AM57" i="10" s="1"/>
  <c r="AM54" i="10" a="1"/>
  <c r="AM54" i="10" s="1"/>
  <c r="AM51" i="10" a="1"/>
  <c r="AM51" i="10" s="1"/>
  <c r="AM48" i="10" a="1"/>
  <c r="AM48" i="10" s="1"/>
  <c r="AM45" i="10" a="1"/>
  <c r="AM45" i="10" s="1"/>
  <c r="AM42" i="10" a="1"/>
  <c r="AM42" i="10" s="1"/>
  <c r="AM39" i="10" a="1"/>
  <c r="AM39" i="10" s="1"/>
  <c r="AM36" i="10" a="1"/>
  <c r="AM36" i="10" s="1"/>
  <c r="AM33" i="10" a="1"/>
  <c r="AM33" i="10" s="1"/>
  <c r="AM30" i="10" a="1"/>
  <c r="AM30" i="10" s="1"/>
  <c r="AM27" i="10" a="1"/>
  <c r="AM27" i="10" s="1"/>
  <c r="AM24" i="10" a="1"/>
  <c r="AM24" i="10" s="1"/>
  <c r="AM21" i="10" a="1"/>
  <c r="AM21" i="10" s="1"/>
  <c r="AM18" i="10" a="1"/>
  <c r="AM18" i="10" s="1"/>
  <c r="AM15" i="10" a="1"/>
  <c r="AM15" i="10" s="1"/>
  <c r="AM12" i="10" a="1"/>
  <c r="AM12" i="10" s="1"/>
  <c r="AM9" i="10" a="1"/>
  <c r="AM9" i="10" s="1"/>
  <c r="AM6" i="10" a="1"/>
  <c r="AM6" i="10" s="1"/>
  <c r="AM3" i="10" a="1"/>
  <c r="AM3" i="10" s="1"/>
  <c r="AM80" i="10" a="1"/>
  <c r="AM80" i="10" s="1"/>
  <c r="AM77" i="10" a="1"/>
  <c r="AM77" i="10" s="1"/>
  <c r="AM74" i="10" a="1"/>
  <c r="AM74" i="10" s="1"/>
  <c r="AM71" i="10" a="1"/>
  <c r="AM71" i="10" s="1"/>
  <c r="AM68" i="10" a="1"/>
  <c r="AM68" i="10" s="1"/>
  <c r="AM65" i="10" a="1"/>
  <c r="AM65" i="10" s="1"/>
  <c r="AM62" i="10" a="1"/>
  <c r="AM62" i="10" s="1"/>
  <c r="AM59" i="10" a="1"/>
  <c r="AM59" i="10" s="1"/>
  <c r="AM56" i="10" a="1"/>
  <c r="AM56" i="10" s="1"/>
  <c r="AM53" i="10" a="1"/>
  <c r="AM53" i="10" s="1"/>
  <c r="AM50" i="10" a="1"/>
  <c r="AM50" i="10" s="1"/>
  <c r="AM47" i="10" a="1"/>
  <c r="AM47" i="10" s="1"/>
  <c r="AM44" i="10" a="1"/>
  <c r="AM44" i="10" s="1"/>
  <c r="AM41" i="10" a="1"/>
  <c r="AM41" i="10" s="1"/>
  <c r="AM38" i="10" a="1"/>
  <c r="AM38" i="10" s="1"/>
  <c r="AM35" i="10" a="1"/>
  <c r="AM35" i="10" s="1"/>
  <c r="AM32" i="10" a="1"/>
  <c r="AM32" i="10" s="1"/>
  <c r="AM29" i="10" a="1"/>
  <c r="AM29" i="10" s="1"/>
  <c r="AM26" i="10" a="1"/>
  <c r="AM26" i="10" s="1"/>
  <c r="AM23" i="10" a="1"/>
  <c r="AM23" i="10" s="1"/>
  <c r="AM20" i="10" a="1"/>
  <c r="AM20" i="10" s="1"/>
  <c r="AM17" i="10" a="1"/>
  <c r="AM17" i="10" s="1"/>
  <c r="AM14" i="10" a="1"/>
  <c r="AM14" i="10" s="1"/>
  <c r="AM11" i="10" a="1"/>
  <c r="AM11" i="10" s="1"/>
  <c r="AM8" i="10" a="1"/>
  <c r="AM8" i="10" s="1"/>
  <c r="AM5" i="10" a="1"/>
  <c r="AM5" i="10" s="1"/>
  <c r="AM100" i="10" a="1"/>
  <c r="AM100" i="10" s="1"/>
  <c r="AM97" i="10" a="1"/>
  <c r="AM97" i="10" s="1"/>
  <c r="AM94" i="10" a="1"/>
  <c r="AM94" i="10" s="1"/>
  <c r="AM91" i="10" a="1"/>
  <c r="AM91" i="10" s="1"/>
  <c r="AM88" i="10" a="1"/>
  <c r="AM88" i="10" s="1"/>
  <c r="AM85" i="10" a="1"/>
  <c r="AM85" i="10" s="1"/>
  <c r="AM82" i="10" a="1"/>
  <c r="AM82" i="10" s="1"/>
  <c r="AM79" i="10" a="1"/>
  <c r="AM79" i="10" s="1"/>
  <c r="AM76" i="10" a="1"/>
  <c r="AM76" i="10" s="1"/>
  <c r="AM73" i="10" a="1"/>
  <c r="AM73" i="10" s="1"/>
  <c r="AM70" i="10" a="1"/>
  <c r="AM70" i="10" s="1"/>
  <c r="AM67" i="10" a="1"/>
  <c r="AM67" i="10" s="1"/>
  <c r="AM64" i="10" a="1"/>
  <c r="AM64" i="10" s="1"/>
  <c r="AM61" i="10" a="1"/>
  <c r="AM61" i="10" s="1"/>
  <c r="AM58" i="10" a="1"/>
  <c r="AM58" i="10" s="1"/>
  <c r="AM55" i="10" a="1"/>
  <c r="AM55" i="10" s="1"/>
  <c r="AM52" i="10" a="1"/>
  <c r="AM52" i="10" s="1"/>
  <c r="AM49" i="10" a="1"/>
  <c r="AM49" i="10" s="1"/>
  <c r="AM46" i="10" a="1"/>
  <c r="AM46" i="10" s="1"/>
  <c r="AM43" i="10" a="1"/>
  <c r="AM43" i="10" s="1"/>
  <c r="AM40" i="10" a="1"/>
  <c r="AM40" i="10" s="1"/>
  <c r="AM37" i="10" a="1"/>
  <c r="AM37" i="10" s="1"/>
  <c r="AM34" i="10" a="1"/>
  <c r="AM34" i="10" s="1"/>
  <c r="AM31" i="10" a="1"/>
  <c r="AM31" i="10" s="1"/>
  <c r="AM28" i="10" a="1"/>
  <c r="AM28" i="10" s="1"/>
  <c r="AM25" i="10" a="1"/>
  <c r="AM25" i="10" s="1"/>
  <c r="AM22" i="10" a="1"/>
  <c r="AM22" i="10" s="1"/>
  <c r="AM19" i="10" a="1"/>
  <c r="AM19" i="10" s="1"/>
  <c r="AM16" i="10" a="1"/>
  <c r="AM16" i="10" s="1"/>
  <c r="AM13" i="10" a="1"/>
  <c r="AM13" i="10" s="1"/>
  <c r="AM10" i="10" a="1"/>
  <c r="AM10" i="10" s="1"/>
  <c r="AM7" i="10" a="1"/>
  <c r="AM7" i="10" s="1"/>
  <c r="AM4" i="10" a="1"/>
  <c r="AM4" i="10" s="1"/>
  <c r="B4" i="6"/>
  <c r="B4" i="7"/>
  <c r="B4" i="4"/>
  <c r="B4" i="5"/>
  <c r="D264" i="16" l="1"/>
  <c r="D267" i="16"/>
  <c r="D154" i="16"/>
  <c r="D42" i="15"/>
  <c r="D19" i="15"/>
  <c r="D53" i="16"/>
  <c r="D204" i="16"/>
  <c r="D268" i="16"/>
  <c r="D87" i="16"/>
  <c r="D270" i="16"/>
  <c r="D65" i="16"/>
  <c r="D90" i="16"/>
  <c r="D124" i="16"/>
  <c r="D76" i="16"/>
  <c r="D135" i="16"/>
  <c r="D31" i="16"/>
  <c r="D47" i="15"/>
  <c r="D22" i="15"/>
  <c r="D101" i="16"/>
  <c r="D221" i="16"/>
  <c r="D249" i="16"/>
  <c r="D36" i="15"/>
  <c r="D66" i="16"/>
  <c r="D182" i="16"/>
  <c r="D191" i="16"/>
  <c r="D35" i="15"/>
  <c r="D68" i="16"/>
  <c r="D20" i="15"/>
  <c r="D25" i="16"/>
  <c r="D88" i="16"/>
  <c r="D156" i="16"/>
  <c r="D108" i="16"/>
  <c r="D45" i="15"/>
  <c r="D44" i="15"/>
  <c r="D43" i="15"/>
  <c r="D41" i="15"/>
  <c r="D30" i="15"/>
  <c r="D18" i="15"/>
  <c r="D46" i="15"/>
  <c r="D40" i="15"/>
  <c r="D32" i="15"/>
  <c r="D29" i="15"/>
  <c r="D33" i="15"/>
  <c r="D24" i="15"/>
  <c r="D21" i="15"/>
  <c r="D23" i="15"/>
  <c r="D132" i="16"/>
  <c r="D85" i="16"/>
  <c r="D98" i="16"/>
  <c r="D111" i="16"/>
  <c r="D120" i="16"/>
  <c r="D157" i="16"/>
  <c r="D45" i="16"/>
  <c r="D63" i="16"/>
  <c r="D42" i="16"/>
  <c r="D121" i="16"/>
  <c r="D168" i="16"/>
  <c r="D18" i="16"/>
  <c r="D110" i="16"/>
  <c r="D107" i="16"/>
  <c r="D34" i="16"/>
  <c r="D178" i="16"/>
  <c r="D137" i="16"/>
  <c r="D159" i="16"/>
  <c r="D165" i="16"/>
  <c r="D181" i="16"/>
  <c r="D56" i="16"/>
  <c r="D75" i="16"/>
  <c r="D188" i="16"/>
  <c r="D212" i="16"/>
  <c r="D211" i="16"/>
  <c r="D29" i="16"/>
  <c r="D236" i="16"/>
  <c r="D77" i="16"/>
  <c r="D226" i="16"/>
  <c r="D79" i="16"/>
  <c r="D24" i="16"/>
  <c r="D255" i="16"/>
  <c r="D254" i="16"/>
  <c r="D259" i="16"/>
  <c r="D248" i="16"/>
  <c r="D245" i="16"/>
  <c r="D246" i="16"/>
  <c r="D231" i="16"/>
  <c r="D233" i="16"/>
  <c r="D225" i="16"/>
  <c r="D222" i="16"/>
  <c r="D223" i="16"/>
  <c r="D214" i="16"/>
  <c r="D209" i="16"/>
  <c r="D215" i="16"/>
  <c r="D193" i="16"/>
  <c r="D155" i="16"/>
  <c r="D152" i="16"/>
  <c r="D141" i="16"/>
  <c r="D148" i="16"/>
  <c r="D131" i="16"/>
  <c r="D134" i="16"/>
  <c r="D133" i="16"/>
  <c r="D126" i="16"/>
  <c r="D102" i="16"/>
  <c r="D103" i="16"/>
  <c r="D92" i="16"/>
  <c r="D91" i="16"/>
  <c r="D80" i="16"/>
  <c r="D67" i="16"/>
  <c r="D52" i="16"/>
  <c r="D57" i="16"/>
  <c r="D40" i="16"/>
  <c r="D41" i="16"/>
  <c r="D35" i="16"/>
  <c r="D22" i="16"/>
  <c r="D260" i="16"/>
  <c r="D257" i="16"/>
  <c r="D256" i="16"/>
  <c r="D253" i="16"/>
  <c r="D258" i="16"/>
  <c r="D242" i="16"/>
  <c r="D243" i="16"/>
  <c r="D247" i="16"/>
  <c r="D244" i="16"/>
  <c r="D238" i="16"/>
  <c r="D235" i="16"/>
  <c r="D232" i="16"/>
  <c r="D237" i="16"/>
  <c r="D234" i="16"/>
  <c r="D219" i="16"/>
  <c r="D224" i="16"/>
  <c r="D220" i="16"/>
  <c r="D213" i="16"/>
  <c r="D210" i="16"/>
  <c r="D208" i="16"/>
  <c r="D200" i="16"/>
  <c r="D202" i="16"/>
  <c r="D197" i="16"/>
  <c r="D201" i="16"/>
  <c r="D198" i="16"/>
  <c r="D203" i="16"/>
  <c r="D199" i="16"/>
  <c r="D192" i="16"/>
  <c r="D189" i="16"/>
  <c r="D186" i="16"/>
  <c r="D190" i="16"/>
  <c r="D187" i="16"/>
  <c r="D176" i="16"/>
  <c r="D179" i="16"/>
  <c r="D175" i="16"/>
  <c r="D180" i="16"/>
  <c r="D177" i="16"/>
  <c r="D169" i="16"/>
  <c r="D163" i="16"/>
  <c r="D170" i="16"/>
  <c r="D166" i="16"/>
  <c r="D167" i="16"/>
  <c r="D164" i="16"/>
  <c r="D153" i="16"/>
  <c r="D158" i="16"/>
  <c r="D144" i="16"/>
  <c r="D147" i="16"/>
  <c r="D145" i="16"/>
  <c r="D146" i="16"/>
  <c r="D142" i="16"/>
  <c r="D143" i="16"/>
  <c r="D136" i="16"/>
  <c r="D130" i="16"/>
  <c r="D125" i="16"/>
  <c r="D123" i="16"/>
  <c r="D122" i="16"/>
  <c r="D119" i="16"/>
  <c r="D113" i="16"/>
  <c r="D112" i="16"/>
  <c r="D114" i="16"/>
  <c r="D109" i="16"/>
  <c r="D99" i="16"/>
  <c r="D96" i="16"/>
  <c r="D97" i="16"/>
  <c r="D100" i="16"/>
  <c r="D86" i="16"/>
  <c r="D89" i="16"/>
  <c r="D74" i="16"/>
  <c r="D81" i="16"/>
  <c r="D78" i="16"/>
  <c r="D70" i="16"/>
  <c r="D64" i="16"/>
  <c r="D51" i="16"/>
  <c r="D54" i="16"/>
  <c r="D58" i="16"/>
  <c r="D55" i="16"/>
  <c r="D47" i="16"/>
  <c r="D44" i="16"/>
  <c r="D43" i="16"/>
  <c r="D46" i="16"/>
  <c r="D30" i="16"/>
  <c r="D32" i="16"/>
  <c r="D36" i="16"/>
  <c r="D33" i="16"/>
  <c r="D21" i="16"/>
  <c r="D19" i="16"/>
  <c r="D23" i="16"/>
  <c r="D20" i="16"/>
  <c r="AF4" i="9"/>
  <c r="AF5" i="9"/>
  <c r="AF6" i="9"/>
  <c r="AF7" i="9"/>
  <c r="AF8" i="9"/>
  <c r="AF9" i="9"/>
  <c r="AF10" i="9"/>
  <c r="AF11" i="9"/>
  <c r="AF12" i="9"/>
  <c r="AF13" i="9"/>
  <c r="AF14" i="9"/>
  <c r="AF15" i="9"/>
  <c r="AF16" i="9"/>
  <c r="AF17" i="9"/>
  <c r="AF18" i="9"/>
  <c r="AF19" i="9"/>
  <c r="AF20" i="9"/>
  <c r="AF21" i="9"/>
  <c r="AF22" i="9"/>
  <c r="AF23" i="9"/>
  <c r="AF24" i="9"/>
  <c r="AF25" i="9"/>
  <c r="AF26" i="9"/>
  <c r="AF27" i="9"/>
  <c r="AF28" i="9"/>
  <c r="AF29" i="9"/>
  <c r="AF30" i="9"/>
  <c r="AF31" i="9"/>
  <c r="AF32" i="9"/>
  <c r="AF33" i="9"/>
  <c r="AF34" i="9"/>
  <c r="AF35" i="9"/>
  <c r="AF36" i="9"/>
  <c r="AF37" i="9"/>
  <c r="AF38" i="9"/>
  <c r="AF39" i="9"/>
  <c r="AF40" i="9"/>
  <c r="AF41" i="9"/>
  <c r="AF42" i="9"/>
  <c r="AF43" i="9"/>
  <c r="AF44" i="9"/>
  <c r="AF45" i="9"/>
  <c r="AF46" i="9"/>
  <c r="AF47" i="9"/>
  <c r="AF48" i="9"/>
  <c r="AF49" i="9"/>
  <c r="AF50" i="9"/>
  <c r="AF51" i="9"/>
  <c r="AF52" i="9"/>
  <c r="AF53" i="9"/>
  <c r="AF54" i="9"/>
  <c r="AF55" i="9"/>
  <c r="AF56" i="9"/>
  <c r="AF57" i="9"/>
  <c r="AF58" i="9"/>
  <c r="AF59" i="9"/>
  <c r="AF60" i="9"/>
  <c r="AF61" i="9"/>
  <c r="AF62" i="9"/>
  <c r="AF63" i="9"/>
  <c r="AF64" i="9"/>
  <c r="AF65" i="9"/>
  <c r="AF66" i="9"/>
  <c r="AF67" i="9"/>
  <c r="AF68" i="9"/>
  <c r="AF69" i="9"/>
  <c r="AF70" i="9"/>
  <c r="AF71" i="9"/>
  <c r="I130" i="2"/>
  <c r="B5" i="13" l="1"/>
  <c r="B5" i="14"/>
  <c r="D293" i="2" l="1"/>
  <c r="E293" i="2"/>
  <c r="D294" i="2"/>
  <c r="E294" i="2"/>
  <c r="D295" i="2"/>
  <c r="E295" i="2"/>
  <c r="D195" i="2"/>
  <c r="E195" i="2"/>
  <c r="D196" i="2"/>
  <c r="E196" i="2"/>
  <c r="D197" i="2"/>
  <c r="E197" i="2"/>
  <c r="D198" i="2"/>
  <c r="E198" i="2"/>
  <c r="D199" i="2"/>
  <c r="E199" i="2"/>
  <c r="D200" i="2"/>
  <c r="E200" i="2"/>
  <c r="D201" i="2"/>
  <c r="E201" i="2"/>
  <c r="D202" i="2"/>
  <c r="E202" i="2"/>
  <c r="D203" i="2"/>
  <c r="E203" i="2"/>
  <c r="D204" i="2"/>
  <c r="E204" i="2"/>
  <c r="D205" i="2"/>
  <c r="E205" i="2"/>
  <c r="D206" i="2"/>
  <c r="E206" i="2"/>
  <c r="D207" i="2"/>
  <c r="E207" i="2"/>
  <c r="D208" i="2"/>
  <c r="E208" i="2"/>
  <c r="D209" i="2"/>
  <c r="E209" i="2"/>
  <c r="D210" i="2"/>
  <c r="E210" i="2"/>
  <c r="D211" i="2"/>
  <c r="E211" i="2"/>
  <c r="D212" i="2"/>
  <c r="E212" i="2"/>
  <c r="D213" i="2"/>
  <c r="E213" i="2"/>
  <c r="D214" i="2"/>
  <c r="E214" i="2"/>
  <c r="D215" i="2"/>
  <c r="E215" i="2"/>
  <c r="D216" i="2"/>
  <c r="E216" i="2"/>
  <c r="D217" i="2"/>
  <c r="E217" i="2"/>
  <c r="D218" i="2"/>
  <c r="E218" i="2"/>
  <c r="D219" i="2"/>
  <c r="E219" i="2"/>
  <c r="D220" i="2"/>
  <c r="E220" i="2"/>
  <c r="D77" i="2"/>
  <c r="E77" i="2"/>
  <c r="D78" i="2"/>
  <c r="E78" i="2"/>
  <c r="D79" i="2"/>
  <c r="E79" i="2"/>
  <c r="D80" i="2"/>
  <c r="E80" i="2"/>
  <c r="D81" i="2"/>
  <c r="E81" i="2"/>
  <c r="D82" i="2"/>
  <c r="E82" i="2"/>
  <c r="D83" i="2"/>
  <c r="E83" i="2"/>
  <c r="D84" i="2"/>
  <c r="E84" i="2"/>
  <c r="D85" i="2"/>
  <c r="E85" i="2"/>
  <c r="D86" i="2"/>
  <c r="E86" i="2"/>
  <c r="D87" i="2"/>
  <c r="E87" i="2"/>
  <c r="D88" i="2"/>
  <c r="E88" i="2"/>
  <c r="D89" i="2"/>
  <c r="E89" i="2"/>
  <c r="D90" i="2"/>
  <c r="E90" i="2"/>
  <c r="D91" i="2"/>
  <c r="E91" i="2"/>
  <c r="D92" i="2"/>
  <c r="E92" i="2"/>
  <c r="D93" i="2"/>
  <c r="E93" i="2"/>
  <c r="D94" i="2"/>
  <c r="E94" i="2"/>
  <c r="D95" i="2"/>
  <c r="E95" i="2"/>
  <c r="D96" i="2"/>
  <c r="E96" i="2"/>
  <c r="D97" i="2"/>
  <c r="E97" i="2"/>
  <c r="D155" i="2"/>
  <c r="E155" i="2"/>
  <c r="D156" i="2"/>
  <c r="E156" i="2"/>
  <c r="AF3" i="11"/>
  <c r="AF4" i="11"/>
  <c r="AG4" i="11" s="1"/>
  <c r="AF5" i="11"/>
  <c r="AG5" i="11" s="1"/>
  <c r="AF6" i="11"/>
  <c r="AG6" i="11" s="1"/>
  <c r="AF7" i="11"/>
  <c r="AG7" i="11" s="1"/>
  <c r="AF8" i="11"/>
  <c r="AG8" i="11" s="1"/>
  <c r="AF9" i="11"/>
  <c r="AG9" i="11" s="1"/>
  <c r="AF10" i="11"/>
  <c r="AG10" i="11" s="1"/>
  <c r="AF11" i="11"/>
  <c r="AG11" i="11" s="1"/>
  <c r="AF12" i="11"/>
  <c r="AG12" i="11" s="1"/>
  <c r="AF13" i="11"/>
  <c r="AG13" i="11" s="1"/>
  <c r="AF14" i="11"/>
  <c r="AG14" i="11" s="1"/>
  <c r="AF15" i="11"/>
  <c r="AG15" i="11" s="1"/>
  <c r="AF16" i="11"/>
  <c r="AG16" i="11" s="1"/>
  <c r="AF17" i="11"/>
  <c r="AG17" i="11" s="1"/>
  <c r="AF18" i="11"/>
  <c r="AG18" i="11" s="1"/>
  <c r="AF19" i="11"/>
  <c r="AG19" i="11" s="1"/>
  <c r="AF20" i="11"/>
  <c r="AG20" i="11" s="1"/>
  <c r="AF21" i="11"/>
  <c r="AG21" i="11" s="1"/>
  <c r="AF22" i="11"/>
  <c r="AG22" i="11" s="1"/>
  <c r="AF23" i="11"/>
  <c r="AG23" i="11" s="1"/>
  <c r="AF24" i="11"/>
  <c r="AG24" i="11" s="1"/>
  <c r="AF25" i="11"/>
  <c r="AG25" i="11" s="1"/>
  <c r="AF26" i="11"/>
  <c r="AG26" i="11" s="1"/>
  <c r="AF27" i="11"/>
  <c r="AG27" i="11" s="1"/>
  <c r="AF28" i="11"/>
  <c r="AG28" i="11" s="1"/>
  <c r="AF29" i="11"/>
  <c r="AG29" i="11" s="1"/>
  <c r="AF30" i="11"/>
  <c r="AG30" i="11" s="1"/>
  <c r="AF31" i="11"/>
  <c r="AG31" i="11" s="1"/>
  <c r="AF32" i="11"/>
  <c r="AG32" i="11" s="1"/>
  <c r="AF33" i="11"/>
  <c r="AG33" i="11" s="1"/>
  <c r="AF34" i="11"/>
  <c r="AG34" i="11" s="1"/>
  <c r="AF35" i="11"/>
  <c r="AG35" i="11" s="1"/>
  <c r="AF36" i="11"/>
  <c r="AG36" i="11" s="1"/>
  <c r="AF37" i="11"/>
  <c r="AG37" i="11" s="1"/>
  <c r="AF38" i="11"/>
  <c r="AG38" i="11" s="1"/>
  <c r="AF39" i="11"/>
  <c r="AG39" i="11" s="1"/>
  <c r="AF40" i="11"/>
  <c r="AG40" i="11" s="1"/>
  <c r="AF41" i="11"/>
  <c r="AG41" i="11" s="1"/>
  <c r="AF42" i="11"/>
  <c r="AG42" i="11" s="1"/>
  <c r="AF43" i="11"/>
  <c r="AG43" i="11" s="1"/>
  <c r="AF44" i="11"/>
  <c r="AG44" i="11" s="1"/>
  <c r="AF45" i="11"/>
  <c r="AG45" i="11" s="1"/>
  <c r="AF46" i="11"/>
  <c r="AG46" i="11" s="1"/>
  <c r="AF47" i="11"/>
  <c r="AG47" i="11" s="1"/>
  <c r="AG48" i="11"/>
  <c r="AF49" i="11"/>
  <c r="AG49" i="11" s="1"/>
  <c r="AF50" i="11"/>
  <c r="AG50" i="11" s="1"/>
  <c r="AF51" i="11"/>
  <c r="AG51" i="11" s="1"/>
  <c r="AF52" i="11"/>
  <c r="AG52" i="11" s="1"/>
  <c r="AF53" i="11"/>
  <c r="AG53" i="11" s="1"/>
  <c r="AF54" i="11"/>
  <c r="AG54" i="11" s="1"/>
  <c r="AF55" i="11"/>
  <c r="AG55" i="11" s="1"/>
  <c r="AF56" i="11"/>
  <c r="AG56" i="11" s="1"/>
  <c r="AF57" i="11"/>
  <c r="AG57" i="11" s="1"/>
  <c r="AF58" i="11"/>
  <c r="AG58" i="11" s="1"/>
  <c r="AF59" i="11"/>
  <c r="AG59" i="11" s="1"/>
  <c r="AF60" i="11"/>
  <c r="AG60" i="11" s="1"/>
  <c r="AF61" i="11"/>
  <c r="AG61" i="11" s="1"/>
  <c r="AF62" i="11"/>
  <c r="AG62" i="11" s="1"/>
  <c r="AF63" i="11"/>
  <c r="AG63" i="11" s="1"/>
  <c r="AF64" i="11"/>
  <c r="AG64" i="11" s="1"/>
  <c r="AF65" i="11"/>
  <c r="AG65" i="11" s="1"/>
  <c r="AF66" i="11"/>
  <c r="AG66" i="11" s="1"/>
  <c r="AF67" i="11"/>
  <c r="AG67" i="11" s="1"/>
  <c r="AF68" i="11"/>
  <c r="AG68" i="11" s="1"/>
  <c r="AF69" i="11"/>
  <c r="AG69" i="11" s="1"/>
  <c r="AF70" i="11"/>
  <c r="AG70" i="11" s="1"/>
  <c r="AF71" i="11"/>
  <c r="AG71" i="11" s="1"/>
  <c r="AF72" i="11"/>
  <c r="AG72" i="11" s="1"/>
  <c r="AF73" i="11"/>
  <c r="AG73" i="11" s="1"/>
  <c r="AF74" i="11"/>
  <c r="AG74" i="11" s="1"/>
  <c r="AF75" i="11"/>
  <c r="AG75" i="11" s="1"/>
  <c r="AF76" i="11"/>
  <c r="AG76" i="11" s="1"/>
  <c r="AF77" i="11"/>
  <c r="AG77" i="11" s="1"/>
  <c r="AF78" i="11"/>
  <c r="AG78" i="11" s="1"/>
  <c r="AF79" i="11"/>
  <c r="AG79" i="11" s="1"/>
  <c r="AF80" i="11"/>
  <c r="AG80" i="11" s="1"/>
  <c r="AF81" i="11"/>
  <c r="AG81" i="11" s="1"/>
  <c r="AF82" i="11"/>
  <c r="AG82" i="11" s="1"/>
  <c r="AF83" i="11"/>
  <c r="AG83" i="11" s="1"/>
  <c r="AF84" i="11"/>
  <c r="AG84" i="11" s="1"/>
  <c r="AG85" i="11"/>
  <c r="AF86" i="11"/>
  <c r="AG86" i="11" s="1"/>
  <c r="AF87" i="11"/>
  <c r="AG87" i="11" s="1"/>
  <c r="AF88" i="11"/>
  <c r="AG88" i="11" s="1"/>
  <c r="AF89" i="11"/>
  <c r="AG89" i="11" s="1"/>
  <c r="AF90" i="11"/>
  <c r="AG90" i="11" s="1"/>
  <c r="AF91" i="11"/>
  <c r="AG91" i="11" s="1"/>
  <c r="AF92" i="11"/>
  <c r="AG92" i="11" s="1"/>
  <c r="AF93" i="11"/>
  <c r="AG93" i="11" s="1"/>
  <c r="AF94" i="11"/>
  <c r="AG94" i="11" s="1"/>
  <c r="AF95" i="11"/>
  <c r="AG95" i="11" s="1"/>
  <c r="AF96" i="11"/>
  <c r="AG96" i="11" s="1"/>
  <c r="AF97" i="11"/>
  <c r="AG97" i="11" s="1"/>
  <c r="AF98" i="11"/>
  <c r="AG98" i="11" s="1"/>
  <c r="AF99" i="11"/>
  <c r="AG99" i="11" s="1"/>
  <c r="AF100" i="11"/>
  <c r="AG100" i="11" s="1"/>
  <c r="AF101" i="11"/>
  <c r="AG101" i="11" s="1"/>
  <c r="AF102" i="11"/>
  <c r="AG102" i="11" s="1"/>
  <c r="AF103" i="11"/>
  <c r="AG103" i="11" s="1"/>
  <c r="AF104" i="11"/>
  <c r="AG104" i="11" s="1"/>
  <c r="AF105" i="11"/>
  <c r="AG105" i="11" s="1"/>
  <c r="AF106" i="11"/>
  <c r="AG106" i="11" s="1"/>
  <c r="AF107" i="11"/>
  <c r="AG107" i="11" s="1"/>
  <c r="AF108" i="11"/>
  <c r="AG108" i="11" s="1"/>
  <c r="AF109" i="11"/>
  <c r="AG109" i="11" s="1"/>
  <c r="AF110" i="11"/>
  <c r="AG110" i="11" s="1"/>
  <c r="AF111" i="11"/>
  <c r="AG111" i="11" s="1"/>
  <c r="AF112" i="11"/>
  <c r="AG112" i="11" s="1"/>
  <c r="AF113" i="11"/>
  <c r="AG113" i="11" s="1"/>
  <c r="AF114" i="11"/>
  <c r="AG114" i="11" s="1"/>
  <c r="AF115" i="11"/>
  <c r="AG115" i="11" s="1"/>
  <c r="AF116" i="11"/>
  <c r="AG116" i="11" s="1"/>
  <c r="AF117" i="11"/>
  <c r="AG117" i="11" s="1"/>
  <c r="AF118" i="11"/>
  <c r="AG118" i="11" s="1"/>
  <c r="AF119" i="11"/>
  <c r="AG119" i="11" s="1"/>
  <c r="AF120" i="11"/>
  <c r="AG120" i="11" s="1"/>
  <c r="AF121" i="11"/>
  <c r="AG121" i="11" s="1"/>
  <c r="AF122" i="11"/>
  <c r="AG122" i="11" s="1"/>
  <c r="AF123" i="11"/>
  <c r="AG123" i="11" s="1"/>
  <c r="AF124" i="11"/>
  <c r="AG124" i="11" s="1"/>
  <c r="AF125" i="11"/>
  <c r="AG125" i="11" s="1"/>
  <c r="AF126" i="11"/>
  <c r="AG126" i="11" s="1"/>
  <c r="AF127" i="11"/>
  <c r="AG127" i="11" s="1"/>
  <c r="AF128" i="11"/>
  <c r="AG128" i="11" s="1"/>
  <c r="AF129" i="11"/>
  <c r="AG129" i="11" s="1"/>
  <c r="AF130" i="11"/>
  <c r="AG130" i="11" s="1"/>
  <c r="AF131" i="11"/>
  <c r="AG131" i="11" s="1"/>
  <c r="AF132" i="11"/>
  <c r="AG132" i="11" s="1"/>
  <c r="AF133" i="11"/>
  <c r="AG133" i="11" s="1"/>
  <c r="AF134" i="11"/>
  <c r="AG134" i="11" s="1"/>
  <c r="AF135" i="11"/>
  <c r="AG135" i="11" s="1"/>
  <c r="AF136" i="11"/>
  <c r="AG136" i="11" s="1"/>
  <c r="AF137" i="11"/>
  <c r="AG137" i="11" s="1"/>
  <c r="AF138" i="11"/>
  <c r="AG138" i="11" s="1"/>
  <c r="AF139" i="11"/>
  <c r="AG139" i="11" s="1"/>
  <c r="AF140" i="11"/>
  <c r="AG140" i="11" s="1"/>
  <c r="AF141" i="11"/>
  <c r="AG141" i="11" s="1"/>
  <c r="AF142" i="11"/>
  <c r="AG142" i="11" s="1"/>
  <c r="AF143" i="11"/>
  <c r="AG143" i="11" s="1"/>
  <c r="AF144" i="11"/>
  <c r="AG144" i="11" s="1"/>
  <c r="AF145" i="11"/>
  <c r="AG145" i="11" s="1"/>
  <c r="AF146" i="11"/>
  <c r="AG146" i="11" s="1"/>
  <c r="AF147" i="11"/>
  <c r="AG147" i="11" s="1"/>
  <c r="AF148" i="11"/>
  <c r="AG148" i="11" s="1"/>
  <c r="AF149" i="11"/>
  <c r="AG149" i="11" s="1"/>
  <c r="AF150" i="11"/>
  <c r="AG150" i="11" s="1"/>
  <c r="AF151" i="11"/>
  <c r="AG151" i="11" s="1"/>
  <c r="AF152" i="11"/>
  <c r="AG152" i="11" s="1"/>
  <c r="AF153" i="11"/>
  <c r="AG153" i="11" s="1"/>
  <c r="AF154" i="11"/>
  <c r="AG154" i="11" s="1"/>
  <c r="AF155" i="11"/>
  <c r="AG155" i="11" s="1"/>
  <c r="AF156" i="11"/>
  <c r="AG156" i="11" s="1"/>
  <c r="AF157" i="11"/>
  <c r="AG157" i="11" s="1"/>
  <c r="AF158" i="11"/>
  <c r="AG158" i="11" s="1"/>
  <c r="AF159" i="11"/>
  <c r="AG159" i="11" s="1"/>
  <c r="AF160" i="11"/>
  <c r="AG160" i="11" s="1"/>
  <c r="AF161" i="11"/>
  <c r="AG161" i="11" s="1"/>
  <c r="AF162" i="11"/>
  <c r="AG162" i="11" s="1"/>
  <c r="AF163" i="11"/>
  <c r="AG163" i="11" s="1"/>
  <c r="AF164" i="11"/>
  <c r="AG164" i="11" s="1"/>
  <c r="AF165" i="11"/>
  <c r="AG165" i="11" s="1"/>
  <c r="AF166" i="11"/>
  <c r="AG166" i="11" s="1"/>
  <c r="AF167" i="11"/>
  <c r="AG167" i="11" s="1"/>
  <c r="AF168" i="11"/>
  <c r="AG168" i="11" s="1"/>
  <c r="AF169" i="11"/>
  <c r="AG169" i="11" s="1"/>
  <c r="AF170" i="11"/>
  <c r="AG170" i="11" s="1"/>
  <c r="AF171" i="11"/>
  <c r="AG171" i="11" s="1"/>
  <c r="AF172" i="11"/>
  <c r="AG172" i="11" s="1"/>
  <c r="AF173" i="11"/>
  <c r="AG173" i="11" s="1"/>
  <c r="AF174" i="11"/>
  <c r="AG174" i="11" s="1"/>
  <c r="AF175" i="11"/>
  <c r="AG175" i="11" s="1"/>
  <c r="AF176" i="11"/>
  <c r="AG176" i="11" s="1"/>
  <c r="AF177" i="11"/>
  <c r="AG177" i="11" s="1"/>
  <c r="AF178" i="11"/>
  <c r="AG178" i="11" s="1"/>
  <c r="AF179" i="11"/>
  <c r="AG179" i="11" s="1"/>
  <c r="AF180" i="11"/>
  <c r="AG180" i="11" s="1"/>
  <c r="AF181" i="11"/>
  <c r="AG181" i="11" s="1"/>
  <c r="AF182" i="11"/>
  <c r="AG182" i="11" s="1"/>
  <c r="AF183" i="11"/>
  <c r="AG183" i="11" s="1"/>
  <c r="AF184" i="11"/>
  <c r="AG184" i="11" s="1"/>
  <c r="AF185" i="11"/>
  <c r="AG185" i="11" s="1"/>
  <c r="AF186" i="11"/>
  <c r="AG186" i="11" s="1"/>
  <c r="AF187" i="11"/>
  <c r="AG187" i="11" s="1"/>
  <c r="AF188" i="11"/>
  <c r="AG188" i="11" s="1"/>
  <c r="AF189" i="11"/>
  <c r="AG189" i="11" s="1"/>
  <c r="AF190" i="11"/>
  <c r="AG190" i="11" s="1"/>
  <c r="AF191" i="11"/>
  <c r="AG191" i="11" s="1"/>
  <c r="AF192" i="11"/>
  <c r="AG192" i="11" s="1"/>
  <c r="AF193" i="11"/>
  <c r="AG193" i="11" s="1"/>
  <c r="AF194" i="11"/>
  <c r="AG194" i="11" s="1"/>
  <c r="AF195" i="11"/>
  <c r="AG195" i="11" s="1"/>
  <c r="AF196" i="11"/>
  <c r="AG196" i="11" s="1"/>
  <c r="AF197" i="11"/>
  <c r="AG197" i="11" s="1"/>
  <c r="AF198" i="11"/>
  <c r="AG198" i="11" s="1"/>
  <c r="AF199" i="11"/>
  <c r="AG199" i="11" s="1"/>
  <c r="AF200" i="11"/>
  <c r="AG200" i="11" s="1"/>
  <c r="AF201" i="11"/>
  <c r="AG201" i="11" s="1"/>
  <c r="AF202" i="11"/>
  <c r="AG202" i="11" s="1"/>
  <c r="AF203" i="11"/>
  <c r="AG203" i="11" s="1"/>
  <c r="AF204" i="11"/>
  <c r="AG204" i="11" s="1"/>
  <c r="AF205" i="11"/>
  <c r="AG205" i="11" s="1"/>
  <c r="AF206" i="11"/>
  <c r="AG206" i="11" s="1"/>
  <c r="AF207" i="11"/>
  <c r="AG207" i="11" s="1"/>
  <c r="AF208" i="11"/>
  <c r="AG208" i="11" s="1"/>
  <c r="AF209" i="11"/>
  <c r="AG209" i="11" s="1"/>
  <c r="AF210" i="11"/>
  <c r="AG210" i="11" s="1"/>
  <c r="AF211" i="11"/>
  <c r="AG211" i="11" s="1"/>
  <c r="AF212" i="11"/>
  <c r="AG212" i="11" s="1"/>
  <c r="AF213" i="11"/>
  <c r="AG213" i="11" s="1"/>
  <c r="AF214" i="11"/>
  <c r="AG214" i="11" s="1"/>
  <c r="AF215" i="11"/>
  <c r="AG215" i="11" s="1"/>
  <c r="AF216" i="11"/>
  <c r="AG216" i="11" s="1"/>
  <c r="AF217" i="11"/>
  <c r="AG217" i="11" s="1"/>
  <c r="AF218" i="11"/>
  <c r="AG218" i="11" s="1"/>
  <c r="AF219" i="11"/>
  <c r="AG219" i="11" s="1"/>
  <c r="AF220" i="11"/>
  <c r="AG220" i="11" s="1"/>
  <c r="AF221" i="11"/>
  <c r="AG221" i="11" s="1"/>
  <c r="AF222" i="11"/>
  <c r="AG222" i="11" s="1"/>
  <c r="AF223" i="11"/>
  <c r="AG223" i="11" s="1"/>
  <c r="AF224" i="11"/>
  <c r="AG224" i="11" s="1"/>
  <c r="AF225" i="11"/>
  <c r="AG225" i="11" s="1"/>
  <c r="AF226" i="11"/>
  <c r="AG226" i="11" s="1"/>
  <c r="AF227" i="11"/>
  <c r="AG227" i="11" s="1"/>
  <c r="AF228" i="11"/>
  <c r="AG228" i="11" s="1"/>
  <c r="AF229" i="11"/>
  <c r="AG229" i="11" s="1"/>
  <c r="AF230" i="11"/>
  <c r="AG230" i="11" s="1"/>
  <c r="AF231" i="11"/>
  <c r="AG231" i="11" s="1"/>
  <c r="AF232" i="11"/>
  <c r="AG232" i="11" s="1"/>
  <c r="AF233" i="11"/>
  <c r="AG233" i="11" s="1"/>
  <c r="AF234" i="11"/>
  <c r="AG234" i="11" s="1"/>
  <c r="AF235" i="11"/>
  <c r="AG235" i="11" s="1"/>
  <c r="AF236" i="11"/>
  <c r="AG236" i="11" s="1"/>
  <c r="AF237" i="11"/>
  <c r="AG237" i="11" s="1"/>
  <c r="AF238" i="11"/>
  <c r="AG238" i="11" s="1"/>
  <c r="AF239" i="11"/>
  <c r="AG239" i="11" s="1"/>
  <c r="AF240" i="11"/>
  <c r="AG240" i="11" s="1"/>
  <c r="AF241" i="11"/>
  <c r="AG241" i="11" s="1"/>
  <c r="AF242" i="11"/>
  <c r="AG242" i="11" s="1"/>
  <c r="AF243" i="11"/>
  <c r="AF244" i="11"/>
  <c r="AF245" i="11"/>
  <c r="AG245" i="11" s="1"/>
  <c r="AF246" i="11"/>
  <c r="AG246" i="11" s="1"/>
  <c r="AF247" i="11"/>
  <c r="AG247" i="11" s="1"/>
  <c r="AF248" i="11"/>
  <c r="AG248" i="11" s="1"/>
  <c r="AF249" i="11"/>
  <c r="AG249" i="11" s="1"/>
  <c r="AF250" i="11"/>
  <c r="AG250" i="11" s="1"/>
  <c r="AF251" i="11"/>
  <c r="AG251" i="11" s="1"/>
  <c r="AF252" i="11"/>
  <c r="AG252" i="11" s="1"/>
  <c r="AF253" i="11"/>
  <c r="AG253" i="11" s="1"/>
  <c r="AF254" i="11"/>
  <c r="AG254" i="11" s="1"/>
  <c r="AF255" i="11"/>
  <c r="AG255" i="11" s="1"/>
  <c r="AF256" i="11"/>
  <c r="AG256" i="11" s="1"/>
  <c r="AF257" i="11"/>
  <c r="AG257" i="11" s="1"/>
  <c r="AF258" i="11"/>
  <c r="AG258" i="11" s="1"/>
  <c r="AF259" i="11"/>
  <c r="AG259" i="11" s="1"/>
  <c r="AF260" i="11"/>
  <c r="AG260" i="11" s="1"/>
  <c r="AF261" i="11"/>
  <c r="AG261" i="11" s="1"/>
  <c r="AF262" i="11"/>
  <c r="AG262" i="11" s="1"/>
  <c r="AF263" i="11"/>
  <c r="AG263" i="11" s="1"/>
  <c r="AF264" i="11"/>
  <c r="AG264" i="11" s="1"/>
  <c r="AF265" i="11"/>
  <c r="AG265" i="11" s="1"/>
  <c r="AF266" i="11"/>
  <c r="AG266" i="11" s="1"/>
  <c r="AF267" i="11"/>
  <c r="AG267" i="11" s="1"/>
  <c r="AF268" i="11"/>
  <c r="AG268" i="11" s="1"/>
  <c r="AF269" i="11"/>
  <c r="AG269" i="11" s="1"/>
  <c r="AF270" i="11"/>
  <c r="AG270" i="11" s="1"/>
  <c r="AF271" i="11"/>
  <c r="AG271" i="11" s="1"/>
  <c r="AF272" i="11"/>
  <c r="AG272" i="11" s="1"/>
  <c r="AF273" i="11"/>
  <c r="AG273" i="11" s="1"/>
  <c r="AF274" i="11"/>
  <c r="AG274" i="11" s="1"/>
  <c r="AF275" i="11"/>
  <c r="AG275" i="11" s="1"/>
  <c r="AF276" i="11"/>
  <c r="AG276" i="11" s="1"/>
  <c r="AF277" i="11"/>
  <c r="AG277" i="11" s="1"/>
  <c r="AF278" i="11"/>
  <c r="AG278" i="11" s="1"/>
  <c r="AF279" i="11"/>
  <c r="AG279" i="11" s="1"/>
  <c r="AF280" i="11"/>
  <c r="AG280" i="11" s="1"/>
  <c r="AF281" i="11"/>
  <c r="AG281" i="11" s="1"/>
  <c r="AF282" i="11"/>
  <c r="AG282" i="11" s="1"/>
  <c r="AF283" i="11"/>
  <c r="AG283" i="11" s="1"/>
  <c r="AF284" i="11"/>
  <c r="AG284" i="11" s="1"/>
  <c r="AF285" i="11"/>
  <c r="AG285" i="11" s="1"/>
  <c r="AF286" i="11"/>
  <c r="AG286" i="11" s="1"/>
  <c r="AF287" i="11"/>
  <c r="AG287" i="11" s="1"/>
  <c r="AF288" i="11"/>
  <c r="AG288" i="11" s="1"/>
  <c r="AF289" i="11"/>
  <c r="AG289" i="11" s="1"/>
  <c r="AF290" i="11"/>
  <c r="AG290" i="11" s="1"/>
  <c r="AF291" i="11"/>
  <c r="AG291" i="11" s="1"/>
  <c r="AF292" i="11"/>
  <c r="AG292" i="11" s="1"/>
  <c r="AF293" i="11"/>
  <c r="AG293" i="11" s="1"/>
  <c r="AF294" i="11"/>
  <c r="AG294" i="11" s="1"/>
  <c r="AF295" i="11"/>
  <c r="AG295" i="11" s="1"/>
  <c r="AF296" i="11"/>
  <c r="AG296" i="11" s="1"/>
  <c r="AF297" i="11"/>
  <c r="AG297" i="11" s="1"/>
  <c r="AF298" i="11"/>
  <c r="AG298" i="11" s="1"/>
  <c r="AF299" i="11"/>
  <c r="AG299" i="11" s="1"/>
  <c r="AF300" i="11"/>
  <c r="AG300" i="11" s="1"/>
  <c r="AF301" i="11"/>
  <c r="AG301" i="11" s="1"/>
  <c r="AF302" i="11"/>
  <c r="AG302" i="11" s="1"/>
  <c r="AF303" i="11"/>
  <c r="AG303" i="11" s="1"/>
  <c r="AF304" i="11"/>
  <c r="AG304" i="11" s="1"/>
  <c r="AF305" i="11"/>
  <c r="AG305" i="11" s="1"/>
  <c r="AF306" i="11"/>
  <c r="AG306" i="11" s="1"/>
  <c r="AF307" i="11"/>
  <c r="AG307" i="11" s="1"/>
  <c r="AF308" i="11"/>
  <c r="AG308" i="11" s="1"/>
  <c r="AF309" i="11"/>
  <c r="AG309" i="11" s="1"/>
  <c r="AF310" i="11"/>
  <c r="AG310" i="11" s="1"/>
  <c r="AF311" i="11"/>
  <c r="AG311" i="11" s="1"/>
  <c r="AF312" i="11"/>
  <c r="AG312" i="11" s="1"/>
  <c r="AF313" i="11"/>
  <c r="AG313" i="11" s="1"/>
  <c r="AF314" i="11"/>
  <c r="AG314" i="11" s="1"/>
  <c r="AF315" i="11"/>
  <c r="AG315" i="11" s="1"/>
  <c r="AF316" i="11"/>
  <c r="AG316" i="11" s="1"/>
  <c r="AF317" i="11"/>
  <c r="AG317" i="11" s="1"/>
  <c r="AF318" i="11"/>
  <c r="AG318" i="11" s="1"/>
  <c r="AF319" i="11"/>
  <c r="AG319" i="11" s="1"/>
  <c r="AF320" i="11"/>
  <c r="AG320" i="11" s="1"/>
  <c r="AF321" i="11"/>
  <c r="AG321" i="11" s="1"/>
  <c r="AF322" i="11"/>
  <c r="AG322" i="11" s="1"/>
  <c r="AF323" i="11"/>
  <c r="AG323" i="11" s="1"/>
  <c r="AF324" i="11"/>
  <c r="AG324" i="11" s="1"/>
  <c r="AF325" i="11"/>
  <c r="AG325" i="11" s="1"/>
  <c r="AF326" i="11"/>
  <c r="AG326" i="11" s="1"/>
  <c r="AF327" i="11"/>
  <c r="AG327" i="11" s="1"/>
  <c r="AF328" i="11"/>
  <c r="AG328" i="11" s="1"/>
  <c r="AF329" i="11"/>
  <c r="AG329" i="11" s="1"/>
  <c r="AF330" i="11"/>
  <c r="AG330" i="11" s="1"/>
  <c r="AF331" i="11"/>
  <c r="AG331" i="11" s="1"/>
  <c r="AF332" i="11"/>
  <c r="AG332" i="11" s="1"/>
  <c r="AF333" i="11"/>
  <c r="AG333" i="11" s="1"/>
  <c r="AF334" i="11"/>
  <c r="AG334" i="11" s="1"/>
  <c r="AF335" i="11"/>
  <c r="AG335" i="11" s="1"/>
  <c r="AF336" i="11"/>
  <c r="AG336" i="11" s="1"/>
  <c r="AF337" i="11"/>
  <c r="AG337" i="11" s="1"/>
  <c r="AF338" i="11"/>
  <c r="AG338" i="11" s="1"/>
  <c r="AF339" i="11"/>
  <c r="AG339" i="11" s="1"/>
  <c r="AF340" i="11"/>
  <c r="AG340" i="11" s="1"/>
  <c r="AF341" i="11"/>
  <c r="AG341" i="11" s="1"/>
  <c r="AF342" i="11"/>
  <c r="AG342" i="11" s="1"/>
  <c r="AF343" i="11"/>
  <c r="AG343" i="11" s="1"/>
  <c r="AF344" i="11"/>
  <c r="AG344" i="11" s="1"/>
  <c r="AF345" i="11"/>
  <c r="AG345" i="11" s="1"/>
  <c r="AF346" i="11"/>
  <c r="AG346" i="11" s="1"/>
  <c r="AF347" i="11"/>
  <c r="AG347" i="11" s="1"/>
  <c r="AF348" i="11"/>
  <c r="AG348" i="11" s="1"/>
  <c r="AF349" i="11"/>
  <c r="AG349" i="11" s="1"/>
  <c r="AF350" i="11"/>
  <c r="AG350" i="11" s="1"/>
  <c r="AF351" i="11"/>
  <c r="AG351" i="11" s="1"/>
  <c r="AF352" i="11"/>
  <c r="AG352" i="11" s="1"/>
  <c r="AF353" i="11"/>
  <c r="AG353" i="11" s="1"/>
  <c r="AF354" i="11"/>
  <c r="AG354" i="11" s="1"/>
  <c r="AF355" i="11"/>
  <c r="AG355" i="11" s="1"/>
  <c r="AF356" i="11"/>
  <c r="AG356" i="11" s="1"/>
  <c r="AF357" i="11"/>
  <c r="AG357" i="11" s="1"/>
  <c r="AF358" i="11"/>
  <c r="AG358" i="11" s="1"/>
  <c r="AF359" i="11"/>
  <c r="AG359" i="11" s="1"/>
  <c r="AF360" i="11"/>
  <c r="AG360" i="11" s="1"/>
  <c r="AF361" i="11"/>
  <c r="AG361" i="11" s="1"/>
  <c r="AF362" i="11"/>
  <c r="AG362" i="11" s="1"/>
  <c r="AF363" i="11"/>
  <c r="AG363" i="11" s="1"/>
  <c r="AF364" i="11"/>
  <c r="AG364" i="11" s="1"/>
  <c r="AF365" i="11"/>
  <c r="AG365" i="11" s="1"/>
  <c r="AF366" i="11"/>
  <c r="AG366" i="11" s="1"/>
  <c r="AF367" i="11"/>
  <c r="AG367" i="11" s="1"/>
  <c r="AG368" i="11"/>
  <c r="AF369" i="11"/>
  <c r="AG369" i="11" s="1"/>
  <c r="AF370" i="11"/>
  <c r="AG370" i="11" s="1"/>
  <c r="AF371" i="11"/>
  <c r="AG371" i="11" s="1"/>
  <c r="AG372" i="11"/>
  <c r="AF373" i="11"/>
  <c r="AG373" i="11" s="1"/>
  <c r="AF374" i="11"/>
  <c r="AG374" i="11" s="1"/>
  <c r="AF375" i="11"/>
  <c r="AG375" i="11" s="1"/>
  <c r="AF376" i="11"/>
  <c r="AG376" i="11" s="1"/>
  <c r="AF377" i="11"/>
  <c r="AG377" i="11" s="1"/>
  <c r="AG378" i="11"/>
  <c r="AF379" i="11"/>
  <c r="AG379" i="11" s="1"/>
  <c r="AF380" i="11"/>
  <c r="AG380" i="11" s="1"/>
  <c r="AF381" i="11"/>
  <c r="AG381" i="11" s="1"/>
  <c r="AF382" i="11"/>
  <c r="AG382" i="11" s="1"/>
  <c r="AF383" i="11"/>
  <c r="AG383" i="11" s="1"/>
  <c r="AF384" i="11"/>
  <c r="AG384" i="11" s="1"/>
  <c r="AF385" i="11"/>
  <c r="AG385" i="11" s="1"/>
  <c r="AF386" i="11"/>
  <c r="AG386" i="11" s="1"/>
  <c r="AF387" i="11"/>
  <c r="AG387" i="11" s="1"/>
  <c r="AF388" i="11"/>
  <c r="AG388" i="11" s="1"/>
  <c r="AF389" i="11"/>
  <c r="AG389" i="11" s="1"/>
  <c r="AF390" i="11"/>
  <c r="AG390" i="11" s="1"/>
  <c r="AF391" i="11"/>
  <c r="AG391" i="11" s="1"/>
  <c r="AF392" i="11"/>
  <c r="AG392" i="11" s="1"/>
  <c r="AF393" i="11"/>
  <c r="AG393" i="11" s="1"/>
  <c r="AF394" i="11"/>
  <c r="AG394" i="11" s="1"/>
  <c r="AF395" i="11"/>
  <c r="AG395" i="11" s="1"/>
  <c r="AF396" i="11"/>
  <c r="AG396" i="11" s="1"/>
  <c r="AF397" i="11"/>
  <c r="AG397" i="11" s="1"/>
  <c r="AF398" i="11"/>
  <c r="AG398" i="11" s="1"/>
  <c r="AF399" i="11"/>
  <c r="AG399" i="11" s="1"/>
  <c r="AF400" i="11"/>
  <c r="AG400" i="11" s="1"/>
  <c r="AF401" i="11"/>
  <c r="AG401" i="11" s="1"/>
  <c r="AF402" i="11"/>
  <c r="AG402" i="11" s="1"/>
  <c r="AF403" i="11"/>
  <c r="AG403" i="11" s="1"/>
  <c r="AF404" i="11"/>
  <c r="AG404" i="11" s="1"/>
  <c r="AF405" i="11"/>
  <c r="AG405" i="11" s="1"/>
  <c r="AF406" i="11"/>
  <c r="AG406" i="11" s="1"/>
  <c r="AF407" i="11"/>
  <c r="AG407" i="11" s="1"/>
  <c r="AF408" i="11"/>
  <c r="AG408" i="11" s="1"/>
  <c r="AF409" i="11"/>
  <c r="AG409" i="11" s="1"/>
  <c r="AF410" i="11"/>
  <c r="AG410" i="11" s="1"/>
  <c r="AF411" i="11"/>
  <c r="AG411" i="11" s="1"/>
  <c r="AG412" i="11"/>
  <c r="AF413" i="11"/>
  <c r="AG413" i="11" s="1"/>
  <c r="AF414" i="11"/>
  <c r="AG414" i="11" s="1"/>
  <c r="AF415" i="11"/>
  <c r="AG415" i="11" s="1"/>
  <c r="AF416" i="11"/>
  <c r="AG416" i="11" s="1"/>
  <c r="AF417" i="11"/>
  <c r="AG417" i="11" s="1"/>
  <c r="AF418" i="11"/>
  <c r="AG418" i="11" s="1"/>
  <c r="AF419" i="11"/>
  <c r="AG419" i="11" s="1"/>
  <c r="AF420" i="11"/>
  <c r="AG420" i="11" s="1"/>
  <c r="AF421" i="11"/>
  <c r="AG421" i="11" s="1"/>
  <c r="AF422" i="11"/>
  <c r="AG422" i="11" s="1"/>
  <c r="AF423" i="11"/>
  <c r="AG423" i="11" s="1"/>
  <c r="AF424" i="11"/>
  <c r="AG424" i="11" s="1"/>
  <c r="AF425" i="11"/>
  <c r="AG425" i="11" s="1"/>
  <c r="AF426" i="11"/>
  <c r="AG426" i="11" s="1"/>
  <c r="AF427" i="11"/>
  <c r="AG427" i="11" s="1"/>
  <c r="AF428" i="11"/>
  <c r="AG428" i="11" s="1"/>
  <c r="AF429" i="11"/>
  <c r="AG429" i="11" s="1"/>
  <c r="AF430" i="11"/>
  <c r="AG430" i="11" s="1"/>
  <c r="AF431" i="11"/>
  <c r="AG431" i="11" s="1"/>
  <c r="AF432" i="11"/>
  <c r="AG432" i="11" s="1"/>
  <c r="AF433" i="11"/>
  <c r="AG433" i="11" s="1"/>
  <c r="AF434" i="11"/>
  <c r="AG434" i="11" s="1"/>
  <c r="AF435" i="11"/>
  <c r="AG435" i="11" s="1"/>
  <c r="AF436" i="11"/>
  <c r="AG436" i="11" s="1"/>
  <c r="AF437" i="11"/>
  <c r="AG437" i="11" s="1"/>
  <c r="AF438" i="11"/>
  <c r="AG438" i="11" s="1"/>
  <c r="AF439" i="11"/>
  <c r="AG439" i="11" s="1"/>
  <c r="AF440" i="11"/>
  <c r="AG440" i="11" s="1"/>
  <c r="AF441" i="11"/>
  <c r="AG441" i="11" s="1"/>
  <c r="AF442" i="11"/>
  <c r="AG442" i="11" s="1"/>
  <c r="AF443" i="11"/>
  <c r="AG443" i="11" s="1"/>
  <c r="AF444" i="11"/>
  <c r="AG444" i="11" s="1"/>
  <c r="AF445" i="11"/>
  <c r="AG445" i="11" s="1"/>
  <c r="AF446" i="11"/>
  <c r="AG446" i="11" s="1"/>
  <c r="AF447" i="11"/>
  <c r="AG447" i="11" s="1"/>
  <c r="AF448" i="11"/>
  <c r="AG448" i="11" s="1"/>
  <c r="AF449" i="11"/>
  <c r="AG449" i="11" s="1"/>
  <c r="AF450" i="11"/>
  <c r="AG450" i="11" s="1"/>
  <c r="AF451" i="11"/>
  <c r="AG451" i="11" s="1"/>
  <c r="AF452" i="11"/>
  <c r="AG452" i="11" s="1"/>
  <c r="AF453" i="11"/>
  <c r="AG453" i="11" s="1"/>
  <c r="AF454" i="11"/>
  <c r="AG454" i="11" s="1"/>
  <c r="AF455" i="11"/>
  <c r="AG455" i="11" s="1"/>
  <c r="AF456" i="11"/>
  <c r="AG456" i="11" s="1"/>
  <c r="AF457" i="11"/>
  <c r="AG457" i="11" s="1"/>
  <c r="AF458" i="11"/>
  <c r="AG458" i="11" s="1"/>
  <c r="AF459" i="11"/>
  <c r="AG459" i="11" s="1"/>
  <c r="AF460" i="11"/>
  <c r="AG460" i="11" s="1"/>
  <c r="AF461" i="11"/>
  <c r="AG461" i="11" s="1"/>
  <c r="AF462" i="11"/>
  <c r="AG462" i="11" s="1"/>
  <c r="AF463" i="11"/>
  <c r="AG463" i="11" s="1"/>
  <c r="AF464" i="11"/>
  <c r="AG464" i="11" s="1"/>
  <c r="AF465" i="11"/>
  <c r="AG465" i="11" s="1"/>
  <c r="AF466" i="11"/>
  <c r="AG466" i="11" s="1"/>
  <c r="AF467" i="11"/>
  <c r="AG467" i="11" s="1"/>
  <c r="AF468" i="11"/>
  <c r="AG468" i="11" s="1"/>
  <c r="AF469" i="11"/>
  <c r="AG469" i="11" s="1"/>
  <c r="AF470" i="11"/>
  <c r="AG470" i="11" s="1"/>
  <c r="AF471" i="11"/>
  <c r="AG471" i="11" s="1"/>
  <c r="AF472" i="11"/>
  <c r="AG472" i="11" s="1"/>
  <c r="AF473" i="11"/>
  <c r="AG473" i="11" s="1"/>
  <c r="AF474" i="11"/>
  <c r="AG474" i="11" s="1"/>
  <c r="AF475" i="11"/>
  <c r="AG475" i="11" s="1"/>
  <c r="AF476" i="11"/>
  <c r="AG476" i="11" s="1"/>
  <c r="AF477" i="11"/>
  <c r="AG477" i="11" s="1"/>
  <c r="AF478" i="11"/>
  <c r="AG478" i="11" s="1"/>
  <c r="AF479" i="11"/>
  <c r="AG479" i="11" s="1"/>
  <c r="AF480" i="11"/>
  <c r="AG480" i="11" s="1"/>
  <c r="AF481" i="11"/>
  <c r="AG481" i="11" s="1"/>
  <c r="AF482" i="11"/>
  <c r="AG482" i="11" s="1"/>
  <c r="AF483" i="11"/>
  <c r="AG483" i="11" s="1"/>
  <c r="AF484" i="11"/>
  <c r="AG484" i="11" s="1"/>
  <c r="AF485" i="11"/>
  <c r="AG485" i="11" s="1"/>
  <c r="AF486" i="11"/>
  <c r="AG486" i="11" s="1"/>
  <c r="AF487" i="11"/>
  <c r="AG487" i="11" s="1"/>
  <c r="AF488" i="11"/>
  <c r="AG488" i="11" s="1"/>
  <c r="AF489" i="11"/>
  <c r="AG489" i="11" s="1"/>
  <c r="AF490" i="11"/>
  <c r="AG490" i="11" s="1"/>
  <c r="AF491" i="11"/>
  <c r="AG491" i="11" s="1"/>
  <c r="AF492" i="11"/>
  <c r="AG492" i="11" s="1"/>
  <c r="AF493" i="11"/>
  <c r="AG493" i="11" s="1"/>
  <c r="AF494" i="11"/>
  <c r="AG494" i="11" s="1"/>
  <c r="AF495" i="11"/>
  <c r="AG495" i="11" s="1"/>
  <c r="AF496" i="11"/>
  <c r="AG496" i="11" s="1"/>
  <c r="AF497" i="11"/>
  <c r="AG497" i="11" s="1"/>
  <c r="AF498" i="11"/>
  <c r="AG498" i="11" s="1"/>
  <c r="AF499" i="11"/>
  <c r="AG499" i="11" s="1"/>
  <c r="AF500" i="11"/>
  <c r="AG500" i="11" s="1"/>
  <c r="AF501" i="11"/>
  <c r="AG501" i="11" s="1"/>
  <c r="AF502" i="11"/>
  <c r="AG502" i="11" s="1"/>
  <c r="AF503" i="11"/>
  <c r="AG503" i="11" s="1"/>
  <c r="AF504" i="11"/>
  <c r="AG504" i="11" s="1"/>
  <c r="AF505" i="11"/>
  <c r="AG505" i="11" s="1"/>
  <c r="AF506" i="11"/>
  <c r="AG506" i="11" s="1"/>
  <c r="AF507" i="11"/>
  <c r="AG507" i="11" s="1"/>
  <c r="AF508" i="11"/>
  <c r="AG508" i="11" s="1"/>
  <c r="AF509" i="11"/>
  <c r="AG509" i="11" s="1"/>
  <c r="AF510" i="11"/>
  <c r="AG510" i="11" s="1"/>
  <c r="AF511" i="11"/>
  <c r="AG511" i="11" s="1"/>
  <c r="AF512" i="11"/>
  <c r="AG512" i="11" s="1"/>
  <c r="AF513" i="11"/>
  <c r="AG513" i="11" s="1"/>
  <c r="Z3" i="8"/>
  <c r="AA3" i="8" s="1"/>
  <c r="Z4" i="8"/>
  <c r="Z5" i="8"/>
  <c r="AA5" i="8" s="1"/>
  <c r="Z6" i="8"/>
  <c r="Z7" i="8"/>
  <c r="AA7" i="8" s="1"/>
  <c r="Z8" i="8"/>
  <c r="AA8" i="8" s="1"/>
  <c r="Z9" i="8"/>
  <c r="Z10" i="8"/>
  <c r="Z11" i="8"/>
  <c r="AA11" i="8" s="1"/>
  <c r="Z12" i="8"/>
  <c r="Z13" i="8"/>
  <c r="AA13" i="8" s="1"/>
  <c r="Z14" i="8"/>
  <c r="AA14" i="8" s="1"/>
  <c r="Z15" i="8"/>
  <c r="AA15" i="8" s="1"/>
  <c r="Z16" i="8"/>
  <c r="AA16" i="8" s="1"/>
  <c r="Z17" i="8"/>
  <c r="AA17" i="8" s="1"/>
  <c r="Z18" i="8"/>
  <c r="Z19" i="8"/>
  <c r="AA19" i="8" s="1"/>
  <c r="Z20" i="8"/>
  <c r="AA20" i="8" s="1"/>
  <c r="Z21" i="8"/>
  <c r="Z22" i="8"/>
  <c r="Z23" i="8"/>
  <c r="AA23" i="8" s="1"/>
  <c r="Z24" i="8"/>
  <c r="AA24" i="8" s="1"/>
  <c r="Z25" i="8"/>
  <c r="AA25" i="8" s="1"/>
  <c r="Z26" i="8"/>
  <c r="AA26" i="8" s="1"/>
  <c r="Z27" i="8"/>
  <c r="AA27" i="8" s="1"/>
  <c r="Z28" i="8"/>
  <c r="Z29" i="8"/>
  <c r="AA29" i="8" s="1"/>
  <c r="Z30" i="8"/>
  <c r="AA30" i="8" s="1"/>
  <c r="Z31" i="8"/>
  <c r="AA31" i="8" s="1"/>
  <c r="Z32" i="8"/>
  <c r="AA32" i="8" s="1"/>
  <c r="Z33" i="8"/>
  <c r="Z34" i="8"/>
  <c r="AA34" i="8" s="1"/>
  <c r="Z35" i="8"/>
  <c r="Z36" i="8"/>
  <c r="Z37" i="8"/>
  <c r="AA37" i="8" s="1"/>
  <c r="Z38" i="8"/>
  <c r="AA38" i="8" s="1"/>
  <c r="Z39" i="8"/>
  <c r="AA39" i="8" s="1"/>
  <c r="Z40" i="8"/>
  <c r="Z41" i="8"/>
  <c r="AA41" i="8" s="1"/>
  <c r="Z42" i="8"/>
  <c r="AA42" i="8" s="1"/>
  <c r="Z43" i="8"/>
  <c r="AA43" i="8" s="1"/>
  <c r="Z44" i="8"/>
  <c r="AA44" i="8" s="1"/>
  <c r="Z45" i="8"/>
  <c r="Z46" i="8"/>
  <c r="Z47" i="8"/>
  <c r="AA47" i="8" s="1"/>
  <c r="Z48" i="8"/>
  <c r="AA48" i="8" s="1"/>
  <c r="Z49" i="8"/>
  <c r="AA49" i="8" s="1"/>
  <c r="Z50" i="8"/>
  <c r="AA50" i="8" s="1"/>
  <c r="Z51" i="8"/>
  <c r="Z52" i="8"/>
  <c r="AA52" i="8" s="1"/>
  <c r="Z53" i="8"/>
  <c r="AA53" i="8" s="1"/>
  <c r="Z54" i="8"/>
  <c r="Z55" i="8"/>
  <c r="AA55" i="8" s="1"/>
  <c r="Z56" i="8"/>
  <c r="AA56" i="8" s="1"/>
  <c r="Z57" i="8"/>
  <c r="Z58" i="8"/>
  <c r="AA58" i="8" s="1"/>
  <c r="Z59" i="8"/>
  <c r="AA59" i="8" s="1"/>
  <c r="Z60" i="8"/>
  <c r="Z62" i="8"/>
  <c r="AA62" i="8" s="1"/>
  <c r="Z63" i="8"/>
  <c r="AA63" i="8" s="1"/>
  <c r="Z64" i="8"/>
  <c r="AA64" i="8" s="1"/>
  <c r="Z65" i="8"/>
  <c r="AA65" i="8" s="1"/>
  <c r="Z66" i="8"/>
  <c r="AA66" i="8" s="1"/>
  <c r="Z67" i="8"/>
  <c r="AA67" i="8" s="1"/>
  <c r="Z68" i="8"/>
  <c r="AA68" i="8" s="1"/>
  <c r="Z69" i="8"/>
  <c r="Z70" i="8"/>
  <c r="AA70" i="8" s="1"/>
  <c r="Z71" i="8"/>
  <c r="AA71" i="8" s="1"/>
  <c r="Z72" i="8"/>
  <c r="Z73" i="8"/>
  <c r="AA73" i="8" s="1"/>
  <c r="Z74" i="8"/>
  <c r="AA74" i="8" s="1"/>
  <c r="Z75" i="8"/>
  <c r="Z76" i="8"/>
  <c r="AA76" i="8" s="1"/>
  <c r="Z77" i="8"/>
  <c r="AA77" i="8" s="1"/>
  <c r="Z78" i="8"/>
  <c r="Z79" i="8"/>
  <c r="Z80" i="8"/>
  <c r="AA80" i="8" s="1"/>
  <c r="Z81" i="8"/>
  <c r="Z82" i="8"/>
  <c r="AA82" i="8" s="1"/>
  <c r="Z83" i="8"/>
  <c r="AA83" i="8" s="1"/>
  <c r="Z84" i="8"/>
  <c r="Z85" i="8"/>
  <c r="AA85" i="8" s="1"/>
  <c r="Z86" i="8"/>
  <c r="AA86" i="8" s="1"/>
  <c r="Z87" i="8"/>
  <c r="AA87" i="8" s="1"/>
  <c r="Z88" i="8"/>
  <c r="AA88" i="8" s="1"/>
  <c r="Z89" i="8"/>
  <c r="AA89" i="8" s="1"/>
  <c r="Z90" i="8"/>
  <c r="AA90" i="8" s="1"/>
  <c r="Z91" i="8"/>
  <c r="AA91" i="8" s="1"/>
  <c r="AA92" i="8"/>
  <c r="Z93" i="8"/>
  <c r="AA93" i="8" s="1"/>
  <c r="Z94" i="8"/>
  <c r="AA94" i="8" s="1"/>
  <c r="Z95" i="8"/>
  <c r="AA95" i="8" s="1"/>
  <c r="Z96" i="8"/>
  <c r="Z97" i="8"/>
  <c r="AA97" i="8" s="1"/>
  <c r="Z98" i="8"/>
  <c r="AA98" i="8" s="1"/>
  <c r="Z99" i="8"/>
  <c r="AA99" i="8" s="1"/>
  <c r="Z100" i="8"/>
  <c r="AA100" i="8" s="1"/>
  <c r="Z101" i="8"/>
  <c r="AA101" i="8" s="1"/>
  <c r="Z102" i="8"/>
  <c r="AA102" i="8" s="1"/>
  <c r="Z103" i="8"/>
  <c r="AA103" i="8" s="1"/>
  <c r="Z104" i="8"/>
  <c r="Z105" i="8"/>
  <c r="AA105" i="8" s="1"/>
  <c r="Z106" i="8"/>
  <c r="AA106" i="8" s="1"/>
  <c r="Z107" i="8"/>
  <c r="AA107" i="8" s="1"/>
  <c r="Z108" i="8"/>
  <c r="AA108" i="8" s="1"/>
  <c r="Z109" i="8"/>
  <c r="AA109" i="8" s="1"/>
  <c r="Z110" i="8"/>
  <c r="Z111" i="8"/>
  <c r="Z112" i="8"/>
  <c r="AA112" i="8" s="1"/>
  <c r="Z113" i="8"/>
  <c r="Z114" i="8"/>
  <c r="AA114" i="8" s="1"/>
  <c r="Z115" i="8"/>
  <c r="AA115" i="8" s="1"/>
  <c r="Z116" i="8"/>
  <c r="AA116" i="8" s="1"/>
  <c r="Z117" i="8"/>
  <c r="Z118" i="8"/>
  <c r="AA118" i="8" s="1"/>
  <c r="Z119" i="8"/>
  <c r="Z120" i="8"/>
  <c r="AA120" i="8" s="1"/>
  <c r="Z121" i="8"/>
  <c r="AA121" i="8" s="1"/>
  <c r="Z122" i="8"/>
  <c r="Z123" i="8"/>
  <c r="AA123" i="8" s="1"/>
  <c r="Z124" i="8"/>
  <c r="AA124" i="8" s="1"/>
  <c r="Z125" i="8"/>
  <c r="Z126" i="8"/>
  <c r="AA126" i="8" s="1"/>
  <c r="Z127" i="8"/>
  <c r="AA127" i="8" s="1"/>
  <c r="Z128" i="8"/>
  <c r="AA128" i="8" s="1"/>
  <c r="Z129" i="8"/>
  <c r="AA129" i="8" s="1"/>
  <c r="Z130" i="8"/>
  <c r="AA130" i="8" s="1"/>
  <c r="Z131" i="8"/>
  <c r="AA131" i="8" s="1"/>
  <c r="Z132" i="8"/>
  <c r="AA132" i="8" s="1"/>
  <c r="Z133" i="8"/>
  <c r="AA133" i="8" s="1"/>
  <c r="Z134" i="8"/>
  <c r="Z135" i="8"/>
  <c r="AA135" i="8" s="1"/>
  <c r="Z136" i="8"/>
  <c r="AA136" i="8" s="1"/>
  <c r="Z137" i="8"/>
  <c r="AA137" i="8" s="1"/>
  <c r="Z138" i="8"/>
  <c r="AA138" i="8" s="1"/>
  <c r="Z139" i="8"/>
  <c r="AA139" i="8" s="1"/>
  <c r="Z140" i="8"/>
  <c r="AA140" i="8" s="1"/>
  <c r="Z141" i="8"/>
  <c r="AA141" i="8" s="1"/>
  <c r="Z142" i="8"/>
  <c r="AA142" i="8" s="1"/>
  <c r="Z143" i="8"/>
  <c r="Z144" i="8"/>
  <c r="AA144" i="8" s="1"/>
  <c r="Z145" i="8"/>
  <c r="AA145" i="8" s="1"/>
  <c r="Z146" i="8"/>
  <c r="Z147" i="8"/>
  <c r="Z148" i="8"/>
  <c r="AA148" i="8" s="1"/>
  <c r="Z149" i="8"/>
  <c r="AA149" i="8" s="1"/>
  <c r="Z150" i="8"/>
  <c r="AA150" i="8" s="1"/>
  <c r="Z151" i="8"/>
  <c r="AA151" i="8" s="1"/>
  <c r="Z152" i="8"/>
  <c r="AA152" i="8" s="1"/>
  <c r="Z153" i="8"/>
  <c r="Z154" i="8"/>
  <c r="AA154" i="8" s="1"/>
  <c r="Z155" i="8"/>
  <c r="AA155" i="8" s="1"/>
  <c r="Z156" i="8"/>
  <c r="AA156" i="8" s="1"/>
  <c r="Z157" i="8"/>
  <c r="AA157" i="8" s="1"/>
  <c r="Z158" i="8"/>
  <c r="Z159" i="8"/>
  <c r="AA159" i="8" s="1"/>
  <c r="Z160" i="8"/>
  <c r="AA160" i="8" s="1"/>
  <c r="Z161" i="8"/>
  <c r="AA161" i="8" s="1"/>
  <c r="Z162" i="8"/>
  <c r="AA162" i="8" s="1"/>
  <c r="Z163" i="8"/>
  <c r="AA163" i="8" s="1"/>
  <c r="Z164" i="8"/>
  <c r="AA164" i="8" s="1"/>
  <c r="Z165" i="8"/>
  <c r="AA165" i="8" s="1"/>
  <c r="Z166" i="8"/>
  <c r="AA166" i="8" s="1"/>
  <c r="Z167" i="8"/>
  <c r="Z168" i="8"/>
  <c r="Z169" i="8"/>
  <c r="AA169" i="8" s="1"/>
  <c r="Z170" i="8"/>
  <c r="Z171" i="8"/>
  <c r="Z172" i="8"/>
  <c r="AA172" i="8" s="1"/>
  <c r="Z173" i="8"/>
  <c r="AA173" i="8" s="1"/>
  <c r="Z174" i="8"/>
  <c r="AA174" i="8" s="1"/>
  <c r="Z175" i="8"/>
  <c r="AA175" i="8" s="1"/>
  <c r="Z176" i="8"/>
  <c r="AA176" i="8" s="1"/>
  <c r="Z177" i="8"/>
  <c r="Z178" i="8"/>
  <c r="AA178" i="8" s="1"/>
  <c r="Z179" i="8"/>
  <c r="Z180" i="8"/>
  <c r="AA180" i="8" s="1"/>
  <c r="Z181" i="8"/>
  <c r="AA181" i="8" s="1"/>
  <c r="Z182" i="8"/>
  <c r="Z183" i="8"/>
  <c r="AA183" i="8" s="1"/>
  <c r="Z184" i="8"/>
  <c r="AA184" i="8" s="1"/>
  <c r="Z185" i="8"/>
  <c r="AA185" i="8" s="1"/>
  <c r="Z186" i="8"/>
  <c r="AA186" i="8" s="1"/>
  <c r="Z187" i="8"/>
  <c r="AA187" i="8" s="1"/>
  <c r="Z188" i="8"/>
  <c r="AA188" i="8" s="1"/>
  <c r="Z189" i="8"/>
  <c r="AA189" i="8" s="1"/>
  <c r="Z190" i="8"/>
  <c r="AA190" i="8" s="1"/>
  <c r="Z191" i="8"/>
  <c r="Z192" i="8"/>
  <c r="AA192" i="8" s="1"/>
  <c r="Z193" i="8"/>
  <c r="AA193" i="8" s="1"/>
  <c r="Z194" i="8"/>
  <c r="Z195" i="8"/>
  <c r="AA195" i="8" s="1"/>
  <c r="Z196" i="8"/>
  <c r="AA196" i="8" s="1"/>
  <c r="Z197" i="8"/>
  <c r="AA197" i="8" s="1"/>
  <c r="Z198" i="8"/>
  <c r="AA198" i="8" s="1"/>
  <c r="Z199" i="8"/>
  <c r="AA199" i="8" s="1"/>
  <c r="Z200" i="8"/>
  <c r="AA200" i="8" s="1"/>
  <c r="Z201" i="8"/>
  <c r="Z202" i="8"/>
  <c r="AA202" i="8" s="1"/>
  <c r="Z203" i="8"/>
  <c r="Z204" i="8"/>
  <c r="AA204" i="8" s="1"/>
  <c r="Z205" i="8"/>
  <c r="AA205" i="8" s="1"/>
  <c r="Z206" i="8"/>
  <c r="Z207" i="8"/>
  <c r="AA207" i="8" s="1"/>
  <c r="Z208" i="8"/>
  <c r="AA208" i="8" s="1"/>
  <c r="Z209" i="8"/>
  <c r="AA209" i="8" s="1"/>
  <c r="Z210" i="8"/>
  <c r="AA210" i="8" s="1"/>
  <c r="Z211" i="8"/>
  <c r="AA211" i="8" s="1"/>
  <c r="Z212" i="8"/>
  <c r="AA212" i="8" s="1"/>
  <c r="Z213" i="8"/>
  <c r="AA213" i="8" s="1"/>
  <c r="Z214" i="8"/>
  <c r="AA214" i="8" s="1"/>
  <c r="Z215" i="8"/>
  <c r="AA215" i="8" s="1"/>
  <c r="Z216" i="8"/>
  <c r="AA216" i="8" s="1"/>
  <c r="Z217" i="8"/>
  <c r="AA217" i="8" s="1"/>
  <c r="Z218" i="8"/>
  <c r="Z219" i="8"/>
  <c r="Z220" i="8"/>
  <c r="AA220" i="8" s="1"/>
  <c r="Z221" i="8"/>
  <c r="AA221" i="8" s="1"/>
  <c r="Z222" i="8"/>
  <c r="AA222" i="8" s="1"/>
  <c r="Z223" i="8"/>
  <c r="AA223" i="8" s="1"/>
  <c r="Z224" i="8"/>
  <c r="Z225" i="8"/>
  <c r="AA225" i="8" s="1"/>
  <c r="Z226" i="8"/>
  <c r="AA226" i="8" s="1"/>
  <c r="Z227" i="8"/>
  <c r="Z228" i="8"/>
  <c r="AA228" i="8" s="1"/>
  <c r="Z229" i="8"/>
  <c r="AA229" i="8" s="1"/>
  <c r="Z230" i="8"/>
  <c r="Z231" i="8"/>
  <c r="AA231" i="8" s="1"/>
  <c r="Z232" i="8"/>
  <c r="AA232" i="8" s="1"/>
  <c r="Z233" i="8"/>
  <c r="AA233" i="8" s="1"/>
  <c r="Z234" i="8"/>
  <c r="Z235" i="8"/>
  <c r="AA235" i="8" s="1"/>
  <c r="Z236" i="8"/>
  <c r="AA236" i="8" s="1"/>
  <c r="Z237" i="8"/>
  <c r="Z238" i="8"/>
  <c r="AA238" i="8" s="1"/>
  <c r="Z239" i="8"/>
  <c r="AA239" i="8" s="1"/>
  <c r="Z240" i="8"/>
  <c r="AA240" i="8" s="1"/>
  <c r="Z241" i="8"/>
  <c r="AA241" i="8" s="1"/>
  <c r="Z242" i="8"/>
  <c r="Z243" i="8"/>
  <c r="AA243" i="8" s="1"/>
  <c r="Z244" i="8"/>
  <c r="AA244" i="8" s="1"/>
  <c r="Z245" i="8"/>
  <c r="AA245" i="8" s="1"/>
  <c r="Z246" i="8"/>
  <c r="AA246" i="8" s="1"/>
  <c r="Z247" i="8"/>
  <c r="AA247" i="8" s="1"/>
  <c r="Z248" i="8"/>
  <c r="AA248" i="8" s="1"/>
  <c r="Z249" i="8"/>
  <c r="AA249" i="8" s="1"/>
  <c r="Z250" i="8"/>
  <c r="Z251" i="8"/>
  <c r="Z252" i="8"/>
  <c r="AA252" i="8" s="1"/>
  <c r="Z253" i="8"/>
  <c r="AA253" i="8" s="1"/>
  <c r="Z254" i="8"/>
  <c r="Z255" i="8"/>
  <c r="AA255" i="8" s="1"/>
  <c r="Z256" i="8"/>
  <c r="AA256" i="8" s="1"/>
  <c r="Z257" i="8"/>
  <c r="AA257" i="8" s="1"/>
  <c r="Z258" i="8"/>
  <c r="AA258" i="8" s="1"/>
  <c r="Z259" i="8"/>
  <c r="AA259" i="8" s="1"/>
  <c r="Z260" i="8"/>
  <c r="AA260" i="8" s="1"/>
  <c r="Z261" i="8"/>
  <c r="AA261" i="8" s="1"/>
  <c r="Z262" i="8"/>
  <c r="AA262" i="8" s="1"/>
  <c r="Z263" i="8"/>
  <c r="AA263" i="8" s="1"/>
  <c r="Z264" i="8"/>
  <c r="AA264" i="8" s="1"/>
  <c r="Z265" i="8"/>
  <c r="AA265" i="8" s="1"/>
  <c r="Z266" i="8"/>
  <c r="Z267" i="8"/>
  <c r="AA267" i="8" s="1"/>
  <c r="Z268" i="8"/>
  <c r="AA268" i="8" s="1"/>
  <c r="Z269" i="8"/>
  <c r="AA269" i="8" s="1"/>
  <c r="Z270" i="8"/>
  <c r="AA270" i="8" s="1"/>
  <c r="Z271" i="8"/>
  <c r="AA271" i="8" s="1"/>
  <c r="Z272" i="8"/>
  <c r="AA272" i="8" s="1"/>
  <c r="Z273" i="8"/>
  <c r="AA273" i="8" s="1"/>
  <c r="Z274" i="8"/>
  <c r="AA274" i="8" s="1"/>
  <c r="Z275" i="8"/>
  <c r="Z276" i="8"/>
  <c r="AA276" i="8" s="1"/>
  <c r="Z277" i="8"/>
  <c r="AA277" i="8" s="1"/>
  <c r="Z278" i="8"/>
  <c r="Z279" i="8"/>
  <c r="AA279" i="8" s="1"/>
  <c r="Z280" i="8"/>
  <c r="AA280" i="8" s="1"/>
  <c r="Z281" i="8"/>
  <c r="AA281" i="8" s="1"/>
  <c r="Z282" i="8"/>
  <c r="AA282" i="8" s="1"/>
  <c r="Z283" i="8"/>
  <c r="AA283" i="8" s="1"/>
  <c r="Z284" i="8"/>
  <c r="AA284" i="8" s="1"/>
  <c r="Z285" i="8"/>
  <c r="AA285" i="8" s="1"/>
  <c r="Z286" i="8"/>
  <c r="AA286" i="8" s="1"/>
  <c r="Z287" i="8"/>
  <c r="Z288" i="8"/>
  <c r="AA288" i="8" s="1"/>
  <c r="Z289" i="8"/>
  <c r="AA289" i="8" s="1"/>
  <c r="Z290" i="8"/>
  <c r="Z291" i="8"/>
  <c r="AA291" i="8" s="1"/>
  <c r="Z292" i="8"/>
  <c r="AA292" i="8" s="1"/>
  <c r="Z293" i="8"/>
  <c r="AA293" i="8" s="1"/>
  <c r="Z294" i="8"/>
  <c r="AA294" i="8" s="1"/>
  <c r="Z295" i="8"/>
  <c r="AA295" i="8" s="1"/>
  <c r="Z296" i="8"/>
  <c r="AA296" i="8" s="1"/>
  <c r="Z297" i="8"/>
  <c r="AA297" i="8" s="1"/>
  <c r="Z298" i="8"/>
  <c r="AA298" i="8" s="1"/>
  <c r="Z299" i="8"/>
  <c r="Z300" i="8"/>
  <c r="AA300" i="8" s="1"/>
  <c r="Z301" i="8"/>
  <c r="AA301" i="8" s="1"/>
  <c r="Z302" i="8"/>
  <c r="Z303" i="8"/>
  <c r="AA303" i="8" s="1"/>
  <c r="Z304" i="8"/>
  <c r="AA304" i="8" s="1"/>
  <c r="Z305" i="8"/>
  <c r="AA305" i="8" s="1"/>
  <c r="Z306" i="8"/>
  <c r="AA306" i="8" s="1"/>
  <c r="Z307" i="8"/>
  <c r="AA307" i="8" s="1"/>
  <c r="Z308" i="8"/>
  <c r="AA308" i="8" s="1"/>
  <c r="Z309" i="8"/>
  <c r="AA309" i="8" s="1"/>
  <c r="Z310" i="8"/>
  <c r="AA310" i="8" s="1"/>
  <c r="Z311" i="8"/>
  <c r="Z312" i="8"/>
  <c r="AA312" i="8" s="1"/>
  <c r="Z313" i="8"/>
  <c r="AA313" i="8" s="1"/>
  <c r="Z314" i="8"/>
  <c r="Z315" i="8"/>
  <c r="AA315" i="8" s="1"/>
  <c r="Z316" i="8"/>
  <c r="AA316" i="8" s="1"/>
  <c r="Z317" i="8"/>
  <c r="AA317" i="8" s="1"/>
  <c r="Z318" i="8"/>
  <c r="AA318" i="8" s="1"/>
  <c r="Z319" i="8"/>
  <c r="AA319" i="8" s="1"/>
  <c r="Z320" i="8"/>
  <c r="AA320" i="8" s="1"/>
  <c r="Z321" i="8"/>
  <c r="AA321" i="8" s="1"/>
  <c r="Z322" i="8"/>
  <c r="AA322" i="8" s="1"/>
  <c r="Z323" i="8"/>
  <c r="AA323" i="8" s="1"/>
  <c r="Z324" i="8"/>
  <c r="AA324" i="8" s="1"/>
  <c r="Z325" i="8"/>
  <c r="AA325" i="8" s="1"/>
  <c r="Z326" i="8"/>
  <c r="Z327" i="8"/>
  <c r="AA327" i="8" s="1"/>
  <c r="Z328" i="8"/>
  <c r="AA328" i="8" s="1"/>
  <c r="Z329" i="8"/>
  <c r="AA329" i="8" s="1"/>
  <c r="Z330" i="8"/>
  <c r="AA330" i="8" s="1"/>
  <c r="Z331" i="8"/>
  <c r="AA331" i="8" s="1"/>
  <c r="Z332" i="8"/>
  <c r="AA332" i="8" s="1"/>
  <c r="Z333" i="8"/>
  <c r="AA333" i="8" s="1"/>
  <c r="Z334" i="8"/>
  <c r="AA334" i="8" s="1"/>
  <c r="Z335" i="8"/>
  <c r="Z336" i="8"/>
  <c r="AA336" i="8" s="1"/>
  <c r="Z337" i="8"/>
  <c r="AA337" i="8" s="1"/>
  <c r="Z338" i="8"/>
  <c r="Z339" i="8"/>
  <c r="AA339" i="8" s="1"/>
  <c r="Z340" i="8"/>
  <c r="AA340" i="8" s="1"/>
  <c r="Z341" i="8"/>
  <c r="AA341" i="8" s="1"/>
  <c r="Z342" i="8"/>
  <c r="AA342" i="8" s="1"/>
  <c r="Z343" i="8"/>
  <c r="AA343" i="8" s="1"/>
  <c r="Z344" i="8"/>
  <c r="AA344" i="8" s="1"/>
  <c r="Z345" i="8"/>
  <c r="AA345" i="8" s="1"/>
  <c r="Z346" i="8"/>
  <c r="AA346" i="8" s="1"/>
  <c r="Z347" i="8"/>
  <c r="AA347" i="8" s="1"/>
  <c r="Z348" i="8"/>
  <c r="AA348" i="8" s="1"/>
  <c r="Z349" i="8"/>
  <c r="AA349" i="8" s="1"/>
  <c r="Z350" i="8"/>
  <c r="Z351" i="8"/>
  <c r="AA351" i="8" s="1"/>
  <c r="Z352" i="8"/>
  <c r="AA352" i="8" s="1"/>
  <c r="Z353" i="8"/>
  <c r="AA353" i="8" s="1"/>
  <c r="Z354" i="8"/>
  <c r="AA354" i="8" s="1"/>
  <c r="Z355" i="8"/>
  <c r="AA355" i="8" s="1"/>
  <c r="Z356" i="8"/>
  <c r="AA356" i="8" s="1"/>
  <c r="Z357" i="8"/>
  <c r="AA357" i="8" s="1"/>
  <c r="Z358" i="8"/>
  <c r="Z359" i="8"/>
  <c r="Z360" i="8"/>
  <c r="AA360" i="8" s="1"/>
  <c r="Z361" i="8"/>
  <c r="AA361" i="8" s="1"/>
  <c r="Z362" i="8"/>
  <c r="Z363" i="8"/>
  <c r="AA363" i="8" s="1"/>
  <c r="Z364" i="8"/>
  <c r="AA364" i="8" s="1"/>
  <c r="Z365" i="8"/>
  <c r="AA365" i="8" s="1"/>
  <c r="Z366" i="8"/>
  <c r="AA366" i="8" s="1"/>
  <c r="Z367" i="8"/>
  <c r="AA367" i="8" s="1"/>
  <c r="Z368" i="8"/>
  <c r="Z369" i="8"/>
  <c r="AA369" i="8" s="1"/>
  <c r="Z370" i="8"/>
  <c r="Z371" i="8"/>
  <c r="Z372" i="8"/>
  <c r="AA372" i="8" s="1"/>
  <c r="Z373" i="8"/>
  <c r="AA373" i="8" s="1"/>
  <c r="Z374" i="8"/>
  <c r="Z375" i="8"/>
  <c r="AA375" i="8" s="1"/>
  <c r="Z376" i="8"/>
  <c r="AA376" i="8" s="1"/>
  <c r="Z377" i="8"/>
  <c r="AA377" i="8" s="1"/>
  <c r="Z378" i="8"/>
  <c r="AA378" i="8" s="1"/>
  <c r="Z379" i="8"/>
  <c r="AA379" i="8" s="1"/>
  <c r="Z380" i="8"/>
  <c r="AA380" i="8" s="1"/>
  <c r="Z381" i="8"/>
  <c r="AA381" i="8" s="1"/>
  <c r="Z382" i="8"/>
  <c r="AA382" i="8" s="1"/>
  <c r="Z383" i="8"/>
  <c r="Z384" i="8"/>
  <c r="AA384" i="8" s="1"/>
  <c r="Z385" i="8"/>
  <c r="AA385" i="8" s="1"/>
  <c r="Z386" i="8"/>
  <c r="Z387" i="8"/>
  <c r="AA387" i="8" s="1"/>
  <c r="Z388" i="8"/>
  <c r="AA388" i="8" s="1"/>
  <c r="Z389" i="8"/>
  <c r="AA389" i="8" s="1"/>
  <c r="Z390" i="8"/>
  <c r="AA390" i="8" s="1"/>
  <c r="Z391" i="8"/>
  <c r="AA391" i="8" s="1"/>
  <c r="Z392" i="8"/>
  <c r="AA392" i="8" s="1"/>
  <c r="Z393" i="8"/>
  <c r="Z394" i="8"/>
  <c r="AA394" i="8" s="1"/>
  <c r="Z395" i="8"/>
  <c r="Z396" i="8"/>
  <c r="AA396" i="8" s="1"/>
  <c r="Z397" i="8"/>
  <c r="AA397" i="8" s="1"/>
  <c r="Z398" i="8"/>
  <c r="Z399" i="8"/>
  <c r="AA399" i="8" s="1"/>
  <c r="Z400" i="8"/>
  <c r="AA400" i="8" s="1"/>
  <c r="Z401" i="8"/>
  <c r="Z402" i="8"/>
  <c r="AA402" i="8" s="1"/>
  <c r="Z403" i="8"/>
  <c r="AA403" i="8" s="1"/>
  <c r="Z404" i="8"/>
  <c r="Z405" i="8"/>
  <c r="AA405" i="8" s="1"/>
  <c r="Z406" i="8"/>
  <c r="AA406" i="8" s="1"/>
  <c r="Z407" i="8"/>
  <c r="Z408" i="8"/>
  <c r="AA408" i="8" s="1"/>
  <c r="Z409" i="8"/>
  <c r="AA409" i="8" s="1"/>
  <c r="Z410" i="8"/>
  <c r="Z411" i="8"/>
  <c r="AA411" i="8" s="1"/>
  <c r="Z412" i="8"/>
  <c r="AA412" i="8" s="1"/>
  <c r="Z413" i="8"/>
  <c r="AA413" i="8" s="1"/>
  <c r="Z414" i="8"/>
  <c r="AA414" i="8" s="1"/>
  <c r="Z415" i="8"/>
  <c r="AA415" i="8" s="1"/>
  <c r="Z416" i="8"/>
  <c r="AA416" i="8" s="1"/>
  <c r="Z417" i="8"/>
  <c r="AA417" i="8" s="1"/>
  <c r="Z418" i="8"/>
  <c r="AA418" i="8" s="1"/>
  <c r="Z419" i="8"/>
  <c r="Z420" i="8"/>
  <c r="Z421" i="8"/>
  <c r="AA421" i="8" s="1"/>
  <c r="Z422" i="8"/>
  <c r="Z423" i="8"/>
  <c r="AA423" i="8" s="1"/>
  <c r="Z424" i="8"/>
  <c r="AA424" i="8" s="1"/>
  <c r="Z425" i="8"/>
  <c r="AA425" i="8" s="1"/>
  <c r="Z426" i="8"/>
  <c r="AA426" i="8" s="1"/>
  <c r="Z427" i="8"/>
  <c r="AA427" i="8" s="1"/>
  <c r="Z428" i="8"/>
  <c r="AA428" i="8" s="1"/>
  <c r="Z429" i="8"/>
  <c r="AA429" i="8" s="1"/>
  <c r="Z430" i="8"/>
  <c r="Z431" i="8"/>
  <c r="AA431" i="8" s="1"/>
  <c r="Z432" i="8"/>
  <c r="AA432" i="8" s="1"/>
  <c r="Z433" i="8"/>
  <c r="AA433" i="8" s="1"/>
  <c r="Z434" i="8"/>
  <c r="Z435" i="8"/>
  <c r="AA435" i="8" s="1"/>
  <c r="Z436" i="8"/>
  <c r="AA436" i="8" s="1"/>
  <c r="Z437" i="8"/>
  <c r="Z438" i="8"/>
  <c r="AA438" i="8" s="1"/>
  <c r="Z439" i="8"/>
  <c r="AA439" i="8" s="1"/>
  <c r="Z440" i="8"/>
  <c r="AA440" i="8" s="1"/>
  <c r="Z441" i="8"/>
  <c r="Z442" i="8"/>
  <c r="AA442" i="8" s="1"/>
  <c r="Z443" i="8"/>
  <c r="Z444" i="8"/>
  <c r="AA444" i="8" s="1"/>
  <c r="Z445" i="8"/>
  <c r="AA445" i="8" s="1"/>
  <c r="Z446" i="8"/>
  <c r="Z447" i="8"/>
  <c r="AA447" i="8" s="1"/>
  <c r="Z448" i="8"/>
  <c r="AA448" i="8" s="1"/>
  <c r="Z449" i="8"/>
  <c r="AA449" i="8" s="1"/>
  <c r="Z450" i="8"/>
  <c r="AA450" i="8" s="1"/>
  <c r="Z451" i="8"/>
  <c r="AA451" i="8" s="1"/>
  <c r="Z452" i="8"/>
  <c r="AA452" i="8" s="1"/>
  <c r="Z453" i="8"/>
  <c r="Z454" i="8"/>
  <c r="AA454" i="8" s="1"/>
  <c r="Z455" i="8"/>
  <c r="Z456" i="8"/>
  <c r="AA456" i="8" s="1"/>
  <c r="Z457" i="8"/>
  <c r="AA457" i="8" s="1"/>
  <c r="Z458" i="8"/>
  <c r="Z459" i="8"/>
  <c r="AA459" i="8" s="1"/>
  <c r="Z460" i="8"/>
  <c r="AA460" i="8" s="1"/>
  <c r="Z461" i="8"/>
  <c r="AA461" i="8" s="1"/>
  <c r="Z462" i="8"/>
  <c r="AA462" i="8" s="1"/>
  <c r="Z463" i="8"/>
  <c r="AA463" i="8" s="1"/>
  <c r="Z464" i="8"/>
  <c r="AA464" i="8" s="1"/>
  <c r="Z465" i="8"/>
  <c r="AA465" i="8" s="1"/>
  <c r="Z466" i="8"/>
  <c r="Z467" i="8"/>
  <c r="Z468" i="8"/>
  <c r="AA468" i="8" s="1"/>
  <c r="Z469" i="8"/>
  <c r="AA469" i="8" s="1"/>
  <c r="Z470" i="8"/>
  <c r="Z471" i="8"/>
  <c r="AA471" i="8" s="1"/>
  <c r="Z472" i="8"/>
  <c r="AA472" i="8" s="1"/>
  <c r="Z473" i="8"/>
  <c r="AA473" i="8" s="1"/>
  <c r="Z474" i="8"/>
  <c r="AA474" i="8" s="1"/>
  <c r="Z475" i="8"/>
  <c r="AA475" i="8" s="1"/>
  <c r="Z476" i="8"/>
  <c r="AA476" i="8" s="1"/>
  <c r="Z477" i="8"/>
  <c r="AA477" i="8" s="1"/>
  <c r="Z478" i="8"/>
  <c r="AA478" i="8" s="1"/>
  <c r="Z479" i="8"/>
  <c r="Z480" i="8"/>
  <c r="AA480" i="8" s="1"/>
  <c r="Z481" i="8"/>
  <c r="AA481" i="8" s="1"/>
  <c r="Z482" i="8"/>
  <c r="Z483" i="8"/>
  <c r="AA483" i="8" s="1"/>
  <c r="Z484" i="8"/>
  <c r="AA484" i="8" s="1"/>
  <c r="Z485" i="8"/>
  <c r="AA485" i="8" s="1"/>
  <c r="Z486" i="8"/>
  <c r="AA486" i="8" s="1"/>
  <c r="Z487" i="8"/>
  <c r="AA487" i="8" s="1"/>
  <c r="Z488" i="8"/>
  <c r="AA488" i="8" s="1"/>
  <c r="Z489" i="8"/>
  <c r="AA489" i="8" s="1"/>
  <c r="Z490" i="8"/>
  <c r="AA490" i="8" s="1"/>
  <c r="Z491" i="8"/>
  <c r="Z492" i="8"/>
  <c r="AA492" i="8" s="1"/>
  <c r="Z493" i="8"/>
  <c r="AA493" i="8" s="1"/>
  <c r="Z494" i="8"/>
  <c r="Z495" i="8"/>
  <c r="AA495" i="8" s="1"/>
  <c r="Z496" i="8"/>
  <c r="AA496" i="8" s="1"/>
  <c r="Z497" i="8"/>
  <c r="AA497" i="8" s="1"/>
  <c r="Z498" i="8"/>
  <c r="AA498" i="8" s="1"/>
  <c r="Z499" i="8"/>
  <c r="AA499" i="8" s="1"/>
  <c r="Z500" i="8"/>
  <c r="AA500" i="8" s="1"/>
  <c r="Z501" i="8"/>
  <c r="AA501" i="8" s="1"/>
  <c r="Z502" i="8"/>
  <c r="AA502" i="8" s="1"/>
  <c r="Z503" i="8"/>
  <c r="Z504" i="8"/>
  <c r="AA504" i="8" s="1"/>
  <c r="Z505" i="8"/>
  <c r="AA505" i="8" s="1"/>
  <c r="Z506" i="8"/>
  <c r="Z507" i="8"/>
  <c r="AA507" i="8" s="1"/>
  <c r="Z508" i="8"/>
  <c r="AA508" i="8" s="1"/>
  <c r="Z509" i="8"/>
  <c r="Z510" i="8"/>
  <c r="AA510" i="8" s="1"/>
  <c r="Z511" i="8"/>
  <c r="AA511" i="8" s="1"/>
  <c r="Z512" i="8"/>
  <c r="AA512" i="8" s="1"/>
  <c r="Z513" i="8"/>
  <c r="AA513" i="8" s="1"/>
  <c r="Z514" i="8"/>
  <c r="AA514" i="8" s="1"/>
  <c r="Z515" i="8"/>
  <c r="Z516" i="8"/>
  <c r="AA516" i="8" s="1"/>
  <c r="Z517" i="8"/>
  <c r="AA517" i="8" s="1"/>
  <c r="Z518" i="8"/>
  <c r="Z519" i="8"/>
  <c r="AA519" i="8" s="1"/>
  <c r="Z520" i="8"/>
  <c r="AA520" i="8" s="1"/>
  <c r="Z521" i="8"/>
  <c r="AA521" i="8" s="1"/>
  <c r="Z522" i="8"/>
  <c r="AA522" i="8" s="1"/>
  <c r="Z523" i="8"/>
  <c r="AA523" i="8" s="1"/>
  <c r="Z524" i="8"/>
  <c r="Z525" i="8"/>
  <c r="AA525" i="8" s="1"/>
  <c r="Z526" i="8"/>
  <c r="AA526" i="8" s="1"/>
  <c r="Z527" i="8"/>
  <c r="Z528" i="8"/>
  <c r="AA528" i="8" s="1"/>
  <c r="Z529" i="8"/>
  <c r="AA529" i="8" s="1"/>
  <c r="Z530" i="8"/>
  <c r="Z531" i="8"/>
  <c r="AA531" i="8" s="1"/>
  <c r="Z532" i="8"/>
  <c r="AA532" i="8" s="1"/>
  <c r="Z533" i="8"/>
  <c r="AA533" i="8" s="1"/>
  <c r="Z534" i="8"/>
  <c r="AA534" i="8" s="1"/>
  <c r="Z535" i="8"/>
  <c r="AA535" i="8" s="1"/>
  <c r="Z536" i="8"/>
  <c r="AA536" i="8" s="1"/>
  <c r="Z537" i="8"/>
  <c r="AA537" i="8" s="1"/>
  <c r="Z538" i="8"/>
  <c r="Z539" i="8"/>
  <c r="AA539" i="8" s="1"/>
  <c r="Z540" i="8"/>
  <c r="AA540" i="8" s="1"/>
  <c r="Z541" i="8"/>
  <c r="AA541" i="8" s="1"/>
  <c r="Z542" i="8"/>
  <c r="Z543" i="8"/>
  <c r="AA543" i="8" s="1"/>
  <c r="Z544" i="8"/>
  <c r="AA544" i="8" s="1"/>
  <c r="Z545" i="8"/>
  <c r="Z546" i="8"/>
  <c r="AA546" i="8" s="1"/>
  <c r="Z547" i="8"/>
  <c r="AA547" i="8" s="1"/>
  <c r="Z548" i="8"/>
  <c r="AA548" i="8" s="1"/>
  <c r="Z549" i="8"/>
  <c r="AA549" i="8" s="1"/>
  <c r="Z550" i="8"/>
  <c r="AA550" i="8" s="1"/>
  <c r="Z551" i="8"/>
  <c r="Z552" i="8"/>
  <c r="AA552" i="8" s="1"/>
  <c r="Z553" i="8"/>
  <c r="AA553" i="8" s="1"/>
  <c r="Z554" i="8"/>
  <c r="Z555" i="8"/>
  <c r="AA555" i="8" s="1"/>
  <c r="Z556" i="8"/>
  <c r="AA556" i="8" s="1"/>
  <c r="Z557" i="8"/>
  <c r="AA557" i="8" s="1"/>
  <c r="Z558" i="8"/>
  <c r="AA558" i="8" s="1"/>
  <c r="Z559" i="8"/>
  <c r="AA559" i="8" s="1"/>
  <c r="Z560" i="8"/>
  <c r="AA560" i="8" s="1"/>
  <c r="Z561" i="8"/>
  <c r="AA561" i="8" s="1"/>
  <c r="Z562" i="8"/>
  <c r="AA562" i="8" s="1"/>
  <c r="Z563" i="8"/>
  <c r="Z564" i="8"/>
  <c r="AA564" i="8" s="1"/>
  <c r="Z565" i="8"/>
  <c r="AA565" i="8" s="1"/>
  <c r="Z566" i="8"/>
  <c r="Z567" i="8"/>
  <c r="AA567" i="8" s="1"/>
  <c r="Z568" i="8"/>
  <c r="AA568" i="8" s="1"/>
  <c r="Z569" i="8"/>
  <c r="AA569" i="8" s="1"/>
  <c r="Z570" i="8"/>
  <c r="AA570" i="8" s="1"/>
  <c r="Z571" i="8"/>
  <c r="AA571" i="8" s="1"/>
  <c r="Z572" i="8"/>
  <c r="AA572" i="8" s="1"/>
  <c r="Z573" i="8"/>
  <c r="AA573" i="8" s="1"/>
  <c r="Z574" i="8"/>
  <c r="Z575" i="8"/>
  <c r="Z576" i="8"/>
  <c r="AA576" i="8" s="1"/>
  <c r="Z577" i="8"/>
  <c r="AA577" i="8" s="1"/>
  <c r="Z578" i="8"/>
  <c r="Z579" i="8"/>
  <c r="AA579" i="8" s="1"/>
  <c r="Z580" i="8"/>
  <c r="AA580" i="8" s="1"/>
  <c r="Z581" i="8"/>
  <c r="AA581" i="8" s="1"/>
  <c r="Z582" i="8"/>
  <c r="AA582" i="8" s="1"/>
  <c r="Z583" i="8"/>
  <c r="AA583" i="8" s="1"/>
  <c r="Z584" i="8"/>
  <c r="AA584" i="8" s="1"/>
  <c r="Z585" i="8"/>
  <c r="AA585" i="8" s="1"/>
  <c r="Z586" i="8"/>
  <c r="AA586" i="8" s="1"/>
  <c r="Z587" i="8"/>
  <c r="AA587" i="8" s="1"/>
  <c r="Z588" i="8"/>
  <c r="AA588" i="8" s="1"/>
  <c r="Z589" i="8"/>
  <c r="AA589" i="8" s="1"/>
  <c r="Z590" i="8"/>
  <c r="AA590" i="8" s="1"/>
  <c r="Z591" i="8"/>
  <c r="AA591" i="8" s="1"/>
  <c r="Z592" i="8"/>
  <c r="AA592" i="8" s="1"/>
  <c r="Z593" i="8"/>
  <c r="AA593" i="8" s="1"/>
  <c r="Z594" i="8"/>
  <c r="AA594" i="8" s="1"/>
  <c r="Z595" i="8"/>
  <c r="AA595" i="8" s="1"/>
  <c r="Z596" i="8"/>
  <c r="AA596" i="8" s="1"/>
  <c r="Z597" i="8"/>
  <c r="AA597" i="8" s="1"/>
  <c r="Z598" i="8"/>
  <c r="AA598" i="8" s="1"/>
  <c r="Z599" i="8"/>
  <c r="AA599" i="8" s="1"/>
  <c r="Z600" i="8"/>
  <c r="Z601" i="8"/>
  <c r="Z602" i="8"/>
  <c r="AA602" i="8" s="1"/>
  <c r="Z603" i="8"/>
  <c r="AA603" i="8" s="1"/>
  <c r="Z604" i="8"/>
  <c r="AA604" i="8" s="1"/>
  <c r="Z605" i="8"/>
  <c r="AA605" i="8" s="1"/>
  <c r="Z606" i="8"/>
  <c r="AA606" i="8" s="1"/>
  <c r="Z607" i="8"/>
  <c r="AA607" i="8" s="1"/>
  <c r="Z608" i="8"/>
  <c r="AA608" i="8" s="1"/>
  <c r="Z609" i="8"/>
  <c r="AA609" i="8" s="1"/>
  <c r="Z610" i="8"/>
  <c r="AA610" i="8" s="1"/>
  <c r="Z611" i="8"/>
  <c r="AA611" i="8" s="1"/>
  <c r="Z612" i="8"/>
  <c r="AA612" i="8" s="1"/>
  <c r="Z613" i="8"/>
  <c r="AA613" i="8" s="1"/>
  <c r="Z614" i="8"/>
  <c r="AA614" i="8" s="1"/>
  <c r="Z615" i="8"/>
  <c r="AA615" i="8" s="1"/>
  <c r="Z616" i="8"/>
  <c r="AA616" i="8" s="1"/>
  <c r="Z617" i="8"/>
  <c r="AA617" i="8" s="1"/>
  <c r="Z618" i="8"/>
  <c r="AA618" i="8" s="1"/>
  <c r="Z619" i="8"/>
  <c r="AA619" i="8" s="1"/>
  <c r="Z620" i="8"/>
  <c r="AA620" i="8" s="1"/>
  <c r="Z621" i="8"/>
  <c r="AA621" i="8" s="1"/>
  <c r="Z622" i="8"/>
  <c r="AA622" i="8" s="1"/>
  <c r="Z623" i="8"/>
  <c r="AA623" i="8" s="1"/>
  <c r="Z624" i="8"/>
  <c r="AA624" i="8" s="1"/>
  <c r="Z625" i="8"/>
  <c r="AA625" i="8" s="1"/>
  <c r="Z626" i="8"/>
  <c r="AA626" i="8" s="1"/>
  <c r="Z627" i="8"/>
  <c r="AA627" i="8" s="1"/>
  <c r="Z628" i="8"/>
  <c r="AA628" i="8" s="1"/>
  <c r="Z629" i="8"/>
  <c r="AA629" i="8" s="1"/>
  <c r="Z630" i="8"/>
  <c r="AA630" i="8" s="1"/>
  <c r="Z631" i="8"/>
  <c r="Z632" i="8"/>
  <c r="AA632" i="8" s="1"/>
  <c r="Z633" i="8"/>
  <c r="AA633" i="8" s="1"/>
  <c r="Z634" i="8"/>
  <c r="Z635" i="8"/>
  <c r="AA635" i="8" s="1"/>
  <c r="Z636" i="8"/>
  <c r="AA636" i="8" s="1"/>
  <c r="Z637" i="8"/>
  <c r="AA637" i="8" s="1"/>
  <c r="Z638" i="8"/>
  <c r="AA638" i="8" s="1"/>
  <c r="Z639" i="8"/>
  <c r="AA639" i="8" s="1"/>
  <c r="Z640" i="8"/>
  <c r="AA640" i="8" s="1"/>
  <c r="Z641" i="8"/>
  <c r="AA641" i="8" s="1"/>
  <c r="Z642" i="8"/>
  <c r="AA642" i="8" s="1"/>
  <c r="Z643" i="8"/>
  <c r="AA643" i="8" s="1"/>
  <c r="Z644" i="8"/>
  <c r="AA644" i="8" s="1"/>
  <c r="Z645" i="8"/>
  <c r="AA645" i="8" s="1"/>
  <c r="Z646" i="8"/>
  <c r="AA646" i="8" s="1"/>
  <c r="Z647" i="8"/>
  <c r="AA647" i="8" s="1"/>
  <c r="Z648" i="8"/>
  <c r="AA648" i="8" s="1"/>
  <c r="Z649" i="8"/>
  <c r="Z650" i="8"/>
  <c r="AA650" i="8" s="1"/>
  <c r="Z651" i="8"/>
  <c r="AA651" i="8" s="1"/>
  <c r="Z652" i="8"/>
  <c r="AA652" i="8" s="1"/>
  <c r="Z653" i="8"/>
  <c r="AA653" i="8" s="1"/>
  <c r="Z654" i="8"/>
  <c r="AA654" i="8" s="1"/>
  <c r="Z655" i="8"/>
  <c r="AA655" i="8" s="1"/>
  <c r="Z656" i="8"/>
  <c r="AA656" i="8" s="1"/>
  <c r="Z657" i="8"/>
  <c r="AA657" i="8" s="1"/>
  <c r="Z658" i="8"/>
  <c r="AA658" i="8" s="1"/>
  <c r="Z659" i="8"/>
  <c r="AA659" i="8" s="1"/>
  <c r="Z660" i="8"/>
  <c r="AA660" i="8" s="1"/>
  <c r="Z661" i="8"/>
  <c r="AA661" i="8" s="1"/>
  <c r="Z662" i="8"/>
  <c r="AA662" i="8" s="1"/>
  <c r="Z663" i="8"/>
  <c r="AA663" i="8" s="1"/>
  <c r="Z664" i="8"/>
  <c r="AA664" i="8" s="1"/>
  <c r="Z665" i="8"/>
  <c r="AA665" i="8" s="1"/>
  <c r="Z666" i="8"/>
  <c r="AA666" i="8" s="1"/>
  <c r="Z667" i="8"/>
  <c r="AA667" i="8" s="1"/>
  <c r="Z668" i="8"/>
  <c r="AA668" i="8" s="1"/>
  <c r="Z669" i="8"/>
  <c r="AA669" i="8" s="1"/>
  <c r="Z670" i="8"/>
  <c r="AA670" i="8" s="1"/>
  <c r="Z671" i="8"/>
  <c r="AA671" i="8" s="1"/>
  <c r="Z672" i="8"/>
  <c r="AA672" i="8" s="1"/>
  <c r="Z673" i="8"/>
  <c r="Z674" i="8"/>
  <c r="AA674" i="8" s="1"/>
  <c r="Z675" i="8"/>
  <c r="AA675" i="8" s="1"/>
  <c r="Z676" i="8"/>
  <c r="AA676" i="8" s="1"/>
  <c r="Z677" i="8"/>
  <c r="AA677" i="8" s="1"/>
  <c r="Z678" i="8"/>
  <c r="AA678" i="8" s="1"/>
  <c r="Z679" i="8"/>
  <c r="AA679" i="8" s="1"/>
  <c r="Z680" i="8"/>
  <c r="AA680" i="8" s="1"/>
  <c r="Z681" i="8"/>
  <c r="AA681" i="8" s="1"/>
  <c r="Z682" i="8"/>
  <c r="AA682" i="8" s="1"/>
  <c r="Z683" i="8"/>
  <c r="AA683" i="8" s="1"/>
  <c r="Z684" i="8"/>
  <c r="Z685" i="8"/>
  <c r="Z686" i="8"/>
  <c r="AA686" i="8" s="1"/>
  <c r="Z687" i="8"/>
  <c r="AA687" i="8" s="1"/>
  <c r="Z688" i="8"/>
  <c r="AA688" i="8" s="1"/>
  <c r="Z689" i="8"/>
  <c r="AA689" i="8" s="1"/>
  <c r="Z690" i="8"/>
  <c r="AA690" i="8" s="1"/>
  <c r="Z691" i="8"/>
  <c r="AA691" i="8" s="1"/>
  <c r="Z692" i="8"/>
  <c r="AA692" i="8" s="1"/>
  <c r="Z693" i="8"/>
  <c r="AA693" i="8" s="1"/>
  <c r="Z694" i="8"/>
  <c r="AA694" i="8" s="1"/>
  <c r="Z695" i="8"/>
  <c r="AA695" i="8" s="1"/>
  <c r="Z696" i="8"/>
  <c r="Z697" i="8"/>
  <c r="Z698" i="8"/>
  <c r="Z699" i="8"/>
  <c r="AA699" i="8" s="1"/>
  <c r="Z700" i="8"/>
  <c r="AA700" i="8" s="1"/>
  <c r="Z701" i="8"/>
  <c r="AA701" i="8" s="1"/>
  <c r="Z702" i="8"/>
  <c r="AA702" i="8" s="1"/>
  <c r="Z703" i="8"/>
  <c r="AA703" i="8" s="1"/>
  <c r="Z704" i="8"/>
  <c r="AA704" i="8" s="1"/>
  <c r="Z705" i="8"/>
  <c r="AA705" i="8" s="1"/>
  <c r="Z706" i="8"/>
  <c r="AA706" i="8" s="1"/>
  <c r="Z707" i="8"/>
  <c r="AA707" i="8" s="1"/>
  <c r="Z708" i="8"/>
  <c r="AA708" i="8" s="1"/>
  <c r="Z709" i="8"/>
  <c r="AA709" i="8" s="1"/>
  <c r="Z710" i="8"/>
  <c r="AA710" i="8" s="1"/>
  <c r="Z711" i="8"/>
  <c r="AA711" i="8" s="1"/>
  <c r="Z712" i="8"/>
  <c r="AA712" i="8" s="1"/>
  <c r="Z713" i="8"/>
  <c r="AA713" i="8" s="1"/>
  <c r="Z714" i="8"/>
  <c r="AA714" i="8" s="1"/>
  <c r="Z715" i="8"/>
  <c r="AA715" i="8" s="1"/>
  <c r="Z716" i="8"/>
  <c r="AA716" i="8" s="1"/>
  <c r="Z717" i="8"/>
  <c r="AA717" i="8" s="1"/>
  <c r="Z718" i="8"/>
  <c r="AA718" i="8" s="1"/>
  <c r="Z719" i="8"/>
  <c r="AA719" i="8" s="1"/>
  <c r="Z720" i="8"/>
  <c r="AA720" i="8" s="1"/>
  <c r="Z721" i="8"/>
  <c r="Z722" i="8"/>
  <c r="Z723" i="8"/>
  <c r="AA723" i="8" s="1"/>
  <c r="Z724" i="8"/>
  <c r="AA724" i="8" s="1"/>
  <c r="Z725" i="8"/>
  <c r="AA725" i="8" s="1"/>
  <c r="Z726" i="8"/>
  <c r="AA726" i="8" s="1"/>
  <c r="Z727" i="8"/>
  <c r="AA727" i="8" s="1"/>
  <c r="Z728" i="8"/>
  <c r="AA728" i="8" s="1"/>
  <c r="Z729" i="8"/>
  <c r="AA729" i="8" s="1"/>
  <c r="Z730" i="8"/>
  <c r="AA730" i="8" s="1"/>
  <c r="Z731" i="8"/>
  <c r="AA731" i="8" s="1"/>
  <c r="Z732" i="8"/>
  <c r="AA732" i="8" s="1"/>
  <c r="Z733" i="8"/>
  <c r="Z734" i="8"/>
  <c r="Z735" i="8"/>
  <c r="AA735" i="8" s="1"/>
  <c r="Z736" i="8"/>
  <c r="AA736" i="8" s="1"/>
  <c r="Z737" i="8"/>
  <c r="AA737" i="8" s="1"/>
  <c r="Z738" i="8"/>
  <c r="AA738" i="8" s="1"/>
  <c r="Z739" i="8"/>
  <c r="AA739" i="8" s="1"/>
  <c r="Z740" i="8"/>
  <c r="AA740" i="8" s="1"/>
  <c r="Z741" i="8"/>
  <c r="AA741" i="8" s="1"/>
  <c r="Z742" i="8"/>
  <c r="AA742" i="8" s="1"/>
  <c r="Z743" i="8"/>
  <c r="AA743" i="8" s="1"/>
  <c r="Z744" i="8"/>
  <c r="AA744" i="8" s="1"/>
  <c r="Z745" i="8"/>
  <c r="AA745" i="8" s="1"/>
  <c r="Z746" i="8"/>
  <c r="AA746" i="8" s="1"/>
  <c r="Z747" i="8"/>
  <c r="AA747" i="8" s="1"/>
  <c r="Z748" i="8"/>
  <c r="AA748" i="8" s="1"/>
  <c r="Z749" i="8"/>
  <c r="AA749" i="8" s="1"/>
  <c r="Z750" i="8"/>
  <c r="AA750" i="8" s="1"/>
  <c r="Z751" i="8"/>
  <c r="AA751" i="8" s="1"/>
  <c r="Z752" i="8"/>
  <c r="AA752" i="8" s="1"/>
  <c r="Z753" i="8"/>
  <c r="AA753" i="8" s="1"/>
  <c r="Z754" i="8"/>
  <c r="AA754" i="8" s="1"/>
  <c r="Z755" i="8"/>
  <c r="AA755" i="8" s="1"/>
  <c r="Z756" i="8"/>
  <c r="AA756" i="8" s="1"/>
  <c r="Z757" i="8"/>
  <c r="AA757" i="8" s="1"/>
  <c r="Z758" i="8"/>
  <c r="Z759" i="8"/>
  <c r="AA759" i="8" s="1"/>
  <c r="Z760" i="8"/>
  <c r="AA760" i="8" s="1"/>
  <c r="Z761" i="8"/>
  <c r="AA761" i="8" s="1"/>
  <c r="Z762" i="8"/>
  <c r="AA762" i="8" s="1"/>
  <c r="Z763" i="8"/>
  <c r="Z764" i="8"/>
  <c r="AA764" i="8" s="1"/>
  <c r="Z765" i="8"/>
  <c r="AA765" i="8" s="1"/>
  <c r="Z766" i="8"/>
  <c r="AA766" i="8" s="1"/>
  <c r="Z767" i="8"/>
  <c r="AA767" i="8" s="1"/>
  <c r="Z768" i="8"/>
  <c r="Z769" i="8"/>
  <c r="AA769" i="8" s="1"/>
  <c r="Z770" i="8"/>
  <c r="AA770" i="8" s="1"/>
  <c r="Z771" i="8"/>
  <c r="AA771" i="8" s="1"/>
  <c r="Z772" i="8"/>
  <c r="AA772" i="8" s="1"/>
  <c r="Z773" i="8"/>
  <c r="AA773" i="8" s="1"/>
  <c r="Z774" i="8"/>
  <c r="AA774" i="8" s="1"/>
  <c r="AF959" i="10"/>
  <c r="AF960" i="10"/>
  <c r="AF961" i="10"/>
  <c r="AG961" i="10" s="1"/>
  <c r="AF962" i="10"/>
  <c r="AG962" i="10" s="1"/>
  <c r="AF963" i="10"/>
  <c r="AF964" i="10"/>
  <c r="AG964" i="10" s="1"/>
  <c r="AF965" i="10"/>
  <c r="AF966" i="10"/>
  <c r="AF967" i="10"/>
  <c r="AG967" i="10" s="1"/>
  <c r="AF968" i="10"/>
  <c r="AG968" i="10" s="1"/>
  <c r="AF969" i="10"/>
  <c r="AF970" i="10"/>
  <c r="AG970" i="10" s="1"/>
  <c r="AF971" i="10"/>
  <c r="AF972" i="10"/>
  <c r="AF973" i="10"/>
  <c r="AG973" i="10" s="1"/>
  <c r="AF974" i="10"/>
  <c r="AG974" i="10" s="1"/>
  <c r="AF975" i="10"/>
  <c r="AF976" i="10"/>
  <c r="AG976" i="10" s="1"/>
  <c r="AF977" i="10"/>
  <c r="AF978" i="10"/>
  <c r="AF979" i="10"/>
  <c r="AG979" i="10" s="1"/>
  <c r="AF980" i="10"/>
  <c r="AG980" i="10" s="1"/>
  <c r="AF981" i="10"/>
  <c r="AF982" i="10"/>
  <c r="AG982" i="10" s="1"/>
  <c r="AF983" i="10"/>
  <c r="AF984" i="10"/>
  <c r="AF985" i="10"/>
  <c r="AG985" i="10" s="1"/>
  <c r="AF986" i="10"/>
  <c r="AG986" i="10" s="1"/>
  <c r="AF987" i="10"/>
  <c r="AF988" i="10"/>
  <c r="AG988" i="10" s="1"/>
  <c r="AF989" i="10"/>
  <c r="AF990" i="10"/>
  <c r="AF991" i="10"/>
  <c r="AG991" i="10" s="1"/>
  <c r="AF992" i="10"/>
  <c r="AG992" i="10" s="1"/>
  <c r="AF993" i="10"/>
  <c r="AF994" i="10"/>
  <c r="AG994" i="10" s="1"/>
  <c r="AF995" i="10"/>
  <c r="AF996" i="10"/>
  <c r="AG997" i="10"/>
  <c r="AG1000" i="10"/>
  <c r="AF3" i="10"/>
  <c r="AF4" i="10"/>
  <c r="AF5" i="10"/>
  <c r="AF6" i="10"/>
  <c r="AF7" i="10"/>
  <c r="AG7" i="10" s="1"/>
  <c r="AF8" i="10"/>
  <c r="AG8" i="10" s="1"/>
  <c r="AF9" i="10"/>
  <c r="AF10" i="10"/>
  <c r="AF11" i="10"/>
  <c r="AF12" i="10"/>
  <c r="AF13" i="10"/>
  <c r="AF14" i="10"/>
  <c r="AG14" i="10" s="1"/>
  <c r="AF15" i="10"/>
  <c r="AF16" i="10"/>
  <c r="AF17" i="10"/>
  <c r="AG17" i="10" s="1"/>
  <c r="AF18" i="10"/>
  <c r="AF19" i="10"/>
  <c r="AG19" i="10" s="1"/>
  <c r="AF20" i="10"/>
  <c r="AG20" i="10" s="1"/>
  <c r="AF21" i="10"/>
  <c r="AF22" i="10"/>
  <c r="AF23" i="10"/>
  <c r="AF24" i="10"/>
  <c r="AF25" i="10"/>
  <c r="AG25" i="10" s="1"/>
  <c r="AF26" i="10"/>
  <c r="AG26" i="10" s="1"/>
  <c r="AF27" i="10"/>
  <c r="AF28" i="10"/>
  <c r="AF29" i="10"/>
  <c r="AF30" i="10"/>
  <c r="AF31" i="10"/>
  <c r="AF32" i="10"/>
  <c r="AG32" i="10" s="1"/>
  <c r="AF33" i="10"/>
  <c r="AF34" i="10"/>
  <c r="AF35" i="10"/>
  <c r="AF36" i="10"/>
  <c r="AF37" i="10"/>
  <c r="AF38" i="10"/>
  <c r="AG38" i="10" s="1"/>
  <c r="AF39" i="10"/>
  <c r="AF40" i="10"/>
  <c r="AF41" i="10"/>
  <c r="AF42" i="10"/>
  <c r="AF43" i="10"/>
  <c r="AG43" i="10" s="1"/>
  <c r="AF44" i="10"/>
  <c r="AG44" i="10" s="1"/>
  <c r="AF45" i="10"/>
  <c r="AF46" i="10"/>
  <c r="AF47" i="10"/>
  <c r="AF48" i="10"/>
  <c r="AF49" i="10"/>
  <c r="AF50" i="10"/>
  <c r="AG50" i="10" s="1"/>
  <c r="AF51" i="10"/>
  <c r="AF52" i="10"/>
  <c r="AF53" i="10"/>
  <c r="AF54" i="10"/>
  <c r="AF55" i="10"/>
  <c r="AG55" i="10" s="1"/>
  <c r="AF56" i="10"/>
  <c r="AG56" i="10" s="1"/>
  <c r="AF57" i="10"/>
  <c r="AF58" i="10"/>
  <c r="AF59" i="10"/>
  <c r="AF60" i="10"/>
  <c r="AF61" i="10"/>
  <c r="AF62" i="10"/>
  <c r="AG62" i="10" s="1"/>
  <c r="AF63" i="10"/>
  <c r="AF64" i="10"/>
  <c r="AF65" i="10"/>
  <c r="AF66" i="10"/>
  <c r="AF67" i="10"/>
  <c r="AG67" i="10" s="1"/>
  <c r="AF68" i="10"/>
  <c r="AG68" i="10" s="1"/>
  <c r="AF69" i="10"/>
  <c r="AF70" i="10"/>
  <c r="AF71" i="10"/>
  <c r="AF72" i="10"/>
  <c r="AF73" i="10"/>
  <c r="AF74" i="10"/>
  <c r="AG74" i="10" s="1"/>
  <c r="AF75" i="10"/>
  <c r="AF76" i="10"/>
  <c r="AF77" i="10"/>
  <c r="AF78" i="10"/>
  <c r="AF79" i="10"/>
  <c r="AG79" i="10" s="1"/>
  <c r="AF80" i="10"/>
  <c r="AG80" i="10" s="1"/>
  <c r="AF81" i="10"/>
  <c r="AF82" i="10"/>
  <c r="AF83" i="10"/>
  <c r="AF84" i="10"/>
  <c r="AF85" i="10"/>
  <c r="AF86" i="10"/>
  <c r="AG86" i="10" s="1"/>
  <c r="AF87" i="10"/>
  <c r="AF88" i="10"/>
  <c r="AF89" i="10"/>
  <c r="AF90" i="10"/>
  <c r="AF91" i="10"/>
  <c r="AG91" i="10" s="1"/>
  <c r="AF92" i="10"/>
  <c r="AG92" i="10" s="1"/>
  <c r="AF93" i="10"/>
  <c r="AF94" i="10"/>
  <c r="AF95" i="10"/>
  <c r="AF96" i="10"/>
  <c r="AF97" i="10"/>
  <c r="AF98" i="10"/>
  <c r="AG98" i="10" s="1"/>
  <c r="AF99" i="10"/>
  <c r="AF100" i="10"/>
  <c r="AF101" i="10"/>
  <c r="AF102" i="10"/>
  <c r="AF103" i="10"/>
  <c r="AG103" i="10" s="1"/>
  <c r="AF104" i="10"/>
  <c r="AG104" i="10" s="1"/>
  <c r="AF105" i="10"/>
  <c r="AF106" i="10"/>
  <c r="AF107" i="10"/>
  <c r="AF108" i="10"/>
  <c r="AF109" i="10"/>
  <c r="AF110" i="10"/>
  <c r="AG110" i="10" s="1"/>
  <c r="AF111" i="10"/>
  <c r="AF112" i="10"/>
  <c r="AF113" i="10"/>
  <c r="AF114" i="10"/>
  <c r="AF115" i="10"/>
  <c r="AF116" i="10"/>
  <c r="AG116" i="10" s="1"/>
  <c r="AF117" i="10"/>
  <c r="AF118" i="10"/>
  <c r="AF119" i="10"/>
  <c r="AF120" i="10"/>
  <c r="AF121" i="10"/>
  <c r="AF122" i="10"/>
  <c r="AG122" i="10" s="1"/>
  <c r="AF123" i="10"/>
  <c r="AF124" i="10"/>
  <c r="AF125" i="10"/>
  <c r="AF126" i="10"/>
  <c r="AF127" i="10"/>
  <c r="AG127" i="10" s="1"/>
  <c r="AF128" i="10"/>
  <c r="AG128" i="10" s="1"/>
  <c r="AF129" i="10"/>
  <c r="AF130" i="10"/>
  <c r="AF131" i="10"/>
  <c r="AF132" i="10"/>
  <c r="AF133" i="10"/>
  <c r="AF134" i="10"/>
  <c r="AG134" i="10" s="1"/>
  <c r="AF135" i="10"/>
  <c r="AG135" i="10" s="1"/>
  <c r="AF136" i="10"/>
  <c r="AF137" i="10"/>
  <c r="AF138" i="10"/>
  <c r="AF139" i="10"/>
  <c r="AG139" i="10" s="1"/>
  <c r="AF140" i="10"/>
  <c r="AG140" i="10" s="1"/>
  <c r="AF141" i="10"/>
  <c r="AF142" i="10"/>
  <c r="AF143" i="10"/>
  <c r="AF144" i="10"/>
  <c r="AF145" i="10"/>
  <c r="AF146" i="10"/>
  <c r="AG146" i="10" s="1"/>
  <c r="AF147" i="10"/>
  <c r="AF148" i="10"/>
  <c r="AF149" i="10"/>
  <c r="AF150" i="10"/>
  <c r="AF151" i="10"/>
  <c r="AG151" i="10" s="1"/>
  <c r="AF152" i="10"/>
  <c r="AG152" i="10" s="1"/>
  <c r="AF153" i="10"/>
  <c r="AG153" i="10" s="1"/>
  <c r="AF154" i="10"/>
  <c r="AF155" i="10"/>
  <c r="AF156" i="10"/>
  <c r="AF157" i="10"/>
  <c r="AF158" i="10"/>
  <c r="AG158" i="10" s="1"/>
  <c r="AF159" i="10"/>
  <c r="AF160" i="10"/>
  <c r="AF161" i="10"/>
  <c r="AF162" i="10"/>
  <c r="AF163" i="10"/>
  <c r="AG163" i="10" s="1"/>
  <c r="AF164" i="10"/>
  <c r="AG164" i="10" s="1"/>
  <c r="AF165" i="10"/>
  <c r="AF166" i="10"/>
  <c r="AF167" i="10"/>
  <c r="AF168" i="10"/>
  <c r="AF169" i="10"/>
  <c r="AF170" i="10"/>
  <c r="AG170" i="10" s="1"/>
  <c r="AF171" i="10"/>
  <c r="AF172" i="10"/>
  <c r="AF173" i="10"/>
  <c r="AF174" i="10"/>
  <c r="AF175" i="10"/>
  <c r="AG175" i="10" s="1"/>
  <c r="AF176" i="10"/>
  <c r="AG176" i="10" s="1"/>
  <c r="AF177" i="10"/>
  <c r="AF178" i="10"/>
  <c r="AF179" i="10"/>
  <c r="AG179" i="10" s="1"/>
  <c r="AF180" i="10"/>
  <c r="AF181" i="10"/>
  <c r="AF182" i="10"/>
  <c r="AG182" i="10" s="1"/>
  <c r="AF183" i="10"/>
  <c r="AF184" i="10"/>
  <c r="AF185" i="10"/>
  <c r="AF186" i="10"/>
  <c r="AF187" i="10"/>
  <c r="AG187" i="10" s="1"/>
  <c r="AF188" i="10"/>
  <c r="AG188" i="10" s="1"/>
  <c r="AF189" i="10"/>
  <c r="AF190" i="10"/>
  <c r="AF191" i="10"/>
  <c r="AG191" i="10" s="1"/>
  <c r="AF192" i="10"/>
  <c r="AF193" i="10"/>
  <c r="AF194" i="10"/>
  <c r="AF195" i="10"/>
  <c r="AF196" i="10"/>
  <c r="AF197" i="10"/>
  <c r="AF198" i="10"/>
  <c r="AF199" i="10"/>
  <c r="AG199" i="10" s="1"/>
  <c r="AF200" i="10"/>
  <c r="AG200" i="10" s="1"/>
  <c r="AF201" i="10"/>
  <c r="AF202" i="10"/>
  <c r="AF203" i="10"/>
  <c r="AF204" i="10"/>
  <c r="AF205" i="10"/>
  <c r="AF206" i="10"/>
  <c r="AG206" i="10" s="1"/>
  <c r="AF207" i="10"/>
  <c r="AF208" i="10"/>
  <c r="AF209" i="10"/>
  <c r="AF210" i="10"/>
  <c r="AF211" i="10"/>
  <c r="AG211" i="10" s="1"/>
  <c r="AF212" i="10"/>
  <c r="AG212" i="10" s="1"/>
  <c r="AF213" i="10"/>
  <c r="AF214" i="10"/>
  <c r="AF215" i="10"/>
  <c r="AF216" i="10"/>
  <c r="AF217" i="10"/>
  <c r="AF218" i="10"/>
  <c r="AG218" i="10" s="1"/>
  <c r="AF219" i="10"/>
  <c r="AG219" i="10" s="1"/>
  <c r="AF220" i="10"/>
  <c r="AF221" i="10"/>
  <c r="AF222" i="10"/>
  <c r="AF223" i="10"/>
  <c r="AG223" i="10" s="1"/>
  <c r="AF224" i="10"/>
  <c r="AG224" i="10" s="1"/>
  <c r="AF225" i="10"/>
  <c r="AF226" i="10"/>
  <c r="AF227" i="10"/>
  <c r="AG227" i="10" s="1"/>
  <c r="AF228" i="10"/>
  <c r="AF229" i="10"/>
  <c r="AF230" i="10"/>
  <c r="AG230" i="10" s="1"/>
  <c r="AF231" i="10"/>
  <c r="AF232" i="10"/>
  <c r="AF233" i="10"/>
  <c r="AF234" i="10"/>
  <c r="AF235" i="10"/>
  <c r="AG235" i="10" s="1"/>
  <c r="AF236" i="10"/>
  <c r="AG236" i="10" s="1"/>
  <c r="AF237" i="10"/>
  <c r="AF238" i="10"/>
  <c r="AF239" i="10"/>
  <c r="AF240" i="10"/>
  <c r="AF241" i="10"/>
  <c r="AF242" i="10"/>
  <c r="AG242" i="10" s="1"/>
  <c r="AF243" i="10"/>
  <c r="AG243" i="10" s="1"/>
  <c r="AF244" i="10"/>
  <c r="AF245" i="10"/>
  <c r="AF246" i="10"/>
  <c r="AF247" i="10"/>
  <c r="AG247" i="10" s="1"/>
  <c r="AF248" i="10"/>
  <c r="AG248" i="10" s="1"/>
  <c r="AF249" i="10"/>
  <c r="AF250" i="10"/>
  <c r="AF251" i="10"/>
  <c r="AF252" i="10"/>
  <c r="AF253" i="10"/>
  <c r="AF254" i="10"/>
  <c r="AG254" i="10" s="1"/>
  <c r="AF255" i="10"/>
  <c r="AF256" i="10"/>
  <c r="AF257" i="10"/>
  <c r="AF258" i="10"/>
  <c r="AF259" i="10"/>
  <c r="AG259" i="10" s="1"/>
  <c r="AF260" i="10"/>
  <c r="AG260" i="10" s="1"/>
  <c r="AF261" i="10"/>
  <c r="AF262" i="10"/>
  <c r="AF263" i="10"/>
  <c r="AF264" i="10"/>
  <c r="AF265" i="10"/>
  <c r="AF266" i="10"/>
  <c r="AG266" i="10" s="1"/>
  <c r="AF267" i="10"/>
  <c r="AF268" i="10"/>
  <c r="AF269" i="10"/>
  <c r="AF270" i="10"/>
  <c r="AF271" i="10"/>
  <c r="AG271" i="10" s="1"/>
  <c r="AF272" i="10"/>
  <c r="AG272" i="10" s="1"/>
  <c r="AF273" i="10"/>
  <c r="AF274" i="10"/>
  <c r="AF275" i="10"/>
  <c r="AF276" i="10"/>
  <c r="AF277" i="10"/>
  <c r="AF278" i="10"/>
  <c r="AG278" i="10" s="1"/>
  <c r="AF279" i="10"/>
  <c r="AF280" i="10"/>
  <c r="AF281" i="10"/>
  <c r="AF282" i="10"/>
  <c r="AF283" i="10"/>
  <c r="AG283" i="10" s="1"/>
  <c r="AF284" i="10"/>
  <c r="AG284" i="10" s="1"/>
  <c r="AF285" i="10"/>
  <c r="AF286" i="10"/>
  <c r="AF287" i="10"/>
  <c r="AG287" i="10" s="1"/>
  <c r="AF288" i="10"/>
  <c r="AF289" i="10"/>
  <c r="AF290" i="10"/>
  <c r="AG290" i="10" s="1"/>
  <c r="AF291" i="10"/>
  <c r="AF292" i="10"/>
  <c r="AF293" i="10"/>
  <c r="AF294" i="10"/>
  <c r="AF295" i="10"/>
  <c r="AF296" i="10"/>
  <c r="AG296" i="10" s="1"/>
  <c r="AF297" i="10"/>
  <c r="AF298" i="10"/>
  <c r="AF299" i="10"/>
  <c r="AG299" i="10" s="1"/>
  <c r="AF300" i="10"/>
  <c r="AF301" i="10"/>
  <c r="AF302" i="10"/>
  <c r="AG302" i="10" s="1"/>
  <c r="AF303" i="10"/>
  <c r="AF304" i="10"/>
  <c r="AF305" i="10"/>
  <c r="AF306" i="10"/>
  <c r="AF307" i="10"/>
  <c r="AG307" i="10" s="1"/>
  <c r="AF308" i="10"/>
  <c r="AG308" i="10" s="1"/>
  <c r="AF309" i="10"/>
  <c r="AF310" i="10"/>
  <c r="AF311" i="10"/>
  <c r="AF312" i="10"/>
  <c r="AF313" i="10"/>
  <c r="AF314" i="10"/>
  <c r="AG314" i="10" s="1"/>
  <c r="AF315" i="10"/>
  <c r="AF316" i="10"/>
  <c r="AF317" i="10"/>
  <c r="AF318" i="10"/>
  <c r="AF319" i="10"/>
  <c r="AF320" i="10"/>
  <c r="AG320" i="10" s="1"/>
  <c r="AF321" i="10"/>
  <c r="AF322" i="10"/>
  <c r="AF323" i="10"/>
  <c r="AF324" i="10"/>
  <c r="AF325" i="10"/>
  <c r="AF326" i="10"/>
  <c r="AG326" i="10" s="1"/>
  <c r="AF327" i="10"/>
  <c r="AF328" i="10"/>
  <c r="AF329" i="10"/>
  <c r="AF330" i="10"/>
  <c r="AF331" i="10"/>
  <c r="AG331" i="10" s="1"/>
  <c r="AF332" i="10"/>
  <c r="AG332" i="10" s="1"/>
  <c r="AF333" i="10"/>
  <c r="AF334" i="10"/>
  <c r="AF335" i="10"/>
  <c r="AF336" i="10"/>
  <c r="AF337" i="10"/>
  <c r="AF338" i="10"/>
  <c r="AG338" i="10" s="1"/>
  <c r="AF339" i="10"/>
  <c r="AF340" i="10"/>
  <c r="AF341" i="10"/>
  <c r="AF342" i="10"/>
  <c r="AF343" i="10"/>
  <c r="AG343" i="10" s="1"/>
  <c r="AF344" i="10"/>
  <c r="AG344" i="10" s="1"/>
  <c r="AF345" i="10"/>
  <c r="AF346" i="10"/>
  <c r="AF347" i="10"/>
  <c r="AG347" i="10" s="1"/>
  <c r="AF348" i="10"/>
  <c r="AF349" i="10"/>
  <c r="AF350" i="10"/>
  <c r="AG350" i="10" s="1"/>
  <c r="AF351" i="10"/>
  <c r="AF352" i="10"/>
  <c r="AF353" i="10"/>
  <c r="AF354" i="10"/>
  <c r="AF355" i="10"/>
  <c r="AF356" i="10"/>
  <c r="AG356" i="10" s="1"/>
  <c r="AF357" i="10"/>
  <c r="AF358" i="10"/>
  <c r="AF359" i="10"/>
  <c r="AG359" i="10" s="1"/>
  <c r="AF360" i="10"/>
  <c r="AF361" i="10"/>
  <c r="AF362" i="10"/>
  <c r="AG362" i="10" s="1"/>
  <c r="AF363" i="10"/>
  <c r="AF364" i="10"/>
  <c r="AF365" i="10"/>
  <c r="AF366" i="10"/>
  <c r="AF367" i="10"/>
  <c r="AF368" i="10"/>
  <c r="AG368" i="10" s="1"/>
  <c r="AF369" i="10"/>
  <c r="AF370" i="10"/>
  <c r="AF371" i="10"/>
  <c r="AF372" i="10"/>
  <c r="AF373" i="10"/>
  <c r="AF374" i="10"/>
  <c r="AG374" i="10" s="1"/>
  <c r="AF375" i="10"/>
  <c r="AG375" i="10" s="1"/>
  <c r="AF376" i="10"/>
  <c r="AF377" i="10"/>
  <c r="AF378" i="10"/>
  <c r="AF379" i="10"/>
  <c r="AG379" i="10" s="1"/>
  <c r="AF380" i="10"/>
  <c r="AG380" i="10" s="1"/>
  <c r="AF381" i="10"/>
  <c r="AF382" i="10"/>
  <c r="AF383" i="10"/>
  <c r="AF384" i="10"/>
  <c r="AF385" i="10"/>
  <c r="AF386" i="10"/>
  <c r="AF387" i="10"/>
  <c r="AF388" i="10"/>
  <c r="AF389" i="10"/>
  <c r="AF390" i="10"/>
  <c r="AF391" i="10"/>
  <c r="AF392" i="10"/>
  <c r="AF393" i="10"/>
  <c r="AF394" i="10"/>
  <c r="AF395" i="10"/>
  <c r="AF396" i="10"/>
  <c r="AF397" i="10"/>
  <c r="AF398" i="10"/>
  <c r="AG398" i="10" s="1"/>
  <c r="AF399" i="10"/>
  <c r="AG399" i="10" s="1"/>
  <c r="AF400" i="10"/>
  <c r="AF401" i="10"/>
  <c r="AF402" i="10"/>
  <c r="AF403" i="10"/>
  <c r="AG403" i="10" s="1"/>
  <c r="AF404" i="10"/>
  <c r="AG404" i="10" s="1"/>
  <c r="AF405" i="10"/>
  <c r="AF406" i="10"/>
  <c r="AF407" i="10"/>
  <c r="AG407" i="10" s="1"/>
  <c r="AF408" i="10"/>
  <c r="AF409" i="10"/>
  <c r="AF410" i="10"/>
  <c r="AG410" i="10" s="1"/>
  <c r="AF411" i="10"/>
  <c r="AG411" i="10" s="1"/>
  <c r="AF412" i="10"/>
  <c r="AF413" i="10"/>
  <c r="AF415" i="10"/>
  <c r="AF416" i="10"/>
  <c r="AG416" i="10" s="1"/>
  <c r="AF417" i="10"/>
  <c r="AG417" i="10" s="1"/>
  <c r="AF418" i="10"/>
  <c r="AF419" i="10"/>
  <c r="AF420" i="10"/>
  <c r="AG420" i="10" s="1"/>
  <c r="AF421" i="10"/>
  <c r="AF422" i="10"/>
  <c r="AG422" i="10" s="1"/>
  <c r="AF423" i="10"/>
  <c r="AG423" i="10" s="1"/>
  <c r="AF424" i="10"/>
  <c r="AG424" i="10" s="1"/>
  <c r="AF425" i="10"/>
  <c r="AF426" i="10"/>
  <c r="AF427" i="10"/>
  <c r="AF428" i="10"/>
  <c r="AG428" i="10" s="1"/>
  <c r="AF429" i="10"/>
  <c r="AG429" i="10" s="1"/>
  <c r="AF430" i="10"/>
  <c r="AF431" i="10"/>
  <c r="AF432" i="10"/>
  <c r="AF433" i="10"/>
  <c r="AF434" i="10"/>
  <c r="AG434" i="10" s="1"/>
  <c r="AF435" i="10"/>
  <c r="AG435" i="10" s="1"/>
  <c r="AF436" i="10"/>
  <c r="AG436" i="10" s="1"/>
  <c r="AF437" i="10"/>
  <c r="AF438" i="10"/>
  <c r="AF439" i="10"/>
  <c r="AF440" i="10"/>
  <c r="AG440" i="10" s="1"/>
  <c r="AF441" i="10"/>
  <c r="AF442" i="10"/>
  <c r="AF443" i="10"/>
  <c r="AF444" i="10"/>
  <c r="AG444" i="10" s="1"/>
  <c r="AF445" i="10"/>
  <c r="AF446" i="10"/>
  <c r="AG446" i="10" s="1"/>
  <c r="AF447" i="10"/>
  <c r="AG447" i="10" s="1"/>
  <c r="AF448" i="10"/>
  <c r="AG448" i="10" s="1"/>
  <c r="AF449" i="10"/>
  <c r="AF450" i="10"/>
  <c r="AF451" i="10"/>
  <c r="AF452" i="10"/>
  <c r="AG452" i="10" s="1"/>
  <c r="AF453" i="10"/>
  <c r="AG453" i="10" s="1"/>
  <c r="AF454" i="10"/>
  <c r="AF455" i="10"/>
  <c r="AF456" i="10"/>
  <c r="AG456" i="10" s="1"/>
  <c r="AF457" i="10"/>
  <c r="AF458" i="10"/>
  <c r="AG458" i="10" s="1"/>
  <c r="AF459" i="10"/>
  <c r="AG459" i="10" s="1"/>
  <c r="AF460" i="10"/>
  <c r="AF461" i="10"/>
  <c r="AF462" i="10"/>
  <c r="AF463" i="10"/>
  <c r="AF464" i="10"/>
  <c r="AG464" i="10" s="1"/>
  <c r="AF465" i="10"/>
  <c r="AG465" i="10" s="1"/>
  <c r="AF466" i="10"/>
  <c r="AF467" i="10"/>
  <c r="AF468" i="10"/>
  <c r="AG468" i="10" s="1"/>
  <c r="AF469" i="10"/>
  <c r="AF470" i="10"/>
  <c r="AG470" i="10" s="1"/>
  <c r="AF471" i="10"/>
  <c r="AG471" i="10" s="1"/>
  <c r="AF472" i="10"/>
  <c r="AF473" i="10"/>
  <c r="AF474" i="10"/>
  <c r="AF475" i="10"/>
  <c r="AF476" i="10"/>
  <c r="AG476" i="10" s="1"/>
  <c r="AF477" i="10"/>
  <c r="AG477" i="10" s="1"/>
  <c r="AF478" i="10"/>
  <c r="AF479" i="10"/>
  <c r="AF480" i="10"/>
  <c r="AG480" i="10" s="1"/>
  <c r="AF481" i="10"/>
  <c r="AF482" i="10"/>
  <c r="AG482" i="10" s="1"/>
  <c r="AF483" i="10"/>
  <c r="AG483" i="10" s="1"/>
  <c r="AF484" i="10"/>
  <c r="AG484" i="10" s="1"/>
  <c r="AF485" i="10"/>
  <c r="AF486" i="10"/>
  <c r="AF487" i="10"/>
  <c r="AF488" i="10"/>
  <c r="AG488" i="10" s="1"/>
  <c r="AF489" i="10"/>
  <c r="AF490" i="10"/>
  <c r="AF491" i="10"/>
  <c r="AF492" i="10"/>
  <c r="AF493" i="10"/>
  <c r="AF494" i="10"/>
  <c r="AG494" i="10" s="1"/>
  <c r="AF495" i="10"/>
  <c r="AG495" i="10" s="1"/>
  <c r="AF496" i="10"/>
  <c r="AF497" i="10"/>
  <c r="AF498" i="10"/>
  <c r="AF499" i="10"/>
  <c r="AF500" i="10"/>
  <c r="AG500" i="10" s="1"/>
  <c r="AF501" i="10"/>
  <c r="AG501" i="10" s="1"/>
  <c r="AF502" i="10"/>
  <c r="AF503" i="10"/>
  <c r="AF504" i="10"/>
  <c r="AG504" i="10" s="1"/>
  <c r="AF505" i="10"/>
  <c r="AF506" i="10"/>
  <c r="AG506" i="10" s="1"/>
  <c r="AF507" i="10"/>
  <c r="AG507" i="10" s="1"/>
  <c r="AF508" i="10"/>
  <c r="AG508" i="10" s="1"/>
  <c r="AF509" i="10"/>
  <c r="AF510" i="10"/>
  <c r="AF511" i="10"/>
  <c r="AF512" i="10"/>
  <c r="AG512" i="10" s="1"/>
  <c r="AF513" i="10"/>
  <c r="AG513" i="10" s="1"/>
  <c r="AF514" i="10"/>
  <c r="AF515" i="10"/>
  <c r="AF516" i="10"/>
  <c r="AG516" i="10" s="1"/>
  <c r="AF517" i="10"/>
  <c r="AF518" i="10"/>
  <c r="AG518" i="10" s="1"/>
  <c r="AF519" i="10"/>
  <c r="AG519" i="10" s="1"/>
  <c r="AF520" i="10"/>
  <c r="AF521" i="10"/>
  <c r="AF522" i="10"/>
  <c r="AF523" i="10"/>
  <c r="AF524" i="10"/>
  <c r="AG524" i="10" s="1"/>
  <c r="AF525" i="10"/>
  <c r="AG525" i="10" s="1"/>
  <c r="AF526" i="10"/>
  <c r="AF527" i="10"/>
  <c r="AF528" i="10"/>
  <c r="AG528" i="10" s="1"/>
  <c r="AF529" i="10"/>
  <c r="AF530" i="10"/>
  <c r="AG530" i="10" s="1"/>
  <c r="AF531" i="10"/>
  <c r="AG531" i="10" s="1"/>
  <c r="AF532" i="10"/>
  <c r="AG532" i="10" s="1"/>
  <c r="AF533" i="10"/>
  <c r="AF534" i="10"/>
  <c r="AF535" i="10"/>
  <c r="AF536" i="10"/>
  <c r="AG536" i="10" s="1"/>
  <c r="AF537" i="10"/>
  <c r="AG537" i="10" s="1"/>
  <c r="AF538" i="10"/>
  <c r="AF539" i="10"/>
  <c r="AF540" i="10"/>
  <c r="AG540" i="10" s="1"/>
  <c r="AF541" i="10"/>
  <c r="AF542" i="10"/>
  <c r="AG542" i="10" s="1"/>
  <c r="AF543" i="10"/>
  <c r="AG543" i="10" s="1"/>
  <c r="AF544" i="10"/>
  <c r="AF545" i="10"/>
  <c r="AF546" i="10"/>
  <c r="AF547" i="10"/>
  <c r="AF548" i="10"/>
  <c r="AG548" i="10" s="1"/>
  <c r="AF549" i="10"/>
  <c r="AG549" i="10" s="1"/>
  <c r="AF550" i="10"/>
  <c r="AF551" i="10"/>
  <c r="AF552" i="10"/>
  <c r="AG552" i="10" s="1"/>
  <c r="AF553" i="10"/>
  <c r="AF554" i="10"/>
  <c r="AG554" i="10" s="1"/>
  <c r="AF555" i="10"/>
  <c r="AG555" i="10" s="1"/>
  <c r="AF556" i="10"/>
  <c r="AG556" i="10" s="1"/>
  <c r="AF557" i="10"/>
  <c r="AF558" i="10"/>
  <c r="AF559" i="10"/>
  <c r="AF560" i="10"/>
  <c r="AG560" i="10" s="1"/>
  <c r="AF561" i="10"/>
  <c r="AG561" i="10" s="1"/>
  <c r="AF562" i="10"/>
  <c r="AF563" i="10"/>
  <c r="AG563" i="10" s="1"/>
  <c r="AF564" i="10"/>
  <c r="AG564" i="10" s="1"/>
  <c r="AF565" i="10"/>
  <c r="AF566" i="10"/>
  <c r="AG566" i="10" s="1"/>
  <c r="AF567" i="10"/>
  <c r="AG567" i="10" s="1"/>
  <c r="AF568" i="10"/>
  <c r="AF569" i="10"/>
  <c r="AF570" i="10"/>
  <c r="AF571" i="10"/>
  <c r="AF572" i="10"/>
  <c r="AG572" i="10" s="1"/>
  <c r="AF573" i="10"/>
  <c r="AG573" i="10" s="1"/>
  <c r="AF574" i="10"/>
  <c r="AF575" i="10"/>
  <c r="AF576" i="10"/>
  <c r="AG576" i="10" s="1"/>
  <c r="AF577" i="10"/>
  <c r="AF578" i="10"/>
  <c r="AG578" i="10" s="1"/>
  <c r="AF579" i="10"/>
  <c r="AG579" i="10" s="1"/>
  <c r="AF580" i="10"/>
  <c r="AF581" i="10"/>
  <c r="AF582" i="10"/>
  <c r="AF583" i="10"/>
  <c r="AF584" i="10"/>
  <c r="AG584" i="10" s="1"/>
  <c r="AF585" i="10"/>
  <c r="AG585" i="10" s="1"/>
  <c r="AF586" i="10"/>
  <c r="AF587" i="10"/>
  <c r="AF588" i="10"/>
  <c r="AG588" i="10" s="1"/>
  <c r="AF589" i="10"/>
  <c r="AF590" i="10"/>
  <c r="AG590" i="10" s="1"/>
  <c r="AF591" i="10"/>
  <c r="AG591" i="10" s="1"/>
  <c r="AF592" i="10"/>
  <c r="AG592" i="10" s="1"/>
  <c r="AF593" i="10"/>
  <c r="AF594" i="10"/>
  <c r="AF595" i="10"/>
  <c r="AF596" i="10"/>
  <c r="AG596" i="10" s="1"/>
  <c r="AF597" i="10"/>
  <c r="AG597" i="10" s="1"/>
  <c r="AF598" i="10"/>
  <c r="AF599" i="10"/>
  <c r="AF600" i="10"/>
  <c r="AF601" i="10"/>
  <c r="AF602" i="10"/>
  <c r="AG602" i="10" s="1"/>
  <c r="AF603" i="10"/>
  <c r="AG603" i="10" s="1"/>
  <c r="AF604" i="10"/>
  <c r="AG604" i="10" s="1"/>
  <c r="AF605" i="10"/>
  <c r="AF606" i="10"/>
  <c r="AF607" i="10"/>
  <c r="AF608" i="10"/>
  <c r="AG608" i="10" s="1"/>
  <c r="AF609" i="10"/>
  <c r="AG609" i="10" s="1"/>
  <c r="AF610" i="10"/>
  <c r="AF611" i="10"/>
  <c r="AF612" i="10"/>
  <c r="AG612" i="10" s="1"/>
  <c r="AF613" i="10"/>
  <c r="AF614" i="10"/>
  <c r="AG614" i="10" s="1"/>
  <c r="AF615" i="10"/>
  <c r="AG615" i="10" s="1"/>
  <c r="AF616" i="10"/>
  <c r="AG616" i="10" s="1"/>
  <c r="AF617" i="10"/>
  <c r="AF618" i="10"/>
  <c r="AF619" i="10"/>
  <c r="AF620" i="10"/>
  <c r="AG620" i="10" s="1"/>
  <c r="AF621" i="10"/>
  <c r="AG621" i="10" s="1"/>
  <c r="AF622" i="10"/>
  <c r="AF623" i="10"/>
  <c r="AF624" i="10"/>
  <c r="AG624" i="10" s="1"/>
  <c r="AF625" i="10"/>
  <c r="AF626" i="10"/>
  <c r="AG626" i="10" s="1"/>
  <c r="AF627" i="10"/>
  <c r="AG627" i="10" s="1"/>
  <c r="AF628" i="10"/>
  <c r="AF629" i="10"/>
  <c r="AF630" i="10"/>
  <c r="AF631" i="10"/>
  <c r="AF632" i="10"/>
  <c r="AG632" i="10" s="1"/>
  <c r="AF633" i="10"/>
  <c r="AG633" i="10" s="1"/>
  <c r="AF634" i="10"/>
  <c r="AF635" i="10"/>
  <c r="AF636" i="10"/>
  <c r="AG636" i="10" s="1"/>
  <c r="AF637" i="10"/>
  <c r="AF638" i="10"/>
  <c r="AG638" i="10" s="1"/>
  <c r="AF639" i="10"/>
  <c r="AF640" i="10"/>
  <c r="AF641" i="10"/>
  <c r="AF642" i="10"/>
  <c r="AF643" i="10"/>
  <c r="AF644" i="10"/>
  <c r="AG644" i="10" s="1"/>
  <c r="AF645" i="10"/>
  <c r="AG645" i="10" s="1"/>
  <c r="AF646" i="10"/>
  <c r="AF647" i="10"/>
  <c r="AF648" i="10"/>
  <c r="AG648" i="10" s="1"/>
  <c r="AF649" i="10"/>
  <c r="AF650" i="10"/>
  <c r="AG650" i="10" s="1"/>
  <c r="AF651" i="10"/>
  <c r="AG651" i="10" s="1"/>
  <c r="AF652" i="10"/>
  <c r="AG652" i="10" s="1"/>
  <c r="AF653" i="10"/>
  <c r="AF654" i="10"/>
  <c r="AG654" i="10" s="1"/>
  <c r="AF655" i="10"/>
  <c r="AF656" i="10"/>
  <c r="AG656" i="10" s="1"/>
  <c r="AF657" i="10"/>
  <c r="AG657" i="10" s="1"/>
  <c r="AF658" i="10"/>
  <c r="AF659" i="10"/>
  <c r="AF660" i="10"/>
  <c r="AG660" i="10" s="1"/>
  <c r="AF661" i="10"/>
  <c r="AF662" i="10"/>
  <c r="AG662" i="10" s="1"/>
  <c r="AF663" i="10"/>
  <c r="AG663" i="10" s="1"/>
  <c r="AF664" i="10"/>
  <c r="AG664" i="10" s="1"/>
  <c r="AF665" i="10"/>
  <c r="AF666" i="10"/>
  <c r="AF667" i="10"/>
  <c r="AF668" i="10"/>
  <c r="AG668" i="10" s="1"/>
  <c r="AF669" i="10"/>
  <c r="AG669" i="10" s="1"/>
  <c r="AF670" i="10"/>
  <c r="AF671" i="10"/>
  <c r="AF672" i="10"/>
  <c r="AG672" i="10" s="1"/>
  <c r="AF673" i="10"/>
  <c r="AF674" i="10"/>
  <c r="AG674" i="10" s="1"/>
  <c r="AF675" i="10"/>
  <c r="AG675" i="10" s="1"/>
  <c r="AF676" i="10"/>
  <c r="AG676" i="10" s="1"/>
  <c r="AF677" i="10"/>
  <c r="AF678" i="10"/>
  <c r="AG678" i="10" s="1"/>
  <c r="AF679" i="10"/>
  <c r="AF680" i="10"/>
  <c r="AG680" i="10" s="1"/>
  <c r="AF681" i="10"/>
  <c r="AG681" i="10" s="1"/>
  <c r="AF682" i="10"/>
  <c r="AF683" i="10"/>
  <c r="AF684" i="10"/>
  <c r="AG684" i="10" s="1"/>
  <c r="AF685" i="10"/>
  <c r="AF686" i="10"/>
  <c r="AG686" i="10" s="1"/>
  <c r="AF687" i="10"/>
  <c r="AG687" i="10" s="1"/>
  <c r="AF688" i="10"/>
  <c r="AG688" i="10" s="1"/>
  <c r="AF689" i="10"/>
  <c r="AF690" i="10"/>
  <c r="AG690" i="10" s="1"/>
  <c r="AF691" i="10"/>
  <c r="AF692" i="10"/>
  <c r="AG692" i="10" s="1"/>
  <c r="AF693" i="10"/>
  <c r="AF694" i="10"/>
  <c r="AF695" i="10"/>
  <c r="AF696" i="10"/>
  <c r="AG696" i="10" s="1"/>
  <c r="AF697" i="10"/>
  <c r="AF698" i="10"/>
  <c r="AG698" i="10" s="1"/>
  <c r="AF699" i="10"/>
  <c r="AG699" i="10" s="1"/>
  <c r="AF700" i="10"/>
  <c r="AG700" i="10" s="1"/>
  <c r="AF701" i="10"/>
  <c r="AF702" i="10"/>
  <c r="AG702" i="10" s="1"/>
  <c r="AF703" i="10"/>
  <c r="AF704" i="10"/>
  <c r="AG704" i="10" s="1"/>
  <c r="AF705" i="10"/>
  <c r="AG705" i="10" s="1"/>
  <c r="AF706" i="10"/>
  <c r="AF707" i="10"/>
  <c r="AF708" i="10"/>
  <c r="AG708" i="10" s="1"/>
  <c r="AF709" i="10"/>
  <c r="AF710" i="10"/>
  <c r="AG710" i="10" s="1"/>
  <c r="AF711" i="10"/>
  <c r="AG711" i="10" s="1"/>
  <c r="AF712" i="10"/>
  <c r="AF713" i="10"/>
  <c r="AF714" i="10"/>
  <c r="AF715" i="10"/>
  <c r="AF716" i="10"/>
  <c r="AG716" i="10" s="1"/>
  <c r="AF717" i="10"/>
  <c r="AG717" i="10" s="1"/>
  <c r="AF718" i="10"/>
  <c r="AF719" i="10"/>
  <c r="AF720" i="10"/>
  <c r="AG720" i="10" s="1"/>
  <c r="AF721" i="10"/>
  <c r="AF722" i="10"/>
  <c r="AG722" i="10" s="1"/>
  <c r="AF723" i="10"/>
  <c r="AF724" i="10"/>
  <c r="AF725" i="10"/>
  <c r="AF726" i="10"/>
  <c r="AG726" i="10" s="1"/>
  <c r="AF727" i="10"/>
  <c r="AF728" i="10"/>
  <c r="AG728" i="10" s="1"/>
  <c r="AF729" i="10"/>
  <c r="AG729" i="10" s="1"/>
  <c r="AF730" i="10"/>
  <c r="AF731" i="10"/>
  <c r="AF732" i="10"/>
  <c r="AG732" i="10" s="1"/>
  <c r="AF733" i="10"/>
  <c r="AF734" i="10"/>
  <c r="AG734" i="10" s="1"/>
  <c r="AF735" i="10"/>
  <c r="AG735" i="10" s="1"/>
  <c r="AF736" i="10"/>
  <c r="AG736" i="10" s="1"/>
  <c r="AF737" i="10"/>
  <c r="AF738" i="10"/>
  <c r="AG738" i="10" s="1"/>
  <c r="AF739" i="10"/>
  <c r="AF740" i="10"/>
  <c r="AG740" i="10" s="1"/>
  <c r="AF741" i="10"/>
  <c r="AG741" i="10" s="1"/>
  <c r="AF742" i="10"/>
  <c r="AF743" i="10"/>
  <c r="AF744" i="10"/>
  <c r="AG744" i="10" s="1"/>
  <c r="AF745" i="10"/>
  <c r="AF746" i="10"/>
  <c r="AG746" i="10" s="1"/>
  <c r="AF747" i="10"/>
  <c r="AG747" i="10" s="1"/>
  <c r="AF748" i="10"/>
  <c r="AG748" i="10" s="1"/>
  <c r="AF749" i="10"/>
  <c r="AF750" i="10"/>
  <c r="AF751" i="10"/>
  <c r="AF752" i="10"/>
  <c r="AG752" i="10" s="1"/>
  <c r="AF753" i="10"/>
  <c r="AG753" i="10" s="1"/>
  <c r="AF754" i="10"/>
  <c r="AF755" i="10"/>
  <c r="AF756" i="10"/>
  <c r="AG756" i="10" s="1"/>
  <c r="AF757" i="10"/>
  <c r="AG757" i="10" s="1"/>
  <c r="AF758" i="10"/>
  <c r="AG758" i="10" s="1"/>
  <c r="AF759" i="10"/>
  <c r="AG759" i="10" s="1"/>
  <c r="AF760" i="10"/>
  <c r="AG760" i="10" s="1"/>
  <c r="AF761" i="10"/>
  <c r="AF762" i="10"/>
  <c r="AG762" i="10" s="1"/>
  <c r="AF763" i="10"/>
  <c r="AG763" i="10" s="1"/>
  <c r="AF764" i="10"/>
  <c r="AG764" i="10" s="1"/>
  <c r="AF765" i="10"/>
  <c r="AG765" i="10" s="1"/>
  <c r="AF766" i="10"/>
  <c r="AF767" i="10"/>
  <c r="AF768" i="10"/>
  <c r="AG768" i="10" s="1"/>
  <c r="AF769" i="10"/>
  <c r="AF770" i="10"/>
  <c r="AG770" i="10" s="1"/>
  <c r="AF771" i="10"/>
  <c r="AF772" i="10"/>
  <c r="AF773" i="10"/>
  <c r="AF774" i="10"/>
  <c r="AF775" i="10"/>
  <c r="AF776" i="10"/>
  <c r="AG776" i="10" s="1"/>
  <c r="AF777" i="10"/>
  <c r="AG777" i="10" s="1"/>
  <c r="AF778" i="10"/>
  <c r="AG778" i="10" s="1"/>
  <c r="AF779" i="10"/>
  <c r="AF780" i="10"/>
  <c r="AG780" i="10" s="1"/>
  <c r="AF781" i="10"/>
  <c r="AF782" i="10"/>
  <c r="AG782" i="10" s="1"/>
  <c r="AF783" i="10"/>
  <c r="AG783" i="10" s="1"/>
  <c r="AF784" i="10"/>
  <c r="AG784" i="10" s="1"/>
  <c r="AF785" i="10"/>
  <c r="AF786" i="10"/>
  <c r="AG786" i="10" s="1"/>
  <c r="AF787" i="10"/>
  <c r="AF788" i="10"/>
  <c r="AG788" i="10" s="1"/>
  <c r="AF789" i="10"/>
  <c r="AG789" i="10" s="1"/>
  <c r="AF790" i="10"/>
  <c r="AG790" i="10" s="1"/>
  <c r="AF791" i="10"/>
  <c r="AF792" i="10"/>
  <c r="AG792" i="10" s="1"/>
  <c r="AF793" i="10"/>
  <c r="AF794" i="10"/>
  <c r="AG794" i="10" s="1"/>
  <c r="AF795" i="10"/>
  <c r="AG795" i="10" s="1"/>
  <c r="AF796" i="10"/>
  <c r="AG796" i="10" s="1"/>
  <c r="AF797" i="10"/>
  <c r="AF798" i="10"/>
  <c r="AG798" i="10" s="1"/>
  <c r="AF799" i="10"/>
  <c r="AF800" i="10"/>
  <c r="AG800" i="10" s="1"/>
  <c r="AF801" i="10"/>
  <c r="AG801" i="10" s="1"/>
  <c r="AF802" i="10"/>
  <c r="AF803" i="10"/>
  <c r="AF804" i="10"/>
  <c r="AG804" i="10" s="1"/>
  <c r="AF805" i="10"/>
  <c r="AF806" i="10"/>
  <c r="AG806" i="10" s="1"/>
  <c r="AF807" i="10"/>
  <c r="AG807" i="10" s="1"/>
  <c r="AF808" i="10"/>
  <c r="AG808" i="10" s="1"/>
  <c r="AF809" i="10"/>
  <c r="AF810" i="10"/>
  <c r="AG810" i="10" s="1"/>
  <c r="AF811" i="10"/>
  <c r="AF812" i="10"/>
  <c r="AG812" i="10" s="1"/>
  <c r="AF813" i="10"/>
  <c r="AG813" i="10" s="1"/>
  <c r="AF814" i="10"/>
  <c r="AF815" i="10"/>
  <c r="AG815" i="10" s="1"/>
  <c r="AF816" i="10"/>
  <c r="AG816" i="10" s="1"/>
  <c r="AF817" i="10"/>
  <c r="AF818" i="10"/>
  <c r="AG818" i="10" s="1"/>
  <c r="AF819" i="10"/>
  <c r="AG819" i="10" s="1"/>
  <c r="AF820" i="10"/>
  <c r="AG820" i="10" s="1"/>
  <c r="AF821" i="10"/>
  <c r="AG821" i="10" s="1"/>
  <c r="AF822" i="10"/>
  <c r="AG822" i="10" s="1"/>
  <c r="AF823" i="10"/>
  <c r="AF824" i="10"/>
  <c r="AG824" i="10" s="1"/>
  <c r="AF825" i="10"/>
  <c r="AG825" i="10" s="1"/>
  <c r="AF826" i="10"/>
  <c r="AG826" i="10" s="1"/>
  <c r="AF827" i="10"/>
  <c r="AG827" i="10" s="1"/>
  <c r="AF828" i="10"/>
  <c r="AG828" i="10" s="1"/>
  <c r="AF829" i="10"/>
  <c r="AG829" i="10" s="1"/>
  <c r="AF830" i="10"/>
  <c r="AG830" i="10" s="1"/>
  <c r="AF831" i="10"/>
  <c r="AG831" i="10" s="1"/>
  <c r="AF832" i="10"/>
  <c r="AF833" i="10"/>
  <c r="AG833" i="10" s="1"/>
  <c r="AF834" i="10"/>
  <c r="AG834" i="10" s="1"/>
  <c r="AF835" i="10"/>
  <c r="AG835" i="10" s="1"/>
  <c r="AF836" i="10"/>
  <c r="AG836" i="10" s="1"/>
  <c r="AF837" i="10"/>
  <c r="AG837" i="10" s="1"/>
  <c r="AF838" i="10"/>
  <c r="AG838" i="10" s="1"/>
  <c r="AF839" i="10"/>
  <c r="AG839" i="10" s="1"/>
  <c r="AF840" i="10"/>
  <c r="AG840" i="10" s="1"/>
  <c r="AF841" i="10"/>
  <c r="AG841" i="10" s="1"/>
  <c r="AF842" i="10"/>
  <c r="AG842" i="10" s="1"/>
  <c r="AF843" i="10"/>
  <c r="AG843" i="10" s="1"/>
  <c r="AF844" i="10"/>
  <c r="AG844" i="10" s="1"/>
  <c r="AF845" i="10"/>
  <c r="AG845" i="10" s="1"/>
  <c r="AF846" i="10"/>
  <c r="AG846" i="10" s="1"/>
  <c r="AF847" i="10"/>
  <c r="AF848" i="10"/>
  <c r="AG848" i="10" s="1"/>
  <c r="AF849" i="10"/>
  <c r="AG849" i="10" s="1"/>
  <c r="AF850" i="10"/>
  <c r="AG850" i="10" s="1"/>
  <c r="AF851" i="10"/>
  <c r="AG851" i="10" s="1"/>
  <c r="AF852" i="10"/>
  <c r="AG852" i="10" s="1"/>
  <c r="AF853" i="10"/>
  <c r="AF854" i="10"/>
  <c r="AG854" i="10" s="1"/>
  <c r="AF855" i="10"/>
  <c r="AG855" i="10" s="1"/>
  <c r="AF856" i="10"/>
  <c r="AG856" i="10" s="1"/>
  <c r="AF857" i="10"/>
  <c r="AF858" i="10"/>
  <c r="AG858" i="10" s="1"/>
  <c r="AF859" i="10"/>
  <c r="AG859" i="10" s="1"/>
  <c r="AF860" i="10"/>
  <c r="AG860" i="10" s="1"/>
  <c r="AF861" i="10"/>
  <c r="AG861" i="10" s="1"/>
  <c r="AF862" i="10"/>
  <c r="AF863" i="10"/>
  <c r="AF864" i="10"/>
  <c r="AG864" i="10" s="1"/>
  <c r="AF865" i="10"/>
  <c r="AG865" i="10" s="1"/>
  <c r="AF866" i="10"/>
  <c r="AG866" i="10" s="1"/>
  <c r="AF867" i="10"/>
  <c r="AG867" i="10" s="1"/>
  <c r="AF868" i="10"/>
  <c r="AG868" i="10" s="1"/>
  <c r="AF869" i="10"/>
  <c r="AG869" i="10" s="1"/>
  <c r="AF870" i="10"/>
  <c r="AG870" i="10" s="1"/>
  <c r="AF871" i="10"/>
  <c r="AG871" i="10" s="1"/>
  <c r="AF872" i="10"/>
  <c r="AG872" i="10" s="1"/>
  <c r="AF873" i="10"/>
  <c r="AG873" i="10" s="1"/>
  <c r="AF874" i="10"/>
  <c r="AG874" i="10" s="1"/>
  <c r="AF875" i="10"/>
  <c r="AG875" i="10" s="1"/>
  <c r="AF876" i="10"/>
  <c r="AG876" i="10" s="1"/>
  <c r="AF877" i="10"/>
  <c r="AG877" i="10" s="1"/>
  <c r="AF878" i="10"/>
  <c r="AG878" i="10" s="1"/>
  <c r="AF879" i="10"/>
  <c r="AG879" i="10" s="1"/>
  <c r="AF880" i="10"/>
  <c r="AG880" i="10" s="1"/>
  <c r="AF881" i="10"/>
  <c r="AG881" i="10" s="1"/>
  <c r="AF882" i="10"/>
  <c r="AF883" i="10"/>
  <c r="AF884" i="10"/>
  <c r="AG884" i="10" s="1"/>
  <c r="AF885" i="10"/>
  <c r="AG885" i="10" s="1"/>
  <c r="AF886" i="10"/>
  <c r="AG886" i="10" s="1"/>
  <c r="AF887" i="10"/>
  <c r="AG887" i="10" s="1"/>
  <c r="AF888" i="10"/>
  <c r="AG888" i="10" s="1"/>
  <c r="AF889" i="10"/>
  <c r="AG889" i="10" s="1"/>
  <c r="AF890" i="10"/>
  <c r="AG890" i="10" s="1"/>
  <c r="AF891" i="10"/>
  <c r="AG891" i="10" s="1"/>
  <c r="AF892" i="10"/>
  <c r="AG892" i="10" s="1"/>
  <c r="AF893" i="10"/>
  <c r="AG893" i="10" s="1"/>
  <c r="AF894" i="10"/>
  <c r="AG894" i="10" s="1"/>
  <c r="AF895" i="10"/>
  <c r="AG895" i="10" s="1"/>
  <c r="AF896" i="10"/>
  <c r="AG896" i="10" s="1"/>
  <c r="AF897" i="10"/>
  <c r="AG897" i="10" s="1"/>
  <c r="AF898" i="10"/>
  <c r="AF899" i="10"/>
  <c r="AG899" i="10" s="1"/>
  <c r="AF900" i="10"/>
  <c r="AG900" i="10" s="1"/>
  <c r="AF901" i="10"/>
  <c r="AF902" i="10"/>
  <c r="AG902" i="10" s="1"/>
  <c r="AF903" i="10"/>
  <c r="AG903" i="10" s="1"/>
  <c r="AF904" i="10"/>
  <c r="AG904" i="10" s="1"/>
  <c r="AF905" i="10"/>
  <c r="AG905" i="10" s="1"/>
  <c r="AF906" i="10"/>
  <c r="AG906" i="10" s="1"/>
  <c r="AF907" i="10"/>
  <c r="AF908" i="10"/>
  <c r="AG908" i="10" s="1"/>
  <c r="AF909" i="10"/>
  <c r="AG909" i="10" s="1"/>
  <c r="AF910" i="10"/>
  <c r="AG910" i="10" s="1"/>
  <c r="AF911" i="10"/>
  <c r="AG911" i="10" s="1"/>
  <c r="AF912" i="10"/>
  <c r="AG912" i="10" s="1"/>
  <c r="AF913" i="10"/>
  <c r="AG913" i="10" s="1"/>
  <c r="AF914" i="10"/>
  <c r="AG914" i="10" s="1"/>
  <c r="AF915" i="10"/>
  <c r="AG915" i="10" s="1"/>
  <c r="AF916" i="10"/>
  <c r="AG916" i="10" s="1"/>
  <c r="AF917" i="10"/>
  <c r="AG917" i="10" s="1"/>
  <c r="AF918" i="10"/>
  <c r="AG918" i="10" s="1"/>
  <c r="AF919" i="10"/>
  <c r="AG919" i="10" s="1"/>
  <c r="AF920" i="10"/>
  <c r="AG920" i="10" s="1"/>
  <c r="AF921" i="10"/>
  <c r="AG921" i="10" s="1"/>
  <c r="AF922" i="10"/>
  <c r="AF923" i="10"/>
  <c r="AG923" i="10" s="1"/>
  <c r="AF924" i="10"/>
  <c r="AG924" i="10" s="1"/>
  <c r="AF925" i="10"/>
  <c r="AG925" i="10" s="1"/>
  <c r="AF926" i="10"/>
  <c r="AG926" i="10" s="1"/>
  <c r="AF927" i="10"/>
  <c r="AG927" i="10" s="1"/>
  <c r="AF928" i="10"/>
  <c r="AG928" i="10" s="1"/>
  <c r="AF929" i="10"/>
  <c r="AG929" i="10" s="1"/>
  <c r="AF930" i="10"/>
  <c r="AG930" i="10" s="1"/>
  <c r="AF931" i="10"/>
  <c r="AG931" i="10" s="1"/>
  <c r="AF932" i="10"/>
  <c r="AG932" i="10" s="1"/>
  <c r="AF933" i="10"/>
  <c r="AG933" i="10" s="1"/>
  <c r="AF934" i="10"/>
  <c r="AG934" i="10" s="1"/>
  <c r="AF935" i="10"/>
  <c r="AG935" i="10" s="1"/>
  <c r="AF936" i="10"/>
  <c r="AG936" i="10" s="1"/>
  <c r="AF937" i="10"/>
  <c r="AF938" i="10"/>
  <c r="AG938" i="10" s="1"/>
  <c r="AF939" i="10"/>
  <c r="AG939" i="10" s="1"/>
  <c r="AF940" i="10"/>
  <c r="AG940" i="10" s="1"/>
  <c r="AF941" i="10"/>
  <c r="AG941" i="10" s="1"/>
  <c r="AF942" i="10"/>
  <c r="AG942" i="10" s="1"/>
  <c r="AF943" i="10"/>
  <c r="AG943" i="10" s="1"/>
  <c r="AF944" i="10"/>
  <c r="AG944" i="10" s="1"/>
  <c r="AF945" i="10"/>
  <c r="AG945" i="10" s="1"/>
  <c r="AF946" i="10"/>
  <c r="AG946" i="10" s="1"/>
  <c r="AF947" i="10"/>
  <c r="AG947" i="10" s="1"/>
  <c r="AF948" i="10"/>
  <c r="AG948" i="10" s="1"/>
  <c r="AF949" i="10"/>
  <c r="AG949" i="10" s="1"/>
  <c r="AF950" i="10"/>
  <c r="AG950" i="10" s="1"/>
  <c r="AF951" i="10"/>
  <c r="AG951" i="10" s="1"/>
  <c r="AF952" i="10"/>
  <c r="AG952" i="10" s="1"/>
  <c r="AF953" i="10"/>
  <c r="AG953" i="10" s="1"/>
  <c r="AF954" i="10"/>
  <c r="AG954" i="10" s="1"/>
  <c r="AF955" i="10"/>
  <c r="AF956" i="10"/>
  <c r="AG956" i="10" s="1"/>
  <c r="AF957" i="10"/>
  <c r="AF958" i="10"/>
  <c r="AG958" i="10" s="1"/>
  <c r="AG960" i="10"/>
  <c r="AJ960" i="10"/>
  <c r="AJ961" i="10"/>
  <c r="AJ962" i="10"/>
  <c r="AG963" i="10"/>
  <c r="AJ963" i="10"/>
  <c r="AJ964" i="10"/>
  <c r="AG965" i="10"/>
  <c r="AJ965" i="10"/>
  <c r="AG966" i="10"/>
  <c r="AJ966" i="10"/>
  <c r="AJ967" i="10"/>
  <c r="AJ968" i="10"/>
  <c r="AG969" i="10"/>
  <c r="AJ969" i="10"/>
  <c r="AJ970" i="10"/>
  <c r="AG971" i="10"/>
  <c r="AJ971" i="10"/>
  <c r="AG972" i="10"/>
  <c r="AJ972" i="10"/>
  <c r="AJ973" i="10"/>
  <c r="AJ974" i="10"/>
  <c r="AG975" i="10"/>
  <c r="AJ975" i="10"/>
  <c r="AJ976" i="10"/>
  <c r="AG977" i="10"/>
  <c r="AJ977" i="10"/>
  <c r="AG978" i="10"/>
  <c r="AJ978" i="10"/>
  <c r="AJ979" i="10"/>
  <c r="AJ980" i="10"/>
  <c r="AG981" i="10"/>
  <c r="AJ981" i="10"/>
  <c r="AJ982" i="10"/>
  <c r="AG983" i="10"/>
  <c r="AJ983" i="10"/>
  <c r="AG984" i="10"/>
  <c r="AJ984" i="10"/>
  <c r="AJ985" i="10"/>
  <c r="AJ986" i="10"/>
  <c r="AG987" i="10"/>
  <c r="AJ987" i="10"/>
  <c r="AJ988" i="10"/>
  <c r="AG989" i="10"/>
  <c r="AJ989" i="10"/>
  <c r="AG990" i="10"/>
  <c r="AJ990" i="10"/>
  <c r="AJ991" i="10"/>
  <c r="AJ992" i="10"/>
  <c r="AG993" i="10"/>
  <c r="AJ993" i="10"/>
  <c r="AJ994" i="10"/>
  <c r="AG995" i="10"/>
  <c r="AJ995" i="10"/>
  <c r="AG996" i="10"/>
  <c r="AJ996" i="10"/>
  <c r="AJ997" i="10"/>
  <c r="AG998" i="10"/>
  <c r="AJ998" i="10"/>
  <c r="AG999" i="10"/>
  <c r="AJ999" i="10"/>
  <c r="AJ1000" i="10"/>
  <c r="AJ3" i="10"/>
  <c r="AJ4" i="10"/>
  <c r="AJ5" i="10"/>
  <c r="AJ6" i="10"/>
  <c r="AJ7" i="10"/>
  <c r="AJ8" i="10"/>
  <c r="AJ9" i="10"/>
  <c r="AJ10" i="10"/>
  <c r="AJ11" i="10"/>
  <c r="AJ12" i="10"/>
  <c r="AJ13" i="10"/>
  <c r="AJ14" i="10"/>
  <c r="AJ15" i="10"/>
  <c r="AJ16" i="10"/>
  <c r="AJ17" i="10"/>
  <c r="AJ18" i="10"/>
  <c r="AJ19" i="10"/>
  <c r="AJ20" i="10"/>
  <c r="AJ21" i="10"/>
  <c r="AJ22" i="10"/>
  <c r="AJ23" i="10"/>
  <c r="AJ24" i="10"/>
  <c r="AJ25" i="10"/>
  <c r="AJ26" i="10"/>
  <c r="AJ27" i="10"/>
  <c r="AJ28" i="10"/>
  <c r="AJ29" i="10"/>
  <c r="AJ30" i="10"/>
  <c r="AJ31" i="10"/>
  <c r="AJ32" i="10"/>
  <c r="AJ33" i="10"/>
  <c r="AJ34" i="10"/>
  <c r="AJ35" i="10"/>
  <c r="AJ36" i="10"/>
  <c r="AJ37" i="10"/>
  <c r="AJ38" i="10"/>
  <c r="AJ39" i="10"/>
  <c r="AJ40" i="10"/>
  <c r="AJ41" i="10"/>
  <c r="AJ42" i="10"/>
  <c r="AJ43" i="10"/>
  <c r="AJ44" i="10"/>
  <c r="AJ45" i="10"/>
  <c r="AJ46" i="10"/>
  <c r="AJ47" i="10"/>
  <c r="AJ48" i="10"/>
  <c r="AJ49" i="10"/>
  <c r="AJ50" i="10"/>
  <c r="AJ51" i="10"/>
  <c r="AJ52" i="10"/>
  <c r="AJ53" i="10"/>
  <c r="AJ54" i="10"/>
  <c r="AJ55" i="10"/>
  <c r="AJ56" i="10"/>
  <c r="AJ57" i="10"/>
  <c r="AJ58" i="10"/>
  <c r="AJ59" i="10"/>
  <c r="AJ60" i="10"/>
  <c r="AJ61" i="10"/>
  <c r="AJ62" i="10"/>
  <c r="AJ63" i="10"/>
  <c r="AJ64" i="10"/>
  <c r="AJ65" i="10"/>
  <c r="AJ66" i="10"/>
  <c r="AJ67" i="10"/>
  <c r="AJ68" i="10"/>
  <c r="AJ69" i="10"/>
  <c r="AJ70" i="10"/>
  <c r="AJ71" i="10"/>
  <c r="AJ72" i="10"/>
  <c r="AJ73" i="10"/>
  <c r="AJ74" i="10"/>
  <c r="AJ75" i="10"/>
  <c r="AJ76" i="10"/>
  <c r="AJ77" i="10"/>
  <c r="AJ78" i="10"/>
  <c r="AJ79" i="10"/>
  <c r="AJ80" i="10"/>
  <c r="AJ81" i="10"/>
  <c r="AJ82" i="10"/>
  <c r="AJ83" i="10"/>
  <c r="AJ84" i="10"/>
  <c r="AJ85" i="10"/>
  <c r="AJ86" i="10"/>
  <c r="AJ87" i="10"/>
  <c r="AJ88" i="10"/>
  <c r="AJ89" i="10"/>
  <c r="AJ90" i="10"/>
  <c r="AJ91" i="10"/>
  <c r="AJ92" i="10"/>
  <c r="AJ93" i="10"/>
  <c r="AJ94" i="10"/>
  <c r="AJ95" i="10"/>
  <c r="AJ96" i="10"/>
  <c r="AJ97" i="10"/>
  <c r="AJ98" i="10"/>
  <c r="AJ99" i="10"/>
  <c r="AJ100" i="10"/>
  <c r="AJ101" i="10"/>
  <c r="AJ102" i="10"/>
  <c r="AJ103" i="10"/>
  <c r="AJ104" i="10"/>
  <c r="AJ105" i="10"/>
  <c r="AJ106" i="10"/>
  <c r="AJ107" i="10"/>
  <c r="AJ108" i="10"/>
  <c r="AJ109" i="10"/>
  <c r="AJ110" i="10"/>
  <c r="AJ111" i="10"/>
  <c r="AJ112" i="10"/>
  <c r="AJ113" i="10"/>
  <c r="AJ114" i="10"/>
  <c r="AJ115" i="10"/>
  <c r="AJ116" i="10"/>
  <c r="AJ117" i="10"/>
  <c r="AJ118" i="10"/>
  <c r="AJ119" i="10"/>
  <c r="AJ120" i="10"/>
  <c r="AJ121" i="10"/>
  <c r="AJ122" i="10"/>
  <c r="AJ123" i="10"/>
  <c r="AJ124" i="10"/>
  <c r="AJ125" i="10"/>
  <c r="AJ126" i="10"/>
  <c r="AJ127" i="10"/>
  <c r="AJ128" i="10"/>
  <c r="AJ129" i="10"/>
  <c r="AJ130" i="10"/>
  <c r="AJ131" i="10"/>
  <c r="AJ132" i="10"/>
  <c r="AJ133" i="10"/>
  <c r="AJ134" i="10"/>
  <c r="AJ135" i="10"/>
  <c r="AJ136" i="10"/>
  <c r="AJ137" i="10"/>
  <c r="AJ138" i="10"/>
  <c r="AJ139" i="10"/>
  <c r="AJ140" i="10"/>
  <c r="AJ141" i="10"/>
  <c r="AJ142" i="10"/>
  <c r="AJ143" i="10"/>
  <c r="AJ144" i="10"/>
  <c r="AJ145" i="10"/>
  <c r="AJ146" i="10"/>
  <c r="AJ147" i="10"/>
  <c r="AJ148" i="10"/>
  <c r="AJ149" i="10"/>
  <c r="AJ150" i="10"/>
  <c r="AJ151" i="10"/>
  <c r="AJ152" i="10"/>
  <c r="AJ153" i="10"/>
  <c r="AJ154" i="10"/>
  <c r="AJ155" i="10"/>
  <c r="AJ156" i="10"/>
  <c r="AJ157" i="10"/>
  <c r="AJ158" i="10"/>
  <c r="AJ159" i="10"/>
  <c r="AJ160" i="10"/>
  <c r="AJ161" i="10"/>
  <c r="AJ162" i="10"/>
  <c r="AJ163" i="10"/>
  <c r="AJ164" i="10"/>
  <c r="AJ165" i="10"/>
  <c r="AJ166" i="10"/>
  <c r="AJ167" i="10"/>
  <c r="AJ168" i="10"/>
  <c r="AJ169" i="10"/>
  <c r="AJ170" i="10"/>
  <c r="AJ171" i="10"/>
  <c r="AJ172" i="10"/>
  <c r="AJ173" i="10"/>
  <c r="AJ174" i="10"/>
  <c r="AJ175" i="10"/>
  <c r="AJ176" i="10"/>
  <c r="AJ177" i="10"/>
  <c r="AJ178" i="10"/>
  <c r="AJ179" i="10"/>
  <c r="AJ180" i="10"/>
  <c r="AJ181" i="10"/>
  <c r="AJ182" i="10"/>
  <c r="AJ183" i="10"/>
  <c r="AJ184" i="10"/>
  <c r="AJ185" i="10"/>
  <c r="AJ186" i="10"/>
  <c r="AJ187" i="10"/>
  <c r="AJ188" i="10"/>
  <c r="AJ189" i="10"/>
  <c r="AJ190" i="10"/>
  <c r="AJ191" i="10"/>
  <c r="AJ192" i="10"/>
  <c r="AJ193" i="10"/>
  <c r="AJ194" i="10"/>
  <c r="AJ195" i="10"/>
  <c r="AJ196" i="10"/>
  <c r="AJ197" i="10"/>
  <c r="AJ198" i="10"/>
  <c r="AJ199" i="10"/>
  <c r="AJ200" i="10"/>
  <c r="AJ201" i="10"/>
  <c r="AJ202" i="10"/>
  <c r="AJ203" i="10"/>
  <c r="AJ204" i="10"/>
  <c r="AJ205" i="10"/>
  <c r="AJ206" i="10"/>
  <c r="AJ207" i="10"/>
  <c r="AJ208" i="10"/>
  <c r="AJ209" i="10"/>
  <c r="AJ210" i="10"/>
  <c r="AJ211" i="10"/>
  <c r="AJ212" i="10"/>
  <c r="AJ213" i="10"/>
  <c r="AJ214" i="10"/>
  <c r="AJ215" i="10"/>
  <c r="AJ216" i="10"/>
  <c r="AJ217" i="10"/>
  <c r="AJ218" i="10"/>
  <c r="AJ219" i="10"/>
  <c r="AJ220" i="10"/>
  <c r="AJ221" i="10"/>
  <c r="AJ222" i="10"/>
  <c r="AJ223" i="10"/>
  <c r="AJ224" i="10"/>
  <c r="AJ225" i="10"/>
  <c r="AJ226" i="10"/>
  <c r="AJ227" i="10"/>
  <c r="AJ228" i="10"/>
  <c r="AJ229" i="10"/>
  <c r="AJ230" i="10"/>
  <c r="AJ231" i="10"/>
  <c r="AJ232" i="10"/>
  <c r="AJ233" i="10"/>
  <c r="AJ234" i="10"/>
  <c r="AJ235" i="10"/>
  <c r="AJ236" i="10"/>
  <c r="AJ237" i="10"/>
  <c r="AJ238" i="10"/>
  <c r="AJ239" i="10"/>
  <c r="AJ240" i="10"/>
  <c r="AJ241" i="10"/>
  <c r="AJ242" i="10"/>
  <c r="AJ243" i="10"/>
  <c r="AJ244" i="10"/>
  <c r="AJ245" i="10"/>
  <c r="AJ246" i="10"/>
  <c r="AJ247" i="10"/>
  <c r="AJ248" i="10"/>
  <c r="AJ249" i="10"/>
  <c r="AJ250" i="10"/>
  <c r="AJ251" i="10"/>
  <c r="AJ252" i="10"/>
  <c r="AJ253" i="10"/>
  <c r="AJ254" i="10"/>
  <c r="AJ255" i="10"/>
  <c r="AJ256" i="10"/>
  <c r="AJ257" i="10"/>
  <c r="AJ258" i="10"/>
  <c r="AJ259" i="10"/>
  <c r="AJ260" i="10"/>
  <c r="AJ261" i="10"/>
  <c r="AJ262" i="10"/>
  <c r="AJ263" i="10"/>
  <c r="AJ264" i="10"/>
  <c r="AJ265" i="10"/>
  <c r="AJ266" i="10"/>
  <c r="AJ267" i="10"/>
  <c r="AJ268" i="10"/>
  <c r="AJ269" i="10"/>
  <c r="AJ270" i="10"/>
  <c r="AJ271" i="10"/>
  <c r="AJ272" i="10"/>
  <c r="AJ273" i="10"/>
  <c r="AJ274" i="10"/>
  <c r="AJ275" i="10"/>
  <c r="AJ276" i="10"/>
  <c r="AJ277" i="10"/>
  <c r="AJ278" i="10"/>
  <c r="AJ279" i="10"/>
  <c r="AJ280" i="10"/>
  <c r="AJ281" i="10"/>
  <c r="AJ282" i="10"/>
  <c r="AJ283" i="10"/>
  <c r="AJ284" i="10"/>
  <c r="AJ285" i="10"/>
  <c r="AJ286" i="10"/>
  <c r="AJ287" i="10"/>
  <c r="AJ288" i="10"/>
  <c r="AJ289" i="10"/>
  <c r="AJ290" i="10"/>
  <c r="AJ291" i="10"/>
  <c r="AJ292" i="10"/>
  <c r="AJ293" i="10"/>
  <c r="AJ294" i="10"/>
  <c r="AJ295" i="10"/>
  <c r="AJ296" i="10"/>
  <c r="AJ297" i="10"/>
  <c r="AJ298" i="10"/>
  <c r="AJ299" i="10"/>
  <c r="AJ300" i="10"/>
  <c r="AJ301" i="10"/>
  <c r="AJ302" i="10"/>
  <c r="AJ303" i="10"/>
  <c r="AJ304" i="10"/>
  <c r="AJ305" i="10"/>
  <c r="AJ306" i="10"/>
  <c r="AJ307" i="10"/>
  <c r="AJ308" i="10"/>
  <c r="AJ309" i="10"/>
  <c r="AJ310" i="10"/>
  <c r="AJ311" i="10"/>
  <c r="AJ312" i="10"/>
  <c r="AJ313" i="10"/>
  <c r="AJ314" i="10"/>
  <c r="AJ315" i="10"/>
  <c r="AJ316" i="10"/>
  <c r="AJ317" i="10"/>
  <c r="AJ318" i="10"/>
  <c r="AJ319" i="10"/>
  <c r="AJ320" i="10"/>
  <c r="AJ321" i="10"/>
  <c r="AJ322" i="10"/>
  <c r="AJ323" i="10"/>
  <c r="AJ324" i="10"/>
  <c r="AJ325" i="10"/>
  <c r="AJ326" i="10"/>
  <c r="AJ327" i="10"/>
  <c r="AJ328" i="10"/>
  <c r="AJ329" i="10"/>
  <c r="AJ330" i="10"/>
  <c r="AJ331" i="10"/>
  <c r="AJ332" i="10"/>
  <c r="AJ333" i="10"/>
  <c r="AJ334" i="10"/>
  <c r="AJ335" i="10"/>
  <c r="AJ336" i="10"/>
  <c r="AJ337" i="10"/>
  <c r="AJ338" i="10"/>
  <c r="AJ339" i="10"/>
  <c r="AJ340" i="10"/>
  <c r="AJ341" i="10"/>
  <c r="AJ342" i="10"/>
  <c r="AJ343" i="10"/>
  <c r="AJ344" i="10"/>
  <c r="AJ345" i="10"/>
  <c r="AJ346" i="10"/>
  <c r="AJ347" i="10"/>
  <c r="AJ348" i="10"/>
  <c r="AJ349" i="10"/>
  <c r="AJ350" i="10"/>
  <c r="AJ351" i="10"/>
  <c r="AJ352" i="10"/>
  <c r="AJ353" i="10"/>
  <c r="AJ354" i="10"/>
  <c r="AJ355" i="10"/>
  <c r="AJ356" i="10"/>
  <c r="AJ357" i="10"/>
  <c r="AJ358" i="10"/>
  <c r="AJ359" i="10"/>
  <c r="AJ360" i="10"/>
  <c r="AJ361" i="10"/>
  <c r="AJ362" i="10"/>
  <c r="AJ363" i="10"/>
  <c r="AJ364" i="10"/>
  <c r="AJ365" i="10"/>
  <c r="AJ366" i="10"/>
  <c r="AJ367" i="10"/>
  <c r="AJ368" i="10"/>
  <c r="AJ369" i="10"/>
  <c r="AJ370" i="10"/>
  <c r="AJ371" i="10"/>
  <c r="AJ372" i="10"/>
  <c r="AJ373" i="10"/>
  <c r="AJ374" i="10"/>
  <c r="AJ375" i="10"/>
  <c r="AJ376" i="10"/>
  <c r="AJ377" i="10"/>
  <c r="AJ378" i="10"/>
  <c r="AJ379" i="10"/>
  <c r="AJ380" i="10"/>
  <c r="AJ381" i="10"/>
  <c r="AJ382" i="10"/>
  <c r="AJ383" i="10"/>
  <c r="AJ384" i="10"/>
  <c r="AJ385" i="10"/>
  <c r="AJ386" i="10"/>
  <c r="AJ387" i="10"/>
  <c r="AJ388" i="10"/>
  <c r="AJ389" i="10"/>
  <c r="AJ390" i="10"/>
  <c r="AJ391" i="10"/>
  <c r="AJ392" i="10"/>
  <c r="AJ393" i="10"/>
  <c r="AJ394" i="10"/>
  <c r="AJ395" i="10"/>
  <c r="AJ396" i="10"/>
  <c r="AJ397" i="10"/>
  <c r="AJ398" i="10"/>
  <c r="AJ399" i="10"/>
  <c r="AJ400" i="10"/>
  <c r="AJ401" i="10"/>
  <c r="AJ402" i="10"/>
  <c r="AJ403" i="10"/>
  <c r="AJ404" i="10"/>
  <c r="AJ405" i="10"/>
  <c r="AJ406" i="10"/>
  <c r="AJ407" i="10"/>
  <c r="AJ408" i="10"/>
  <c r="AJ409" i="10"/>
  <c r="AJ410" i="10"/>
  <c r="AJ411" i="10"/>
  <c r="AJ412" i="10"/>
  <c r="AJ413" i="10"/>
  <c r="AJ414" i="10"/>
  <c r="AJ415" i="10"/>
  <c r="AJ416" i="10"/>
  <c r="AJ417" i="10"/>
  <c r="AJ418" i="10"/>
  <c r="AJ419" i="10"/>
  <c r="AJ420" i="10"/>
  <c r="AJ421" i="10"/>
  <c r="AJ422" i="10"/>
  <c r="AJ423" i="10"/>
  <c r="AJ424" i="10"/>
  <c r="AJ425" i="10"/>
  <c r="AJ426" i="10"/>
  <c r="AJ427" i="10"/>
  <c r="AJ428" i="10"/>
  <c r="AJ429" i="10"/>
  <c r="AJ430" i="10"/>
  <c r="AJ431" i="10"/>
  <c r="AJ432" i="10"/>
  <c r="AJ433" i="10"/>
  <c r="AJ434" i="10"/>
  <c r="AJ435" i="10"/>
  <c r="AJ436" i="10"/>
  <c r="AJ437" i="10"/>
  <c r="AJ438" i="10"/>
  <c r="AJ439" i="10"/>
  <c r="AJ440" i="10"/>
  <c r="AJ441" i="10"/>
  <c r="AJ442" i="10"/>
  <c r="AJ443" i="10"/>
  <c r="AJ444" i="10"/>
  <c r="AJ445" i="10"/>
  <c r="AJ446" i="10"/>
  <c r="AJ447" i="10"/>
  <c r="AJ448" i="10"/>
  <c r="AJ449" i="10"/>
  <c r="AJ450" i="10"/>
  <c r="AJ451" i="10"/>
  <c r="AJ452" i="10"/>
  <c r="AJ453" i="10"/>
  <c r="AJ454" i="10"/>
  <c r="AJ455" i="10"/>
  <c r="AJ456" i="10"/>
  <c r="AJ457" i="10"/>
  <c r="AJ458" i="10"/>
  <c r="AJ459" i="10"/>
  <c r="AJ460" i="10"/>
  <c r="AJ461" i="10"/>
  <c r="AJ462" i="10"/>
  <c r="AJ463" i="10"/>
  <c r="AJ464" i="10"/>
  <c r="AJ465" i="10"/>
  <c r="AJ466" i="10"/>
  <c r="AJ467" i="10"/>
  <c r="AJ468" i="10"/>
  <c r="AJ469" i="10"/>
  <c r="AJ470" i="10"/>
  <c r="AJ471" i="10"/>
  <c r="AJ472" i="10"/>
  <c r="AJ473" i="10"/>
  <c r="AJ474" i="10"/>
  <c r="AJ475" i="10"/>
  <c r="AJ476" i="10"/>
  <c r="AJ477" i="10"/>
  <c r="AJ478" i="10"/>
  <c r="AJ479" i="10"/>
  <c r="AJ480" i="10"/>
  <c r="AJ481" i="10"/>
  <c r="AJ482" i="10"/>
  <c r="AJ483" i="10"/>
  <c r="AJ484" i="10"/>
  <c r="AJ485" i="10"/>
  <c r="AJ486" i="10"/>
  <c r="AJ487" i="10"/>
  <c r="AJ488" i="10"/>
  <c r="AJ489" i="10"/>
  <c r="AJ490" i="10"/>
  <c r="AJ491" i="10"/>
  <c r="AJ492" i="10"/>
  <c r="AJ493" i="10"/>
  <c r="AJ494" i="10"/>
  <c r="AJ495" i="10"/>
  <c r="AJ496" i="10"/>
  <c r="AJ497" i="10"/>
  <c r="AJ498" i="10"/>
  <c r="AJ499" i="10"/>
  <c r="AJ500" i="10"/>
  <c r="AJ501" i="10"/>
  <c r="AJ502" i="10"/>
  <c r="AJ503" i="10"/>
  <c r="AJ504" i="10"/>
  <c r="AJ505" i="10"/>
  <c r="AJ506" i="10"/>
  <c r="AJ507" i="10"/>
  <c r="AJ508" i="10"/>
  <c r="AJ509" i="10"/>
  <c r="AJ510" i="10"/>
  <c r="AJ511" i="10"/>
  <c r="AJ512" i="10"/>
  <c r="AJ513" i="10"/>
  <c r="AJ514" i="10"/>
  <c r="AJ515" i="10"/>
  <c r="AJ516" i="10"/>
  <c r="AJ517" i="10"/>
  <c r="AJ518" i="10"/>
  <c r="AJ519" i="10"/>
  <c r="AJ520" i="10"/>
  <c r="AJ521" i="10"/>
  <c r="AJ522" i="10"/>
  <c r="AJ523" i="10"/>
  <c r="AJ524" i="10"/>
  <c r="AJ525" i="10"/>
  <c r="AJ526" i="10"/>
  <c r="AJ527" i="10"/>
  <c r="AJ528" i="10"/>
  <c r="AJ529" i="10"/>
  <c r="AJ530" i="10"/>
  <c r="AJ531" i="10"/>
  <c r="AJ532" i="10"/>
  <c r="AJ533" i="10"/>
  <c r="AJ534" i="10"/>
  <c r="AJ535" i="10"/>
  <c r="AJ536" i="10"/>
  <c r="AJ537" i="10"/>
  <c r="AJ538" i="10"/>
  <c r="AJ539" i="10"/>
  <c r="AJ540" i="10"/>
  <c r="AJ541" i="10"/>
  <c r="AJ542" i="10"/>
  <c r="AJ543" i="10"/>
  <c r="AJ544" i="10"/>
  <c r="AJ545" i="10"/>
  <c r="AJ546" i="10"/>
  <c r="AJ547" i="10"/>
  <c r="AJ548" i="10"/>
  <c r="AJ549" i="10"/>
  <c r="AJ550" i="10"/>
  <c r="AJ551" i="10"/>
  <c r="AJ552" i="10"/>
  <c r="AJ553" i="10"/>
  <c r="AJ554" i="10"/>
  <c r="AJ555" i="10"/>
  <c r="AJ556" i="10"/>
  <c r="AJ557" i="10"/>
  <c r="AJ558" i="10"/>
  <c r="AJ559" i="10"/>
  <c r="AJ560" i="10"/>
  <c r="AJ561" i="10"/>
  <c r="AJ562" i="10"/>
  <c r="AJ563" i="10"/>
  <c r="AJ564" i="10"/>
  <c r="AJ565" i="10"/>
  <c r="AJ566" i="10"/>
  <c r="AJ567" i="10"/>
  <c r="AJ568" i="10"/>
  <c r="AJ569" i="10"/>
  <c r="AJ570" i="10"/>
  <c r="AJ571" i="10"/>
  <c r="AJ572" i="10"/>
  <c r="AJ573" i="10"/>
  <c r="AJ574" i="10"/>
  <c r="AJ575" i="10"/>
  <c r="AJ576" i="10"/>
  <c r="AJ577" i="10"/>
  <c r="AJ578" i="10"/>
  <c r="AJ579" i="10"/>
  <c r="AJ580" i="10"/>
  <c r="AJ581" i="10"/>
  <c r="AJ582" i="10"/>
  <c r="AJ583" i="10"/>
  <c r="AJ584" i="10"/>
  <c r="AJ585" i="10"/>
  <c r="AJ586" i="10"/>
  <c r="AJ587" i="10"/>
  <c r="AJ588" i="10"/>
  <c r="AJ589" i="10"/>
  <c r="AJ590" i="10"/>
  <c r="AJ591" i="10"/>
  <c r="AJ592" i="10"/>
  <c r="AJ593" i="10"/>
  <c r="AJ594" i="10"/>
  <c r="AJ595" i="10"/>
  <c r="AJ596" i="10"/>
  <c r="AJ597" i="10"/>
  <c r="AJ598" i="10"/>
  <c r="AJ599" i="10"/>
  <c r="AJ600" i="10"/>
  <c r="AJ601" i="10"/>
  <c r="AJ602" i="10"/>
  <c r="AJ603" i="10"/>
  <c r="AJ604" i="10"/>
  <c r="AJ605" i="10"/>
  <c r="AJ606" i="10"/>
  <c r="AJ607" i="10"/>
  <c r="AJ608" i="10"/>
  <c r="AJ609" i="10"/>
  <c r="AJ610" i="10"/>
  <c r="AJ611" i="10"/>
  <c r="AJ612" i="10"/>
  <c r="AJ613" i="10"/>
  <c r="AJ614" i="10"/>
  <c r="AJ615" i="10"/>
  <c r="AJ616" i="10"/>
  <c r="AJ617" i="10"/>
  <c r="AJ618" i="10"/>
  <c r="AJ619" i="10"/>
  <c r="AJ620" i="10"/>
  <c r="AJ621" i="10"/>
  <c r="AJ622" i="10"/>
  <c r="AJ623" i="10"/>
  <c r="AJ624" i="10"/>
  <c r="AJ625" i="10"/>
  <c r="AJ626" i="10"/>
  <c r="AJ627" i="10"/>
  <c r="AJ628" i="10"/>
  <c r="AJ629" i="10"/>
  <c r="AJ630" i="10"/>
  <c r="AJ631" i="10"/>
  <c r="AJ632" i="10"/>
  <c r="AJ633" i="10"/>
  <c r="AJ634" i="10"/>
  <c r="AJ635" i="10"/>
  <c r="AJ636" i="10"/>
  <c r="AJ637" i="10"/>
  <c r="AJ638" i="10"/>
  <c r="AJ639" i="10"/>
  <c r="AJ640" i="10"/>
  <c r="AJ641" i="10"/>
  <c r="AJ642" i="10"/>
  <c r="AJ643" i="10"/>
  <c r="AJ644" i="10"/>
  <c r="AJ645" i="10"/>
  <c r="AJ646" i="10"/>
  <c r="AJ647" i="10"/>
  <c r="AJ648" i="10"/>
  <c r="AJ649" i="10"/>
  <c r="AJ650" i="10"/>
  <c r="AJ651" i="10"/>
  <c r="AJ652" i="10"/>
  <c r="AJ653" i="10"/>
  <c r="AJ654" i="10"/>
  <c r="AJ655" i="10"/>
  <c r="AJ656" i="10"/>
  <c r="AJ657" i="10"/>
  <c r="AJ658" i="10"/>
  <c r="AJ659" i="10"/>
  <c r="AJ660" i="10"/>
  <c r="AJ661" i="10"/>
  <c r="AJ662" i="10"/>
  <c r="AJ663" i="10"/>
  <c r="AJ664" i="10"/>
  <c r="AJ665" i="10"/>
  <c r="AJ666" i="10"/>
  <c r="AJ667" i="10"/>
  <c r="AJ668" i="10"/>
  <c r="AJ669" i="10"/>
  <c r="AJ670" i="10"/>
  <c r="AJ671" i="10"/>
  <c r="AJ672" i="10"/>
  <c r="AJ673" i="10"/>
  <c r="AJ674" i="10"/>
  <c r="AJ675" i="10"/>
  <c r="AJ676" i="10"/>
  <c r="AJ677" i="10"/>
  <c r="AJ678" i="10"/>
  <c r="AJ679" i="10"/>
  <c r="AJ680" i="10"/>
  <c r="AJ681" i="10"/>
  <c r="AJ682" i="10"/>
  <c r="AJ683" i="10"/>
  <c r="AJ684" i="10"/>
  <c r="AJ685" i="10"/>
  <c r="AJ686" i="10"/>
  <c r="AJ687" i="10"/>
  <c r="AJ688" i="10"/>
  <c r="AJ689" i="10"/>
  <c r="AJ690" i="10"/>
  <c r="AJ691" i="10"/>
  <c r="AJ692" i="10"/>
  <c r="AJ693" i="10"/>
  <c r="AJ694" i="10"/>
  <c r="AJ695" i="10"/>
  <c r="AJ696" i="10"/>
  <c r="AJ697" i="10"/>
  <c r="AJ698" i="10"/>
  <c r="AJ699" i="10"/>
  <c r="AJ700" i="10"/>
  <c r="AJ701" i="10"/>
  <c r="AJ702" i="10"/>
  <c r="AJ703" i="10"/>
  <c r="AJ704" i="10"/>
  <c r="AJ705" i="10"/>
  <c r="AJ706" i="10"/>
  <c r="AJ707" i="10"/>
  <c r="AJ708" i="10"/>
  <c r="AJ709" i="10"/>
  <c r="AJ710" i="10"/>
  <c r="AJ711" i="10"/>
  <c r="AJ712" i="10"/>
  <c r="AJ713" i="10"/>
  <c r="AJ714" i="10"/>
  <c r="AJ715" i="10"/>
  <c r="AJ716" i="10"/>
  <c r="AJ717" i="10"/>
  <c r="AJ718" i="10"/>
  <c r="AJ719" i="10"/>
  <c r="AJ720" i="10"/>
  <c r="AJ721" i="10"/>
  <c r="AJ722" i="10"/>
  <c r="AJ723" i="10"/>
  <c r="AJ724" i="10"/>
  <c r="AJ725" i="10"/>
  <c r="AJ726" i="10"/>
  <c r="AJ727" i="10"/>
  <c r="AJ728" i="10"/>
  <c r="AJ729" i="10"/>
  <c r="AJ730" i="10"/>
  <c r="AJ731" i="10"/>
  <c r="AJ732" i="10"/>
  <c r="AJ733" i="10"/>
  <c r="AJ734" i="10"/>
  <c r="AJ735" i="10"/>
  <c r="AJ736" i="10"/>
  <c r="AJ737" i="10"/>
  <c r="AJ738" i="10"/>
  <c r="AJ739" i="10"/>
  <c r="AJ740" i="10"/>
  <c r="AJ741" i="10"/>
  <c r="AJ742" i="10"/>
  <c r="AJ743" i="10"/>
  <c r="AJ744" i="10"/>
  <c r="AJ745" i="10"/>
  <c r="AJ746" i="10"/>
  <c r="AJ747" i="10"/>
  <c r="AJ748" i="10"/>
  <c r="AJ749" i="10"/>
  <c r="AJ750" i="10"/>
  <c r="AJ751" i="10"/>
  <c r="AJ752" i="10"/>
  <c r="AJ753" i="10"/>
  <c r="AJ754" i="10"/>
  <c r="AJ755" i="10"/>
  <c r="AJ756" i="10"/>
  <c r="AJ757" i="10"/>
  <c r="AJ758" i="10"/>
  <c r="AJ759" i="10"/>
  <c r="AJ760" i="10"/>
  <c r="AJ761" i="10"/>
  <c r="AJ762" i="10"/>
  <c r="AJ763" i="10"/>
  <c r="AJ764" i="10"/>
  <c r="AJ765" i="10"/>
  <c r="AJ766" i="10"/>
  <c r="AJ767" i="10"/>
  <c r="AJ768" i="10"/>
  <c r="AJ769" i="10"/>
  <c r="AJ770" i="10"/>
  <c r="AJ771" i="10"/>
  <c r="AJ772" i="10"/>
  <c r="AJ773" i="10"/>
  <c r="AJ774" i="10"/>
  <c r="AJ775" i="10"/>
  <c r="AJ776" i="10"/>
  <c r="AJ777" i="10"/>
  <c r="AJ778" i="10"/>
  <c r="AJ779" i="10"/>
  <c r="AJ780" i="10"/>
  <c r="AJ781" i="10"/>
  <c r="AJ782" i="10"/>
  <c r="AJ783" i="10"/>
  <c r="AJ784" i="10"/>
  <c r="AJ785" i="10"/>
  <c r="AJ786" i="10"/>
  <c r="AJ787" i="10"/>
  <c r="AJ788" i="10"/>
  <c r="AJ789" i="10"/>
  <c r="AJ790" i="10"/>
  <c r="AJ791" i="10"/>
  <c r="AJ792" i="10"/>
  <c r="AJ793" i="10"/>
  <c r="AJ794" i="10"/>
  <c r="AJ795" i="10"/>
  <c r="AJ796" i="10"/>
  <c r="AJ797" i="10"/>
  <c r="AJ798" i="10"/>
  <c r="AJ799" i="10"/>
  <c r="AJ800" i="10"/>
  <c r="AJ801" i="10"/>
  <c r="AJ802" i="10"/>
  <c r="AJ803" i="10"/>
  <c r="AJ804" i="10"/>
  <c r="AJ805" i="10"/>
  <c r="AJ806" i="10"/>
  <c r="AJ807" i="10"/>
  <c r="AJ808" i="10"/>
  <c r="AJ809" i="10"/>
  <c r="AJ810" i="10"/>
  <c r="AJ811" i="10"/>
  <c r="AJ812" i="10"/>
  <c r="AJ813" i="10"/>
  <c r="AJ814" i="10"/>
  <c r="AJ815" i="10"/>
  <c r="AJ816" i="10"/>
  <c r="AJ817" i="10"/>
  <c r="AJ818" i="10"/>
  <c r="AJ819" i="10"/>
  <c r="AJ820" i="10"/>
  <c r="AJ821" i="10"/>
  <c r="AJ822" i="10"/>
  <c r="AJ823" i="10"/>
  <c r="AJ824" i="10"/>
  <c r="AJ825" i="10"/>
  <c r="AJ826" i="10"/>
  <c r="AJ827" i="10"/>
  <c r="AJ828" i="10"/>
  <c r="AJ829" i="10"/>
  <c r="AJ830" i="10"/>
  <c r="AJ831" i="10"/>
  <c r="AJ832" i="10"/>
  <c r="AJ833" i="10"/>
  <c r="AJ834" i="10"/>
  <c r="AJ835" i="10"/>
  <c r="AJ836" i="10"/>
  <c r="AJ837" i="10"/>
  <c r="AJ838" i="10"/>
  <c r="AJ839" i="10"/>
  <c r="AJ840" i="10"/>
  <c r="AJ841" i="10"/>
  <c r="AJ842" i="10"/>
  <c r="AJ843" i="10"/>
  <c r="AJ844" i="10"/>
  <c r="AJ845" i="10"/>
  <c r="AJ846" i="10"/>
  <c r="AJ847" i="10"/>
  <c r="AJ848" i="10"/>
  <c r="AJ849" i="10"/>
  <c r="AJ850" i="10"/>
  <c r="AJ851" i="10"/>
  <c r="AJ852" i="10"/>
  <c r="AJ853" i="10"/>
  <c r="AJ854" i="10"/>
  <c r="AJ855" i="10"/>
  <c r="AJ856" i="10"/>
  <c r="AJ857" i="10"/>
  <c r="AJ858" i="10"/>
  <c r="AJ859" i="10"/>
  <c r="AJ860" i="10"/>
  <c r="AJ861" i="10"/>
  <c r="AJ862" i="10"/>
  <c r="AJ863" i="10"/>
  <c r="AJ864" i="10"/>
  <c r="AJ865" i="10"/>
  <c r="AJ866" i="10"/>
  <c r="AJ867" i="10"/>
  <c r="AJ868" i="10"/>
  <c r="AJ869" i="10"/>
  <c r="AJ870" i="10"/>
  <c r="AJ871" i="10"/>
  <c r="AJ872" i="10"/>
  <c r="AJ873" i="10"/>
  <c r="AJ874" i="10"/>
  <c r="AJ875" i="10"/>
  <c r="AJ876" i="10"/>
  <c r="AJ877" i="10"/>
  <c r="AJ878" i="10"/>
  <c r="AJ879" i="10"/>
  <c r="AJ880" i="10"/>
  <c r="AJ881" i="10"/>
  <c r="AJ882" i="10"/>
  <c r="AJ883" i="10"/>
  <c r="AJ884" i="10"/>
  <c r="AJ885" i="10"/>
  <c r="AJ886" i="10"/>
  <c r="AJ887" i="10"/>
  <c r="AJ888" i="10"/>
  <c r="AJ889" i="10"/>
  <c r="AJ890" i="10"/>
  <c r="AJ891" i="10"/>
  <c r="AJ892" i="10"/>
  <c r="AJ893" i="10"/>
  <c r="AJ894" i="10"/>
  <c r="AJ895" i="10"/>
  <c r="AJ896" i="10"/>
  <c r="AJ897" i="10"/>
  <c r="AJ898" i="10"/>
  <c r="AJ899" i="10"/>
  <c r="AJ900" i="10"/>
  <c r="AJ901" i="10"/>
  <c r="AJ902" i="10"/>
  <c r="AJ903" i="10"/>
  <c r="AJ904" i="10"/>
  <c r="AJ905" i="10"/>
  <c r="AJ906" i="10"/>
  <c r="AJ907" i="10"/>
  <c r="AJ908" i="10"/>
  <c r="AJ909" i="10"/>
  <c r="AJ910" i="10"/>
  <c r="AJ911" i="10"/>
  <c r="AJ912" i="10"/>
  <c r="AJ913" i="10"/>
  <c r="AJ914" i="10"/>
  <c r="AJ915" i="10"/>
  <c r="AJ916" i="10"/>
  <c r="AJ917" i="10"/>
  <c r="AJ918" i="10"/>
  <c r="AJ919" i="10"/>
  <c r="AJ920" i="10"/>
  <c r="AJ921" i="10"/>
  <c r="AJ922" i="10"/>
  <c r="AJ923" i="10"/>
  <c r="AJ924" i="10"/>
  <c r="AJ925" i="10"/>
  <c r="AJ926" i="10"/>
  <c r="AJ927" i="10"/>
  <c r="AJ928" i="10"/>
  <c r="AJ929" i="10"/>
  <c r="AJ930" i="10"/>
  <c r="AJ931" i="10"/>
  <c r="AJ932" i="10"/>
  <c r="AJ933" i="10"/>
  <c r="AJ934" i="10"/>
  <c r="AJ935" i="10"/>
  <c r="AJ936" i="10"/>
  <c r="AJ937" i="10"/>
  <c r="AJ938" i="10"/>
  <c r="AJ939" i="10"/>
  <c r="AJ940" i="10"/>
  <c r="AJ941" i="10"/>
  <c r="AJ942" i="10"/>
  <c r="AJ943" i="10"/>
  <c r="AJ944" i="10"/>
  <c r="AJ945" i="10"/>
  <c r="AJ946" i="10"/>
  <c r="AJ947" i="10"/>
  <c r="AJ948" i="10"/>
  <c r="AJ949" i="10"/>
  <c r="AJ950" i="10"/>
  <c r="AJ951" i="10"/>
  <c r="AJ952" i="10"/>
  <c r="AJ953" i="10"/>
  <c r="AJ954" i="10"/>
  <c r="AJ955" i="10"/>
  <c r="AJ956" i="10"/>
  <c r="AJ957" i="10"/>
  <c r="AJ958" i="10"/>
  <c r="AJ959" i="10"/>
  <c r="AG4" i="10"/>
  <c r="AG5" i="10"/>
  <c r="AG6" i="10"/>
  <c r="AG9" i="10"/>
  <c r="AG10" i="10"/>
  <c r="AG11" i="10"/>
  <c r="AG12" i="10"/>
  <c r="AG13" i="10"/>
  <c r="AG15" i="10"/>
  <c r="AG16" i="10"/>
  <c r="AG18" i="10"/>
  <c r="AG21" i="10"/>
  <c r="AG22" i="10"/>
  <c r="AG23" i="10"/>
  <c r="AG24" i="10"/>
  <c r="AG27" i="10"/>
  <c r="AG28" i="10"/>
  <c r="AG33" i="10"/>
  <c r="AG34" i="10"/>
  <c r="AG35" i="10"/>
  <c r="AG36" i="10"/>
  <c r="AG37" i="10"/>
  <c r="AG39" i="10"/>
  <c r="AG40" i="10"/>
  <c r="AG41" i="10"/>
  <c r="AG42" i="10"/>
  <c r="AG45" i="10"/>
  <c r="AG46" i="10"/>
  <c r="AG47" i="10"/>
  <c r="AG48" i="10"/>
  <c r="AG49" i="10"/>
  <c r="AG51" i="10"/>
  <c r="AG52" i="10"/>
  <c r="AG53" i="10"/>
  <c r="AG54" i="10"/>
  <c r="AG57" i="10"/>
  <c r="AG58" i="10"/>
  <c r="AG59" i="10"/>
  <c r="AG60" i="10"/>
  <c r="AG61" i="10"/>
  <c r="AG63" i="10"/>
  <c r="AG64" i="10"/>
  <c r="AG65" i="10"/>
  <c r="AG66" i="10"/>
  <c r="AG69" i="10"/>
  <c r="AG70" i="10"/>
  <c r="AG71" i="10"/>
  <c r="AG73" i="10"/>
  <c r="AG75" i="10"/>
  <c r="AG76" i="10"/>
  <c r="AG77" i="10"/>
  <c r="AG78" i="10"/>
  <c r="AG81" i="10"/>
  <c r="AG82" i="10"/>
  <c r="AG83" i="10"/>
  <c r="AG84" i="10"/>
  <c r="AG85" i="10"/>
  <c r="AG87" i="10"/>
  <c r="AG88" i="10"/>
  <c r="AG89" i="10"/>
  <c r="AG90" i="10"/>
  <c r="AG93" i="10"/>
  <c r="AG94" i="10"/>
  <c r="AG95" i="10"/>
  <c r="AG96" i="10"/>
  <c r="AG97" i="10"/>
  <c r="AG99" i="10"/>
  <c r="AG100" i="10"/>
  <c r="AG101" i="10"/>
  <c r="AG102" i="10"/>
  <c r="AG105" i="10"/>
  <c r="AG106" i="10"/>
  <c r="AG107" i="10"/>
  <c r="AG108" i="10"/>
  <c r="AG109" i="10"/>
  <c r="AG111" i="10"/>
  <c r="AG112" i="10"/>
  <c r="AG113" i="10"/>
  <c r="AG114" i="10"/>
  <c r="AG115" i="10"/>
  <c r="AG117" i="10"/>
  <c r="AG118" i="10"/>
  <c r="AG119" i="10"/>
  <c r="AG120" i="10"/>
  <c r="AG121" i="10"/>
  <c r="AG123" i="10"/>
  <c r="AG124" i="10"/>
  <c r="AG125" i="10"/>
  <c r="AG126" i="10"/>
  <c r="AG129" i="10"/>
  <c r="AG130" i="10"/>
  <c r="AG131" i="10"/>
  <c r="AG132" i="10"/>
  <c r="AG133" i="10"/>
  <c r="AG136" i="10"/>
  <c r="AG137" i="10"/>
  <c r="AG138" i="10"/>
  <c r="AG141" i="10"/>
  <c r="AG142" i="10"/>
  <c r="AG143" i="10"/>
  <c r="AG144" i="10"/>
  <c r="AG145" i="10"/>
  <c r="AG147" i="10"/>
  <c r="AG148" i="10"/>
  <c r="AG149" i="10"/>
  <c r="AG150" i="10"/>
  <c r="AG154" i="10"/>
  <c r="AG155" i="10"/>
  <c r="AG156" i="10"/>
  <c r="AG157" i="10"/>
  <c r="AG159" i="10"/>
  <c r="AG160" i="10"/>
  <c r="AG161" i="10"/>
  <c r="AG162" i="10"/>
  <c r="AG165" i="10"/>
  <c r="AG166" i="10"/>
  <c r="AG167" i="10"/>
  <c r="AG168" i="10"/>
  <c r="AG169" i="10"/>
  <c r="AG171" i="10"/>
  <c r="AG172" i="10"/>
  <c r="AG173" i="10"/>
  <c r="AG174" i="10"/>
  <c r="AG177" i="10"/>
  <c r="AG178" i="10"/>
  <c r="AG180" i="10"/>
  <c r="AG181" i="10"/>
  <c r="AG183" i="10"/>
  <c r="AG184" i="10"/>
  <c r="AG185" i="10"/>
  <c r="AG186" i="10"/>
  <c r="AG189" i="10"/>
  <c r="AG190" i="10"/>
  <c r="AG192" i="10"/>
  <c r="AG193" i="10"/>
  <c r="AG195" i="10"/>
  <c r="AG196" i="10"/>
  <c r="AG197" i="10"/>
  <c r="AG198" i="10"/>
  <c r="AG201" i="10"/>
  <c r="AG202" i="10"/>
  <c r="AG203" i="10"/>
  <c r="AG204" i="10"/>
  <c r="AG205" i="10"/>
  <c r="AG207" i="10"/>
  <c r="AG208" i="10"/>
  <c r="AG209" i="10"/>
  <c r="AG210" i="10"/>
  <c r="AG213" i="10"/>
  <c r="AG214" i="10"/>
  <c r="AG215" i="10"/>
  <c r="AG216" i="10"/>
  <c r="AG217" i="10"/>
  <c r="AG220" i="10"/>
  <c r="AG221" i="10"/>
  <c r="AG222" i="10"/>
  <c r="AG225" i="10"/>
  <c r="AG226" i="10"/>
  <c r="AG228" i="10"/>
  <c r="AG229" i="10"/>
  <c r="AG231" i="10"/>
  <c r="AG232" i="10"/>
  <c r="AG233" i="10"/>
  <c r="AG234" i="10"/>
  <c r="AG237" i="10"/>
  <c r="AG238" i="10"/>
  <c r="AG239" i="10"/>
  <c r="AG240" i="10"/>
  <c r="AG244" i="10"/>
  <c r="AG245" i="10"/>
  <c r="AG246" i="10"/>
  <c r="AG249" i="10"/>
  <c r="AG250" i="10"/>
  <c r="AG251" i="10"/>
  <c r="AG252" i="10"/>
  <c r="AG253" i="10"/>
  <c r="AG255" i="10"/>
  <c r="AG256" i="10"/>
  <c r="AG257" i="10"/>
  <c r="AG258" i="10"/>
  <c r="AG261" i="10"/>
  <c r="AG262" i="10"/>
  <c r="AG263" i="10"/>
  <c r="AG264" i="10"/>
  <c r="AG265" i="10"/>
  <c r="AG268" i="10"/>
  <c r="AG269" i="10"/>
  <c r="AG270" i="10"/>
  <c r="AG273" i="10"/>
  <c r="AG274" i="10"/>
  <c r="AG275" i="10"/>
  <c r="AG276" i="10"/>
  <c r="AG277" i="10"/>
  <c r="AG279" i="10"/>
  <c r="AG280" i="10"/>
  <c r="AG281" i="10"/>
  <c r="AG282" i="10"/>
  <c r="AG285" i="10"/>
  <c r="AG286" i="10"/>
  <c r="AG288" i="10"/>
  <c r="AG289" i="10"/>
  <c r="AG291" i="10"/>
  <c r="AG292" i="10"/>
  <c r="AG293" i="10"/>
  <c r="AG294" i="10"/>
  <c r="AG295" i="10"/>
  <c r="AG297" i="10"/>
  <c r="AG298" i="10"/>
  <c r="AG300" i="10"/>
  <c r="AG301" i="10"/>
  <c r="AG303" i="10"/>
  <c r="AG304" i="10"/>
  <c r="AG305" i="10"/>
  <c r="AG306" i="10"/>
  <c r="AG309" i="10"/>
  <c r="AG310" i="10"/>
  <c r="AG311" i="10"/>
  <c r="AG312" i="10"/>
  <c r="AG313" i="10"/>
  <c r="AG315" i="10"/>
  <c r="AG316" i="10"/>
  <c r="AG317" i="10"/>
  <c r="AG318" i="10"/>
  <c r="AG319" i="10"/>
  <c r="AG321" i="10"/>
  <c r="AG322" i="10"/>
  <c r="AG323" i="10"/>
  <c r="AG324" i="10"/>
  <c r="AG325" i="10"/>
  <c r="AG327" i="10"/>
  <c r="AG328" i="10"/>
  <c r="AG329" i="10"/>
  <c r="AG330" i="10"/>
  <c r="AG333" i="10"/>
  <c r="AG334" i="10"/>
  <c r="AG335" i="10"/>
  <c r="AG336" i="10"/>
  <c r="AG337" i="10"/>
  <c r="AG339" i="10"/>
  <c r="AG340" i="10"/>
  <c r="AG341" i="10"/>
  <c r="AG342" i="10"/>
  <c r="AG345" i="10"/>
  <c r="AG346" i="10"/>
  <c r="AG348" i="10"/>
  <c r="AG349" i="10"/>
  <c r="AG352" i="10"/>
  <c r="AG353" i="10"/>
  <c r="AG354" i="10"/>
  <c r="AG357" i="10"/>
  <c r="AG358" i="10"/>
  <c r="AG360" i="10"/>
  <c r="AG361" i="10"/>
  <c r="AG363" i="10"/>
  <c r="AG364" i="10"/>
  <c r="AG365" i="10"/>
  <c r="AG366" i="10"/>
  <c r="AG367" i="10"/>
  <c r="AG369" i="10"/>
  <c r="AG370" i="10"/>
  <c r="AG371" i="10"/>
  <c r="AG372" i="10"/>
  <c r="AG373" i="10"/>
  <c r="AG376" i="10"/>
  <c r="AG377" i="10"/>
  <c r="AG378" i="10"/>
  <c r="AG382" i="10"/>
  <c r="AG384" i="10"/>
  <c r="AG385" i="10"/>
  <c r="AG387" i="10"/>
  <c r="AG388" i="10"/>
  <c r="AG389" i="10"/>
  <c r="AG391" i="10"/>
  <c r="AG393" i="10"/>
  <c r="AG394" i="10"/>
  <c r="AG396" i="10"/>
  <c r="AG397" i="10"/>
  <c r="AG400" i="10"/>
  <c r="AG401" i="10"/>
  <c r="AG402" i="10"/>
  <c r="AG405" i="10"/>
  <c r="AG406" i="10"/>
  <c r="AG408" i="10"/>
  <c r="AG409" i="10"/>
  <c r="AG412" i="10"/>
  <c r="AG413" i="10"/>
  <c r="AG414" i="10"/>
  <c r="AG415" i="10"/>
  <c r="AG418" i="10"/>
  <c r="AG419" i="10"/>
  <c r="AG421" i="10"/>
  <c r="AG425" i="10"/>
  <c r="AG426" i="10"/>
  <c r="AG427" i="10"/>
  <c r="AG430" i="10"/>
  <c r="AG431" i="10"/>
  <c r="AG432" i="10"/>
  <c r="AG433" i="10"/>
  <c r="AG437" i="10"/>
  <c r="AG439" i="10"/>
  <c r="AG441" i="10"/>
  <c r="AG442" i="10"/>
  <c r="AG443" i="10"/>
  <c r="AG445" i="10"/>
  <c r="AG449" i="10"/>
  <c r="AG450" i="10"/>
  <c r="AG451" i="10"/>
  <c r="AG454" i="10"/>
  <c r="AG455" i="10"/>
  <c r="AG457" i="10"/>
  <c r="AG460" i="10"/>
  <c r="AG461" i="10"/>
  <c r="AG462" i="10"/>
  <c r="AG463" i="10"/>
  <c r="AG466" i="10"/>
  <c r="AG467" i="10"/>
  <c r="AG469" i="10"/>
  <c r="AG472" i="10"/>
  <c r="AG473" i="10"/>
  <c r="AG474" i="10"/>
  <c r="AG475" i="10"/>
  <c r="AG478" i="10"/>
  <c r="AG479" i="10"/>
  <c r="AG481" i="10"/>
  <c r="AG485" i="10"/>
  <c r="AG486" i="10"/>
  <c r="AG490" i="10"/>
  <c r="AG491" i="10"/>
  <c r="AG496" i="10"/>
  <c r="AG497" i="10"/>
  <c r="AG498" i="10"/>
  <c r="AG499" i="10"/>
  <c r="AG503" i="10"/>
  <c r="AG505" i="10"/>
  <c r="AG509" i="10"/>
  <c r="AG510" i="10"/>
  <c r="AG511" i="10"/>
  <c r="AG514" i="10"/>
  <c r="AG515" i="10"/>
  <c r="AG517" i="10"/>
  <c r="AG520" i="10"/>
  <c r="AG521" i="10"/>
  <c r="AG522" i="10"/>
  <c r="AG523" i="10"/>
  <c r="AG526" i="10"/>
  <c r="AG527" i="10"/>
  <c r="AG529" i="10"/>
  <c r="AG533" i="10"/>
  <c r="AG534" i="10"/>
  <c r="AG535" i="10"/>
  <c r="AG538" i="10"/>
  <c r="AG539" i="10"/>
  <c r="AG541" i="10"/>
  <c r="AG544" i="10"/>
  <c r="AG545" i="10"/>
  <c r="AG546" i="10"/>
  <c r="AG547" i="10"/>
  <c r="AG550" i="10"/>
  <c r="AG551" i="10"/>
  <c r="AG553" i="10"/>
  <c r="AG557" i="10"/>
  <c r="AG558" i="10"/>
  <c r="AG559" i="10"/>
  <c r="AG562" i="10"/>
  <c r="AG565" i="10"/>
  <c r="AG568" i="10"/>
  <c r="AG569" i="10"/>
  <c r="AG570" i="10"/>
  <c r="AG571" i="10"/>
  <c r="AG574" i="10"/>
  <c r="AG575" i="10"/>
  <c r="AG577" i="10"/>
  <c r="AG580" i="10"/>
  <c r="AG581" i="10"/>
  <c r="AG582" i="10"/>
  <c r="AG583" i="10"/>
  <c r="AG586" i="10"/>
  <c r="AG587" i="10"/>
  <c r="AG589" i="10"/>
  <c r="AG593" i="10"/>
  <c r="AG594" i="10"/>
  <c r="AG595" i="10"/>
  <c r="AG598" i="10"/>
  <c r="AG599" i="10"/>
  <c r="AG600" i="10"/>
  <c r="AG601" i="10"/>
  <c r="AG605" i="10"/>
  <c r="AG606" i="10"/>
  <c r="AG607" i="10"/>
  <c r="AG610" i="10"/>
  <c r="AG611" i="10"/>
  <c r="AG613" i="10"/>
  <c r="AG617" i="10"/>
  <c r="AG618" i="10"/>
  <c r="AG619" i="10"/>
  <c r="AG622" i="10"/>
  <c r="AG623" i="10"/>
  <c r="AG625" i="10"/>
  <c r="AG628" i="10"/>
  <c r="AG629" i="10"/>
  <c r="AG630" i="10"/>
  <c r="AG631" i="10"/>
  <c r="AG634" i="10"/>
  <c r="AG635" i="10"/>
  <c r="AG637" i="10"/>
  <c r="AG639" i="10"/>
  <c r="AG640" i="10"/>
  <c r="AG641" i="10"/>
  <c r="AG642" i="10"/>
  <c r="AG643" i="10"/>
  <c r="AG646" i="10"/>
  <c r="AG647" i="10"/>
  <c r="AG649" i="10"/>
  <c r="AG653" i="10"/>
  <c r="AG655" i="10"/>
  <c r="AG658" i="10"/>
  <c r="AG659" i="10"/>
  <c r="AG661" i="10"/>
  <c r="AG665" i="10"/>
  <c r="AG666" i="10"/>
  <c r="AG667" i="10"/>
  <c r="AG670" i="10"/>
  <c r="AG671" i="10"/>
  <c r="AG673" i="10"/>
  <c r="AG677" i="10"/>
  <c r="AG679" i="10"/>
  <c r="AG682" i="10"/>
  <c r="AG683" i="10"/>
  <c r="AG685" i="10"/>
  <c r="AG689" i="10"/>
  <c r="AG691" i="10"/>
  <c r="AG694" i="10"/>
  <c r="AG695" i="10"/>
  <c r="AG697" i="10"/>
  <c r="AG701" i="10"/>
  <c r="AG703" i="10"/>
  <c r="AG706" i="10"/>
  <c r="AG707" i="10"/>
  <c r="AG709" i="10"/>
  <c r="AG718" i="10"/>
  <c r="AG719" i="10"/>
  <c r="AG721" i="10"/>
  <c r="AG725" i="10"/>
  <c r="AG727" i="10"/>
  <c r="AG730" i="10"/>
  <c r="AG731" i="10"/>
  <c r="AG733" i="10"/>
  <c r="AG737" i="10"/>
  <c r="AG739" i="10"/>
  <c r="AG742" i="10"/>
  <c r="AG743" i="10"/>
  <c r="AG745" i="10"/>
  <c r="AG749" i="10"/>
  <c r="AG750" i="10"/>
  <c r="AG751" i="10"/>
  <c r="AG754" i="10"/>
  <c r="AG755" i="10"/>
  <c r="AG761" i="10"/>
  <c r="AG766" i="10"/>
  <c r="AG767" i="10"/>
  <c r="AG769" i="10"/>
  <c r="AG773" i="10"/>
  <c r="AG774" i="10"/>
  <c r="AG775" i="10"/>
  <c r="AG779" i="10"/>
  <c r="AG781" i="10"/>
  <c r="AG785" i="10"/>
  <c r="AG787" i="10"/>
  <c r="AG791" i="10"/>
  <c r="AG793" i="10"/>
  <c r="AG797" i="10"/>
  <c r="AG799" i="10"/>
  <c r="AG802" i="10"/>
  <c r="AG803" i="10"/>
  <c r="AG805" i="10"/>
  <c r="AG809" i="10"/>
  <c r="AG811" i="10"/>
  <c r="AG814" i="10"/>
  <c r="AG817" i="10"/>
  <c r="AG823" i="10"/>
  <c r="AG832" i="10"/>
  <c r="AG847" i="10"/>
  <c r="AG853" i="10"/>
  <c r="AG857" i="10"/>
  <c r="AG862" i="10"/>
  <c r="AG863" i="10"/>
  <c r="AG882" i="10"/>
  <c r="AG883" i="10"/>
  <c r="AG898" i="10"/>
  <c r="AG901" i="10"/>
  <c r="AG907" i="10"/>
  <c r="AG922" i="10"/>
  <c r="AG937" i="10"/>
  <c r="AG955" i="10"/>
  <c r="AG3" i="10"/>
  <c r="AG959" i="10"/>
  <c r="AF3" i="9"/>
  <c r="AG4" i="9"/>
  <c r="AG5" i="9"/>
  <c r="AG6" i="9"/>
  <c r="AG7" i="9"/>
  <c r="AG8" i="9"/>
  <c r="AG9" i="9"/>
  <c r="AG10" i="9"/>
  <c r="AG11" i="9"/>
  <c r="AG12" i="9"/>
  <c r="AG13" i="9"/>
  <c r="AG14" i="9"/>
  <c r="AG15" i="9"/>
  <c r="AG16" i="9"/>
  <c r="AG17" i="9"/>
  <c r="AG18" i="9"/>
  <c r="AG19" i="9"/>
  <c r="AG20" i="9"/>
  <c r="AG21" i="9"/>
  <c r="AG22" i="9"/>
  <c r="AG23" i="9"/>
  <c r="AG24" i="9"/>
  <c r="AG25" i="9"/>
  <c r="AG26" i="9"/>
  <c r="AG27" i="9"/>
  <c r="AG28" i="9"/>
  <c r="AG29" i="9"/>
  <c r="AG30" i="9"/>
  <c r="AG31" i="9"/>
  <c r="AG32" i="9"/>
  <c r="AG33" i="9"/>
  <c r="AG34" i="9"/>
  <c r="AG35" i="9"/>
  <c r="AG36" i="9"/>
  <c r="AG37" i="9"/>
  <c r="AG38" i="9"/>
  <c r="AG39" i="9"/>
  <c r="AG40" i="9"/>
  <c r="AG41" i="9"/>
  <c r="AG42" i="9"/>
  <c r="AG43" i="9"/>
  <c r="AG44" i="9"/>
  <c r="AG45" i="9"/>
  <c r="AG46" i="9"/>
  <c r="AG47" i="9"/>
  <c r="AG48" i="9"/>
  <c r="AG49" i="9"/>
  <c r="AG50" i="9"/>
  <c r="AG51" i="9"/>
  <c r="AG52" i="9"/>
  <c r="AG53" i="9"/>
  <c r="AG54" i="9"/>
  <c r="AG55" i="9"/>
  <c r="AG56" i="9"/>
  <c r="AG57" i="9"/>
  <c r="AG58" i="9"/>
  <c r="AG59" i="9"/>
  <c r="AG60" i="9"/>
  <c r="AG61" i="9"/>
  <c r="AG62" i="9"/>
  <c r="AG63" i="9"/>
  <c r="AG64" i="9"/>
  <c r="AG65" i="9"/>
  <c r="AG66" i="9"/>
  <c r="AG67" i="9"/>
  <c r="AG68" i="9"/>
  <c r="AG69" i="9"/>
  <c r="AG70" i="9"/>
  <c r="AG71" i="9"/>
  <c r="AF72" i="9"/>
  <c r="AG72" i="9" s="1"/>
  <c r="AF73" i="9"/>
  <c r="AG73" i="9" s="1"/>
  <c r="AF74" i="9"/>
  <c r="AG74" i="9" s="1"/>
  <c r="AF75" i="9"/>
  <c r="AG75" i="9" s="1"/>
  <c r="AF76" i="9"/>
  <c r="AG76" i="9" s="1"/>
  <c r="AF77" i="9"/>
  <c r="AG77" i="9" s="1"/>
  <c r="AF78" i="9"/>
  <c r="AG78" i="9" s="1"/>
  <c r="AF79" i="9"/>
  <c r="AG79" i="9" s="1"/>
  <c r="AF80" i="9"/>
  <c r="AG80" i="9" s="1"/>
  <c r="AF81" i="9"/>
  <c r="AG81" i="9" s="1"/>
  <c r="AF82" i="9"/>
  <c r="AG82" i="9" s="1"/>
  <c r="AF83" i="9"/>
  <c r="AG83" i="9" s="1"/>
  <c r="AF84" i="9"/>
  <c r="AG84" i="9" s="1"/>
  <c r="AF85" i="9"/>
  <c r="AG85" i="9" s="1"/>
  <c r="AF86" i="9"/>
  <c r="AG86" i="9" s="1"/>
  <c r="AF87" i="9"/>
  <c r="AG87" i="9" s="1"/>
  <c r="AF88" i="9"/>
  <c r="AG88" i="9" s="1"/>
  <c r="AF89" i="9"/>
  <c r="AG89" i="9" s="1"/>
  <c r="AF90" i="9"/>
  <c r="AG90" i="9" s="1"/>
  <c r="AF91" i="9"/>
  <c r="AG91" i="9" s="1"/>
  <c r="AF92" i="9"/>
  <c r="AG92" i="9" s="1"/>
  <c r="AF93" i="9"/>
  <c r="AG93" i="9" s="1"/>
  <c r="AF94" i="9"/>
  <c r="AG94" i="9" s="1"/>
  <c r="AF95" i="9"/>
  <c r="AG95" i="9" s="1"/>
  <c r="AF96" i="9"/>
  <c r="AG96" i="9" s="1"/>
  <c r="AF97" i="9"/>
  <c r="AG97" i="9" s="1"/>
  <c r="AF98" i="9"/>
  <c r="AG98" i="9" s="1"/>
  <c r="AF99" i="9"/>
  <c r="AG99" i="9" s="1"/>
  <c r="AF100" i="9"/>
  <c r="AG100" i="9" s="1"/>
  <c r="AF101" i="9"/>
  <c r="AG101" i="9" s="1"/>
  <c r="AF102" i="9"/>
  <c r="AG102" i="9" s="1"/>
  <c r="AF103" i="9"/>
  <c r="AG103" i="9" s="1"/>
  <c r="AF104" i="9"/>
  <c r="AG104" i="9" s="1"/>
  <c r="AF105" i="9"/>
  <c r="AG105" i="9" s="1"/>
  <c r="AF106" i="9"/>
  <c r="AG106" i="9" s="1"/>
  <c r="AF107" i="9"/>
  <c r="AG107" i="9" s="1"/>
  <c r="AF108" i="9"/>
  <c r="AG108" i="9" s="1"/>
  <c r="AF109" i="9"/>
  <c r="AG109" i="9" s="1"/>
  <c r="AF110" i="9"/>
  <c r="AG110" i="9" s="1"/>
  <c r="AF111" i="9"/>
  <c r="AG111" i="9" s="1"/>
  <c r="AF112" i="9"/>
  <c r="AG112" i="9" s="1"/>
  <c r="AF113" i="9"/>
  <c r="AG113" i="9" s="1"/>
  <c r="AF114" i="9"/>
  <c r="AG114" i="9" s="1"/>
  <c r="AF115" i="9"/>
  <c r="AG115" i="9" s="1"/>
  <c r="AF116" i="9"/>
  <c r="AG116" i="9" s="1"/>
  <c r="AF117" i="9"/>
  <c r="AG117" i="9" s="1"/>
  <c r="AF118" i="9"/>
  <c r="AG118" i="9" s="1"/>
  <c r="AF119" i="9"/>
  <c r="AG119" i="9" s="1"/>
  <c r="AF120" i="9"/>
  <c r="AG120" i="9" s="1"/>
  <c r="AF121" i="9"/>
  <c r="AG121" i="9" s="1"/>
  <c r="AF122" i="9"/>
  <c r="AG122" i="9" s="1"/>
  <c r="AF123" i="9"/>
  <c r="AG123" i="9" s="1"/>
  <c r="AF124" i="9"/>
  <c r="AG124" i="9" s="1"/>
  <c r="AF125" i="9"/>
  <c r="AG125" i="9" s="1"/>
  <c r="AF126" i="9"/>
  <c r="AG126" i="9" s="1"/>
  <c r="AF127" i="9"/>
  <c r="AG127" i="9" s="1"/>
  <c r="AF128" i="9"/>
  <c r="AG128" i="9" s="1"/>
  <c r="AF129" i="9"/>
  <c r="AG129" i="9" s="1"/>
  <c r="AF130" i="9"/>
  <c r="AG130" i="9" s="1"/>
  <c r="AF131" i="9"/>
  <c r="AG131" i="9" s="1"/>
  <c r="AF132" i="9"/>
  <c r="AG132" i="9" s="1"/>
  <c r="AF133" i="9"/>
  <c r="AG133" i="9" s="1"/>
  <c r="AF134" i="9"/>
  <c r="AG134" i="9" s="1"/>
  <c r="AF135" i="9"/>
  <c r="AG135" i="9" s="1"/>
  <c r="AF136" i="9"/>
  <c r="AG136" i="9" s="1"/>
  <c r="AF137" i="9"/>
  <c r="AG137" i="9" s="1"/>
  <c r="AF138" i="9"/>
  <c r="AG138" i="9" s="1"/>
  <c r="AF139" i="9"/>
  <c r="AG139" i="9" s="1"/>
  <c r="AF140" i="9"/>
  <c r="AG140" i="9" s="1"/>
  <c r="AF141" i="9"/>
  <c r="AG141" i="9" s="1"/>
  <c r="AF142" i="9"/>
  <c r="AG142" i="9" s="1"/>
  <c r="AF143" i="9"/>
  <c r="AG143" i="9" s="1"/>
  <c r="AF144" i="9"/>
  <c r="AG144" i="9" s="1"/>
  <c r="AF145" i="9"/>
  <c r="AG145" i="9" s="1"/>
  <c r="AF146" i="9"/>
  <c r="AG146" i="9" s="1"/>
  <c r="AF147" i="9"/>
  <c r="AG147" i="9" s="1"/>
  <c r="AF148" i="9"/>
  <c r="AG148" i="9" s="1"/>
  <c r="AF149" i="9"/>
  <c r="AG149" i="9" s="1"/>
  <c r="AF150" i="9"/>
  <c r="AG150" i="9" s="1"/>
  <c r="AF151" i="9"/>
  <c r="AG151" i="9" s="1"/>
  <c r="AF152" i="9"/>
  <c r="AG152" i="9" s="1"/>
  <c r="AF153" i="9"/>
  <c r="AG153" i="9" s="1"/>
  <c r="AF154" i="9"/>
  <c r="AG154" i="9" s="1"/>
  <c r="AF155" i="9"/>
  <c r="AG155" i="9" s="1"/>
  <c r="AF156" i="9"/>
  <c r="AG156" i="9" s="1"/>
  <c r="AF157" i="9"/>
  <c r="AG157" i="9" s="1"/>
  <c r="AF158" i="9"/>
  <c r="AG158" i="9" s="1"/>
  <c r="AF159" i="9"/>
  <c r="AG159" i="9" s="1"/>
  <c r="AF160" i="9"/>
  <c r="AG160" i="9" s="1"/>
  <c r="AF161" i="9"/>
  <c r="AG161" i="9" s="1"/>
  <c r="AF162" i="9"/>
  <c r="AG162" i="9" s="1"/>
  <c r="AF163" i="9"/>
  <c r="AG163" i="9" s="1"/>
  <c r="AF164" i="9"/>
  <c r="AG164" i="9" s="1"/>
  <c r="AF165" i="9"/>
  <c r="AG165" i="9" s="1"/>
  <c r="AF166" i="9"/>
  <c r="AG166" i="9" s="1"/>
  <c r="AF167" i="9"/>
  <c r="AG167" i="9" s="1"/>
  <c r="AF168" i="9"/>
  <c r="AG168" i="9" s="1"/>
  <c r="AF169" i="9"/>
  <c r="AG169" i="9" s="1"/>
  <c r="AF170" i="9"/>
  <c r="AG170" i="9" s="1"/>
  <c r="AF171" i="9"/>
  <c r="AG171" i="9" s="1"/>
  <c r="AF172" i="9"/>
  <c r="AG172" i="9" s="1"/>
  <c r="AF173" i="9"/>
  <c r="AG173" i="9" s="1"/>
  <c r="AF174" i="9"/>
  <c r="AG174" i="9" s="1"/>
  <c r="AF175" i="9"/>
  <c r="AG175" i="9" s="1"/>
  <c r="AF176" i="9"/>
  <c r="AG176" i="9" s="1"/>
  <c r="AF177" i="9"/>
  <c r="AG177" i="9" s="1"/>
  <c r="AF178" i="9"/>
  <c r="AG178" i="9" s="1"/>
  <c r="AF179" i="9"/>
  <c r="AG179" i="9" s="1"/>
  <c r="AF180" i="9"/>
  <c r="AG180" i="9" s="1"/>
  <c r="AF181" i="9"/>
  <c r="AG181" i="9" s="1"/>
  <c r="AF182" i="9"/>
  <c r="AG182" i="9" s="1"/>
  <c r="AF183" i="9"/>
  <c r="AG183" i="9" s="1"/>
  <c r="AF184" i="9"/>
  <c r="AG184" i="9" s="1"/>
  <c r="AF185" i="9"/>
  <c r="AG185" i="9" s="1"/>
  <c r="AF186" i="9"/>
  <c r="AG186" i="9" s="1"/>
  <c r="AF187" i="9"/>
  <c r="AG187" i="9" s="1"/>
  <c r="AF188" i="9"/>
  <c r="AG188" i="9" s="1"/>
  <c r="AF189" i="9"/>
  <c r="AG189" i="9" s="1"/>
  <c r="AF190" i="9"/>
  <c r="AG190" i="9" s="1"/>
  <c r="AF191" i="9"/>
  <c r="AG191" i="9" s="1"/>
  <c r="AF192" i="9"/>
  <c r="AG192" i="9" s="1"/>
  <c r="AF193" i="9"/>
  <c r="AG193" i="9" s="1"/>
  <c r="AF194" i="9"/>
  <c r="AG194" i="9" s="1"/>
  <c r="AF195" i="9"/>
  <c r="AG195" i="9" s="1"/>
  <c r="AF196" i="9"/>
  <c r="AG196" i="9" s="1"/>
  <c r="AF197" i="9"/>
  <c r="AG197" i="9" s="1"/>
  <c r="AF198" i="9"/>
  <c r="AG198" i="9" s="1"/>
  <c r="AF199" i="9"/>
  <c r="AG199" i="9" s="1"/>
  <c r="AF200" i="9"/>
  <c r="AG200" i="9" s="1"/>
  <c r="AF201" i="9"/>
  <c r="AG201" i="9" s="1"/>
  <c r="AF202" i="9"/>
  <c r="AG202" i="9" s="1"/>
  <c r="AF203" i="9"/>
  <c r="AG203" i="9" s="1"/>
  <c r="AF204" i="9"/>
  <c r="AG204" i="9" s="1"/>
  <c r="AF205" i="9"/>
  <c r="AG205" i="9" s="1"/>
  <c r="AF206" i="9"/>
  <c r="AG206" i="9" s="1"/>
  <c r="AF207" i="9"/>
  <c r="AG207" i="9" s="1"/>
  <c r="AF208" i="9"/>
  <c r="AG208" i="9" s="1"/>
  <c r="AF209" i="9"/>
  <c r="AG209" i="9" s="1"/>
  <c r="AF210" i="9"/>
  <c r="AG210" i="9" s="1"/>
  <c r="AF211" i="9"/>
  <c r="AG211" i="9" s="1"/>
  <c r="AF212" i="9"/>
  <c r="AG212" i="9" s="1"/>
  <c r="AF213" i="9"/>
  <c r="AG213" i="9" s="1"/>
  <c r="AF214" i="9"/>
  <c r="AG214" i="9" s="1"/>
  <c r="AF215" i="9"/>
  <c r="AG215" i="9" s="1"/>
  <c r="AF216" i="9"/>
  <c r="AG216" i="9" s="1"/>
  <c r="AF217" i="9"/>
  <c r="AG217" i="9" s="1"/>
  <c r="AF218" i="9"/>
  <c r="AG218" i="9" s="1"/>
  <c r="AF219" i="9"/>
  <c r="AG219" i="9" s="1"/>
  <c r="AF220" i="9"/>
  <c r="AG220" i="9" s="1"/>
  <c r="AF221" i="9"/>
  <c r="AG221" i="9" s="1"/>
  <c r="AF222" i="9"/>
  <c r="AG222" i="9" s="1"/>
  <c r="AF223" i="9"/>
  <c r="AG223" i="9" s="1"/>
  <c r="AF224" i="9"/>
  <c r="AG224" i="9" s="1"/>
  <c r="AF225" i="9"/>
  <c r="AG225" i="9" s="1"/>
  <c r="AF226" i="9"/>
  <c r="AG226" i="9" s="1"/>
  <c r="AF227" i="9"/>
  <c r="AG227" i="9" s="1"/>
  <c r="AF228" i="9"/>
  <c r="AG228" i="9" s="1"/>
  <c r="AF229" i="9"/>
  <c r="AG229" i="9" s="1"/>
  <c r="AF230" i="9"/>
  <c r="AG230" i="9" s="1"/>
  <c r="AF231" i="9"/>
  <c r="AG231" i="9" s="1"/>
  <c r="AF232" i="9"/>
  <c r="AG232" i="9" s="1"/>
  <c r="AF233" i="9"/>
  <c r="AG233" i="9" s="1"/>
  <c r="AF234" i="9"/>
  <c r="AG234" i="9" s="1"/>
  <c r="AF235" i="9"/>
  <c r="AG235" i="9" s="1"/>
  <c r="AF236" i="9"/>
  <c r="AG236" i="9" s="1"/>
  <c r="AF237" i="9"/>
  <c r="AG237" i="9" s="1"/>
  <c r="AF238" i="9"/>
  <c r="AG238" i="9" s="1"/>
  <c r="AF239" i="9"/>
  <c r="AG239" i="9" s="1"/>
  <c r="AF240" i="9"/>
  <c r="AG240" i="9" s="1"/>
  <c r="AF241" i="9"/>
  <c r="AG241" i="9" s="1"/>
  <c r="AF242" i="9"/>
  <c r="AG242" i="9" s="1"/>
  <c r="AF243" i="9"/>
  <c r="AG243" i="9" s="1"/>
  <c r="AF244" i="9"/>
  <c r="AG244" i="9" s="1"/>
  <c r="AF245" i="9"/>
  <c r="AG245" i="9" s="1"/>
  <c r="AF246" i="9"/>
  <c r="AG246" i="9" s="1"/>
  <c r="AF247" i="9"/>
  <c r="AG247" i="9" s="1"/>
  <c r="AF248" i="9"/>
  <c r="AG248" i="9" s="1"/>
  <c r="AF249" i="9"/>
  <c r="AG249" i="9" s="1"/>
  <c r="AF250" i="9"/>
  <c r="AG250" i="9" s="1"/>
  <c r="AF251" i="9"/>
  <c r="AG251" i="9" s="1"/>
  <c r="AF252" i="9"/>
  <c r="AG252" i="9" s="1"/>
  <c r="AF253" i="9"/>
  <c r="AG253" i="9" s="1"/>
  <c r="AF254" i="9"/>
  <c r="AG254" i="9" s="1"/>
  <c r="AF255" i="9"/>
  <c r="AG255" i="9" s="1"/>
  <c r="AF256" i="9"/>
  <c r="AG256" i="9" s="1"/>
  <c r="AF257" i="9"/>
  <c r="AG257" i="9" s="1"/>
  <c r="AF258" i="9"/>
  <c r="AG258" i="9" s="1"/>
  <c r="AF259" i="9"/>
  <c r="AG259" i="9" s="1"/>
  <c r="AF260" i="9"/>
  <c r="AG260" i="9" s="1"/>
  <c r="AF261" i="9"/>
  <c r="AG261" i="9" s="1"/>
  <c r="AF262" i="9"/>
  <c r="AG262" i="9" s="1"/>
  <c r="AF263" i="9"/>
  <c r="AG263" i="9" s="1"/>
  <c r="AF264" i="9"/>
  <c r="AG264" i="9" s="1"/>
  <c r="AF265" i="9"/>
  <c r="AG265" i="9" s="1"/>
  <c r="AF266" i="9"/>
  <c r="AG266" i="9" s="1"/>
  <c r="AF267" i="9"/>
  <c r="AG267" i="9" s="1"/>
  <c r="AF268" i="9"/>
  <c r="AG268" i="9" s="1"/>
  <c r="AF269" i="9"/>
  <c r="AG269" i="9" s="1"/>
  <c r="AF270" i="9"/>
  <c r="AG270" i="9" s="1"/>
  <c r="AF271" i="9"/>
  <c r="AG271" i="9" s="1"/>
  <c r="AF272" i="9"/>
  <c r="AG272" i="9" s="1"/>
  <c r="AF273" i="9"/>
  <c r="AG273" i="9" s="1"/>
  <c r="AF274" i="9"/>
  <c r="AG274" i="9" s="1"/>
  <c r="AF275" i="9"/>
  <c r="AG275" i="9" s="1"/>
  <c r="AF276" i="9"/>
  <c r="AG276" i="9" s="1"/>
  <c r="AF277" i="9"/>
  <c r="AG277" i="9" s="1"/>
  <c r="AF278" i="9"/>
  <c r="AG278" i="9" s="1"/>
  <c r="AF279" i="9"/>
  <c r="AG279" i="9" s="1"/>
  <c r="AF280" i="9"/>
  <c r="AG280" i="9" s="1"/>
  <c r="AF281" i="9"/>
  <c r="AG281" i="9" s="1"/>
  <c r="AF282" i="9"/>
  <c r="AG282" i="9" s="1"/>
  <c r="AF283" i="9"/>
  <c r="AG283" i="9" s="1"/>
  <c r="AF284" i="9"/>
  <c r="AG284" i="9" s="1"/>
  <c r="AF285" i="9"/>
  <c r="AG285" i="9" s="1"/>
  <c r="AF286" i="9"/>
  <c r="AG286" i="9" s="1"/>
  <c r="AF287" i="9"/>
  <c r="AG287" i="9" s="1"/>
  <c r="AF288" i="9"/>
  <c r="AG288" i="9" s="1"/>
  <c r="AF289" i="9"/>
  <c r="AG289" i="9" s="1"/>
  <c r="AF290" i="9"/>
  <c r="AG290" i="9" s="1"/>
  <c r="AF291" i="9"/>
  <c r="AG291" i="9" s="1"/>
  <c r="AF292" i="9"/>
  <c r="AG292" i="9" s="1"/>
  <c r="AF293" i="9"/>
  <c r="AG293" i="9" s="1"/>
  <c r="AF294" i="9"/>
  <c r="AG294" i="9" s="1"/>
  <c r="AF295" i="9"/>
  <c r="AG295" i="9" s="1"/>
  <c r="AF296" i="9"/>
  <c r="AG296" i="9" s="1"/>
  <c r="AF297" i="9"/>
  <c r="AG297" i="9" s="1"/>
  <c r="AF298" i="9"/>
  <c r="AG298" i="9" s="1"/>
  <c r="AF299" i="9"/>
  <c r="AG299" i="9" s="1"/>
  <c r="AF300" i="9"/>
  <c r="AG300" i="9" s="1"/>
  <c r="AF301" i="9"/>
  <c r="AG301" i="9" s="1"/>
  <c r="AF302" i="9"/>
  <c r="AG302" i="9" s="1"/>
  <c r="AF303" i="9"/>
  <c r="AG303" i="9" s="1"/>
  <c r="AF304" i="9"/>
  <c r="AG304" i="9" s="1"/>
  <c r="AF305" i="9"/>
  <c r="AG305" i="9" s="1"/>
  <c r="AF306" i="9"/>
  <c r="AG306" i="9" s="1"/>
  <c r="AF307" i="9"/>
  <c r="AG307" i="9" s="1"/>
  <c r="AF308" i="9"/>
  <c r="AG308" i="9" s="1"/>
  <c r="AF309" i="9"/>
  <c r="AG309" i="9" s="1"/>
  <c r="AF310" i="9"/>
  <c r="AG310" i="9" s="1"/>
  <c r="AF311" i="9"/>
  <c r="AG311" i="9" s="1"/>
  <c r="AF312" i="9"/>
  <c r="AG312" i="9" s="1"/>
  <c r="AF313" i="9"/>
  <c r="AG313" i="9" s="1"/>
  <c r="AF314" i="9"/>
  <c r="AG314" i="9" s="1"/>
  <c r="AF315" i="9"/>
  <c r="AG315" i="9" s="1"/>
  <c r="AF316" i="9"/>
  <c r="AG316" i="9" s="1"/>
  <c r="AF317" i="9"/>
  <c r="AG317" i="9" s="1"/>
  <c r="AF318" i="9"/>
  <c r="AG318" i="9" s="1"/>
  <c r="AF319" i="9"/>
  <c r="AG319" i="9" s="1"/>
  <c r="AF320" i="9"/>
  <c r="AG320" i="9" s="1"/>
  <c r="AF321" i="9"/>
  <c r="AG321" i="9" s="1"/>
  <c r="AF322" i="9"/>
  <c r="AG322" i="9" s="1"/>
  <c r="AF323" i="9"/>
  <c r="AG323" i="9" s="1"/>
  <c r="AF324" i="9"/>
  <c r="AG324" i="9" s="1"/>
  <c r="AF325" i="9"/>
  <c r="AG325" i="9" s="1"/>
  <c r="AF326" i="9"/>
  <c r="AG326" i="9" s="1"/>
  <c r="AF327" i="9"/>
  <c r="AG327" i="9" s="1"/>
  <c r="AF328" i="9"/>
  <c r="AG328" i="9" s="1"/>
  <c r="AF329" i="9"/>
  <c r="AG329" i="9" s="1"/>
  <c r="AF330" i="9"/>
  <c r="AG330" i="9" s="1"/>
  <c r="AF331" i="9"/>
  <c r="AG331" i="9" s="1"/>
  <c r="AF332" i="9"/>
  <c r="AG332" i="9" s="1"/>
  <c r="AF333" i="9"/>
  <c r="AG333" i="9" s="1"/>
  <c r="AF334" i="9"/>
  <c r="AG334" i="9" s="1"/>
  <c r="AF335" i="9"/>
  <c r="AG335" i="9" s="1"/>
  <c r="AF336" i="9"/>
  <c r="AG336" i="9" s="1"/>
  <c r="AF337" i="9"/>
  <c r="AG337" i="9" s="1"/>
  <c r="AF338" i="9"/>
  <c r="AG338" i="9" s="1"/>
  <c r="AF339" i="9"/>
  <c r="AG339" i="9" s="1"/>
  <c r="AF340" i="9"/>
  <c r="AG340" i="9" s="1"/>
  <c r="AF341" i="9"/>
  <c r="AG341" i="9" s="1"/>
  <c r="AF342" i="9"/>
  <c r="AG342" i="9" s="1"/>
  <c r="AF343" i="9"/>
  <c r="AG343" i="9" s="1"/>
  <c r="AF344" i="9"/>
  <c r="AG344" i="9" s="1"/>
  <c r="AF345" i="9"/>
  <c r="AG345" i="9" s="1"/>
  <c r="AF346" i="9"/>
  <c r="AG346" i="9" s="1"/>
  <c r="AF347" i="9"/>
  <c r="AG347" i="9" s="1"/>
  <c r="AF348" i="9"/>
  <c r="AG348" i="9" s="1"/>
  <c r="AF349" i="9"/>
  <c r="AG349" i="9" s="1"/>
  <c r="AF350" i="9"/>
  <c r="AG350" i="9" s="1"/>
  <c r="AF351" i="9"/>
  <c r="AG351" i="9" s="1"/>
  <c r="AF352" i="9"/>
  <c r="AG352" i="9" s="1"/>
  <c r="AF353" i="9"/>
  <c r="AG353" i="9" s="1"/>
  <c r="AF354" i="9"/>
  <c r="AG354" i="9" s="1"/>
  <c r="AF355" i="9"/>
  <c r="AG355" i="9" s="1"/>
  <c r="AF356" i="9"/>
  <c r="AG356" i="9" s="1"/>
  <c r="AF357" i="9"/>
  <c r="AG357" i="9" s="1"/>
  <c r="AF358" i="9"/>
  <c r="AG358" i="9" s="1"/>
  <c r="AF359" i="9"/>
  <c r="AG359" i="9" s="1"/>
  <c r="AF360" i="9"/>
  <c r="AG360" i="9" s="1"/>
  <c r="AF361" i="9"/>
  <c r="AG361" i="9" s="1"/>
  <c r="AF362" i="9"/>
  <c r="AG362" i="9" s="1"/>
  <c r="AF363" i="9"/>
  <c r="AG363" i="9" s="1"/>
  <c r="AF364" i="9"/>
  <c r="AG364" i="9" s="1"/>
  <c r="AF365" i="9"/>
  <c r="AG365" i="9" s="1"/>
  <c r="AF366" i="9"/>
  <c r="AG366" i="9" s="1"/>
  <c r="AF367" i="9"/>
  <c r="AG367" i="9" s="1"/>
  <c r="AF368" i="9"/>
  <c r="AG368" i="9" s="1"/>
  <c r="AF369" i="9"/>
  <c r="AG369" i="9" s="1"/>
  <c r="AF370" i="9"/>
  <c r="AG370" i="9" s="1"/>
  <c r="AF371" i="9"/>
  <c r="AG371" i="9" s="1"/>
  <c r="AF372" i="9"/>
  <c r="AG372" i="9" s="1"/>
  <c r="AF373" i="9"/>
  <c r="AG373" i="9" s="1"/>
  <c r="AF374" i="9"/>
  <c r="AG374" i="9" s="1"/>
  <c r="AF375" i="9"/>
  <c r="AG375" i="9" s="1"/>
  <c r="AF376" i="9"/>
  <c r="AG376" i="9" s="1"/>
  <c r="AF377" i="9"/>
  <c r="AG377" i="9" s="1"/>
  <c r="AF378" i="9"/>
  <c r="AG378" i="9" s="1"/>
  <c r="AF379" i="9"/>
  <c r="AG379" i="9" s="1"/>
  <c r="AF380" i="9"/>
  <c r="AG380" i="9" s="1"/>
  <c r="AF381" i="9"/>
  <c r="AG381" i="9" s="1"/>
  <c r="AF382" i="9"/>
  <c r="AG382" i="9" s="1"/>
  <c r="AF383" i="9"/>
  <c r="AG383" i="9" s="1"/>
  <c r="AF384" i="9"/>
  <c r="AG384" i="9" s="1"/>
  <c r="AF385" i="9"/>
  <c r="AG385" i="9" s="1"/>
  <c r="AF386" i="9"/>
  <c r="AG386" i="9" s="1"/>
  <c r="AF387" i="9"/>
  <c r="AG387" i="9" s="1"/>
  <c r="AF388" i="9"/>
  <c r="AG388" i="9" s="1"/>
  <c r="AF389" i="9"/>
  <c r="AG389" i="9" s="1"/>
  <c r="AF390" i="9"/>
  <c r="AG390" i="9" s="1"/>
  <c r="AF391" i="9"/>
  <c r="AG391" i="9" s="1"/>
  <c r="AF392" i="9"/>
  <c r="AG392" i="9" s="1"/>
  <c r="AF393" i="9"/>
  <c r="AG393" i="9" s="1"/>
  <c r="AF394" i="9"/>
  <c r="AG394" i="9" s="1"/>
  <c r="AF395" i="9"/>
  <c r="AG395" i="9" s="1"/>
  <c r="AF396" i="9"/>
  <c r="AG396" i="9" s="1"/>
  <c r="AF397" i="9"/>
  <c r="AG397" i="9" s="1"/>
  <c r="AF398" i="9"/>
  <c r="AG398" i="9" s="1"/>
  <c r="AF399" i="9"/>
  <c r="AG399" i="9" s="1"/>
  <c r="AF400" i="9"/>
  <c r="AG400" i="9" s="1"/>
  <c r="AF401" i="9"/>
  <c r="AG401" i="9" s="1"/>
  <c r="AF402" i="9"/>
  <c r="AG402" i="9" s="1"/>
  <c r="AF403" i="9"/>
  <c r="AG403" i="9" s="1"/>
  <c r="AF404" i="9"/>
  <c r="AG404" i="9" s="1"/>
  <c r="AF405" i="9"/>
  <c r="AG405" i="9" s="1"/>
  <c r="AF406" i="9"/>
  <c r="AG406" i="9" s="1"/>
  <c r="AF407" i="9"/>
  <c r="AG407" i="9" s="1"/>
  <c r="AF408" i="9"/>
  <c r="AG408" i="9" s="1"/>
  <c r="AF409" i="9"/>
  <c r="AG409" i="9" s="1"/>
  <c r="AF410" i="9"/>
  <c r="AG410" i="9" s="1"/>
  <c r="AF411" i="9"/>
  <c r="AG411" i="9" s="1"/>
  <c r="AF412" i="9"/>
  <c r="AG412" i="9" s="1"/>
  <c r="AF413" i="9"/>
  <c r="AG413" i="9" s="1"/>
  <c r="AF414" i="9"/>
  <c r="AG414" i="9" s="1"/>
  <c r="AF415" i="9"/>
  <c r="AG415" i="9" s="1"/>
  <c r="AF416" i="9"/>
  <c r="AG416" i="9" s="1"/>
  <c r="AF417" i="9"/>
  <c r="AG417" i="9" s="1"/>
  <c r="AF418" i="9"/>
  <c r="AG418" i="9" s="1"/>
  <c r="AF419" i="9"/>
  <c r="AG419" i="9" s="1"/>
  <c r="AF420" i="9"/>
  <c r="AG420" i="9" s="1"/>
  <c r="AF421" i="9"/>
  <c r="AG421" i="9" s="1"/>
  <c r="AF422" i="9"/>
  <c r="AG422" i="9" s="1"/>
  <c r="AF423" i="9"/>
  <c r="AG423" i="9" s="1"/>
  <c r="AF424" i="9"/>
  <c r="AG424" i="9" s="1"/>
  <c r="AF425" i="9"/>
  <c r="AG425" i="9" s="1"/>
  <c r="AF426" i="9"/>
  <c r="AG426" i="9" s="1"/>
  <c r="AF427" i="9"/>
  <c r="AG427" i="9" s="1"/>
  <c r="AF428" i="9"/>
  <c r="AG428" i="9" s="1"/>
  <c r="AF429" i="9"/>
  <c r="AG429" i="9" s="1"/>
  <c r="AF430" i="9"/>
  <c r="AG430" i="9" s="1"/>
  <c r="AF431" i="9"/>
  <c r="AG431" i="9" s="1"/>
  <c r="AF432" i="9"/>
  <c r="AG432" i="9" s="1"/>
  <c r="AF433" i="9"/>
  <c r="AG433" i="9" s="1"/>
  <c r="AF434" i="9"/>
  <c r="AG434" i="9" s="1"/>
  <c r="AF435" i="9"/>
  <c r="AG435" i="9" s="1"/>
  <c r="AF436" i="9"/>
  <c r="AG436" i="9" s="1"/>
  <c r="AF437" i="9"/>
  <c r="AG437" i="9" s="1"/>
  <c r="AF438" i="9"/>
  <c r="AG438" i="9" s="1"/>
  <c r="AF439" i="9"/>
  <c r="AG439" i="9" s="1"/>
  <c r="AF440" i="9"/>
  <c r="AG440" i="9" s="1"/>
  <c r="AF441" i="9"/>
  <c r="AG441" i="9" s="1"/>
  <c r="AF442" i="9"/>
  <c r="AG442" i="9" s="1"/>
  <c r="AF443" i="9"/>
  <c r="AG443" i="9" s="1"/>
  <c r="AF444" i="9"/>
  <c r="AG444" i="9" s="1"/>
  <c r="AF445" i="9"/>
  <c r="AG445" i="9" s="1"/>
  <c r="AF446" i="9"/>
  <c r="AG446" i="9" s="1"/>
  <c r="AF447" i="9"/>
  <c r="AG447" i="9" s="1"/>
  <c r="AF448" i="9"/>
  <c r="AG448" i="9" s="1"/>
  <c r="AF449" i="9"/>
  <c r="AG449" i="9" s="1"/>
  <c r="AF450" i="9"/>
  <c r="AG450" i="9" s="1"/>
  <c r="AF451" i="9"/>
  <c r="AG451" i="9" s="1"/>
  <c r="AF452" i="9"/>
  <c r="AG452" i="9" s="1"/>
  <c r="AF453" i="9"/>
  <c r="AG453" i="9" s="1"/>
  <c r="AF454" i="9"/>
  <c r="AG454" i="9" s="1"/>
  <c r="AF455" i="9"/>
  <c r="AG455" i="9" s="1"/>
  <c r="AF456" i="9"/>
  <c r="AG456" i="9" s="1"/>
  <c r="AF457" i="9"/>
  <c r="AG457" i="9" s="1"/>
  <c r="AF458" i="9"/>
  <c r="AG458" i="9" s="1"/>
  <c r="AF459" i="9"/>
  <c r="AG459" i="9" s="1"/>
  <c r="AF460" i="9"/>
  <c r="AG460" i="9" s="1"/>
  <c r="AF461" i="9"/>
  <c r="AG461" i="9" s="1"/>
  <c r="AF462" i="9"/>
  <c r="AG462" i="9" s="1"/>
  <c r="AF463" i="9"/>
  <c r="AG463" i="9" s="1"/>
  <c r="AF464" i="9"/>
  <c r="AG464" i="9" s="1"/>
  <c r="AF465" i="9"/>
  <c r="AG465" i="9" s="1"/>
  <c r="AF466" i="9"/>
  <c r="AG466" i="9" s="1"/>
  <c r="AF467" i="9"/>
  <c r="AG467" i="9" s="1"/>
  <c r="AF468" i="9"/>
  <c r="AG468" i="9" s="1"/>
  <c r="AF469" i="9"/>
  <c r="AG469" i="9" s="1"/>
  <c r="AF470" i="9"/>
  <c r="AG470" i="9" s="1"/>
  <c r="AF471" i="9"/>
  <c r="AG471" i="9" s="1"/>
  <c r="AF472" i="9"/>
  <c r="AG472" i="9" s="1"/>
  <c r="AF473" i="9"/>
  <c r="AG473" i="9" s="1"/>
  <c r="AF474" i="9"/>
  <c r="AG474" i="9" s="1"/>
  <c r="AF475" i="9"/>
  <c r="AG475" i="9" s="1"/>
  <c r="AF476" i="9"/>
  <c r="AG476" i="9" s="1"/>
  <c r="AF477" i="9"/>
  <c r="AG477" i="9" s="1"/>
  <c r="AF478" i="9"/>
  <c r="AG478" i="9" s="1"/>
  <c r="AF479" i="9"/>
  <c r="AG479" i="9" s="1"/>
  <c r="AF480" i="9"/>
  <c r="AG480" i="9" s="1"/>
  <c r="AF481" i="9"/>
  <c r="AG481" i="9" s="1"/>
  <c r="AF482" i="9"/>
  <c r="AG482" i="9" s="1"/>
  <c r="AF483" i="9"/>
  <c r="AG483" i="9" s="1"/>
  <c r="AF484" i="9"/>
  <c r="AG484" i="9" s="1"/>
  <c r="AF485" i="9"/>
  <c r="AG485" i="9" s="1"/>
  <c r="AF486" i="9"/>
  <c r="AG486" i="9" s="1"/>
  <c r="AF487" i="9"/>
  <c r="AG487" i="9" s="1"/>
  <c r="AF488" i="9"/>
  <c r="AG488" i="9" s="1"/>
  <c r="AF489" i="9"/>
  <c r="AG489" i="9" s="1"/>
  <c r="AF490" i="9"/>
  <c r="AG490" i="9" s="1"/>
  <c r="AF491" i="9"/>
  <c r="AG491" i="9" s="1"/>
  <c r="AF492" i="9"/>
  <c r="AG492" i="9" s="1"/>
  <c r="AF493" i="9"/>
  <c r="AG493" i="9" s="1"/>
  <c r="AF494" i="9"/>
  <c r="AG494" i="9" s="1"/>
  <c r="AF495" i="9"/>
  <c r="AG495" i="9" s="1"/>
  <c r="AF496" i="9"/>
  <c r="AG496" i="9" s="1"/>
  <c r="AF497" i="9"/>
  <c r="AG497" i="9" s="1"/>
  <c r="AF498" i="9"/>
  <c r="AG498" i="9" s="1"/>
  <c r="AF499" i="9"/>
  <c r="AG499" i="9" s="1"/>
  <c r="AF500" i="9"/>
  <c r="AG500" i="9" s="1"/>
  <c r="AF501" i="9"/>
  <c r="AG501" i="9" s="1"/>
  <c r="AF502" i="9"/>
  <c r="AG502" i="9" s="1"/>
  <c r="AF503" i="9"/>
  <c r="AG503" i="9" s="1"/>
  <c r="AF504" i="9"/>
  <c r="AG504" i="9" s="1"/>
  <c r="AF505" i="9"/>
  <c r="AG505" i="9" s="1"/>
  <c r="AF506" i="9"/>
  <c r="AG506" i="9" s="1"/>
  <c r="AF507" i="9"/>
  <c r="AG507" i="9" s="1"/>
  <c r="AF508" i="9"/>
  <c r="AG508" i="9" s="1"/>
  <c r="AF509" i="9"/>
  <c r="AG509" i="9" s="1"/>
  <c r="AF510" i="9"/>
  <c r="AG510" i="9" s="1"/>
  <c r="AF511" i="9"/>
  <c r="AG511" i="9" s="1"/>
  <c r="AF512" i="9"/>
  <c r="AG512" i="9" s="1"/>
  <c r="AF513" i="9"/>
  <c r="AG513" i="9" s="1"/>
  <c r="AF514" i="9"/>
  <c r="AG514" i="9" s="1"/>
  <c r="AF515" i="9"/>
  <c r="AG515" i="9" s="1"/>
  <c r="AF516" i="9"/>
  <c r="AG516" i="9" s="1"/>
  <c r="AF517" i="9"/>
  <c r="AG517" i="9" s="1"/>
  <c r="AF518" i="9"/>
  <c r="AG518" i="9" s="1"/>
  <c r="AF519" i="9"/>
  <c r="AG519" i="9" s="1"/>
  <c r="AF520" i="9"/>
  <c r="AG520" i="9" s="1"/>
  <c r="AF521" i="9"/>
  <c r="AG521" i="9" s="1"/>
  <c r="AF522" i="9"/>
  <c r="AG522" i="9" s="1"/>
  <c r="AF523" i="9"/>
  <c r="AG523" i="9" s="1"/>
  <c r="AF524" i="9"/>
  <c r="AG524" i="9" s="1"/>
  <c r="AF525" i="9"/>
  <c r="AG525" i="9" s="1"/>
  <c r="AF526" i="9"/>
  <c r="AG526" i="9" s="1"/>
  <c r="AF527" i="9"/>
  <c r="AG527" i="9" s="1"/>
  <c r="AF528" i="9"/>
  <c r="AG528" i="9" s="1"/>
  <c r="AF529" i="9"/>
  <c r="AG529" i="9" s="1"/>
  <c r="AF530" i="9"/>
  <c r="AG530" i="9" s="1"/>
  <c r="AF531" i="9"/>
  <c r="AG531" i="9" s="1"/>
  <c r="AF532" i="9"/>
  <c r="AG532" i="9" s="1"/>
  <c r="AF533" i="9"/>
  <c r="AG533" i="9" s="1"/>
  <c r="AF534" i="9"/>
  <c r="AG534" i="9" s="1"/>
  <c r="AF535" i="9"/>
  <c r="AG535" i="9" s="1"/>
  <c r="AF536" i="9"/>
  <c r="AG536" i="9" s="1"/>
  <c r="AF537" i="9"/>
  <c r="AG537" i="9" s="1"/>
  <c r="AF538" i="9"/>
  <c r="AG538" i="9" s="1"/>
  <c r="AF539" i="9"/>
  <c r="AG539" i="9" s="1"/>
  <c r="AF540" i="9"/>
  <c r="AG540" i="9" s="1"/>
  <c r="AF541" i="9"/>
  <c r="AG541" i="9" s="1"/>
  <c r="AF542" i="9"/>
  <c r="AG542" i="9" s="1"/>
  <c r="AF543" i="9"/>
  <c r="AG543" i="9" s="1"/>
  <c r="AF544" i="9"/>
  <c r="AG544" i="9" s="1"/>
  <c r="AF545" i="9"/>
  <c r="AG545" i="9" s="1"/>
  <c r="AF546" i="9"/>
  <c r="AG546" i="9" s="1"/>
  <c r="AF547" i="9"/>
  <c r="AG547" i="9" s="1"/>
  <c r="AF548" i="9"/>
  <c r="AG548" i="9" s="1"/>
  <c r="AF549" i="9"/>
  <c r="AG549" i="9" s="1"/>
  <c r="AF550" i="9"/>
  <c r="AG550" i="9" s="1"/>
  <c r="AF551" i="9"/>
  <c r="AG551" i="9" s="1"/>
  <c r="AF552" i="9"/>
  <c r="AG552" i="9" s="1"/>
  <c r="AF553" i="9"/>
  <c r="AG553" i="9" s="1"/>
  <c r="AF554" i="9"/>
  <c r="AG554" i="9" s="1"/>
  <c r="AF555" i="9"/>
  <c r="AG555" i="9" s="1"/>
  <c r="AF556" i="9"/>
  <c r="AG556" i="9" s="1"/>
  <c r="AF557" i="9"/>
  <c r="AG557" i="9" s="1"/>
  <c r="AF558" i="9"/>
  <c r="AG558" i="9" s="1"/>
  <c r="AF559" i="9"/>
  <c r="AG559" i="9" s="1"/>
  <c r="AF560" i="9"/>
  <c r="AG560" i="9" s="1"/>
  <c r="AF561" i="9"/>
  <c r="AG561" i="9" s="1"/>
  <c r="AA4" i="8"/>
  <c r="AA6" i="8"/>
  <c r="AA9" i="8"/>
  <c r="AA10" i="8"/>
  <c r="AA12" i="8"/>
  <c r="AA18" i="8"/>
  <c r="AA21" i="8"/>
  <c r="AA22" i="8"/>
  <c r="AA28" i="8"/>
  <c r="AA33" i="8"/>
  <c r="AA35" i="8"/>
  <c r="AA36" i="8"/>
  <c r="AA40" i="8"/>
  <c r="AA45" i="8"/>
  <c r="AA46" i="8"/>
  <c r="AA51" i="8"/>
  <c r="AA54" i="8"/>
  <c r="AA57" i="8"/>
  <c r="AA60" i="8"/>
  <c r="AA61" i="8"/>
  <c r="AA69" i="8"/>
  <c r="AA72" i="8"/>
  <c r="AA75" i="8"/>
  <c r="AA78" i="8"/>
  <c r="AA79" i="8"/>
  <c r="AA81" i="8"/>
  <c r="AA84" i="8"/>
  <c r="AA96" i="8"/>
  <c r="AA104" i="8"/>
  <c r="AA110" i="8"/>
  <c r="AA113" i="8"/>
  <c r="AA117" i="8"/>
  <c r="AA119" i="8"/>
  <c r="AA122" i="8"/>
  <c r="AA125" i="8"/>
  <c r="AA134" i="8"/>
  <c r="AA143" i="8"/>
  <c r="AA146" i="8"/>
  <c r="AA147" i="8"/>
  <c r="AA153" i="8"/>
  <c r="AA158" i="8"/>
  <c r="AA167" i="8"/>
  <c r="AA168" i="8"/>
  <c r="AA170" i="8"/>
  <c r="AA171" i="8"/>
  <c r="AA177" i="8"/>
  <c r="AA179" i="8"/>
  <c r="AA182" i="8"/>
  <c r="AA191" i="8"/>
  <c r="AA194" i="8"/>
  <c r="AA201" i="8"/>
  <c r="AA203" i="8"/>
  <c r="AA206" i="8"/>
  <c r="AA218" i="8"/>
  <c r="AA219" i="8"/>
  <c r="AA224" i="8"/>
  <c r="AA227" i="8"/>
  <c r="AA230" i="8"/>
  <c r="AA234" i="8"/>
  <c r="AA237" i="8"/>
  <c r="AA242" i="8"/>
  <c r="AA250" i="8"/>
  <c r="AA251" i="8"/>
  <c r="AA254" i="8"/>
  <c r="AA266" i="8"/>
  <c r="AA275" i="8"/>
  <c r="AA278" i="8"/>
  <c r="AA287" i="8"/>
  <c r="AA290" i="8"/>
  <c r="AA299" i="8"/>
  <c r="AA302" i="8"/>
  <c r="AA311" i="8"/>
  <c r="AA314" i="8"/>
  <c r="AA326" i="8"/>
  <c r="AA335" i="8"/>
  <c r="AA338" i="8"/>
  <c r="AA350" i="8"/>
  <c r="AA358" i="8"/>
  <c r="AA359" i="8"/>
  <c r="AA362" i="8"/>
  <c r="AA368" i="8"/>
  <c r="AA370" i="8"/>
  <c r="AA371" i="8"/>
  <c r="AA374" i="8"/>
  <c r="AA383" i="8"/>
  <c r="AA386" i="8"/>
  <c r="AA393" i="8"/>
  <c r="AA395" i="8"/>
  <c r="AA398" i="8"/>
  <c r="AA401" i="8"/>
  <c r="AA404" i="8"/>
  <c r="AA407" i="8"/>
  <c r="AA410" i="8"/>
  <c r="AA419" i="8"/>
  <c r="AA420" i="8"/>
  <c r="AA422" i="8"/>
  <c r="AA430" i="8"/>
  <c r="AA434" i="8"/>
  <c r="AA437" i="8"/>
  <c r="AA441" i="8"/>
  <c r="AA443" i="8"/>
  <c r="AA446" i="8"/>
  <c r="AA453" i="8"/>
  <c r="AA455" i="8"/>
  <c r="AA458" i="8"/>
  <c r="AA466" i="8"/>
  <c r="AA467" i="8"/>
  <c r="AA470" i="8"/>
  <c r="AA479" i="8"/>
  <c r="AA482" i="8"/>
  <c r="AA491" i="8"/>
  <c r="AA494" i="8"/>
  <c r="AA503" i="8"/>
  <c r="AA506" i="8"/>
  <c r="AA509" i="8"/>
  <c r="AA515" i="8"/>
  <c r="AA518" i="8"/>
  <c r="AA524" i="8"/>
  <c r="AA527" i="8"/>
  <c r="AA530" i="8"/>
  <c r="AA538" i="8"/>
  <c r="AA542" i="8"/>
  <c r="AA545" i="8"/>
  <c r="AA551" i="8"/>
  <c r="AA554" i="8"/>
  <c r="AA563" i="8"/>
  <c r="AA566" i="8"/>
  <c r="AA574" i="8"/>
  <c r="AA575" i="8"/>
  <c r="AA578" i="8"/>
  <c r="AA600" i="8"/>
  <c r="AA601" i="8"/>
  <c r="AA631" i="8"/>
  <c r="AA634" i="8"/>
  <c r="AA649" i="8"/>
  <c r="AA673" i="8"/>
  <c r="AA684" i="8"/>
  <c r="AA685" i="8"/>
  <c r="AA696" i="8"/>
  <c r="AA697" i="8"/>
  <c r="AA698" i="8"/>
  <c r="AA721" i="8"/>
  <c r="AA722" i="8"/>
  <c r="AA733" i="8"/>
  <c r="AA734" i="8"/>
  <c r="AA758" i="8"/>
  <c r="AA763" i="8"/>
  <c r="AA768" i="8"/>
  <c r="AG3" i="9" l="1"/>
  <c r="K130" i="2"/>
  <c r="J130" i="2" s="1"/>
  <c r="AG3" i="11"/>
  <c r="C295" i="2"/>
  <c r="F295" i="2" s="1"/>
  <c r="G295" i="2" s="1"/>
  <c r="C293" i="2"/>
  <c r="F293" i="2" s="1"/>
  <c r="G293" i="2" s="1"/>
  <c r="C294" i="2"/>
  <c r="F294" i="2" s="1"/>
  <c r="G294" i="2" s="1"/>
  <c r="C202" i="2"/>
  <c r="F202" i="2" s="1"/>
  <c r="G202" i="2" s="1"/>
  <c r="C196" i="2"/>
  <c r="F196" i="2" s="1"/>
  <c r="G196" i="2" s="1"/>
  <c r="C210" i="2"/>
  <c r="F210" i="2" s="1"/>
  <c r="G210" i="2" s="1"/>
  <c r="C207" i="2"/>
  <c r="F207" i="2" s="1"/>
  <c r="G207" i="2" s="1"/>
  <c r="C204" i="2"/>
  <c r="F204" i="2" s="1"/>
  <c r="G204" i="2" s="1"/>
  <c r="C201" i="2"/>
  <c r="F201" i="2" s="1"/>
  <c r="G201" i="2" s="1"/>
  <c r="C198" i="2"/>
  <c r="F198" i="2" s="1"/>
  <c r="G198" i="2" s="1"/>
  <c r="C195" i="2"/>
  <c r="F195" i="2" s="1"/>
  <c r="G195" i="2" s="1"/>
  <c r="C218" i="2"/>
  <c r="F218" i="2" s="1"/>
  <c r="G218" i="2" s="1"/>
  <c r="C215" i="2"/>
  <c r="F215" i="2" s="1"/>
  <c r="G215" i="2" s="1"/>
  <c r="C212" i="2"/>
  <c r="F212" i="2" s="1"/>
  <c r="G212" i="2" s="1"/>
  <c r="C217" i="2"/>
  <c r="F217" i="2" s="1"/>
  <c r="G217" i="2" s="1"/>
  <c r="C211" i="2"/>
  <c r="F211" i="2" s="1"/>
  <c r="G211" i="2" s="1"/>
  <c r="C208" i="2"/>
  <c r="F208" i="2" s="1"/>
  <c r="G208" i="2" s="1"/>
  <c r="C220" i="2"/>
  <c r="F220" i="2" s="1"/>
  <c r="G220" i="2" s="1"/>
  <c r="C214" i="2"/>
  <c r="F214" i="2" s="1"/>
  <c r="G214" i="2" s="1"/>
  <c r="C209" i="2"/>
  <c r="F209" i="2" s="1"/>
  <c r="G209" i="2" s="1"/>
  <c r="C206" i="2"/>
  <c r="F206" i="2" s="1"/>
  <c r="G206" i="2" s="1"/>
  <c r="C203" i="2"/>
  <c r="F203" i="2" s="1"/>
  <c r="G203" i="2" s="1"/>
  <c r="C200" i="2"/>
  <c r="F200" i="2" s="1"/>
  <c r="G200" i="2" s="1"/>
  <c r="C197" i="2"/>
  <c r="F197" i="2" s="1"/>
  <c r="G197" i="2" s="1"/>
  <c r="C205" i="2"/>
  <c r="F205" i="2" s="1"/>
  <c r="G205" i="2" s="1"/>
  <c r="C199" i="2"/>
  <c r="F199" i="2" s="1"/>
  <c r="G199" i="2" s="1"/>
  <c r="C216" i="2"/>
  <c r="F216" i="2" s="1"/>
  <c r="G216" i="2" s="1"/>
  <c r="C213" i="2"/>
  <c r="F213" i="2" s="1"/>
  <c r="G213" i="2" s="1"/>
  <c r="C219" i="2"/>
  <c r="F219" i="2" s="1"/>
  <c r="G219" i="2" s="1"/>
  <c r="C86" i="2"/>
  <c r="F86" i="2" s="1"/>
  <c r="G86" i="2" s="1"/>
  <c r="C83" i="2"/>
  <c r="F83" i="2" s="1"/>
  <c r="G83" i="2" s="1"/>
  <c r="C80" i="2"/>
  <c r="F80" i="2" s="1"/>
  <c r="G80" i="2" s="1"/>
  <c r="C77" i="2"/>
  <c r="F77" i="2" s="1"/>
  <c r="G77" i="2" s="1"/>
  <c r="C93" i="2"/>
  <c r="F93" i="2" s="1"/>
  <c r="G93" i="2" s="1"/>
  <c r="C87" i="2"/>
  <c r="F87" i="2" s="1"/>
  <c r="G87" i="2" s="1"/>
  <c r="C81" i="2"/>
  <c r="F81" i="2" s="1"/>
  <c r="G81" i="2" s="1"/>
  <c r="C97" i="2"/>
  <c r="F97" i="2" s="1"/>
  <c r="G97" i="2" s="1"/>
  <c r="C94" i="2"/>
  <c r="F94" i="2" s="1"/>
  <c r="G94" i="2" s="1"/>
  <c r="C91" i="2"/>
  <c r="F91" i="2" s="1"/>
  <c r="G91" i="2" s="1"/>
  <c r="C88" i="2"/>
  <c r="F88" i="2" s="1"/>
  <c r="G88" i="2" s="1"/>
  <c r="C85" i="2"/>
  <c r="F85" i="2" s="1"/>
  <c r="G85" i="2" s="1"/>
  <c r="C82" i="2"/>
  <c r="F82" i="2" s="1"/>
  <c r="G82" i="2" s="1"/>
  <c r="C79" i="2"/>
  <c r="F79" i="2" s="1"/>
  <c r="G79" i="2" s="1"/>
  <c r="C96" i="2"/>
  <c r="F96" i="2" s="1"/>
  <c r="G96" i="2" s="1"/>
  <c r="C90" i="2"/>
  <c r="F90" i="2" s="1"/>
  <c r="G90" i="2" s="1"/>
  <c r="C84" i="2"/>
  <c r="F84" i="2" s="1"/>
  <c r="G84" i="2" s="1"/>
  <c r="C95" i="2"/>
  <c r="F95" i="2" s="1"/>
  <c r="G95" i="2" s="1"/>
  <c r="C92" i="2"/>
  <c r="F92" i="2" s="1"/>
  <c r="G92" i="2" s="1"/>
  <c r="C89" i="2"/>
  <c r="F89" i="2" s="1"/>
  <c r="G89" i="2" s="1"/>
  <c r="C78" i="2"/>
  <c r="F78" i="2" s="1"/>
  <c r="G78" i="2" s="1"/>
  <c r="C155" i="2"/>
  <c r="F155" i="2" s="1"/>
  <c r="G155" i="2" s="1"/>
  <c r="C156" i="2"/>
  <c r="F156" i="2" s="1"/>
  <c r="G156" i="2" s="1"/>
  <c r="E381" i="2"/>
  <c r="D381" i="2"/>
  <c r="E380" i="2"/>
  <c r="D380" i="2"/>
  <c r="E379" i="2"/>
  <c r="D379" i="2"/>
  <c r="E373" i="2"/>
  <c r="D373" i="2"/>
  <c r="E372" i="2"/>
  <c r="D372" i="2"/>
  <c r="E371" i="2"/>
  <c r="D371" i="2"/>
  <c r="E370" i="2"/>
  <c r="D370" i="2"/>
  <c r="E369" i="2"/>
  <c r="D369" i="2"/>
  <c r="E368" i="2"/>
  <c r="D368" i="2"/>
  <c r="E367" i="2"/>
  <c r="D367" i="2"/>
  <c r="E366" i="2"/>
  <c r="D366" i="2"/>
  <c r="E364" i="2"/>
  <c r="D364" i="2"/>
  <c r="E361" i="2"/>
  <c r="D361" i="2"/>
  <c r="F372" i="2" l="1"/>
  <c r="C367" i="2"/>
  <c r="C370" i="2"/>
  <c r="C373" i="2"/>
  <c r="F373" i="2"/>
  <c r="C366" i="2"/>
  <c r="C369" i="2"/>
  <c r="F361" i="2"/>
  <c r="F380" i="2"/>
  <c r="F364" i="2"/>
  <c r="C379" i="2"/>
  <c r="C364" i="2"/>
  <c r="C361" i="2"/>
  <c r="C381" i="2"/>
  <c r="C368" i="2"/>
  <c r="F366" i="2"/>
  <c r="C371" i="2"/>
  <c r="F369" i="2"/>
  <c r="C372" i="2"/>
  <c r="F367" i="2"/>
  <c r="F370" i="2"/>
  <c r="F379" i="2"/>
  <c r="C380" i="2"/>
  <c r="F368" i="2"/>
  <c r="F371" i="2"/>
  <c r="F381" i="2"/>
  <c r="AJ2" i="10" l="1"/>
  <c r="AJ3" i="9"/>
  <c r="AJ4" i="9"/>
  <c r="AJ5" i="9"/>
  <c r="AJ6" i="9"/>
  <c r="AJ7" i="9"/>
  <c r="AJ8" i="9"/>
  <c r="AJ9" i="9"/>
  <c r="AJ10" i="9"/>
  <c r="AJ11" i="9"/>
  <c r="AJ12" i="9"/>
  <c r="AJ13" i="9"/>
  <c r="AJ14" i="9"/>
  <c r="AJ15" i="9"/>
  <c r="AJ16" i="9"/>
  <c r="AJ17" i="9"/>
  <c r="AJ18" i="9"/>
  <c r="AJ19" i="9"/>
  <c r="AJ20" i="9"/>
  <c r="AJ21" i="9"/>
  <c r="AJ22" i="9"/>
  <c r="AJ23" i="9"/>
  <c r="AJ24" i="9"/>
  <c r="AJ25" i="9"/>
  <c r="AJ26" i="9"/>
  <c r="AJ27" i="9"/>
  <c r="AJ28" i="9"/>
  <c r="AJ29" i="9"/>
  <c r="AJ30" i="9"/>
  <c r="AJ31" i="9"/>
  <c r="AJ32" i="9"/>
  <c r="AJ33" i="9"/>
  <c r="AJ34" i="9"/>
  <c r="AJ35" i="9"/>
  <c r="AJ36" i="9"/>
  <c r="AJ37" i="9"/>
  <c r="AJ38" i="9"/>
  <c r="AJ39" i="9"/>
  <c r="AJ40" i="9"/>
  <c r="AJ41" i="9"/>
  <c r="AJ42" i="9"/>
  <c r="AJ43" i="9"/>
  <c r="AJ44" i="9"/>
  <c r="AJ45" i="9"/>
  <c r="AJ46" i="9"/>
  <c r="AJ47" i="9"/>
  <c r="AJ48" i="9"/>
  <c r="AJ49" i="9"/>
  <c r="AJ50" i="9"/>
  <c r="AJ51" i="9"/>
  <c r="AJ52" i="9"/>
  <c r="AJ53" i="9"/>
  <c r="AJ54" i="9"/>
  <c r="AJ55" i="9"/>
  <c r="AJ56" i="9"/>
  <c r="AJ57" i="9"/>
  <c r="AJ58" i="9"/>
  <c r="AJ59" i="9"/>
  <c r="AJ60" i="9"/>
  <c r="AJ61" i="9"/>
  <c r="AJ62" i="9"/>
  <c r="AJ63" i="9"/>
  <c r="AJ64" i="9"/>
  <c r="AJ65" i="9"/>
  <c r="AJ66" i="9"/>
  <c r="AJ67" i="9"/>
  <c r="AJ68" i="9"/>
  <c r="AJ69" i="9"/>
  <c r="AJ70" i="9"/>
  <c r="AJ71" i="9"/>
  <c r="AJ72" i="9"/>
  <c r="AJ73" i="9"/>
  <c r="AJ74" i="9"/>
  <c r="AJ75" i="9"/>
  <c r="AJ76" i="9"/>
  <c r="AJ77" i="9"/>
  <c r="AJ78" i="9"/>
  <c r="AJ79" i="9"/>
  <c r="AJ80" i="9"/>
  <c r="AJ81" i="9"/>
  <c r="AJ82" i="9"/>
  <c r="AJ83" i="9"/>
  <c r="AJ84" i="9"/>
  <c r="AJ85" i="9"/>
  <c r="AJ86" i="9"/>
  <c r="AJ87" i="9"/>
  <c r="AJ88" i="9"/>
  <c r="AJ89" i="9"/>
  <c r="AJ90" i="9"/>
  <c r="AJ91" i="9"/>
  <c r="AJ92" i="9"/>
  <c r="AJ93" i="9"/>
  <c r="AJ94" i="9"/>
  <c r="AJ95" i="9"/>
  <c r="AJ96" i="9"/>
  <c r="AJ97" i="9"/>
  <c r="AJ98" i="9"/>
  <c r="AJ99" i="9"/>
  <c r="AJ100" i="9"/>
  <c r="AJ101" i="9"/>
  <c r="AJ102" i="9"/>
  <c r="AJ103" i="9"/>
  <c r="AJ104" i="9"/>
  <c r="AJ105" i="9"/>
  <c r="AJ106" i="9"/>
  <c r="AJ107" i="9"/>
  <c r="AJ108" i="9"/>
  <c r="AJ109" i="9"/>
  <c r="AJ110" i="9"/>
  <c r="AJ111" i="9"/>
  <c r="AJ112" i="9"/>
  <c r="AJ113" i="9"/>
  <c r="AJ114" i="9"/>
  <c r="AJ115" i="9"/>
  <c r="AJ116" i="9"/>
  <c r="AJ117" i="9"/>
  <c r="AJ118" i="9"/>
  <c r="AJ119" i="9"/>
  <c r="AJ120" i="9"/>
  <c r="AJ121" i="9"/>
  <c r="AJ122" i="9"/>
  <c r="AJ123" i="9"/>
  <c r="AJ124" i="9"/>
  <c r="AJ125" i="9"/>
  <c r="AJ126" i="9"/>
  <c r="AJ127" i="9"/>
  <c r="AJ128" i="9"/>
  <c r="AJ129" i="9"/>
  <c r="AJ130" i="9"/>
  <c r="AJ131" i="9"/>
  <c r="AJ132" i="9"/>
  <c r="AJ133" i="9"/>
  <c r="AJ134" i="9"/>
  <c r="AJ135" i="9"/>
  <c r="AJ136" i="9"/>
  <c r="AJ137" i="9"/>
  <c r="AJ138" i="9"/>
  <c r="AJ139" i="9"/>
  <c r="AJ140" i="9"/>
  <c r="AJ141" i="9"/>
  <c r="AJ142" i="9"/>
  <c r="AJ143" i="9"/>
  <c r="AJ144" i="9"/>
  <c r="AJ145" i="9"/>
  <c r="AJ146" i="9"/>
  <c r="AJ147" i="9"/>
  <c r="AJ148" i="9"/>
  <c r="AJ149" i="9"/>
  <c r="AJ150" i="9"/>
  <c r="AJ151" i="9"/>
  <c r="AJ152" i="9"/>
  <c r="AJ153" i="9"/>
  <c r="AJ154" i="9"/>
  <c r="AJ155" i="9"/>
  <c r="AJ156" i="9"/>
  <c r="AJ157" i="9"/>
  <c r="AJ158" i="9"/>
  <c r="AJ159" i="9"/>
  <c r="AJ160" i="9"/>
  <c r="AJ161" i="9"/>
  <c r="AJ162" i="9"/>
  <c r="AJ163" i="9"/>
  <c r="AJ164" i="9"/>
  <c r="AJ165" i="9"/>
  <c r="AJ166" i="9"/>
  <c r="AJ167" i="9"/>
  <c r="AJ168" i="9"/>
  <c r="AJ169" i="9"/>
  <c r="AJ170" i="9"/>
  <c r="AJ171" i="9"/>
  <c r="AJ172" i="9"/>
  <c r="AJ173" i="9"/>
  <c r="AJ174" i="9"/>
  <c r="AJ175" i="9"/>
  <c r="AJ176" i="9"/>
  <c r="AJ177" i="9"/>
  <c r="AJ178" i="9"/>
  <c r="AJ179" i="9"/>
  <c r="AJ180" i="9"/>
  <c r="AJ181" i="9"/>
  <c r="AJ182" i="9"/>
  <c r="AJ183" i="9"/>
  <c r="AJ184" i="9"/>
  <c r="AJ185" i="9"/>
  <c r="AJ186" i="9"/>
  <c r="AJ187" i="9"/>
  <c r="AJ188" i="9"/>
  <c r="AJ189" i="9"/>
  <c r="AJ190" i="9"/>
  <c r="AJ191" i="9"/>
  <c r="AJ192" i="9"/>
  <c r="AJ193" i="9"/>
  <c r="AJ194" i="9"/>
  <c r="AJ195" i="9"/>
  <c r="AJ196" i="9"/>
  <c r="AJ197" i="9"/>
  <c r="AJ198" i="9"/>
  <c r="AJ199" i="9"/>
  <c r="AJ200" i="9"/>
  <c r="AJ201" i="9"/>
  <c r="AJ202" i="9"/>
  <c r="AJ203" i="9"/>
  <c r="AJ204" i="9"/>
  <c r="AJ205" i="9"/>
  <c r="AJ206" i="9"/>
  <c r="AJ207" i="9"/>
  <c r="AJ208" i="9"/>
  <c r="AJ209" i="9"/>
  <c r="AJ210" i="9"/>
  <c r="AJ211" i="9"/>
  <c r="AJ212" i="9"/>
  <c r="AJ213" i="9"/>
  <c r="AJ214" i="9"/>
  <c r="AJ215" i="9"/>
  <c r="AJ216" i="9"/>
  <c r="AJ217" i="9"/>
  <c r="AJ218" i="9"/>
  <c r="AJ219" i="9"/>
  <c r="AJ220" i="9"/>
  <c r="AJ221" i="9"/>
  <c r="AJ222" i="9"/>
  <c r="AJ223" i="9"/>
  <c r="AJ224" i="9"/>
  <c r="AJ225" i="9"/>
  <c r="AJ226" i="9"/>
  <c r="AJ227" i="9"/>
  <c r="AJ228" i="9"/>
  <c r="AJ229" i="9"/>
  <c r="AJ230" i="9"/>
  <c r="AJ231" i="9"/>
  <c r="AJ232" i="9"/>
  <c r="AJ233" i="9"/>
  <c r="AJ234" i="9"/>
  <c r="AJ235" i="9"/>
  <c r="AJ236" i="9"/>
  <c r="AJ237" i="9"/>
  <c r="AJ238" i="9"/>
  <c r="AJ239" i="9"/>
  <c r="AJ240" i="9"/>
  <c r="AJ241" i="9"/>
  <c r="AJ242" i="9"/>
  <c r="AJ243" i="9"/>
  <c r="AJ244" i="9"/>
  <c r="AJ245" i="9"/>
  <c r="AJ246" i="9"/>
  <c r="AJ247" i="9"/>
  <c r="AJ248" i="9"/>
  <c r="AJ249" i="9"/>
  <c r="AJ250" i="9"/>
  <c r="AJ251" i="9"/>
  <c r="AJ252" i="9"/>
  <c r="AJ253" i="9"/>
  <c r="AJ254" i="9"/>
  <c r="AJ255" i="9"/>
  <c r="AJ256" i="9"/>
  <c r="AJ257" i="9"/>
  <c r="AJ258" i="9"/>
  <c r="AJ259" i="9"/>
  <c r="AJ260" i="9"/>
  <c r="AJ261" i="9"/>
  <c r="AJ262" i="9"/>
  <c r="AJ263" i="9"/>
  <c r="AJ264" i="9"/>
  <c r="AJ265" i="9"/>
  <c r="AJ266" i="9"/>
  <c r="AJ267" i="9"/>
  <c r="AJ268" i="9"/>
  <c r="AJ269" i="9"/>
  <c r="AJ270" i="9"/>
  <c r="AJ271" i="9"/>
  <c r="AJ272" i="9"/>
  <c r="AJ273" i="9"/>
  <c r="AJ274" i="9"/>
  <c r="AJ275" i="9"/>
  <c r="AJ276" i="9"/>
  <c r="AJ277" i="9"/>
  <c r="AJ278" i="9"/>
  <c r="AJ279" i="9"/>
  <c r="AJ280" i="9"/>
  <c r="AJ281" i="9"/>
  <c r="AJ282" i="9"/>
  <c r="AJ283" i="9"/>
  <c r="AJ284" i="9"/>
  <c r="AJ285" i="9"/>
  <c r="AJ286" i="9"/>
  <c r="AJ287" i="9"/>
  <c r="AJ288" i="9"/>
  <c r="AJ289" i="9"/>
  <c r="AJ290" i="9"/>
  <c r="AJ291" i="9"/>
  <c r="AJ292" i="9"/>
  <c r="AJ293" i="9"/>
  <c r="AJ294" i="9"/>
  <c r="AJ295" i="9"/>
  <c r="AJ296" i="9"/>
  <c r="AJ297" i="9"/>
  <c r="AJ298" i="9"/>
  <c r="AJ299" i="9"/>
  <c r="AJ300" i="9"/>
  <c r="AJ301" i="9"/>
  <c r="AJ302" i="9"/>
  <c r="AJ303" i="9"/>
  <c r="AJ304" i="9"/>
  <c r="AJ305" i="9"/>
  <c r="AJ306" i="9"/>
  <c r="AJ307" i="9"/>
  <c r="AJ308" i="9"/>
  <c r="AJ309" i="9"/>
  <c r="AJ310" i="9"/>
  <c r="AJ311" i="9"/>
  <c r="AJ312" i="9"/>
  <c r="AJ313" i="9"/>
  <c r="AJ314" i="9"/>
  <c r="AJ315" i="9"/>
  <c r="AJ316" i="9"/>
  <c r="AJ317" i="9"/>
  <c r="AJ318" i="9"/>
  <c r="AJ319" i="9"/>
  <c r="AJ320" i="9"/>
  <c r="AJ321" i="9"/>
  <c r="AJ322" i="9"/>
  <c r="AJ323" i="9"/>
  <c r="AJ324" i="9"/>
  <c r="AJ325" i="9"/>
  <c r="AJ326" i="9"/>
  <c r="AJ327" i="9"/>
  <c r="AJ328" i="9"/>
  <c r="AJ329" i="9"/>
  <c r="AJ330" i="9"/>
  <c r="AJ331" i="9"/>
  <c r="AJ332" i="9"/>
  <c r="AJ333" i="9"/>
  <c r="AJ334" i="9"/>
  <c r="AJ335" i="9"/>
  <c r="AJ336" i="9"/>
  <c r="AJ337" i="9"/>
  <c r="AJ338" i="9"/>
  <c r="AJ339" i="9"/>
  <c r="AJ340" i="9"/>
  <c r="AJ341" i="9"/>
  <c r="AJ342" i="9"/>
  <c r="AJ343" i="9"/>
  <c r="AJ344" i="9"/>
  <c r="AJ345" i="9"/>
  <c r="AJ346" i="9"/>
  <c r="AJ347" i="9"/>
  <c r="AJ348" i="9"/>
  <c r="AJ349" i="9"/>
  <c r="AJ350" i="9"/>
  <c r="AJ351" i="9"/>
  <c r="AJ352" i="9"/>
  <c r="AJ353" i="9"/>
  <c r="AJ354" i="9"/>
  <c r="AJ355" i="9"/>
  <c r="AJ356" i="9"/>
  <c r="AJ357" i="9"/>
  <c r="AJ358" i="9"/>
  <c r="AJ359" i="9"/>
  <c r="AJ360" i="9"/>
  <c r="AJ361" i="9"/>
  <c r="AJ362" i="9"/>
  <c r="AJ363" i="9"/>
  <c r="AJ364" i="9"/>
  <c r="AJ365" i="9"/>
  <c r="AJ366" i="9"/>
  <c r="AJ367" i="9"/>
  <c r="AJ368" i="9"/>
  <c r="AJ369" i="9"/>
  <c r="AJ370" i="9"/>
  <c r="AJ371" i="9"/>
  <c r="AJ372" i="9"/>
  <c r="AJ373" i="9"/>
  <c r="AJ374" i="9"/>
  <c r="AJ375" i="9"/>
  <c r="AJ376" i="9"/>
  <c r="AJ377" i="9"/>
  <c r="AJ378" i="9"/>
  <c r="AJ379" i="9"/>
  <c r="AJ380" i="9"/>
  <c r="AJ381" i="9"/>
  <c r="AJ382" i="9"/>
  <c r="AJ383" i="9"/>
  <c r="AJ384" i="9"/>
  <c r="AJ385" i="9"/>
  <c r="AJ386" i="9"/>
  <c r="AJ387" i="9"/>
  <c r="AJ388" i="9"/>
  <c r="AJ389" i="9"/>
  <c r="AJ390" i="9"/>
  <c r="AJ391" i="9"/>
  <c r="AJ392" i="9"/>
  <c r="AJ393" i="9"/>
  <c r="AJ394" i="9"/>
  <c r="AJ395" i="9"/>
  <c r="AJ396" i="9"/>
  <c r="AJ397" i="9"/>
  <c r="AJ398" i="9"/>
  <c r="AJ399" i="9"/>
  <c r="AJ400" i="9"/>
  <c r="AJ401" i="9"/>
  <c r="AJ402" i="9"/>
  <c r="AJ403" i="9"/>
  <c r="AJ404" i="9"/>
  <c r="AJ405" i="9"/>
  <c r="AJ406" i="9"/>
  <c r="AJ407" i="9"/>
  <c r="AJ408" i="9"/>
  <c r="AJ409" i="9"/>
  <c r="AJ410" i="9"/>
  <c r="AJ411" i="9"/>
  <c r="AJ412" i="9"/>
  <c r="AJ413" i="9"/>
  <c r="AJ414" i="9"/>
  <c r="AJ415" i="9"/>
  <c r="AJ416" i="9"/>
  <c r="AJ417" i="9"/>
  <c r="AJ418" i="9"/>
  <c r="AJ419" i="9"/>
  <c r="AJ420" i="9"/>
  <c r="AJ421" i="9"/>
  <c r="AJ422" i="9"/>
  <c r="AJ423" i="9"/>
  <c r="AJ424" i="9"/>
  <c r="AJ425" i="9"/>
  <c r="AJ426" i="9"/>
  <c r="AJ427" i="9"/>
  <c r="AJ428" i="9"/>
  <c r="AJ429" i="9"/>
  <c r="AJ430" i="9"/>
  <c r="AJ431" i="9"/>
  <c r="AJ432" i="9"/>
  <c r="AJ433" i="9"/>
  <c r="AJ434" i="9"/>
  <c r="AJ435" i="9"/>
  <c r="AJ436" i="9"/>
  <c r="AJ437" i="9"/>
  <c r="AJ438" i="9"/>
  <c r="AJ439" i="9"/>
  <c r="AJ440" i="9"/>
  <c r="AJ441" i="9"/>
  <c r="AJ442" i="9"/>
  <c r="AJ443" i="9"/>
  <c r="AJ444" i="9"/>
  <c r="AJ445" i="9"/>
  <c r="AJ446" i="9"/>
  <c r="AJ447" i="9"/>
  <c r="AJ448" i="9"/>
  <c r="AJ449" i="9"/>
  <c r="AJ450" i="9"/>
  <c r="AJ451" i="9"/>
  <c r="AJ452" i="9"/>
  <c r="AJ453" i="9"/>
  <c r="AJ454" i="9"/>
  <c r="AJ455" i="9"/>
  <c r="AJ456" i="9"/>
  <c r="AJ457" i="9"/>
  <c r="AJ458" i="9"/>
  <c r="AJ459" i="9"/>
  <c r="AJ460" i="9"/>
  <c r="AJ461" i="9"/>
  <c r="AJ462" i="9"/>
  <c r="AJ463" i="9"/>
  <c r="AJ464" i="9"/>
  <c r="AJ465" i="9"/>
  <c r="AJ466" i="9"/>
  <c r="AJ467" i="9"/>
  <c r="AJ468" i="9"/>
  <c r="AJ469" i="9"/>
  <c r="AJ470" i="9"/>
  <c r="AJ471" i="9"/>
  <c r="AJ472" i="9"/>
  <c r="AJ473" i="9"/>
  <c r="AJ474" i="9"/>
  <c r="AJ475" i="9"/>
  <c r="AJ476" i="9"/>
  <c r="AJ477" i="9"/>
  <c r="AJ478" i="9"/>
  <c r="AJ479" i="9"/>
  <c r="AJ480" i="9"/>
  <c r="AJ481" i="9"/>
  <c r="AJ482" i="9"/>
  <c r="AJ483" i="9"/>
  <c r="AJ484" i="9"/>
  <c r="AJ485" i="9"/>
  <c r="AJ486" i="9"/>
  <c r="AJ487" i="9"/>
  <c r="AJ488" i="9"/>
  <c r="AJ489" i="9"/>
  <c r="AJ490" i="9"/>
  <c r="AJ491" i="9"/>
  <c r="AJ492" i="9"/>
  <c r="AJ493" i="9"/>
  <c r="AJ494" i="9"/>
  <c r="AJ495" i="9"/>
  <c r="AJ496" i="9"/>
  <c r="AJ497" i="9"/>
  <c r="AJ498" i="9"/>
  <c r="AJ499" i="9"/>
  <c r="AJ500" i="9"/>
  <c r="AJ501" i="9"/>
  <c r="AJ502" i="9"/>
  <c r="AJ503" i="9"/>
  <c r="AJ504" i="9"/>
  <c r="AJ505" i="9"/>
  <c r="AJ506" i="9"/>
  <c r="AJ507" i="9"/>
  <c r="AJ508" i="9"/>
  <c r="AJ509" i="9"/>
  <c r="AJ510" i="9"/>
  <c r="AJ511" i="9"/>
  <c r="AJ512" i="9"/>
  <c r="AJ513" i="9"/>
  <c r="AJ514" i="9"/>
  <c r="AJ515" i="9"/>
  <c r="AJ516" i="9"/>
  <c r="AJ517" i="9"/>
  <c r="AJ518" i="9"/>
  <c r="AJ519" i="9"/>
  <c r="AJ520" i="9"/>
  <c r="AJ521" i="9"/>
  <c r="AJ522" i="9"/>
  <c r="AJ523" i="9"/>
  <c r="AJ524" i="9"/>
  <c r="AJ525" i="9"/>
  <c r="AJ526" i="9"/>
  <c r="AJ527" i="9"/>
  <c r="AJ528" i="9"/>
  <c r="AJ529" i="9"/>
  <c r="AJ530" i="9"/>
  <c r="AJ531" i="9"/>
  <c r="AJ532" i="9"/>
  <c r="AJ533" i="9"/>
  <c r="AJ534" i="9"/>
  <c r="AJ535" i="9"/>
  <c r="AJ536" i="9"/>
  <c r="AJ537" i="9"/>
  <c r="AJ538" i="9"/>
  <c r="AJ539" i="9"/>
  <c r="AJ540" i="9"/>
  <c r="AJ541" i="9"/>
  <c r="AJ542" i="9"/>
  <c r="AJ543" i="9"/>
  <c r="AJ544" i="9"/>
  <c r="AJ545" i="9"/>
  <c r="AJ546" i="9"/>
  <c r="AJ547" i="9"/>
  <c r="AJ548" i="9"/>
  <c r="AJ549" i="9"/>
  <c r="AJ550" i="9"/>
  <c r="AJ551" i="9"/>
  <c r="AJ552" i="9"/>
  <c r="AJ553" i="9"/>
  <c r="AJ554" i="9"/>
  <c r="AJ555" i="9"/>
  <c r="AJ556" i="9"/>
  <c r="AJ557" i="9"/>
  <c r="AJ558" i="9"/>
  <c r="AJ559" i="9"/>
  <c r="AJ560" i="9"/>
  <c r="AJ561" i="9"/>
  <c r="AJ2" i="9"/>
  <c r="AI3" i="11"/>
  <c r="AI4" i="11"/>
  <c r="AI5" i="11"/>
  <c r="AI6" i="11"/>
  <c r="AI7" i="11"/>
  <c r="AI8" i="11"/>
  <c r="AI9" i="11"/>
  <c r="AI10" i="11"/>
  <c r="AI11" i="11"/>
  <c r="AI12" i="11"/>
  <c r="AI13" i="11"/>
  <c r="AI14" i="11"/>
  <c r="AI15" i="11"/>
  <c r="AI16" i="11"/>
  <c r="AI17" i="11"/>
  <c r="AI18" i="11"/>
  <c r="AI19" i="11"/>
  <c r="AI20" i="11"/>
  <c r="AI21" i="11"/>
  <c r="AI22" i="11"/>
  <c r="AI23" i="11"/>
  <c r="AI24" i="11"/>
  <c r="AI25" i="11"/>
  <c r="AI26" i="11"/>
  <c r="AI27" i="11"/>
  <c r="AI28" i="11"/>
  <c r="AI29" i="11"/>
  <c r="AI30" i="11"/>
  <c r="AI31" i="11"/>
  <c r="AI32" i="11"/>
  <c r="AI33" i="11"/>
  <c r="AI34" i="11"/>
  <c r="AI35" i="11"/>
  <c r="AI36" i="11"/>
  <c r="AI37" i="11"/>
  <c r="AI38" i="11"/>
  <c r="AI39" i="11"/>
  <c r="AI40" i="11"/>
  <c r="AI41" i="11"/>
  <c r="AI42" i="11"/>
  <c r="AI43" i="11"/>
  <c r="AI44" i="11"/>
  <c r="AI45" i="11"/>
  <c r="AI46" i="11"/>
  <c r="AI47" i="11"/>
  <c r="AI48" i="11"/>
  <c r="AI49" i="11"/>
  <c r="AI50" i="11"/>
  <c r="AI51" i="11"/>
  <c r="AI52" i="11"/>
  <c r="AI53" i="11"/>
  <c r="AI54" i="11"/>
  <c r="AI55" i="11"/>
  <c r="AI56" i="11"/>
  <c r="AI57" i="11"/>
  <c r="AI58" i="11"/>
  <c r="AI59" i="11"/>
  <c r="AI60" i="11"/>
  <c r="AI61" i="11"/>
  <c r="AI62" i="11"/>
  <c r="AI63" i="11"/>
  <c r="AI64" i="11"/>
  <c r="AI65" i="11"/>
  <c r="AI66" i="11"/>
  <c r="AI67" i="11"/>
  <c r="AI68" i="11"/>
  <c r="AI69" i="11"/>
  <c r="AI70" i="11"/>
  <c r="AI71" i="11"/>
  <c r="AI72" i="11"/>
  <c r="AI73" i="11"/>
  <c r="AI74" i="11"/>
  <c r="AI75" i="11"/>
  <c r="AI76" i="11"/>
  <c r="AI77" i="11"/>
  <c r="AI78" i="11"/>
  <c r="AI79" i="11"/>
  <c r="AI80" i="11"/>
  <c r="AI81" i="11"/>
  <c r="AI82" i="11"/>
  <c r="AI83" i="11"/>
  <c r="AI84" i="11"/>
  <c r="AI85" i="11"/>
  <c r="AI86" i="11"/>
  <c r="AI87" i="11"/>
  <c r="AI88" i="11"/>
  <c r="AI89" i="11"/>
  <c r="AI90" i="11"/>
  <c r="AI91" i="11"/>
  <c r="AI92" i="11"/>
  <c r="AI93" i="11"/>
  <c r="AI94" i="11"/>
  <c r="AI95" i="11"/>
  <c r="AI96" i="11"/>
  <c r="AI97" i="11"/>
  <c r="AI98" i="11"/>
  <c r="AI99" i="11"/>
  <c r="AI100" i="11"/>
  <c r="AI101" i="11"/>
  <c r="AI102" i="11"/>
  <c r="AI103" i="11"/>
  <c r="AI104" i="11"/>
  <c r="AI105" i="11"/>
  <c r="AI106" i="11"/>
  <c r="AI107" i="11"/>
  <c r="AI108" i="11"/>
  <c r="AI109" i="11"/>
  <c r="AI110" i="11"/>
  <c r="AI111" i="11"/>
  <c r="AI112" i="11"/>
  <c r="AI113" i="11"/>
  <c r="AI114" i="11"/>
  <c r="AI115" i="11"/>
  <c r="AI116" i="11"/>
  <c r="AI117" i="11"/>
  <c r="AI118" i="11"/>
  <c r="AI119" i="11"/>
  <c r="AI120" i="11"/>
  <c r="AI121" i="11"/>
  <c r="AI122" i="11"/>
  <c r="AI123" i="11"/>
  <c r="AI124" i="11"/>
  <c r="AI125" i="11"/>
  <c r="AI126" i="11"/>
  <c r="AI127" i="11"/>
  <c r="AI128" i="11"/>
  <c r="AI129" i="11"/>
  <c r="AI130" i="11"/>
  <c r="AI131" i="11"/>
  <c r="AI132" i="11"/>
  <c r="AI133" i="11"/>
  <c r="AI134" i="11"/>
  <c r="AI135" i="11"/>
  <c r="AI136" i="11"/>
  <c r="AI137" i="11"/>
  <c r="AI138" i="11"/>
  <c r="AI139" i="11"/>
  <c r="AI140" i="11"/>
  <c r="AI141" i="11"/>
  <c r="AI142" i="11"/>
  <c r="AI143" i="11"/>
  <c r="AI144" i="11"/>
  <c r="AI145" i="11"/>
  <c r="AI146" i="11"/>
  <c r="AI147" i="11"/>
  <c r="AI148" i="11"/>
  <c r="AI149" i="11"/>
  <c r="AI150" i="11"/>
  <c r="AI151" i="11"/>
  <c r="AI152" i="11"/>
  <c r="AI153" i="11"/>
  <c r="AI154" i="11"/>
  <c r="AI155" i="11"/>
  <c r="AI156" i="11"/>
  <c r="AI157" i="11"/>
  <c r="AI158" i="11"/>
  <c r="AI159" i="11"/>
  <c r="AI160" i="11"/>
  <c r="AI161" i="11"/>
  <c r="AI162" i="11"/>
  <c r="AI163" i="11"/>
  <c r="AI164" i="11"/>
  <c r="AI165" i="11"/>
  <c r="AI166" i="11"/>
  <c r="AI167" i="11"/>
  <c r="AI168" i="11"/>
  <c r="AI169" i="11"/>
  <c r="AI170" i="11"/>
  <c r="AI171" i="11"/>
  <c r="AI172" i="11"/>
  <c r="AI173" i="11"/>
  <c r="AI174" i="11"/>
  <c r="AI175" i="11"/>
  <c r="AI176" i="11"/>
  <c r="AI177" i="11"/>
  <c r="AI178" i="11"/>
  <c r="AI179" i="11"/>
  <c r="AI180" i="11"/>
  <c r="AI181" i="11"/>
  <c r="AI182" i="11"/>
  <c r="AI183" i="11"/>
  <c r="AI184" i="11"/>
  <c r="AI185" i="11"/>
  <c r="AI186" i="11"/>
  <c r="AI187" i="11"/>
  <c r="AI188" i="11"/>
  <c r="AI189" i="11"/>
  <c r="AI190" i="11"/>
  <c r="AI191" i="11"/>
  <c r="AI192" i="11"/>
  <c r="AI193" i="11"/>
  <c r="AI194" i="11"/>
  <c r="AI195" i="11"/>
  <c r="AI196" i="11"/>
  <c r="AI197" i="11"/>
  <c r="AI198" i="11"/>
  <c r="AI199" i="11"/>
  <c r="AI200" i="11"/>
  <c r="AI201" i="11"/>
  <c r="AI202" i="11"/>
  <c r="AI203" i="11"/>
  <c r="AI204" i="11"/>
  <c r="AI205" i="11"/>
  <c r="AI206" i="11"/>
  <c r="AI207" i="11"/>
  <c r="AI208" i="11"/>
  <c r="AI209" i="11"/>
  <c r="AI210" i="11"/>
  <c r="AI211" i="11"/>
  <c r="AI212" i="11"/>
  <c r="AI213" i="11"/>
  <c r="AI214" i="11"/>
  <c r="AI215" i="11"/>
  <c r="AI216" i="11"/>
  <c r="AI217" i="11"/>
  <c r="AI218" i="11"/>
  <c r="AI219" i="11"/>
  <c r="AI220" i="11"/>
  <c r="AI221" i="11"/>
  <c r="AI222" i="11"/>
  <c r="AI223" i="11"/>
  <c r="AI224" i="11"/>
  <c r="AI225" i="11"/>
  <c r="AI226" i="11"/>
  <c r="AI227" i="11"/>
  <c r="AI228" i="11"/>
  <c r="AI229" i="11"/>
  <c r="AI230" i="11"/>
  <c r="AI231" i="11"/>
  <c r="AI232" i="11"/>
  <c r="AI233" i="11"/>
  <c r="AI234" i="11"/>
  <c r="AI235" i="11"/>
  <c r="AI236" i="11"/>
  <c r="AI237" i="11"/>
  <c r="AI238" i="11"/>
  <c r="AI239" i="11"/>
  <c r="AI240" i="11"/>
  <c r="AI241" i="11"/>
  <c r="AI242" i="11"/>
  <c r="AI243" i="11"/>
  <c r="AI244" i="11"/>
  <c r="AI245" i="11"/>
  <c r="AI246" i="11"/>
  <c r="AI247" i="11"/>
  <c r="AI248" i="11"/>
  <c r="AI249" i="11"/>
  <c r="AI250" i="11"/>
  <c r="AI251" i="11"/>
  <c r="AI252" i="11"/>
  <c r="AI253" i="11"/>
  <c r="AI254" i="11"/>
  <c r="AI255" i="11"/>
  <c r="AI256" i="11"/>
  <c r="AI257" i="11"/>
  <c r="AI258" i="11"/>
  <c r="AI259" i="11"/>
  <c r="AI260" i="11"/>
  <c r="AI261" i="11"/>
  <c r="AI262" i="11"/>
  <c r="AI263" i="11"/>
  <c r="AI264" i="11"/>
  <c r="AI265" i="11"/>
  <c r="AI266" i="11"/>
  <c r="AI267" i="11"/>
  <c r="AI268" i="11"/>
  <c r="AI269" i="11"/>
  <c r="AI270" i="11"/>
  <c r="AI271" i="11"/>
  <c r="AI272" i="11"/>
  <c r="AI273" i="11"/>
  <c r="AI274" i="11"/>
  <c r="AI275" i="11"/>
  <c r="AI276" i="11"/>
  <c r="AI277" i="11"/>
  <c r="AI278" i="11"/>
  <c r="AI279" i="11"/>
  <c r="AI280" i="11"/>
  <c r="AI281" i="11"/>
  <c r="AI282" i="11"/>
  <c r="AI283" i="11"/>
  <c r="AI284" i="11"/>
  <c r="AI285" i="11"/>
  <c r="AI286" i="11"/>
  <c r="AI287" i="11"/>
  <c r="AI288" i="11"/>
  <c r="AI289" i="11"/>
  <c r="AI290" i="11"/>
  <c r="AI291" i="11"/>
  <c r="AI292" i="11"/>
  <c r="AI293" i="11"/>
  <c r="AI294" i="11"/>
  <c r="AI295" i="11"/>
  <c r="AI296" i="11"/>
  <c r="AI297" i="11"/>
  <c r="AI298" i="11"/>
  <c r="AI299" i="11"/>
  <c r="AI300" i="11"/>
  <c r="AI301" i="11"/>
  <c r="AI302" i="11"/>
  <c r="AI303" i="11"/>
  <c r="AI304" i="11"/>
  <c r="AI305" i="11"/>
  <c r="AI306" i="11"/>
  <c r="AI307" i="11"/>
  <c r="AI308" i="11"/>
  <c r="AI309" i="11"/>
  <c r="AI310" i="11"/>
  <c r="AI311" i="11"/>
  <c r="AI312" i="11"/>
  <c r="AI313" i="11"/>
  <c r="AI314" i="11"/>
  <c r="AI315" i="11"/>
  <c r="AI316" i="11"/>
  <c r="AI317" i="11"/>
  <c r="AI318" i="11"/>
  <c r="AI319" i="11"/>
  <c r="AI320" i="11"/>
  <c r="AI321" i="11"/>
  <c r="AI322" i="11"/>
  <c r="AI323" i="11"/>
  <c r="AI324" i="11"/>
  <c r="AI325" i="11"/>
  <c r="AI326" i="11"/>
  <c r="AI327" i="11"/>
  <c r="AI328" i="11"/>
  <c r="AI329" i="11"/>
  <c r="AI330" i="11"/>
  <c r="AI331" i="11"/>
  <c r="AI332" i="11"/>
  <c r="AI333" i="11"/>
  <c r="AI334" i="11"/>
  <c r="AI335" i="11"/>
  <c r="AI336" i="11"/>
  <c r="AI337" i="11"/>
  <c r="AI338" i="11"/>
  <c r="AI339" i="11"/>
  <c r="AI340" i="11"/>
  <c r="AI341" i="11"/>
  <c r="AI342" i="11"/>
  <c r="AI343" i="11"/>
  <c r="AI344" i="11"/>
  <c r="AI345" i="11"/>
  <c r="AI346" i="11"/>
  <c r="AI347" i="11"/>
  <c r="AI348" i="11"/>
  <c r="AI349" i="11"/>
  <c r="AI350" i="11"/>
  <c r="AI351" i="11"/>
  <c r="AI352" i="11"/>
  <c r="AI353" i="11"/>
  <c r="AI354" i="11"/>
  <c r="AI355" i="11"/>
  <c r="AI356" i="11"/>
  <c r="AI357" i="11"/>
  <c r="AI358" i="11"/>
  <c r="AI359" i="11"/>
  <c r="AI360" i="11"/>
  <c r="AI361" i="11"/>
  <c r="AI362" i="11"/>
  <c r="AI363" i="11"/>
  <c r="AI364" i="11"/>
  <c r="AI365" i="11"/>
  <c r="AI366" i="11"/>
  <c r="AI367" i="11"/>
  <c r="AI368" i="11"/>
  <c r="AI369" i="11"/>
  <c r="AI370" i="11"/>
  <c r="AI371" i="11"/>
  <c r="AI372" i="11"/>
  <c r="AI373" i="11"/>
  <c r="AI374" i="11"/>
  <c r="AI375" i="11"/>
  <c r="AI376" i="11"/>
  <c r="AI377" i="11"/>
  <c r="AI378" i="11"/>
  <c r="AI379" i="11"/>
  <c r="AI380" i="11"/>
  <c r="AI381" i="11"/>
  <c r="AI382" i="11"/>
  <c r="AI383" i="11"/>
  <c r="AI384" i="11"/>
  <c r="AI385" i="11"/>
  <c r="AI386" i="11"/>
  <c r="AI387" i="11"/>
  <c r="AI388" i="11"/>
  <c r="AI389" i="11"/>
  <c r="AI390" i="11"/>
  <c r="AI391" i="11"/>
  <c r="AI392" i="11"/>
  <c r="AI393" i="11"/>
  <c r="AI394" i="11"/>
  <c r="AI395" i="11"/>
  <c r="AI396" i="11"/>
  <c r="AI397" i="11"/>
  <c r="AI398" i="11"/>
  <c r="AI399" i="11"/>
  <c r="AI400" i="11"/>
  <c r="AI401" i="11"/>
  <c r="AI402" i="11"/>
  <c r="AI403" i="11"/>
  <c r="AI404" i="11"/>
  <c r="AI405" i="11"/>
  <c r="AI406" i="11"/>
  <c r="AI407" i="11"/>
  <c r="AI408" i="11"/>
  <c r="AI409" i="11"/>
  <c r="AI410" i="11"/>
  <c r="AI411" i="11"/>
  <c r="AI412" i="11"/>
  <c r="AI413" i="11"/>
  <c r="AI414" i="11"/>
  <c r="AI415" i="11"/>
  <c r="AI416" i="11"/>
  <c r="AI417" i="11"/>
  <c r="AI418" i="11"/>
  <c r="AI419" i="11"/>
  <c r="AI420" i="11"/>
  <c r="AI421" i="11"/>
  <c r="AI422" i="11"/>
  <c r="AI423" i="11"/>
  <c r="AI424" i="11"/>
  <c r="AI425" i="11"/>
  <c r="AI426" i="11"/>
  <c r="AI427" i="11"/>
  <c r="AI428" i="11"/>
  <c r="AI429" i="11"/>
  <c r="AI430" i="11"/>
  <c r="AI431" i="11"/>
  <c r="AI432" i="11"/>
  <c r="AI433" i="11"/>
  <c r="AI434" i="11"/>
  <c r="AI435" i="11"/>
  <c r="AI436" i="11"/>
  <c r="AI437" i="11"/>
  <c r="AI438" i="11"/>
  <c r="AI439" i="11"/>
  <c r="AI440" i="11"/>
  <c r="AI441" i="11"/>
  <c r="AI442" i="11"/>
  <c r="AI443" i="11"/>
  <c r="AI444" i="11"/>
  <c r="AI445" i="11"/>
  <c r="AI446" i="11"/>
  <c r="AI447" i="11"/>
  <c r="AI448" i="11"/>
  <c r="AI449" i="11"/>
  <c r="AI450" i="11"/>
  <c r="AI451" i="11"/>
  <c r="AI452" i="11"/>
  <c r="AI453" i="11"/>
  <c r="AI454" i="11"/>
  <c r="AI455" i="11"/>
  <c r="AI456" i="11"/>
  <c r="AI457" i="11"/>
  <c r="AI458" i="11"/>
  <c r="AI459" i="11"/>
  <c r="AI460" i="11"/>
  <c r="AI461" i="11"/>
  <c r="AI462" i="11"/>
  <c r="AI463" i="11"/>
  <c r="AI464" i="11"/>
  <c r="AI465" i="11"/>
  <c r="AI466" i="11"/>
  <c r="AI467" i="11"/>
  <c r="AI468" i="11"/>
  <c r="AI469" i="11"/>
  <c r="AI470" i="11"/>
  <c r="AI471" i="11"/>
  <c r="AI472" i="11"/>
  <c r="AI473" i="11"/>
  <c r="AI474" i="11"/>
  <c r="AI475" i="11"/>
  <c r="AI476" i="11"/>
  <c r="AI477" i="11"/>
  <c r="AI478" i="11"/>
  <c r="AI479" i="11"/>
  <c r="AI480" i="11"/>
  <c r="AI481" i="11"/>
  <c r="AI482" i="11"/>
  <c r="AI483" i="11"/>
  <c r="AI484" i="11"/>
  <c r="AI485" i="11"/>
  <c r="AI486" i="11"/>
  <c r="AI487" i="11"/>
  <c r="AI488" i="11"/>
  <c r="AI489" i="11"/>
  <c r="AI490" i="11"/>
  <c r="AI491" i="11"/>
  <c r="AI492" i="11"/>
  <c r="AI493" i="11"/>
  <c r="AI494" i="11"/>
  <c r="AI495" i="11"/>
  <c r="AI496" i="11"/>
  <c r="AI497" i="11"/>
  <c r="AI498" i="11"/>
  <c r="AI499" i="11"/>
  <c r="AI500" i="11"/>
  <c r="AI501" i="11"/>
  <c r="AI502" i="11"/>
  <c r="AI503" i="11"/>
  <c r="AI504" i="11"/>
  <c r="AI505" i="11"/>
  <c r="AI506" i="11"/>
  <c r="AI507" i="11"/>
  <c r="AI508" i="11"/>
  <c r="AI509" i="11"/>
  <c r="AI510" i="11"/>
  <c r="AI511" i="11"/>
  <c r="AI512" i="11"/>
  <c r="AI513" i="11"/>
  <c r="AI2" i="11"/>
  <c r="AD3" i="8"/>
  <c r="AD4" i="8"/>
  <c r="AD5" i="8"/>
  <c r="AD6" i="8"/>
  <c r="AD7" i="8"/>
  <c r="AD8" i="8"/>
  <c r="AD9" i="8"/>
  <c r="AD10" i="8"/>
  <c r="AD11" i="8"/>
  <c r="AD12" i="8"/>
  <c r="AD13" i="8"/>
  <c r="AD14" i="8"/>
  <c r="AD15" i="8"/>
  <c r="AD16" i="8"/>
  <c r="AD17" i="8"/>
  <c r="AD18" i="8"/>
  <c r="AD19" i="8"/>
  <c r="AD20" i="8"/>
  <c r="AD21" i="8"/>
  <c r="AD22" i="8"/>
  <c r="AD23" i="8"/>
  <c r="AD24" i="8"/>
  <c r="AD25" i="8"/>
  <c r="AD26" i="8"/>
  <c r="AD27" i="8"/>
  <c r="AD28" i="8"/>
  <c r="AD29" i="8"/>
  <c r="AD30" i="8"/>
  <c r="AD31" i="8"/>
  <c r="AD32" i="8"/>
  <c r="AD33" i="8"/>
  <c r="AD34" i="8"/>
  <c r="AD35" i="8"/>
  <c r="AD36" i="8"/>
  <c r="AD37" i="8"/>
  <c r="AD38" i="8"/>
  <c r="AD39" i="8"/>
  <c r="AD40" i="8"/>
  <c r="AD41" i="8"/>
  <c r="AD42" i="8"/>
  <c r="AD43" i="8"/>
  <c r="AD44" i="8"/>
  <c r="AD45" i="8"/>
  <c r="AD46" i="8"/>
  <c r="AD47" i="8"/>
  <c r="AD48" i="8"/>
  <c r="AD49" i="8"/>
  <c r="AD50" i="8"/>
  <c r="AD51" i="8"/>
  <c r="AD52" i="8"/>
  <c r="AD53" i="8"/>
  <c r="AD54" i="8"/>
  <c r="AD55" i="8"/>
  <c r="AD56" i="8"/>
  <c r="AD57" i="8"/>
  <c r="AD58" i="8"/>
  <c r="AD59" i="8"/>
  <c r="AD60" i="8"/>
  <c r="AD61" i="8"/>
  <c r="AD62" i="8"/>
  <c r="AD63" i="8"/>
  <c r="AD64" i="8"/>
  <c r="AD65" i="8"/>
  <c r="AD66" i="8"/>
  <c r="AD67" i="8"/>
  <c r="AD68" i="8"/>
  <c r="AD69" i="8"/>
  <c r="AD70" i="8"/>
  <c r="AD71" i="8"/>
  <c r="AD72" i="8"/>
  <c r="AD73" i="8"/>
  <c r="AD74" i="8"/>
  <c r="AD75" i="8"/>
  <c r="AD76" i="8"/>
  <c r="AD77" i="8"/>
  <c r="AD78" i="8"/>
  <c r="AD79" i="8"/>
  <c r="AD80" i="8"/>
  <c r="AD81" i="8"/>
  <c r="AD82" i="8"/>
  <c r="AD83" i="8"/>
  <c r="AD84" i="8"/>
  <c r="AD85" i="8"/>
  <c r="AD86" i="8"/>
  <c r="AD87" i="8"/>
  <c r="AD88" i="8"/>
  <c r="AD89" i="8"/>
  <c r="AD90" i="8"/>
  <c r="AD91" i="8"/>
  <c r="AD92" i="8"/>
  <c r="AD93" i="8"/>
  <c r="AD94" i="8"/>
  <c r="AD95" i="8"/>
  <c r="AD96" i="8"/>
  <c r="AD97" i="8"/>
  <c r="AD98" i="8"/>
  <c r="AD99" i="8"/>
  <c r="AD100" i="8"/>
  <c r="AD101" i="8"/>
  <c r="AD102" i="8"/>
  <c r="AD103" i="8"/>
  <c r="AD104" i="8"/>
  <c r="AD105" i="8"/>
  <c r="AD106" i="8"/>
  <c r="AD107" i="8"/>
  <c r="AD108" i="8"/>
  <c r="AD109" i="8"/>
  <c r="AD110" i="8"/>
  <c r="AD111" i="8"/>
  <c r="AD112" i="8"/>
  <c r="AD113" i="8"/>
  <c r="AD114" i="8"/>
  <c r="AD115" i="8"/>
  <c r="AD116" i="8"/>
  <c r="AD117" i="8"/>
  <c r="AD118" i="8"/>
  <c r="AD119" i="8"/>
  <c r="AD120" i="8"/>
  <c r="AD121" i="8"/>
  <c r="AD122" i="8"/>
  <c r="AD123" i="8"/>
  <c r="AD124" i="8"/>
  <c r="AD125" i="8"/>
  <c r="AD126" i="8"/>
  <c r="AD127" i="8"/>
  <c r="AD128" i="8"/>
  <c r="AD129" i="8"/>
  <c r="AD130" i="8"/>
  <c r="AD131" i="8"/>
  <c r="AD132" i="8"/>
  <c r="AD133" i="8"/>
  <c r="AD134" i="8"/>
  <c r="AD135" i="8"/>
  <c r="AD136" i="8"/>
  <c r="AD137" i="8"/>
  <c r="AD138" i="8"/>
  <c r="AD139" i="8"/>
  <c r="AD140" i="8"/>
  <c r="AD141" i="8"/>
  <c r="AD142" i="8"/>
  <c r="AD143" i="8"/>
  <c r="AD144" i="8"/>
  <c r="AD145" i="8"/>
  <c r="AD146" i="8"/>
  <c r="AD147" i="8"/>
  <c r="AD148" i="8"/>
  <c r="AD149" i="8"/>
  <c r="AD150" i="8"/>
  <c r="AD151" i="8"/>
  <c r="AD152" i="8"/>
  <c r="AD153" i="8"/>
  <c r="AD154" i="8"/>
  <c r="AD155" i="8"/>
  <c r="AD156" i="8"/>
  <c r="AD157" i="8"/>
  <c r="AD158" i="8"/>
  <c r="AD159" i="8"/>
  <c r="AD160" i="8"/>
  <c r="AD161" i="8"/>
  <c r="AD162" i="8"/>
  <c r="AD163" i="8"/>
  <c r="AD164" i="8"/>
  <c r="AD165" i="8"/>
  <c r="AD166" i="8"/>
  <c r="AD167" i="8"/>
  <c r="AD168" i="8"/>
  <c r="AD169" i="8"/>
  <c r="AD170" i="8"/>
  <c r="AD171" i="8"/>
  <c r="AD172" i="8"/>
  <c r="AD173" i="8"/>
  <c r="AD174" i="8"/>
  <c r="AD175" i="8"/>
  <c r="AD176" i="8"/>
  <c r="AD177" i="8"/>
  <c r="AD178" i="8"/>
  <c r="AD179" i="8"/>
  <c r="AD180" i="8"/>
  <c r="AD181" i="8"/>
  <c r="AD182" i="8"/>
  <c r="AD183" i="8"/>
  <c r="AD184" i="8"/>
  <c r="AD185" i="8"/>
  <c r="AD186" i="8"/>
  <c r="AD187" i="8"/>
  <c r="AD188" i="8"/>
  <c r="AD189" i="8"/>
  <c r="AD190" i="8"/>
  <c r="AD191" i="8"/>
  <c r="AD192" i="8"/>
  <c r="AD193" i="8"/>
  <c r="AD194" i="8"/>
  <c r="AD195" i="8"/>
  <c r="AD196" i="8"/>
  <c r="AD197" i="8"/>
  <c r="AD198" i="8"/>
  <c r="AD199" i="8"/>
  <c r="AD200" i="8"/>
  <c r="AD201" i="8"/>
  <c r="AD202" i="8"/>
  <c r="AD203" i="8"/>
  <c r="AD204" i="8"/>
  <c r="AD205" i="8"/>
  <c r="AD206" i="8"/>
  <c r="AD207" i="8"/>
  <c r="AD208" i="8"/>
  <c r="AD209" i="8"/>
  <c r="AD210" i="8"/>
  <c r="AD211" i="8"/>
  <c r="AD212" i="8"/>
  <c r="AD213" i="8"/>
  <c r="AD214" i="8"/>
  <c r="AD215" i="8"/>
  <c r="AD216" i="8"/>
  <c r="AD217" i="8"/>
  <c r="AD218" i="8"/>
  <c r="AD219" i="8"/>
  <c r="AD220" i="8"/>
  <c r="AD221" i="8"/>
  <c r="AD222" i="8"/>
  <c r="AD223" i="8"/>
  <c r="AD224" i="8"/>
  <c r="AD225" i="8"/>
  <c r="AD226" i="8"/>
  <c r="AD227" i="8"/>
  <c r="AD228" i="8"/>
  <c r="AD229" i="8"/>
  <c r="AD230" i="8"/>
  <c r="AD231" i="8"/>
  <c r="AD232" i="8"/>
  <c r="AD233" i="8"/>
  <c r="AD234" i="8"/>
  <c r="AD235" i="8"/>
  <c r="AD236" i="8"/>
  <c r="AD237" i="8"/>
  <c r="AD238" i="8"/>
  <c r="AD239" i="8"/>
  <c r="AD240" i="8"/>
  <c r="AD241" i="8"/>
  <c r="AD242" i="8"/>
  <c r="AD243" i="8"/>
  <c r="AD244" i="8"/>
  <c r="AD245" i="8"/>
  <c r="AD246" i="8"/>
  <c r="AD247" i="8"/>
  <c r="AD248" i="8"/>
  <c r="AD249" i="8"/>
  <c r="AD250" i="8"/>
  <c r="AD251" i="8"/>
  <c r="AD252" i="8"/>
  <c r="AD253" i="8"/>
  <c r="AD254" i="8"/>
  <c r="AD255" i="8"/>
  <c r="AD256" i="8"/>
  <c r="AD257" i="8"/>
  <c r="AD258" i="8"/>
  <c r="AD259" i="8"/>
  <c r="AD260" i="8"/>
  <c r="AD261" i="8"/>
  <c r="AD262" i="8"/>
  <c r="AD263" i="8"/>
  <c r="AD264" i="8"/>
  <c r="AD265" i="8"/>
  <c r="AD266" i="8"/>
  <c r="AD267" i="8"/>
  <c r="AD268" i="8"/>
  <c r="AD269" i="8"/>
  <c r="AD270" i="8"/>
  <c r="AD271" i="8"/>
  <c r="AD272" i="8"/>
  <c r="AD273" i="8"/>
  <c r="AD274" i="8"/>
  <c r="AD275" i="8"/>
  <c r="AD276" i="8"/>
  <c r="AD277" i="8"/>
  <c r="AD278" i="8"/>
  <c r="AD279" i="8"/>
  <c r="AD280" i="8"/>
  <c r="AD281" i="8"/>
  <c r="AD282" i="8"/>
  <c r="AD283" i="8"/>
  <c r="AD284" i="8"/>
  <c r="AD285" i="8"/>
  <c r="AD286" i="8"/>
  <c r="AD287" i="8"/>
  <c r="AD288" i="8"/>
  <c r="AD289" i="8"/>
  <c r="AD290" i="8"/>
  <c r="AD291" i="8"/>
  <c r="AD292" i="8"/>
  <c r="AD293" i="8"/>
  <c r="AD294" i="8"/>
  <c r="AD295" i="8"/>
  <c r="AD296" i="8"/>
  <c r="AD297" i="8"/>
  <c r="AD298" i="8"/>
  <c r="AD299" i="8"/>
  <c r="AD300" i="8"/>
  <c r="AD301" i="8"/>
  <c r="AD302" i="8"/>
  <c r="AD303" i="8"/>
  <c r="AD304" i="8"/>
  <c r="AD305" i="8"/>
  <c r="AD306" i="8"/>
  <c r="AD307" i="8"/>
  <c r="AD308" i="8"/>
  <c r="AD309" i="8"/>
  <c r="AD310" i="8"/>
  <c r="AD311" i="8"/>
  <c r="AD312" i="8"/>
  <c r="AD313" i="8"/>
  <c r="AD314" i="8"/>
  <c r="AD315" i="8"/>
  <c r="AD316" i="8"/>
  <c r="AD317" i="8"/>
  <c r="AD318" i="8"/>
  <c r="AD319" i="8"/>
  <c r="AD320" i="8"/>
  <c r="AD321" i="8"/>
  <c r="AD322" i="8"/>
  <c r="AD323" i="8"/>
  <c r="AD324" i="8"/>
  <c r="AD325" i="8"/>
  <c r="AD326" i="8"/>
  <c r="AD327" i="8"/>
  <c r="AD328" i="8"/>
  <c r="AD329" i="8"/>
  <c r="AD330" i="8"/>
  <c r="AD331" i="8"/>
  <c r="AD332" i="8"/>
  <c r="AD333" i="8"/>
  <c r="AD334" i="8"/>
  <c r="AD335" i="8"/>
  <c r="AD336" i="8"/>
  <c r="AD337" i="8"/>
  <c r="AD338" i="8"/>
  <c r="AD339" i="8"/>
  <c r="AD340" i="8"/>
  <c r="AD341" i="8"/>
  <c r="AD342" i="8"/>
  <c r="AD343" i="8"/>
  <c r="AD344" i="8"/>
  <c r="AD345" i="8"/>
  <c r="AD346" i="8"/>
  <c r="AD347" i="8"/>
  <c r="AD348" i="8"/>
  <c r="AD349" i="8"/>
  <c r="AD350" i="8"/>
  <c r="AD351" i="8"/>
  <c r="AD352" i="8"/>
  <c r="AD353" i="8"/>
  <c r="AD354" i="8"/>
  <c r="AD355" i="8"/>
  <c r="AD356" i="8"/>
  <c r="AD357" i="8"/>
  <c r="AD358" i="8"/>
  <c r="AD359" i="8"/>
  <c r="AD360" i="8"/>
  <c r="AD361" i="8"/>
  <c r="AD362" i="8"/>
  <c r="AD363" i="8"/>
  <c r="AD364" i="8"/>
  <c r="AD365" i="8"/>
  <c r="AD366" i="8"/>
  <c r="AD367" i="8"/>
  <c r="AD368" i="8"/>
  <c r="AD369" i="8"/>
  <c r="AD370" i="8"/>
  <c r="AD371" i="8"/>
  <c r="AD372" i="8"/>
  <c r="AD373" i="8"/>
  <c r="AD374" i="8"/>
  <c r="AD375" i="8"/>
  <c r="AD376" i="8"/>
  <c r="AD377" i="8"/>
  <c r="AD378" i="8"/>
  <c r="AD379" i="8"/>
  <c r="AD380" i="8"/>
  <c r="AD381" i="8"/>
  <c r="AD382" i="8"/>
  <c r="AD383" i="8"/>
  <c r="AD384" i="8"/>
  <c r="AD385" i="8"/>
  <c r="AD386" i="8"/>
  <c r="AD387" i="8"/>
  <c r="AD388" i="8"/>
  <c r="AD389" i="8"/>
  <c r="AD390" i="8"/>
  <c r="AD391" i="8"/>
  <c r="AD392" i="8"/>
  <c r="AD393" i="8"/>
  <c r="AD394" i="8"/>
  <c r="AD395" i="8"/>
  <c r="AD396" i="8"/>
  <c r="AD397" i="8"/>
  <c r="AD398" i="8"/>
  <c r="AD399" i="8"/>
  <c r="AD400" i="8"/>
  <c r="AD401" i="8"/>
  <c r="AD402" i="8"/>
  <c r="AD403" i="8"/>
  <c r="AD404" i="8"/>
  <c r="AD405" i="8"/>
  <c r="AD406" i="8"/>
  <c r="AD407" i="8"/>
  <c r="AD408" i="8"/>
  <c r="AD409" i="8"/>
  <c r="AD410" i="8"/>
  <c r="AD411" i="8"/>
  <c r="AD412" i="8"/>
  <c r="AD413" i="8"/>
  <c r="AD414" i="8"/>
  <c r="AD415" i="8"/>
  <c r="AD416" i="8"/>
  <c r="AD417" i="8"/>
  <c r="AD418" i="8"/>
  <c r="AD419" i="8"/>
  <c r="AD420" i="8"/>
  <c r="AD421" i="8"/>
  <c r="AD422" i="8"/>
  <c r="AD423" i="8"/>
  <c r="AD424" i="8"/>
  <c r="AD425" i="8"/>
  <c r="AD426" i="8"/>
  <c r="AD427" i="8"/>
  <c r="AD428" i="8"/>
  <c r="AD429" i="8"/>
  <c r="AD430" i="8"/>
  <c r="AD431" i="8"/>
  <c r="AD432" i="8"/>
  <c r="AD433" i="8"/>
  <c r="AD434" i="8"/>
  <c r="AD435" i="8"/>
  <c r="AD436" i="8"/>
  <c r="AD437" i="8"/>
  <c r="AD438" i="8"/>
  <c r="AD439" i="8"/>
  <c r="AD440" i="8"/>
  <c r="AD441" i="8"/>
  <c r="AD442" i="8"/>
  <c r="AD443" i="8"/>
  <c r="AD444" i="8"/>
  <c r="AD445" i="8"/>
  <c r="AD446" i="8"/>
  <c r="AD447" i="8"/>
  <c r="AD448" i="8"/>
  <c r="AD449" i="8"/>
  <c r="AD450" i="8"/>
  <c r="AD451" i="8"/>
  <c r="AD452" i="8"/>
  <c r="AD453" i="8"/>
  <c r="AD454" i="8"/>
  <c r="AD455" i="8"/>
  <c r="AD456" i="8"/>
  <c r="AD457" i="8"/>
  <c r="AD458" i="8"/>
  <c r="AD459" i="8"/>
  <c r="AD460" i="8"/>
  <c r="AD461" i="8"/>
  <c r="AD462" i="8"/>
  <c r="AD463" i="8"/>
  <c r="AD464" i="8"/>
  <c r="AD465" i="8"/>
  <c r="AD466" i="8"/>
  <c r="AD467" i="8"/>
  <c r="AD468" i="8"/>
  <c r="AD469" i="8"/>
  <c r="AD470" i="8"/>
  <c r="AD471" i="8"/>
  <c r="AD472" i="8"/>
  <c r="AD473" i="8"/>
  <c r="AD474" i="8"/>
  <c r="AD475" i="8"/>
  <c r="AD476" i="8"/>
  <c r="AD477" i="8"/>
  <c r="AD478" i="8"/>
  <c r="AD479" i="8"/>
  <c r="AD480" i="8"/>
  <c r="AD481" i="8"/>
  <c r="AD482" i="8"/>
  <c r="AD483" i="8"/>
  <c r="AD484" i="8"/>
  <c r="AD485" i="8"/>
  <c r="AD486" i="8"/>
  <c r="AD487" i="8"/>
  <c r="AD488" i="8"/>
  <c r="AD489" i="8"/>
  <c r="AD490" i="8"/>
  <c r="AD491" i="8"/>
  <c r="AD492" i="8"/>
  <c r="AD493" i="8"/>
  <c r="AD494" i="8"/>
  <c r="AD495" i="8"/>
  <c r="AD496" i="8"/>
  <c r="AD497" i="8"/>
  <c r="AD498" i="8"/>
  <c r="AD499" i="8"/>
  <c r="AD500" i="8"/>
  <c r="AD501" i="8"/>
  <c r="AD502" i="8"/>
  <c r="AD503" i="8"/>
  <c r="AD504" i="8"/>
  <c r="AD505" i="8"/>
  <c r="AD506" i="8"/>
  <c r="AD507" i="8"/>
  <c r="AD508" i="8"/>
  <c r="AD509" i="8"/>
  <c r="AD510" i="8"/>
  <c r="AD511" i="8"/>
  <c r="AD512" i="8"/>
  <c r="AD513" i="8"/>
  <c r="AD514" i="8"/>
  <c r="AD515" i="8"/>
  <c r="AD516" i="8"/>
  <c r="AD517" i="8"/>
  <c r="AD518" i="8"/>
  <c r="AD519" i="8"/>
  <c r="AD520" i="8"/>
  <c r="AD521" i="8"/>
  <c r="AD522" i="8"/>
  <c r="AD523" i="8"/>
  <c r="AD524" i="8"/>
  <c r="AD525" i="8"/>
  <c r="AD526" i="8"/>
  <c r="AD527" i="8"/>
  <c r="AD528" i="8"/>
  <c r="AD529" i="8"/>
  <c r="AD530" i="8"/>
  <c r="AD531" i="8"/>
  <c r="AD532" i="8"/>
  <c r="AD533" i="8"/>
  <c r="AD534" i="8"/>
  <c r="AD535" i="8"/>
  <c r="AD536" i="8"/>
  <c r="AD537" i="8"/>
  <c r="AD538" i="8"/>
  <c r="AD539" i="8"/>
  <c r="AD540" i="8"/>
  <c r="AD541" i="8"/>
  <c r="AD542" i="8"/>
  <c r="AD543" i="8"/>
  <c r="AD544" i="8"/>
  <c r="AD545" i="8"/>
  <c r="AD546" i="8"/>
  <c r="AD547" i="8"/>
  <c r="AD548" i="8"/>
  <c r="AD549" i="8"/>
  <c r="AD550" i="8"/>
  <c r="AD551" i="8"/>
  <c r="AD552" i="8"/>
  <c r="AD553" i="8"/>
  <c r="AD554" i="8"/>
  <c r="AD555" i="8"/>
  <c r="AD556" i="8"/>
  <c r="AD557" i="8"/>
  <c r="AD558" i="8"/>
  <c r="AD559" i="8"/>
  <c r="AD560" i="8"/>
  <c r="AD561" i="8"/>
  <c r="AD562" i="8"/>
  <c r="AD563" i="8"/>
  <c r="AD564" i="8"/>
  <c r="AD565" i="8"/>
  <c r="AD566" i="8"/>
  <c r="AD567" i="8"/>
  <c r="AD568" i="8"/>
  <c r="AD569" i="8"/>
  <c r="AD570" i="8"/>
  <c r="AD571" i="8"/>
  <c r="AD572" i="8"/>
  <c r="AD573" i="8"/>
  <c r="AD574" i="8"/>
  <c r="AD575" i="8"/>
  <c r="AD576" i="8"/>
  <c r="AD577" i="8"/>
  <c r="AD578" i="8"/>
  <c r="AD579" i="8"/>
  <c r="AD580" i="8"/>
  <c r="AD581" i="8"/>
  <c r="AD582" i="8"/>
  <c r="AD583" i="8"/>
  <c r="AD584" i="8"/>
  <c r="AD585" i="8"/>
  <c r="AD586" i="8"/>
  <c r="AD587" i="8"/>
  <c r="AD588" i="8"/>
  <c r="AD589" i="8"/>
  <c r="AD590" i="8"/>
  <c r="AD591" i="8"/>
  <c r="AD592" i="8"/>
  <c r="AD593" i="8"/>
  <c r="AD594" i="8"/>
  <c r="AD595" i="8"/>
  <c r="AD596" i="8"/>
  <c r="AD597" i="8"/>
  <c r="AD598" i="8"/>
  <c r="AD599" i="8"/>
  <c r="AD600" i="8"/>
  <c r="AD601" i="8"/>
  <c r="AD602" i="8"/>
  <c r="AD603" i="8"/>
  <c r="AD604" i="8"/>
  <c r="AD605" i="8"/>
  <c r="AD606" i="8"/>
  <c r="AD607" i="8"/>
  <c r="AD608" i="8"/>
  <c r="AD609" i="8"/>
  <c r="AD610" i="8"/>
  <c r="AD611" i="8"/>
  <c r="AD612" i="8"/>
  <c r="AD613" i="8"/>
  <c r="AD614" i="8"/>
  <c r="AD615" i="8"/>
  <c r="AD616" i="8"/>
  <c r="AD617" i="8"/>
  <c r="AD618" i="8"/>
  <c r="AD619" i="8"/>
  <c r="AD620" i="8"/>
  <c r="AD621" i="8"/>
  <c r="AD622" i="8"/>
  <c r="AD623" i="8"/>
  <c r="AD624" i="8"/>
  <c r="AD625" i="8"/>
  <c r="AD626" i="8"/>
  <c r="AD627" i="8"/>
  <c r="AD628" i="8"/>
  <c r="AD629" i="8"/>
  <c r="AD630" i="8"/>
  <c r="AD631" i="8"/>
  <c r="AD632" i="8"/>
  <c r="AD633" i="8"/>
  <c r="AD634" i="8"/>
  <c r="AD635" i="8"/>
  <c r="AD636" i="8"/>
  <c r="AD637" i="8"/>
  <c r="AD638" i="8"/>
  <c r="AD639" i="8"/>
  <c r="AD640" i="8"/>
  <c r="AD641" i="8"/>
  <c r="AD642" i="8"/>
  <c r="AD643" i="8"/>
  <c r="AD644" i="8"/>
  <c r="AD645" i="8"/>
  <c r="AD646" i="8"/>
  <c r="AD647" i="8"/>
  <c r="AD648" i="8"/>
  <c r="AD649" i="8"/>
  <c r="AD650" i="8"/>
  <c r="AD651" i="8"/>
  <c r="AD652" i="8"/>
  <c r="AD653" i="8"/>
  <c r="AD654" i="8"/>
  <c r="AD655" i="8"/>
  <c r="AD656" i="8"/>
  <c r="AD657" i="8"/>
  <c r="AD658" i="8"/>
  <c r="AD659" i="8"/>
  <c r="AD660" i="8"/>
  <c r="AD661" i="8"/>
  <c r="AD662" i="8"/>
  <c r="AD663" i="8"/>
  <c r="AD664" i="8"/>
  <c r="AD665" i="8"/>
  <c r="AD666" i="8"/>
  <c r="AD667" i="8"/>
  <c r="AD668" i="8"/>
  <c r="AD669" i="8"/>
  <c r="AD670" i="8"/>
  <c r="AD671" i="8"/>
  <c r="AD672" i="8"/>
  <c r="AD673" i="8"/>
  <c r="AD674" i="8"/>
  <c r="AD675" i="8"/>
  <c r="AD676" i="8"/>
  <c r="AD677" i="8"/>
  <c r="AD678" i="8"/>
  <c r="AD679" i="8"/>
  <c r="AD680" i="8"/>
  <c r="AD681" i="8"/>
  <c r="AD682" i="8"/>
  <c r="AD683" i="8"/>
  <c r="AD684" i="8"/>
  <c r="AD685" i="8"/>
  <c r="AD686" i="8"/>
  <c r="AD687" i="8"/>
  <c r="AD688" i="8"/>
  <c r="AD689" i="8"/>
  <c r="AD690" i="8"/>
  <c r="AD691" i="8"/>
  <c r="AD692" i="8"/>
  <c r="AD693" i="8"/>
  <c r="AD694" i="8"/>
  <c r="AD695" i="8"/>
  <c r="AD696" i="8"/>
  <c r="AD697" i="8"/>
  <c r="AD698" i="8"/>
  <c r="AD699" i="8"/>
  <c r="AD700" i="8"/>
  <c r="AD701" i="8"/>
  <c r="AD702" i="8"/>
  <c r="AD703" i="8"/>
  <c r="AD704" i="8"/>
  <c r="AD705" i="8"/>
  <c r="AD706" i="8"/>
  <c r="AD707" i="8"/>
  <c r="AD708" i="8"/>
  <c r="AD709" i="8"/>
  <c r="AD710" i="8"/>
  <c r="AD711" i="8"/>
  <c r="AD712" i="8"/>
  <c r="AD713" i="8"/>
  <c r="AD714" i="8"/>
  <c r="AD715" i="8"/>
  <c r="AD716" i="8"/>
  <c r="AD717" i="8"/>
  <c r="AD718" i="8"/>
  <c r="AD719" i="8"/>
  <c r="AD720" i="8"/>
  <c r="AD721" i="8"/>
  <c r="AD722" i="8"/>
  <c r="AD723" i="8"/>
  <c r="AD724" i="8"/>
  <c r="AD725" i="8"/>
  <c r="AD726" i="8"/>
  <c r="AD727" i="8"/>
  <c r="AD728" i="8"/>
  <c r="AD729" i="8"/>
  <c r="AD730" i="8"/>
  <c r="AD731" i="8"/>
  <c r="AD732" i="8"/>
  <c r="AD733" i="8"/>
  <c r="AD734" i="8"/>
  <c r="AD735" i="8"/>
  <c r="AD736" i="8"/>
  <c r="AD737" i="8"/>
  <c r="AD738" i="8"/>
  <c r="AD739" i="8"/>
  <c r="AD740" i="8"/>
  <c r="AD741" i="8"/>
  <c r="AD742" i="8"/>
  <c r="AD743" i="8"/>
  <c r="AD744" i="8"/>
  <c r="AD745" i="8"/>
  <c r="AD746" i="8"/>
  <c r="AD747" i="8"/>
  <c r="AD748" i="8"/>
  <c r="AD749" i="8"/>
  <c r="AD750" i="8"/>
  <c r="AD751" i="8"/>
  <c r="AD752" i="8"/>
  <c r="AD753" i="8"/>
  <c r="AD754" i="8"/>
  <c r="AD755" i="8"/>
  <c r="AD756" i="8"/>
  <c r="AD757" i="8"/>
  <c r="AD758" i="8"/>
  <c r="AD759" i="8"/>
  <c r="AD760" i="8"/>
  <c r="AD761" i="8"/>
  <c r="AD762" i="8"/>
  <c r="AD763" i="8"/>
  <c r="AD764" i="8"/>
  <c r="AD765" i="8"/>
  <c r="AD766" i="8"/>
  <c r="AD767" i="8"/>
  <c r="AD768" i="8"/>
  <c r="AD769" i="8"/>
  <c r="AD770" i="8"/>
  <c r="AD771" i="8"/>
  <c r="AD772" i="8"/>
  <c r="AD773" i="8"/>
  <c r="AD774" i="8"/>
  <c r="AD2" i="8"/>
  <c r="Z2" i="8"/>
  <c r="AF2" i="9"/>
  <c r="AF2" i="10"/>
  <c r="AF2" i="11"/>
  <c r="E365" i="2" l="1"/>
  <c r="D365" i="2"/>
  <c r="E360" i="2"/>
  <c r="D360" i="2"/>
  <c r="E382" i="2"/>
  <c r="D382" i="2"/>
  <c r="E376" i="2"/>
  <c r="D376" i="2"/>
  <c r="D301" i="2"/>
  <c r="E302" i="2"/>
  <c r="D302" i="2"/>
  <c r="E301" i="2"/>
  <c r="D104" i="2"/>
  <c r="E124" i="2"/>
  <c r="E121" i="2"/>
  <c r="E118" i="2"/>
  <c r="E115" i="2"/>
  <c r="E112" i="2"/>
  <c r="E109" i="2"/>
  <c r="E106" i="2"/>
  <c r="D124" i="2"/>
  <c r="D121" i="2"/>
  <c r="D118" i="2"/>
  <c r="D115" i="2"/>
  <c r="D112" i="2"/>
  <c r="D109" i="2"/>
  <c r="D106" i="2"/>
  <c r="E123" i="2"/>
  <c r="E120" i="2"/>
  <c r="E117" i="2"/>
  <c r="E114" i="2"/>
  <c r="E111" i="2"/>
  <c r="E108" i="2"/>
  <c r="E105" i="2"/>
  <c r="D123" i="2"/>
  <c r="D120" i="2"/>
  <c r="D117" i="2"/>
  <c r="D114" i="2"/>
  <c r="D111" i="2"/>
  <c r="D108" i="2"/>
  <c r="D105" i="2"/>
  <c r="E122" i="2"/>
  <c r="E119" i="2"/>
  <c r="E116" i="2"/>
  <c r="E113" i="2"/>
  <c r="E110" i="2"/>
  <c r="E107" i="2"/>
  <c r="E104" i="2"/>
  <c r="D122" i="2"/>
  <c r="D119" i="2"/>
  <c r="D116" i="2"/>
  <c r="D113" i="2"/>
  <c r="D110" i="2"/>
  <c r="D107" i="2"/>
  <c r="E162" i="2"/>
  <c r="D162" i="2"/>
  <c r="E163" i="2"/>
  <c r="D163" i="2"/>
  <c r="D236" i="2"/>
  <c r="D239" i="2"/>
  <c r="D242" i="2"/>
  <c r="D245" i="2"/>
  <c r="D248" i="2"/>
  <c r="D251" i="2"/>
  <c r="D254" i="2"/>
  <c r="D257" i="2"/>
  <c r="E236" i="2"/>
  <c r="E239" i="2"/>
  <c r="E242" i="2"/>
  <c r="E245" i="2"/>
  <c r="E248" i="2"/>
  <c r="E251" i="2"/>
  <c r="E254" i="2"/>
  <c r="E257" i="2"/>
  <c r="D234" i="2"/>
  <c r="D237" i="2"/>
  <c r="D240" i="2"/>
  <c r="D243" i="2"/>
  <c r="D246" i="2"/>
  <c r="D249" i="2"/>
  <c r="D252" i="2"/>
  <c r="D255" i="2"/>
  <c r="D258" i="2"/>
  <c r="E234" i="2"/>
  <c r="E237" i="2"/>
  <c r="E240" i="2"/>
  <c r="E243" i="2"/>
  <c r="E246" i="2"/>
  <c r="E249" i="2"/>
  <c r="E252" i="2"/>
  <c r="E255" i="2"/>
  <c r="E258" i="2"/>
  <c r="D235" i="2"/>
  <c r="D238" i="2"/>
  <c r="D241" i="2"/>
  <c r="D244" i="2"/>
  <c r="D247" i="2"/>
  <c r="D250" i="2"/>
  <c r="D253" i="2"/>
  <c r="D256" i="2"/>
  <c r="D259" i="2"/>
  <c r="E235" i="2"/>
  <c r="E238" i="2"/>
  <c r="E241" i="2"/>
  <c r="E244" i="2"/>
  <c r="E247" i="2"/>
  <c r="E250" i="2"/>
  <c r="E253" i="2"/>
  <c r="E256" i="2"/>
  <c r="E259" i="2"/>
  <c r="D29" i="2"/>
  <c r="E29" i="2"/>
  <c r="D30" i="2"/>
  <c r="E30" i="2"/>
  <c r="E328" i="2"/>
  <c r="D328" i="2"/>
  <c r="E307" i="2"/>
  <c r="D307" i="2"/>
  <c r="E334" i="2"/>
  <c r="D334" i="2"/>
  <c r="D338" i="2"/>
  <c r="E338" i="2"/>
  <c r="E330" i="2"/>
  <c r="D330" i="2"/>
  <c r="E315" i="2"/>
  <c r="D315" i="2"/>
  <c r="D335" i="2"/>
  <c r="E335" i="2"/>
  <c r="D317" i="2"/>
  <c r="E317" i="2"/>
  <c r="D320" i="2"/>
  <c r="E320" i="2"/>
  <c r="E337" i="2"/>
  <c r="D337" i="2"/>
  <c r="E321" i="2"/>
  <c r="D321" i="2"/>
  <c r="D332" i="2"/>
  <c r="D309" i="2"/>
  <c r="E309" i="2"/>
  <c r="E332" i="2"/>
  <c r="E327" i="2"/>
  <c r="D327" i="2"/>
  <c r="E336" i="2"/>
  <c r="D336" i="2"/>
  <c r="E316" i="2"/>
  <c r="D316" i="2"/>
  <c r="D326" i="2"/>
  <c r="E326" i="2"/>
  <c r="E319" i="2"/>
  <c r="D319" i="2"/>
  <c r="D314" i="2"/>
  <c r="E314" i="2"/>
  <c r="D323" i="2"/>
  <c r="E323" i="2"/>
  <c r="E318" i="2"/>
  <c r="E310" i="2"/>
  <c r="D318" i="2"/>
  <c r="D310" i="2"/>
  <c r="E322" i="2"/>
  <c r="D322" i="2"/>
  <c r="E325" i="2"/>
  <c r="D325" i="2"/>
  <c r="E333" i="2"/>
  <c r="D333" i="2"/>
  <c r="E308" i="2"/>
  <c r="D308" i="2"/>
  <c r="E324" i="2"/>
  <c r="D324" i="2"/>
  <c r="E331" i="2"/>
  <c r="E311" i="2"/>
  <c r="D331" i="2"/>
  <c r="D311" i="2"/>
  <c r="D27" i="2"/>
  <c r="E27" i="2"/>
  <c r="D329" i="2"/>
  <c r="E329" i="2"/>
  <c r="E349" i="2"/>
  <c r="D349" i="2"/>
  <c r="D348" i="2"/>
  <c r="E348" i="2"/>
  <c r="E353" i="2"/>
  <c r="D353" i="2"/>
  <c r="E351" i="2"/>
  <c r="D351" i="2"/>
  <c r="E350" i="2"/>
  <c r="D350" i="2"/>
  <c r="E344" i="2"/>
  <c r="E354" i="2"/>
  <c r="D344" i="2"/>
  <c r="D354" i="2"/>
  <c r="D342" i="2"/>
  <c r="E352" i="2"/>
  <c r="D352" i="2"/>
  <c r="E342" i="2"/>
  <c r="E28" i="2"/>
  <c r="D28" i="2"/>
  <c r="E355" i="2"/>
  <c r="E343" i="2"/>
  <c r="D343" i="2"/>
  <c r="D355" i="2"/>
  <c r="E341" i="2"/>
  <c r="E356" i="2"/>
  <c r="D341" i="2"/>
  <c r="D356" i="2"/>
  <c r="E345" i="2"/>
  <c r="D345" i="2"/>
  <c r="C105" i="2" l="1"/>
  <c r="F105" i="2" s="1"/>
  <c r="G105" i="2" s="1"/>
  <c r="C376" i="2"/>
  <c r="C162" i="2"/>
  <c r="F162" i="2" s="1"/>
  <c r="G162" i="2" s="1"/>
  <c r="C163" i="2"/>
  <c r="F163" i="2" s="1"/>
  <c r="G163" i="2" s="1"/>
  <c r="C301" i="2"/>
  <c r="F301" i="2" s="1"/>
  <c r="G301" i="2" s="1"/>
  <c r="C115" i="2"/>
  <c r="F115" i="2" s="1"/>
  <c r="G115" i="2" s="1"/>
  <c r="C118" i="2"/>
  <c r="F118" i="2" s="1"/>
  <c r="G118" i="2" s="1"/>
  <c r="C119" i="2"/>
  <c r="F119" i="2" s="1"/>
  <c r="G119" i="2" s="1"/>
  <c r="C106" i="2"/>
  <c r="F106" i="2" s="1"/>
  <c r="G106" i="2" s="1"/>
  <c r="C124" i="2"/>
  <c r="F124" i="2" s="1"/>
  <c r="G124" i="2" s="1"/>
  <c r="C107" i="2"/>
  <c r="F107" i="2" s="1"/>
  <c r="G107" i="2" s="1"/>
  <c r="C114" i="2"/>
  <c r="F114" i="2" s="1"/>
  <c r="G114" i="2" s="1"/>
  <c r="C117" i="2"/>
  <c r="F117" i="2" s="1"/>
  <c r="G117" i="2" s="1"/>
  <c r="C109" i="2"/>
  <c r="F109" i="2" s="1"/>
  <c r="G109" i="2" s="1"/>
  <c r="C112" i="2"/>
  <c r="F112" i="2" s="1"/>
  <c r="G112" i="2" s="1"/>
  <c r="C121" i="2"/>
  <c r="F121" i="2" s="1"/>
  <c r="G121" i="2" s="1"/>
  <c r="C382" i="2"/>
  <c r="C302" i="2"/>
  <c r="F302" i="2" s="1"/>
  <c r="G302" i="2" s="1"/>
  <c r="C108" i="2"/>
  <c r="F108" i="2" s="1"/>
  <c r="G108" i="2" s="1"/>
  <c r="C120" i="2"/>
  <c r="F120" i="2" s="1"/>
  <c r="G120" i="2" s="1"/>
  <c r="C111" i="2"/>
  <c r="F111" i="2" s="1"/>
  <c r="G111" i="2" s="1"/>
  <c r="C123" i="2"/>
  <c r="F123" i="2" s="1"/>
  <c r="G123" i="2" s="1"/>
  <c r="C110" i="2"/>
  <c r="F110" i="2" s="1"/>
  <c r="G110" i="2" s="1"/>
  <c r="C116" i="2"/>
  <c r="F116" i="2" s="1"/>
  <c r="G116" i="2" s="1"/>
  <c r="C113" i="2"/>
  <c r="F113" i="2" s="1"/>
  <c r="G113" i="2" s="1"/>
  <c r="C122" i="2"/>
  <c r="F122" i="2" s="1"/>
  <c r="G122" i="2" s="1"/>
  <c r="C360" i="2"/>
  <c r="C365" i="2"/>
  <c r="F360" i="2"/>
  <c r="F365" i="2"/>
  <c r="F376" i="2"/>
  <c r="F382" i="2"/>
  <c r="C104" i="2"/>
  <c r="F104" i="2" s="1"/>
  <c r="G104" i="2" s="1"/>
  <c r="C256" i="2"/>
  <c r="F256" i="2" s="1"/>
  <c r="G256" i="2" s="1"/>
  <c r="C238" i="2"/>
  <c r="F238" i="2" s="1"/>
  <c r="G238" i="2" s="1"/>
  <c r="C255" i="2"/>
  <c r="F255" i="2" s="1"/>
  <c r="G255" i="2" s="1"/>
  <c r="C237" i="2"/>
  <c r="F237" i="2" s="1"/>
  <c r="G237" i="2" s="1"/>
  <c r="C251" i="2"/>
  <c r="F251" i="2" s="1"/>
  <c r="G251" i="2" s="1"/>
  <c r="C253" i="2"/>
  <c r="F253" i="2" s="1"/>
  <c r="G253" i="2" s="1"/>
  <c r="C235" i="2"/>
  <c r="F235" i="2" s="1"/>
  <c r="G235" i="2" s="1"/>
  <c r="C252" i="2"/>
  <c r="F252" i="2" s="1"/>
  <c r="G252" i="2" s="1"/>
  <c r="C234" i="2"/>
  <c r="F234" i="2" s="1"/>
  <c r="G234" i="2" s="1"/>
  <c r="C248" i="2"/>
  <c r="F248" i="2" s="1"/>
  <c r="G248" i="2" s="1"/>
  <c r="C250" i="2"/>
  <c r="F250" i="2" s="1"/>
  <c r="G250" i="2" s="1"/>
  <c r="C249" i="2"/>
  <c r="F249" i="2" s="1"/>
  <c r="G249" i="2" s="1"/>
  <c r="C245" i="2"/>
  <c r="F245" i="2" s="1"/>
  <c r="G245" i="2" s="1"/>
  <c r="C247" i="2"/>
  <c r="F247" i="2" s="1"/>
  <c r="G247" i="2" s="1"/>
  <c r="C246" i="2"/>
  <c r="F246" i="2" s="1"/>
  <c r="G246" i="2" s="1"/>
  <c r="C242" i="2"/>
  <c r="F242" i="2" s="1"/>
  <c r="G242" i="2" s="1"/>
  <c r="C244" i="2"/>
  <c r="F244" i="2" s="1"/>
  <c r="G244" i="2" s="1"/>
  <c r="C243" i="2"/>
  <c r="F243" i="2" s="1"/>
  <c r="G243" i="2" s="1"/>
  <c r="C257" i="2"/>
  <c r="F257" i="2" s="1"/>
  <c r="G257" i="2" s="1"/>
  <c r="C239" i="2"/>
  <c r="F239" i="2" s="1"/>
  <c r="G239" i="2" s="1"/>
  <c r="C259" i="2"/>
  <c r="F259" i="2" s="1"/>
  <c r="G259" i="2" s="1"/>
  <c r="C241" i="2"/>
  <c r="F241" i="2" s="1"/>
  <c r="G241" i="2" s="1"/>
  <c r="C258" i="2"/>
  <c r="F258" i="2" s="1"/>
  <c r="G258" i="2" s="1"/>
  <c r="C240" i="2"/>
  <c r="F240" i="2" s="1"/>
  <c r="G240" i="2" s="1"/>
  <c r="C254" i="2"/>
  <c r="F254" i="2" s="1"/>
  <c r="G254" i="2" s="1"/>
  <c r="C236" i="2"/>
  <c r="F236" i="2" s="1"/>
  <c r="G236" i="2" s="1"/>
  <c r="C356" i="2"/>
  <c r="C341" i="2"/>
  <c r="F343" i="2"/>
  <c r="C318" i="2"/>
  <c r="C325" i="2"/>
  <c r="C319" i="2"/>
  <c r="C336" i="2"/>
  <c r="F320" i="2"/>
  <c r="C315" i="2"/>
  <c r="C334" i="2"/>
  <c r="C345" i="2"/>
  <c r="C353" i="2"/>
  <c r="F348" i="2"/>
  <c r="C355" i="2"/>
  <c r="F342" i="2"/>
  <c r="F345" i="2"/>
  <c r="F344" i="2"/>
  <c r="F341" i="2"/>
  <c r="C29" i="2"/>
  <c r="F29" i="2" s="1"/>
  <c r="G29" i="2" s="1"/>
  <c r="C30" i="2"/>
  <c r="F30" i="2" s="1"/>
  <c r="G30" i="2" s="1"/>
  <c r="C324" i="2"/>
  <c r="F317" i="2"/>
  <c r="C330" i="2"/>
  <c r="C307" i="2"/>
  <c r="F310" i="2"/>
  <c r="C309" i="2"/>
  <c r="F331" i="2"/>
  <c r="F308" i="2"/>
  <c r="F322" i="2"/>
  <c r="C323" i="2"/>
  <c r="C326" i="2"/>
  <c r="F327" i="2"/>
  <c r="F321" i="2"/>
  <c r="F337" i="2"/>
  <c r="C335" i="2"/>
  <c r="C338" i="2"/>
  <c r="F328" i="2"/>
  <c r="C329" i="2"/>
  <c r="F311" i="2"/>
  <c r="C333" i="2"/>
  <c r="F314" i="2"/>
  <c r="C316" i="2"/>
  <c r="F332" i="2"/>
  <c r="F324" i="2"/>
  <c r="F325" i="2"/>
  <c r="F318" i="2"/>
  <c r="F319" i="2"/>
  <c r="F336" i="2"/>
  <c r="C332" i="2"/>
  <c r="C320" i="2"/>
  <c r="F315" i="2"/>
  <c r="F334" i="2"/>
  <c r="C27" i="2"/>
  <c r="F27" i="2" s="1"/>
  <c r="G27" i="2" s="1"/>
  <c r="E31" i="2"/>
  <c r="C311" i="2"/>
  <c r="C308" i="2"/>
  <c r="C322" i="2"/>
  <c r="F323" i="2"/>
  <c r="F326" i="2"/>
  <c r="C327" i="2"/>
  <c r="C321" i="2"/>
  <c r="F329" i="2"/>
  <c r="C331" i="2"/>
  <c r="C317" i="2"/>
  <c r="F330" i="2"/>
  <c r="F307" i="2"/>
  <c r="C310" i="2"/>
  <c r="C337" i="2"/>
  <c r="F335" i="2"/>
  <c r="F338" i="2"/>
  <c r="C328" i="2"/>
  <c r="F333" i="2"/>
  <c r="C314" i="2"/>
  <c r="F316" i="2"/>
  <c r="F309" i="2"/>
  <c r="F354" i="2"/>
  <c r="C343" i="2"/>
  <c r="C352" i="2"/>
  <c r="C350" i="2"/>
  <c r="C344" i="2"/>
  <c r="F351" i="2"/>
  <c r="C349" i="2"/>
  <c r="F353" i="2"/>
  <c r="F352" i="2"/>
  <c r="F355" i="2"/>
  <c r="C342" i="2"/>
  <c r="F350" i="2"/>
  <c r="C348" i="2"/>
  <c r="F356" i="2"/>
  <c r="D31" i="2"/>
  <c r="C28" i="2"/>
  <c r="C354" i="2"/>
  <c r="C351" i="2"/>
  <c r="F349" i="2"/>
  <c r="E13" i="15"/>
  <c r="E14" i="15"/>
  <c r="E148" i="2"/>
  <c r="D148" i="2"/>
  <c r="E147" i="2"/>
  <c r="D147" i="2"/>
  <c r="E146" i="2"/>
  <c r="D146" i="2"/>
  <c r="C146" i="2"/>
  <c r="C147" i="2"/>
  <c r="F28" i="2" l="1"/>
  <c r="C31" i="2"/>
  <c r="F147" i="2"/>
  <c r="G147" i="2" s="1"/>
  <c r="F146" i="2"/>
  <c r="G146" i="2" s="1"/>
  <c r="G28" i="2" l="1"/>
  <c r="G31" i="2" s="1"/>
  <c r="F31" i="2"/>
  <c r="G14" i="14"/>
  <c r="G11" i="13"/>
  <c r="B5" i="16"/>
  <c r="F13" i="16" s="1"/>
  <c r="G13" i="16" l="1"/>
  <c r="G9" i="16"/>
  <c r="E14" i="16"/>
  <c r="E10" i="16"/>
  <c r="F10" i="16"/>
  <c r="F14" i="16"/>
  <c r="E8" i="16"/>
  <c r="E12" i="16"/>
  <c r="G7" i="16"/>
  <c r="G11" i="16"/>
  <c r="F8" i="16"/>
  <c r="F12" i="16"/>
  <c r="G8" i="16"/>
  <c r="G10" i="16"/>
  <c r="G12" i="16"/>
  <c r="G14" i="16"/>
  <c r="E7" i="16"/>
  <c r="E9" i="16"/>
  <c r="E11" i="16"/>
  <c r="E13" i="16"/>
  <c r="F7" i="16"/>
  <c r="F9" i="16"/>
  <c r="F11" i="16"/>
  <c r="E7" i="14"/>
  <c r="E13" i="14"/>
  <c r="G13" i="14"/>
  <c r="E9" i="14"/>
  <c r="E11" i="14"/>
  <c r="F9" i="14"/>
  <c r="F11" i="14"/>
  <c r="G7" i="14"/>
  <c r="G11" i="14"/>
  <c r="E10" i="14"/>
  <c r="E14" i="14"/>
  <c r="F8" i="14"/>
  <c r="F10" i="14"/>
  <c r="F12" i="14"/>
  <c r="F14" i="14"/>
  <c r="F7" i="14"/>
  <c r="F13" i="14"/>
  <c r="G9" i="14"/>
  <c r="E8" i="14"/>
  <c r="E12" i="14"/>
  <c r="G8" i="14"/>
  <c r="G10" i="14"/>
  <c r="G12" i="14"/>
  <c r="E8" i="13"/>
  <c r="E10" i="13"/>
  <c r="G10" i="13"/>
  <c r="F8" i="13"/>
  <c r="F10" i="13"/>
  <c r="G8" i="13"/>
  <c r="E7" i="13"/>
  <c r="E9" i="13"/>
  <c r="E11" i="13"/>
  <c r="F7" i="13"/>
  <c r="F9" i="13"/>
  <c r="F11" i="13"/>
  <c r="G7" i="13"/>
  <c r="G9" i="13"/>
  <c r="D8" i="5"/>
  <c r="D6" i="5"/>
  <c r="D13" i="14" l="1"/>
  <c r="D12" i="16"/>
  <c r="D13" i="16"/>
  <c r="D10" i="16"/>
  <c r="D14" i="16"/>
  <c r="D9" i="16"/>
  <c r="D7" i="14"/>
  <c r="D7" i="16"/>
  <c r="D11" i="13"/>
  <c r="D11" i="16"/>
  <c r="D8" i="16"/>
  <c r="D14" i="14"/>
  <c r="D7" i="13"/>
  <c r="D8" i="13"/>
  <c r="D11" i="14"/>
  <c r="D8" i="14"/>
  <c r="D9" i="14"/>
  <c r="D12" i="14"/>
  <c r="D10" i="14"/>
  <c r="D9" i="13"/>
  <c r="D10" i="13"/>
  <c r="D8" i="7" l="1"/>
  <c r="D6" i="7"/>
  <c r="E288" i="2"/>
  <c r="D288" i="2"/>
  <c r="C288" i="2"/>
  <c r="D6" i="6"/>
  <c r="D8" i="6"/>
  <c r="C287" i="2"/>
  <c r="D287" i="2"/>
  <c r="E287" i="2"/>
  <c r="C70" i="2"/>
  <c r="D70" i="2"/>
  <c r="E70" i="2"/>
  <c r="E69" i="2"/>
  <c r="D69" i="2"/>
  <c r="C69" i="2"/>
  <c r="E68" i="2"/>
  <c r="D68" i="2"/>
  <c r="C68" i="2"/>
  <c r="E67" i="2"/>
  <c r="D67" i="2"/>
  <c r="C67" i="2"/>
  <c r="E66" i="2"/>
  <c r="D66" i="2"/>
  <c r="C66" i="2"/>
  <c r="F287" i="2" l="1"/>
  <c r="G287" i="2" s="1"/>
  <c r="F70" i="2"/>
  <c r="G70" i="2" s="1"/>
  <c r="F66" i="2"/>
  <c r="G66" i="2" s="1"/>
  <c r="AG2" i="10" l="1"/>
  <c r="AG2" i="9" l="1"/>
  <c r="AA2" i="8"/>
  <c r="D300" i="2" l="1"/>
  <c r="E300" i="2"/>
  <c r="C300" i="2" l="1"/>
  <c r="F300" i="2" s="1"/>
  <c r="G300" i="2" s="1"/>
  <c r="D273" i="2" l="1"/>
  <c r="D263" i="2" l="1"/>
  <c r="E263" i="2"/>
  <c r="D194" i="2"/>
  <c r="E194" i="2"/>
  <c r="D221" i="2"/>
  <c r="E221" i="2"/>
  <c r="D222" i="2"/>
  <c r="E222" i="2"/>
  <c r="D103" i="2"/>
  <c r="E103" i="2"/>
  <c r="C221" i="2" l="1"/>
  <c r="F221" i="2" s="1"/>
  <c r="G221" i="2" s="1"/>
  <c r="C263" i="2"/>
  <c r="F263" i="2" s="1"/>
  <c r="G263" i="2" s="1"/>
  <c r="C222" i="2"/>
  <c r="F222" i="2" s="1"/>
  <c r="G222" i="2" s="1"/>
  <c r="C194" i="2"/>
  <c r="F194" i="2" s="1"/>
  <c r="G194" i="2" s="1"/>
  <c r="C103" i="2"/>
  <c r="F103" i="2" s="1"/>
  <c r="G103" i="2" s="1"/>
  <c r="C76" i="2"/>
  <c r="F76" i="2" s="1"/>
  <c r="G76" i="2" s="1"/>
  <c r="D231" i="2" l="1"/>
  <c r="E231" i="2"/>
  <c r="D232" i="2"/>
  <c r="E232" i="2"/>
  <c r="D233" i="2"/>
  <c r="E233" i="2"/>
  <c r="D260" i="2"/>
  <c r="E260" i="2"/>
  <c r="D261" i="2"/>
  <c r="E261" i="2"/>
  <c r="D262" i="2"/>
  <c r="E262" i="2"/>
  <c r="D264" i="2"/>
  <c r="E264" i="2"/>
  <c r="D265" i="2"/>
  <c r="E265" i="2"/>
  <c r="D266" i="2"/>
  <c r="E266" i="2"/>
  <c r="D267" i="2"/>
  <c r="E267" i="2"/>
  <c r="D190" i="2"/>
  <c r="E190" i="2"/>
  <c r="D191" i="2"/>
  <c r="E191" i="2"/>
  <c r="D192" i="2"/>
  <c r="E192" i="2"/>
  <c r="D193" i="2"/>
  <c r="E193" i="2"/>
  <c r="D223" i="2"/>
  <c r="E223" i="2"/>
  <c r="D224" i="2"/>
  <c r="E224" i="2"/>
  <c r="D225" i="2"/>
  <c r="E225" i="2"/>
  <c r="D226" i="2"/>
  <c r="E226" i="2"/>
  <c r="C226" i="2" l="1"/>
  <c r="F226" i="2" s="1"/>
  <c r="G226" i="2" s="1"/>
  <c r="C231" i="2"/>
  <c r="F231" i="2" s="1"/>
  <c r="G231" i="2" s="1"/>
  <c r="C261" i="2"/>
  <c r="F261" i="2" s="1"/>
  <c r="G261" i="2" s="1"/>
  <c r="C232" i="2"/>
  <c r="F232" i="2" s="1"/>
  <c r="G232" i="2" s="1"/>
  <c r="C224" i="2"/>
  <c r="F224" i="2" s="1"/>
  <c r="G224" i="2" s="1"/>
  <c r="C191" i="2"/>
  <c r="F191" i="2" s="1"/>
  <c r="G191" i="2" s="1"/>
  <c r="C190" i="2"/>
  <c r="F190" i="2" s="1"/>
  <c r="G190" i="2" s="1"/>
  <c r="C265" i="2"/>
  <c r="F265" i="2" s="1"/>
  <c r="G265" i="2" s="1"/>
  <c r="C262" i="2"/>
  <c r="F262" i="2" s="1"/>
  <c r="G262" i="2" s="1"/>
  <c r="C267" i="2"/>
  <c r="F267" i="2" s="1"/>
  <c r="G267" i="2" s="1"/>
  <c r="C264" i="2"/>
  <c r="F264" i="2" s="1"/>
  <c r="G264" i="2" s="1"/>
  <c r="C260" i="2"/>
  <c r="F260" i="2" s="1"/>
  <c r="G260" i="2" s="1"/>
  <c r="C266" i="2"/>
  <c r="F266" i="2" s="1"/>
  <c r="G266" i="2" s="1"/>
  <c r="C233" i="2"/>
  <c r="F233" i="2" s="1"/>
  <c r="G233" i="2" s="1"/>
  <c r="C193" i="2"/>
  <c r="F193" i="2" s="1"/>
  <c r="G193" i="2" s="1"/>
  <c r="C225" i="2"/>
  <c r="F225" i="2" s="1"/>
  <c r="G225" i="2" s="1"/>
  <c r="C192" i="2"/>
  <c r="F192" i="2" s="1"/>
  <c r="G192" i="2" s="1"/>
  <c r="C223" i="2"/>
  <c r="F223" i="2" s="1"/>
  <c r="G223" i="2" s="1"/>
  <c r="D59" i="2"/>
  <c r="E59" i="2"/>
  <c r="D55" i="2"/>
  <c r="D51" i="2"/>
  <c r="E55" i="2"/>
  <c r="E51" i="2"/>
  <c r="D177" i="2"/>
  <c r="E177" i="2"/>
  <c r="C75" i="2" l="1"/>
  <c r="F75" i="2" s="1"/>
  <c r="G75" i="2" s="1"/>
  <c r="C51" i="2"/>
  <c r="G51" i="2" s="1"/>
  <c r="C59" i="2"/>
  <c r="F59" i="2" s="1"/>
  <c r="C55" i="2"/>
  <c r="F55" i="2" s="1"/>
  <c r="G55" i="2" s="1"/>
  <c r="B5" i="15"/>
  <c r="D153" i="2"/>
  <c r="E153" i="2"/>
  <c r="D154" i="2"/>
  <c r="E154" i="2"/>
  <c r="G13" i="15" l="1"/>
  <c r="G14" i="15"/>
  <c r="F14" i="15"/>
  <c r="F13" i="15"/>
  <c r="G12" i="15"/>
  <c r="F12" i="15"/>
  <c r="E12" i="15"/>
  <c r="G8" i="15"/>
  <c r="G11" i="15"/>
  <c r="G10" i="15"/>
  <c r="G9" i="15"/>
  <c r="F51" i="2"/>
  <c r="G59" i="2"/>
  <c r="G7" i="15"/>
  <c r="F7" i="15"/>
  <c r="C153" i="2"/>
  <c r="F153" i="2" s="1"/>
  <c r="G153" i="2" s="1"/>
  <c r="C154" i="2"/>
  <c r="F154" i="2" s="1"/>
  <c r="G154" i="2" s="1"/>
  <c r="D13" i="15" l="1"/>
  <c r="D14" i="15"/>
  <c r="E273" i="2" l="1"/>
  <c r="E6" i="5" l="1"/>
  <c r="E6" i="6" l="1"/>
  <c r="D169" i="2"/>
  <c r="E169" i="2"/>
  <c r="E173" i="2"/>
  <c r="D173" i="2"/>
  <c r="E6" i="7"/>
  <c r="E138" i="2"/>
  <c r="D138" i="2"/>
  <c r="E134" i="2"/>
  <c r="D134" i="2"/>
  <c r="D130" i="2"/>
  <c r="E130" i="2"/>
  <c r="D6" i="4"/>
  <c r="E6" i="4" s="1"/>
  <c r="E8" i="5"/>
  <c r="E36" i="2"/>
  <c r="C177" i="2" l="1"/>
  <c r="C169" i="2"/>
  <c r="F169" i="2" s="1"/>
  <c r="C173" i="2"/>
  <c r="F173" i="2" s="1"/>
  <c r="G173" i="2" s="1"/>
  <c r="C273" i="2"/>
  <c r="C138" i="2"/>
  <c r="F138" i="2" s="1"/>
  <c r="C134" i="2"/>
  <c r="F134" i="2" s="1"/>
  <c r="G134" i="2" s="1"/>
  <c r="C130" i="2"/>
  <c r="G130" i="2" s="1"/>
  <c r="D102" i="2"/>
  <c r="E102" i="2"/>
  <c r="A5" i="1"/>
  <c r="E39" i="2"/>
  <c r="D39" i="2"/>
  <c r="F130" i="2" l="1"/>
  <c r="G138" i="2"/>
  <c r="G169" i="2"/>
  <c r="G177" i="2"/>
  <c r="F177" i="2"/>
  <c r="G273" i="2"/>
  <c r="F273" i="2"/>
  <c r="F10" i="15"/>
  <c r="E11" i="15"/>
  <c r="E8" i="15"/>
  <c r="E10" i="15"/>
  <c r="F9" i="15"/>
  <c r="E7" i="15"/>
  <c r="F11" i="15"/>
  <c r="E9" i="15"/>
  <c r="F8" i="15"/>
  <c r="C102" i="2"/>
  <c r="F102" i="2" s="1"/>
  <c r="G102" i="2" s="1"/>
  <c r="C74" i="2"/>
  <c r="F74" i="2" s="1"/>
  <c r="G74" i="2" s="1"/>
  <c r="E185" i="2"/>
  <c r="E184" i="2"/>
  <c r="E183" i="2"/>
  <c r="E182" i="2"/>
  <c r="E181" i="2"/>
  <c r="E286" i="2"/>
  <c r="E285" i="2"/>
  <c r="E284" i="2"/>
  <c r="E283" i="2"/>
  <c r="E282" i="2"/>
  <c r="E281" i="2"/>
  <c r="E65" i="2"/>
  <c r="E64" i="2"/>
  <c r="E63" i="2"/>
  <c r="E149" i="2"/>
  <c r="E145" i="2"/>
  <c r="E144" i="2"/>
  <c r="E143" i="2"/>
  <c r="E142" i="2"/>
  <c r="D7" i="15" l="1"/>
  <c r="D8" i="15"/>
  <c r="D10" i="15"/>
  <c r="D11" i="15"/>
  <c r="D9" i="15"/>
  <c r="D12" i="15"/>
  <c r="A85" i="1"/>
  <c r="E44" i="2" l="1"/>
  <c r="E45" i="2"/>
  <c r="D45" i="2"/>
  <c r="D44" i="2"/>
  <c r="E43" i="2"/>
  <c r="D43" i="2"/>
  <c r="E8" i="6"/>
  <c r="C45" i="2" l="1"/>
  <c r="F45" i="2" s="1"/>
  <c r="C44" i="2"/>
  <c r="F44" i="2" s="1"/>
  <c r="C43" i="2"/>
  <c r="G43" i="2" s="1"/>
  <c r="G45" i="2" l="1"/>
  <c r="F43" i="2"/>
  <c r="G44" i="2"/>
  <c r="D230" i="2"/>
  <c r="E230" i="2"/>
  <c r="D189" i="2"/>
  <c r="E189" i="2"/>
  <c r="C189" i="2" l="1"/>
  <c r="F189" i="2" s="1"/>
  <c r="G189" i="2" s="1"/>
  <c r="C230" i="2"/>
  <c r="F230" i="2" s="1"/>
  <c r="G230" i="2" s="1"/>
  <c r="D161" i="2" l="1"/>
  <c r="E161" i="2"/>
  <c r="C161" i="2" l="1"/>
  <c r="F161" i="2" s="1"/>
  <c r="G161" i="2" s="1"/>
  <c r="C63" i="2" l="1"/>
  <c r="D63" i="2"/>
  <c r="F69" i="2"/>
  <c r="F63" i="2" l="1"/>
  <c r="E105" i="1"/>
  <c r="D105" i="1"/>
  <c r="E104" i="1"/>
  <c r="D104" i="1"/>
  <c r="E103" i="1"/>
  <c r="D103" i="1"/>
  <c r="C105" i="1" l="1"/>
  <c r="F105" i="1" s="1"/>
  <c r="G105" i="1" s="1"/>
  <c r="C104" i="1"/>
  <c r="F104" i="1" s="1"/>
  <c r="G104" i="1" s="1"/>
  <c r="C103" i="1"/>
  <c r="F103" i="1" s="1"/>
  <c r="G103" i="1" s="1"/>
  <c r="D286" i="2"/>
  <c r="D285" i="2"/>
  <c r="D284" i="2"/>
  <c r="D283" i="2"/>
  <c r="D282" i="2"/>
  <c r="F288" i="2"/>
  <c r="G288" i="2" s="1"/>
  <c r="C286" i="2"/>
  <c r="C285" i="2"/>
  <c r="C284" i="2"/>
  <c r="C283" i="2"/>
  <c r="C282" i="2"/>
  <c r="D281" i="2"/>
  <c r="C281" i="2"/>
  <c r="D101" i="2"/>
  <c r="E101" i="2"/>
  <c r="D65" i="2"/>
  <c r="D64" i="2"/>
  <c r="F68" i="2"/>
  <c r="C65" i="2"/>
  <c r="C64" i="2"/>
  <c r="D36" i="2"/>
  <c r="F286" i="2" l="1"/>
  <c r="G286" i="2" s="1"/>
  <c r="F284" i="2"/>
  <c r="G284" i="2" s="1"/>
  <c r="F282" i="2"/>
  <c r="G282" i="2" s="1"/>
  <c r="F281" i="2"/>
  <c r="G281" i="2" s="1"/>
  <c r="F285" i="2"/>
  <c r="G285" i="2" s="1"/>
  <c r="F283" i="2"/>
  <c r="G283" i="2" s="1"/>
  <c r="F65" i="2"/>
  <c r="F67" i="2"/>
  <c r="F64" i="2"/>
  <c r="C101" i="2"/>
  <c r="F101" i="2" s="1"/>
  <c r="G101" i="2" s="1"/>
  <c r="C36" i="2"/>
  <c r="G36" i="2" s="1"/>
  <c r="C39" i="2"/>
  <c r="G69" i="2" l="1"/>
  <c r="G63" i="2"/>
  <c r="G64" i="2"/>
  <c r="G68" i="2"/>
  <c r="G65" i="2"/>
  <c r="G67" i="2"/>
  <c r="G39" i="2"/>
  <c r="F39" i="2"/>
  <c r="F36" i="2"/>
  <c r="D4" i="5"/>
  <c r="B6" i="5"/>
  <c r="C6" i="5" s="1"/>
  <c r="B8" i="5" l="1"/>
  <c r="C8" i="5" s="1"/>
  <c r="D8" i="4"/>
  <c r="E8" i="4" s="1"/>
  <c r="E160" i="2"/>
  <c r="D160" i="2"/>
  <c r="D149" i="2"/>
  <c r="D145" i="2"/>
  <c r="D144" i="2"/>
  <c r="D143" i="2"/>
  <c r="C149" i="2"/>
  <c r="C148" i="2"/>
  <c r="C145" i="2"/>
  <c r="C144" i="2"/>
  <c r="C143" i="2"/>
  <c r="D142" i="2"/>
  <c r="C142" i="2"/>
  <c r="E37" i="2"/>
  <c r="D37" i="2"/>
  <c r="F149" i="2" l="1"/>
  <c r="F142" i="2"/>
  <c r="F145" i="2"/>
  <c r="F144" i="2"/>
  <c r="F148" i="2"/>
  <c r="F143" i="2"/>
  <c r="B6" i="4"/>
  <c r="C6" i="4" s="1"/>
  <c r="C37" i="2"/>
  <c r="G37" i="2" s="1"/>
  <c r="C160" i="2"/>
  <c r="F160" i="2" s="1"/>
  <c r="G160" i="2" s="1"/>
  <c r="G143" i="2" l="1"/>
  <c r="G144" i="2"/>
  <c r="G148" i="2"/>
  <c r="G145" i="2"/>
  <c r="G142" i="2"/>
  <c r="G149" i="2"/>
  <c r="F37" i="2"/>
  <c r="B8" i="4"/>
  <c r="D4" i="4"/>
  <c r="C8" i="4" l="1"/>
  <c r="E8" i="7"/>
  <c r="D185" i="2"/>
  <c r="C185" i="2"/>
  <c r="D184" i="2"/>
  <c r="C184" i="2"/>
  <c r="D183" i="2"/>
  <c r="C183" i="2"/>
  <c r="D182" i="2"/>
  <c r="C182" i="2"/>
  <c r="D181" i="2"/>
  <c r="C181" i="2"/>
  <c r="D38" i="2"/>
  <c r="E38" i="2"/>
  <c r="F185" i="2" l="1"/>
  <c r="F181" i="2"/>
  <c r="F183" i="2"/>
  <c r="F182" i="2"/>
  <c r="F184" i="2"/>
  <c r="C38" i="2"/>
  <c r="F38" i="2" s="1"/>
  <c r="G181" i="2" l="1"/>
  <c r="G185" i="2"/>
  <c r="G183" i="2"/>
  <c r="G184" i="2"/>
  <c r="G182" i="2"/>
  <c r="G38" i="2"/>
  <c r="B6" i="7"/>
  <c r="C6" i="7" s="1"/>
  <c r="D4" i="7"/>
  <c r="B8" i="7" l="1"/>
  <c r="C8" i="7" l="1"/>
  <c r="E277" i="2"/>
  <c r="E106" i="1"/>
  <c r="D277" i="2"/>
  <c r="D106" i="1"/>
  <c r="AG2" i="11"/>
  <c r="C277" i="2" l="1"/>
  <c r="F277" i="2" s="1"/>
  <c r="G277" i="2" s="1"/>
  <c r="C106" i="1"/>
  <c r="F106" i="1" s="1"/>
  <c r="G106" i="1" s="1"/>
  <c r="G107" i="1" s="1"/>
  <c r="B6" i="6" l="1"/>
  <c r="C6" i="6" s="1"/>
  <c r="D4" i="6"/>
  <c r="B8" i="6" l="1"/>
  <c r="C8" i="6" l="1"/>
  <c r="F16"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<sst xmlns="http://schemas.openxmlformats.org/spreadsheetml/2006/main" count="53568" uniqueCount="5004">
  <si>
    <t>RELATÓRIO PARCIAL</t>
  </si>
  <si>
    <t>CONTROLE TECNOLÓGICO</t>
  </si>
  <si>
    <t>POLO GOPOÚVA</t>
  </si>
  <si>
    <t>CONTRATADA AUDITADA: CONSÓRCIO GOPOÚVA I</t>
  </si>
  <si>
    <t>CONTRATO: 00.238/25</t>
  </si>
  <si>
    <t>SÃO PAULO</t>
  </si>
  <si>
    <t>GOPOÚVA</t>
  </si>
  <si>
    <t>ACOMPANHAMENTO EM CAMPO</t>
  </si>
  <si>
    <t>Período: 01/03/2026 à 31/03/2026</t>
  </si>
  <si>
    <t>ÍNDICE TECNOLÓGICO (%)</t>
  </si>
  <si>
    <t>IT (%)</t>
  </si>
  <si>
    <t>ÍNDICE DE CONFORMIDADE (%)</t>
  </si>
  <si>
    <t>Tipo de Serviço</t>
  </si>
  <si>
    <t>IC (%)</t>
  </si>
  <si>
    <t>Quantidade de LVs</t>
  </si>
  <si>
    <t>Água</t>
  </si>
  <si>
    <t>Esgoto</t>
  </si>
  <si>
    <t>Reposição</t>
  </si>
  <si>
    <t>FALTAM</t>
  </si>
  <si>
    <t>QUALIDADE</t>
  </si>
  <si>
    <t>PRAZO</t>
  </si>
  <si>
    <t>SEGURANÇA</t>
  </si>
  <si>
    <t>ORGANIZAÇÃO</t>
  </si>
  <si>
    <t>OLHAR DIGITAL</t>
  </si>
  <si>
    <t>ÍNDICE DE QUALIDADE SABESP - IQS (%)</t>
  </si>
  <si>
    <t>Fotos Avaliadas</t>
  </si>
  <si>
    <t>Fotos NC</t>
  </si>
  <si>
    <t>Fotos Conforme</t>
  </si>
  <si>
    <t>Não Conforme (%)</t>
  </si>
  <si>
    <t>Conforme (%)</t>
  </si>
  <si>
    <t>Cavalete</t>
  </si>
  <si>
    <t>Total</t>
  </si>
  <si>
    <t>IQS Não Conforme (%):</t>
  </si>
  <si>
    <t>IQS (%):</t>
  </si>
  <si>
    <t>TEMPO DE EXECUÇÃO</t>
  </si>
  <si>
    <t>Avaliados</t>
  </si>
  <si>
    <t>Não Conforme</t>
  </si>
  <si>
    <t>Conforme</t>
  </si>
  <si>
    <t>BAIXA DE MATERIAIS</t>
  </si>
  <si>
    <t>ÁGUA</t>
  </si>
  <si>
    <t>ETAPAS - CONFORMIDADE</t>
  </si>
  <si>
    <t>CONFORME</t>
  </si>
  <si>
    <t>NÃO CONFORME</t>
  </si>
  <si>
    <t>SEM FOTO</t>
  </si>
  <si>
    <t>CONFORME (%)</t>
  </si>
  <si>
    <t>NÃO CONFORME(%)</t>
  </si>
  <si>
    <t>FACHADA</t>
  </si>
  <si>
    <t>SINALIZAÇÃO</t>
  </si>
  <si>
    <t>ENCERADO</t>
  </si>
  <si>
    <t>GEOMETRIA</t>
  </si>
  <si>
    <t>BERÇO DE AREIA</t>
  </si>
  <si>
    <t>ESTANQUEIDADE</t>
  </si>
  <si>
    <t>COMPACTAÇÃO</t>
  </si>
  <si>
    <t>FINALIZAÇÃO</t>
  </si>
  <si>
    <t>EQUIPES - CONFORMIDADE - TEMPO DE EXECUÇÃO</t>
  </si>
  <si>
    <t>EQUIPE</t>
  </si>
  <si>
    <t>AVALIADOS</t>
  </si>
  <si>
    <t>NÃO CONFORME (%)</t>
  </si>
  <si>
    <t>EQUIPES - CONFORMIDADE - SEQUÊNCIA DE FOTOS</t>
  </si>
  <si>
    <t>ESGOTO</t>
  </si>
  <si>
    <t>PI,PV e TL</t>
  </si>
  <si>
    <t>NA</t>
  </si>
  <si>
    <t>ESCORAMENTO</t>
  </si>
  <si>
    <t>CAVALETE</t>
  </si>
  <si>
    <t>ANTES</t>
  </si>
  <si>
    <t>HIDRÔMETRO</t>
  </si>
  <si>
    <t>LEITURA</t>
  </si>
  <si>
    <t>REPOSIÇÃO</t>
  </si>
  <si>
    <t>IMPRIMAÇÃO</t>
  </si>
  <si>
    <t>TERMÔMETRO</t>
  </si>
  <si>
    <t>RASTELO</t>
  </si>
  <si>
    <t>COMPAC. MASSA ASF.</t>
  </si>
  <si>
    <t>PLACA VIBRATÓRIA</t>
  </si>
  <si>
    <t>Tipos de Serviços conformes e não conformes</t>
  </si>
  <si>
    <t>Familia dos Serviços - Água</t>
  </si>
  <si>
    <t>Porcentagem de NC</t>
  </si>
  <si>
    <t>LIGAÇÃO DE ÁGUA</t>
  </si>
  <si>
    <t>OUTROS SERVIÇOS DE ÁGUA</t>
  </si>
  <si>
    <t>RAMAL DE ÁGUA</t>
  </si>
  <si>
    <t>REDE DE ÁGUA</t>
  </si>
  <si>
    <t>VAZAMENTO DE ÁGUA</t>
  </si>
  <si>
    <t>Descrição TSS - Água</t>
  </si>
  <si>
    <t>ARREBENTADO DE REDE DE ÁGUA</t>
  </si>
  <si>
    <t>INCLUIR LIG DE ÁGUA EM CAV MÚLTIPLO S/V</t>
  </si>
  <si>
    <t>INTERLIGAR REDE DE ÁGUA</t>
  </si>
  <si>
    <t>LIGAÇÃO DE ÁGUA S/V</t>
  </si>
  <si>
    <t>NIVELAR CAIXA DE PARADA</t>
  </si>
  <si>
    <t>PROLONGAR REDE DE ÁGUA</t>
  </si>
  <si>
    <t>SONDAR RAMAL DE ÁGUA</t>
  </si>
  <si>
    <t>SONDAR REDE DE ÁGUA</t>
  </si>
  <si>
    <t>SUBSTITUIR LIG AGUA SIMPLES PARA DIMENS</t>
  </si>
  <si>
    <t>SUBSTITUIR LIGAÇÃO DE AGUA</t>
  </si>
  <si>
    <t>SUBSTITUIR TAMPA DE CAIXA UMA</t>
  </si>
  <si>
    <t>TRANSFORMAÇÃO LIG EXIST COM APROV RAMAL</t>
  </si>
  <si>
    <t>TRANSFORMAÇÃO LIG EXIST SEM APROV RAMAL</t>
  </si>
  <si>
    <t>TRANSFORMAÇÃO LIG NOVA COM APROV RAMAL</t>
  </si>
  <si>
    <t>TRANSFORMAÇÃO LIG NOVA SEM APROV RAMAL</t>
  </si>
  <si>
    <t>TROCAR CONEXÃO DE LIGAÇÃO DE ÁGUA</t>
  </si>
  <si>
    <t>TROCAR RAMAL DE ÁGUA</t>
  </si>
  <si>
    <t>TROCAR RAMAL DE ÁGUA - VAZ NÃO VISIVEL</t>
  </si>
  <si>
    <t>TROCAR RAMAL DE ÁGUA PREVENTIVA</t>
  </si>
  <si>
    <t>VAZAMENTO DE ÁGUA COM INFILTRAÇÃO</t>
  </si>
  <si>
    <t>VAZAMENTO DE ÁGUA LEITO PAVIMENTADO</t>
  </si>
  <si>
    <t>VAZAMENTO DE ÁGUA LEITO TERRA</t>
  </si>
  <si>
    <t>VAZAMENTO DE ÁGUA NÃO VISÍVEL RAMAL</t>
  </si>
  <si>
    <t>VAZAMENTO DE ÁGUA NÃO VISÍVEL REDE</t>
  </si>
  <si>
    <t>VAZAMENTO DE ÁGUA NO PASSEIO</t>
  </si>
  <si>
    <t>Familia dos Serviços - Esgoto</t>
  </si>
  <si>
    <t>CONSERTO DE ESGOTO</t>
  </si>
  <si>
    <t>LIGAÇÃO DE ESGOTO</t>
  </si>
  <si>
    <t>OUTROS SERVIÇOS DE ESGOTO</t>
  </si>
  <si>
    <t>PI, PV, TL</t>
  </si>
  <si>
    <t>REDE DE ESGOTO</t>
  </si>
  <si>
    <t>Descrição TSS - Esgoto</t>
  </si>
  <si>
    <t>CONSERTAR POÇO DE INSPEÇÃO/VISITA</t>
  </si>
  <si>
    <t>CONSERTAR REDE DE ESGOTO</t>
  </si>
  <si>
    <t>CONSTRUIR POÇO DE VISITA</t>
  </si>
  <si>
    <t>LIGAÇÃO DE ESGOTO ADICIONAL</t>
  </si>
  <si>
    <t>LIGAÇÃO DE ESGOTO AVULSA S/V</t>
  </si>
  <si>
    <t>LIGAÇÃO DE ESGOTO S/V</t>
  </si>
  <si>
    <t>NIVELAR POÇO DE INSPEÇÃO/VISITA</t>
  </si>
  <si>
    <t>SONDAR REDE DE ESGOTO</t>
  </si>
  <si>
    <t>TROCAR RAMAL DE ESGOTO</t>
  </si>
  <si>
    <t>Familia dos Serviços - Cavalete</t>
  </si>
  <si>
    <t>OUTROS SERVIÇOS DE CAVALETE</t>
  </si>
  <si>
    <t>Descrição TSS - Cavalete</t>
  </si>
  <si>
    <t>CAVALETE QUEBRADO</t>
  </si>
  <si>
    <t>CAVALETE VAZANDO</t>
  </si>
  <si>
    <t>INSTALAR LACRE DIVERSOS</t>
  </si>
  <si>
    <t>READEQUAR CAVALETE</t>
  </si>
  <si>
    <t>REGISTRO DO CAVALETE QUEBRADO</t>
  </si>
  <si>
    <t>REGISTRO DO CAVALETE VAZANDO</t>
  </si>
  <si>
    <t>REGULARIZAR CAVALETE</t>
  </si>
  <si>
    <t>TROCAR CAVALETE (KIT)</t>
  </si>
  <si>
    <t>TROCAR CAVALETE POR UMA</t>
  </si>
  <si>
    <t>TROCAR PE DE CAVALETE PREVENTIVO</t>
  </si>
  <si>
    <t>Familia dos Serviços - Reposição</t>
  </si>
  <si>
    <t>Descrição TSS - Reposição</t>
  </si>
  <si>
    <t>REPOR ASFALTO</t>
  </si>
  <si>
    <t>REPOR ASFALTO INV</t>
  </si>
  <si>
    <t>REPOR CAPA ASFALTICA</t>
  </si>
  <si>
    <t>REPOR CAPA ASFALTICA INV</t>
  </si>
  <si>
    <t>ÍNDICE TECNOLÓGICO</t>
  </si>
  <si>
    <t>O Índice Tecnológico pode ser obtido através da fórmula:</t>
  </si>
  <si>
    <t>IT = {[97 + 3 (Kc/100)] x Ks/100}</t>
  </si>
  <si>
    <t xml:space="preserve">Onde: </t>
  </si>
  <si>
    <t>IT = Índice Tecnológico</t>
  </si>
  <si>
    <t>Kc = Fator do Canteiro</t>
  </si>
  <si>
    <t>Ks = Média de Notas das LVs</t>
  </si>
  <si>
    <t>Estando acima de 80% o IT é considerado satisfatório.</t>
  </si>
  <si>
    <t>Nota: O Índice Tecnológico não foi calculado, pois a avaliação de Canteiro ainda não foi realizada.</t>
  </si>
  <si>
    <t>ACOMPANHAMENTO DE LISTAS DE VERIFICAÇÃO - LVS</t>
  </si>
  <si>
    <t>Índice de Conformidade (%)</t>
  </si>
  <si>
    <t>TIPO DE SERVIÇO</t>
  </si>
  <si>
    <t>QUANTIDADE DE LVS ACIMA DE 80%</t>
  </si>
  <si>
    <t>CONFORMIDADE POR CRITÉRIO DE AVALIAÇÃO</t>
  </si>
  <si>
    <t>ÍNDICE DE QUALIDADE SABESP - IQS (%) - MARÇO</t>
  </si>
  <si>
    <t>AMOSTRA</t>
  </si>
  <si>
    <t>EXECUTADOS</t>
  </si>
  <si>
    <t>VERIFICADOS</t>
  </si>
  <si>
    <t>(%)</t>
  </si>
  <si>
    <t>SEM EVIDÊNCIAS</t>
  </si>
  <si>
    <t>NÃO VERIFICADOS</t>
  </si>
  <si>
    <t>NÃO SINCRONIZADOS</t>
  </si>
  <si>
    <t>RESULTADO</t>
  </si>
  <si>
    <t>AVALIAÇÃO DE MATERIAIS</t>
  </si>
  <si>
    <t>CONFORMIDADE POR ETAPAS DE SERVIÇO</t>
  </si>
  <si>
    <t>EQUIPES - CONFORMIDADES</t>
  </si>
  <si>
    <t>Unidade Executante</t>
  </si>
  <si>
    <t>Número OS</t>
  </si>
  <si>
    <t>Descrição TSS</t>
  </si>
  <si>
    <t>Família</t>
  </si>
  <si>
    <t>Município</t>
  </si>
  <si>
    <t>Endereço</t>
  </si>
  <si>
    <t>Número</t>
  </si>
  <si>
    <t>Complemento</t>
  </si>
  <si>
    <t>Bairro</t>
  </si>
  <si>
    <t>Resultado</t>
  </si>
  <si>
    <t>Nota Execução/Não Execução</t>
  </si>
  <si>
    <t>Data Início Execução</t>
  </si>
  <si>
    <t>Data Fim Execução</t>
  </si>
  <si>
    <t>Observação Fachada</t>
  </si>
  <si>
    <t>Observação Sinalização</t>
  </si>
  <si>
    <t>Observação encerado</t>
  </si>
  <si>
    <t>Observação Geometria</t>
  </si>
  <si>
    <t>Observação Berço de Areia</t>
  </si>
  <si>
    <t>Observaçao Estanqueidade</t>
  </si>
  <si>
    <t>.COMPACTAÇÃO</t>
  </si>
  <si>
    <t>Observação Compactação</t>
  </si>
  <si>
    <t>Observação Finalização</t>
  </si>
  <si>
    <t>Tempo de execução</t>
  </si>
  <si>
    <t>Sequência de Fotos</t>
  </si>
  <si>
    <t>Observações</t>
  </si>
  <si>
    <t>Baixa de materias</t>
  </si>
  <si>
    <t>POLO</t>
  </si>
  <si>
    <t>MUNICÍPIO</t>
  </si>
  <si>
    <t>CARACTERÍSTICA DO SERVIÇO</t>
  </si>
  <si>
    <t>ONMG - DIV MANUT SERV OPE GOPOÚVA</t>
  </si>
  <si>
    <t>GUARULHOS</t>
  </si>
  <si>
    <t xml:space="preserve"> VIELA NUNES</t>
  </si>
  <si>
    <t>RECREIO SAO JORGE</t>
  </si>
  <si>
    <t>FOTOS NA REDE TAMBEM, APENAS REPOSIÇÃO DE CONCRETO, 3X1
VALA RASA 0,60</t>
  </si>
  <si>
    <t>01/04/2026</t>
  </si>
  <si>
    <t>CICERO XAVIER DA SILVA</t>
  </si>
  <si>
    <t>C</t>
  </si>
  <si>
    <t xml:space="preserve"> RUA IRUA</t>
  </si>
  <si>
    <t>C/1</t>
  </si>
  <si>
    <t>V BARROS</t>
  </si>
  <si>
    <t>executado rua troca de ramal . Na frente da caixa uma nao tinha rede de agua , a rede parava antes da residencia . por isso foi executado a troca do ramal alinhando o ramal em direcao a caixa uma .</t>
  </si>
  <si>
    <t>RENATO RAMOS MANCCINI</t>
  </si>
  <si>
    <t>NC</t>
  </si>
  <si>
    <t>C/2</t>
  </si>
  <si>
    <t xml:space="preserve"> RUA SAO SEBASTIAO DA BOA VISTA</t>
  </si>
  <si>
    <t> </t>
  </si>
  <si>
    <t>JD MARILENA</t>
  </si>
  <si>
    <t>SANDRO DE FREITAS GALINDO</t>
  </si>
  <si>
    <t xml:space="preserve"> RUA SANTO ANTONIO DA POSSE</t>
  </si>
  <si>
    <t>C/3</t>
  </si>
  <si>
    <t>JD BEIRUTE</t>
  </si>
  <si>
    <t>INCLUSÃO DE LIG DE AGUA EM CAV MULT S/V</t>
  </si>
  <si>
    <t xml:space="preserve">fotos na OS principal </t>
  </si>
  <si>
    <t xml:space="preserve"> AVENIDA NOVA TABOAO</t>
  </si>
  <si>
    <t>ANT200 C/1</t>
  </si>
  <si>
    <t>JD NOVA TABOAO</t>
  </si>
  <si>
    <t xml:space="preserve"> RUA DO ROSARIO</t>
  </si>
  <si>
    <t>V CAMARGO</t>
  </si>
  <si>
    <t>REPARO DE REDE DE AGUA NÃO VISIVEL</t>
  </si>
  <si>
    <t xml:space="preserve">SEM FOTOS DEVIDO ERRO DE PLANEJAMENTO </t>
  </si>
  <si>
    <t>CLAUDIO JOSE SILVA SANTOS</t>
  </si>
  <si>
    <t>LIGAÇÃO DE ÁGUA EM CAVALETE MULTIPLO</t>
  </si>
  <si>
    <t xml:space="preserve"> RUA SAO JOAO</t>
  </si>
  <si>
    <t>JD IRENE</t>
  </si>
  <si>
    <t>LIGAÇÃO DE AGUA EM CAVALETE MÚLTIPLO</t>
  </si>
  <si>
    <t xml:space="preserve">rua estreita </t>
  </si>
  <si>
    <t xml:space="preserve"> RUA GUARACY</t>
  </si>
  <si>
    <t>CASA 02</t>
  </si>
  <si>
    <t>JD PAULISTA</t>
  </si>
  <si>
    <t>ADEMAR JOSE VIANA</t>
  </si>
  <si>
    <t xml:space="preserve"> AVENIDA EMILIO RIBAS</t>
  </si>
  <si>
    <t>ANT. 420</t>
  </si>
  <si>
    <t>V TIJUCO</t>
  </si>
  <si>
    <t>JOSE LIMA SILVA</t>
  </si>
  <si>
    <t xml:space="preserve"> RUA TERRA BOA</t>
  </si>
  <si>
    <t>CABUCU</t>
  </si>
  <si>
    <t>ADIMILSON SOUZA OLIVEIRA</t>
  </si>
  <si>
    <t xml:space="preserve"> RUA CORREGO DO BOM JESUS</t>
  </si>
  <si>
    <t>CASA 1</t>
  </si>
  <si>
    <t>TABOAO</t>
  </si>
  <si>
    <t>TROCA DE RAMAL DE AGUA PREVENTIVA</t>
  </si>
  <si>
    <t xml:space="preserve">nao foi possivel sequencia  fotos correto devido estreitamento de pistar </t>
  </si>
  <si>
    <t>EDSON COUTINHO DOS SANTOS</t>
  </si>
  <si>
    <t xml:space="preserve"> RUA METEORITO</t>
  </si>
  <si>
    <t>CASA 03</t>
  </si>
  <si>
    <t>PQ PRIMAVERA</t>
  </si>
  <si>
    <t>SONDAGEM DE REDE DE AGUA NÃO VISIVEL</t>
  </si>
  <si>
    <t xml:space="preserve">nao foi possivel tira sequencia de fotos correto porem estreitamento de pistar </t>
  </si>
  <si>
    <t xml:space="preserve"> RUA ALEGRE</t>
  </si>
  <si>
    <t>ANT. 35</t>
  </si>
  <si>
    <t>V SAO RAFAEL</t>
  </si>
  <si>
    <t>SUPRIMIDO RAMAL DE AGUA ABANDONADO</t>
  </si>
  <si>
    <t>JOAO MANOEL PEREIRA DOS SANTOS</t>
  </si>
  <si>
    <t xml:space="preserve"> RUA TAILANDIA</t>
  </si>
  <si>
    <t>JD SANTA CECILIA</t>
  </si>
  <si>
    <t>EDILSON BARRETO DA SILVA</t>
  </si>
  <si>
    <t>FALTA CARIMBO</t>
  </si>
  <si>
    <t>ANT180,C/1</t>
  </si>
  <si>
    <t>não consigo tira todas as fotos porque a rua esta  fresado prá colocar asfalto novo .e esta interditado</t>
  </si>
  <si>
    <t xml:space="preserve"> RUA VIVENCIA ESPIRITO SANTO</t>
  </si>
  <si>
    <t>APTO 3</t>
  </si>
  <si>
    <t>JD PALMIRA</t>
  </si>
  <si>
    <t>REPARO DE REDE DE AGUA</t>
  </si>
  <si>
    <t>HENRIQUE ANDRADE PEREIRA</t>
  </si>
  <si>
    <t>APTO 1</t>
  </si>
  <si>
    <t>as fotos e reposicao estao na os 2689310773</t>
  </si>
  <si>
    <t>sem foto porque o servico foi aberto depois do executado</t>
  </si>
  <si>
    <t xml:space="preserve"> RUA CURIO</t>
  </si>
  <si>
    <t>CASA 01</t>
  </si>
  <si>
    <t>JD VALERIA</t>
  </si>
  <si>
    <t>SUPRIMIDO RAMAL AGUA ABAND NÃO VISIVEL</t>
  </si>
  <si>
    <t xml:space="preserve"> RUA PADRE CELESTINO</t>
  </si>
  <si>
    <t>ANTIGO 585</t>
  </si>
  <si>
    <t>CENTRO</t>
  </si>
  <si>
    <t>não tem reposição obra no local material utilizado 1 m de tubo de PVC de 75</t>
  </si>
  <si>
    <t xml:space="preserve"> RUA MONTE CARLO</t>
  </si>
  <si>
    <t>ANT 51D</t>
  </si>
  <si>
    <t>BELA VISTA</t>
  </si>
  <si>
    <t>Serviço executado sem fotos devido os aberta após execução do serviço e dentro da vala do INTEGRA TIETÊ com o acompanhamento do fiscal Elvis</t>
  </si>
  <si>
    <t>JOSE PETRUCIO SANTOS FILHO</t>
  </si>
  <si>
    <t>ANT. 52</t>
  </si>
  <si>
    <t>Serviço executado sem fotos devido os aberta após execução do serviço e dentro da vala do INTEGRA TIETÊ com o acompanhamento do fiscal Elvi</t>
  </si>
  <si>
    <t xml:space="preserve"> RUA EUSONIA</t>
  </si>
  <si>
    <t>JD EUSONIA</t>
  </si>
  <si>
    <t>SUBSTITUIDA TAMPA DE CAIXA UMA</t>
  </si>
  <si>
    <t xml:space="preserve">fotos encaminhadas no WhatsApp </t>
  </si>
  <si>
    <t>MURILO ALVES ROCHA</t>
  </si>
  <si>
    <t xml:space="preserve"> RUA SOLDADO ARLINDO SARDANHA</t>
  </si>
  <si>
    <t>ANT. 18</t>
  </si>
  <si>
    <t>TROCA DE RAMAL DE AGUA</t>
  </si>
  <si>
    <t xml:space="preserve">nao foi possivel sequencia de fotos correta devido local estreito e nao foi possível fotos de estanquiedade devido pé de cavalete ser de uma polegada </t>
  </si>
  <si>
    <t xml:space="preserve"> RUA CONEGO VALADAO</t>
  </si>
  <si>
    <t>ANT. 1834</t>
  </si>
  <si>
    <t>GOPOUVA</t>
  </si>
  <si>
    <t>todas as fotos estao na os 2613872040</t>
  </si>
  <si>
    <t>EDILSON DA SILVA DE ALMEIDA</t>
  </si>
  <si>
    <t>ANT. 5 C/1</t>
  </si>
  <si>
    <t>TROCA DE RAMAL DE AGUA NÃO VISIVEL</t>
  </si>
  <si>
    <t>serviço executado sem abertura do os
tirar as fotos no particular</t>
  </si>
  <si>
    <t>OS ABERTA POSTERIROMENTE A EXECUÇÃO DO SERVIÇO</t>
  </si>
  <si>
    <t xml:space="preserve"> RUA HUGO ZILLER</t>
  </si>
  <si>
    <t>ANT. 3</t>
  </si>
  <si>
    <t xml:space="preserve">nao foi possivel fotos devido OS ser aberta posteriormente, prioridade da sabesp, sem pavimento obras de esgoto no local </t>
  </si>
  <si>
    <t>OS ABERTA POSTERIORMENTE A EXECUÇÃO DO SERVIÇO</t>
  </si>
  <si>
    <t xml:space="preserve">nao foi possivel fotos devido OS ser aberta posteriormente, prioridade sabesp , sem reposição obras de esgoto no local </t>
  </si>
  <si>
    <t xml:space="preserve"> RUA JAIME TAVARES</t>
  </si>
  <si>
    <t>ANT.17 C/3</t>
  </si>
  <si>
    <t>PQ MIKAIL I</t>
  </si>
  <si>
    <t>o restante das fotos do reparo de rede vai estar na etapa do asfalto frio
foi usado 1 luva de 75 de correr PVC</t>
  </si>
  <si>
    <t>FABIO SANTOS</t>
  </si>
  <si>
    <t xml:space="preserve">trocado ramal de agua , as fotos estão na OS 2689271871 mesma valas  da OS </t>
  </si>
  <si>
    <t xml:space="preserve"> RUA SAO DOMINGOS</t>
  </si>
  <si>
    <t>JD CRISTIN ALICE</t>
  </si>
  <si>
    <t>fotos na os anterior</t>
  </si>
  <si>
    <t>ROMARIO MARINHO SANTOS</t>
  </si>
  <si>
    <t>sem fotos O.S.aberta posteriormente</t>
  </si>
  <si>
    <t>ANT200 C/2</t>
  </si>
  <si>
    <t xml:space="preserve"> RUA PALOMA</t>
  </si>
  <si>
    <t>PQ CONTINENTAL IV</t>
  </si>
  <si>
    <t xml:space="preserve">nao a fotos devudo a chuva,imovel em obra nao a reposicao nao fazer dcp devido a rede raza </t>
  </si>
  <si>
    <t>SF</t>
  </si>
  <si>
    <t xml:space="preserve"> AVENIDA AMALIA GOLLIN PAGNONCELLI</t>
  </si>
  <si>
    <t>ANT. 9B</t>
  </si>
  <si>
    <t>JD ROSA DE FRANCA</t>
  </si>
  <si>
    <t>02/04/2026</t>
  </si>
  <si>
    <t xml:space="preserve"> RUA GUARUMOMIS</t>
  </si>
  <si>
    <t>A C/2</t>
  </si>
  <si>
    <t>JD PARAISO</t>
  </si>
  <si>
    <t>REPOSIÇÃO CONCRETO PASSEIO ADAJACNETE 1X1
REPOSIÇÃO CONCRETO TERÇO OPOSTO 1X1
FOTOS NA REDE</t>
  </si>
  <si>
    <t>A C/1</t>
  </si>
  <si>
    <t>A C/3</t>
  </si>
  <si>
    <t xml:space="preserve"> RUA ODORICO JOSE DE BIM</t>
  </si>
  <si>
    <t>obs : a vala ficou muito grande por isso nao colocamos asfalto frio mas carimbamos nas laterais da vala alertando que é provisorio .</t>
  </si>
  <si>
    <t xml:space="preserve"> RUA LOURDES AGOSTINHO</t>
  </si>
  <si>
    <t xml:space="preserve">rua sem saida </t>
  </si>
  <si>
    <t xml:space="preserve"> RUA CONCEICAO DO RIO VERDE</t>
  </si>
  <si>
    <t>ANT . 55</t>
  </si>
  <si>
    <t>V SITIO DOS MORROS</t>
  </si>
  <si>
    <t>SONDAGEM DE REDE DE AGUA</t>
  </si>
  <si>
    <t>baixando sem fotos devido chuvas fortes.  programação ciente</t>
  </si>
  <si>
    <t>ALISSON ARAUJO DA SILVA</t>
  </si>
  <si>
    <t xml:space="preserve">fotos via wattsap,  número 556 </t>
  </si>
  <si>
    <t>ANT . 57</t>
  </si>
  <si>
    <t xml:space="preserve">material usado tripartida de 200 ,
1 metro de tubo 200 , 2 luvas pvc 4 metros de tubo pvc 75 , anexos faltando devido escuro </t>
  </si>
  <si>
    <t xml:space="preserve"> RUA RIBEIRAO DO SUL</t>
  </si>
  <si>
    <t>.</t>
  </si>
  <si>
    <t>nao fazer dcp rede raza ,nao a reposicao devido asfalto esta marcado pra frezar</t>
  </si>
  <si>
    <t xml:space="preserve"> RUA MARQUES DE BECARIA CESARE BONESANA</t>
  </si>
  <si>
    <t>MONTE CARMELO</t>
  </si>
  <si>
    <t>todas as fotos estao na os 2613867309,,, TRA ATE O PE DO CAVALETE</t>
  </si>
  <si>
    <t xml:space="preserve"> AVENIDA NOVA AMERICA</t>
  </si>
  <si>
    <t>ANT 1342</t>
  </si>
  <si>
    <t xml:space="preserve">DEMAIS FOTOS NA ETAPA DO ASFALTO FRIO </t>
  </si>
  <si>
    <t xml:space="preserve"> RUA DAS PAINEIRAS</t>
  </si>
  <si>
    <t>A</t>
  </si>
  <si>
    <t>JD SANTA EDWIRGES</t>
  </si>
  <si>
    <t>fotos anexadas na rede
passeio e rua está em obras, sem reposição</t>
  </si>
  <si>
    <t xml:space="preserve"> RUA ARACOIABA DA SERRA</t>
  </si>
  <si>
    <t>JD JOVAIA</t>
  </si>
  <si>
    <t xml:space="preserve"> RUA CLEMENTE FERREIRA</t>
  </si>
  <si>
    <t>JD V GALVAO</t>
  </si>
  <si>
    <t xml:space="preserve"> RUA EXISTENTE</t>
  </si>
  <si>
    <t>sem fotos area de mata
sem reposição terra</t>
  </si>
  <si>
    <t xml:space="preserve"> RUA SAPOLANDIA</t>
  </si>
  <si>
    <t>E</t>
  </si>
  <si>
    <t xml:space="preserve">nao foi possivel sequecia de fostos correto porem area de risco viela estreita porem foi trocado ate a corrida devido cliente nao estar em casa </t>
  </si>
  <si>
    <t xml:space="preserve"> AVENIDA PALMIRA ROSSI</t>
  </si>
  <si>
    <t>COM1ANT924</t>
  </si>
  <si>
    <t>nao foi possivel cocluir fotos correto devido obra  da sabesp no local</t>
  </si>
  <si>
    <t xml:space="preserve"> RUA ABATA</t>
  </si>
  <si>
    <t>ANT13A</t>
  </si>
  <si>
    <t>JD FLOR DA MONTANHA</t>
  </si>
  <si>
    <t>1-As fotos estao na OS principal</t>
  </si>
  <si>
    <t>CARLOS HENRIQUE DO AMARAL</t>
  </si>
  <si>
    <t>REMANEJAR REDE DE ÁGUA</t>
  </si>
  <si>
    <t xml:space="preserve"> AVENIDA PEDRO DE SOUZA LOPES</t>
  </si>
  <si>
    <t>REMANEJADA REDE DE AGUA</t>
  </si>
  <si>
    <t>serviço executado sem foto devido a os aberta após a execução do serviço foi usado 7 m de tubo de 75 PVC sem reposição devido obra do integra no local</t>
  </si>
  <si>
    <t xml:space="preserve"> VIELA DA BARRA</t>
  </si>
  <si>
    <t>ANT.109</t>
  </si>
  <si>
    <t>rua em obra fotos de finalização pendentes devido obra do eagoto que iria finalizar a reposicao do material</t>
  </si>
  <si>
    <t xml:space="preserve"> RUA INACIO BITENCOURT</t>
  </si>
  <si>
    <t>CASA 04</t>
  </si>
  <si>
    <t>TRANQUILIDADE</t>
  </si>
  <si>
    <t>INTERLIGAÇÃO DE REDE DE AGUA</t>
  </si>
  <si>
    <t>serviço baixado sem foto devido à abertura da os após da execução do serviço
foi usar dois cotovelos de 90 75 PVC
sem reposição do vidro obra do integra</t>
  </si>
  <si>
    <t>V GALVAO</t>
  </si>
  <si>
    <t>serviço baixado sem foto de virada abertura da os após a execução de serviço
foi usado dois cotovelos de 90 de 75 para PVC
sem reposição do vidro obra do entrega no local</t>
  </si>
  <si>
    <t>sem fotos O.S. aberta posteriormente</t>
  </si>
  <si>
    <t xml:space="preserve"> RUA ANA COELHO DA SILVEIRA</t>
  </si>
  <si>
    <t>JD IPANEMA</t>
  </si>
  <si>
    <t xml:space="preserve"> RUA ANTONIO CUSTODIO CASTRO</t>
  </si>
  <si>
    <t xml:space="preserve">Não foi possível concluir sequência de foto correto devido  chuva intensa no local </t>
  </si>
  <si>
    <t>SONDAGEM DE RAMAL DE AGUA</t>
  </si>
  <si>
    <t xml:space="preserve"> RUA GAGO COUTINHO</t>
  </si>
  <si>
    <t xml:space="preserve">trata se de troca de ramal,  nao foi possivel sequencia de fotos correta devido local em obras , passeio adjacente em obras responsabilidade do cliente , interferência de comgas no passeio adjacente </t>
  </si>
  <si>
    <t xml:space="preserve"> RUA QUILOMBO</t>
  </si>
  <si>
    <t>ANTIGO 162</t>
  </si>
  <si>
    <t xml:space="preserve">trata se de pe de cavalete preventivo devido ramal ja ser novo </t>
  </si>
  <si>
    <t>03/04/2026</t>
  </si>
  <si>
    <t>ROBERTO APARECIDO BARBOSA SANTOS</t>
  </si>
  <si>
    <t>As fotos estao na OS principal</t>
  </si>
  <si>
    <t xml:space="preserve"> RUA PAULO CASTALDELLI</t>
  </si>
  <si>
    <t>PQ CONTINENTAL I</t>
  </si>
  <si>
    <t>ANTIGO 134</t>
  </si>
  <si>
    <t>FOTO DA FOTO</t>
  </si>
  <si>
    <t xml:space="preserve"> RUA NOVA UNIAO</t>
  </si>
  <si>
    <t>CASA-02</t>
  </si>
  <si>
    <t>V UNIAO</t>
  </si>
  <si>
    <t xml:space="preserve"> RUA MARIA LUISA REIS MONTEIRO DOS</t>
  </si>
  <si>
    <t>ANT.18 C/1</t>
  </si>
  <si>
    <t xml:space="preserve">REPOSIÇÃO CIMENTADO, FOTOS NA REDE, ERRO DE SINCRONIZAÇÃO, EQUIPE SANDRO (SEBASTIÃO E MARCELO)
REALIZADO TROCA DO HD </t>
  </si>
  <si>
    <t>ANT.18 C/3</t>
  </si>
  <si>
    <t>REPOSIÇÃO CIMENTADO PASSEIO, FOTOS NA REDE, EQUIPE SANDRO (SEBASTIÃO E MARCELO)</t>
  </si>
  <si>
    <t>ANT.18 C/2</t>
  </si>
  <si>
    <t xml:space="preserve"> RUA RUBENS ALVES TAVARES</t>
  </si>
  <si>
    <t>ANT 52 C/2</t>
  </si>
  <si>
    <t>JD VALE DOS MACHADOS</t>
  </si>
  <si>
    <t xml:space="preserve">serviço executado sem foto devido se ária de </t>
  </si>
  <si>
    <t xml:space="preserve"> RUA CARANGUEIJO</t>
  </si>
  <si>
    <t>ANTIGO 6 A</t>
  </si>
  <si>
    <t xml:space="preserve"> RUA VEREADOR ALVARO DE MENDONCA FALCAO</t>
  </si>
  <si>
    <t>V ANDRADE</t>
  </si>
  <si>
    <t xml:space="preserve">foi executado um reparo na rede ff </t>
  </si>
  <si>
    <t>GIVALDO COSTA DOS SANTOS</t>
  </si>
  <si>
    <t xml:space="preserve"> RUA MARIA FERREIRA CALSADO</t>
  </si>
  <si>
    <t xml:space="preserve"> RUA CLAUDINO BARBOSA</t>
  </si>
  <si>
    <t>FRENTEC/1A</t>
  </si>
  <si>
    <t>MACEDO</t>
  </si>
  <si>
    <t xml:space="preserve">foi executado uma troca de ramal de agua. </t>
  </si>
  <si>
    <t>SEM FOCO PROBLEMA GEOCALL</t>
  </si>
  <si>
    <t xml:space="preserve"> RUA LOUVEIRA</t>
  </si>
  <si>
    <t>ANTIGO 438</t>
  </si>
  <si>
    <t>Serviço baixado sem foto devido a área de risco</t>
  </si>
  <si>
    <t>fotos na os  n 100</t>
  </si>
  <si>
    <t xml:space="preserve"> RUA DIRCEU ROCHA DIAS</t>
  </si>
  <si>
    <t>ANT. 220</t>
  </si>
  <si>
    <t>JD CITY</t>
  </si>
  <si>
    <t xml:space="preserve"> RUA BRASILANDIA</t>
  </si>
  <si>
    <t>V BREMEN</t>
  </si>
  <si>
    <t>SUBSTITUIDA LIGAÇÃO DE AGUA</t>
  </si>
  <si>
    <t>04/04/2026</t>
  </si>
  <si>
    <t xml:space="preserve"> RUA CARLOS PEDRO FIRMO</t>
  </si>
  <si>
    <t xml:space="preserve">nao foi possivel requadra o passeio devido piso estourado </t>
  </si>
  <si>
    <t xml:space="preserve"> RUA CAVADAS</t>
  </si>
  <si>
    <t>V SAO JOAO</t>
  </si>
  <si>
    <t xml:space="preserve">passeio  em  obra </t>
  </si>
  <si>
    <t>05/04/2026</t>
  </si>
  <si>
    <t>MANOMETRO ZERADO</t>
  </si>
  <si>
    <t>C/7</t>
  </si>
  <si>
    <t>foto da execucao na O.S 2613858773</t>
  </si>
  <si>
    <t>C/6</t>
  </si>
  <si>
    <t>C/5</t>
  </si>
  <si>
    <t>C/4</t>
  </si>
  <si>
    <t>1-Troca ate o passeio,cliente n estava em casa e o cavalete é dentro da casa
2</t>
  </si>
  <si>
    <t>FALTA RÉGUA, TRENA E CARIMBO</t>
  </si>
  <si>
    <t xml:space="preserve"> RUA PROFESSOR JOSE MUNHOZ</t>
  </si>
  <si>
    <t>ANT63</t>
  </si>
  <si>
    <t>JD MUNHOZ</t>
  </si>
  <si>
    <t>SONDAGEM DE RAMAL DE AGUA NÃO VISIVEL</t>
  </si>
  <si>
    <t xml:space="preserve"> RUA ONZE</t>
  </si>
  <si>
    <t xml:space="preserve"> RUA ORIZONA</t>
  </si>
  <si>
    <t>ANT. 96</t>
  </si>
  <si>
    <t xml:space="preserve"> RUA SANTO ANTONIO</t>
  </si>
  <si>
    <t>ANT93</t>
  </si>
  <si>
    <t xml:space="preserve"> RUA SAO JOAO DA MATA</t>
  </si>
  <si>
    <t>ANT116 C/1</t>
  </si>
  <si>
    <t xml:space="preserve"> RUA CARLOS BOCAS</t>
  </si>
  <si>
    <t>JD ELIZABETH</t>
  </si>
  <si>
    <t>baixando sem fotos devido ser área de risco , material usado T de serviço 75</t>
  </si>
  <si>
    <t xml:space="preserve"> RUA DORES DE INDAIA</t>
  </si>
  <si>
    <t>ANT. 13</t>
  </si>
  <si>
    <t>JD SANTA CLARA</t>
  </si>
  <si>
    <t xml:space="preserve">trocado ramal de agua ate o pé do cavalete,  asfotos estão na OS do vazamento </t>
  </si>
  <si>
    <t xml:space="preserve"> RUA RICARDO BIONDI</t>
  </si>
  <si>
    <t>V SAO RICARDO</t>
  </si>
  <si>
    <t xml:space="preserve"> AVENIDA ANTONIO CARLOS</t>
  </si>
  <si>
    <t>JD SAO JOAO BATISTA</t>
  </si>
  <si>
    <t xml:space="preserve">baixando sem foto devido ser área de risco , sem Reposição viela moradores. estão em reforma , material usado t de 75 , 3 metros pead  Cotovelo fêmea. </t>
  </si>
  <si>
    <t xml:space="preserve"> RUA VALPARAISO</t>
  </si>
  <si>
    <t>ANT. 16</t>
  </si>
  <si>
    <t>PICANCO</t>
  </si>
  <si>
    <t xml:space="preserve"> RUA MADAME CURIE</t>
  </si>
  <si>
    <t>C/1ANT1561</t>
  </si>
  <si>
    <t>JD DOURADO</t>
  </si>
  <si>
    <t xml:space="preserve"> RUA JOSEPHINA MANDOTTI</t>
  </si>
  <si>
    <t>JD MAIA</t>
  </si>
  <si>
    <t xml:space="preserve"> RUA MATHIAS DE ALBUQUERQUE</t>
  </si>
  <si>
    <t>ANT. 2 C/1</t>
  </si>
  <si>
    <t xml:space="preserve">passeio em obra </t>
  </si>
  <si>
    <t>ANT. 2 C/3</t>
  </si>
  <si>
    <t>foto da execucao na O.S 2614130666</t>
  </si>
  <si>
    <t>ANT. 2 C/2</t>
  </si>
  <si>
    <t xml:space="preserve"> RUA PRUDENTE DE MORAIS</t>
  </si>
  <si>
    <t>ANT 18 C/1</t>
  </si>
  <si>
    <t>V MONTEIRO LOBATO</t>
  </si>
  <si>
    <t xml:space="preserve">sem foto da lona e do batedor porque nao fpi necessario quebra o passeio. sem foto da sinalizacao devido que nao deu para parar o caminhao np local </t>
  </si>
  <si>
    <t>ANT 18 C/2</t>
  </si>
  <si>
    <t>foto da execucao na O.S 2614162798</t>
  </si>
  <si>
    <t xml:space="preserve"> RUA CABO JOAO TERUEL FREGONI</t>
  </si>
  <si>
    <t>COM. 01</t>
  </si>
  <si>
    <t>PONTE GRANDE</t>
  </si>
  <si>
    <t>NIVELADA CAIXA DE PARADA</t>
  </si>
  <si>
    <t>serviço baixado sem foto devido à demora da abertura da OS
foi usado o metro de tubo de 150 de esgoto e uma T5 concretada</t>
  </si>
  <si>
    <t xml:space="preserve"> RUA TANCREDO DE ALMEIDA NEVES</t>
  </si>
  <si>
    <t>ITAPEGICA</t>
  </si>
  <si>
    <t xml:space="preserve">trocado ramal de agua ate o pé do cavalete,  nao foi possivel fotos devido área de risco </t>
  </si>
  <si>
    <t xml:space="preserve"> RUA ENEDINA TORCHETTI</t>
  </si>
  <si>
    <t>ANT24C/1</t>
  </si>
  <si>
    <t xml:space="preserve"> AVENIDA FRANCISCO MORATO</t>
  </si>
  <si>
    <t>as fotos da sondagem está na os 2614312644</t>
  </si>
  <si>
    <t>o restante das fotos da troca de ramal está na os 2614312644
a troca de ramal foi feita no número 799</t>
  </si>
  <si>
    <t xml:space="preserve"> RUA LEOPOLDO SILINGARDI</t>
  </si>
  <si>
    <t>JD LAS VEGAS</t>
  </si>
  <si>
    <t xml:space="preserve">nao foi possivel fotos devido errde sincronismo </t>
  </si>
  <si>
    <t>DESCOBRIR VÁLVULA DE REDE DE ÁGUA</t>
  </si>
  <si>
    <t>DESCOBERTA VALVULA DE REDE DE AGUA</t>
  </si>
  <si>
    <t>06/04/2026</t>
  </si>
  <si>
    <t xml:space="preserve"> AVENIDA SAULLE PAGNONCELLI</t>
  </si>
  <si>
    <t>ANT. 24</t>
  </si>
  <si>
    <t xml:space="preserve">restante das fotos na Reposição </t>
  </si>
  <si>
    <t xml:space="preserve"> AVENIDA ALEXANDRE GRANDISOLI</t>
  </si>
  <si>
    <t>ANT12</t>
  </si>
  <si>
    <t>PQ CONTINENTAL II</t>
  </si>
  <si>
    <t xml:space="preserve">foi executado um reparo na rede </t>
  </si>
  <si>
    <t xml:space="preserve"> RUA JOSE DE MELO</t>
  </si>
  <si>
    <t>COM.  01</t>
  </si>
  <si>
    <t xml:space="preserve">SERVIÇO EXECUTADO PELA EQUIPE CAMINHÃO, (EDILSON E RENATO)
FOTOS NA REDE, REALIZADO TROCA DOS HD CASA 1 E 2
INSTALADO HD CASA 4 - 6
REALIZADO SUPRESSÃO RAMAL ANTERIOR, REPOSIÇÃO DE DUAS VALAS 1X1 CADA
REPOSIÇÃO PASSEIO CONCRETO 1 X1 </t>
  </si>
  <si>
    <t xml:space="preserve"> RUA VITOR COSTA</t>
  </si>
  <si>
    <t>COMERCIO 2</t>
  </si>
  <si>
    <t>PARAVENTI</t>
  </si>
  <si>
    <t xml:space="preserve">A26SG0102763 C/6
SERVIÇO EXECUTADO PELA EQUIPE CAMINHÃO, (EDILSON E RENATO)
FOTOS NA REDE, REALIZADO TROCA DOS HD CASA 1 E 2
INSTALADO HD CASA 4 - 6
REALIZADO SUPRESSÃO RAMAL ANTERIOR, REPOSIÇÃO DE DUAS VALAS 1X1 CADA
REPOSIÇÃO PASSEIO CONCRETO 1 X1 </t>
  </si>
  <si>
    <t>A26SG0102756 C/5
SERVIÇO EXECUTADO PELA EQUIPE CAMINHÃO, (EDILSON E RENATO)
FOTOS NA REDE, REALIZADO TROCA DOS HD CASA 1 E 2
INSTALADO HD CASA 4 - 6
REALIZADO SUPRESSÃO RAMAL ANTERIOR, REPOSIÇÃO DE DUAS VALAS 1X1 CADA
REPOSIÇÃO PASSEIO CONCRETO 1 X1
REALIZADO TROCA DO RAMAL</t>
  </si>
  <si>
    <t>ANT.22</t>
  </si>
  <si>
    <t xml:space="preserve"> RUA CAPIVARI</t>
  </si>
  <si>
    <t>obs fotos segue os 2613688156</t>
  </si>
  <si>
    <t xml:space="preserve"> ESTRADA DAS FURNAS</t>
  </si>
  <si>
    <t>passeio especial reposicao 1/1</t>
  </si>
  <si>
    <t xml:space="preserve"> VIELA TRES DA RUA GRANITO</t>
  </si>
  <si>
    <t>sem fotos integra tiete em obras
sem reposição terra</t>
  </si>
  <si>
    <t xml:space="preserve">às de mais fotos foram tiradas na outra os número 2614127319 não tem reposição obra do esgoto no local </t>
  </si>
  <si>
    <t xml:space="preserve">não tem reposição e asfalto frio é obra de esgoto no local </t>
  </si>
  <si>
    <t xml:space="preserve"> RUA BRIGADEIRO LIMA E SILVA</t>
  </si>
  <si>
    <t>ANT. 231</t>
  </si>
  <si>
    <t>CASA3</t>
  </si>
  <si>
    <t xml:space="preserve"> RUA TERC SARGENTO ALCIDES DE OLIVEIRA</t>
  </si>
  <si>
    <t>V CAPITAO RABELO</t>
  </si>
  <si>
    <t>ANT 4</t>
  </si>
  <si>
    <t xml:space="preserve"> RUA ROBERTO CORREA VIANNA</t>
  </si>
  <si>
    <t>PQ CONTINENTAL V</t>
  </si>
  <si>
    <t xml:space="preserve"> RUA DOUTOR ELOY CHAVES</t>
  </si>
  <si>
    <t>V SOROCABANA</t>
  </si>
  <si>
    <t>todas as fotos estao na os 2689642727</t>
  </si>
  <si>
    <t xml:space="preserve"> AVENIDA WILSON CELESTINO</t>
  </si>
  <si>
    <t>CASA 3</t>
  </si>
  <si>
    <t xml:space="preserve"> RUA PADRE LUCIANO RONGE</t>
  </si>
  <si>
    <t>ANT. 88</t>
  </si>
  <si>
    <t>V DAS PALMEIRAS</t>
  </si>
  <si>
    <t>todas as fotos estao na os 2614498395</t>
  </si>
  <si>
    <t xml:space="preserve"> AVENIDA SALGADO FILHO</t>
  </si>
  <si>
    <t>SALÃO 05</t>
  </si>
  <si>
    <t xml:space="preserve">fotos desaa os etao na os 2614397464
nao foi possivel fazer sinalizacao correta caminhao ficou nas vaga de estacionamento di predio onde foi executado o servico
usado 2 acoplamento de inox 50 x63 e 63x70 nao tem material no meu login para ser lancado </t>
  </si>
  <si>
    <t xml:space="preserve"> RUA DA GLORIA</t>
  </si>
  <si>
    <t>ANT155A</t>
  </si>
  <si>
    <t>V SAO JUDAS TADEU</t>
  </si>
  <si>
    <t>SERVIÇO EXECUTADO PELA EQUIPE CAMINHÃO, (EDILSON E RENATO)
FOTOS NA REDE, REALIZADO TROCA DOS HD CASA 1 E 2
INSTALADO HD CASA 4 - 6
REALIZADO SUPRESSÃO RAMAL ANTERIOR, REPOSIÇÃO DE DUAS VALAS 1X1 CADA
REPOSIÇÃO PASSEIO CONCRETO 1 X1
REALIZADO TROCA DO RAMAL</t>
  </si>
  <si>
    <t xml:space="preserve"> RUA JAIME AVELINO</t>
  </si>
  <si>
    <t>ANT 75</t>
  </si>
  <si>
    <t xml:space="preserve">nao foi possivel fotos devido área de risco </t>
  </si>
  <si>
    <t xml:space="preserve"> RUA SOLDADO ALEIXO HERCULANO MABA</t>
  </si>
  <si>
    <t>CASA  02</t>
  </si>
  <si>
    <t>vala aterrada por outra empreiteira</t>
  </si>
  <si>
    <t>07/04/2026</t>
  </si>
  <si>
    <t xml:space="preserve"> RUA TEIXEIRA SOARES</t>
  </si>
  <si>
    <t>JD DAS ACACIAS</t>
  </si>
  <si>
    <t xml:space="preserve"> RUA CANARIO</t>
  </si>
  <si>
    <t>JD SANTA INES</t>
  </si>
  <si>
    <t xml:space="preserve"> AVENIDA SILVESTRE PIRES DE FREITAS</t>
  </si>
  <si>
    <t xml:space="preserve">passeio terra </t>
  </si>
  <si>
    <t xml:space="preserve"> RUA IRMA DOROTY</t>
  </si>
  <si>
    <t>PQ MIKAIL I I</t>
  </si>
  <si>
    <t>rua de terra sem reposicao</t>
  </si>
  <si>
    <t xml:space="preserve"> RUA SANTA IZABEL DO IVAI</t>
  </si>
  <si>
    <t>JD CELIA</t>
  </si>
  <si>
    <t>foto da execucao na O.S 2613829768</t>
  </si>
  <si>
    <t xml:space="preserve"> RUA DOLOMITA</t>
  </si>
  <si>
    <t xml:space="preserve"> RUA SILVIO SILINGARDI</t>
  </si>
  <si>
    <t>ANTIGO 52</t>
  </si>
  <si>
    <t xml:space="preserve"> RUA FERRUCIO BIONDI</t>
  </si>
  <si>
    <t>ANT 16 C/1</t>
  </si>
  <si>
    <t>JD DORALY</t>
  </si>
  <si>
    <t xml:space="preserve">passeio em obra. </t>
  </si>
  <si>
    <t xml:space="preserve"> RUA AGNELLO TRAMA</t>
  </si>
  <si>
    <t xml:space="preserve">material utilizado 1m de tubo de PVC de 75 muita chuva no local </t>
  </si>
  <si>
    <t xml:space="preserve"> AVENIDA MARIA GEBIN DE MORAES</t>
  </si>
  <si>
    <t>ANT320 C/1</t>
  </si>
  <si>
    <t>BAIXA INCORRETA E EMENDA</t>
  </si>
  <si>
    <t>ANT 16 C/2</t>
  </si>
  <si>
    <t>foto da execucao na O.S 2614166953</t>
  </si>
  <si>
    <t>ANT320 C/2</t>
  </si>
  <si>
    <t>foto da execucao na O.S 2614135155</t>
  </si>
  <si>
    <t xml:space="preserve"> RUA NETUNO</t>
  </si>
  <si>
    <t>ANT8CC</t>
  </si>
  <si>
    <t>JD SANTA MARIA</t>
  </si>
  <si>
    <t xml:space="preserve"> AVENIDA MILTON</t>
  </si>
  <si>
    <t>ANT544C/1</t>
  </si>
  <si>
    <t>sem foto devido vala abertta da interega</t>
  </si>
  <si>
    <t>ROBERTO SOARES DE ALMEIDA</t>
  </si>
  <si>
    <t>ANTIGO 97</t>
  </si>
  <si>
    <t>não dar pra tirar mais fotos Chuva.rua alagada</t>
  </si>
  <si>
    <t>DETRITO NA VALA</t>
  </si>
  <si>
    <t>ANT96A</t>
  </si>
  <si>
    <t>demais fotos no  Os 558
#OS:2614489305</t>
  </si>
  <si>
    <t xml:space="preserve"> RUA ADELINA VIEIRA PORTO</t>
  </si>
  <si>
    <t>JD SANTA LIDIA</t>
  </si>
  <si>
    <t xml:space="preserve">feita sondagem em rede de agua , agua de mina , nao foi possivel sequencia de fotos correta devido chuva no local </t>
  </si>
  <si>
    <t xml:space="preserve"> RUA ITORORO</t>
  </si>
  <si>
    <t>CC/1</t>
  </si>
  <si>
    <t>SERVIÇO EXECUTADO PELA EQUIPE RENATO CAVALETE, FOTOS NA REDE
HD INSTALADO = A25LM1187211
FOI REALIZADO TROCA DO RAMAL DE AGUA,
OBS CASA NUMERO 7 ATUAL 235
NECESSARIO REPOR ASFALTO 1,20 X 1,20
REPOSIÇÃO CIMENTADO OK 0,50 X 1</t>
  </si>
  <si>
    <t xml:space="preserve"> AVENIDA MARTINS JUNIOR</t>
  </si>
  <si>
    <t>ANT. 1557</t>
  </si>
  <si>
    <t xml:space="preserve">Não foi possível concluir sequências de fotos correto devido estreitamente no local </t>
  </si>
  <si>
    <t>sem foto devido oss aberta depois da execusao</t>
  </si>
  <si>
    <t xml:space="preserve"> RUA CABO JOSE DA SILVA</t>
  </si>
  <si>
    <t xml:space="preserve"> RUA HELOISA</t>
  </si>
  <si>
    <t>ANT. 26</t>
  </si>
  <si>
    <t>vala aberta oela empresa integra tiete  e sera fecahda por eles ,,,,,,fitos em os principal</t>
  </si>
  <si>
    <t xml:space="preserve"> RUA FRANCISCO SERRANO</t>
  </si>
  <si>
    <t>ww</t>
  </si>
  <si>
    <t xml:space="preserve"> RUA XISTO</t>
  </si>
  <si>
    <t>Não foi possível concluir sequência de foto devido chuva intensa no local</t>
  </si>
  <si>
    <t xml:space="preserve"> VIELA TRES DA RUA ANDROMEDA</t>
  </si>
  <si>
    <t xml:space="preserve">Não foi possível concluir sequência de foto devido à rea de risco viela </t>
  </si>
  <si>
    <t xml:space="preserve"> RUA BETUEL LOPES FERREIRA</t>
  </si>
  <si>
    <t>ANTIGO 4 A</t>
  </si>
  <si>
    <t>JD DONA MERI</t>
  </si>
  <si>
    <t>-</t>
  </si>
  <si>
    <t>demais fotos estão no #558
OS:2614489305</t>
  </si>
  <si>
    <t>ANT571C/2</t>
  </si>
  <si>
    <t xml:space="preserve"> RUA DURVAL</t>
  </si>
  <si>
    <t xml:space="preserve">fotos dessa os estao na os principal
reposicao cliente fara a reposicao p.a especial </t>
  </si>
  <si>
    <t xml:space="preserve"> VIELA OLGA MARTINS</t>
  </si>
  <si>
    <t>CID MARTINS</t>
  </si>
  <si>
    <t xml:space="preserve">sinalização incompleta motivo rua sem acesso ao caminhão sem foto do sapinho  rua sem acesso ao caminhão </t>
  </si>
  <si>
    <t>FALTA DAS PLACAS DE 50 E ESTREITAMENTO DE PISTA</t>
  </si>
  <si>
    <t xml:space="preserve"> RUA VICENTE DE PAULA PINTO</t>
  </si>
  <si>
    <t>V OPERARIA</t>
  </si>
  <si>
    <t xml:space="preserve">foi executado uma sondagem, porém nao há vazamento de agua,  água descendo na sarjeta. </t>
  </si>
  <si>
    <t xml:space="preserve"> RUA SANTA MARIA</t>
  </si>
  <si>
    <t xml:space="preserve">nao fpi possivel cocluir sequencia de fotos coreeto porem chuva intensa no local </t>
  </si>
  <si>
    <t xml:space="preserve"> RUA JAROSLAV HAJEK</t>
  </si>
  <si>
    <t>ANT. 84</t>
  </si>
  <si>
    <t>JD MOREIRA</t>
  </si>
  <si>
    <t>08/04/2026</t>
  </si>
  <si>
    <t xml:space="preserve"> RUA AGUA DOCE</t>
  </si>
  <si>
    <t>ANT58C/1E0</t>
  </si>
  <si>
    <t>JD SAO DOMINGOS</t>
  </si>
  <si>
    <t xml:space="preserve"> RUA IBIPITANGA</t>
  </si>
  <si>
    <t>ANT 242</t>
  </si>
  <si>
    <t>PQ CONTINENTAL III</t>
  </si>
  <si>
    <t xml:space="preserve"> RUA DOUTOR ANGELO VITA</t>
  </si>
  <si>
    <t>servico executado pela rua presidente prudente 136</t>
  </si>
  <si>
    <t xml:space="preserve"> RUA CAPELA DO ALTO</t>
  </si>
  <si>
    <t>C- 03</t>
  </si>
  <si>
    <t xml:space="preserve"> AVENIDA MARECHAL RONDON</t>
  </si>
  <si>
    <t xml:space="preserve"> RUA CENTER</t>
  </si>
  <si>
    <t>foto da execucao na O.S 2614135529</t>
  </si>
  <si>
    <t>FDS CASA 2</t>
  </si>
  <si>
    <t>ANT1941TRA</t>
  </si>
  <si>
    <t>1-troca ate o passeio,cliente n estava em casa</t>
  </si>
  <si>
    <t xml:space="preserve"> RUA JOAO ROBERTO MIRANDA</t>
  </si>
  <si>
    <t xml:space="preserve"> RUA HUNGRIA</t>
  </si>
  <si>
    <t xml:space="preserve"> AVENIDA NEUZA LUONGO</t>
  </si>
  <si>
    <t xml:space="preserve">passeio em obras </t>
  </si>
  <si>
    <t xml:space="preserve"> RUA TRAJANO DE MORAIS</t>
  </si>
  <si>
    <t>JD ITAPOA</t>
  </si>
  <si>
    <t xml:space="preserve"> RUA AGUAS DE LINDOIA</t>
  </si>
  <si>
    <t>V MARILDA</t>
  </si>
  <si>
    <t xml:space="preserve"> RUA SENADOR MODESTO GONCALVES</t>
  </si>
  <si>
    <t>fotos tiradas via whatsapp</t>
  </si>
  <si>
    <t xml:space="preserve"> RUA ITAPOGIPE</t>
  </si>
  <si>
    <t>A A CASA 2</t>
  </si>
  <si>
    <t xml:space="preserve"> RUA CRISTOBAL CLAUDIO ELILLO</t>
  </si>
  <si>
    <t>NORTE UE22</t>
  </si>
  <si>
    <t>CECAP</t>
  </si>
  <si>
    <t xml:space="preserve">fotos via wattsap </t>
  </si>
  <si>
    <t xml:space="preserve"> RUA MANOEL DE SOUZA</t>
  </si>
  <si>
    <t>ANT. 8</t>
  </si>
  <si>
    <t>INSTALAR VÁLVULA DE REDE DE ÁGUA</t>
  </si>
  <si>
    <t xml:space="preserve"> RUA ROMELANDIA</t>
  </si>
  <si>
    <t>INSTALADA VALVULA DE REDE DE AGUA</t>
  </si>
  <si>
    <t>OS ABERTA APOS EXECUCAO - DDNTRO DO PVTL</t>
  </si>
  <si>
    <t>ANT.14</t>
  </si>
  <si>
    <t>serviço foi executado sem abertura do os  demais fotos estão no 218
#Os:2614686675</t>
  </si>
  <si>
    <t xml:space="preserve"> RUA CONSUL ORESTES CORREA</t>
  </si>
  <si>
    <t>observação fotos do serviço estão na OS 2614676509</t>
  </si>
  <si>
    <t xml:space="preserve">foi executado um reparo na rede nao visível </t>
  </si>
  <si>
    <t xml:space="preserve"> RUA GABRIEL DELANE</t>
  </si>
  <si>
    <t xml:space="preserve"> AVENIDA MAUES</t>
  </si>
  <si>
    <t>BAAP32</t>
  </si>
  <si>
    <t>BOM CLIMA</t>
  </si>
  <si>
    <t>sem foto porque o servico foi aberto depois executado</t>
  </si>
  <si>
    <t>VAZAMENTO DE ÁGUA EM RAMAL ABANDONADO</t>
  </si>
  <si>
    <t xml:space="preserve">fotos dessa os estao na os principal </t>
  </si>
  <si>
    <t xml:space="preserve"> RUA CINCO</t>
  </si>
  <si>
    <t>JD DOS CARDOSOS</t>
  </si>
  <si>
    <t xml:space="preserve"> RUA DOUTOR DOMINGOS PASCHOAL B GRACIANO</t>
  </si>
  <si>
    <t>ANT. 25</t>
  </si>
  <si>
    <t>JD NV IPANEMA</t>
  </si>
  <si>
    <t xml:space="preserve">fotos no vazamento </t>
  </si>
  <si>
    <t xml:space="preserve"> RUA NATAL DEL BUONI</t>
  </si>
  <si>
    <t>ANT53</t>
  </si>
  <si>
    <t>sem fotos O.S. aberta apos a execução</t>
  </si>
  <si>
    <t xml:space="preserve">fotos dessa os estão na os principal </t>
  </si>
  <si>
    <t xml:space="preserve"> VIELA UM DOS GENIOS</t>
  </si>
  <si>
    <t xml:space="preserve">fotos tiradas na OS anterior </t>
  </si>
  <si>
    <t xml:space="preserve"> RUA PROGRESSO</t>
  </si>
  <si>
    <t>sem foto por nao ter asseso o local do caminhao</t>
  </si>
  <si>
    <t>09/04/2026</t>
  </si>
  <si>
    <t>ANT. 737</t>
  </si>
  <si>
    <t xml:space="preserve"> TRAVESSA BOM JESUS DA LAPA</t>
  </si>
  <si>
    <t>ANT. 15</t>
  </si>
  <si>
    <t>V ROSALIA</t>
  </si>
  <si>
    <t xml:space="preserve"> RUA IBIRAMA</t>
  </si>
  <si>
    <t>JD DO PAPAI</t>
  </si>
  <si>
    <t>CASA  - 02</t>
  </si>
  <si>
    <t xml:space="preserve"> RUA ANDROMEDA</t>
  </si>
  <si>
    <t xml:space="preserve"> PASSAGEM FRANCA</t>
  </si>
  <si>
    <t>JD NOVA GUARULHOS</t>
  </si>
  <si>
    <t xml:space="preserve"> RUA IPIRANGA</t>
  </si>
  <si>
    <t>ANT. 347</t>
  </si>
  <si>
    <t xml:space="preserve"> RUA BARBACENA</t>
  </si>
  <si>
    <t>ANT. 18 C</t>
  </si>
  <si>
    <t>repoaicao concreto 1/1</t>
  </si>
  <si>
    <t>c</t>
  </si>
  <si>
    <t xml:space="preserve"> RUA BENEDICTA DE ALMEIDA FRANCO</t>
  </si>
  <si>
    <t>ANT17</t>
  </si>
  <si>
    <t xml:space="preserve"> RUA PARANA</t>
  </si>
  <si>
    <t>V MOREIRA</t>
  </si>
  <si>
    <t xml:space="preserve"> RUA HELIA</t>
  </si>
  <si>
    <t xml:space="preserve"> ESTRADA EXISTENTE</t>
  </si>
  <si>
    <t>sem reposição terra</t>
  </si>
  <si>
    <t xml:space="preserve"> RUA CRISTOVAO COLOMBO</t>
  </si>
  <si>
    <t>ANTIGO 2A</t>
  </si>
  <si>
    <t xml:space="preserve"> RUA AGUDOS DO SUL</t>
  </si>
  <si>
    <t>fotos tiradas na OS anterior</t>
  </si>
  <si>
    <t>sem fotos O.S. aberta apos execução
sem reposição terra</t>
  </si>
  <si>
    <t xml:space="preserve"> RUA SEBASTIAO CARLOS PANNOCCHIA</t>
  </si>
  <si>
    <t>ANT. 128</t>
  </si>
  <si>
    <t xml:space="preserve"> RUA DIONIZIO DIOGO DE FARIA</t>
  </si>
  <si>
    <t>ANT102</t>
  </si>
  <si>
    <t xml:space="preserve"> AVENIDA MONTEIRO LOBATO</t>
  </si>
  <si>
    <t>ANT 347</t>
  </si>
  <si>
    <t>V MIRIAM</t>
  </si>
  <si>
    <t xml:space="preserve"> RUA SAO TOMAS DE AQUINO</t>
  </si>
  <si>
    <t>V MARICY</t>
  </si>
  <si>
    <t xml:space="preserve">observação fotos do serviço estão na OS 2615090575 observação reposição tudo por quanto da equipe do esgoto </t>
  </si>
  <si>
    <t xml:space="preserve"> RUA SOLDADO ANTONIO MARTINS DE OLIVEIRA</t>
  </si>
  <si>
    <t>ANT. 122</t>
  </si>
  <si>
    <t xml:space="preserve">fotos dessa os estão na os de vazamento de água no leito pavimentado 2689970314
não tem reposição de p.a imóvel em obra </t>
  </si>
  <si>
    <t>fotos dessa os estão na os de vazamento de água no leito pavimentado 2689970314</t>
  </si>
  <si>
    <t>ANT 12 C/1</t>
  </si>
  <si>
    <t>foto na oss que cacelamos o cavalete</t>
  </si>
  <si>
    <t xml:space="preserve"> RUA INDEPENDENCIA</t>
  </si>
  <si>
    <t>V RENATA</t>
  </si>
  <si>
    <t>FOTOS VIA WHATSAPP</t>
  </si>
  <si>
    <t xml:space="preserve"> RUA GERALDO HIGINO DE CARVALHO</t>
  </si>
  <si>
    <t>PQ FLAMENGO</t>
  </si>
  <si>
    <t>passeio reposicao concreto</t>
  </si>
  <si>
    <t>fotoa seguem os 2614848982</t>
  </si>
  <si>
    <t xml:space="preserve"> RUA PONTA DE PEDRAS</t>
  </si>
  <si>
    <t>ANT. 1604</t>
  </si>
  <si>
    <t xml:space="preserve">1-Não foi possível sequência de fotos correta devido chuva intensa no local </t>
  </si>
  <si>
    <t xml:space="preserve"> RUA ITAIOPOLIS</t>
  </si>
  <si>
    <t>ANT. 622</t>
  </si>
  <si>
    <t>foto na oss que cacelamos o cofira</t>
  </si>
  <si>
    <t xml:space="preserve"> RUA ARTHUR RODRIGUES DE ALCANTARA</t>
  </si>
  <si>
    <t>ANT 123</t>
  </si>
  <si>
    <t xml:space="preserve"> RUA TATUI</t>
  </si>
  <si>
    <t>V PAULISTA</t>
  </si>
  <si>
    <t>fotos dessa os estão na os de vazamento de água no passeio 2689994626</t>
  </si>
  <si>
    <t xml:space="preserve"> RUA EMILIO SAVIOLLE</t>
  </si>
  <si>
    <t>C/2ANT11</t>
  </si>
  <si>
    <t>V AUGUSTA</t>
  </si>
  <si>
    <t>seguencia de foto etapa da repozisao</t>
  </si>
  <si>
    <t>10/04/2026</t>
  </si>
  <si>
    <t xml:space="preserve"> AVENIDA ROTARY</t>
  </si>
  <si>
    <t>V DAS BANDEIRAS</t>
  </si>
  <si>
    <t xml:space="preserve"> RUA ARTHUR GONCALVES FILHO</t>
  </si>
  <si>
    <t>JD ADRIANA I</t>
  </si>
  <si>
    <t xml:space="preserve"> RUA PEROLA</t>
  </si>
  <si>
    <t xml:space="preserve">nao foi possivel reguadra o passeio devido passeio quebrado </t>
  </si>
  <si>
    <t>ANT2C/1</t>
  </si>
  <si>
    <t>JD SAO FRANCISCO</t>
  </si>
  <si>
    <t>11/04/2026</t>
  </si>
  <si>
    <t xml:space="preserve"> RUA NHAMBU</t>
  </si>
  <si>
    <t>ANT-04-A</t>
  </si>
  <si>
    <t xml:space="preserve"> RUA VICTALINA LEITE BALDUINO</t>
  </si>
  <si>
    <t xml:space="preserve">feito sondagem leito seco </t>
  </si>
  <si>
    <t xml:space="preserve"> RUA HUMBERTO BROCHINI</t>
  </si>
  <si>
    <t>ANT 71</t>
  </si>
  <si>
    <t xml:space="preserve"> RUA JOVELIANO MARTINS DE ARAUJO</t>
  </si>
  <si>
    <t>ANT 16 A</t>
  </si>
  <si>
    <t xml:space="preserve"> RUA JOAO GENUINO SOBRAL</t>
  </si>
  <si>
    <t xml:space="preserve"> RUA PADRE CLAUDIO ARENAL</t>
  </si>
  <si>
    <t>ANT.  762</t>
  </si>
  <si>
    <t xml:space="preserve">Não foi possível concluir sequência de foto correto devido à chuva intensa no local </t>
  </si>
  <si>
    <t xml:space="preserve"> RUA SAO JOAO NEPOMUCENO</t>
  </si>
  <si>
    <t xml:space="preserve">Não foi possível concluir sequência de foto devido à rea de risco </t>
  </si>
  <si>
    <t xml:space="preserve"> RUA JAIME DOS SANTOS AUGUSTO</t>
  </si>
  <si>
    <t>COM 02</t>
  </si>
  <si>
    <t>EDSON EVANGELISTA CABRAL SOARES</t>
  </si>
  <si>
    <t>ANT 34</t>
  </si>
  <si>
    <t xml:space="preserve"> ESTRADA MUNICIPAL</t>
  </si>
  <si>
    <t>JD BELVEDERE</t>
  </si>
  <si>
    <t xml:space="preserve">é obra  da prefeitura, sem reposição </t>
  </si>
  <si>
    <t>sem fotos prioridade prefeitura em obras
qem reposição terra</t>
  </si>
  <si>
    <t>PRIORIDADE</t>
  </si>
  <si>
    <t xml:space="preserve"> RUA DAS FLORES</t>
  </si>
  <si>
    <t>B</t>
  </si>
  <si>
    <t xml:space="preserve">fotos tiradas na OS anteiror </t>
  </si>
  <si>
    <t xml:space="preserve"> ESTRADA DO ELENCO</t>
  </si>
  <si>
    <t>ANT1142</t>
  </si>
  <si>
    <t xml:space="preserve">fotos na OS principal do serviço </t>
  </si>
  <si>
    <t>ATUAL</t>
  </si>
  <si>
    <t>serviço executado sem fotos devido serviço ser dentro da vala do INTEGRA TIETÊ  , utilizado 4 metros de rede DN 80 ff</t>
  </si>
  <si>
    <t xml:space="preserve">trocado ramal de agua ate o pé do cavalete as fotos estão na OS do vazamento  </t>
  </si>
  <si>
    <t xml:space="preserve"> RUA MIRACEMA</t>
  </si>
  <si>
    <t>CASA 07</t>
  </si>
  <si>
    <t>foi executado uma troca de ramal de agua preventiva.
obs; as fotos esta na ficha 2615169249</t>
  </si>
  <si>
    <t xml:space="preserve"> AVENIDA ROUXINOL</t>
  </si>
  <si>
    <t>ANT-8</t>
  </si>
  <si>
    <t>CHACARA CABUCU</t>
  </si>
  <si>
    <t>sem fotos, prioridade, prefeitura e obras  no local, sem reposição leito de terra.</t>
  </si>
  <si>
    <t xml:space="preserve"> RUA ENGENHEIRO CESAR POLILO</t>
  </si>
  <si>
    <t>ANT11A</t>
  </si>
  <si>
    <t>ecsvutado um supressao em ramal</t>
  </si>
  <si>
    <t>em frnte ao numeri 191</t>
  </si>
  <si>
    <t xml:space="preserve"> RUA DOS COQUEIROS</t>
  </si>
  <si>
    <t xml:space="preserve"> RUA GUARATON</t>
  </si>
  <si>
    <t>fotos na Os principal do serviço faltando algumas devido fortes chuvas programação ciente .</t>
  </si>
  <si>
    <t xml:space="preserve"> RUA NARAIN SINGH LUSCHINI</t>
  </si>
  <si>
    <t xml:space="preserve"> RUA LISBOA</t>
  </si>
  <si>
    <t>ANT. 173</t>
  </si>
  <si>
    <t xml:space="preserve">foi executado um ccv </t>
  </si>
  <si>
    <t xml:space="preserve"> PASSAGEM ANO BOM</t>
  </si>
  <si>
    <t>ANT. 12</t>
  </si>
  <si>
    <t xml:space="preserve"> TRAVESSA JOAQUIM FREITAS</t>
  </si>
  <si>
    <t>Sem sinalização motivo rua sem o acesso ao caminhão</t>
  </si>
  <si>
    <t>FALTA FITA ZEBRADA E PLACA DE PEDESTRE</t>
  </si>
  <si>
    <t xml:space="preserve"> RUA QUERENCIA DO NORTE</t>
  </si>
  <si>
    <t>V RIO</t>
  </si>
  <si>
    <t>serviço executado sem fotos devido serviço ser dentro da vala do INTEGRA TIETÊ</t>
  </si>
  <si>
    <t xml:space="preserve"> RUA RAYMUNDO PALMA</t>
  </si>
  <si>
    <t xml:space="preserve">sem foto porque o servico foi aberto depois do executado </t>
  </si>
  <si>
    <t xml:space="preserve"> AVENIDA PAPA PIO XII</t>
  </si>
  <si>
    <t>ANT. 1086</t>
  </si>
  <si>
    <t xml:space="preserve">nao foi possivel tira sequencias de fotos correto devido estreitamento de pistar </t>
  </si>
  <si>
    <t>12/04/2026</t>
  </si>
  <si>
    <t xml:space="preserve"> AVENIDA TIRADENTES</t>
  </si>
  <si>
    <t xml:space="preserve">fofos tiradas na OS anterior </t>
  </si>
  <si>
    <t xml:space="preserve"> RUA KIDA</t>
  </si>
  <si>
    <t xml:space="preserve"> RUA COLIBRI</t>
  </si>
  <si>
    <t>ANT 8 A</t>
  </si>
  <si>
    <t xml:space="preserve">foi executado um reparo na rede.
obs: passeio em construção. </t>
  </si>
  <si>
    <t xml:space="preserve"> RUA DANIELLE DO PRADO VALIM</t>
  </si>
  <si>
    <t>ANT5</t>
  </si>
  <si>
    <t>VAZAMENTO DE ÁGUA NÃO VISÍVEL CAVALETE</t>
  </si>
  <si>
    <t>TROCA DE PE DE CAVALETE NÃO VISIVEL</t>
  </si>
  <si>
    <t xml:space="preserve"> RUA INOCENCIA RUEDAS MORALES</t>
  </si>
  <si>
    <t>ANT 25</t>
  </si>
  <si>
    <t xml:space="preserve"> RUA FRANCISCO RODRIGUES DE OLIVEIR</t>
  </si>
  <si>
    <t>ANT31C/2</t>
  </si>
  <si>
    <t>JD MONTE ALTO</t>
  </si>
  <si>
    <t xml:space="preserve"> RUA NOSSA SENHORA MAE DOS HOMENS</t>
  </si>
  <si>
    <t>AP02</t>
  </si>
  <si>
    <t xml:space="preserve"> RUA TAPIRATIBA</t>
  </si>
  <si>
    <t>ANT. 521</t>
  </si>
  <si>
    <t>fotos segue na os 2614440013</t>
  </si>
  <si>
    <t>fotos na os 2614440013</t>
  </si>
  <si>
    <t xml:space="preserve"> RUA BARBOSA FERRAZ</t>
  </si>
  <si>
    <t>Não foi possível concluir sequências de foto devido à área de risco</t>
  </si>
  <si>
    <t xml:space="preserve"> RUA PADRE JOAO ALVARES</t>
  </si>
  <si>
    <t xml:space="preserve">foi executado um reparo na rede. </t>
  </si>
  <si>
    <t xml:space="preserve"> RUA SARUTAIA</t>
  </si>
  <si>
    <t>JD SAO PAULO</t>
  </si>
  <si>
    <t xml:space="preserve">Não foi possível com policia conhecer foto devido à área de risco </t>
  </si>
  <si>
    <t xml:space="preserve"> RUA TOMAZ PIRES DOS SANTOS</t>
  </si>
  <si>
    <t>sem fotos area de risco</t>
  </si>
  <si>
    <t xml:space="preserve"> AVENIDA BRIGADEIRO FARIA LIMA</t>
  </si>
  <si>
    <t>ANT2009A</t>
  </si>
  <si>
    <t>COCAIA</t>
  </si>
  <si>
    <t xml:space="preserve"> RUA MARIA DIAS HOG</t>
  </si>
  <si>
    <t>C/2ANT23</t>
  </si>
  <si>
    <t>13/04/2026</t>
  </si>
  <si>
    <t>13/04/2026 14:35</t>
  </si>
  <si>
    <t xml:space="preserve"> RUA SALVADOR MELLONE</t>
  </si>
  <si>
    <t>13/04/2026 14:41</t>
  </si>
  <si>
    <t xml:space="preserve"> RUA GABRIELA TEIXEIRA</t>
  </si>
  <si>
    <t>13/04/2026 13:00</t>
  </si>
  <si>
    <t xml:space="preserve"> AVENIDA GUARULHOS</t>
  </si>
  <si>
    <t>ANT. 4145</t>
  </si>
  <si>
    <t>13/04/2026 15:06</t>
  </si>
  <si>
    <t xml:space="preserve"> RUA CABO JOAO MONTEIRO DA ROCHA</t>
  </si>
  <si>
    <t>ANT. 57</t>
  </si>
  <si>
    <t>13/04/2026 14:48</t>
  </si>
  <si>
    <t xml:space="preserve"> RUA CORONEL FREITAS</t>
  </si>
  <si>
    <t>JD TERESOPOLIS</t>
  </si>
  <si>
    <t>foto da execucao na O.S 265075522</t>
  </si>
  <si>
    <t>13/04/2026 13:54</t>
  </si>
  <si>
    <t xml:space="preserve"> RUA NELSON FUCHS</t>
  </si>
  <si>
    <t>JD ADRIANA I I</t>
  </si>
  <si>
    <t>13/04/2026 12:02</t>
  </si>
  <si>
    <t>13/04/2026 12:01</t>
  </si>
  <si>
    <t xml:space="preserve"> RUA IRANI ALVES DE CAMARGO</t>
  </si>
  <si>
    <t>JD ADRIANA</t>
  </si>
  <si>
    <t>paseio em obars</t>
  </si>
  <si>
    <t>13/04/2026 09:42</t>
  </si>
  <si>
    <t>nao foi possivel reguadra devido calcada estourada</t>
  </si>
  <si>
    <t>13/04/2026 13:50</t>
  </si>
  <si>
    <t xml:space="preserve"> RUA MATUTINA</t>
  </si>
  <si>
    <t>ANT. 4 C/2</t>
  </si>
  <si>
    <t>foto da execucao na O.S 2615161143</t>
  </si>
  <si>
    <t>13/04/2026 16:00</t>
  </si>
  <si>
    <t>ANT. 4 C/1</t>
  </si>
  <si>
    <t xml:space="preserve">sem foto do batedor e da lona devido que nao preciso quebrar o passeio. sem foto da sinalizancao devido que nao deu para parar o caminhao no local.  </t>
  </si>
  <si>
    <t>13/04/2026 15:58</t>
  </si>
  <si>
    <t>13/04/2026 12:08</t>
  </si>
  <si>
    <t>fotos na os pricipal</t>
  </si>
  <si>
    <t>13/04/2026 12:00</t>
  </si>
  <si>
    <t xml:space="preserve"> RUA MILTON ANTONIO DE MAGALHAES FI</t>
  </si>
  <si>
    <t>13/04/2026 10:43</t>
  </si>
  <si>
    <t xml:space="preserve"> RUA ENGENHEIRO PAULO FRONTIM</t>
  </si>
  <si>
    <t>13/04/2026 15:12</t>
  </si>
  <si>
    <t xml:space="preserve"> RUA LAURA JACQUES GARCIA</t>
  </si>
  <si>
    <t>ANT 9  C/1</t>
  </si>
  <si>
    <t>passeio obra</t>
  </si>
  <si>
    <t>13/04/2026 11:44</t>
  </si>
  <si>
    <t xml:space="preserve"> RUA NOVE</t>
  </si>
  <si>
    <t>NV RECREIO SAO JORGE</t>
  </si>
  <si>
    <t>13/04/2026 17:31</t>
  </si>
  <si>
    <t>ANT 9  C/3</t>
  </si>
  <si>
    <t>fotos na os 2614845329</t>
  </si>
  <si>
    <t>13/04/2026 12:53</t>
  </si>
  <si>
    <t>ANT 9  C/2</t>
  </si>
  <si>
    <t>13/04/2026 12:49</t>
  </si>
  <si>
    <t xml:space="preserve"> RUA PIRAPORA DO BOM JESUS</t>
  </si>
  <si>
    <t>13/04/2026 09:09</t>
  </si>
  <si>
    <t xml:space="preserve"> RUA BERNARDO RODRIGUES FERNANDES</t>
  </si>
  <si>
    <t>ANTIGO 33</t>
  </si>
  <si>
    <t>13/04/2026 11:30</t>
  </si>
  <si>
    <t xml:space="preserve">nao foi possivel sequencia de fotos devido local de risco , passeio barro sem pavimento </t>
  </si>
  <si>
    <t>13/04/2026 17:00</t>
  </si>
  <si>
    <t>ANTIGO 272</t>
  </si>
  <si>
    <t>Não foi possível com licença de foto correto devido estreitamente no local</t>
  </si>
  <si>
    <t>13/04/2026 11:14</t>
  </si>
  <si>
    <t>ANT12X</t>
  </si>
  <si>
    <t>sem asfalto frio
não tem no canteiro de obras</t>
  </si>
  <si>
    <t xml:space="preserve"> RUA LAZARO DE ALMEIDA CAMPOS</t>
  </si>
  <si>
    <t>material utilizado 1 m de tubo de PVC de 75</t>
  </si>
  <si>
    <t>13/04/2026 16:44</t>
  </si>
  <si>
    <t xml:space="preserve"> RUA MIRANHAS</t>
  </si>
  <si>
    <t>ANT. 184</t>
  </si>
  <si>
    <t>PQ SANTO ANTONIO</t>
  </si>
  <si>
    <t>13/04/2026 16:15</t>
  </si>
  <si>
    <t xml:space="preserve"> RUA ANNA DA SILVA</t>
  </si>
  <si>
    <t xml:space="preserve">não fazer teste de compactação rede com menos de 60cm de profundidade </t>
  </si>
  <si>
    <t>13/04/2026 17:25</t>
  </si>
  <si>
    <t xml:space="preserve"> RUA NUPORANGA</t>
  </si>
  <si>
    <t xml:space="preserve">Não foi possível concluir sequência de fotos correto devido estreitamente no local </t>
  </si>
  <si>
    <t>13/04/2026 17:04</t>
  </si>
  <si>
    <t xml:space="preserve"> RUA ANANIAS FERREIRA DE OLIVEIRA</t>
  </si>
  <si>
    <t>ANT-119</t>
  </si>
  <si>
    <t>13/04/2026 15:39</t>
  </si>
  <si>
    <t xml:space="preserve"> RUA NAIR</t>
  </si>
  <si>
    <t>ANT. 176</t>
  </si>
  <si>
    <t>JD EMA</t>
  </si>
  <si>
    <t xml:space="preserve">SEM FOTOS E SEM REP OBRA INTEGRA TIETE </t>
  </si>
  <si>
    <t>13/04/2026 11:07</t>
  </si>
  <si>
    <t xml:space="preserve">foi executado uma troca de ramal de agua preventiva.
obs: equipe de esgoto trabalhando no local. sem reposições, rua sera frezada. </t>
  </si>
  <si>
    <t>13/04/2026 16:26</t>
  </si>
  <si>
    <t xml:space="preserve">fotos na OS principal do serviço,  compaquitação manual devido vala rasa interferência esgoto </t>
  </si>
  <si>
    <t xml:space="preserve"> RUA CANADENSE</t>
  </si>
  <si>
    <t>13/04/2026 11:40</t>
  </si>
  <si>
    <t>ANT. 406</t>
  </si>
  <si>
    <t xml:space="preserve">fotos em os 2615498123 os principal </t>
  </si>
  <si>
    <t>13/04/2026 16:35</t>
  </si>
  <si>
    <t xml:space="preserve"> RUA IRACEMA UBIRAJARA CELESTE</t>
  </si>
  <si>
    <t>ANT. 93</t>
  </si>
  <si>
    <t>V PROGRESSO</t>
  </si>
  <si>
    <t>fotos dessa os estão na os de vazamento de água no leito pavimentado 2690367107</t>
  </si>
  <si>
    <t>13/04/2026 12:17</t>
  </si>
  <si>
    <t>13/04/2026 12:24</t>
  </si>
  <si>
    <t xml:space="preserve"> RUA FLOR DE PETUNIA</t>
  </si>
  <si>
    <t>ANT 28 C/2</t>
  </si>
  <si>
    <t>JD OKUYAMA</t>
  </si>
  <si>
    <t>13/04/2026 12:25</t>
  </si>
  <si>
    <t>13/04/2026 14:52</t>
  </si>
  <si>
    <t>ANT 19</t>
  </si>
  <si>
    <t>sem foto porque o servico foi abereto depois de executado</t>
  </si>
  <si>
    <t>13/04/2026 15:02</t>
  </si>
  <si>
    <t>C/1ANT23</t>
  </si>
  <si>
    <t>sem foto porque o servico foi abereto de executado</t>
  </si>
  <si>
    <t>13/04/2026 15:00</t>
  </si>
  <si>
    <t>C/1ANT123</t>
  </si>
  <si>
    <t>sem foto porque o sevico foi abereto depois de executado</t>
  </si>
  <si>
    <t>13/04/2026 14:58</t>
  </si>
  <si>
    <t>sem foto poeque o servico foi abereto depois executado</t>
  </si>
  <si>
    <t>13/04/2026 14:55</t>
  </si>
  <si>
    <t xml:space="preserve"> AVENIDA SAO BENTO</t>
  </si>
  <si>
    <t>C/1ANT1714</t>
  </si>
  <si>
    <t>foto da execucao na O.S 2615136648</t>
  </si>
  <si>
    <t>13/04/2026 16:11</t>
  </si>
  <si>
    <t xml:space="preserve"> AVENIDA FLORINDA MARTINS BARBOSA</t>
  </si>
  <si>
    <t>ANT. 34</t>
  </si>
  <si>
    <t xml:space="preserve">não foi possível sequência de foto correta devido à demora da abertura da os </t>
  </si>
  <si>
    <t>13/04/2026 17:48</t>
  </si>
  <si>
    <t>foto na os anterior</t>
  </si>
  <si>
    <t>13/04/2026 16:02</t>
  </si>
  <si>
    <t xml:space="preserve"> RUA HAVANA</t>
  </si>
  <si>
    <t>ANT 150</t>
  </si>
  <si>
    <t>13/04/2026 16:21</t>
  </si>
  <si>
    <t xml:space="preserve"> AVENIDA BENJAMIN HARRIS HUNNICUTT</t>
  </si>
  <si>
    <t xml:space="preserve">serviço baixada santópolis da Sabesp foi usado 1 t de 75 PVC </t>
  </si>
  <si>
    <t>14/04/2026</t>
  </si>
  <si>
    <t>14/04/2026 13:48</t>
  </si>
  <si>
    <t xml:space="preserve"> AVENIDA JOSE ANTONIO ZERAIBE</t>
  </si>
  <si>
    <t>SEM FOTOS OS ABERTA APOS EXECUÇÃO</t>
  </si>
  <si>
    <t>14/04/2026 06:39</t>
  </si>
  <si>
    <t xml:space="preserve">SEM FOTO OS ABERTA APOS EXECUÇÃO </t>
  </si>
  <si>
    <t xml:space="preserve"> AVENIDA ARACAJU</t>
  </si>
  <si>
    <t>JD SANTA RITA</t>
  </si>
  <si>
    <t xml:space="preserve">FOTOS NO FIM DO DIA </t>
  </si>
  <si>
    <t>14/04/2026 06:30</t>
  </si>
  <si>
    <t xml:space="preserve"> RUA CICERO GOMES DE ALMEIDA</t>
  </si>
  <si>
    <t>ANT. - 14</t>
  </si>
  <si>
    <t xml:space="preserve">serviço baixado sem foto devido prioridade da Sabesp </t>
  </si>
  <si>
    <t>14/04/2026 08:58</t>
  </si>
  <si>
    <t>ANT 397</t>
  </si>
  <si>
    <t>14/04/2026 11:11</t>
  </si>
  <si>
    <t xml:space="preserve"> AVENIDA TOME DE SOUZA</t>
  </si>
  <si>
    <t>ANT 62</t>
  </si>
  <si>
    <t>14/04/2026 12:06</t>
  </si>
  <si>
    <t xml:space="preserve"> RUA AXIXA</t>
  </si>
  <si>
    <t>14/04/2026 09:07</t>
  </si>
  <si>
    <t xml:space="preserve"> RUA SOLDADO GUMERCINDO DA SILVA</t>
  </si>
  <si>
    <t>ANT41</t>
  </si>
  <si>
    <t>14/04/2026 11:31</t>
  </si>
  <si>
    <t xml:space="preserve"> RUA CAPITAO DANIEL GUEDES</t>
  </si>
  <si>
    <t>ANT. 38</t>
  </si>
  <si>
    <t xml:space="preserve">casa abandonada com cavalete quebrado e vazando muita agua </t>
  </si>
  <si>
    <t>14/04/2026 09:08</t>
  </si>
  <si>
    <t>ANT18C C/2</t>
  </si>
  <si>
    <t>foto da execucao 2615309869</t>
  </si>
  <si>
    <t>14/04/2026 09:41</t>
  </si>
  <si>
    <t>ANT18C/1</t>
  </si>
  <si>
    <t>14/04/2026 09:37</t>
  </si>
  <si>
    <t xml:space="preserve"> AVENIDA ALFREDO BARBOSA</t>
  </si>
  <si>
    <t xml:space="preserve">sem foto da lona e do batedor devido que nao preciso quebrar o passeio.  sem foto da sinalizacao devido que nao deu para parar o caminhao no local. </t>
  </si>
  <si>
    <t>14/04/2026 10:23</t>
  </si>
  <si>
    <t>foto da execucao na O.S 2615250858</t>
  </si>
  <si>
    <t>14/04/2026 10:26</t>
  </si>
  <si>
    <t xml:space="preserve"> RUA ELISIO LAURIANO FERREIRA</t>
  </si>
  <si>
    <t>E104AN C/1</t>
  </si>
  <si>
    <t>passeio em obra</t>
  </si>
  <si>
    <t>14/04/2026 11:22</t>
  </si>
  <si>
    <t>E104AN C/2</t>
  </si>
  <si>
    <t>foto da execucao na O.S 2615320653</t>
  </si>
  <si>
    <t>14/04/2026 11:25</t>
  </si>
  <si>
    <t xml:space="preserve"> RUA JUNDIAI DO SUL</t>
  </si>
  <si>
    <t>JD UIRAPURU</t>
  </si>
  <si>
    <t>14/04/2026 17:25</t>
  </si>
  <si>
    <t xml:space="preserve"> RUA B</t>
  </si>
  <si>
    <t>ANTIGO 8A</t>
  </si>
  <si>
    <t>JD OLGA</t>
  </si>
  <si>
    <t>14/04/2026 10:53</t>
  </si>
  <si>
    <t>14/04/2026 17:52</t>
  </si>
  <si>
    <t xml:space="preserve"> RUA AJAX</t>
  </si>
  <si>
    <t>QUADRA C/1</t>
  </si>
  <si>
    <t>foto na os 2615308000</t>
  </si>
  <si>
    <t>14/04/2026 14:37</t>
  </si>
  <si>
    <t>QUADRA C/2</t>
  </si>
  <si>
    <t>14/04/2026 14:31</t>
  </si>
  <si>
    <t xml:space="preserve"> RUA VALDIMIRO LAURENTINO PESSOA</t>
  </si>
  <si>
    <t>14/04/2026 09:32</t>
  </si>
  <si>
    <t xml:space="preserve"> RUA RODOLPHO LUCIANO FAZZIO DE ICA</t>
  </si>
  <si>
    <t>14/04/2026 12:47</t>
  </si>
  <si>
    <t>14/04/2026 10:03</t>
  </si>
  <si>
    <t xml:space="preserve"> RUA ALEXANDRE MAURUS</t>
  </si>
  <si>
    <t>JD AMERICA</t>
  </si>
  <si>
    <t>14/04/2026 12:32</t>
  </si>
  <si>
    <t>RODRIGO PEREIRA VILAS BOAS</t>
  </si>
  <si>
    <t xml:space="preserve"> AVENIDA ODAIR SANTANELLI</t>
  </si>
  <si>
    <t>BL15AP31AC</t>
  </si>
  <si>
    <t>sem fotos os aberta apos servico executado</t>
  </si>
  <si>
    <t>14/04/2026 15:07</t>
  </si>
  <si>
    <t>RONALDO BISPO ROCHA</t>
  </si>
  <si>
    <t xml:space="preserve"> AVENIDA GILBERTO DINI</t>
  </si>
  <si>
    <t>ANT. 5</t>
  </si>
  <si>
    <t>sem fotos os aberta apos execucao do servico</t>
  </si>
  <si>
    <t>14/04/2026 15:01</t>
  </si>
  <si>
    <t>1 valvula de 200 frangi
1 t 5
1  metro de tubo 150 esgoto
servico sem fotos os aberta apos execucao do servico</t>
  </si>
  <si>
    <t>14/04/2026 12:50</t>
  </si>
  <si>
    <t>ANT. 107</t>
  </si>
  <si>
    <t>14/04/2026 13:35</t>
  </si>
  <si>
    <t>1 luva 250 eletrofusoa
1 reducao de 250/200
1 cotovelo de 200/90 graus
1 luva de 200 eletrofusao
1 colarinho 200
sem fotos os aberta apos execucao do servico</t>
  </si>
  <si>
    <t>14/04/2026 14:56</t>
  </si>
  <si>
    <t>1 valvula 200 frangi
1 t 5
1 metro de tubo 150 esgoto
os aberta apos execucao do servico</t>
  </si>
  <si>
    <t>14/04/2026 14:57</t>
  </si>
  <si>
    <t xml:space="preserve"> RUA EDUARDO JULIANI</t>
  </si>
  <si>
    <t>ANT100A</t>
  </si>
  <si>
    <t>JD VISTA ALEGRE</t>
  </si>
  <si>
    <t>14/04/2026 11:00</t>
  </si>
  <si>
    <t>ANT55 C/1</t>
  </si>
  <si>
    <t xml:space="preserve">trocado ramal de agua ate obpe do cavalete kit uma </t>
  </si>
  <si>
    <t>14/04/2026 16:17</t>
  </si>
  <si>
    <t xml:space="preserve">As fotos está na OS nesta OS (2615534360) </t>
  </si>
  <si>
    <t>14/04/2026 10:18</t>
  </si>
  <si>
    <t xml:space="preserve"> RUA PROFESSOR PASCHOAL RIZZO</t>
  </si>
  <si>
    <t>ANT. 9</t>
  </si>
  <si>
    <t>JD GOPOUVA</t>
  </si>
  <si>
    <t>sem fotos os aberta apos execusao do servico</t>
  </si>
  <si>
    <t>14/04/2026 16:26</t>
  </si>
  <si>
    <t>ANT. 7</t>
  </si>
  <si>
    <t>14/04/2026 16:16</t>
  </si>
  <si>
    <t>sem fotos os aberta apos servixo executado</t>
  </si>
  <si>
    <t>14/04/2026 16:11</t>
  </si>
  <si>
    <t xml:space="preserve"> RUA PROFESSOR JOAO SARTOR</t>
  </si>
  <si>
    <t>14/04/2026 15:39</t>
  </si>
  <si>
    <t>JD EUGENIA</t>
  </si>
  <si>
    <t>14/04/2026 15:21</t>
  </si>
  <si>
    <t>sem fotos os aberta apos execusao do servico
1 valvula de 100 frangi
1 t 5
1 metro de tubo 150 esgoto</t>
  </si>
  <si>
    <t>14/04/2026 15:27</t>
  </si>
  <si>
    <t xml:space="preserve"> RUA RIO NOVO</t>
  </si>
  <si>
    <t>foi usado 1 lacre</t>
  </si>
  <si>
    <t>14/04/2026 11:44</t>
  </si>
  <si>
    <t>e sondagem</t>
  </si>
  <si>
    <t>14/04/2026 17:02</t>
  </si>
  <si>
    <t>Não foi possível concluir sequência de foto devido à obra da prefeitura no local não há reposição devido à obra no local</t>
  </si>
  <si>
    <t>14/04/2026 14:09</t>
  </si>
  <si>
    <t xml:space="preserve"> RUA ESPANHOLA</t>
  </si>
  <si>
    <t>ANT. 238</t>
  </si>
  <si>
    <t>V ENDRES</t>
  </si>
  <si>
    <t>14/04/2026 11:57</t>
  </si>
  <si>
    <t xml:space="preserve"> RUA DOUTOR JOSE WALDIR CARRARA</t>
  </si>
  <si>
    <t>C/1ANT24</t>
  </si>
  <si>
    <t xml:space="preserve">as fotos estão na OS do vazamento </t>
  </si>
  <si>
    <t>14/04/2026 12:20</t>
  </si>
  <si>
    <t xml:space="preserve"> PRACA BARTHOLOMEU DE CARLOS</t>
  </si>
  <si>
    <t>V ZAMATARO</t>
  </si>
  <si>
    <t>fotos dessa os estão na os de vazamento de água no passeio 2690493632</t>
  </si>
  <si>
    <t>14/04/2026 12:26</t>
  </si>
  <si>
    <t>14/04/2026 12:29</t>
  </si>
  <si>
    <t xml:space="preserve"> AVENIDA ANTONIETA</t>
  </si>
  <si>
    <t>ANT. 604</t>
  </si>
  <si>
    <t>V ANTONIETA</t>
  </si>
  <si>
    <t>14/04/2026 13:28</t>
  </si>
  <si>
    <t xml:space="preserve">SEM FOTOS OS ABERTA APOS EXECUÇÃO </t>
  </si>
  <si>
    <t>14/04/2026 13:49</t>
  </si>
  <si>
    <t xml:space="preserve"> AVENIDA F</t>
  </si>
  <si>
    <t>14/04/2026 11:49</t>
  </si>
  <si>
    <t xml:space="preserve"> RUA PADRE ROBERTO LANDELL DE MOURA</t>
  </si>
  <si>
    <t>ANT. 20 C</t>
  </si>
  <si>
    <t>foi executado um reparo de rede de agua nao visível.
obs: as fotos estão na ficha 2615568972</t>
  </si>
  <si>
    <t>14/04/2026 14:51</t>
  </si>
  <si>
    <t xml:space="preserve"> RUA SAO FRANCISCO</t>
  </si>
  <si>
    <t>fotos na Os 2615614404, Reposição já aberta em outra OS</t>
  </si>
  <si>
    <t>14/04/2026 17:09</t>
  </si>
  <si>
    <t>14/04/2026 14:53</t>
  </si>
  <si>
    <t xml:space="preserve"> RUA ALBERTO ZACHARIAS</t>
  </si>
  <si>
    <t>ANTIGO 27A</t>
  </si>
  <si>
    <t>foi executado uma troca de ramal de agua preventiva.
obs: as fotos estão na ficha 2690591138</t>
  </si>
  <si>
    <t>14/04/2026 15:45</t>
  </si>
  <si>
    <t xml:space="preserve"> AVENIDA CAETANO ZAMATARO</t>
  </si>
  <si>
    <t>ANT. 102</t>
  </si>
  <si>
    <t>servico executado em obras do integra sabesp nao e nessecario usar compacatdor e tbem asfalto frio e teste de compactacao</t>
  </si>
  <si>
    <t>14/04/2026 16:56</t>
  </si>
  <si>
    <t xml:space="preserve"> RUA FRANCISCO ZANZINI</t>
  </si>
  <si>
    <t>14/04/2026 14:49</t>
  </si>
  <si>
    <t>14/04/2026 17:44</t>
  </si>
  <si>
    <t xml:space="preserve"> RUA ANTONIO RABELLO</t>
  </si>
  <si>
    <t>ANT115</t>
  </si>
  <si>
    <t>V ALIANCA</t>
  </si>
  <si>
    <t xml:space="preserve">nao foi possivel requadra o passeio devido calcada toda estorada </t>
  </si>
  <si>
    <t>15/04/2026</t>
  </si>
  <si>
    <t>15/04/2026 14:20</t>
  </si>
  <si>
    <t xml:space="preserve"> VIELA PARTICULAR</t>
  </si>
  <si>
    <t>JD FRIZZO</t>
  </si>
  <si>
    <t xml:space="preserve">sem foto do sapinho devido viela e rede rasa no concreto </t>
  </si>
  <si>
    <t>15/04/2026 12:53</t>
  </si>
  <si>
    <t>15/04/2026 09:45</t>
  </si>
  <si>
    <t xml:space="preserve"> VIELA SARA</t>
  </si>
  <si>
    <t xml:space="preserve">Casa 1 ja estava na caixa uma </t>
  </si>
  <si>
    <t xml:space="preserve">fotos na OS da casa 1 </t>
  </si>
  <si>
    <t>15/04/2026 14:16</t>
  </si>
  <si>
    <t xml:space="preserve"> RUA DOS ESTAGIARIOS</t>
  </si>
  <si>
    <t>feita aproveitamento na direcao da caixinha azul</t>
  </si>
  <si>
    <t>15/04/2026 09:59</t>
  </si>
  <si>
    <t>foto da execucao na O.S 2615320067</t>
  </si>
  <si>
    <t>15/04/2026 12:57</t>
  </si>
  <si>
    <t xml:space="preserve"> RUA ANHUMAS</t>
  </si>
  <si>
    <t>ANT 17</t>
  </si>
  <si>
    <t>V SAO JOAO BATISTA</t>
  </si>
  <si>
    <t>15/04/2026 15:26</t>
  </si>
  <si>
    <t>15/04/2026 12:32</t>
  </si>
  <si>
    <t>ANT. 1400</t>
  </si>
  <si>
    <t>15/04/2026 10:49</t>
  </si>
  <si>
    <t>ANT 17 C/2</t>
  </si>
  <si>
    <t>15/04/2026 15:34</t>
  </si>
  <si>
    <t xml:space="preserve"> PASSAGEM MARCONI</t>
  </si>
  <si>
    <t>fotos enviadas zap</t>
  </si>
  <si>
    <t>15/04/2026 16:57</t>
  </si>
  <si>
    <t>fotaaaaos na os 2615307938</t>
  </si>
  <si>
    <t>15/04/2026 10:06</t>
  </si>
  <si>
    <t xml:space="preserve"> RUA EXCELSIOR</t>
  </si>
  <si>
    <t>15/04/2026 13:53</t>
  </si>
  <si>
    <t>sem fotos prioridade da sabesp</t>
  </si>
  <si>
    <t>15/04/2026 07:59</t>
  </si>
  <si>
    <t xml:space="preserve"> RUA GRANITO</t>
  </si>
  <si>
    <t xml:space="preserve">sem asfalto frio vala grande </t>
  </si>
  <si>
    <t>15/04/2026 15:27</t>
  </si>
  <si>
    <t xml:space="preserve"> RUA HEITOR DOS PRAZERES</t>
  </si>
  <si>
    <t>ANT 18</t>
  </si>
  <si>
    <t xml:space="preserve"> RUA DOUTOR VITORIO MARTINS</t>
  </si>
  <si>
    <t>15/04/2026 09:40</t>
  </si>
  <si>
    <t xml:space="preserve"> RUA INGLATERRA</t>
  </si>
  <si>
    <t>15/04/2026 16:26</t>
  </si>
  <si>
    <t xml:space="preserve"> RUA CAIABU</t>
  </si>
  <si>
    <t>ANT 18A</t>
  </si>
  <si>
    <t>15/04/2026 10:43</t>
  </si>
  <si>
    <t>C/ 2</t>
  </si>
  <si>
    <t xml:space="preserve">sem fotos prioridade
sem reposição consorcio norte em obras </t>
  </si>
  <si>
    <t>15/04/2026 10:38</t>
  </si>
  <si>
    <t xml:space="preserve">sem fotos prioridade da sabesp </t>
  </si>
  <si>
    <t>15/04/2026 11:04</t>
  </si>
  <si>
    <t xml:space="preserve">sem fotos prioridade da sabesp
O.S. aberta após a execução </t>
  </si>
  <si>
    <t>15/04/2026 11:00</t>
  </si>
  <si>
    <t xml:space="preserve"> VIELA ARACA</t>
  </si>
  <si>
    <t xml:space="preserve">nao foi possivel tira sequencia de fotos correta porem area de risco </t>
  </si>
  <si>
    <t>15/04/2026 10:14</t>
  </si>
  <si>
    <t xml:space="preserve"> RUA JOSE REVOREDO</t>
  </si>
  <si>
    <t>BARRSTAISA</t>
  </si>
  <si>
    <t>serviço baixado sem foto devido prioridade da Sabesp foi usado 1 metro de tubo de esgoto de 150 e uma T5 completado</t>
  </si>
  <si>
    <t>15/04/2026 12:23</t>
  </si>
  <si>
    <t>PRITORIDADE</t>
  </si>
  <si>
    <t xml:space="preserve"> RUA ODILON MONTEIRO</t>
  </si>
  <si>
    <t xml:space="preserve">fotos enviadas via programação, nao foi possivel sequencia de fotos devido prioridade sabesp,  obras da prefeitura no local , passeio adjacente barro </t>
  </si>
  <si>
    <t>15/04/2026 13:45</t>
  </si>
  <si>
    <t xml:space="preserve">interferência congas </t>
  </si>
  <si>
    <t>15/04/2026 16:10</t>
  </si>
  <si>
    <t xml:space="preserve"> RUA POUSO ALEGRE</t>
  </si>
  <si>
    <t>15/04/2026 10:26</t>
  </si>
  <si>
    <t xml:space="preserve"> RUA MARIA APARECIDA DE ALMEIDA MOU</t>
  </si>
  <si>
    <t>ANT. 40</t>
  </si>
  <si>
    <t>JD ALIANCA</t>
  </si>
  <si>
    <t>15/04/2026 15:07</t>
  </si>
  <si>
    <t xml:space="preserve">baixando sem foto devido Os aberta após a execução do serviço,  Reposição feita pela integra com obras no local </t>
  </si>
  <si>
    <t>15/04/2026 22:02</t>
  </si>
  <si>
    <t xml:space="preserve"> RUA DIVA</t>
  </si>
  <si>
    <t>ANT. 30</t>
  </si>
  <si>
    <t>15/04/2026 15:50</t>
  </si>
  <si>
    <t xml:space="preserve"> RUA FRANCISCO ANTONIO DE MIRANDA</t>
  </si>
  <si>
    <t>10 APS</t>
  </si>
  <si>
    <t>fotos dessa os estão na os de vazamento de água não visível em rede 2615745781</t>
  </si>
  <si>
    <t>15/04/2026 13:06</t>
  </si>
  <si>
    <t xml:space="preserve">fotos dessa os estão na os de vazamento de água não visível em ramal 2615745781
não fazer teste de compactação rede com menos de 60cm de profundidade
não tem reposição de p.a cliente fará a reposição </t>
  </si>
  <si>
    <t>15/04/2026 13:04</t>
  </si>
  <si>
    <t xml:space="preserve"> RUA CATUIPE</t>
  </si>
  <si>
    <t>ANT. 3 C/2</t>
  </si>
  <si>
    <t>CID BRASIL</t>
  </si>
  <si>
    <t>foto da execucao na O.S 2615524005</t>
  </si>
  <si>
    <t>15/04/2026 15:49</t>
  </si>
  <si>
    <t>ANT. 3 C/1</t>
  </si>
  <si>
    <t xml:space="preserve">sem foto da lona e do batedor devido que nao preciso quebrar o passeio. sem foto da sinalizacao devido que nao deu para parar o caminhao no local.  passeio em obra </t>
  </si>
  <si>
    <t>15/04/2026 15:46</t>
  </si>
  <si>
    <t xml:space="preserve"> RUA JESUINO PIRES DE FREITAS</t>
  </si>
  <si>
    <t>ANT. 7 C/1</t>
  </si>
  <si>
    <t>V CAMBARA</t>
  </si>
  <si>
    <t>15/04/2026 16:27</t>
  </si>
  <si>
    <t>ANT. 7 C/4</t>
  </si>
  <si>
    <t>fotos na OS 2615521319</t>
  </si>
  <si>
    <t>15/04/2026 16:14</t>
  </si>
  <si>
    <t>ANT. 7 C/2</t>
  </si>
  <si>
    <t>15/04/2026 16:18</t>
  </si>
  <si>
    <t>ANT. 7 C/3</t>
  </si>
  <si>
    <t>15/04/2026 16:16</t>
  </si>
  <si>
    <t xml:space="preserve"> RUA ANUNCIATA ZACARDI CERCONI</t>
  </si>
  <si>
    <t>ANT14FDS</t>
  </si>
  <si>
    <t>nao foi feitoo teste de estangedade imoveu fechado</t>
  </si>
  <si>
    <t>15/04/2026 17:06</t>
  </si>
  <si>
    <t xml:space="preserve"> VIELA AIRAO</t>
  </si>
  <si>
    <t>ANT. 2</t>
  </si>
  <si>
    <t>V HARMONIA</t>
  </si>
  <si>
    <t>16/04/2026</t>
  </si>
  <si>
    <t>16/04/2026 13:25</t>
  </si>
  <si>
    <t>ANT 17 C/1</t>
  </si>
  <si>
    <t>16/04/2026 17:48</t>
  </si>
  <si>
    <t xml:space="preserve">excutado uma troca de ramal  pois o ramal antigo estava na mesma posicao da caixa  . obs: foi feito um arebentado no lugar do ferrolo pois o mesmo estava vazando , onde a equipe teve que colocar uma tripartida e fazer um novo furo na rede pra abastecer a residencia </t>
  </si>
  <si>
    <t>16/04/2026 18:17</t>
  </si>
  <si>
    <t>ANT.18 C/4</t>
  </si>
  <si>
    <t>16/04/2026 17:54</t>
  </si>
  <si>
    <t>16/04/2026 17:57</t>
  </si>
  <si>
    <t>16/04/2026 18:09</t>
  </si>
  <si>
    <t xml:space="preserve"> RUA BENEDITO MIRANDA</t>
  </si>
  <si>
    <t>ANT.Nº C/1</t>
  </si>
  <si>
    <t>reposicao concreto</t>
  </si>
  <si>
    <t>16/04/2026 11:08</t>
  </si>
  <si>
    <t xml:space="preserve"> RUA DOUTOR ROBERTO DOMINGOS JOAO ROSIA</t>
  </si>
  <si>
    <t>ANT-23 C/1</t>
  </si>
  <si>
    <t>16/04/2026 13:55</t>
  </si>
  <si>
    <t xml:space="preserve"> RUA SANTINA</t>
  </si>
  <si>
    <t>foi aprovetado o ramal esta na msm direcao</t>
  </si>
  <si>
    <t>16/04/2026 10:11</t>
  </si>
  <si>
    <t>16/04/2026 10:06</t>
  </si>
  <si>
    <t>ANT.Nº C/2</t>
  </si>
  <si>
    <t>fotos na is 2615537591</t>
  </si>
  <si>
    <t>16/04/2026 11:33</t>
  </si>
  <si>
    <t>ANT-23 C/4</t>
  </si>
  <si>
    <t>fotos na os 2615522069</t>
  </si>
  <si>
    <t>16/04/2026 14:08</t>
  </si>
  <si>
    <t>ANT-23 C/3</t>
  </si>
  <si>
    <t>fotos na os 2615522069
5522069</t>
  </si>
  <si>
    <t>16/04/2026 14:05</t>
  </si>
  <si>
    <t>ANT-23 C/2</t>
  </si>
  <si>
    <t>fotos na os 2625522069</t>
  </si>
  <si>
    <t>16/04/2026 14:00</t>
  </si>
  <si>
    <t>ANT 110 A</t>
  </si>
  <si>
    <t>16/04/2026 14:58</t>
  </si>
  <si>
    <t>ANT 11 C/2</t>
  </si>
  <si>
    <t>fotos na oa 2615537608</t>
  </si>
  <si>
    <t>16/04/2026 15:02</t>
  </si>
  <si>
    <t xml:space="preserve"> RUA FRANCISCA BIRLE</t>
  </si>
  <si>
    <t>ANT. 8 A</t>
  </si>
  <si>
    <t>16/04/2026 10:07</t>
  </si>
  <si>
    <t xml:space="preserve"> RUA CABO FRIO</t>
  </si>
  <si>
    <t>16/04/2026 11:53</t>
  </si>
  <si>
    <t xml:space="preserve"> AVENIDA RIO DE JANEIRO</t>
  </si>
  <si>
    <t>16/04/2026 14:15</t>
  </si>
  <si>
    <t>16/04/2026 12:30</t>
  </si>
  <si>
    <t xml:space="preserve"> AVENIDA DOUTOR TIMOTEO PENTEADO</t>
  </si>
  <si>
    <t>ANT. 4299</t>
  </si>
  <si>
    <t>16/04/2026 10:14</t>
  </si>
  <si>
    <t xml:space="preserve"> RUA CANDIOLINA MATOS DE SANTANA</t>
  </si>
  <si>
    <t>16/04/2026 12:59</t>
  </si>
  <si>
    <t xml:space="preserve"> RUA JOSE NILSON FERRETTI</t>
  </si>
  <si>
    <t>ANT. 137</t>
  </si>
  <si>
    <t>16/04/2026 13:44</t>
  </si>
  <si>
    <t xml:space="preserve"> RUA HERMENEGILDO CAMPANATTI</t>
  </si>
  <si>
    <t>16/04/2026 17:11</t>
  </si>
  <si>
    <t xml:space="preserve"> RUA QUATRO DE SETEMBRO</t>
  </si>
  <si>
    <t>PQ RENATO MAIA</t>
  </si>
  <si>
    <t>16/04/2026 09:53</t>
  </si>
  <si>
    <t>ANTIGO 14</t>
  </si>
  <si>
    <t>16/04/2026 11:46</t>
  </si>
  <si>
    <t>ANT. 6 A</t>
  </si>
  <si>
    <t>16/04/2026 12:28</t>
  </si>
  <si>
    <t>16/04/2026 09:10</t>
  </si>
  <si>
    <t>Serviço executado sem fotos devido OS aberta após execução do serviço</t>
  </si>
  <si>
    <t>16/04/2026 09:54</t>
  </si>
  <si>
    <t>16/04/2026 10:03</t>
  </si>
  <si>
    <t>16/04/2026 10:02</t>
  </si>
  <si>
    <t xml:space="preserve"> RUA TIBET</t>
  </si>
  <si>
    <t>ANT204FDS</t>
  </si>
  <si>
    <t>16/04/2026 11:13</t>
  </si>
  <si>
    <t>serviço baixado sem foto devido a demora da abertura da os
foi usado uma válvula de 90 franqueada e dois colarinho de 90
duas luvas de pad de 90 de solda de eletrofusão
foi usado 1 cotovelo de 90
foi usado um metro de tubo de esgoto 150 e uma T5 concretada</t>
  </si>
  <si>
    <t>16/04/2026 19:00</t>
  </si>
  <si>
    <t xml:space="preserve"> RUA SEIS</t>
  </si>
  <si>
    <t>os baixada sem foto devido à demora da abertura da OS sem reposição devido se leito terra</t>
  </si>
  <si>
    <t>16/04/2026 19:18</t>
  </si>
  <si>
    <t xml:space="preserve"> RUA ROSA</t>
  </si>
  <si>
    <t>os baixada sem foto de vida demora da abertura da os sem reposição rua de terra
duas luvas de 110 de pad</t>
  </si>
  <si>
    <t>16/04/2026 21:20</t>
  </si>
  <si>
    <t>16/04/2026 19:06</t>
  </si>
  <si>
    <t>os baixada sem foto devida a demora da abertura da OS sem reposição devido ser leite terra
foi usado 1 cotovelo de 90 de eletrofusão e 110</t>
  </si>
  <si>
    <t>16/04/2026 19:31</t>
  </si>
  <si>
    <t xml:space="preserve"> RUA SETE</t>
  </si>
  <si>
    <t>os baixada sem foto de vida demora da abertura da OS
foi usado 1 método de 150 de esgoto e duas T5 concretada
sem reposição rua de terra
duas luvas de 110 de piad de eletrofusão</t>
  </si>
  <si>
    <t>16/04/2026 21:26</t>
  </si>
  <si>
    <t>os baixada sem foto devido a demora da abertura da os
sem reposição do vidro sem leite terra
foi usado 1 metro de tubo de 150 de esgoto e 3 T5 concretada</t>
  </si>
  <si>
    <t>16/04/2026 19:25</t>
  </si>
  <si>
    <t>G C/ 2</t>
  </si>
  <si>
    <t>oss aberta depois da execusao</t>
  </si>
  <si>
    <t>16/04/2026 13:04</t>
  </si>
  <si>
    <t xml:space="preserve"> VIELA ESPERANCA</t>
  </si>
  <si>
    <t>16/04/2026 12:36</t>
  </si>
  <si>
    <t xml:space="preserve">os aberta após execução , sem reposição obras da prefeitura </t>
  </si>
  <si>
    <t>16/04/2026 09:50</t>
  </si>
  <si>
    <t xml:space="preserve"> AVENIDA NATALIA ZARIF</t>
  </si>
  <si>
    <t>UNIDADE 15..</t>
  </si>
  <si>
    <t>JD SAO GERALDO</t>
  </si>
  <si>
    <t>0ss aberta depois da execusao</t>
  </si>
  <si>
    <t>16/04/2026 12:50</t>
  </si>
  <si>
    <t xml:space="preserve"> RUA MONSENHOR PAULO</t>
  </si>
  <si>
    <t>ANT. 675</t>
  </si>
  <si>
    <t xml:space="preserve">prioridade as fotos foram enviadas via WhatsApp </t>
  </si>
  <si>
    <t>16/04/2026 13:32</t>
  </si>
  <si>
    <t xml:space="preserve"> RUA VINTE DE MAIO</t>
  </si>
  <si>
    <t xml:space="preserve">trocado ramal de agua ate o pé do cavalete ,  os aberta após execução sem fotos , </t>
  </si>
  <si>
    <t>16/04/2026 09:55</t>
  </si>
  <si>
    <t>foi executado um reparo na rede 200 defofo</t>
  </si>
  <si>
    <t>16/04/2026 16:19</t>
  </si>
  <si>
    <t xml:space="preserve"> RUA JOAO BATISTA</t>
  </si>
  <si>
    <t>sem fotos área de risco
sem reposição terra</t>
  </si>
  <si>
    <t>16/04/2026 16:08</t>
  </si>
  <si>
    <t xml:space="preserve"> RUA QUATORZE</t>
  </si>
  <si>
    <t>ANT.45 C/1</t>
  </si>
  <si>
    <t xml:space="preserve">não foi possível concluir sequência de fotos correto devido área de risco no local </t>
  </si>
  <si>
    <t xml:space="preserve"> RUA REINALDO CESAR DE OLIVEIRA</t>
  </si>
  <si>
    <t>ANT- 30</t>
  </si>
  <si>
    <t>foi executado uma sondagem na rede . agua nao é sabesp e sim agua de mina .
obs: propetário Ricardo ciente disso ..</t>
  </si>
  <si>
    <t>16/04/2026 10:44</t>
  </si>
  <si>
    <t>C/1ANT208</t>
  </si>
  <si>
    <t>16/04/2026 16:12</t>
  </si>
  <si>
    <t>16/04/2026 16:33</t>
  </si>
  <si>
    <t xml:space="preserve">sem fotos O.S.aberta posteriormente </t>
  </si>
  <si>
    <t>16/04/2026 13:29</t>
  </si>
  <si>
    <t xml:space="preserve"> RUA DEUS DO SOL</t>
  </si>
  <si>
    <t xml:space="preserve">às fotos foram tiradas na outra os número 2615935709 não tem reposição e na mesma vala </t>
  </si>
  <si>
    <t>ANT 23</t>
  </si>
  <si>
    <t>às fotos foram tiradas na outra os número 2615935709 material utilizado 1 m de tubo de PVC de 75</t>
  </si>
  <si>
    <t>16/04/2026 14:11</t>
  </si>
  <si>
    <t>16/04/2026 13:02</t>
  </si>
  <si>
    <t>esse serviço foi executado sem abertura do os:
demais fotos estão no242 os:2615879805</t>
  </si>
  <si>
    <t>ANT- 763</t>
  </si>
  <si>
    <t>16/04/2026 15:58</t>
  </si>
  <si>
    <t xml:space="preserve"> RUA JAIME DE OLIVEIRA</t>
  </si>
  <si>
    <t>ANTIGO 22</t>
  </si>
  <si>
    <t>PORTAL DOS GRAMADOS</t>
  </si>
  <si>
    <t>fotos dessa os estão na os de vazamento de água com infiltração 2690748178</t>
  </si>
  <si>
    <t>16/04/2026 16:47</t>
  </si>
  <si>
    <t>16/04/2026 16:06</t>
  </si>
  <si>
    <t xml:space="preserve"> RUA SANTA ANGELINA</t>
  </si>
  <si>
    <t xml:space="preserve">não tem reposição terra </t>
  </si>
  <si>
    <t xml:space="preserve"> RUA FREIRE DE ANDRADE</t>
  </si>
  <si>
    <t>17/04/2026</t>
  </si>
  <si>
    <t>17/04/2026 09:13</t>
  </si>
  <si>
    <t xml:space="preserve"> RUA CONDESSA AMALIA</t>
  </si>
  <si>
    <t>JD SANTA MENA</t>
  </si>
  <si>
    <t>foto da execucao na O.S 2616229863</t>
  </si>
  <si>
    <t>17/04/2026 12:09</t>
  </si>
  <si>
    <t xml:space="preserve">sem foto da lona e do batedor devido que nao preciso quebrar o passeio. sem foto da sinalizacao devido que nao deu para parar o caminhao no local.  </t>
  </si>
  <si>
    <t>17/04/2026 12:07</t>
  </si>
  <si>
    <t>ANTIGO 56</t>
  </si>
  <si>
    <t>17/04/2026 11:02</t>
  </si>
  <si>
    <t xml:space="preserve"> ESTRADA CONCEICAO DO BANANAL</t>
  </si>
  <si>
    <t>fotos na os 2615549102</t>
  </si>
  <si>
    <t>17/04/2026 13:47</t>
  </si>
  <si>
    <t xml:space="preserve">foi feita uma ligacao nova sem aproveitamento de ramal
passeio em obras </t>
  </si>
  <si>
    <t>17/04/2026 13:41</t>
  </si>
  <si>
    <t>17/04/2026 13:40</t>
  </si>
  <si>
    <t>C/8</t>
  </si>
  <si>
    <t>17/04/2026 13:50</t>
  </si>
  <si>
    <t>17/04/2026 12:02</t>
  </si>
  <si>
    <t xml:space="preserve"> RUA JOANA</t>
  </si>
  <si>
    <t>17/04/2026 11:38</t>
  </si>
  <si>
    <t>AC/2ANT60</t>
  </si>
  <si>
    <t xml:space="preserve">foi executado um reparo de rede de agua nao visível </t>
  </si>
  <si>
    <t>17/04/2026 10:07</t>
  </si>
  <si>
    <t xml:space="preserve"> RUA IRIS</t>
  </si>
  <si>
    <t>ANT. 228</t>
  </si>
  <si>
    <t>V IRIS</t>
  </si>
  <si>
    <t>17/04/2026 14:58</t>
  </si>
  <si>
    <t xml:space="preserve"> RUA DONA OLINDA DE ALBUQUERQUE</t>
  </si>
  <si>
    <t>17/04/2026 09:34</t>
  </si>
  <si>
    <t xml:space="preserve"> RUA DONA ALVIZA</t>
  </si>
  <si>
    <t>ANT15</t>
  </si>
  <si>
    <t>17/04/2026 11:28</t>
  </si>
  <si>
    <t xml:space="preserve"> RUA DOUTOR JOSE MAURICIO DE OLIVEIRA</t>
  </si>
  <si>
    <t>17/04/2026 14:19</t>
  </si>
  <si>
    <t>17/04/2026 11:32</t>
  </si>
  <si>
    <t xml:space="preserve"> ESTRADA DO ZIRCONIO</t>
  </si>
  <si>
    <t>ANT 16</t>
  </si>
  <si>
    <t>sem foto devido oss abeeta depois da execusao</t>
  </si>
  <si>
    <t>17/04/2026 13:15</t>
  </si>
  <si>
    <t>fotos na os 2615533667 junto com a ligacao nova da residencia .(obs os pra reposicao ja foi aberta .)</t>
  </si>
  <si>
    <t>17/04/2026 11:16</t>
  </si>
  <si>
    <t>C/1ANT314</t>
  </si>
  <si>
    <t>17/04/2026 14:25</t>
  </si>
  <si>
    <t xml:space="preserve"> RUA ORLANDO BIAGI ANGU</t>
  </si>
  <si>
    <t>ANT 85</t>
  </si>
  <si>
    <t>17/04/2026 15:16</t>
  </si>
  <si>
    <t xml:space="preserve"> AVENIDA SILVIO BARBOSA DA SILVEIRA</t>
  </si>
  <si>
    <t>AAC/1</t>
  </si>
  <si>
    <t xml:space="preserve">feita sondagem trata se de vazamento de esgoto </t>
  </si>
  <si>
    <t>17/04/2026 14:17</t>
  </si>
  <si>
    <t>ANT 65</t>
  </si>
  <si>
    <t xml:space="preserve">nao foi possivel sequencia de fotos correta devido local estreito e área de risco , prioridade sabesp </t>
  </si>
  <si>
    <t>17/04/2026 10:04</t>
  </si>
  <si>
    <t xml:space="preserve"> RUA SOLDADO PRIM RODRIGUES CANNES</t>
  </si>
  <si>
    <t>ANT 86</t>
  </si>
  <si>
    <t xml:space="preserve"> RUA BASTOS</t>
  </si>
  <si>
    <t>ANT5A C/1</t>
  </si>
  <si>
    <t>17/04/2026 12:05</t>
  </si>
  <si>
    <t xml:space="preserve"> AVENIDA BARBER GREENE</t>
  </si>
  <si>
    <t>ANT. 1482</t>
  </si>
  <si>
    <t>17/04/2026 15:30</t>
  </si>
  <si>
    <t xml:space="preserve"> RUA JULIO PENA</t>
  </si>
  <si>
    <t>sobre  teste de  compactação a rede  está menos de 60cm</t>
  </si>
  <si>
    <t>17/04/2026 10:48</t>
  </si>
  <si>
    <t>ANT16C/1</t>
  </si>
  <si>
    <t>fotos enviadas via whattsapp</t>
  </si>
  <si>
    <t>17/04/2026 15:32</t>
  </si>
  <si>
    <t>17/04/2026 12:06</t>
  </si>
  <si>
    <t xml:space="preserve"> RUA SAO VICENTE</t>
  </si>
  <si>
    <t xml:space="preserve">trocado ramal de agua  o pé do cavalete , nao foi possíveis sequencia de fotos correta devido local estreito obras da íntegra ,rua em obras </t>
  </si>
  <si>
    <t>17/04/2026 12:32</t>
  </si>
  <si>
    <t>B CASA 1</t>
  </si>
  <si>
    <t xml:space="preserve">observação não foi possível tirar mais fotos devido ária de risco vazamento na viela não tem reposição por conta do morador </t>
  </si>
  <si>
    <t>17/04/2026 15:07</t>
  </si>
  <si>
    <t xml:space="preserve"> RUA SAO GERALDO</t>
  </si>
  <si>
    <t>ANT.10</t>
  </si>
  <si>
    <t>17/04/2026 13:24</t>
  </si>
  <si>
    <t>fotos dessa os estão na os de vazamento de água no leito pavimentado 2690824795</t>
  </si>
  <si>
    <t>17/04/2026 15:13</t>
  </si>
  <si>
    <t xml:space="preserve">nao e necesaadio twste dw compacatacao </t>
  </si>
  <si>
    <t>17/04/2026 15:41</t>
  </si>
  <si>
    <t xml:space="preserve"> RUA SALVADOR GAETA</t>
  </si>
  <si>
    <t>ANT. 399</t>
  </si>
  <si>
    <t>17/04/2026 12:43</t>
  </si>
  <si>
    <t xml:space="preserve">SEM FOTO OS ABERTA APOS EXECUÇÃO - SEM REP OBRA INTEGRA TIETE </t>
  </si>
  <si>
    <t>17/04/2026 18:14</t>
  </si>
  <si>
    <t xml:space="preserve"> TRAVESSA SAO BORJA</t>
  </si>
  <si>
    <t>servoco executado no numero 35</t>
  </si>
  <si>
    <t>18/04/2026</t>
  </si>
  <si>
    <t>18/04/2026 11:37</t>
  </si>
  <si>
    <t>ANT13AC/1</t>
  </si>
  <si>
    <t>18/04/2026 14:17</t>
  </si>
  <si>
    <t>ANT.121</t>
  </si>
  <si>
    <t>fotos dessa OS junto con q OS 2616411748</t>
  </si>
  <si>
    <t>18/04/2026 14:24</t>
  </si>
  <si>
    <t xml:space="preserve"> RUA SANTA IZABEL</t>
  </si>
  <si>
    <t>ANT 720</t>
  </si>
  <si>
    <t>18/04/2026 11:07</t>
  </si>
  <si>
    <t xml:space="preserve"> RUA SOUZA REIS</t>
  </si>
  <si>
    <t>passeio terra obras.</t>
  </si>
  <si>
    <t>18/04/2026 09:28</t>
  </si>
  <si>
    <t xml:space="preserve"> RUA SAO SEBASTIAO DO TOCANTINS</t>
  </si>
  <si>
    <t>ANT13A C/1</t>
  </si>
  <si>
    <t>V IMACULADA</t>
  </si>
  <si>
    <t xml:space="preserve">o hidro ja estava na caixa uma . so trocado o kit e incluido a casa 2 </t>
  </si>
  <si>
    <t>18/04/2026 10:15</t>
  </si>
  <si>
    <t>ANT13A C/2</t>
  </si>
  <si>
    <t>18/04/2026 10:19</t>
  </si>
  <si>
    <t>ANT 2</t>
  </si>
  <si>
    <t>18/04/2026 10:07</t>
  </si>
  <si>
    <t xml:space="preserve"> RUA SANTA HELENA</t>
  </si>
  <si>
    <t>18/04/2026 13:59</t>
  </si>
  <si>
    <t xml:space="preserve"> RUA GLAUCO ANTONIO GALLI</t>
  </si>
  <si>
    <t>LT32AQD6</t>
  </si>
  <si>
    <t>18/04/2026 15:15</t>
  </si>
  <si>
    <t>18/04/2026 13:54</t>
  </si>
  <si>
    <t>ENTRADAPRI</t>
  </si>
  <si>
    <t>serviço executado no bloco 6 número 253</t>
  </si>
  <si>
    <t>18/04/2026 17:47</t>
  </si>
  <si>
    <t xml:space="preserve"> AVENIDA OTAVIO BRAGA DE MESQUITA</t>
  </si>
  <si>
    <t>19/04/2026</t>
  </si>
  <si>
    <t>19/04/2026 11:05</t>
  </si>
  <si>
    <t>CASA 2</t>
  </si>
  <si>
    <t>B25HX0084917</t>
  </si>
  <si>
    <t>19/04/2026 14:00</t>
  </si>
  <si>
    <t xml:space="preserve">nao foi colocado asfalto frio , motivo vala muito grande </t>
  </si>
  <si>
    <t>19/04/2026 17:40</t>
  </si>
  <si>
    <t xml:space="preserve"> AVENIDA KOKI KOGA</t>
  </si>
  <si>
    <t>ANT N20</t>
  </si>
  <si>
    <t xml:space="preserve">o restante das fotos sera anexadas na nova os </t>
  </si>
  <si>
    <t>19/04/2026 11:50</t>
  </si>
  <si>
    <t xml:space="preserve"> RUA MARIA LUIZA PERICO</t>
  </si>
  <si>
    <t>JD ACACIO</t>
  </si>
  <si>
    <t>19/04/2026 09:24</t>
  </si>
  <si>
    <t>CASA- 02</t>
  </si>
  <si>
    <t xml:space="preserve">serviço executado sem fotos devido à de risco </t>
  </si>
  <si>
    <t>19/04/2026 11:30</t>
  </si>
  <si>
    <t xml:space="preserve"> RUA IBIRAREMA</t>
  </si>
  <si>
    <t>C/1ANT1A</t>
  </si>
  <si>
    <t xml:space="preserve">Restante das fotos via whatsapp </t>
  </si>
  <si>
    <t>19/04/2026 11:24</t>
  </si>
  <si>
    <t>NV RECREIO</t>
  </si>
  <si>
    <t>19/04/2026 10:28</t>
  </si>
  <si>
    <t xml:space="preserve"> VIELA DA QUADRA</t>
  </si>
  <si>
    <t>V FLORIDA</t>
  </si>
  <si>
    <t>sem sinalização,é no fundo viela .</t>
  </si>
  <si>
    <t>19/04/2026 11:45</t>
  </si>
  <si>
    <t>19/04/2026 15:51</t>
  </si>
  <si>
    <t xml:space="preserve">não tem fotos porque o caminhão não chega até o local da sinalização e às demais fotos não tem reposição rua de terra e devido à de risco </t>
  </si>
  <si>
    <t>19/04/2026 15:38</t>
  </si>
  <si>
    <t>troca de ramal feita no número 24</t>
  </si>
  <si>
    <t>19/04/2026 10:57</t>
  </si>
  <si>
    <t>ANT.2/5</t>
  </si>
  <si>
    <t>nao vamos colocar asfalto frio , devido a vala ser grande</t>
  </si>
  <si>
    <t>19/04/2026 14:31</t>
  </si>
  <si>
    <t xml:space="preserve"> RUA AQUIRA YAMAGUCHI</t>
  </si>
  <si>
    <t>ANT. 11</t>
  </si>
  <si>
    <t>19/04/2026 14:41</t>
  </si>
  <si>
    <t xml:space="preserve">As fotos estao na OS principal
troca ate o passeio,nao foi feito estanquiedade fiscal ciente </t>
  </si>
  <si>
    <t>19/04/2026 15:30</t>
  </si>
  <si>
    <t xml:space="preserve"> RUA RIO DE JANEIRO</t>
  </si>
  <si>
    <t>AC/3</t>
  </si>
  <si>
    <t>trata-se de arrebentado de rede
fotos dessa os estão na os de vazamento de água no leito pavimentado 2616543038</t>
  </si>
  <si>
    <t>ANT 359</t>
  </si>
  <si>
    <t>fotos dessa os estão na os de vazamento de água no leito pavimentado 2616543038</t>
  </si>
  <si>
    <t>19/04/2026 12:52</t>
  </si>
  <si>
    <t>19/04/2026 12:57</t>
  </si>
  <si>
    <t>ANT 667</t>
  </si>
  <si>
    <t>JD GUARULHOS</t>
  </si>
  <si>
    <t>fotos dessa os estão na os de vazamento no passeio 2616545277</t>
  </si>
  <si>
    <t>19/04/2026 15:16</t>
  </si>
  <si>
    <t xml:space="preserve"> RUA MARRET</t>
  </si>
  <si>
    <t>ANT. 272</t>
  </si>
  <si>
    <t>20/04/2026</t>
  </si>
  <si>
    <t>20/04/2026 10:44</t>
  </si>
  <si>
    <t xml:space="preserve"> RUA ARI DE CARVALHO</t>
  </si>
  <si>
    <t>V VERA MARIA</t>
  </si>
  <si>
    <t>20/04/2026 09:50</t>
  </si>
  <si>
    <t xml:space="preserve"> RUA DA JUVENTUDE</t>
  </si>
  <si>
    <t>20/04/2026 12:54</t>
  </si>
  <si>
    <t xml:space="preserve"> ESTRADA VELHA DO CABUCU</t>
  </si>
  <si>
    <t>40-A</t>
  </si>
  <si>
    <t>20/04/2026 09:21</t>
  </si>
  <si>
    <t>fotos dessa os estão na os de vazamento de água não visível em rede 2616390566</t>
  </si>
  <si>
    <t>20/04/2026 09:58</t>
  </si>
  <si>
    <t>20/04/2026 13:40</t>
  </si>
  <si>
    <t xml:space="preserve"> AVENIDA ANNA RODRIGUES DE CARVALHO</t>
  </si>
  <si>
    <t>ANT.03</t>
  </si>
  <si>
    <t>20/04/2026 18:03</t>
  </si>
  <si>
    <t xml:space="preserve"> RUA RAIMUNDO ALMEIDA DE ARAUJO</t>
  </si>
  <si>
    <t>20/04/2026 12:46</t>
  </si>
  <si>
    <t xml:space="preserve"> RUA FRAIBURGO</t>
  </si>
  <si>
    <t>20/04/2026 11:48</t>
  </si>
  <si>
    <t xml:space="preserve"> AVENIDA VEREADOR ANTONIO GROTKOWSKI</t>
  </si>
  <si>
    <t>ANT. 245</t>
  </si>
  <si>
    <t>20/04/2026 10:19</t>
  </si>
  <si>
    <t xml:space="preserve"> RUA LARANJEIRAS</t>
  </si>
  <si>
    <t xml:space="preserve">ramal anterior na mesma direcao da caixa uma . executado somente a troca de ramal </t>
  </si>
  <si>
    <t>20/04/2026 10:50</t>
  </si>
  <si>
    <t>20/04/2026 11:56</t>
  </si>
  <si>
    <t xml:space="preserve"> RUA JAIR FERREIRA PINTO</t>
  </si>
  <si>
    <t>JD ZIMBARDI</t>
  </si>
  <si>
    <t>obs: sem foto do compactado manual devido a inteferencia no buraco do passeio .orientado a programacao o ocorrido .somente cimentado o local abaixo da caixa uma.
 buraca 0.40 x040</t>
  </si>
  <si>
    <t>20/04/2026 16:20</t>
  </si>
  <si>
    <t>20/04/2026 16:29</t>
  </si>
  <si>
    <t xml:space="preserve"> RUA BENEDITO DE JESUS</t>
  </si>
  <si>
    <t>20/04/2026 12:13</t>
  </si>
  <si>
    <t>fotos na os 261 556 5680</t>
  </si>
  <si>
    <t>20/04/2026 12:33</t>
  </si>
  <si>
    <t>foto enviadas no zap</t>
  </si>
  <si>
    <t>20/04/2026 12:53</t>
  </si>
  <si>
    <t xml:space="preserve"> RUA ALBERTO SIGUEYUKI HAMAOKA</t>
  </si>
  <si>
    <t xml:space="preserve">foi executado uma troca de ramal de agua preventiva </t>
  </si>
  <si>
    <t>20/04/2026 17:51</t>
  </si>
  <si>
    <t xml:space="preserve"> RUA AUGUSTA BARBOSA</t>
  </si>
  <si>
    <t>20/04/2026 15:01</t>
  </si>
  <si>
    <t>20/04/2026 12:29</t>
  </si>
  <si>
    <t xml:space="preserve"> RUA VERI</t>
  </si>
  <si>
    <t>A CASA 01</t>
  </si>
  <si>
    <t>20/04/2026 12:30</t>
  </si>
  <si>
    <t xml:space="preserve"> RUA DONA INES MARTINS</t>
  </si>
  <si>
    <t>ANT. 23</t>
  </si>
  <si>
    <t>20/04/2026 16:06</t>
  </si>
  <si>
    <t>20/04/2026 12:50</t>
  </si>
  <si>
    <t xml:space="preserve"> RUA JOAQUIM RABELLO</t>
  </si>
  <si>
    <t>20/04/2026 13:46</t>
  </si>
  <si>
    <t xml:space="preserve"> RUA ANTONIO AGUIAR</t>
  </si>
  <si>
    <t>ANT. 120</t>
  </si>
  <si>
    <t>TORRES TIBAGY</t>
  </si>
  <si>
    <t>20/04/2026 14:08</t>
  </si>
  <si>
    <t xml:space="preserve"> RUA CACILDA ABREU</t>
  </si>
  <si>
    <t>foi executado uma troca de ramal de agua.
imóvel 112</t>
  </si>
  <si>
    <t>20/04/2026 14:18</t>
  </si>
  <si>
    <t xml:space="preserve"> RUA DORES R PEDRAS</t>
  </si>
  <si>
    <t>JD SANTA EMILIA</t>
  </si>
  <si>
    <t xml:space="preserve">as fotos foram enviadas via WhatsApp </t>
  </si>
  <si>
    <t>20/04/2026 18:46</t>
  </si>
  <si>
    <t xml:space="preserve"> AVENIDA ITALO BRASILEIRO PIVA</t>
  </si>
  <si>
    <t xml:space="preserve">servico executado na rua maria olimpia da silva 54.  fotos enviadas via whattsapp. nao bater D.C.P. devido rede rasa. </t>
  </si>
  <si>
    <t>20/04/2026 15:37</t>
  </si>
  <si>
    <t xml:space="preserve"> AVENIDA DOUTOR CARLOS DE CAMPOS</t>
  </si>
  <si>
    <t>ANT. 131</t>
  </si>
  <si>
    <t>20/04/2026 15:49</t>
  </si>
  <si>
    <t>APTO 12</t>
  </si>
  <si>
    <t>TROCA DE CAIXA DE PARADA</t>
  </si>
  <si>
    <t xml:space="preserve">fotos da enviadas via whattsapp. servico executado pela rua maria olimpia da silva 54 </t>
  </si>
  <si>
    <t>20/04/2026 16:15</t>
  </si>
  <si>
    <t xml:space="preserve"> RUA MORAS</t>
  </si>
  <si>
    <t>ANT. 242</t>
  </si>
  <si>
    <t>20/04/2026 16:09</t>
  </si>
  <si>
    <t>20/04/2026 16:11</t>
  </si>
  <si>
    <t xml:space="preserve"> RUA MANOEL DE OLIVEIRA</t>
  </si>
  <si>
    <t>JD LEDA</t>
  </si>
  <si>
    <t>20/04/2026 15:55</t>
  </si>
  <si>
    <t xml:space="preserve"> VIELA DAS FLORES</t>
  </si>
  <si>
    <t>ANT8</t>
  </si>
  <si>
    <t>sem foto devido areiA de risco  obss comunidade</t>
  </si>
  <si>
    <t>20/04/2026 16:51</t>
  </si>
  <si>
    <t xml:space="preserve">foi executado um reparo na rede de agua nao visível .
obs: restante das fotos estão na ficha 2616612840. </t>
  </si>
  <si>
    <t>20/04/2026 19:22</t>
  </si>
  <si>
    <t xml:space="preserve">foi executado sondagem  porém não foi realizado o vazamento água vindo por baixo do asfalto necessário pitometria </t>
  </si>
  <si>
    <t>20/04/2026 18:11</t>
  </si>
  <si>
    <t xml:space="preserve"> AVENIDA GAIVOTA PRETA</t>
  </si>
  <si>
    <t>21/04/2026</t>
  </si>
  <si>
    <t>21/04/2026 10:35</t>
  </si>
  <si>
    <t>21/04/2026 14:18</t>
  </si>
  <si>
    <t>FDSC/2</t>
  </si>
  <si>
    <t>21/04/2026 12:01</t>
  </si>
  <si>
    <t xml:space="preserve"> RUA PARTICULAR</t>
  </si>
  <si>
    <t>ANT 14</t>
  </si>
  <si>
    <t xml:space="preserve">baixando sem fotos devido ser área de risco </t>
  </si>
  <si>
    <t>21/04/2026 12:28</t>
  </si>
  <si>
    <t>ANTIGO C/2</t>
  </si>
  <si>
    <t>21/04/2026 14:09</t>
  </si>
  <si>
    <t>ANT23C/2</t>
  </si>
  <si>
    <t>21/04/2026 15:04</t>
  </si>
  <si>
    <t xml:space="preserve"> RUA SOLDADO ANTONIO COELHO SILVEIRA</t>
  </si>
  <si>
    <t>21/04/2026 11:15</t>
  </si>
  <si>
    <t>21/04/2026 10:08</t>
  </si>
  <si>
    <t xml:space="preserve"> RUA SANTA RITA DO SAPUCAI</t>
  </si>
  <si>
    <t>CASA  1</t>
  </si>
  <si>
    <t>21/04/2026 15:37</t>
  </si>
  <si>
    <t>ANTIGO 8</t>
  </si>
  <si>
    <t>21/04/2026 14:03</t>
  </si>
  <si>
    <t xml:space="preserve"> RUA PAULO AFONSO</t>
  </si>
  <si>
    <t>ANT142B</t>
  </si>
  <si>
    <t>21/04/2026 09:10</t>
  </si>
  <si>
    <t>fotos na OS 2616344963</t>
  </si>
  <si>
    <t>21/04/2026 13:22</t>
  </si>
  <si>
    <t>21/04/2026 13:25</t>
  </si>
  <si>
    <t>21/04/2026 13:29</t>
  </si>
  <si>
    <t>21/04/2026 13:33</t>
  </si>
  <si>
    <t>21/04/2026 13:36</t>
  </si>
  <si>
    <t>21/04/2026 13:39</t>
  </si>
  <si>
    <t xml:space="preserve"> RUA ANTONIO DE ARAUJO</t>
  </si>
  <si>
    <t>TRAV ACRE</t>
  </si>
  <si>
    <t>21/04/2026 09:03</t>
  </si>
  <si>
    <t>ANT.   C/2</t>
  </si>
  <si>
    <t>foto da execucao na O.S 2616241316</t>
  </si>
  <si>
    <t>21/04/2026 12:41</t>
  </si>
  <si>
    <t xml:space="preserve"> RUA ARY BARROSO</t>
  </si>
  <si>
    <t>JD PINHAL</t>
  </si>
  <si>
    <t>21/04/2026 18:05</t>
  </si>
  <si>
    <t>21/04/2026 18:12</t>
  </si>
  <si>
    <t>ANT.   C/1</t>
  </si>
  <si>
    <t>21/04/2026 12:37</t>
  </si>
  <si>
    <t>ANT. 19</t>
  </si>
  <si>
    <t>JD ALVORADA</t>
  </si>
  <si>
    <t>21/04/2026 08:01</t>
  </si>
  <si>
    <t xml:space="preserve"> RUA TOCANTINOPOLIS</t>
  </si>
  <si>
    <t>JD IPORANGA</t>
  </si>
  <si>
    <t xml:space="preserve">não tem reposição  serviço executado sem fotos após a execução </t>
  </si>
  <si>
    <t>21/04/2026 11:50</t>
  </si>
  <si>
    <t>APTO-14</t>
  </si>
  <si>
    <t>21/04/2026 11:33</t>
  </si>
  <si>
    <t xml:space="preserve"> RUA SILVIO MAIA</t>
  </si>
  <si>
    <t>ANT. 373</t>
  </si>
  <si>
    <t>V SILVEIRA</t>
  </si>
  <si>
    <t>21/04/2026 09:07</t>
  </si>
  <si>
    <t>ANT 119</t>
  </si>
  <si>
    <t>21/04/2026 14:45</t>
  </si>
  <si>
    <t>C/1ANT36</t>
  </si>
  <si>
    <t>sem fotos O.S.Aberta posteriormente</t>
  </si>
  <si>
    <t>21/04/2026 18:25</t>
  </si>
  <si>
    <t xml:space="preserve"> RUA ALVARES FLORENCE</t>
  </si>
  <si>
    <t>JD BETEL</t>
  </si>
  <si>
    <t xml:space="preserve">foi executado uma troca de ramal de agua </t>
  </si>
  <si>
    <t>21/04/2026 12:49</t>
  </si>
  <si>
    <t>21/04/2026 14:54</t>
  </si>
  <si>
    <t xml:space="preserve"> RUA VITORINA ESPERANCA</t>
  </si>
  <si>
    <t>fotos dessa os estão na os de vazamento de água não visível em ramal 2616615745</t>
  </si>
  <si>
    <t>21/04/2026 13:54</t>
  </si>
  <si>
    <t>ANT 28</t>
  </si>
  <si>
    <t>serviço foi executado sem abertura do os demais fotos estão on#125
Os 2616746622</t>
  </si>
  <si>
    <t>21/04/2026 15:45</t>
  </si>
  <si>
    <t>ANT. 252</t>
  </si>
  <si>
    <t>fotos dessa os estão na os de vazamento de água não visível em ramal 2616616138</t>
  </si>
  <si>
    <t>21/04/2026 16:05</t>
  </si>
  <si>
    <t>PASSAR RAMAL DE ÁGUA PARA NOVA REDE</t>
  </si>
  <si>
    <t xml:space="preserve"> RUA ANTONIO LISBOA GARCIA</t>
  </si>
  <si>
    <t>PASSADO RAMAL DE AGUA PARA NOVA REDE</t>
  </si>
  <si>
    <t>serviço baixado sem foto devido à demora da abertura da OS</t>
  </si>
  <si>
    <t>22/04/2026</t>
  </si>
  <si>
    <t>22/04/2026 19:37</t>
  </si>
  <si>
    <t>ANT. 10</t>
  </si>
  <si>
    <t xml:space="preserve">os baixada sem foto devida a demora da abertura da os </t>
  </si>
  <si>
    <t>22/04/2026 19:30</t>
  </si>
  <si>
    <t>ANT45</t>
  </si>
  <si>
    <t xml:space="preserve">os baixada sem foto devido à demora da abertura da OS </t>
  </si>
  <si>
    <t>22/04/2026 18:34</t>
  </si>
  <si>
    <t>ANT 7 A</t>
  </si>
  <si>
    <t>22/04/2026 19:53</t>
  </si>
  <si>
    <t xml:space="preserve">os  baixada sem foto de vida a demora da abertura da os </t>
  </si>
  <si>
    <t>22/04/2026 19:50</t>
  </si>
  <si>
    <t xml:space="preserve"> RUA CONEGO EZEQUIAS</t>
  </si>
  <si>
    <t>22/04/2026 09:55</t>
  </si>
  <si>
    <t>22/04/2026 09:50</t>
  </si>
  <si>
    <t xml:space="preserve"> RUA CAMILA MARTINS DOS SANTOS</t>
  </si>
  <si>
    <t>ANT. 29</t>
  </si>
  <si>
    <t xml:space="preserve">baixando sem foto devido rua estreita sem saída  , caminhão deixado no final da rua devido transito local . </t>
  </si>
  <si>
    <t>22/04/2026 13:38</t>
  </si>
  <si>
    <t xml:space="preserve"> RUA BAHIA</t>
  </si>
  <si>
    <t>22/04/2026 11:30</t>
  </si>
  <si>
    <t xml:space="preserve"> RUA SAO MAURICIO</t>
  </si>
  <si>
    <t>22/04/2026 10:24</t>
  </si>
  <si>
    <t xml:space="preserve"> RUA IMONCLAR E LAZARI</t>
  </si>
  <si>
    <t>JD SILVIA</t>
  </si>
  <si>
    <t>fotos na os 261330314</t>
  </si>
  <si>
    <t>22/04/2026 09:34</t>
  </si>
  <si>
    <t>foi feito aproveitamento de ramal pois o mesmo era pad azul</t>
  </si>
  <si>
    <t>22/04/2026 09:30</t>
  </si>
  <si>
    <t xml:space="preserve"> RUA PROJETADA SAO DOMINGOS</t>
  </si>
  <si>
    <t>rua de terra</t>
  </si>
  <si>
    <t>22/04/2026 15:46</t>
  </si>
  <si>
    <t xml:space="preserve"> RUA JOSE ANTONIO MARCELLO</t>
  </si>
  <si>
    <t xml:space="preserve">oi possível concluir sequências de foto devido à obra no local não há reposição de asfalto devido obra no local a troca foi feita até o passeio devido ao cliente não tá em casa como é o acompanhamento do fiscal André </t>
  </si>
  <si>
    <t>22/04/2026 13:09</t>
  </si>
  <si>
    <t>C/1ANT139</t>
  </si>
  <si>
    <t xml:space="preserve"> foi possível concluir sequências de foto devido à obra no local não há reposição de asfalto devido obra no local a troca foi feita até o passeio devido ao cliente não tá em casa </t>
  </si>
  <si>
    <t>22/04/2026 12:47</t>
  </si>
  <si>
    <t xml:space="preserve">os baixada sem foto devido à demora da abertura da os </t>
  </si>
  <si>
    <t>22/04/2026 18:24</t>
  </si>
  <si>
    <t>22/04/2026 18:09</t>
  </si>
  <si>
    <t>22/04/2026 13:22</t>
  </si>
  <si>
    <t xml:space="preserve">nao precisa de teste de compactacao , motivo , vala muito raza </t>
  </si>
  <si>
    <t>22/04/2026 11:02</t>
  </si>
  <si>
    <t xml:space="preserve"> AVENIDA COMENDADOR WILSON TALARICO</t>
  </si>
  <si>
    <t>ANTIGO138</t>
  </si>
  <si>
    <t>22/04/2026 15:54</t>
  </si>
  <si>
    <t xml:space="preserve"> RUA ISAURA</t>
  </si>
  <si>
    <t>reposição sera execultada pela comgas que ainda está em obra no local</t>
  </si>
  <si>
    <t>22/04/2026 11:53</t>
  </si>
  <si>
    <t xml:space="preserve"> RUA PARAUNA</t>
  </si>
  <si>
    <t>ANT: 21</t>
  </si>
  <si>
    <t>22/04/2026 12:18</t>
  </si>
  <si>
    <t xml:space="preserve">baixando sem foto devido Os aberta após a execução do serviço,  fotos via wattsap,  Reposição feita pela equipe de esgoto em obra no local </t>
  </si>
  <si>
    <t>22/04/2026 12:19</t>
  </si>
  <si>
    <t>APTO-21</t>
  </si>
  <si>
    <t>22/04/2026 11:51</t>
  </si>
  <si>
    <t xml:space="preserve"> RUA VERA</t>
  </si>
  <si>
    <t>ANT. 303</t>
  </si>
  <si>
    <t>22/04/2026 16:11</t>
  </si>
  <si>
    <t xml:space="preserve"> RUA DO CAMPO DA PAZ</t>
  </si>
  <si>
    <t xml:space="preserve">trocado ramal de agua ate a corrida morador aunsete,  nao foi possivel fotos devido área de risco , leito barro obras da prefeitura </t>
  </si>
  <si>
    <t>22/04/2026 13:39</t>
  </si>
  <si>
    <t xml:space="preserve"> RUA FRANK GUEDES</t>
  </si>
  <si>
    <t>ANT. 17</t>
  </si>
  <si>
    <t>22/04/2026 17:21</t>
  </si>
  <si>
    <t xml:space="preserve"> RUA SERGIO REIS DE OLIVEIRA</t>
  </si>
  <si>
    <t>ANT. 48-A</t>
  </si>
  <si>
    <t>22/04/2026 16:01</t>
  </si>
  <si>
    <t xml:space="preserve"> RUA DUQUE DE CAXIAS</t>
  </si>
  <si>
    <t>22/04/2026 10:41</t>
  </si>
  <si>
    <t>22/04/2026 10:39</t>
  </si>
  <si>
    <t xml:space="preserve">às fotos foram tiradas na outra os número 2616857102 não tem reposição obra da prefeitura no local </t>
  </si>
  <si>
    <t>22/04/2026 16:41</t>
  </si>
  <si>
    <t>G C/ 1</t>
  </si>
  <si>
    <t xml:space="preserve">não tem reposição obra da prefeitura é sabesp no local não tem às de mais fotos devido à de risco no local </t>
  </si>
  <si>
    <t>22/04/2026 16:22</t>
  </si>
  <si>
    <t>22/04/2026 16:35</t>
  </si>
  <si>
    <t>não tem reposição obra da prefeitura às de mais fotos foram tiradas na outra os número 2616857102</t>
  </si>
  <si>
    <t>22/04/2026 16:31</t>
  </si>
  <si>
    <t>não tem reposição obra da prefeitura  às fotos foram tiradas na outra os número 2616857102</t>
  </si>
  <si>
    <t>22/04/2026 16:27</t>
  </si>
  <si>
    <t>ANT 11</t>
  </si>
  <si>
    <t>sem todas foto devido clinte ja estava abrindo buraco fizemos so o conserto</t>
  </si>
  <si>
    <t>22/04/2026 15:39</t>
  </si>
  <si>
    <t xml:space="preserve"> AVENIDA ESPERANCA</t>
  </si>
  <si>
    <t>fotos dessa os estão na os de vazamento de água não visível em ramal 2616615906</t>
  </si>
  <si>
    <t>22/04/2026 12:41</t>
  </si>
  <si>
    <t>22/04/2026 14:50</t>
  </si>
  <si>
    <t xml:space="preserve"> RUA CERES</t>
  </si>
  <si>
    <t>V BANCARIA</t>
  </si>
  <si>
    <t>22/04/2026 15:09</t>
  </si>
  <si>
    <t xml:space="preserve"> RUA JOAO SIMAO</t>
  </si>
  <si>
    <t>ANT: 18</t>
  </si>
  <si>
    <t xml:space="preserve">não tem reposição obra da prefeitura no local não tem sinalização a obra da prefeitura no local   não tem fotos mais fotos devido a de risco </t>
  </si>
  <si>
    <t>22/04/2026 17:05</t>
  </si>
  <si>
    <t>fotos na os anterior n 120</t>
  </si>
  <si>
    <t>22/04/2026 16:09</t>
  </si>
  <si>
    <t>22/04/2026 15:51</t>
  </si>
  <si>
    <t>fotos dessa os estão na os de vazamento de água no leito pavimentado 2691200537</t>
  </si>
  <si>
    <t>22/04/2026 16:03</t>
  </si>
  <si>
    <t>22/04/2026 17:25</t>
  </si>
  <si>
    <t xml:space="preserve"> RUA SEG SARGENTO ORLANDO RANDI</t>
  </si>
  <si>
    <t>24/04/2026</t>
  </si>
  <si>
    <t>24/04/2026 09:34</t>
  </si>
  <si>
    <t xml:space="preserve"> RUA JAGUARIBE</t>
  </si>
  <si>
    <t>ANT. 104</t>
  </si>
  <si>
    <t>V TIBAGY</t>
  </si>
  <si>
    <t>24/04/2026 13:41</t>
  </si>
  <si>
    <t>24/04/2026 10:28</t>
  </si>
  <si>
    <t xml:space="preserve">sem fotos O.S. aberta posteriormente </t>
  </si>
  <si>
    <t>24/04/2026 10:08</t>
  </si>
  <si>
    <t xml:space="preserve"> RUA CRISTOLANDIA</t>
  </si>
  <si>
    <t>ANT.35</t>
  </si>
  <si>
    <t>24/04/2026 10:17</t>
  </si>
  <si>
    <t>24/04/2026 14:16</t>
  </si>
  <si>
    <t xml:space="preserve"> RUA TERC SARGENTO FRANCISCO DE PAULA LOPES</t>
  </si>
  <si>
    <t>24/04/2026 10:49</t>
  </si>
  <si>
    <t xml:space="preserve"> RUA SOPHIA FANTAZZINI CHECCHINATO</t>
  </si>
  <si>
    <t>ANT14C/1</t>
  </si>
  <si>
    <t>JD TOSCANA</t>
  </si>
  <si>
    <t>24/04/2026 15:16</t>
  </si>
  <si>
    <t xml:space="preserve"> RUA HERMENEGILDO ORSI</t>
  </si>
  <si>
    <t>C/1ANT20B</t>
  </si>
  <si>
    <t>24/04/2026 10:07</t>
  </si>
  <si>
    <t xml:space="preserve"> ESTRADA DOS MORAES</t>
  </si>
  <si>
    <t>ANTIGO 155</t>
  </si>
  <si>
    <t>24/04/2026 12:03</t>
  </si>
  <si>
    <t xml:space="preserve"> RUA HAROLDO LOBO</t>
  </si>
  <si>
    <t>ANT51AA</t>
  </si>
  <si>
    <t>24/04/2026 15:00</t>
  </si>
  <si>
    <t xml:space="preserve"> RUA SAMUEL REIS DE OLIVEIRA</t>
  </si>
  <si>
    <t>ANT. 100</t>
  </si>
  <si>
    <t>24/04/2026 13:54</t>
  </si>
  <si>
    <t xml:space="preserve"> RUA DOUTOR WASHINGTON LUIZ</t>
  </si>
  <si>
    <t>ANT 235</t>
  </si>
  <si>
    <t>JD SANTA FRANCISCA</t>
  </si>
  <si>
    <t>Não foi possível concluir sai com essa de foto correto devido estreitamento no local</t>
  </si>
  <si>
    <t>24/04/2026 09:40</t>
  </si>
  <si>
    <t xml:space="preserve"> RUA ARARA</t>
  </si>
  <si>
    <t>Não foi possível conclusão com essa rede fotos correto devido a estreitamente no local</t>
  </si>
  <si>
    <t>24/04/2026 14:52</t>
  </si>
  <si>
    <t xml:space="preserve"> RUA JORGE FELIPE HADDAD</t>
  </si>
  <si>
    <t>ANT. 414</t>
  </si>
  <si>
    <t>24/04/2026 14:37</t>
  </si>
  <si>
    <t xml:space="preserve"> AVENIDA MANOEL ISIDORO MARTINS</t>
  </si>
  <si>
    <t>sem foto Os aberta após a execução.</t>
  </si>
  <si>
    <t>24/04/2026 12:48</t>
  </si>
  <si>
    <t>OS ABERTA POSTERIORMEWNTE A EXECUÇÃO DO SERVIÇO</t>
  </si>
  <si>
    <t>CLARIT 153</t>
  </si>
  <si>
    <t>26/04/2026</t>
  </si>
  <si>
    <t>26/04/2026 14:17</t>
  </si>
  <si>
    <t>OS ABERTA POSTERIORMENTE A EXECUÇÃO DO SERIÇO</t>
  </si>
  <si>
    <t xml:space="preserve"> RUA ANTONIO GOMES</t>
  </si>
  <si>
    <t>V SANTO ANTONIO</t>
  </si>
  <si>
    <t>26/04/2026 14:26</t>
  </si>
  <si>
    <t>26/04/2026 14:28</t>
  </si>
  <si>
    <t xml:space="preserve"> RUA DA PAZ</t>
  </si>
  <si>
    <t>ANTIGO 1</t>
  </si>
  <si>
    <t>JD TESTAI</t>
  </si>
  <si>
    <t xml:space="preserve">sem foto Os aberta após a execução, sem reposição obra do integra no local </t>
  </si>
  <si>
    <t>24/04/2026 16:11</t>
  </si>
  <si>
    <t>PROLONGAMENTO DE REDE DE AGUA</t>
  </si>
  <si>
    <t>sem foto Os aberta após execução, utilizado pead 110.</t>
  </si>
  <si>
    <t>24/04/2026 14:08</t>
  </si>
  <si>
    <t xml:space="preserve"> RUA EDSON DE SOUZA</t>
  </si>
  <si>
    <t>C/2 C/1</t>
  </si>
  <si>
    <t xml:space="preserve">sem foto da lona e do batedor devido que nao preciso quebra o passeio. sem foto da sinalizacao devido que nao deu para parar o caminhao no local. </t>
  </si>
  <si>
    <t>24/04/2026 13:37</t>
  </si>
  <si>
    <t xml:space="preserve"> RUA ANTONIO FREITAS</t>
  </si>
  <si>
    <t>ANT. 5 C/2</t>
  </si>
  <si>
    <t>foto da execucao na O.S 2616891150</t>
  </si>
  <si>
    <t>24/04/2026 11:48</t>
  </si>
  <si>
    <t>24/04/2026 11:41</t>
  </si>
  <si>
    <t>C/1ANT4</t>
  </si>
  <si>
    <t xml:space="preserve">os baixada sem foto devido a demora da abertura da os </t>
  </si>
  <si>
    <t>24/04/2026 17:32</t>
  </si>
  <si>
    <t xml:space="preserve"> RUA ARATIBA</t>
  </si>
  <si>
    <t>ANT 01</t>
  </si>
  <si>
    <t xml:space="preserve">Sem foto Os aberta após a execução </t>
  </si>
  <si>
    <t>24/04/2026 12:58</t>
  </si>
  <si>
    <t xml:space="preserve"> RUA ARGENTINA</t>
  </si>
  <si>
    <t>ANT. 258</t>
  </si>
  <si>
    <t xml:space="preserve">sem foto Os aberta após a execução </t>
  </si>
  <si>
    <t>24/04/2026 12:53</t>
  </si>
  <si>
    <t>24/04/2026 13:50</t>
  </si>
  <si>
    <t>C/2 C/2</t>
  </si>
  <si>
    <t>foto da execucao na O.S 2616861311</t>
  </si>
  <si>
    <t>24/04/2026 13:46</t>
  </si>
  <si>
    <t>24/04/2026 15:19</t>
  </si>
  <si>
    <t>24/04/2026 14:58</t>
  </si>
  <si>
    <t>V VICENTINA</t>
  </si>
  <si>
    <t>24/04/2026 16:27</t>
  </si>
  <si>
    <t xml:space="preserve"> RUA FREI INOCENCIO</t>
  </si>
  <si>
    <t xml:space="preserve">foi aproveitado o ramal antigo que estava na msm direcao e o ramal ja era nova azul </t>
  </si>
  <si>
    <t>24/04/2026 09:25</t>
  </si>
  <si>
    <t>passeio terra obras</t>
  </si>
  <si>
    <t>24/04/2026 10:54</t>
  </si>
  <si>
    <t xml:space="preserve">passeio terra obras </t>
  </si>
  <si>
    <t xml:space="preserve">sem foto Os aberta após a execução. utilizado pead de 110 </t>
  </si>
  <si>
    <t>24/04/2026 14:55</t>
  </si>
  <si>
    <t>sem foto Os aberta após a execução. utilizado pead 110</t>
  </si>
  <si>
    <t>sem foto Os aberta após a execução. utilizado pead de 110</t>
  </si>
  <si>
    <t>24/04/2026 14:39</t>
  </si>
  <si>
    <t>sem foto Os aberta após execução.</t>
  </si>
  <si>
    <t>24/04/2026 13:17</t>
  </si>
  <si>
    <t xml:space="preserve"> RUA DIREITOS HUMANOS</t>
  </si>
  <si>
    <t>ANT 43</t>
  </si>
  <si>
    <t>sem foto Os aberta após a execução, rede 315 pad</t>
  </si>
  <si>
    <t>24/04/2026 14:00</t>
  </si>
  <si>
    <t>C/2ANT55</t>
  </si>
  <si>
    <t>24/04/2026 18:23</t>
  </si>
  <si>
    <t>24/04/2026 18:32</t>
  </si>
  <si>
    <t xml:space="preserve">OS baixada sem foto devido a demora da abertura da os </t>
  </si>
  <si>
    <t>24/04/2026 13:45</t>
  </si>
  <si>
    <t xml:space="preserve">os baixada sem foto devido a demora da abertura da os sim </t>
  </si>
  <si>
    <t>24/04/2026 18:36</t>
  </si>
  <si>
    <t>CASA- 03</t>
  </si>
  <si>
    <t>24/04/2026 15:01</t>
  </si>
  <si>
    <t>ANT122C/2</t>
  </si>
  <si>
    <t>24/04/2026 14:38</t>
  </si>
  <si>
    <t>24/04/2026 14:43</t>
  </si>
  <si>
    <t>24/04/2026 15:07</t>
  </si>
  <si>
    <t>24/04/2026 13:56</t>
  </si>
  <si>
    <t>C/1ANT55</t>
  </si>
  <si>
    <t>24/04/2026 14:11</t>
  </si>
  <si>
    <t>ANT41C/7</t>
  </si>
  <si>
    <t xml:space="preserve">os baixada sem foto devido a demora da os </t>
  </si>
  <si>
    <t>24/04/2026 18:28</t>
  </si>
  <si>
    <t>B01AP54</t>
  </si>
  <si>
    <t>24/04/2026 18:40</t>
  </si>
  <si>
    <t>ANT. 55</t>
  </si>
  <si>
    <t>24/04/2026 14:24</t>
  </si>
  <si>
    <t>24/04/2026 18:18</t>
  </si>
  <si>
    <t xml:space="preserve"> RUA PREFEITO RINALDO POLI</t>
  </si>
  <si>
    <t>foi feito uma subreçao de subistituaçao de ligaçao</t>
  </si>
  <si>
    <t>24/04/2026 12:11</t>
  </si>
  <si>
    <t>ANT-8 A A</t>
  </si>
  <si>
    <t>24/04/2026 14:32</t>
  </si>
  <si>
    <t xml:space="preserve"> RUA UM</t>
  </si>
  <si>
    <t>ANT 12B</t>
  </si>
  <si>
    <t xml:space="preserve">trocado ramal de agua ate a corrida morador aunsete,  nao foi possivel fotos devido área de risco,  passeio adjacente em obras responsabilidade do cliente te </t>
  </si>
  <si>
    <t>24/04/2026 08:40</t>
  </si>
  <si>
    <t>ANT. 515</t>
  </si>
  <si>
    <t xml:space="preserve">passeio em obras responsabilidade do cliente </t>
  </si>
  <si>
    <t>24/04/2026 15:53</t>
  </si>
  <si>
    <t>JD KIDA</t>
  </si>
  <si>
    <t>24/04/2026 09:22</t>
  </si>
  <si>
    <t xml:space="preserve"> RUA ANTONIO AVELINO NEVES</t>
  </si>
  <si>
    <t>24/04/2026 08:45</t>
  </si>
  <si>
    <t xml:space="preserve"> RUA SANTO EUGENIO</t>
  </si>
  <si>
    <t>24/04/2026 10:45</t>
  </si>
  <si>
    <t>COM- 02</t>
  </si>
  <si>
    <t>foto da execucao na O.S 2617152480</t>
  </si>
  <si>
    <t xml:space="preserve"> RUA JOSE LAZARO ZANETTI</t>
  </si>
  <si>
    <t>ANT. 217</t>
  </si>
  <si>
    <t xml:space="preserve">1-Nao foi possivel sequencias de fotos correta devido obras no local,o vazamento nao é no pavimento é em local fechado
2-vazamento em local fechado,nao foi preciso sinalizaçao </t>
  </si>
  <si>
    <t>24/04/2026 17:13</t>
  </si>
  <si>
    <t>C/01</t>
  </si>
  <si>
    <t xml:space="preserve"> RUA SOLDADO DANIEL RODRIGUES DOS SANTOS</t>
  </si>
  <si>
    <t>ANT. 4082</t>
  </si>
  <si>
    <t>fotos dessa os estão na os de vazamento de água no passeio 2691368752</t>
  </si>
  <si>
    <t>24/04/2026 12:35</t>
  </si>
  <si>
    <t>fotos dessa os estão na os de vazamento de água no passeio 1691368752</t>
  </si>
  <si>
    <t>24/04/2026 12:31</t>
  </si>
  <si>
    <t>24/04/2026 13:09</t>
  </si>
  <si>
    <t xml:space="preserve"> RUA MACHADO DE ASSIS</t>
  </si>
  <si>
    <t>24/04/2026 13:12</t>
  </si>
  <si>
    <t>26/04/2026 13:50</t>
  </si>
  <si>
    <t>26/04/2026 13:57</t>
  </si>
  <si>
    <t>26/04/2026 14:31</t>
  </si>
  <si>
    <t>26/04/2026 14:52</t>
  </si>
  <si>
    <t>srm fotos os aberta apos execucao do servico</t>
  </si>
  <si>
    <t>26/04/2026 14:45</t>
  </si>
  <si>
    <t>ANT. 164</t>
  </si>
  <si>
    <t>26/04/2026 15:01</t>
  </si>
  <si>
    <t xml:space="preserve"> RUA ANTONIO ALEXANDRE DE ARAUJO</t>
  </si>
  <si>
    <t>ANT. 1 C/1</t>
  </si>
  <si>
    <t>JD ROSANA</t>
  </si>
  <si>
    <t xml:space="preserve">sem foto da lona e do batedor devido que nao foi preciso quebrar o passeio. sem foto da sinalizacao devido que nao deu para parar o caminhao no local.  </t>
  </si>
  <si>
    <t>25/04/2026</t>
  </si>
  <si>
    <t>25/04/2026 13:44</t>
  </si>
  <si>
    <t xml:space="preserve"> RUA SEBASTIAO DOS SANTOS</t>
  </si>
  <si>
    <t>foto da execucao na O.S 2614198020</t>
  </si>
  <si>
    <t>25/04/2026 12:59</t>
  </si>
  <si>
    <t>NÃO FOI POSSSIVEL VISUALIZAR O MANOMETRO E EQUIPAMENTO DANIFICADO</t>
  </si>
  <si>
    <t>25/04/2026 12:49</t>
  </si>
  <si>
    <t>fotp da execucao na O.S 2614198020</t>
  </si>
  <si>
    <t>25/04/2026 12:53</t>
  </si>
  <si>
    <t>IND1ANT43</t>
  </si>
  <si>
    <t xml:space="preserve">nao bater dcp devido rede rasa </t>
  </si>
  <si>
    <t>25/04/2026 12:42</t>
  </si>
  <si>
    <t>ANT. 1 C/3</t>
  </si>
  <si>
    <t>foto da execucao na O.S 2616850733</t>
  </si>
  <si>
    <t>25/04/2026 13:49</t>
  </si>
  <si>
    <t>ANT. 1 C/2</t>
  </si>
  <si>
    <t>25/04/2026 13:46</t>
  </si>
  <si>
    <t xml:space="preserve">sem foto da lona e do batedor devido que nao preciso quebra o passeio. sem foto da sinalizacao de que nao deu para parar o caminho no local . sem foto do numero do hidro da casa 1. devido que esta apagado.  </t>
  </si>
  <si>
    <t>25/04/2026 14:42</t>
  </si>
  <si>
    <t>foto da execucao na O.S 2616899097</t>
  </si>
  <si>
    <t>25/04/2026 14:46</t>
  </si>
  <si>
    <t>25/04/2026 14:44</t>
  </si>
  <si>
    <t>trata se de ligacao com aproveitamento de ramal. fotos da execucao foi enviadas via whattsapp</t>
  </si>
  <si>
    <t>26/04/2026 15:56</t>
  </si>
  <si>
    <t>24/04/2026 11:28</t>
  </si>
  <si>
    <t>24/04/2026 11:31</t>
  </si>
  <si>
    <t xml:space="preserve"> RUA JOSE DA LUZ</t>
  </si>
  <si>
    <t>ANT. 44</t>
  </si>
  <si>
    <t>fptos na os anterior</t>
  </si>
  <si>
    <t>24/04/2026 17:00</t>
  </si>
  <si>
    <t>ANT 39 D</t>
  </si>
  <si>
    <t>25/04/2026 12:08</t>
  </si>
  <si>
    <t>ANT.30 A</t>
  </si>
  <si>
    <t>25/04/2026 12:29</t>
  </si>
  <si>
    <t>SITIO CABUCU</t>
  </si>
  <si>
    <t>25/04/2026 14:05</t>
  </si>
  <si>
    <t xml:space="preserve"> RUA LUIZ MOREIRA</t>
  </si>
  <si>
    <t>25/04/2026 08:59</t>
  </si>
  <si>
    <t xml:space="preserve"> RUA ALABAMA</t>
  </si>
  <si>
    <t>ANT. 234</t>
  </si>
  <si>
    <t>JD ALMEIDA PRADO</t>
  </si>
  <si>
    <t>25/04/2026 09:20</t>
  </si>
  <si>
    <t>ANT. 43</t>
  </si>
  <si>
    <t>25/04/2026 09:02</t>
  </si>
  <si>
    <t xml:space="preserve"> RUA ANTON PHILIPS</t>
  </si>
  <si>
    <t>25/04/2026 09:36</t>
  </si>
  <si>
    <t>sem foto erro de planejamento</t>
  </si>
  <si>
    <t>25/04/2026 08:45</t>
  </si>
  <si>
    <t>25/04/2026 12:39</t>
  </si>
  <si>
    <t>25/04/2026 08:15</t>
  </si>
  <si>
    <t xml:space="preserve">trocado ramal de agua ate o pé do cavalete,  nao foi possivel fotos devido área de risco,  rua em obras responsabilidade da prefeitura </t>
  </si>
  <si>
    <t>25/04/2026 14:08</t>
  </si>
  <si>
    <t xml:space="preserve"> RUA GERALDO PEREIRA DOS SANTOS</t>
  </si>
  <si>
    <t>ANT. 113</t>
  </si>
  <si>
    <t>25/04/2026 11:57</t>
  </si>
  <si>
    <t xml:space="preserve"> RUA SANTO ANDRE</t>
  </si>
  <si>
    <t>ANT26C/1</t>
  </si>
  <si>
    <t>25/04/2026 16:57</t>
  </si>
  <si>
    <t xml:space="preserve"> RUA AGUAS VERMELHAS</t>
  </si>
  <si>
    <t>ANT-70</t>
  </si>
  <si>
    <t>25/04/2026 16:44</t>
  </si>
  <si>
    <t xml:space="preserve"> RUA VINTE E UM</t>
  </si>
  <si>
    <t>semfoto dwvido oss abertadepous daexecusa</t>
  </si>
  <si>
    <t>25/04/2026 15:36</t>
  </si>
  <si>
    <t xml:space="preserve"> RUA DOMINGOS MAGNO</t>
  </si>
  <si>
    <t xml:space="preserve"> executado uma sondagem rede passei au posto profudidade 120 rede 150 seramica repusicao broquete executado 01 por 01
FOTOS OS PRINCIPAL</t>
  </si>
  <si>
    <t>25/04/2026 07:02</t>
  </si>
  <si>
    <t>GILVAN FERREIRA DOS SANTOS</t>
  </si>
  <si>
    <t xml:space="preserve"> RUA LEA</t>
  </si>
  <si>
    <t>ANT. 30A</t>
  </si>
  <si>
    <t>26/04/2026 12:14</t>
  </si>
  <si>
    <t xml:space="preserve"> RUA PANAIR</t>
  </si>
  <si>
    <t xml:space="preserve">anexos faltando devido , erro de sincronização.   restante via wattsap </t>
  </si>
  <si>
    <t>26/04/2026 13:52</t>
  </si>
  <si>
    <t xml:space="preserve"> RUA OURO VERDE</t>
  </si>
  <si>
    <t>ANT 132</t>
  </si>
  <si>
    <t>26/04/2026 11:29</t>
  </si>
  <si>
    <t xml:space="preserve"> AVENIDA FAUSTINO RAMALHO</t>
  </si>
  <si>
    <t>ANT.676</t>
  </si>
  <si>
    <t xml:space="preserve">área de risco nao foi possivel fotos , feita supressão em ramal desativado </t>
  </si>
  <si>
    <t>26/04/2026 13:00</t>
  </si>
  <si>
    <t xml:space="preserve"> RUA DONA OLGA</t>
  </si>
  <si>
    <t>ANT. 429</t>
  </si>
  <si>
    <t>26/04/2026 10:07</t>
  </si>
  <si>
    <t>ANT 658</t>
  </si>
  <si>
    <t>26/04/2026 13:58</t>
  </si>
  <si>
    <t xml:space="preserve"> RUA RONALDO</t>
  </si>
  <si>
    <t>foto da execucao na O.S 2617141668</t>
  </si>
  <si>
    <t>26/04/2026 15:50</t>
  </si>
  <si>
    <t xml:space="preserve"> RUA BRAS CUBAS</t>
  </si>
  <si>
    <t>ANT. 111</t>
  </si>
  <si>
    <t>V LANZARA</t>
  </si>
  <si>
    <t>26/04/2026 13:29</t>
  </si>
  <si>
    <t xml:space="preserve"> RUA FATIMA DO SUL</t>
  </si>
  <si>
    <t>ANT.Nº-95</t>
  </si>
  <si>
    <t>26/04/2026 10:36</t>
  </si>
  <si>
    <t>Ao lado 13</t>
  </si>
  <si>
    <t xml:space="preserve">baixando sem fotos devido escuridão,  fotos via wattsap encarregado e programação ciente </t>
  </si>
  <si>
    <t>26/04/2026 19:11</t>
  </si>
  <si>
    <t xml:space="preserve"> RUA GEREMIAS JOAQUIM PEREIRA</t>
  </si>
  <si>
    <t>27/04/2026</t>
  </si>
  <si>
    <t>27/04/2026 09:37</t>
  </si>
  <si>
    <t xml:space="preserve"> RUA JACOMO JACOBUCCI</t>
  </si>
  <si>
    <t>ANT 12 B</t>
  </si>
  <si>
    <t>JD RIZZO</t>
  </si>
  <si>
    <t>27/04/2026 09:20</t>
  </si>
  <si>
    <t>27/04/2026 09:27</t>
  </si>
  <si>
    <t>27/04/2026 09:17</t>
  </si>
  <si>
    <t>ANTIGTON77</t>
  </si>
  <si>
    <t xml:space="preserve">não foi possível sequencia de fotos corretas e poço cheio e  serviço executado dentro do canteiro da integra tiete  equipe fará o aterro e compactação e asfalto da vala </t>
  </si>
  <si>
    <t>27/04/2026 16:18</t>
  </si>
  <si>
    <t xml:space="preserve"> RUA GILBERTO FREIRE</t>
  </si>
  <si>
    <t>REPARO DE VALVULA REDE AGUA NÃO VISIVEL</t>
  </si>
  <si>
    <t>27/04/2026 11:15</t>
  </si>
  <si>
    <t>CASA  04</t>
  </si>
  <si>
    <t xml:space="preserve">não tem reposição obra do esgoto no local não tem teste de  pompastacao e na vala do esgoto </t>
  </si>
  <si>
    <t>27/04/2026 14:21</t>
  </si>
  <si>
    <t xml:space="preserve">às fotos foram tiradas na outra os número 2617524246 não tem reposição obra do esgoto no local </t>
  </si>
  <si>
    <t>27/04/2026 14:29</t>
  </si>
  <si>
    <t>ANTIGO 34</t>
  </si>
  <si>
    <t>1-As fotos estao na OS principal
2-Nao foi possivel sequencias de foto correta,devido obras no local
3-Nao foi colocado asfalto frio e nem freza pq a rua sera frezada e asfaltada amanhã</t>
  </si>
  <si>
    <t>27/04/2026 14:31</t>
  </si>
  <si>
    <t>ANT 20 A</t>
  </si>
  <si>
    <t xml:space="preserve">1-Troca ate o passeio,cliente nao autorizou quebrar no pé
2-Nao foi possivel sequencias de fotos correta devido obras no local
3-As fotos da sinalizacao estao na OS 2617524683
4-nao foi colocado asfalto frio,pq a rua vai ser frezada e asfaltada amanhã </t>
  </si>
  <si>
    <t>27/04/2026 17:40</t>
  </si>
  <si>
    <t>ANT 51  F</t>
  </si>
  <si>
    <t>demais fotos estão no os números   85
executado na mesma vala</t>
  </si>
  <si>
    <t>27/04/2026 17:37</t>
  </si>
  <si>
    <t>ANT 41</t>
  </si>
  <si>
    <t xml:space="preserve">não coloquei tinta e asfalto frio a rua já tá raspada amanhã já vai recapia </t>
  </si>
  <si>
    <t>27/04/2026 15:53</t>
  </si>
  <si>
    <t>demais fotos da baixa vai estar no número  #95
no Os:2617523881</t>
  </si>
  <si>
    <t>27/04/2026 15:44</t>
  </si>
  <si>
    <t xml:space="preserve"> AVENIDA CARILAU CERRI</t>
  </si>
  <si>
    <t>JD DIVINOLANDIA</t>
  </si>
  <si>
    <t>passeio concreto duas valas ligacao + supressao na rede.</t>
  </si>
  <si>
    <t>27/04/2026 12:31</t>
  </si>
  <si>
    <t>27/04/2026 10:14</t>
  </si>
  <si>
    <t>27/04/2026 10:17</t>
  </si>
  <si>
    <t>ANT21</t>
  </si>
  <si>
    <t xml:space="preserve">ramal na mesma direcao  somente trocado o ramal </t>
  </si>
  <si>
    <t>27/04/2026 16:04</t>
  </si>
  <si>
    <t xml:space="preserve">executado um aproveitamento .o ramal ja estava regularizado anteriormente . </t>
  </si>
  <si>
    <t>27/04/2026 17:51</t>
  </si>
  <si>
    <t xml:space="preserve"> RUA VEGA</t>
  </si>
  <si>
    <t>27/04/2026 16:14</t>
  </si>
  <si>
    <t xml:space="preserve"> RUA ANTONIO CARLOS</t>
  </si>
  <si>
    <t>ANT30A C/1</t>
  </si>
  <si>
    <t>sem foto Da sinalização motivo rua sem acesso ao caminhão</t>
  </si>
  <si>
    <t>27/04/2026 10:13</t>
  </si>
  <si>
    <t>ANT30A C/2</t>
  </si>
  <si>
    <t>27/04/2026 10:00</t>
  </si>
  <si>
    <t>CASA 05</t>
  </si>
  <si>
    <t>fotos na OS 2617109700</t>
  </si>
  <si>
    <t>27/04/2026 12:15</t>
  </si>
  <si>
    <t>CASA 06</t>
  </si>
  <si>
    <t>27/04/2026 12:20</t>
  </si>
  <si>
    <t>27/04/2026 12:19</t>
  </si>
  <si>
    <t>27/04/2026 12:17</t>
  </si>
  <si>
    <t>27/04/2026 16:10</t>
  </si>
  <si>
    <t xml:space="preserve"> RUA DOZE DE MAIO</t>
  </si>
  <si>
    <t>27/04/2026 14:45</t>
  </si>
  <si>
    <t xml:space="preserve"> AVENIDA FRANCISCO CONDE</t>
  </si>
  <si>
    <t>ANT 220</t>
  </si>
  <si>
    <t>27/04/2026 15:35</t>
  </si>
  <si>
    <t xml:space="preserve"> RUA PROFESSOR CANDIDO LEMOS RAMOS</t>
  </si>
  <si>
    <t>ANT. 36</t>
  </si>
  <si>
    <t>V ESTHER</t>
  </si>
  <si>
    <t xml:space="preserve"> yygyÿyyyv77yygyyygygyyyvyy7y7yg77yyy7yyyyyyyygy7yyyyygÿyvyyyy. ggv vg v7v</t>
  </si>
  <si>
    <t>27/04/2026 12:12</t>
  </si>
  <si>
    <t xml:space="preserve"> RUA ABELARDO ABRUNHOSA</t>
  </si>
  <si>
    <t>27/04/2026 11:52</t>
  </si>
  <si>
    <t xml:space="preserve"> VIELA SIMONE COSTA</t>
  </si>
  <si>
    <t>ANT9C/2</t>
  </si>
  <si>
    <t xml:space="preserve">sem fotos área de risco </t>
  </si>
  <si>
    <t>27/04/2026 13:06</t>
  </si>
  <si>
    <t xml:space="preserve"> RUA GUARANI</t>
  </si>
  <si>
    <t>ANT. 351</t>
  </si>
  <si>
    <t>27/04/2026 11:58</t>
  </si>
  <si>
    <t xml:space="preserve">às fotos foram tiradas na outra os 267524246 não tem reposição obra do esgoto no local </t>
  </si>
  <si>
    <t>27/04/2026 14:26</t>
  </si>
  <si>
    <t xml:space="preserve"> RUA JORDANO BAZANA</t>
  </si>
  <si>
    <t>ANTIGO C/1</t>
  </si>
  <si>
    <t xml:space="preserve">foto da execucao via whattsapp </t>
  </si>
  <si>
    <t>27/04/2026 16:50</t>
  </si>
  <si>
    <t>foto enviadas via Whattsapp</t>
  </si>
  <si>
    <t>27/04/2026 16:54</t>
  </si>
  <si>
    <t xml:space="preserve">fotos enviadas via whattsapp </t>
  </si>
  <si>
    <t>27/04/2026 16:42</t>
  </si>
  <si>
    <t xml:space="preserve"> RUA PARTICULAR DOIS</t>
  </si>
  <si>
    <t>sem fotos área de risco</t>
  </si>
  <si>
    <t>27/04/2026 16:46</t>
  </si>
  <si>
    <t>obs nao foi colocado asfalto provisorio motivo vala muito grande
5por10</t>
  </si>
  <si>
    <t>27/04/2026 17:33</t>
  </si>
  <si>
    <t xml:space="preserve"> RUA ALVARENGA PEIXOTO</t>
  </si>
  <si>
    <t xml:space="preserve">baixando sem fotos devido área de risco , programação ciente . sem Reposição </t>
  </si>
  <si>
    <t>27/04/2026 17:49</t>
  </si>
  <si>
    <t>RECOLOCADO CAP NA REDE AGUA NÃO VISIVEL</t>
  </si>
  <si>
    <t>27/04/2026 19:19</t>
  </si>
  <si>
    <t xml:space="preserve"> RUA MARIA ANTONIETA</t>
  </si>
  <si>
    <t>ANT5 C/1</t>
  </si>
  <si>
    <t>27/04/2026 16:24</t>
  </si>
  <si>
    <t>ANT. 525</t>
  </si>
  <si>
    <t>27/04/2026 15:34</t>
  </si>
  <si>
    <t xml:space="preserve"> RUA SOLDADO ABILIO FERNANDES DOS SANTOS</t>
  </si>
  <si>
    <t>fotos dessa os estão na os de vazamento de água não visível em rede 2617536782</t>
  </si>
  <si>
    <t>27/04/2026 13:03</t>
  </si>
  <si>
    <t xml:space="preserve">FOTOS NA BAIXA DO VAZAMENTO </t>
  </si>
  <si>
    <t>27/04/2026 08:45</t>
  </si>
  <si>
    <t>COM1ANT199</t>
  </si>
  <si>
    <t>serviço executado no número 195 fotos dessa os estão na os de vazamento de água no leito pavimentado 2617536782</t>
  </si>
  <si>
    <t>27/04/2026 16:33</t>
  </si>
  <si>
    <t>ANT-31</t>
  </si>
  <si>
    <t xml:space="preserve">troca de ramal de agua preventiva </t>
  </si>
  <si>
    <t>27/04/2026 18:02</t>
  </si>
  <si>
    <t>sem porque o servico foi aberto depois do executado</t>
  </si>
  <si>
    <t>27/04/2026 15:26</t>
  </si>
  <si>
    <t>fotos tiradas após execução do serv</t>
  </si>
  <si>
    <t>27/04/2026 16:57</t>
  </si>
  <si>
    <t>27/04/2026 15:30</t>
  </si>
  <si>
    <t xml:space="preserve"> RUA JOAO BERTELLI</t>
  </si>
  <si>
    <t>27/04/2026 17:25</t>
  </si>
  <si>
    <t>27/04/2026 17:46</t>
  </si>
  <si>
    <t>sem foto porque o servico foi aberto depois de executado</t>
  </si>
  <si>
    <t>27/04/2026 18:01</t>
  </si>
  <si>
    <t xml:space="preserve">fotos na os anterior </t>
  </si>
  <si>
    <t>27/04/2026 16:47</t>
  </si>
  <si>
    <t xml:space="preserve"> RUA SAO MIGUEL DO IGUACU</t>
  </si>
  <si>
    <t>JD SAO JUDAS TADEU</t>
  </si>
  <si>
    <t>28/04/2026</t>
  </si>
  <si>
    <t>28/04/2026 11:40</t>
  </si>
  <si>
    <t xml:space="preserve"> RUA VILA LOBOS</t>
  </si>
  <si>
    <t>28/04/2026 15:51</t>
  </si>
  <si>
    <t>C/1ANT35</t>
  </si>
  <si>
    <t xml:space="preserve">não tem asfalto frio obra do esgoto no local </t>
  </si>
  <si>
    <t>28/04/2026 11:17</t>
  </si>
  <si>
    <t xml:space="preserve">nao foi possivel fotos devido área de risco,  troca do ramal de agua ate o pé do cavalete , local em obras sem pavimento </t>
  </si>
  <si>
    <t>28/04/2026 10:00</t>
  </si>
  <si>
    <t xml:space="preserve"> RUA MATURI</t>
  </si>
  <si>
    <t>C/1ANT8A</t>
  </si>
  <si>
    <t xml:space="preserve"> RUA ILHA DAS FLORES</t>
  </si>
  <si>
    <t>C/1ANT50</t>
  </si>
  <si>
    <t>28/04/2026 10:02</t>
  </si>
  <si>
    <t xml:space="preserve"> AVENIDA BOM CLIMA</t>
  </si>
  <si>
    <t>COMÉRCIO 1</t>
  </si>
  <si>
    <t>28/04/2026 13:30</t>
  </si>
  <si>
    <t xml:space="preserve"> RUA PRINCESA IZABEL</t>
  </si>
  <si>
    <t>ANT 467</t>
  </si>
  <si>
    <t>28/04/2026 10:55</t>
  </si>
  <si>
    <t xml:space="preserve"> RUA NOSSA SENHORA LOURDES</t>
  </si>
  <si>
    <t>Não foi possível concluir sequência de foto correto devido estreitamente no local</t>
  </si>
  <si>
    <t>28/04/2026 10:37</t>
  </si>
  <si>
    <t xml:space="preserve"> RUA PALMINOPOLIS</t>
  </si>
  <si>
    <t>ANT.62</t>
  </si>
  <si>
    <t>28/04/2026 12:19</t>
  </si>
  <si>
    <t xml:space="preserve"> RUA TAQUARITUBA</t>
  </si>
  <si>
    <t>C/1ANT8B</t>
  </si>
  <si>
    <t>28/04/2026 15:42</t>
  </si>
  <si>
    <t>ANT115ALTO</t>
  </si>
  <si>
    <t xml:space="preserve">os baixada sem foto devido a abertura da os </t>
  </si>
  <si>
    <t>28/04/2026 09:14</t>
  </si>
  <si>
    <t xml:space="preserve"> RUA DONA MARIA DOS ANJOS PIRES</t>
  </si>
  <si>
    <t>foto da execucao na O.S 2617186942</t>
  </si>
  <si>
    <t>28/04/2026 14:40</t>
  </si>
  <si>
    <t>B C/1</t>
  </si>
  <si>
    <t>V MUNHOZ</t>
  </si>
  <si>
    <t xml:space="preserve">sem asfalto frio no canteiro no momento </t>
  </si>
  <si>
    <t>28/04/2026 14:24</t>
  </si>
  <si>
    <t xml:space="preserve"> RUA SALDANHA MARINHO</t>
  </si>
  <si>
    <t>foto da execucao na O.S 26172993759</t>
  </si>
  <si>
    <t>28/04/2026 15:14</t>
  </si>
  <si>
    <t xml:space="preserve">sem foto da sinanalizacao devido que nao deu para parar o caminhao no local. sem foto da lona devido que nao preciso quebrar o passeio em obra  </t>
  </si>
  <si>
    <t>28/04/2026 15:15</t>
  </si>
  <si>
    <t xml:space="preserve"> RUA JOAO ARTONI</t>
  </si>
  <si>
    <t xml:space="preserve">executado uma troca de ramal .o ferrolho da ligacao estava ma mesma direcao da caixa uma . </t>
  </si>
  <si>
    <t>28/04/2026 14:02</t>
  </si>
  <si>
    <t>28/04/2026 14:10</t>
  </si>
  <si>
    <t xml:space="preserve"> RUA SANTA CECILIA PAVAO</t>
  </si>
  <si>
    <t>obs : esse serviço é a casa 1 da residencia . por favor corrigir  na os .   algumas fotos do hidro talves esteja ruim pra visualizar devido ao local escuro.</t>
  </si>
  <si>
    <t>28/04/2026 18:40</t>
  </si>
  <si>
    <t>28/04/2026 18:20</t>
  </si>
  <si>
    <t>28/04/2026 18:18</t>
  </si>
  <si>
    <t>28/04/2026 18:16</t>
  </si>
  <si>
    <t>28/04/2026 18:13</t>
  </si>
  <si>
    <t>28/04/2026 14:17</t>
  </si>
  <si>
    <t>28/04/2026 14:13</t>
  </si>
  <si>
    <t xml:space="preserve"> RUA ASTEROIDE</t>
  </si>
  <si>
    <t xml:space="preserve">fotos do requadrameto vai sre via whats </t>
  </si>
  <si>
    <t>28/04/2026 18:03</t>
  </si>
  <si>
    <t>TROCAR VÁLVULA DE REDE DE ÁGUA</t>
  </si>
  <si>
    <t>ANT. 719</t>
  </si>
  <si>
    <t>TROCA DE VALVULA DE REDE DE AGUA</t>
  </si>
  <si>
    <t>28/04/2026 14:36</t>
  </si>
  <si>
    <t>ANTGNº4CA/</t>
  </si>
  <si>
    <t>os baixada sem foto devido a demora da abertura da os
foi usado 1 metro de tubo de esgoto de 150</t>
  </si>
  <si>
    <t>28/04/2026 16:30</t>
  </si>
  <si>
    <t>BC/1</t>
  </si>
  <si>
    <t>devido obra do entrega no local não foi possível tirar sequência de foto correta foi usado 2 tripartida de 75</t>
  </si>
  <si>
    <t>28/04/2026 15:07</t>
  </si>
  <si>
    <t>executado troca de graxeta</t>
  </si>
  <si>
    <t>28/04/2026 12:46</t>
  </si>
  <si>
    <t xml:space="preserve"> RUA CONCHETA DE MAURO</t>
  </si>
  <si>
    <t>ANT.25</t>
  </si>
  <si>
    <t xml:space="preserve">não foi possível sequencia corretas de fotos devido chuva constante no local
não tem reposição de pavimentado obra  no local permissionara sabesp no local </t>
  </si>
  <si>
    <t>28/04/2026 19:29</t>
  </si>
  <si>
    <t xml:space="preserve"> RUA JAPARAIBA</t>
  </si>
  <si>
    <t>ANT. 61</t>
  </si>
  <si>
    <t>28/04/2026 15:35</t>
  </si>
  <si>
    <t xml:space="preserve"> RUA VICENTE DE MORAES</t>
  </si>
  <si>
    <t>ANT 3B</t>
  </si>
  <si>
    <t>28/04/2026 11:15</t>
  </si>
  <si>
    <t xml:space="preserve"> RUA MINEIRA</t>
  </si>
  <si>
    <t>fotos dessa os estão na os de vazamento de água no passeio 2691701970</t>
  </si>
  <si>
    <t>28/04/2026 12:10</t>
  </si>
  <si>
    <t xml:space="preserve"> RUA DEZESSEIS</t>
  </si>
  <si>
    <t>C/2.</t>
  </si>
  <si>
    <t>foi realizado sondagem porém água vindo pelo furo da rede de perd de  90mm.</t>
  </si>
  <si>
    <t>28/04/2026 12:16</t>
  </si>
  <si>
    <t xml:space="preserve">Não foi possível concluir se a coisa de foto correta não colocamos assofio porque a empresa está em falta </t>
  </si>
  <si>
    <t>ANTIG 46</t>
  </si>
  <si>
    <t>28/04/2026 15:59</t>
  </si>
  <si>
    <t xml:space="preserve"> RUA GARAUMA</t>
  </si>
  <si>
    <t>28/04/2026 15:03</t>
  </si>
  <si>
    <t xml:space="preserve"> RUA MARIA APARECIDA</t>
  </si>
  <si>
    <t>C/1ANT11</t>
  </si>
  <si>
    <t>verificado local  porem nada consta esta  saindo uma agua em cano de agua fluvias do clinte  porem orintei cham predwiro para verifica para ela</t>
  </si>
  <si>
    <t>28/04/2026 15:55</t>
  </si>
  <si>
    <t xml:space="preserve"> RUA EVARISTO RODRIGUES DE ARRUDA</t>
  </si>
  <si>
    <t>28/04/2026 16:58</t>
  </si>
  <si>
    <t xml:space="preserve"> RUA GERALDO JOSE DE MOURA</t>
  </si>
  <si>
    <t>observação fotos do serviço estão na OS 2617599733</t>
  </si>
  <si>
    <t>29/04/2026</t>
  </si>
  <si>
    <t>29/04/2026 07:40</t>
  </si>
  <si>
    <t>29/04/2026 07:44</t>
  </si>
  <si>
    <t xml:space="preserve"> RUA MODERNA</t>
  </si>
  <si>
    <t>ANT. 256</t>
  </si>
  <si>
    <t>29/04/2026 13:11</t>
  </si>
  <si>
    <t>29/04/2026 14:00</t>
  </si>
  <si>
    <t xml:space="preserve"> RUA SAO SEPE</t>
  </si>
  <si>
    <t>impossivel tirar as fotos , serviço em area de risco , viela com boca de fumo no local do serviço</t>
  </si>
  <si>
    <t>29/04/2026 09:30</t>
  </si>
  <si>
    <t>29/04/2026 16:36</t>
  </si>
  <si>
    <t>ANT31AC/1</t>
  </si>
  <si>
    <t>29/04/2026 14:32</t>
  </si>
  <si>
    <t xml:space="preserve"> RUA SOLDADO FRANCISCO FRANCO</t>
  </si>
  <si>
    <t xml:space="preserve">compaquitação manual devido gas raso , interferência esgoto e gás </t>
  </si>
  <si>
    <t>29/04/2026 10:32</t>
  </si>
  <si>
    <t xml:space="preserve"> VIELA JUNHO</t>
  </si>
  <si>
    <t>29/04/2026 14:55</t>
  </si>
  <si>
    <t>foi executado um reparo na rede de agua nao visível
obs; as fotos esta na ficha 2617728475</t>
  </si>
  <si>
    <t>29/04/2026 15:04</t>
  </si>
  <si>
    <t xml:space="preserve">não tem reposição de p.a leito terra </t>
  </si>
  <si>
    <t>29/04/2026 16:00</t>
  </si>
  <si>
    <t>ANT. 27</t>
  </si>
  <si>
    <t>29/04/2026 10:22</t>
  </si>
  <si>
    <t xml:space="preserve">não tem reposição obra do esgoto no local </t>
  </si>
  <si>
    <t>29/04/2026 18:48</t>
  </si>
  <si>
    <t>ANT.  12 A</t>
  </si>
  <si>
    <t xml:space="preserve">não tem reposição obra do esgoto no </t>
  </si>
  <si>
    <t>29/04/2026 12:11</t>
  </si>
  <si>
    <t xml:space="preserve"> RUA DAS OLIVEIRAS</t>
  </si>
  <si>
    <t>29/04/2026 14:20</t>
  </si>
  <si>
    <t xml:space="preserve"> RUA ENDRES</t>
  </si>
  <si>
    <t>LIG PRINC</t>
  </si>
  <si>
    <t>29/04/2026 09:55</t>
  </si>
  <si>
    <t>PLACA DE HOMENS TRABALHANDO A 50M NO LUGAR INCORRETO</t>
  </si>
  <si>
    <t>NÃO FOI POSSIVEL IDENTIFICAR O BERÇO DENTRO DA VALA</t>
  </si>
  <si>
    <t xml:space="preserve"> RUA DIVINO DE LOURENCO</t>
  </si>
  <si>
    <t>29/04/2026 16:46</t>
  </si>
  <si>
    <t xml:space="preserve"> RUA FLOR DO LIRIO</t>
  </si>
  <si>
    <t>29/04/2026 14:40</t>
  </si>
  <si>
    <t>29/04/2026 11:33</t>
  </si>
  <si>
    <t>29/04/2026 11:04</t>
  </si>
  <si>
    <t xml:space="preserve"> RUA AMABILE SENTANIM</t>
  </si>
  <si>
    <t>29/04/2026 08:29</t>
  </si>
  <si>
    <t xml:space="preserve"> RUA MARIA GODINHO</t>
  </si>
  <si>
    <t>ANT. 1</t>
  </si>
  <si>
    <t>29/04/2026 10:50</t>
  </si>
  <si>
    <t xml:space="preserve"> RUA PAULO RAMOS DOS SANTOS</t>
  </si>
  <si>
    <t xml:space="preserve">sem foto do sapinho devido rede muito rasa.  nao bater  D.C.P.  devido rede rasa. passeio em obra </t>
  </si>
  <si>
    <t>29/04/2026 13:34</t>
  </si>
  <si>
    <t xml:space="preserve"> RUA ADIANOPOLIS</t>
  </si>
  <si>
    <t>29/04/2026 17:01</t>
  </si>
  <si>
    <t>29/04/2026 10:04</t>
  </si>
  <si>
    <t>29/04/2026 10:06</t>
  </si>
  <si>
    <t>29/04/2026 14:41</t>
  </si>
  <si>
    <t>29/04/2026 10:58</t>
  </si>
  <si>
    <t xml:space="preserve">ja estava na caixa uma </t>
  </si>
  <si>
    <t>29/04/2026 08:32</t>
  </si>
  <si>
    <t>29/04/2026 17:05</t>
  </si>
  <si>
    <t>V DAS MALVINAS</t>
  </si>
  <si>
    <t>29/04/2026 11:00</t>
  </si>
  <si>
    <t xml:space="preserve"> RUA INTERNA SETE</t>
  </si>
  <si>
    <t>obs rede com 48 centimetros.nao fazer bcp</t>
  </si>
  <si>
    <t>29/04/2026 15:22</t>
  </si>
  <si>
    <t xml:space="preserve"> RUA PROFESSORA ERNESTINA DEL BUONO TRAMA</t>
  </si>
  <si>
    <t>JD MARIA HELENA</t>
  </si>
  <si>
    <t>29/04/2026 10:25</t>
  </si>
  <si>
    <t xml:space="preserve"> TRAVESSA CIZANEA</t>
  </si>
  <si>
    <t>BC/2</t>
  </si>
  <si>
    <t>sem fotos área de.risco</t>
  </si>
  <si>
    <t>29/04/2026 14:33</t>
  </si>
  <si>
    <t>ANT 51</t>
  </si>
  <si>
    <t>Não foi possível concluir sequências de foto correto devido chuva intensa no local com a compreensão do fiscal André</t>
  </si>
  <si>
    <t>29/04/2026 17:02</t>
  </si>
  <si>
    <t>CASA-03</t>
  </si>
  <si>
    <t>29/04/2026 11:18</t>
  </si>
  <si>
    <t>ANT19BC/1</t>
  </si>
  <si>
    <t>sem fotos os aberta apos execucao do servico
vazamento executado na rua orlando biagi angu 30</t>
  </si>
  <si>
    <t>29/04/2026 15:58</t>
  </si>
  <si>
    <t>ANT. 69</t>
  </si>
  <si>
    <t>REPARO DE RAMAL DE AGUA NÃO VISIVEL</t>
  </si>
  <si>
    <t>29/04/2026 15:23</t>
  </si>
  <si>
    <t xml:space="preserve"> RUA NIVALDO ROMERO</t>
  </si>
  <si>
    <t>FATIMA</t>
  </si>
  <si>
    <t>fotos na os anterior feito as troca 219 e 213 ramal. A mesma vala</t>
  </si>
  <si>
    <t>29/04/2026 10:36</t>
  </si>
  <si>
    <t xml:space="preserve"> RUA CAETANO PICCARDI</t>
  </si>
  <si>
    <t>foi executado uma troca de ramal de agua preventiva.
P/ A terrao .</t>
  </si>
  <si>
    <t>29/04/2026 12:07</t>
  </si>
  <si>
    <t>fotos na os do n 219</t>
  </si>
  <si>
    <t>29/04/2026 14:39</t>
  </si>
  <si>
    <t xml:space="preserve"> RUA NELSON GONCALVES</t>
  </si>
  <si>
    <t xml:space="preserve">fotos via WhatsApp </t>
  </si>
  <si>
    <t>29/04/2026 15:11</t>
  </si>
  <si>
    <t>29/04/2026 11:09</t>
  </si>
  <si>
    <t xml:space="preserve"> RUA JOSE BONIFACIO</t>
  </si>
  <si>
    <t>29/04/2026 15:41</t>
  </si>
  <si>
    <t xml:space="preserve"> RUA MARTINS FONTES</t>
  </si>
  <si>
    <t>sem fotos os aberta apos execucao do servico
sem etapa de roposicao servico feito na vala de prolongamento de esgoto</t>
  </si>
  <si>
    <t>29/04/2026 15:10</t>
  </si>
  <si>
    <t>OS ABERTA POSTERIORMENTE A EXZECUÇÃO DO SERVIÇO</t>
  </si>
  <si>
    <t xml:space="preserve"> RUA BENEDITO CLIMERIO DE SANTANA</t>
  </si>
  <si>
    <t>VARZEA DO PALACIO</t>
  </si>
  <si>
    <t>29/04/2026 17:24</t>
  </si>
  <si>
    <t xml:space="preserve"> RUA SOLDADO EUGENIO ALVES DA SILVA</t>
  </si>
  <si>
    <t>ANT. 20</t>
  </si>
  <si>
    <t>JD IMPERADOR</t>
  </si>
  <si>
    <t xml:space="preserve">porém fotos tiradas na OS anterior </t>
  </si>
  <si>
    <t>29/04/2026 13:58</t>
  </si>
  <si>
    <t xml:space="preserve"> RUA CAETANO DE ANDREA</t>
  </si>
  <si>
    <t>ANT. 45</t>
  </si>
  <si>
    <t>29/04/2026 14:17</t>
  </si>
  <si>
    <t>29/04/2026 14:19</t>
  </si>
  <si>
    <t xml:space="preserve">nao foi possivel sequencia de fotos correta devido local de risco </t>
  </si>
  <si>
    <t>29/04/2026 16:33</t>
  </si>
  <si>
    <t xml:space="preserve"> RUA DIADEMA</t>
  </si>
  <si>
    <t>ANT.  25</t>
  </si>
  <si>
    <t>29/04/2026 16:40</t>
  </si>
  <si>
    <t>29/04/2026 16:28</t>
  </si>
  <si>
    <t>Não foi possível com polícia conhecer de foto devido a chuva intensa no local com o acompanhamento do fiscal André</t>
  </si>
  <si>
    <t>30/04/2026</t>
  </si>
  <si>
    <t>30/04/2026 09:03</t>
  </si>
  <si>
    <t>Não foi possível concluir sequências de foto devido à chuva intensa no local com acompanhamento do fiscal André</t>
  </si>
  <si>
    <t>30/04/2026 08:59</t>
  </si>
  <si>
    <t xml:space="preserve"> TRAVESSA DONA LUCIA HELENA</t>
  </si>
  <si>
    <t>ANT. 56</t>
  </si>
  <si>
    <t>30/04/2026 09:41</t>
  </si>
  <si>
    <t xml:space="preserve"> RUA JOSE SARRACENI</t>
  </si>
  <si>
    <t>vala vai ser aterrada por empleiteira vr demolidora</t>
  </si>
  <si>
    <t>30/04/2026 11:05</t>
  </si>
  <si>
    <t xml:space="preserve"> RUA LACTEA</t>
  </si>
  <si>
    <t>30/04/2026 08:30</t>
  </si>
  <si>
    <t>PQ DAS LARANJEIRAS</t>
  </si>
  <si>
    <t xml:space="preserve">sem fotos .O.S. aberta posteriormente </t>
  </si>
  <si>
    <t>30/04/2026 16:44</t>
  </si>
  <si>
    <t xml:space="preserve"> RUA FELIPE MARCONDES RUBIO</t>
  </si>
  <si>
    <t>foi reutilizado a mesma peça</t>
  </si>
  <si>
    <t>30/04/2026 12:24</t>
  </si>
  <si>
    <t xml:space="preserve">foi executado uma troca de ramal de agua preventiva. </t>
  </si>
  <si>
    <t>30/04/2026 10:55</t>
  </si>
  <si>
    <t xml:space="preserve"> RUA PROCOPIO FERREIRA</t>
  </si>
  <si>
    <t>CASA  01</t>
  </si>
  <si>
    <t xml:space="preserve">não foi possível concluir sequência de fotos correto porém o celular travou quando fui finalizar </t>
  </si>
  <si>
    <t>30/04/2026 16:20</t>
  </si>
  <si>
    <t xml:space="preserve"> RUA OSWALDO CRUZ</t>
  </si>
  <si>
    <t>30/04/2026 09:46</t>
  </si>
  <si>
    <t xml:space="preserve"> RUA JUIZ DE FORA</t>
  </si>
  <si>
    <t>30/04/2026 10:33</t>
  </si>
  <si>
    <t>30/04/2026 09:37</t>
  </si>
  <si>
    <t xml:space="preserve"> PRACA DONA ALZIRA DE OLIVEIRA FAUSTINO</t>
  </si>
  <si>
    <t>30/04/2026 18:37</t>
  </si>
  <si>
    <t xml:space="preserve"> RUA SAO TIAGO</t>
  </si>
  <si>
    <t>JD COCAIA</t>
  </si>
  <si>
    <t>30/04/2026 10:08</t>
  </si>
  <si>
    <t>fotos na OS 2617947553</t>
  </si>
  <si>
    <t>30/04/2026 10:09</t>
  </si>
  <si>
    <t xml:space="preserve"> RUA SAO BENEDITO</t>
  </si>
  <si>
    <t>JD DOS AFONSOS</t>
  </si>
  <si>
    <t xml:space="preserve">casa1 ja estava na caixa uma </t>
  </si>
  <si>
    <t>30/04/2026 09:29</t>
  </si>
  <si>
    <t>30/04/2026 09:19</t>
  </si>
  <si>
    <t>30/04/2026 10:49</t>
  </si>
  <si>
    <t>30/04/2026 13:31</t>
  </si>
  <si>
    <t>executado uma nova ligacao  fotos na os 2614608413</t>
  </si>
  <si>
    <t>30/04/2026 17:11</t>
  </si>
  <si>
    <t xml:space="preserve"> RUA FLUMINENSE</t>
  </si>
  <si>
    <t>30/04/2026 09:27</t>
  </si>
  <si>
    <t xml:space="preserve"> RUA COMENDADOR GOMES</t>
  </si>
  <si>
    <t>30/04/2026 13:19</t>
  </si>
  <si>
    <t>foto da execucao na O.S 2617353966</t>
  </si>
  <si>
    <t>30/04/2026 13:24</t>
  </si>
  <si>
    <t>casa b C/1</t>
  </si>
  <si>
    <t>fotos na os 2617306556</t>
  </si>
  <si>
    <t>30/04/2026 14:23</t>
  </si>
  <si>
    <t>casa b C/2</t>
  </si>
  <si>
    <t>30/04/2026 14:18</t>
  </si>
  <si>
    <t xml:space="preserve">reposicao terra </t>
  </si>
  <si>
    <t>30/04/2026 14:14</t>
  </si>
  <si>
    <t>feiti aprovetamento de ramal.fotos inconpletas obras no local</t>
  </si>
  <si>
    <t>30/04/2026 15:47</t>
  </si>
  <si>
    <t>30/04/2026 15:34</t>
  </si>
  <si>
    <t xml:space="preserve"> RUA BARTOLOMEU BUENO DA SILVA</t>
  </si>
  <si>
    <t>ESPLAN DAS BANDEIRAS</t>
  </si>
  <si>
    <t xml:space="preserve"> RUA MATO GROSSO</t>
  </si>
  <si>
    <t>1-O numero do chamado foi 264,mas o vazamento tava na outra rua numero 75</t>
  </si>
  <si>
    <t>30/04/2026 13:49</t>
  </si>
  <si>
    <t>CASA 4</t>
  </si>
  <si>
    <t>30/04/2026 11:39</t>
  </si>
  <si>
    <t xml:space="preserve"> RUA DOS CUBAS</t>
  </si>
  <si>
    <t>C/2ANT19</t>
  </si>
  <si>
    <t>30/04/2026 10:52</t>
  </si>
  <si>
    <t>ANT 1145</t>
  </si>
  <si>
    <t>30/04/2026 12:33</t>
  </si>
  <si>
    <t xml:space="preserve"> RUA LUIZ FACCINI</t>
  </si>
  <si>
    <t>30/04/2026 13:22</t>
  </si>
  <si>
    <t>Não foi possível concluir a conhecer de foto correto devido à área de risco</t>
  </si>
  <si>
    <t>30/04/2026 12:26</t>
  </si>
  <si>
    <t>30/04/2026 12:05</t>
  </si>
  <si>
    <t xml:space="preserve"> RUA IRMA DULCE</t>
  </si>
  <si>
    <t xml:space="preserve">baixando sem foto devido ser prioridade sabesp,  </t>
  </si>
  <si>
    <t>30/04/2026 19:38</t>
  </si>
  <si>
    <t xml:space="preserve"> RUA PIRAI DO SUL</t>
  </si>
  <si>
    <t>30/04/2026 15:38</t>
  </si>
  <si>
    <t xml:space="preserve"> RUA SOLDADO JOSE LEITE DA SILVA</t>
  </si>
  <si>
    <t>30/04/2026 16:09</t>
  </si>
  <si>
    <t>30/04/2026 16:04</t>
  </si>
  <si>
    <t>ANT. 168</t>
  </si>
  <si>
    <t>30/04/2026 16:35</t>
  </si>
  <si>
    <t xml:space="preserve"> RUA VEREADOR ALFREDO PAIVA</t>
  </si>
  <si>
    <t>porém fotos tiradas na OS</t>
  </si>
  <si>
    <t>30/04/2026 12:39</t>
  </si>
  <si>
    <t xml:space="preserve">não tem reposição obra no local </t>
  </si>
  <si>
    <t>30/04/2026 11:41</t>
  </si>
  <si>
    <t>fotos dessa os estão na os de vazamento de água não visível em rede 2618068402</t>
  </si>
  <si>
    <t>30/04/2026 13:53</t>
  </si>
  <si>
    <t xml:space="preserve"> RUA JOSE MARQUES PRATA</t>
  </si>
  <si>
    <t xml:space="preserve">foi executado uma sondagem </t>
  </si>
  <si>
    <t>30/04/2026 15:22</t>
  </si>
  <si>
    <t xml:space="preserve"> RUA HAITI</t>
  </si>
  <si>
    <t>ANT 13</t>
  </si>
  <si>
    <t>JD SCYNTILA</t>
  </si>
  <si>
    <t xml:space="preserve">anexos faltando devido,  escuro restante das fotos via wattsap </t>
  </si>
  <si>
    <t>30/04/2026 19:35</t>
  </si>
  <si>
    <t>ANT. 265</t>
  </si>
  <si>
    <t>troca de ramal feita,porém ficou suprimido na calçada.cliente ausente ...precisa fazer o pé do cavalete</t>
  </si>
  <si>
    <t>30/04/2026 15:45</t>
  </si>
  <si>
    <t>30/04/2026 15:18</t>
  </si>
  <si>
    <t>ETAPAS DE SERVIÇO - EQUIPES</t>
  </si>
  <si>
    <t>ETAPAS</t>
  </si>
  <si>
    <t xml:space="preserve">SEM FOTO </t>
  </si>
  <si>
    <t>Equipe</t>
  </si>
  <si>
    <t>Observação Escoramento</t>
  </si>
  <si>
    <t>FINALIZADO</t>
  </si>
  <si>
    <t xml:space="preserve">Observação Finalizado </t>
  </si>
  <si>
    <t>SEQUÊNCIA DE FOTOS</t>
  </si>
  <si>
    <t/>
  </si>
  <si>
    <t xml:space="preserve"> RUA ENGENHEIRO ALBERT LEIMER</t>
  </si>
  <si>
    <t>TROCA DE RAMAL DE ESGOTO</t>
  </si>
  <si>
    <t>JOAO RIBEIRO PEREIRA</t>
  </si>
  <si>
    <t xml:space="preserve"> RUA CORINA</t>
  </si>
  <si>
    <t>ANT.N°-36</t>
  </si>
  <si>
    <t>NIVELADO POÇO DE VISITA</t>
  </si>
  <si>
    <t>ANDRE PEREIRA DE FREITAS</t>
  </si>
  <si>
    <t>ANT. 76</t>
  </si>
  <si>
    <t>HENRIQUE DE SOUZA RIBEIRO</t>
  </si>
  <si>
    <t>ANT. 1040</t>
  </si>
  <si>
    <t xml:space="preserve">o restanter das fotos vao eata na esta de asfalto frio </t>
  </si>
  <si>
    <t xml:space="preserve"> VIELA SEIS</t>
  </si>
  <si>
    <t>REPARO DE REDE DE ESGOTO</t>
  </si>
  <si>
    <t>foi usado 4 metros de tubo pvc 300 fotos estão na OS 2613563716</t>
  </si>
  <si>
    <t>CICERO BELO DE SANTANA</t>
  </si>
  <si>
    <t xml:space="preserve"> RUA CROQUETA</t>
  </si>
  <si>
    <t>ANT13C/2</t>
  </si>
  <si>
    <t>REPARO DE RAMAL DE ESGOTO</t>
  </si>
  <si>
    <t xml:space="preserve">foi usado 2 metros tubo pvc </t>
  </si>
  <si>
    <t xml:space="preserve"> AVENIDA LARANJAL PAULISTA</t>
  </si>
  <si>
    <t>obs as fotos estao no wshapp.</t>
  </si>
  <si>
    <t>ANT 47</t>
  </si>
  <si>
    <t>obs serviço execultado na rua Narciso Gomea De Oliveira esquina do farol piscante da Av jamil joao Zarif.as fotos estao via wshapp.</t>
  </si>
  <si>
    <t>obs as fotos estao no wshapp  reposiçao e compactaçao por conta da prefeitura a mesma esta fazendo obra no local.</t>
  </si>
  <si>
    <t xml:space="preserve"> RUA AUGUSTA DOS SANTOS AUGUSTO</t>
  </si>
  <si>
    <t>AC/1</t>
  </si>
  <si>
    <t>FOTOS NA OS PRINCIPAL
NECESSARIO: REPOSIÇÃO CONCRETO E REPOSIÇÃO CAPA ASFALTICA</t>
  </si>
  <si>
    <t xml:space="preserve"> RUA SAO BERNARDO</t>
  </si>
  <si>
    <t>ANTIGO 77</t>
  </si>
  <si>
    <t>SONDAGEM DE REDE DE ESGOTO</t>
  </si>
  <si>
    <t>FOTOS NA OS, ERRO DE PLANEJAMENTO, EXECUTADO UMA RECOSNTRUÇÃO DO PI E TROCA DO TAMPÃO
PRODUNDIDADE 1.10 REPOSIÇÃO ALFALTO 1 X 3</t>
  </si>
  <si>
    <t xml:space="preserve"> RUA SOLDADO CLITO ANTONIO DE ARAUJO</t>
  </si>
  <si>
    <t>ANT17C/1</t>
  </si>
  <si>
    <t xml:space="preserve">serviços executado na av julho prestes 800
pisso todo trincado impossível reenquadramento </t>
  </si>
  <si>
    <t>foi usado 6 metros tubo pvc 100</t>
  </si>
  <si>
    <t xml:space="preserve">as fotos estão na OS de troca de ramal
pisso todo trincado impossível reenquadramento </t>
  </si>
  <si>
    <t xml:space="preserve"> AVENIDA SANTANA</t>
  </si>
  <si>
    <t>ANT-13 B B</t>
  </si>
  <si>
    <t>TROCA DE TAMPÃO DE POÇO DE INSPEÇÃO</t>
  </si>
  <si>
    <t>REALIZADO TROCA DO TAMPÃO COM LAJE, FOTOS NA OS, REPOSIÇÃO CAPA ASFALTICA 1,5 X 1,5</t>
  </si>
  <si>
    <t>FALTA TRENA,  RÉGUA E CARIMBO</t>
  </si>
  <si>
    <t>RECONSTRUIR POÇO DE INSPEÇÃO</t>
  </si>
  <si>
    <t>RECONSTRUIDO POÇO DE INSPEÇÃO</t>
  </si>
  <si>
    <t>FOTOS NA OS PRINCIPAL, ERRO DE PLANEJAMENTO, EXECUTADO UMA RECOSNTRUÇÃO DO PI E TROCA DO TAMPÃO
PRODUNDIDADE 1.10 REPOSIÇÃO ALFALTO 1 X 3</t>
  </si>
  <si>
    <t>TROCAR TAMPÃO DE POÇO DE INSPEÇÃO/VISITA</t>
  </si>
  <si>
    <t xml:space="preserve"> RUA PARATI</t>
  </si>
  <si>
    <t>ANT 194</t>
  </si>
  <si>
    <t xml:space="preserve">As fotos estão na OS 2614141833 serviço executado número 215 rua  parati </t>
  </si>
  <si>
    <t xml:space="preserve"> RUA OTAVIO NUNES DA SILVA</t>
  </si>
  <si>
    <t>SEM PROBLEMAS NO LOCAL, REALIZADO APENAS SONDAGEM, FOTOS NA OS PRINCIPAL</t>
  </si>
  <si>
    <t>CONSERTAR RAMAL DE ESGOTO</t>
  </si>
  <si>
    <t>As fotos estão na OS 2614141833</t>
  </si>
  <si>
    <t>ANT. 382</t>
  </si>
  <si>
    <t>REALIZADO A TROCA DPO TAMPÃO, COLOCADO TAMPÁO COM LAJE, REPOR ASFALTO 1,3 X 1,3</t>
  </si>
  <si>
    <t>REPOSIÇÃO CAPA ASFALTICA 1.30 X 1.30
FOTOS NESSA OS</t>
  </si>
  <si>
    <t xml:space="preserve"> RUA JAMIL JOAO ZARIF</t>
  </si>
  <si>
    <t>NIVELADO POÇO DE INSPEÇÃO</t>
  </si>
  <si>
    <t xml:space="preserve">foi  colocado uma laje </t>
  </si>
  <si>
    <t>ANTIGO 935</t>
  </si>
  <si>
    <t>ramal de esgoto raso  cuidado  Dsp</t>
  </si>
  <si>
    <t>ANTC2ANT35</t>
  </si>
  <si>
    <t xml:space="preserve">As fotos estão via zappp reposição leito terra </t>
  </si>
  <si>
    <t xml:space="preserve"> RUA SÃO SEBASTIAO</t>
  </si>
  <si>
    <t>ANT150AA</t>
  </si>
  <si>
    <t>V SIRENA</t>
  </si>
  <si>
    <t xml:space="preserve"> RUA SAO JOAQUIM</t>
  </si>
  <si>
    <t xml:space="preserve"> RUA PATRICIO GOMES DE MENEZES</t>
  </si>
  <si>
    <t xml:space="preserve">nao tem reposição calçada em obras </t>
  </si>
  <si>
    <t>ANTIGO 496</t>
  </si>
  <si>
    <t>PASSAR RAMAL DE ESGOTO PARA NOVA REDE</t>
  </si>
  <si>
    <t>ANT 884</t>
  </si>
  <si>
    <t>PASSADO RAMAL DE ESGOTO PARA NOVA REDE</t>
  </si>
  <si>
    <t>"Sem reposição ex na vala do remanejamento.
Obs; Fotos na OS:2610331303
Eq: Jovane"</t>
  </si>
  <si>
    <t>JOVANE DOS SANTOS MARTINS</t>
  </si>
  <si>
    <t>"Sem reposição ex na vala do remanejamento.
Obs; Fotos na OS:2612565561.
Eq: Gabriel."</t>
  </si>
  <si>
    <t>FERNANDO CRUZ DE OLIVEIRA</t>
  </si>
  <si>
    <t>ANT38C1</t>
  </si>
  <si>
    <t>"Sem reposição ex na vala do remanejamento.
Obs: Fotos na OS:2612565561.
Eq: Gabriel"</t>
  </si>
  <si>
    <t>ANTIGO 138</t>
  </si>
  <si>
    <t>ANT 266</t>
  </si>
  <si>
    <t>ANT 452</t>
  </si>
  <si>
    <t>ANT 54</t>
  </si>
  <si>
    <t>"Sem reposição ex na vala do remanejamento.
Obs; Fotos na OS:269201658
Eq: Gabriel"</t>
  </si>
  <si>
    <t>"Sem reposição ex na vala do remanejamento.
Obs: Fotos na OS:2612565561.
Eq: Gabriel."</t>
  </si>
  <si>
    <t>CS1</t>
  </si>
  <si>
    <t>CASA 01.</t>
  </si>
  <si>
    <t xml:space="preserve"> RUA ROMENIA</t>
  </si>
  <si>
    <t xml:space="preserve"> RUA MARILENE LIMA PEREIRA</t>
  </si>
  <si>
    <t>obs foi colocado uma tampa nova ,nao tem reposiçao laje.</t>
  </si>
  <si>
    <t xml:space="preserve">fotos faltando chuva intençã no local sem chance de tirar as fotos finais
nao tem reposição calçada em obras </t>
  </si>
  <si>
    <t xml:space="preserve"> RUA ARACY VALENTE</t>
  </si>
  <si>
    <t>PQ MIKAIL</t>
  </si>
  <si>
    <t xml:space="preserve">fotos incompleto  chuva </t>
  </si>
  <si>
    <t xml:space="preserve"> RUA JOSEFINA RIEDEL DE BARROS</t>
  </si>
  <si>
    <t>serviço executado número 252</t>
  </si>
  <si>
    <t xml:space="preserve"> RUA EUGENIO DIAMANTE</t>
  </si>
  <si>
    <t xml:space="preserve"> RUA JOSE CALIXTO MACHADO</t>
  </si>
  <si>
    <t>ANT. 54</t>
  </si>
  <si>
    <t>ANT. 28</t>
  </si>
  <si>
    <t xml:space="preserve">as fotos estão na OS da sondagem </t>
  </si>
  <si>
    <t xml:space="preserve"> RUA ABRAHAM LINCOLN</t>
  </si>
  <si>
    <t>C/1ANT97</t>
  </si>
  <si>
    <t>obs reclamaçao porque a tampa estava desencaixada, no pv fizemos o encaixe aerviço concluido. e nao foi possivel tira foto devido esta muito transito no local.</t>
  </si>
  <si>
    <t>os aberta apos a execução , reposição aberta em outra os</t>
  </si>
  <si>
    <t>sem fotps O.S. aberta apos execução</t>
  </si>
  <si>
    <t>DESCOBRIR POÇO INSPEÇÃO/VISITA</t>
  </si>
  <si>
    <t xml:space="preserve"> RUA TUPINIQUINS</t>
  </si>
  <si>
    <t>DESCOBERTO E NIVELADO POÇO DE VISITA</t>
  </si>
  <si>
    <t>Obs as fotos estao incompleta devudo dificil acesso ao caminhao nao foi tirado foto da regua devido se rua de terra .</t>
  </si>
  <si>
    <t>CONSTRUIR POÇO DE INSPEÇÃO</t>
  </si>
  <si>
    <t>CONSTRUIDO POÇO DE INSPEÇÃO</t>
  </si>
  <si>
    <t>ANT. 41</t>
  </si>
  <si>
    <t xml:space="preserve">fotos faltantes rua de terra </t>
  </si>
  <si>
    <t xml:space="preserve">as fotos estão na OS do nivelamento  rua de terra </t>
  </si>
  <si>
    <t xml:space="preserve"> RUA TSUYAKO OKADA KUDAMATSU</t>
  </si>
  <si>
    <t>JD PATRICIA</t>
  </si>
  <si>
    <t xml:space="preserve">restantes das fotos já foram anexada na rede </t>
  </si>
  <si>
    <t xml:space="preserve">sinalização incompleta Trata-se de rua fechada  reposição leito terra </t>
  </si>
  <si>
    <t xml:space="preserve"> RUA RENASCENCA</t>
  </si>
  <si>
    <t>ANTIGO 7 A</t>
  </si>
  <si>
    <t xml:space="preserve">sinalização incompleta Trata-se de rua fechada </t>
  </si>
  <si>
    <t xml:space="preserve"> AVENIDA SETE DE SETEMBRO</t>
  </si>
  <si>
    <t xml:space="preserve"> RUA PARDINHO</t>
  </si>
  <si>
    <t xml:space="preserve"> RUA MAR VERMELHO</t>
  </si>
  <si>
    <t>ANT. 64</t>
  </si>
  <si>
    <t>RENATO APARECIDO ROSA</t>
  </si>
  <si>
    <t>ANT. 1382</t>
  </si>
  <si>
    <t>VALDIK MENDES DE JESUS</t>
  </si>
  <si>
    <t xml:space="preserve"> RUA NOSSA SENHORA APARECIDA</t>
  </si>
  <si>
    <t>C/BANT501</t>
  </si>
  <si>
    <t>Serviço executado.</t>
  </si>
  <si>
    <t xml:space="preserve"> RUA NOVA CANAA</t>
  </si>
  <si>
    <t>ANT.Nº-6</t>
  </si>
  <si>
    <t>JD PLANALTO</t>
  </si>
  <si>
    <t>foi feito o CRE. O ramal de esgoto ja è de pvc</t>
  </si>
  <si>
    <t xml:space="preserve"> RUA ARMAZEM</t>
  </si>
  <si>
    <t>ANT35C/2</t>
  </si>
  <si>
    <t xml:space="preserve"> ESTRADA DAVID CORREA</t>
  </si>
  <si>
    <t>servico executado com laje pronta</t>
  </si>
  <si>
    <t>COLOCAR TAMPÃO EM POÇO INSPEÇÃO/VISITA</t>
  </si>
  <si>
    <t>ANT. 586</t>
  </si>
  <si>
    <t>TROCA DE TAMPÃO DE POÇO DE VISITA</t>
  </si>
  <si>
    <t>TORRE 1</t>
  </si>
  <si>
    <t>13/04/2026 10:02</t>
  </si>
  <si>
    <t xml:space="preserve"> RUA SAO MIGUEL DOS CAMPOS</t>
  </si>
  <si>
    <t>13/04/2026 14:54</t>
  </si>
  <si>
    <t xml:space="preserve"> RUA SAO JOSE</t>
  </si>
  <si>
    <t>13/04/2026 14:30</t>
  </si>
  <si>
    <t xml:space="preserve">as fotos estão na OS de conserto de rede </t>
  </si>
  <si>
    <t>13/04/2026 16:03</t>
  </si>
  <si>
    <t>ANTIGO 82</t>
  </si>
  <si>
    <t>Fotos na OS:2613869942.</t>
  </si>
  <si>
    <t>13/04/2026 07:30</t>
  </si>
  <si>
    <t>CASA - 01</t>
  </si>
  <si>
    <t>ANT130</t>
  </si>
  <si>
    <t>Sem reposição ex na vala do remanejamento.
Obs: Fotos na OS:2613870195.
Eq: Gabriel.</t>
  </si>
  <si>
    <t>13/04/2026 14:31</t>
  </si>
  <si>
    <t>13/04/2026 14:32</t>
  </si>
  <si>
    <t>ANT 129</t>
  </si>
  <si>
    <t xml:space="preserve">
Sem reposição ex na vala do remanejamento.
Obs: Fotos na OS:2613870195.
Eq: Gabriel.</t>
  </si>
  <si>
    <t>13/04/2026 14:01</t>
  </si>
  <si>
    <t>ANT 564</t>
  </si>
  <si>
    <t>ANT127FC</t>
  </si>
  <si>
    <t>Sem reposição ex na vala do remanejamento.
Obd: Fotos na OS:2613869556.
Eq: Cícero belo</t>
  </si>
  <si>
    <t>ANT.161</t>
  </si>
  <si>
    <t>ANT. 205</t>
  </si>
  <si>
    <t>ANT35E208</t>
  </si>
  <si>
    <t>ANT. 207</t>
  </si>
  <si>
    <t>ANT. 125</t>
  </si>
  <si>
    <t>ANT.210</t>
  </si>
  <si>
    <t>ANT. 214</t>
  </si>
  <si>
    <t>ANT. 47</t>
  </si>
  <si>
    <t>FOTOS VIA OS:2611783978 REPOSIÇÃO VIA OS: 2613769912.</t>
  </si>
  <si>
    <t>13/04/2026 17:01</t>
  </si>
  <si>
    <t xml:space="preserve">serviço baixado sem foto devido à demora da abertura da os </t>
  </si>
  <si>
    <t>14/04/2026 08:56</t>
  </si>
  <si>
    <t xml:space="preserve"> RUA PRINCIPE MIKASA</t>
  </si>
  <si>
    <t>14/04/2026 09:12</t>
  </si>
  <si>
    <t>SONDAR RAMAL DE ESGOTO</t>
  </si>
  <si>
    <t xml:space="preserve"> TRAVESSA ASSUNCAO</t>
  </si>
  <si>
    <t>C/1ANT19</t>
  </si>
  <si>
    <t>SONDAGEM DE RAMAL DE ESGOTO</t>
  </si>
  <si>
    <t>14/04/2026 11:39</t>
  </si>
  <si>
    <t>QUADRA  10</t>
  </si>
  <si>
    <t>14/04/2026 17:07</t>
  </si>
  <si>
    <t>serviços executado no número 621</t>
  </si>
  <si>
    <t>14/04/2026 17:06</t>
  </si>
  <si>
    <t>RECONSTRUIR POÇO DE VISITA</t>
  </si>
  <si>
    <t>RECONSTRUIDO POÇO DE VISITA</t>
  </si>
  <si>
    <t>Obs: Fotos na OS:2613870195.
Eq: Gabriel.</t>
  </si>
  <si>
    <t>14/04/2026 07:01</t>
  </si>
  <si>
    <t>ANT22</t>
  </si>
  <si>
    <t>Sem reposição ex na vala do remanejamento.
Os: Fotos na OS:2612565561.
Eq: Gabriel.</t>
  </si>
  <si>
    <t>14/04/2026 09:01</t>
  </si>
  <si>
    <t>ANTIGO 160</t>
  </si>
  <si>
    <t>ANTIG0 121</t>
  </si>
  <si>
    <t>Sem reposição ex na vala do remanejamento.
Os: Fotos na OS:2612565561.
Eq: Gabriel</t>
  </si>
  <si>
    <t xml:space="preserve">fotos anexado na os anterior </t>
  </si>
  <si>
    <t>14/04/2026 12:25</t>
  </si>
  <si>
    <t xml:space="preserve"> RUA JOAO EVANGELISTA</t>
  </si>
  <si>
    <t>C/1ANT30</t>
  </si>
  <si>
    <t xml:space="preserve">Obs : As fotos estao na OS 2615523987. </t>
  </si>
  <si>
    <t>14/04/2026 15:32</t>
  </si>
  <si>
    <t xml:space="preserve"> RUA DOIS</t>
  </si>
  <si>
    <t>15/04/2026 14:59</t>
  </si>
  <si>
    <t xml:space="preserve"> RUA DOZE</t>
  </si>
  <si>
    <t>15/04/2026 10:07</t>
  </si>
  <si>
    <t xml:space="preserve"> RUA SANTA CATARINA</t>
  </si>
  <si>
    <t>15/04/2026 12:13</t>
  </si>
  <si>
    <t xml:space="preserve"> RUA TAQUARA</t>
  </si>
  <si>
    <t>15/04/2026 14:28</t>
  </si>
  <si>
    <t>ANTIGO 104</t>
  </si>
  <si>
    <t>15/04/2026 13:30</t>
  </si>
  <si>
    <t>ANT 87</t>
  </si>
  <si>
    <t xml:space="preserve">baixando sem fotos devido OS aberta após a execução do serviço,  Reposição por conta do integra, a mesma está com obras no local </t>
  </si>
  <si>
    <t>15/04/2026 22:06</t>
  </si>
  <si>
    <t>15/04/2026 15:56</t>
  </si>
  <si>
    <t xml:space="preserve">fotos fxçado na os anterior </t>
  </si>
  <si>
    <t>15/04/2026 15:23</t>
  </si>
  <si>
    <t xml:space="preserve"> AVENIDA MARIA CERRI</t>
  </si>
  <si>
    <t>ANT 117</t>
  </si>
  <si>
    <t>As fotos estão na OS 2615847878</t>
  </si>
  <si>
    <t>15/04/2026 16:04</t>
  </si>
  <si>
    <t>as fotos estão na OS da sondagem</t>
  </si>
  <si>
    <t xml:space="preserve"> RUA CECILIA MARIA VALLARDI SARACCE</t>
  </si>
  <si>
    <t>ANT28C/2</t>
  </si>
  <si>
    <t>16/04/2026 14:30</t>
  </si>
  <si>
    <t>16/04/2026 15:55</t>
  </si>
  <si>
    <t>ANT1055</t>
  </si>
  <si>
    <t>pbs nao tem reposiçao .</t>
  </si>
  <si>
    <t xml:space="preserve"> RUA FLOR AMOR PERFEITO</t>
  </si>
  <si>
    <t>CASA 03.</t>
  </si>
  <si>
    <t>16/04/2026 16:05</t>
  </si>
  <si>
    <t>sinalização conforme viela</t>
  </si>
  <si>
    <t>16/04/2026 16:00</t>
  </si>
  <si>
    <t xml:space="preserve"> VIELA DA CHACARA</t>
  </si>
  <si>
    <t xml:space="preserve">reposição terra  leito terra passeio também </t>
  </si>
  <si>
    <t>16/04/2026 10:51</t>
  </si>
  <si>
    <t xml:space="preserve"> RUA JOAO DE SOUZA</t>
  </si>
  <si>
    <t>16/04/2026 16:01</t>
  </si>
  <si>
    <t>Fotos via WhatsApp.</t>
  </si>
  <si>
    <t>16/04/2026 07:54</t>
  </si>
  <si>
    <t>Sem reposição ex na vala do remanejamento.
Obs: Fotos na OS:2613869808.</t>
  </si>
  <si>
    <t>16/04/2026 14:01</t>
  </si>
  <si>
    <t>ANT, 100 A</t>
  </si>
  <si>
    <t xml:space="preserve">
Sem reposição ex na vala do remanejamento.
Obs: Fotos na OS:2613869808.</t>
  </si>
  <si>
    <t>ANT, 65</t>
  </si>
  <si>
    <t>ANT, 103</t>
  </si>
  <si>
    <t>ANTN??160</t>
  </si>
  <si>
    <t>ANT.1</t>
  </si>
  <si>
    <t>ANT, 127</t>
  </si>
  <si>
    <t>ANT, 10 A</t>
  </si>
  <si>
    <t>ANT, 5</t>
  </si>
  <si>
    <t>ANT, 7</t>
  </si>
  <si>
    <t>ANT.75</t>
  </si>
  <si>
    <t>Fotos na OS:2613869556.</t>
  </si>
  <si>
    <t>16/04/2026 07:30</t>
  </si>
  <si>
    <t>ANT.7 C/1</t>
  </si>
  <si>
    <t>ANT.263</t>
  </si>
  <si>
    <t xml:space="preserve"> Fotos na OS:2613869556.</t>
  </si>
  <si>
    <t>ANT18AA</t>
  </si>
  <si>
    <t>ANT.  18</t>
  </si>
  <si>
    <t>ANT.  236</t>
  </si>
  <si>
    <t>ANT.238</t>
  </si>
  <si>
    <t>17/04/2026 09:28</t>
  </si>
  <si>
    <t xml:space="preserve"> RUA CACHOEIRA</t>
  </si>
  <si>
    <t>CASA 6</t>
  </si>
  <si>
    <t>17/04/2026 11:17</t>
  </si>
  <si>
    <t xml:space="preserve"> RUA DO CAMPO</t>
  </si>
  <si>
    <t>ANT-50 C/2</t>
  </si>
  <si>
    <t>17/04/2026 12:21</t>
  </si>
  <si>
    <t xml:space="preserve"> RUA CABRALIA</t>
  </si>
  <si>
    <t>ANTIGO 3B</t>
  </si>
  <si>
    <t>17/04/2026 16:47</t>
  </si>
  <si>
    <t xml:space="preserve"> RUA EUNICE</t>
  </si>
  <si>
    <t>17/04/2026 09:35</t>
  </si>
  <si>
    <t>17/04/2026 10:58</t>
  </si>
  <si>
    <t xml:space="preserve"> RUA SIDERAL</t>
  </si>
  <si>
    <t>ANT.33</t>
  </si>
  <si>
    <t xml:space="preserve">fotos na etapa anterior </t>
  </si>
  <si>
    <t>17/04/2026 17:43</t>
  </si>
  <si>
    <t>17/04/2026 15:37</t>
  </si>
  <si>
    <t>as fotos da da troca de ramal de esgoto do nunero 381/375 esta na os 2614793765</t>
  </si>
  <si>
    <t>17/04/2026 15:49</t>
  </si>
  <si>
    <t xml:space="preserve">fotos fxçado na os anterior
fotos fxçado na os anterior </t>
  </si>
  <si>
    <t>17/04/2026 17:39</t>
  </si>
  <si>
    <t>18/04/2026 12:49</t>
  </si>
  <si>
    <t>18/04/2026 10:02</t>
  </si>
  <si>
    <t xml:space="preserve"> RUA JUQUITIBA</t>
  </si>
  <si>
    <t>18/04/2026 14:55</t>
  </si>
  <si>
    <t xml:space="preserve"> RUA MOEMA</t>
  </si>
  <si>
    <t>ANT  16  C</t>
  </si>
  <si>
    <t>18/04/2026 12:59</t>
  </si>
  <si>
    <t>18/04/2026 14:13</t>
  </si>
  <si>
    <t>20/04/2026 07:41</t>
  </si>
  <si>
    <t xml:space="preserve"> RUA CAPITAO GABRIEL</t>
  </si>
  <si>
    <t xml:space="preserve">não nessesario troca serviços executado com apoio do Jet </t>
  </si>
  <si>
    <t>19/04/2026 12:12</t>
  </si>
  <si>
    <t>ANT. 116</t>
  </si>
  <si>
    <t>19/04/2026 17:55</t>
  </si>
  <si>
    <t>ANT 52</t>
  </si>
  <si>
    <t>19/04/2026 09:56</t>
  </si>
  <si>
    <t>20/04/2026 10:59</t>
  </si>
  <si>
    <t xml:space="preserve"> RUA URUPES</t>
  </si>
  <si>
    <t>20/04/2026 16:04</t>
  </si>
  <si>
    <t>SUBSTITUIR LIGAÇÃO DE ESGOTO</t>
  </si>
  <si>
    <t xml:space="preserve"> RUA JOSE PESSINI</t>
  </si>
  <si>
    <t>SUBSTITUIDA LIGAÇÃO DE ESGOTO</t>
  </si>
  <si>
    <t>20/04/2026 16:05</t>
  </si>
  <si>
    <t>20/04/2026 16:00</t>
  </si>
  <si>
    <t xml:space="preserve"> RUA FELIPE CABRAL VASCONCELOS</t>
  </si>
  <si>
    <t>20/04/2026 11:15</t>
  </si>
  <si>
    <t>20/04/2026 07:55</t>
  </si>
  <si>
    <t>20/04/2026 20:46</t>
  </si>
  <si>
    <t xml:space="preserve">colocado uma Lage </t>
  </si>
  <si>
    <t>21/04/2026 12:33</t>
  </si>
  <si>
    <t xml:space="preserve"> RUA AUGUSTA</t>
  </si>
  <si>
    <t>CASA-01</t>
  </si>
  <si>
    <t>22/04/2026 11:22</t>
  </si>
  <si>
    <t xml:space="preserve"> RUA KARY</t>
  </si>
  <si>
    <t>ANT. 58</t>
  </si>
  <si>
    <t>22/04/2026 16:42</t>
  </si>
  <si>
    <t>obs foi feito o serviço em frente o numero ,224, terço oposto.</t>
  </si>
  <si>
    <t>22/04/2026 09:51</t>
  </si>
  <si>
    <t xml:space="preserve"> VIELA CEARA</t>
  </si>
  <si>
    <t>NOVA CONQUISTA</t>
  </si>
  <si>
    <t>22/04/2026 16:14</t>
  </si>
  <si>
    <t>22/04/2026 15:19</t>
  </si>
  <si>
    <t xml:space="preserve">As fotos estão na OS 2616822301 sinalização incompleta Trata-se de rua fechada </t>
  </si>
  <si>
    <t>22/04/2026 16:51</t>
  </si>
  <si>
    <t>ANT 250</t>
  </si>
  <si>
    <t>Sem reposição ex na vala do remanejamento.
Obs: Fotos na OS:2610656571.
Eq: Gilvan Birrinha .</t>
  </si>
  <si>
    <t>22/04/2026 07:01</t>
  </si>
  <si>
    <t>ANT 1330</t>
  </si>
  <si>
    <t>ANT 1334</t>
  </si>
  <si>
    <t>ANT 1338</t>
  </si>
  <si>
    <t>C/1ANT612</t>
  </si>
  <si>
    <t>ANT 06 B</t>
  </si>
  <si>
    <t>ANT 1290</t>
  </si>
  <si>
    <t>Sem reposição ex na vala do remanejamento.
Obs: Fotos na OS:2610656571.
Eq: Gilvan Birrinha</t>
  </si>
  <si>
    <t>Sem reposição ex na vala do remanejamento.
Obs: Fotos na OS:2615539006.</t>
  </si>
  <si>
    <t>C/1ANT14AA</t>
  </si>
  <si>
    <t>ANT. 8 D</t>
  </si>
  <si>
    <t>ANT14CC</t>
  </si>
  <si>
    <t>ANT, 6 C</t>
  </si>
  <si>
    <t>C/1ANT13AA</t>
  </si>
  <si>
    <t>ANT12AA</t>
  </si>
  <si>
    <t>ANTIGO 351</t>
  </si>
  <si>
    <t>ANT. 526</t>
  </si>
  <si>
    <t>C/1ANT10</t>
  </si>
  <si>
    <t>C/2ANT51</t>
  </si>
  <si>
    <t>Sem reposição ex na vala do remanejamento.
Obs: Fotos na OS:2614794424.
Eq: Jovane.</t>
  </si>
  <si>
    <t>26 A</t>
  </si>
  <si>
    <t>ANTG Nº 19</t>
  </si>
  <si>
    <t>42 C</t>
  </si>
  <si>
    <t xml:space="preserve">
Sem reposição ex na vala do remanejamento.
Obs: Fotos na OS:2614794424.
Eq: Jovane.</t>
  </si>
  <si>
    <t>ANT50C/1</t>
  </si>
  <si>
    <t>CONSTRUIDO POÇO DE VISITA</t>
  </si>
  <si>
    <t xml:space="preserve">fotos na os principal </t>
  </si>
  <si>
    <t>22/04/2026 16:25</t>
  </si>
  <si>
    <t xml:space="preserve"> RUA PASCHOALINO CAMIZOTTI</t>
  </si>
  <si>
    <t>24/04/2026 13:48</t>
  </si>
  <si>
    <t>24/04/2026 10:57</t>
  </si>
  <si>
    <t xml:space="preserve">sinalização incompleta Trata-se de rua fechada  obs passeio reposição terra </t>
  </si>
  <si>
    <t>24/04/2026 12:26</t>
  </si>
  <si>
    <t xml:space="preserve"> RUA BARRA MANSA</t>
  </si>
  <si>
    <t>24/04/2026 16:03</t>
  </si>
  <si>
    <t>ANT. 9A</t>
  </si>
  <si>
    <t>Sem reposição ex na vala do remanejamento.
Obs: Fotos na OS:2614627408.
Eq: Jovane.</t>
  </si>
  <si>
    <t>24/04/2026 07:01</t>
  </si>
  <si>
    <t>A A</t>
  </si>
  <si>
    <t>ANT 7</t>
  </si>
  <si>
    <t>Sem reposição ex na vala do remanejamento.
Obs: Fotos na OS:2614627408.
Eq: Jovane</t>
  </si>
  <si>
    <t>ANTNº210</t>
  </si>
  <si>
    <t>ANT210A</t>
  </si>
  <si>
    <t>Sem reposição ex na vala do remanejamento.
Obs: Fotos na OS:2614627408.</t>
  </si>
  <si>
    <t xml:space="preserve">
Sem reposição ex na vala do remanejamento.
Obs: Fotos na OS:2614627408.
Eq: Jovane.</t>
  </si>
  <si>
    <t>ANT 100</t>
  </si>
  <si>
    <t>ANT 9</t>
  </si>
  <si>
    <t>C/1ANT5</t>
  </si>
  <si>
    <t>ANT82C/1</t>
  </si>
  <si>
    <t>ANT 3</t>
  </si>
  <si>
    <t>ANTIGO 6</t>
  </si>
  <si>
    <t>REMANEJAR REDE DE ESGOTO</t>
  </si>
  <si>
    <t>REMANEJADA REDE DE ESGOTO</t>
  </si>
  <si>
    <t>Eq: Gabriel</t>
  </si>
  <si>
    <t>as fotos estão na OS da sondagem número 142</t>
  </si>
  <si>
    <t>24/04/2026 15:17</t>
  </si>
  <si>
    <t>24/04/2026 16:08</t>
  </si>
  <si>
    <t xml:space="preserve">sinalização incompleta Trata-se de rua estreita obs leito terra reposição terra passeio </t>
  </si>
  <si>
    <t>25/04/2026 12:45</t>
  </si>
  <si>
    <t>ANTN°1044C</t>
  </si>
  <si>
    <t xml:space="preserve"> executado um anivelamento de tampao rede 150 seramica profundidade 120 asfalto 150 por 150</t>
  </si>
  <si>
    <t xml:space="preserve"> RUA SITIO NOVO DE GOIAS</t>
  </si>
  <si>
    <t>ANT 55</t>
  </si>
  <si>
    <t>27/04/2026 09:21</t>
  </si>
  <si>
    <t xml:space="preserve">reposição passeio terra </t>
  </si>
  <si>
    <t>26/04/2026 15:39</t>
  </si>
  <si>
    <t xml:space="preserve">Eq: Jovane. </t>
  </si>
  <si>
    <t>27/04/2026 07:01</t>
  </si>
  <si>
    <t xml:space="preserve"> AVENIDA LINO ANTONIO NOGUEIRA</t>
  </si>
  <si>
    <t xml:space="preserve">placa de 50 metros já foi anexado na red </t>
  </si>
  <si>
    <t>27/04/2026 16:06</t>
  </si>
  <si>
    <t>ANT162/168</t>
  </si>
  <si>
    <t>DESCOBERTO E NIVELADO POÇO DE INSPEÇÃO</t>
  </si>
  <si>
    <t xml:space="preserve">só foi nivelado o tampão já estava visível </t>
  </si>
  <si>
    <t>27/04/2026 14:54</t>
  </si>
  <si>
    <t xml:space="preserve">sinalização incompleta Trata-se de rua fechada obs  às fotos  via zappp </t>
  </si>
  <si>
    <t>27/04/2026 17:45</t>
  </si>
  <si>
    <t xml:space="preserve"> RUA PORTO UNIAO</t>
  </si>
  <si>
    <t>ANT 260</t>
  </si>
  <si>
    <t>Sem reposição ex na vala do remanejamento.
OBS: Fotos na OS:2615685588.</t>
  </si>
  <si>
    <t>ANT 21 A</t>
  </si>
  <si>
    <t>ANT 6</t>
  </si>
  <si>
    <t>ANT 39</t>
  </si>
  <si>
    <t>ANT 38</t>
  </si>
  <si>
    <t>ANT-44</t>
  </si>
  <si>
    <t>ANT.Nº 8</t>
  </si>
  <si>
    <t>ANT.8B</t>
  </si>
  <si>
    <t>Fotos na OS:2615685588.</t>
  </si>
  <si>
    <t>27/04/2026 07:30</t>
  </si>
  <si>
    <t>ANT 9 A</t>
  </si>
  <si>
    <t>ANT64</t>
  </si>
  <si>
    <t>9/CCANTD4</t>
  </si>
  <si>
    <t>ANT11 C/1</t>
  </si>
  <si>
    <t xml:space="preserve"> Fotos na OS:2615685588.</t>
  </si>
  <si>
    <t>Sem reposição ex na vala do remanejamento.
Obs: Fotos na OS:2614793765.
Eq: Gabriel.</t>
  </si>
  <si>
    <t>27/04/2026 08:01</t>
  </si>
  <si>
    <t>27/04/2026 09:01</t>
  </si>
  <si>
    <t>27/04/2026 12:01</t>
  </si>
  <si>
    <t xml:space="preserve"> RODOVIA PRESIDENTE DUTRA</t>
  </si>
  <si>
    <t>S/N</t>
  </si>
  <si>
    <t>JD CUMBICA</t>
  </si>
  <si>
    <t>Sem fotos OS aberta após execução do serviço.</t>
  </si>
  <si>
    <t>27/04/2026 06:01</t>
  </si>
  <si>
    <t xml:space="preserve"> RUA THEODOR GOLDSCHMIDT</t>
  </si>
  <si>
    <t>fotos dos faltentes po conta da chuva tivemos que fazer o aterro rápido pra não perder a val</t>
  </si>
  <si>
    <t>28/04/2026 16:12</t>
  </si>
  <si>
    <t xml:space="preserve"> RUA TURMAUNA</t>
  </si>
  <si>
    <t>C/1ANT3B</t>
  </si>
  <si>
    <t>DESCOBERTO POÇO DE VISITA</t>
  </si>
  <si>
    <t>Sem reposicao . sem fotos prioridade.</t>
  </si>
  <si>
    <t>28/04/2026 08:29</t>
  </si>
  <si>
    <t>Fotos na OS:2613869365.
Eq: Gilvan Rocha .</t>
  </si>
  <si>
    <t>28/04/2026 07:30</t>
  </si>
  <si>
    <t>C/1ANT2AFD</t>
  </si>
  <si>
    <t xml:space="preserve"> Fotos na OS:2613869365.
Eq: Gilvan Rocha .</t>
  </si>
  <si>
    <t>Sem reposição ex na vala do remanejamento.
Obs: Fotos na OS:2613869365.</t>
  </si>
  <si>
    <t>28/04/2026 07:01</t>
  </si>
  <si>
    <t>Sem reposição ex na vala do remanejamento.
Obs: Fotos na OS:2613869365</t>
  </si>
  <si>
    <t>ANT33</t>
  </si>
  <si>
    <t>Fotos na OS:2613869365.
Eq: Gilvan Rocha</t>
  </si>
  <si>
    <t>ANT. 289</t>
  </si>
  <si>
    <t>ANT. 39</t>
  </si>
  <si>
    <t>ANT. 46</t>
  </si>
  <si>
    <t>ANT. 1111</t>
  </si>
  <si>
    <t>ANT. 391</t>
  </si>
  <si>
    <t>ANT. 395</t>
  </si>
  <si>
    <t>ANT. 54  A</t>
  </si>
  <si>
    <t>ANT.13</t>
  </si>
  <si>
    <t>13 B</t>
  </si>
  <si>
    <t>C/1ANT145</t>
  </si>
  <si>
    <t>ANT.16</t>
  </si>
  <si>
    <t>ANT 149</t>
  </si>
  <si>
    <t>27 CASA 2.</t>
  </si>
  <si>
    <t>Fotos na OS:2613869365.
Eq: Gilvan Rocha.</t>
  </si>
  <si>
    <t>ANT257</t>
  </si>
  <si>
    <t>28/04/2026 11:01</t>
  </si>
  <si>
    <t>C1</t>
  </si>
  <si>
    <t>Fotos na OS:2613869365
Eq: Gilvan Rocha</t>
  </si>
  <si>
    <t>ANTIGO 17</t>
  </si>
  <si>
    <t>AMNTIGO14C</t>
  </si>
  <si>
    <t>ANT. 60</t>
  </si>
  <si>
    <t>ANT10,C/1</t>
  </si>
  <si>
    <t>ANT. 68 B</t>
  </si>
  <si>
    <t>ANT. 67</t>
  </si>
  <si>
    <t>ANT6C/1</t>
  </si>
  <si>
    <t>ANT. 6 C/1</t>
  </si>
  <si>
    <t>ANT - 402</t>
  </si>
  <si>
    <t xml:space="preserve"> Fotos na OS:2613869365.
Eq: Gilvan Rocha</t>
  </si>
  <si>
    <t>C/1ANT44</t>
  </si>
  <si>
    <t>ANT 23 A</t>
  </si>
  <si>
    <t>ANT. 23 B</t>
  </si>
  <si>
    <t>ANT29</t>
  </si>
  <si>
    <t>Eq: Gabriel.</t>
  </si>
  <si>
    <t>OBS: Fotos na OS:2614793765.
Eq: Gabriel.</t>
  </si>
  <si>
    <t xml:space="preserve"> AVENIDA GUILHERME SCHMIDT</t>
  </si>
  <si>
    <t>Obs : As fotos estao na OS 2617178202  .foi feito uma Sondagem mas nada foi localizado.</t>
  </si>
  <si>
    <t>28/04/2026 14:29</t>
  </si>
  <si>
    <t>REMANEJAMENTO DE REDE DE ESGOTO NO FURO DIRECIONAL.  
Eq: Gabriel.</t>
  </si>
  <si>
    <t xml:space="preserve"> RUA NAHOMI HARADA RIBEIRO</t>
  </si>
  <si>
    <t>ANT 38 A</t>
  </si>
  <si>
    <t>Obs : foi feito uma Sondagem porwm nada foi localizado, as fotos estao na Os2617291144.</t>
  </si>
  <si>
    <t>28/04/2026 14:34</t>
  </si>
  <si>
    <t>28/04/2026 08:01</t>
  </si>
  <si>
    <t xml:space="preserve"> RUA BELARMINO ANTONIO GARCIA</t>
  </si>
  <si>
    <t>ANT.21</t>
  </si>
  <si>
    <t>Eq: Jovane.</t>
  </si>
  <si>
    <t>Obs : As fotos estao no wshapp.</t>
  </si>
  <si>
    <t>28/04/2026 15:06</t>
  </si>
  <si>
    <t xml:space="preserve"> Fotos na OS:2614794424.
Eq:  JOVANE.</t>
  </si>
  <si>
    <t>Fotos na OS:2614794424.
Eq:  JOVANE.</t>
  </si>
  <si>
    <t>ANT 33</t>
  </si>
  <si>
    <t>ANT 36</t>
  </si>
  <si>
    <t>Fotos / Reposição via OS: 2616824082.</t>
  </si>
  <si>
    <t>28/04/2026 15:16</t>
  </si>
  <si>
    <t>Fotos / Reposição via OS: 2614835616.</t>
  </si>
  <si>
    <t>28/04/2026 15:11</t>
  </si>
  <si>
    <t xml:space="preserve"> RUA GUIOMAR GARCIA HORTA</t>
  </si>
  <si>
    <t>ANT426</t>
  </si>
  <si>
    <t xml:space="preserve">vala todo trincado impossível reenquadramento adequado </t>
  </si>
  <si>
    <t>28/04/2026 12:53</t>
  </si>
  <si>
    <t xml:space="preserve"> RUA QUATRO DE MARCO</t>
  </si>
  <si>
    <t>ANTIGO 38</t>
  </si>
  <si>
    <t xml:space="preserve">os bloquete  estão  no  local </t>
  </si>
  <si>
    <t>28/04/2026 15:00</t>
  </si>
  <si>
    <t>Eq: Cícero belo.</t>
  </si>
  <si>
    <t>29/04/2026 08:01</t>
  </si>
  <si>
    <t>PROLONGAR REDE DE ESGOTO</t>
  </si>
  <si>
    <t>PROLONGAMENTO DE REDE DE ESGOTO</t>
  </si>
  <si>
    <t>EQ: Cícero belo.</t>
  </si>
  <si>
    <t>29/04/2026 09:19</t>
  </si>
  <si>
    <t>Obs As fotos foram tiradas no wshapp dia 28/04</t>
  </si>
  <si>
    <t>29/04/2026 10:29</t>
  </si>
  <si>
    <t xml:space="preserve"> AVENIDA DOMINGOS FANGANIELLO</t>
  </si>
  <si>
    <t>Obs : O restante das fotos foram tirada via wshapp.</t>
  </si>
  <si>
    <t xml:space="preserve"> RUA DOM JOAO</t>
  </si>
  <si>
    <t>29/04/2026 12:14</t>
  </si>
  <si>
    <t xml:space="preserve"> RUA ITUIUTABA</t>
  </si>
  <si>
    <t>nada danificado de ramal solo ruim</t>
  </si>
  <si>
    <t xml:space="preserve"> RUA TIMBURI</t>
  </si>
  <si>
    <t>29/04/2026 12:46</t>
  </si>
  <si>
    <t>As fotos estão os 2617622488</t>
  </si>
  <si>
    <t>29/04/2026 13:28</t>
  </si>
  <si>
    <t xml:space="preserve"> RUA CACADOR</t>
  </si>
  <si>
    <t>REMANEJAMENTO DE REDE DE ESGOTO SENDO 79.40 metros no furo direcional 300 PVC. 27.92 metros no VCA DN 300. 90.45 metros no PEAD DN 200. 24.10 metros no VCA 200 PVC.
Eq: Jovane.</t>
  </si>
  <si>
    <t>29/04/2026 07:01</t>
  </si>
  <si>
    <t>Obs: Fotos na OS:2614627408.
Eq: Jovane.</t>
  </si>
  <si>
    <t>Obs: Fotos na OS:2617272541.
Eq: Cícero belo</t>
  </si>
  <si>
    <t xml:space="preserve"> RUA VANDERLEI PRETINI</t>
  </si>
  <si>
    <t xml:space="preserve">o passeio já estava quebrado quando chegamos com obras do cliente </t>
  </si>
  <si>
    <t>29/04/2026 16:43</t>
  </si>
  <si>
    <t>Eq: Gilvan Birrinha .</t>
  </si>
  <si>
    <t>ANTIGO  2</t>
  </si>
  <si>
    <t>Obs: Fotos na OS:2613869556.
Eq: Gilvan Birrinha .</t>
  </si>
  <si>
    <t>ANT 547</t>
  </si>
  <si>
    <t>EQ: Gabriel.</t>
  </si>
  <si>
    <t>ANT 27 A</t>
  </si>
  <si>
    <t>Obs; Fotos na OS:2614794053.
Eq: Gabriel.</t>
  </si>
  <si>
    <t>ANT 24</t>
  </si>
  <si>
    <t>EX UM REMANEJAMENTO DE REDE DE ESGOTO SENDO 203.83 metros No Furo direcional DN 200 PEAD.
E 49.78 metros no VCA DN 200.</t>
  </si>
  <si>
    <t>30/04/2026 07:01</t>
  </si>
  <si>
    <t>Obs: Fotos na OS:2615685588.
Eq: Cícero belo.</t>
  </si>
  <si>
    <t>30/04/2026 08:01</t>
  </si>
  <si>
    <t>ANT17A</t>
  </si>
  <si>
    <t>EX UM REMANEJAMENTO DE REDE DE ESGOTO SENDO 195,59 metros no furo direcional..E 18.72 metros no VCA DN 200 pvc.
Eq: Gilvan Rocha .</t>
  </si>
  <si>
    <t xml:space="preserve"> RUA FLAVIO DE CARVALHO</t>
  </si>
  <si>
    <t xml:space="preserve"> RUA BENEDITO AFFONSO</t>
  </si>
  <si>
    <t>CS 01</t>
  </si>
  <si>
    <t>30/04/2026 16:33</t>
  </si>
  <si>
    <t>ANT7C</t>
  </si>
  <si>
    <t>30/04/2026 09:52</t>
  </si>
  <si>
    <t xml:space="preserve"> RUA CORNELIO PROCOPIO</t>
  </si>
  <si>
    <t>JD SANTA BARBARA</t>
  </si>
  <si>
    <t>30/04/2026 16:28</t>
  </si>
  <si>
    <t>30/04/2026 16:42</t>
  </si>
  <si>
    <t xml:space="preserve"> Fotos na OS:2613869556.
Eq: Gilvan Birrinha .</t>
  </si>
  <si>
    <t>30/04/2026 07:30</t>
  </si>
  <si>
    <t>Fotos na OS:2613869556.
Eq: Gilvan Birrinha .</t>
  </si>
  <si>
    <t>Fotos na OS:2613869556.
Eq: Gilvan Birrinha</t>
  </si>
  <si>
    <t>otos na OS:2613869556.
Eq: Gilvan Birrinha .</t>
  </si>
  <si>
    <t>ANT90AAC/1</t>
  </si>
  <si>
    <t>C/1ANT12</t>
  </si>
  <si>
    <t>ANT15FDS</t>
  </si>
  <si>
    <t>ANT15ALTO</t>
  </si>
  <si>
    <t>ANT.11</t>
  </si>
  <si>
    <t>ANT15BAIXO</t>
  </si>
  <si>
    <t>ANT.268</t>
  </si>
  <si>
    <t>ANTIGO 101</t>
  </si>
  <si>
    <t>Sem reposição ex na vala do remanejamento.
Obs: Fotos na OS:2617152433.</t>
  </si>
  <si>
    <t>30/04/2026 12:01</t>
  </si>
  <si>
    <t>30/04/2026 10:01</t>
  </si>
  <si>
    <t>ANT 144</t>
  </si>
  <si>
    <t>ANT 146</t>
  </si>
  <si>
    <t>C/1ANTN°36</t>
  </si>
  <si>
    <t>ANT 5</t>
  </si>
  <si>
    <t>C/1ANT3</t>
  </si>
  <si>
    <t>A NT 168 A</t>
  </si>
  <si>
    <t>ANT 15</t>
  </si>
  <si>
    <t>30/04/2026 11:01</t>
  </si>
  <si>
    <t>ANT 93</t>
  </si>
  <si>
    <t>ANT 101 A</t>
  </si>
  <si>
    <t>O s: Fotos na OS:2617152433.
Eq: Gilvan Birrinha .</t>
  </si>
  <si>
    <t>ANT6C/2</t>
  </si>
  <si>
    <t>C/2ANT44</t>
  </si>
  <si>
    <t>C/4ANT44</t>
  </si>
  <si>
    <t>C/3ANT44</t>
  </si>
  <si>
    <t>Fotos na OS:2616751999.
Eq: Gabriel</t>
  </si>
  <si>
    <t>C/1ANT553</t>
  </si>
  <si>
    <t xml:space="preserve"> Fotos na OS:2616751999.
Eq: Gabriel</t>
  </si>
  <si>
    <t>ANT.33 A A</t>
  </si>
  <si>
    <t>ANTG N C/1</t>
  </si>
  <si>
    <t>CASA - 02</t>
  </si>
  <si>
    <t>ANT. 74</t>
  </si>
  <si>
    <t>Sem reposição de asfalto ex na vala do remanejamento.
Obs: Fotos na OS:2617316186.</t>
  </si>
  <si>
    <t>ANT 101</t>
  </si>
  <si>
    <t>ANT. 9 C/1</t>
  </si>
  <si>
    <t>C/1ANT66</t>
  </si>
  <si>
    <t>ANT: 8</t>
  </si>
  <si>
    <t>ANT. 241</t>
  </si>
  <si>
    <t>ANT.168</t>
  </si>
  <si>
    <t>ANTIGO 163</t>
  </si>
  <si>
    <t>ANTIGO 89</t>
  </si>
  <si>
    <t xml:space="preserve"> RUA AMERICO DIAS FERREIRA</t>
  </si>
  <si>
    <t>QUADRA 15</t>
  </si>
  <si>
    <t xml:space="preserve">reposição passeio terra tubo terra </t>
  </si>
  <si>
    <t>Obs: Fotos na OS:2613869365.
Eq: Gilvan Rocha .</t>
  </si>
  <si>
    <t>30/04/2026 09:01</t>
  </si>
  <si>
    <t>Obs: Fotos na OS:2613869365.
Eq: Gilvan Rocha</t>
  </si>
  <si>
    <t>Obs; Fotos na OS:2616751999.
Eq: Gabriel.</t>
  </si>
  <si>
    <t xml:space="preserve"> RUA MONTE SANTO DE MINAS</t>
  </si>
  <si>
    <t>ANT 188</t>
  </si>
  <si>
    <t>JD FLOR DO CAMPO</t>
  </si>
  <si>
    <t xml:space="preserve">As fotos estão via zappp </t>
  </si>
  <si>
    <t>30/04/2026 11:37</t>
  </si>
  <si>
    <t>EX UM REMANEJAMENTO DE REDE DE ESGOTO SENDO 151 METROS NO FURO DIRECIONAL DN 200 PEAD.
40 METROS NO VCA DN 200 PVC.
 Eq: Cícero belo.</t>
  </si>
  <si>
    <t>ANT.  5</t>
  </si>
  <si>
    <t>Obs: Fotos na OS:2617316186.
Eq: Jovane</t>
  </si>
  <si>
    <t>30/04/2026 16:40</t>
  </si>
  <si>
    <t>30/04/2026 16:48</t>
  </si>
  <si>
    <t>ANT. 9 B B</t>
  </si>
  <si>
    <t>Observação fachada</t>
  </si>
  <si>
    <t>Observação antes</t>
  </si>
  <si>
    <t>Observação Hidrômetro</t>
  </si>
  <si>
    <t>Observação leitura</t>
  </si>
  <si>
    <t>Observação finalização</t>
  </si>
  <si>
    <t>PÓLO</t>
  </si>
  <si>
    <t xml:space="preserve"> RUA ADONIRAN BARBOSA</t>
  </si>
  <si>
    <t>ANT13C/1</t>
  </si>
  <si>
    <t>REPARO DE CAVALETE</t>
  </si>
  <si>
    <t xml:space="preserve"> RUA MARIA LUCIA</t>
  </si>
  <si>
    <t>TROCA DE REGISTRO DE CAVALETE</t>
  </si>
  <si>
    <t xml:space="preserve"> RUA URSA MAIOR</t>
  </si>
  <si>
    <t>TROCA DE CAVALETE (KIT)</t>
  </si>
  <si>
    <t>JOSE ANTONIO ALVES DE OLIVEIRA</t>
  </si>
  <si>
    <t xml:space="preserve"> RUA ZELINA BREDA SIMONATO</t>
  </si>
  <si>
    <t>ANT68/ C/1</t>
  </si>
  <si>
    <t xml:space="preserve"> ESTRADA DO MORRO DO SABAO</t>
  </si>
  <si>
    <t>TROCA DE PE DE CAVALETE PREVENTIVO</t>
  </si>
  <si>
    <t>C/2ANT3836</t>
  </si>
  <si>
    <t>FABIANO CALIXTO DE OLIVEIRA</t>
  </si>
  <si>
    <t xml:space="preserve"> RUA PEDRO MARCOS BARBOSA</t>
  </si>
  <si>
    <t>C/192</t>
  </si>
  <si>
    <t>TROCA DE CAVALETE POR UMA</t>
  </si>
  <si>
    <t>Sem foto da sinalização motivo rua sem acesso ao caminhão o caminhão longe do serviço</t>
  </si>
  <si>
    <t>C/292</t>
  </si>
  <si>
    <t>C/1ANT315</t>
  </si>
  <si>
    <t>CLEILTON FERREIRA DA SILVA</t>
  </si>
  <si>
    <t xml:space="preserve"> RUA JERONIMO MONTEIRO</t>
  </si>
  <si>
    <t>fotos na etapa  principal</t>
  </si>
  <si>
    <t xml:space="preserve"> RUA CASSIANO GOMES</t>
  </si>
  <si>
    <t>ANT 19 A</t>
  </si>
  <si>
    <t xml:space="preserve"> RUA TIM MAIA</t>
  </si>
  <si>
    <t xml:space="preserve"> RUA NILTON</t>
  </si>
  <si>
    <t>ANDRE DE OLIVEIRA ASSONI</t>
  </si>
  <si>
    <t xml:space="preserve"> RUA NOVO HORIZONTE</t>
  </si>
  <si>
    <t>ANT10C/1</t>
  </si>
  <si>
    <t>V TABATINGA</t>
  </si>
  <si>
    <t xml:space="preserve"> RUA LUIZ GAMA</t>
  </si>
  <si>
    <t>ANT. 246</t>
  </si>
  <si>
    <t>ANT8AC/1</t>
  </si>
  <si>
    <t xml:space="preserve">fotos do serviço na etapa principal </t>
  </si>
  <si>
    <t>AP63ºANDAR</t>
  </si>
  <si>
    <t xml:space="preserve"> RUA FORTALEZA NOGUEIRAS</t>
  </si>
  <si>
    <t>ANT12C/1</t>
  </si>
  <si>
    <t>READEQUADO CAVALETE</t>
  </si>
  <si>
    <t xml:space="preserve"> RUA SAMUEL FERREIRA DE FREITAS</t>
  </si>
  <si>
    <t>JD VERA</t>
  </si>
  <si>
    <t>com vaz interno,,fotos na o.s principal.</t>
  </si>
  <si>
    <t xml:space="preserve"> RUA PEDRO ARMANDO DONIZETE DE PADU</t>
  </si>
  <si>
    <t>CASA 02.</t>
  </si>
  <si>
    <t>foto na oss que abrimos.para baixa cavalete</t>
  </si>
  <si>
    <t xml:space="preserve"> RUA GUARATINGUETA</t>
  </si>
  <si>
    <t>ANT 234</t>
  </si>
  <si>
    <t>ANT66AC/1</t>
  </si>
  <si>
    <t xml:space="preserve"> AVENIDA PAULISTANA</t>
  </si>
  <si>
    <t xml:space="preserve"> RUA NOBEL DE ALMEIDA KUKE</t>
  </si>
  <si>
    <t>C/1ANT200</t>
  </si>
  <si>
    <t xml:space="preserve"> RUA EDUARDO PINHEIRO</t>
  </si>
  <si>
    <t>C/1ANT9B</t>
  </si>
  <si>
    <t xml:space="preserve"> RUA PERNAMBUCO</t>
  </si>
  <si>
    <t xml:space="preserve"> RUA HERVAL DO OESTE</t>
  </si>
  <si>
    <t>PQ DAS SERINGUEIRAS</t>
  </si>
  <si>
    <t xml:space="preserve"> RUA LAMARTINE BABO</t>
  </si>
  <si>
    <t>COM. 3</t>
  </si>
  <si>
    <t xml:space="preserve"> RUA SAO SEBASTIAO DA AMOREIRA</t>
  </si>
  <si>
    <t xml:space="preserve"> RUA CAPITAO ZINEU SIMIONATO</t>
  </si>
  <si>
    <t>problema interno.falou q vizinha lava roupa hidro nao para.</t>
  </si>
  <si>
    <t>ANT. 1015</t>
  </si>
  <si>
    <t>-ANT  1990</t>
  </si>
  <si>
    <t>fotos na os 2689448656</t>
  </si>
  <si>
    <t>25Q23C/2</t>
  </si>
  <si>
    <t>CASA  05</t>
  </si>
  <si>
    <t xml:space="preserve">sem fotos devido ser area de risco </t>
  </si>
  <si>
    <t>CASA 08</t>
  </si>
  <si>
    <t>ANT3C/1</t>
  </si>
  <si>
    <t>EMERSON JAMES COSTA DIAS</t>
  </si>
  <si>
    <t xml:space="preserve"> RUA JOAO LIBERATO DOS SANTOS</t>
  </si>
  <si>
    <t>REPARO DE REGISTRO DE CAVALETE</t>
  </si>
  <si>
    <t>DIOGO GERMANO SOUZA</t>
  </si>
  <si>
    <t>fotos na O.S principal</t>
  </si>
  <si>
    <t>ANT142C/1</t>
  </si>
  <si>
    <t>obs,,fotos na o.s principal.</t>
  </si>
  <si>
    <t xml:space="preserve"> RUA PETROPOLIS</t>
  </si>
  <si>
    <t xml:space="preserve"> RUA OCTACILIO MALHEIROS</t>
  </si>
  <si>
    <t>ANT. 218</t>
  </si>
  <si>
    <t>CASA1</t>
  </si>
  <si>
    <t>C/3ANT1038</t>
  </si>
  <si>
    <t>JD SANTA EUGENIA</t>
  </si>
  <si>
    <t>trocado kit uma , asfotos estão na OS 2689536929</t>
  </si>
  <si>
    <t xml:space="preserve"> RUA JOAO PAULO PIASSENTINI</t>
  </si>
  <si>
    <t>ANT. 37</t>
  </si>
  <si>
    <t xml:space="preserve"> RUA WALDOMIRO JOSE ANTONIO</t>
  </si>
  <si>
    <t>JD ELIANA</t>
  </si>
  <si>
    <t xml:space="preserve"> RUA TIJUCAS DO SUL</t>
  </si>
  <si>
    <t>BLOCO B</t>
  </si>
  <si>
    <t xml:space="preserve"> RUA PORTO AMAZONAS</t>
  </si>
  <si>
    <t>(ANT 33 A)</t>
  </si>
  <si>
    <t xml:space="preserve"> RUA FRANCISCO GOMES JORDAO</t>
  </si>
  <si>
    <t xml:space="preserve"> RUA JACAREI</t>
  </si>
  <si>
    <t xml:space="preserve"> RUA AIURUOCA</t>
  </si>
  <si>
    <t>fotos na etapa principal</t>
  </si>
  <si>
    <t>ANT. 61 A</t>
  </si>
  <si>
    <t xml:space="preserve"> RUA PALMITAL</t>
  </si>
  <si>
    <t xml:space="preserve"> AVENIDA ANIBAL MARTINS</t>
  </si>
  <si>
    <t>ANT. 747</t>
  </si>
  <si>
    <t xml:space="preserve"> RUA CHUMBO</t>
  </si>
  <si>
    <t xml:space="preserve"> RUA WALDOMIRO ABUD ZANARDI</t>
  </si>
  <si>
    <t>ANT. 172</t>
  </si>
  <si>
    <t xml:space="preserve"> RUA ALMIRANTE BARROSO</t>
  </si>
  <si>
    <t>ANT16AC/3</t>
  </si>
  <si>
    <t>JD SAO LUIZ</t>
  </si>
  <si>
    <t xml:space="preserve"> RUA NOVA AMERICA DA COLINA</t>
  </si>
  <si>
    <t>ANT31BC/1</t>
  </si>
  <si>
    <t>JD SUELI</t>
  </si>
  <si>
    <t xml:space="preserve"> RUA VIVENCIA</t>
  </si>
  <si>
    <t>ANT 140</t>
  </si>
  <si>
    <t xml:space="preserve"> RUA PORTUGUESA</t>
  </si>
  <si>
    <t>ANT. 89</t>
  </si>
  <si>
    <t xml:space="preserve"> RUA SAO BENTO ABADE</t>
  </si>
  <si>
    <t xml:space="preserve"> VIELA BARBOSA</t>
  </si>
  <si>
    <t>obs,o.s aberta apos execucao do servico,fotos na  2689603558.</t>
  </si>
  <si>
    <t xml:space="preserve"> RUA CRISSIUMAL</t>
  </si>
  <si>
    <t>INSTALADO LACRE DIVERSOS</t>
  </si>
  <si>
    <t xml:space="preserve"> VIELA QUATRO</t>
  </si>
  <si>
    <t xml:space="preserve"> RUA CANDIDO DE ABREU</t>
  </si>
  <si>
    <t xml:space="preserve"> RUA ARMINDA DE LIMA</t>
  </si>
  <si>
    <t>ANTG. 863</t>
  </si>
  <si>
    <t xml:space="preserve"> RUA JOAO CARLOS RODRIGUES</t>
  </si>
  <si>
    <t>ANT 40</t>
  </si>
  <si>
    <t xml:space="preserve">fotos na OS principal do serviço,  material usado lacre </t>
  </si>
  <si>
    <t>ANT. 194</t>
  </si>
  <si>
    <t xml:space="preserve">  </t>
  </si>
  <si>
    <t xml:space="preserve"> RUA VALMERINDO DA SILVA</t>
  </si>
  <si>
    <t>sem foto area de risco</t>
  </si>
  <si>
    <t xml:space="preserve"> RUA CELESTE FERNANDES DALPHORNO</t>
  </si>
  <si>
    <t>ANT. 22 A</t>
  </si>
  <si>
    <t>JD RENZO</t>
  </si>
  <si>
    <t>ANT21AC/S2</t>
  </si>
  <si>
    <t xml:space="preserve"> RUA SAMAMBAIA</t>
  </si>
  <si>
    <t>ANT.535</t>
  </si>
  <si>
    <t xml:space="preserve">baixando sem foto devido ser área de risco , material usado lacre </t>
  </si>
  <si>
    <t xml:space="preserve">serviço executado sem foto devido se ária  de risco </t>
  </si>
  <si>
    <t>NÃO TIROU FOTO DEVIDO ÁREA DE RISCO</t>
  </si>
  <si>
    <t>CASA  03</t>
  </si>
  <si>
    <t>EALIZADO REPOSIÇÃO CIMENTADO 1X1</t>
  </si>
  <si>
    <t>REALIZADO, FOTOS NA REDE, REPOSIÇÃO ABERTA NA OS CASA 4 2612561652</t>
  </si>
  <si>
    <t>REALIZADO, FOTOS NA REDE, REPOSIÇÃO OK</t>
  </si>
  <si>
    <t xml:space="preserve"> RUA ROMEU ZELANTI</t>
  </si>
  <si>
    <t xml:space="preserve"> RUA LOURENCO GONCALVES NUNES</t>
  </si>
  <si>
    <t>ANT. 33</t>
  </si>
  <si>
    <t xml:space="preserve"> RUA HELENA MARIA</t>
  </si>
  <si>
    <t>ANT. 435</t>
  </si>
  <si>
    <t>ANT. 169</t>
  </si>
  <si>
    <t>ANT185C/2</t>
  </si>
  <si>
    <t xml:space="preserve"> RUA HIDEO SINZATO</t>
  </si>
  <si>
    <t>ANT 18 B</t>
  </si>
  <si>
    <t>fotos enviada via wattzapp</t>
  </si>
  <si>
    <t xml:space="preserve"> RUA DOS CORRETORES DE IMOVEIS</t>
  </si>
  <si>
    <t>ANT 01 A</t>
  </si>
  <si>
    <t xml:space="preserve"> RUA LUONGO</t>
  </si>
  <si>
    <t xml:space="preserve"> RUA ELISA</t>
  </si>
  <si>
    <t>UTILIZOU O PDA CORRETAMENTE</t>
  </si>
  <si>
    <t xml:space="preserve"> RUA NOVA IGUACU</t>
  </si>
  <si>
    <t>ANT136</t>
  </si>
  <si>
    <t>REALIZADO TROCA
REPOSIÇÃO CONCRETO PASSEIO E REPOSIÇÃO PISO INTERNO ESPECIAL, FOTOS NA REDE</t>
  </si>
  <si>
    <t xml:space="preserve"> RUA DOUTOR LAERTE ROMUALDO DE SOUZA</t>
  </si>
  <si>
    <t xml:space="preserve"> RUA UBIRATA</t>
  </si>
  <si>
    <t>ANT. 197</t>
  </si>
  <si>
    <t xml:space="preserve"> AVENIDA MEM DE SA</t>
  </si>
  <si>
    <t>cliente reclama de pouca pressao foi feita a roça de registro</t>
  </si>
  <si>
    <t>SEVERINO JOSE DA SILVA FILHO</t>
  </si>
  <si>
    <t xml:space="preserve"> AVENIDA DOUTOR CARLOS AP RABELLO DE FREITAS</t>
  </si>
  <si>
    <t>C/1ANT7A</t>
  </si>
  <si>
    <t>ANA CAROLINA FERREIRA SILVA</t>
  </si>
  <si>
    <t>REGISTRO DO CAVALETE INVERTIDO</t>
  </si>
  <si>
    <t>V NSRA DE FATIMA</t>
  </si>
  <si>
    <t xml:space="preserve"> RUA GAMA</t>
  </si>
  <si>
    <t>fotos enviada por wattzap</t>
  </si>
  <si>
    <t>fotos via wattzapp</t>
  </si>
  <si>
    <t>ANT198</t>
  </si>
  <si>
    <t xml:space="preserve"> RUA SANTO ANTONIO DO AVENTUREIRO</t>
  </si>
  <si>
    <t>JD KAWAMOTO</t>
  </si>
  <si>
    <t>obs ,o.s aberta apos execucao do servico ,fotos na o. s principal.</t>
  </si>
  <si>
    <t xml:space="preserve"> RUA COQUEIRO</t>
  </si>
  <si>
    <t xml:space="preserve"> RUA SEG SARGENTO SEBASTIAO DA COSTA CHAVES</t>
  </si>
  <si>
    <t xml:space="preserve"> RUA GERALDO AUGUSTO DA SILVA</t>
  </si>
  <si>
    <t>C/1ANT246</t>
  </si>
  <si>
    <t xml:space="preserve"> RUA LUCINDA FERNANDES CARLOS</t>
  </si>
  <si>
    <t>C/1ANT163E</t>
  </si>
  <si>
    <t xml:space="preserve"> RUA PALMAS DE MONTE ALTO</t>
  </si>
  <si>
    <t xml:space="preserve"> RUA DOUTOR SEBASTIAO FERRAZ</t>
  </si>
  <si>
    <t>C/1ANT39</t>
  </si>
  <si>
    <t xml:space="preserve"> RUA LEILA NUNES</t>
  </si>
  <si>
    <t>ANT.5 C C</t>
  </si>
  <si>
    <t xml:space="preserve"> RUA CAMILO</t>
  </si>
  <si>
    <t xml:space="preserve"> RUA JOSE VILANO</t>
  </si>
  <si>
    <t>ANT. 3 B</t>
  </si>
  <si>
    <t xml:space="preserve"> RUA BENEDITO TRIELI DE LIMA</t>
  </si>
  <si>
    <t>fotos do serviço na OS 2614525739</t>
  </si>
  <si>
    <t xml:space="preserve"> RUA PAPA JOAO XXIII</t>
  </si>
  <si>
    <t>C/2ANT141</t>
  </si>
  <si>
    <t>C/4ANT16</t>
  </si>
  <si>
    <t xml:space="preserve"> RUA MARCELO FRANCISCO</t>
  </si>
  <si>
    <t>fotos na os 2689752076</t>
  </si>
  <si>
    <t xml:space="preserve"> RUA BORBA DA MATA</t>
  </si>
  <si>
    <t xml:space="preserve"> RUA MANGANES</t>
  </si>
  <si>
    <t>ANT13AC/3</t>
  </si>
  <si>
    <t xml:space="preserve"> RUA SAO DANIEL</t>
  </si>
  <si>
    <t>C/1ANT161</t>
  </si>
  <si>
    <t xml:space="preserve"> RUA IZAURA QUEDAS</t>
  </si>
  <si>
    <t xml:space="preserve"> RUA RENATO RUSSO</t>
  </si>
  <si>
    <t xml:space="preserve"> RUA ISMAEL MANOEL DA SILVA</t>
  </si>
  <si>
    <t>ANT27/B</t>
  </si>
  <si>
    <t xml:space="preserve">fotos na etapa principal </t>
  </si>
  <si>
    <t>ANT25C/1</t>
  </si>
  <si>
    <t xml:space="preserve"> RUA FRANCISCO JOSE LINHARES</t>
  </si>
  <si>
    <t>JD IMPERIAL</t>
  </si>
  <si>
    <t xml:space="preserve"> RUA LIDIA GALLONI MERCURIO</t>
  </si>
  <si>
    <t>ANT 27</t>
  </si>
  <si>
    <t>reclama valor auto d conta,,vaz interno.</t>
  </si>
  <si>
    <t xml:space="preserve"> RUA MORUNGABA</t>
  </si>
  <si>
    <t xml:space="preserve"> RUA SARGENTO JOSEMAR DONZILIO DOS SANTOS</t>
  </si>
  <si>
    <t>ANT4C/1</t>
  </si>
  <si>
    <t xml:space="preserve"> RUA SANTA FE</t>
  </si>
  <si>
    <t>ANT4023</t>
  </si>
  <si>
    <t>C/2FDS</t>
  </si>
  <si>
    <t xml:space="preserve"> RUA SAO PEDRO</t>
  </si>
  <si>
    <t>ANT. 157</t>
  </si>
  <si>
    <t>ANT. 244</t>
  </si>
  <si>
    <t xml:space="preserve"> RUA ARMINDA MAURUS</t>
  </si>
  <si>
    <t>RELOGIO 4</t>
  </si>
  <si>
    <t xml:space="preserve"> AVENIDA DAS HORTENCIAS</t>
  </si>
  <si>
    <t xml:space="preserve"> RUA PLUTAO</t>
  </si>
  <si>
    <t>obs,peca da torneira adp.</t>
  </si>
  <si>
    <t xml:space="preserve"> RUA ANTONIO CARDOSO</t>
  </si>
  <si>
    <t>ANT. 53</t>
  </si>
  <si>
    <t>Fotos na Os Principal</t>
  </si>
  <si>
    <t xml:space="preserve"> RUA SAMURAI</t>
  </si>
  <si>
    <t>T.3/AP 043</t>
  </si>
  <si>
    <t>esta estragado o tubete</t>
  </si>
  <si>
    <t xml:space="preserve"> RUA DOS UNIDOS</t>
  </si>
  <si>
    <t xml:space="preserve"> RUA MARIO</t>
  </si>
  <si>
    <t xml:space="preserve"> RUA CORYPHEU DE AZEVEDO MARQUES</t>
  </si>
  <si>
    <t xml:space="preserve"> RUA LEANDRA DELLAFINA DAMIANI</t>
  </si>
  <si>
    <t xml:space="preserve">efetuado um reaberto kits vazando fotos do serviço na etapa principal </t>
  </si>
  <si>
    <t>CASA 271</t>
  </si>
  <si>
    <t>ANT 36C</t>
  </si>
  <si>
    <t xml:space="preserve"> RUA RABELO FREITAS</t>
  </si>
  <si>
    <t>2LT19QDA</t>
  </si>
  <si>
    <t xml:space="preserve"> RUA DOS EUCALIPTOS</t>
  </si>
  <si>
    <t>JD CREPUSCULO</t>
  </si>
  <si>
    <t xml:space="preserve">sem fotos devido area de risco. </t>
  </si>
  <si>
    <t>C/1ANT14</t>
  </si>
  <si>
    <t>foto na oss que cacelamos para abrir cavalete</t>
  </si>
  <si>
    <t>Antigo número 03</t>
  </si>
  <si>
    <t xml:space="preserve"> RUA DO PATRIARCA</t>
  </si>
  <si>
    <t>C10 ANT777</t>
  </si>
  <si>
    <t xml:space="preserve"> RUA SAO JOAO DEL REY</t>
  </si>
  <si>
    <t>ANT 515</t>
  </si>
  <si>
    <t>ANTIGO 23</t>
  </si>
  <si>
    <t xml:space="preserve"> RUA ANTONIO NAKASHIMA</t>
  </si>
  <si>
    <t xml:space="preserve"> RUA MANTENA</t>
  </si>
  <si>
    <t>ANT.  16</t>
  </si>
  <si>
    <t>ANT:20A</t>
  </si>
  <si>
    <t xml:space="preserve"> VIELA UM DA PASSAGEM</t>
  </si>
  <si>
    <t xml:space="preserve"> RUA MANOEL DE ABREU</t>
  </si>
  <si>
    <t xml:space="preserve"> RUA FLUORITA</t>
  </si>
  <si>
    <t>ANT15C</t>
  </si>
  <si>
    <t xml:space="preserve"> RUA GABRIELA</t>
  </si>
  <si>
    <t>fotos na o.s principal.</t>
  </si>
  <si>
    <t xml:space="preserve"> RUA GODOFREDO BEIL</t>
  </si>
  <si>
    <t>ANT. 08</t>
  </si>
  <si>
    <t xml:space="preserve"> RUA CONCEICAO DO ARAGUAIA</t>
  </si>
  <si>
    <t xml:space="preserve"> RUA BEIJA FLOR</t>
  </si>
  <si>
    <t>PQ CONTINENTAL</t>
  </si>
  <si>
    <t xml:space="preserve"> ESTRADA DOS MORROS</t>
  </si>
  <si>
    <t>C/2ANT20</t>
  </si>
  <si>
    <t>JD DA MAMAE</t>
  </si>
  <si>
    <t>obs fotos na o.s principal.</t>
  </si>
  <si>
    <t xml:space="preserve"> RUA HANS HEITEL HOHL</t>
  </si>
  <si>
    <t>V JULIETA</t>
  </si>
  <si>
    <t xml:space="preserve"> RUA PROJETADA</t>
  </si>
  <si>
    <t>ANT1 C/1</t>
  </si>
  <si>
    <t>reclama volor auto d conta.,,obs fotos na o.s principal.</t>
  </si>
  <si>
    <t xml:space="preserve"> RUA SAO JOSE DO PIAUI</t>
  </si>
  <si>
    <t>ANT.N°-15</t>
  </si>
  <si>
    <t>ANT21BC/1</t>
  </si>
  <si>
    <t xml:space="preserve"> RUA TESTAI</t>
  </si>
  <si>
    <t>CASA/03</t>
  </si>
  <si>
    <t>troca do tubete curto</t>
  </si>
  <si>
    <t xml:space="preserve"> RUA VICENZA DAGOSTINHO</t>
  </si>
  <si>
    <t>ANT308FDS</t>
  </si>
  <si>
    <t xml:space="preserve"> RUA CYRO SCHMUTZER FRANCO</t>
  </si>
  <si>
    <t>ANT. 203</t>
  </si>
  <si>
    <t xml:space="preserve"> RUA DOUTOR ROBERTO FERNANDES</t>
  </si>
  <si>
    <t>C/2ANT30</t>
  </si>
  <si>
    <t xml:space="preserve"> VIELA PRIMAVERA</t>
  </si>
  <si>
    <t>sem reposicao obra</t>
  </si>
  <si>
    <t xml:space="preserve"> RUA MARIO RODRIGUES</t>
  </si>
  <si>
    <t>ANT30B</t>
  </si>
  <si>
    <t>reposicao piso especiak 1/1</t>
  </si>
  <si>
    <t xml:space="preserve"> RUA DONA EUZEBIA</t>
  </si>
  <si>
    <t>ANT 199 A</t>
  </si>
  <si>
    <t>C/2ANT315</t>
  </si>
  <si>
    <t xml:space="preserve"> RUA TAQUARITINGA</t>
  </si>
  <si>
    <t xml:space="preserve">Telefone da Os Nao Atende </t>
  </si>
  <si>
    <t xml:space="preserve"> RUA SAO SEBASTIAO DO OESTE</t>
  </si>
  <si>
    <t xml:space="preserve"> RUA MANOEL ISIDRO NOGUEIRA</t>
  </si>
  <si>
    <t xml:space="preserve">foi executado um ccv. </t>
  </si>
  <si>
    <t>ANT90C/1</t>
  </si>
  <si>
    <t>ANT 945</t>
  </si>
  <si>
    <t>ANT41C/2</t>
  </si>
  <si>
    <t xml:space="preserve"> RUA SOLDADO JOSE ALVES DE ABREU</t>
  </si>
  <si>
    <t>CASA-04</t>
  </si>
  <si>
    <t xml:space="preserve"> TRAVESSA EMILIA MODONEZZI</t>
  </si>
  <si>
    <t xml:space="preserve"> RUA SAO MIGUEL DO GUAMA</t>
  </si>
  <si>
    <t xml:space="preserve">fotos os principal </t>
  </si>
  <si>
    <t>ANTIGO 109</t>
  </si>
  <si>
    <t xml:space="preserve"> RUA OLIMPIO MARTINS</t>
  </si>
  <si>
    <t>NORT UE29B</t>
  </si>
  <si>
    <t xml:space="preserve"> RUA CONCEICAO APARECIDA</t>
  </si>
  <si>
    <t>C/4ANT19B</t>
  </si>
  <si>
    <t xml:space="preserve"> RUA KEYLE EMILIA LEMOS SANTOS</t>
  </si>
  <si>
    <t>C/4ANT17</t>
  </si>
  <si>
    <t>ANT.09 A</t>
  </si>
  <si>
    <t xml:space="preserve"> RUA ABELARDO LUZ</t>
  </si>
  <si>
    <t>ANT92</t>
  </si>
  <si>
    <t>CLAUDIO MELO BARBOSA DA SILVA</t>
  </si>
  <si>
    <t xml:space="preserve"> RUA ITAUNA DO SUL</t>
  </si>
  <si>
    <t>ANT149C/3</t>
  </si>
  <si>
    <t>ANT.1111</t>
  </si>
  <si>
    <t xml:space="preserve"> AVENIDA SAO FRANCISCO SALES</t>
  </si>
  <si>
    <t>ANT 10</t>
  </si>
  <si>
    <t xml:space="preserve"> RUA LENCOIS PAULISTA</t>
  </si>
  <si>
    <t>ANT. 181 C</t>
  </si>
  <si>
    <t xml:space="preserve"> RUA SUELEN POLI SARTOR</t>
  </si>
  <si>
    <t xml:space="preserve"> RUA ERVAL VELHO</t>
  </si>
  <si>
    <t>as fotos se encomtram na O.S. 2615420542
sem reposição em obras</t>
  </si>
  <si>
    <t>C/1ANT18A</t>
  </si>
  <si>
    <t>COM1ANT169</t>
  </si>
  <si>
    <t>COM2ANT169</t>
  </si>
  <si>
    <t>C/3ANT1691</t>
  </si>
  <si>
    <t>fotoa na os principal</t>
  </si>
  <si>
    <t>ANTIGO 333</t>
  </si>
  <si>
    <t xml:space="preserve"> RUA ALEMANHA</t>
  </si>
  <si>
    <t>ANT. 304</t>
  </si>
  <si>
    <t xml:space="preserve"> RUA SOLDADO ELIAS VITORINO DE SOUZA</t>
  </si>
  <si>
    <t>fotos na os principal</t>
  </si>
  <si>
    <t xml:space="preserve">fotos e outras informações  no WhatsApp da programação </t>
  </si>
  <si>
    <t xml:space="preserve"> RUA INTERNA CINCO</t>
  </si>
  <si>
    <t>COND PORT DO ACACIO</t>
  </si>
  <si>
    <t xml:space="preserve"> RUA PROFESSOR ELDEMAR ALVES DE OLIVEIRA</t>
  </si>
  <si>
    <t>ANTIGO 266</t>
  </si>
  <si>
    <t xml:space="preserve"> RUA JOAQUIM GONCALVES DA SILVA</t>
  </si>
  <si>
    <t>C/6ANT11D</t>
  </si>
  <si>
    <t xml:space="preserve"> RUA ANORI</t>
  </si>
  <si>
    <t>ANT 12</t>
  </si>
  <si>
    <t xml:space="preserve"> VIELA JOSE BATISTA</t>
  </si>
  <si>
    <t xml:space="preserve"> RUA TRES</t>
  </si>
  <si>
    <t>ANT 4 B</t>
  </si>
  <si>
    <t>RES CERCONI</t>
  </si>
  <si>
    <t>ANT. 44 A</t>
  </si>
  <si>
    <t xml:space="preserve"> RUA WANDERLEY LEITE DE LIMA</t>
  </si>
  <si>
    <t>JD SOLANGE</t>
  </si>
  <si>
    <t xml:space="preserve"> RUA SANTA TEREZA</t>
  </si>
  <si>
    <t>V MILTON</t>
  </si>
  <si>
    <t xml:space="preserve"> RUA RAUL VALENCA</t>
  </si>
  <si>
    <t>ANT 48 C C</t>
  </si>
  <si>
    <t xml:space="preserve"> AVENIDA JULIO PRESTES</t>
  </si>
  <si>
    <t>Fotos Encaminhada Via Whatsapp a Programacao</t>
  </si>
  <si>
    <t xml:space="preserve"> RUA MARIA CRISTINA</t>
  </si>
  <si>
    <t xml:space="preserve">fotos anexada via watsapp </t>
  </si>
  <si>
    <t xml:space="preserve"> RUA LUZIA BALZANI</t>
  </si>
  <si>
    <t>ANT. 410</t>
  </si>
  <si>
    <t>13/04/2026 08:58</t>
  </si>
  <si>
    <t>13/04/2026 09:28</t>
  </si>
  <si>
    <t xml:space="preserve"> RUA VALTERCIDES MUNIZ</t>
  </si>
  <si>
    <t>1 lacre</t>
  </si>
  <si>
    <t>13/04/2026 10:12</t>
  </si>
  <si>
    <t xml:space="preserve"> RUA NANCY DA SILVA CABRAL</t>
  </si>
  <si>
    <t>13/04/2026 12:23</t>
  </si>
  <si>
    <t xml:space="preserve"> RUA FELIZARDA FIRMINO DE ANDRADE</t>
  </si>
  <si>
    <t>ANT. 98</t>
  </si>
  <si>
    <t>13/04/2026 10:47</t>
  </si>
  <si>
    <t>13/04/2026 15:11</t>
  </si>
  <si>
    <t xml:space="preserve"> RUA RIO DO PIRES</t>
  </si>
  <si>
    <t>COM1ANT18</t>
  </si>
  <si>
    <t xml:space="preserve"> RUA COSTA</t>
  </si>
  <si>
    <t>ANT 17 C</t>
  </si>
  <si>
    <t>13/04/2026 14:11</t>
  </si>
  <si>
    <t xml:space="preserve"> RUA ALVINLANDIA</t>
  </si>
  <si>
    <t>13/04/2026 09:01</t>
  </si>
  <si>
    <t xml:space="preserve"> RUA IBICARE</t>
  </si>
  <si>
    <t>C/4ANT34</t>
  </si>
  <si>
    <t>13/04/2026 09:55</t>
  </si>
  <si>
    <t>13/04/2026 13:03</t>
  </si>
  <si>
    <t>13/04/2026 09:47</t>
  </si>
  <si>
    <t xml:space="preserve"> RUA EDGARD</t>
  </si>
  <si>
    <t>ANT10A C/2</t>
  </si>
  <si>
    <t>JD DIOGO</t>
  </si>
  <si>
    <t>obs ,,fotos na o.s principal.</t>
  </si>
  <si>
    <t>13/04/2026 10:01</t>
  </si>
  <si>
    <t xml:space="preserve"> RUA JATOBA</t>
  </si>
  <si>
    <t>13/04/2026 13:47</t>
  </si>
  <si>
    <t xml:space="preserve">sem fotos do serviço trata-se de área de risco </t>
  </si>
  <si>
    <t>13/04/2026 10:33</t>
  </si>
  <si>
    <t xml:space="preserve"> VIELA FLOR DE GIRASSOL</t>
  </si>
  <si>
    <t>fotos na etapa principal, 1 lacre</t>
  </si>
  <si>
    <t>13/04/2026 10:42</t>
  </si>
  <si>
    <t>C/1ANT823</t>
  </si>
  <si>
    <t>sem reposição em obras</t>
  </si>
  <si>
    <t>13/04/2026 11:12</t>
  </si>
  <si>
    <t>C/1..</t>
  </si>
  <si>
    <t>ANT. 82</t>
  </si>
  <si>
    <t>13/04/2026 11:55</t>
  </si>
  <si>
    <t>13/04/2026 15:49</t>
  </si>
  <si>
    <t xml:space="preserve"> RUA JORCELINO MANOEL MACHADO</t>
  </si>
  <si>
    <t>ANT 53</t>
  </si>
  <si>
    <t xml:space="preserve"> RUA TREZE DE MAIO</t>
  </si>
  <si>
    <t>13/04/2026 12:55</t>
  </si>
  <si>
    <t xml:space="preserve"> RUA BENEDICTO CAETANO DA CRUZ</t>
  </si>
  <si>
    <t>obs,fotos na o.s principal.</t>
  </si>
  <si>
    <t>13/04/2026 11:27</t>
  </si>
  <si>
    <t>ANT 1A</t>
  </si>
  <si>
    <t>1 lacre.</t>
  </si>
  <si>
    <t>13/04/2026 12:42</t>
  </si>
  <si>
    <t xml:space="preserve"> RUA ANTONIO GARCIA FERREIRA</t>
  </si>
  <si>
    <t>ANT 14 B</t>
  </si>
  <si>
    <t>foi executado um ccv.
obs: imóvel 54 ( piso interno especial)</t>
  </si>
  <si>
    <t>13/04/2026 12:35</t>
  </si>
  <si>
    <t>13/04/2026 12:21</t>
  </si>
  <si>
    <t>13/04/2026 11:08</t>
  </si>
  <si>
    <t>13/04/2026 12:34</t>
  </si>
  <si>
    <t xml:space="preserve"> RUA FRANCISCO ANTUNES</t>
  </si>
  <si>
    <t>13/04/2026 12:36</t>
  </si>
  <si>
    <t>13/04/2026 12:41</t>
  </si>
  <si>
    <t>trata se da c 01.,,obs fotos na o.s principal.</t>
  </si>
  <si>
    <t>13/04/2026 15:36</t>
  </si>
  <si>
    <t>COM02</t>
  </si>
  <si>
    <t xml:space="preserve">rehitri e relogio do clinte foi furtado </t>
  </si>
  <si>
    <t>13/04/2026 16:32</t>
  </si>
  <si>
    <t xml:space="preserve"> RUA CONCEICAO DOS OUROS</t>
  </si>
  <si>
    <t>A CASA- 05</t>
  </si>
  <si>
    <t>13/04/2026 16:19</t>
  </si>
  <si>
    <t>ANTIGO 275</t>
  </si>
  <si>
    <t>13/04/2026 15:32</t>
  </si>
  <si>
    <t xml:space="preserve"> RUA JOAO JOSE TESTAI</t>
  </si>
  <si>
    <t>14/04/2026 10:56</t>
  </si>
  <si>
    <t xml:space="preserve"> RUA ANDRE FERNANDES</t>
  </si>
  <si>
    <t>ANT304</t>
  </si>
  <si>
    <t>14/04/2026 12:03</t>
  </si>
  <si>
    <t xml:space="preserve"> RUA MONTE DAS OLIVEIRAS</t>
  </si>
  <si>
    <t>14/04/2026 09:48</t>
  </si>
  <si>
    <t>14/04/2026 09:15</t>
  </si>
  <si>
    <t>INSTALAR LACRE NUMERADO</t>
  </si>
  <si>
    <t>ANT.20 C/5</t>
  </si>
  <si>
    <t>INSTALADO LACRE NUMERADO</t>
  </si>
  <si>
    <t>14/04/2026 14:04</t>
  </si>
  <si>
    <t>ESQUINA</t>
  </si>
  <si>
    <t>14/04/2026 09:24</t>
  </si>
  <si>
    <t>14/04/2026 12:45</t>
  </si>
  <si>
    <t>ANT.20 C/4</t>
  </si>
  <si>
    <t>14/04/2026 14:08</t>
  </si>
  <si>
    <t xml:space="preserve"> RUA URANIA</t>
  </si>
  <si>
    <t xml:space="preserve">efetuado um reaberto no cavalete </t>
  </si>
  <si>
    <t>14/04/2026 09:56</t>
  </si>
  <si>
    <t>C/2ANT14</t>
  </si>
  <si>
    <t>foto da execucao na O.S 2614441169</t>
  </si>
  <si>
    <t>14/04/2026 12:23</t>
  </si>
  <si>
    <t xml:space="preserve">nao foi possivel reguadra devido calcada todo estoura. </t>
  </si>
  <si>
    <t xml:space="preserve"> RUA CENTO E DOZE</t>
  </si>
  <si>
    <t>foto da execucao na O.S 269989155</t>
  </si>
  <si>
    <t>14/04/2026 15:24</t>
  </si>
  <si>
    <t>14/04/2026 09:21</t>
  </si>
  <si>
    <t xml:space="preserve"> RUA MOGI GUACU</t>
  </si>
  <si>
    <t>14/04/2026 09:11</t>
  </si>
  <si>
    <t>14/04/2026 10:11</t>
  </si>
  <si>
    <t>14/04/2026 09:52</t>
  </si>
  <si>
    <t>14/04/2026 09:55</t>
  </si>
  <si>
    <t xml:space="preserve"> RUA INTERNA QUATRO</t>
  </si>
  <si>
    <t>14/04/2026 10:49</t>
  </si>
  <si>
    <t>14/04/2026 10:58</t>
  </si>
  <si>
    <t>sem sinalizacao condominio</t>
  </si>
  <si>
    <t>14/04/2026 16:23</t>
  </si>
  <si>
    <t>ANT12DEESQ</t>
  </si>
  <si>
    <t xml:space="preserve">sem foto da lona e do batedor devido que nao preciso quebrar obra no local.  sem foto da sinalizacao devido que nao deu para parar o caminhao no local. </t>
  </si>
  <si>
    <t>14/04/2026 11:15</t>
  </si>
  <si>
    <t xml:space="preserve"> RUA NAZARE PAULISTA</t>
  </si>
  <si>
    <t>14/04/2026 11:42</t>
  </si>
  <si>
    <t xml:space="preserve"> RUA SAO GABRIEL</t>
  </si>
  <si>
    <t>14/04/2026 10:31</t>
  </si>
  <si>
    <t xml:space="preserve"> RUA PAQUITA</t>
  </si>
  <si>
    <t>14/04/2026 14:28</t>
  </si>
  <si>
    <t xml:space="preserve"> RUA DOREZOPOLIS</t>
  </si>
  <si>
    <t>14/04/2026 15:42</t>
  </si>
  <si>
    <t>ANT 1218</t>
  </si>
  <si>
    <t>14/04/2026 16:15</t>
  </si>
  <si>
    <t>C/3CAVPRAT</t>
  </si>
  <si>
    <t xml:space="preserve">vazamento no hidrometro 2 tirado o vazamento e deixado cortado fotos do serviço na etapa principal </t>
  </si>
  <si>
    <t>14/04/2026 11:46</t>
  </si>
  <si>
    <t xml:space="preserve"> RUA BERNARDO ABRUNHOSA</t>
  </si>
  <si>
    <t>14/04/2026 16:01</t>
  </si>
  <si>
    <t xml:space="preserve"> RUA ANA MOREIRA</t>
  </si>
  <si>
    <t>14/04/2026 08:53</t>
  </si>
  <si>
    <t xml:space="preserve"> RUA SANTOS</t>
  </si>
  <si>
    <t>14/04/2026 16:47</t>
  </si>
  <si>
    <t>14/04/2026 12:56</t>
  </si>
  <si>
    <t xml:space="preserve"> RUA LUIZA ALVARO FERRAZ KHOURI</t>
  </si>
  <si>
    <t>fotos da c 3 ,q foi executado tambem.</t>
  </si>
  <si>
    <t>14/04/2026 12:34</t>
  </si>
  <si>
    <t>ANT 97</t>
  </si>
  <si>
    <t>14/04/2026 13:38</t>
  </si>
  <si>
    <t>C/1.</t>
  </si>
  <si>
    <t>fotos  enviadas via watty zap.</t>
  </si>
  <si>
    <t>14/04/2026 15:00</t>
  </si>
  <si>
    <t>14/04/2026 15:35</t>
  </si>
  <si>
    <t xml:space="preserve">sem reposição em obras </t>
  </si>
  <si>
    <t>14/04/2026 10:24</t>
  </si>
  <si>
    <t xml:space="preserve"> TRAVESSA ARRAIAS</t>
  </si>
  <si>
    <t>As fotos estao na OS principal!</t>
  </si>
  <si>
    <t>14/04/2026 16:44</t>
  </si>
  <si>
    <t>14/04/2026 17:05</t>
  </si>
  <si>
    <t>ANT  75</t>
  </si>
  <si>
    <t>14/04/2026 16:45</t>
  </si>
  <si>
    <t>foto na oss que abrmos para baixa cavalete</t>
  </si>
  <si>
    <t>14/04/2026 16:12</t>
  </si>
  <si>
    <t>ONMP - DIV MANUT SERV OPE PIRITUBA</t>
  </si>
  <si>
    <t xml:space="preserve"> RUA SANDOVAL FERREIRA CABRAL</t>
  </si>
  <si>
    <t>JD STO ELIAS</t>
  </si>
  <si>
    <t>15/04/2026 04:05</t>
  </si>
  <si>
    <t>CAMILA DE PAULA OLIVEIRA</t>
  </si>
  <si>
    <t xml:space="preserve"> RUA JOSE CORREIA LIMA</t>
  </si>
  <si>
    <t>CASA 50</t>
  </si>
  <si>
    <t>JD FELICIDADE ZONA OESTE</t>
  </si>
  <si>
    <t>15/04/2026 07:19</t>
  </si>
  <si>
    <t xml:space="preserve"> RUA DOS JURITIS</t>
  </si>
  <si>
    <t>MORADA DO SOL</t>
  </si>
  <si>
    <t>15/04/2026 10:33</t>
  </si>
  <si>
    <t>VALDIZEL ALVES DE OLIVEIRA</t>
  </si>
  <si>
    <t>15/04/2026 10:40</t>
  </si>
  <si>
    <t xml:space="preserve"> RUA VISCONDE DE LECEIA</t>
  </si>
  <si>
    <t>JD RINCAO</t>
  </si>
  <si>
    <t>15/04/2026 12:12</t>
  </si>
  <si>
    <t xml:space="preserve"> RUA GABRIEL BESON DIAS</t>
  </si>
  <si>
    <t>D</t>
  </si>
  <si>
    <t>JARAGUA</t>
  </si>
  <si>
    <t>15/04/2026 07:50</t>
  </si>
  <si>
    <t>DANILO DE ANDRADE SANTANA</t>
  </si>
  <si>
    <t xml:space="preserve"> TRAVESSA DA LUZ DA CHICA LUIZA</t>
  </si>
  <si>
    <t>V CHICA LUIZA</t>
  </si>
  <si>
    <t>15/04/2026 10:44</t>
  </si>
  <si>
    <t xml:space="preserve"> ALAMEDA DAS AMOREIRAS</t>
  </si>
  <si>
    <t>ALPES DO JARAGUA</t>
  </si>
  <si>
    <t xml:space="preserve"> RUA MOVIMENTO DOS CANUDOS</t>
  </si>
  <si>
    <t>JD ROSINHA</t>
  </si>
  <si>
    <t>15/04/2026 10:42</t>
  </si>
  <si>
    <t>DANILO DOS SANTOS JACINTO</t>
  </si>
  <si>
    <t xml:space="preserve"> ESTRADA CORONEL JOSE GLADIADOR</t>
  </si>
  <si>
    <t>JD ANHANGUERA</t>
  </si>
  <si>
    <t xml:space="preserve">hidrometro da casa um que está vazando </t>
  </si>
  <si>
    <t>15/04/2026 10:55</t>
  </si>
  <si>
    <t xml:space="preserve"> RUA BRIGADEIRO HENRIQUE FONTENELLE</t>
  </si>
  <si>
    <t>PQ S DOMINGOS</t>
  </si>
  <si>
    <t>15/04/2026 04:55</t>
  </si>
  <si>
    <t xml:space="preserve"> RUA CAROLINA GUEDES</t>
  </si>
  <si>
    <t>PQ MARIA DOMITILA</t>
  </si>
  <si>
    <t>15/04/2026 06:10</t>
  </si>
  <si>
    <t xml:space="preserve"> RUA CIPRIANO DE GOIS</t>
  </si>
  <si>
    <t>V STA EDWIGES</t>
  </si>
  <si>
    <t>15/04/2026 09:57</t>
  </si>
  <si>
    <t xml:space="preserve"> AVENIDA RAIMUNDO PEREIRA DE MAGALHAES</t>
  </si>
  <si>
    <t>PIRITUBA</t>
  </si>
  <si>
    <t>15/04/2026 08:57</t>
  </si>
  <si>
    <t xml:space="preserve"> PRACA JAIME PINHEIRO DE ULHOA CINTRA</t>
  </si>
  <si>
    <t>CH INGLESA</t>
  </si>
  <si>
    <t>15/04/2026 06:50</t>
  </si>
  <si>
    <t xml:space="preserve"> RUA CORONEL AMILCAR MAGALHAES</t>
  </si>
  <si>
    <t>V ITAPEVA</t>
  </si>
  <si>
    <t>VIVIANE APARECIDA DA SILVA ARAUJO</t>
  </si>
  <si>
    <t xml:space="preserve"> RUA MACEIO</t>
  </si>
  <si>
    <t>CJ HAB TURISTICA</t>
  </si>
  <si>
    <t>15/04/2026 05:29</t>
  </si>
  <si>
    <t xml:space="preserve"> RUA ANA MADALENA FERREIRA</t>
  </si>
  <si>
    <t>V MARIA EUGENIA</t>
  </si>
  <si>
    <t>15/04/2026 07:39</t>
  </si>
  <si>
    <t xml:space="preserve"> RUA CARAIBAS</t>
  </si>
  <si>
    <t>V JARAGUA</t>
  </si>
  <si>
    <t>15/04/2026 06:19</t>
  </si>
  <si>
    <t xml:space="preserve"> RUA PALACIO GUANABARA</t>
  </si>
  <si>
    <t>JD TAIPAS</t>
  </si>
  <si>
    <t>15/04/2026 10:37</t>
  </si>
  <si>
    <t>ALINE DE MELO SOUTO</t>
  </si>
  <si>
    <t xml:space="preserve"> RUA ARACY RONDON AMARANTE</t>
  </si>
  <si>
    <t>PQ NACOES UNIDAS</t>
  </si>
  <si>
    <t>15/04/2026 10:39</t>
  </si>
  <si>
    <t>JD SIDNEY</t>
  </si>
  <si>
    <t>15/04/2026 07:58</t>
  </si>
  <si>
    <t>LUIZ CARLOS ALVES GOMES DA SILVA</t>
  </si>
  <si>
    <t xml:space="preserve"> RUA DO OUTONO</t>
  </si>
  <si>
    <t>BRASILANDIA</t>
  </si>
  <si>
    <t>15/04/2026 09:24</t>
  </si>
  <si>
    <t>SIDNEY FREDERICO CARLOS DA SILVA</t>
  </si>
  <si>
    <t xml:space="preserve"> RUA TRAJANO DE CARVALHO</t>
  </si>
  <si>
    <t>JD GUARANI</t>
  </si>
  <si>
    <t>15/04/2026 08:43</t>
  </si>
  <si>
    <t xml:space="preserve"> RUA AHYLTON MARQUES</t>
  </si>
  <si>
    <t>V NOVA PARADA</t>
  </si>
  <si>
    <t>15/04/2026 07:05</t>
  </si>
  <si>
    <t xml:space="preserve"> RUA PROJETADA UM</t>
  </si>
  <si>
    <t>JD PRINCESA</t>
  </si>
  <si>
    <t>15/04/2026 10:35</t>
  </si>
  <si>
    <t xml:space="preserve"> RUA CARMINO MONTUORI</t>
  </si>
  <si>
    <t xml:space="preserve">cavalete unificado necessário mexer na casa 1 e 2 </t>
  </si>
  <si>
    <t>15/04/2026 06:45</t>
  </si>
  <si>
    <t xml:space="preserve"> AVENIDA ELISIO TEIXEIRA LEITE</t>
  </si>
  <si>
    <t>JD PAULISTANO ZNORTE</t>
  </si>
  <si>
    <t>15/04/2026 08:55</t>
  </si>
  <si>
    <t xml:space="preserve"> RUA BRAZ BALTAZAR DA SILVEIRA</t>
  </si>
  <si>
    <t>V NOVA PERUS</t>
  </si>
  <si>
    <t>RAIMUNDO NONATO COSTA DA SILVA</t>
  </si>
  <si>
    <t>RECANTO DO PARAISO</t>
  </si>
  <si>
    <t>15/04/2026 08:47</t>
  </si>
  <si>
    <t xml:space="preserve"> RUA SALMISTAS</t>
  </si>
  <si>
    <t>15/04/2026 09:11</t>
  </si>
  <si>
    <t xml:space="preserve"> RUA VALE DAS FLORES</t>
  </si>
  <si>
    <t>JD STA LUCRECIA</t>
  </si>
  <si>
    <t>15/04/2026 10:09</t>
  </si>
  <si>
    <t xml:space="preserve"> RUA CURUARA</t>
  </si>
  <si>
    <t>JD IRIS</t>
  </si>
  <si>
    <t>15/04/2026 09:35</t>
  </si>
  <si>
    <t xml:space="preserve"> RUA NATAL S 124 Q 2068</t>
  </si>
  <si>
    <t>15/04/2026 04:59</t>
  </si>
  <si>
    <t xml:space="preserve"> RUA TURMALINA NEGRA</t>
  </si>
  <si>
    <t>15/04/2026 14:21</t>
  </si>
  <si>
    <t xml:space="preserve"> RUA FAISAO</t>
  </si>
  <si>
    <t>SITIO ITABERABA II</t>
  </si>
  <si>
    <t>15/04/2026 11:15</t>
  </si>
  <si>
    <t>GILBERTO JOSE DA SILVA</t>
  </si>
  <si>
    <t xml:space="preserve"> RUA LITORAL PARANAENSE</t>
  </si>
  <si>
    <t>JD PIRITUBA</t>
  </si>
  <si>
    <t>15/04/2026 14:55</t>
  </si>
  <si>
    <t>MARCOS PEREIRA DE OLIVEIRA</t>
  </si>
  <si>
    <t xml:space="preserve"> PRAÇA INUBIA PAULISTA</t>
  </si>
  <si>
    <t xml:space="preserve">executado antes de abrir a os </t>
  </si>
  <si>
    <t>15/04/2026 12:25</t>
  </si>
  <si>
    <t xml:space="preserve"> RUA DOUTOR JOAO BATISTA BERNARDES DE LIMA</t>
  </si>
  <si>
    <t>15/04/2026 12:46</t>
  </si>
  <si>
    <t xml:space="preserve"> RUA PROFESSOR ANGELO MAZZA</t>
  </si>
  <si>
    <t>V MANGALOT</t>
  </si>
  <si>
    <t xml:space="preserve">obras não faser reposição </t>
  </si>
  <si>
    <t>FRANCISCO MELO DA SILVA</t>
  </si>
  <si>
    <t xml:space="preserve"> RUA PROJETADA DOIS</t>
  </si>
  <si>
    <t>B C/3</t>
  </si>
  <si>
    <t>serviço executado antes de abrir a OS
cavalete unificado feito casa 3 e 4</t>
  </si>
  <si>
    <t>15/04/2026 12:08</t>
  </si>
  <si>
    <t xml:space="preserve"> AVENIDA ALEXIOS JAFET</t>
  </si>
  <si>
    <t>JD IPANEMA ZONA OESTE</t>
  </si>
  <si>
    <t>15/04/2026 14:38</t>
  </si>
  <si>
    <t xml:space="preserve"> RUA FORMOSO DO ARAGUAIA</t>
  </si>
  <si>
    <t>JD JOSE MARIA</t>
  </si>
  <si>
    <t xml:space="preserve"> RUA FRANCISCO PEREIRA PASSOS</t>
  </si>
  <si>
    <t>15/04/2026 18:53</t>
  </si>
  <si>
    <t>RODRIGO AMARO VIEGAS</t>
  </si>
  <si>
    <t>C/2ANT707</t>
  </si>
  <si>
    <t>16/04/2026 09:05</t>
  </si>
  <si>
    <t xml:space="preserve"> AVENIDA SUMARE</t>
  </si>
  <si>
    <t>16/04/2026 12:02</t>
  </si>
  <si>
    <t>COMPL A</t>
  </si>
  <si>
    <t xml:space="preserve">usado um dispositivo caixa uma kits </t>
  </si>
  <si>
    <t>16/04/2026 11:02</t>
  </si>
  <si>
    <t xml:space="preserve"> RUA JOSE MARTELLO</t>
  </si>
  <si>
    <t>16/04/2026 11:01</t>
  </si>
  <si>
    <t xml:space="preserve"> AVENIDA CAMPISTA</t>
  </si>
  <si>
    <t>16/04/2026 10:49</t>
  </si>
  <si>
    <t>16/04/2026 11:29</t>
  </si>
  <si>
    <t xml:space="preserve"> RUA MARIA TEREZA RABELO</t>
  </si>
  <si>
    <t xml:space="preserve">sem foto da lona e do batedor devido que nao preciso quebrar o passeio. passeio em obra </t>
  </si>
  <si>
    <t>16/04/2026 15:32</t>
  </si>
  <si>
    <t>vazamento era no casa 1</t>
  </si>
  <si>
    <t>16/04/2026 11:41</t>
  </si>
  <si>
    <t>16/04/2026 13:45</t>
  </si>
  <si>
    <t>16/04/2026 13:28</t>
  </si>
  <si>
    <t>16/04/2026 13:03</t>
  </si>
  <si>
    <t>16/04/2026 09:58</t>
  </si>
  <si>
    <t>16/04/2026 11:30</t>
  </si>
  <si>
    <t xml:space="preserve"> os aberta após execução</t>
  </si>
  <si>
    <t>16/04/2026 09:59</t>
  </si>
  <si>
    <t xml:space="preserve"> RUA ATALAIA</t>
  </si>
  <si>
    <t>ANT 1</t>
  </si>
  <si>
    <t>16/04/2026 08:57</t>
  </si>
  <si>
    <t>C/2ANT16</t>
  </si>
  <si>
    <t>16/04/2026 14:03</t>
  </si>
  <si>
    <t>16/04/2026 16:36</t>
  </si>
  <si>
    <t xml:space="preserve"> RUA MARIA DAS DORES LOPES PINHEIRO</t>
  </si>
  <si>
    <t>AANT30</t>
  </si>
  <si>
    <t>16/04/2026 16:37</t>
  </si>
  <si>
    <t>obs,,o.s com problema na sincronizacao.</t>
  </si>
  <si>
    <t>16/04/2026 10:55</t>
  </si>
  <si>
    <t>16/04/2026 11:15</t>
  </si>
  <si>
    <t>ANT  78</t>
  </si>
  <si>
    <t>16/04/2026 11:39</t>
  </si>
  <si>
    <t xml:space="preserve"> VIELA CENTER</t>
  </si>
  <si>
    <t>16/04/2026 11:47</t>
  </si>
  <si>
    <t>16/04/2026 11:32</t>
  </si>
  <si>
    <t xml:space="preserve"> RUA URUGUAI</t>
  </si>
  <si>
    <t>16/04/2026 11:58</t>
  </si>
  <si>
    <t xml:space="preserve"> RUA JOSE ADENILIO BENITO</t>
  </si>
  <si>
    <t>ANT. 85</t>
  </si>
  <si>
    <t>16/04/2026 14:44</t>
  </si>
  <si>
    <t>16/04/2026 15:10</t>
  </si>
  <si>
    <t xml:space="preserve"> RUA SANTO VALOTTO</t>
  </si>
  <si>
    <t>16/04/2026 13:43</t>
  </si>
  <si>
    <t xml:space="preserve"> AVENIDA CESARIO LANGE</t>
  </si>
  <si>
    <t>ANT 22</t>
  </si>
  <si>
    <t>16/04/2026 16:07</t>
  </si>
  <si>
    <t>16/04/2026 14:17</t>
  </si>
  <si>
    <t>ANT919</t>
  </si>
  <si>
    <t>16/04/2026 13:15</t>
  </si>
  <si>
    <t xml:space="preserve"> RUA CANGUCU</t>
  </si>
  <si>
    <t>ANT 50</t>
  </si>
  <si>
    <t>16/04/2026 13:16</t>
  </si>
  <si>
    <t xml:space="preserve"> RUA NESTOR JOAO DE OLIVEIRA</t>
  </si>
  <si>
    <t>16/04/2026 14:04</t>
  </si>
  <si>
    <t>fotos na etapa principal.</t>
  </si>
  <si>
    <t xml:space="preserve"> RUA MANOEL AUGUSTO GOMES</t>
  </si>
  <si>
    <t>foto na os que abrimo o cavalete</t>
  </si>
  <si>
    <t>16/04/2026 15:39</t>
  </si>
  <si>
    <t xml:space="preserve"> RUA SOLDADO WALDEMAR MARTINS DE ALMEIDA</t>
  </si>
  <si>
    <t>Reapertos nas Porcas dos Tubetes // Srta Kyara Informada do seu Vazto.Interno</t>
  </si>
  <si>
    <t>17/04/2026 09:32</t>
  </si>
  <si>
    <t xml:space="preserve"> RUA SOLDADO COSME HENRIQUE DOS SANTOS</t>
  </si>
  <si>
    <t>17/04/2026 09:15</t>
  </si>
  <si>
    <t xml:space="preserve"> RUA NOEL ROSA</t>
  </si>
  <si>
    <t>17/04/2026 10:03</t>
  </si>
  <si>
    <t>ANT2G</t>
  </si>
  <si>
    <t>17/04/2026 09:52</t>
  </si>
  <si>
    <t>17/04/2026 09:10</t>
  </si>
  <si>
    <t>ANT.28</t>
  </si>
  <si>
    <t>17/04/2026 11:57</t>
  </si>
  <si>
    <t xml:space="preserve"> RUA OSLO</t>
  </si>
  <si>
    <t>ANT7C/1</t>
  </si>
  <si>
    <t>17/04/2026 10:20</t>
  </si>
  <si>
    <t xml:space="preserve"> RUA GALILEU</t>
  </si>
  <si>
    <t>ANT3</t>
  </si>
  <si>
    <t>17/04/2026 09:48</t>
  </si>
  <si>
    <t>17/04/2026 08:51</t>
  </si>
  <si>
    <t>A CASA 03</t>
  </si>
  <si>
    <t>17/04/2026 10:21</t>
  </si>
  <si>
    <t>17/04/2026 10:57</t>
  </si>
  <si>
    <t xml:space="preserve"> RUA SANTANA DOS MONTES</t>
  </si>
  <si>
    <t>17/04/2026 11:23</t>
  </si>
  <si>
    <t>foto da execucao na O.S 2615546639</t>
  </si>
  <si>
    <t>17/04/2026 08:24</t>
  </si>
  <si>
    <t xml:space="preserve">aem foto da lona e do batedor devido que ja tava quebrado no pe do cavalete. </t>
  </si>
  <si>
    <t>17/04/2026 14:43</t>
  </si>
  <si>
    <t>17/04/2026 15:01</t>
  </si>
  <si>
    <t xml:space="preserve"> RUA PEDRO ALVARES CABRAL</t>
  </si>
  <si>
    <t>EMFRENTEAO</t>
  </si>
  <si>
    <t>REALIZADO REPARO NO CAVALETE, FOTOS NA OS E NA REDE TAMBEM</t>
  </si>
  <si>
    <t>17/04/2026 10:01</t>
  </si>
  <si>
    <t xml:space="preserve"> RUA EDUARDO</t>
  </si>
  <si>
    <t xml:space="preserve">efetuado um reaberto kits da caixa uma </t>
  </si>
  <si>
    <t>17/04/2026 14:47</t>
  </si>
  <si>
    <t>17/04/2026 09:43</t>
  </si>
  <si>
    <t xml:space="preserve"> RUA DOUTOR ROBERTO LEMOS DE PADUA</t>
  </si>
  <si>
    <t>ANT.Nº-97</t>
  </si>
  <si>
    <t>17/04/2026 13:52</t>
  </si>
  <si>
    <t xml:space="preserve"> RUA DONA DINART SANTANA NUNES</t>
  </si>
  <si>
    <t>ANT. 5 C C</t>
  </si>
  <si>
    <t>17/04/2026 10:13</t>
  </si>
  <si>
    <t>ANT. 440</t>
  </si>
  <si>
    <t>17/04/2026 14:24</t>
  </si>
  <si>
    <t>C/1ANT11A</t>
  </si>
  <si>
    <t>17/04/2026 14:39</t>
  </si>
  <si>
    <t>17/04/2026 11:58</t>
  </si>
  <si>
    <t xml:space="preserve"> TRAVESSA TAPIRAI</t>
  </si>
  <si>
    <t>ANT. 81</t>
  </si>
  <si>
    <t>17/04/2026 12:45</t>
  </si>
  <si>
    <t xml:space="preserve"> VIELA PARA</t>
  </si>
  <si>
    <t>viela de dificio acesso . sem foto do compactador manual porque tava muito ruim pra subir viela com escadao .</t>
  </si>
  <si>
    <t>17/04/2026 15:28</t>
  </si>
  <si>
    <t>IND 01</t>
  </si>
  <si>
    <t>17/04/2026 16:23</t>
  </si>
  <si>
    <t>C/2ANT297</t>
  </si>
  <si>
    <t>17/04/2026 15:20</t>
  </si>
  <si>
    <t>obs ,fotos na o.s principal.</t>
  </si>
  <si>
    <t>ALTOSANT39</t>
  </si>
  <si>
    <t>cavalete muito deteriorado ,trocar .</t>
  </si>
  <si>
    <t>17/04/2026 15:27</t>
  </si>
  <si>
    <t xml:space="preserve"> RUA CHARQUEARA</t>
  </si>
  <si>
    <t>18/04/2026 12:21</t>
  </si>
  <si>
    <t xml:space="preserve"> RUA ITAMARATI DE MINAS</t>
  </si>
  <si>
    <t>18/04/2026 10:25</t>
  </si>
  <si>
    <t xml:space="preserve"> RUA PETROCIA</t>
  </si>
  <si>
    <t>18/04/2026 09:21</t>
  </si>
  <si>
    <t xml:space="preserve"> RUA TRINTA E SETE</t>
  </si>
  <si>
    <t>ANT.  8</t>
  </si>
  <si>
    <t>18/04/2026 13:02</t>
  </si>
  <si>
    <t>BAIXOC/2</t>
  </si>
  <si>
    <t>18/04/2026 10:03</t>
  </si>
  <si>
    <t>18/04/2026 10:36</t>
  </si>
  <si>
    <t xml:space="preserve"> RUA AUGUSTA CASEIRO</t>
  </si>
  <si>
    <t>18/04/2026 14:11</t>
  </si>
  <si>
    <t xml:space="preserve"> RUA IGUATAMA</t>
  </si>
  <si>
    <t>18/04/2026 11:44</t>
  </si>
  <si>
    <t xml:space="preserve"> RUA ROSANA CAPELLA CARDOSO</t>
  </si>
  <si>
    <t>ANT10A</t>
  </si>
  <si>
    <t xml:space="preserve">serviço sem fotos ,o celular travou e não abriu a câmera </t>
  </si>
  <si>
    <t>18/04/2026 14:09</t>
  </si>
  <si>
    <t>18/04/2026 11:23</t>
  </si>
  <si>
    <t>18/04/2026 09:29</t>
  </si>
  <si>
    <t xml:space="preserve"> RUA ANALIA FRANCO</t>
  </si>
  <si>
    <t>18/04/2026 11:40</t>
  </si>
  <si>
    <t xml:space="preserve"> RUA TABAPUA</t>
  </si>
  <si>
    <t>18/04/2026 16:24</t>
  </si>
  <si>
    <t xml:space="preserve"> RUA BANDEIRA PAULISTA</t>
  </si>
  <si>
    <t xml:space="preserve"> RUA PEDRO PERELLA</t>
  </si>
  <si>
    <t>18/04/2026 10:18</t>
  </si>
  <si>
    <t>18/04/2026 10:41</t>
  </si>
  <si>
    <t>CASA 04.</t>
  </si>
  <si>
    <t>18/04/2026 13:13</t>
  </si>
  <si>
    <t>18/04/2026 14:15</t>
  </si>
  <si>
    <t xml:space="preserve"> RUA PASCHOALINA MIGLIORINI</t>
  </si>
  <si>
    <t>Numero do Hidrometro Ilegivel</t>
  </si>
  <si>
    <t>19/04/2026 10:11</t>
  </si>
  <si>
    <t>C/2ANT233</t>
  </si>
  <si>
    <t>19/04/2026 10:35</t>
  </si>
  <si>
    <t xml:space="preserve"> RUA ESPERANCA</t>
  </si>
  <si>
    <t xml:space="preserve">efetuado um reaberto </t>
  </si>
  <si>
    <t>19/04/2026 12:35</t>
  </si>
  <si>
    <t xml:space="preserve">fotos na os 2690999950 </t>
  </si>
  <si>
    <t>19/04/2026 09:03</t>
  </si>
  <si>
    <t>19/04/2026 15:44</t>
  </si>
  <si>
    <t xml:space="preserve"> RUA FORTALEZA DE MINAS</t>
  </si>
  <si>
    <t>19/04/2026 09:52</t>
  </si>
  <si>
    <t xml:space="preserve"> RUA SOLDADO SEBASTIAO GARCIA</t>
  </si>
  <si>
    <t>19/04/2026 09:22</t>
  </si>
  <si>
    <t>19/04/2026 09:31</t>
  </si>
  <si>
    <t>SOBRADO121</t>
  </si>
  <si>
    <t xml:space="preserve"> RUA CORONEL MACEDO</t>
  </si>
  <si>
    <t>ANT80C/2</t>
  </si>
  <si>
    <t>Orlando,,,valtemir.</t>
  </si>
  <si>
    <t>19/04/2026 10:55</t>
  </si>
  <si>
    <t>19/04/2026 10:21</t>
  </si>
  <si>
    <t>ANT. 299</t>
  </si>
  <si>
    <t>19/04/2026 10:27</t>
  </si>
  <si>
    <t>19/04/2026 11:35</t>
  </si>
  <si>
    <t>C/1ANT206</t>
  </si>
  <si>
    <t>20/04/2026 09:37</t>
  </si>
  <si>
    <t xml:space="preserve"> RUA JOAQUIM NABUCO</t>
  </si>
  <si>
    <t>ANT. 209</t>
  </si>
  <si>
    <t>20/04/2026 10:43</t>
  </si>
  <si>
    <t>20/04/2026 09:36</t>
  </si>
  <si>
    <t xml:space="preserve"> RUA CATANDUVA</t>
  </si>
  <si>
    <t>20/04/2026 10:14</t>
  </si>
  <si>
    <t xml:space="preserve"> RUA CASA BRANCA</t>
  </si>
  <si>
    <t xml:space="preserve"> RUA EMMA GOBBI SONCINI</t>
  </si>
  <si>
    <t>20/04/2026 10:29</t>
  </si>
  <si>
    <t xml:space="preserve"> RUA ALFREDO ARAUJO DE LIMA</t>
  </si>
  <si>
    <t xml:space="preserve">Sem fotos da sinalização motivo rua sem acesso ao caminhão </t>
  </si>
  <si>
    <t>20/04/2026 13:59</t>
  </si>
  <si>
    <t xml:space="preserve"> RUA SAO JERONIMO DA SERRA</t>
  </si>
  <si>
    <t>20/04/2026 12:37</t>
  </si>
  <si>
    <t xml:space="preserve"> RUA LAGOA DOURADA</t>
  </si>
  <si>
    <t>20/04/2026 11:01</t>
  </si>
  <si>
    <t>20/04/2026 15:12</t>
  </si>
  <si>
    <t xml:space="preserve"> RUA FRANCISCO DE PAULA PEREIRA PAC</t>
  </si>
  <si>
    <t>20/04/2026 11:52</t>
  </si>
  <si>
    <t>20/04/2026 10:27</t>
  </si>
  <si>
    <t>20/04/2026 10:56</t>
  </si>
  <si>
    <t>20/04/2026 11:28</t>
  </si>
  <si>
    <t>sr vai pedir troca d cavalete deteriorado.obs,,fotos na o.s principal.</t>
  </si>
  <si>
    <t>20/04/2026 12:01</t>
  </si>
  <si>
    <t xml:space="preserve"> RUA DOM MACEDO DA COSTA</t>
  </si>
  <si>
    <t>20/04/2026 13:03</t>
  </si>
  <si>
    <t>CASA-  02</t>
  </si>
  <si>
    <t xml:space="preserve">sem reposicao obra </t>
  </si>
  <si>
    <t>20/04/2026 14:26</t>
  </si>
  <si>
    <t xml:space="preserve"> RUA GIRASSOL</t>
  </si>
  <si>
    <t>servico interno sem repoaicao e sem sinalizacao</t>
  </si>
  <si>
    <t>COM1ANT33</t>
  </si>
  <si>
    <t>fotos na os 261 386 7776</t>
  </si>
  <si>
    <t>20/04/2026 14:30</t>
  </si>
  <si>
    <t xml:space="preserve"> RUA CIZANEA</t>
  </si>
  <si>
    <t>20/04/2026 17:14</t>
  </si>
  <si>
    <t>Obs,,fotos na o.s principal.</t>
  </si>
  <si>
    <t>20/04/2026 13:06</t>
  </si>
  <si>
    <t xml:space="preserve"> RUA SAO JOSE DO CALCADO</t>
  </si>
  <si>
    <t>C/1ANT92</t>
  </si>
  <si>
    <t>V MESQUITA</t>
  </si>
  <si>
    <t>20/04/2026 15:06</t>
  </si>
  <si>
    <t xml:space="preserve"> RUA TAGUAI</t>
  </si>
  <si>
    <t>Obs,fotos na o.s principal.</t>
  </si>
  <si>
    <t>20/04/2026 16:17</t>
  </si>
  <si>
    <t>21/04/2026 12:21</t>
  </si>
  <si>
    <t>21/04/2026 10:39</t>
  </si>
  <si>
    <t xml:space="preserve"> RUA JOAO CAVALCANTE DE OLIVEIRA</t>
  </si>
  <si>
    <t>PQ ESTRELA</t>
  </si>
  <si>
    <t>21/04/2026 10:53</t>
  </si>
  <si>
    <t>ANT305S</t>
  </si>
  <si>
    <t>21/04/2026 09:16</t>
  </si>
  <si>
    <t>ANT10AC/1</t>
  </si>
  <si>
    <t>21/04/2026 09:24</t>
  </si>
  <si>
    <t>CASA  2</t>
  </si>
  <si>
    <t>21/04/2026 13:41</t>
  </si>
  <si>
    <t>COM. 03</t>
  </si>
  <si>
    <t>You estancado o vazamento do local pois a água estava suprimida</t>
  </si>
  <si>
    <t>21/04/2026 09:25</t>
  </si>
  <si>
    <t xml:space="preserve"> RUA MARIA JOSE ALVES</t>
  </si>
  <si>
    <t>ANT28B</t>
  </si>
  <si>
    <t>21/04/2026 15:10</t>
  </si>
  <si>
    <t>ANT. 673</t>
  </si>
  <si>
    <t>fotos na Os 2616232500</t>
  </si>
  <si>
    <t>21/04/2026 16:00</t>
  </si>
  <si>
    <t>21/04/2026 13:34</t>
  </si>
  <si>
    <t>ANT126</t>
  </si>
  <si>
    <t>21/04/2026 11:28</t>
  </si>
  <si>
    <t>21/04/2026 11:36</t>
  </si>
  <si>
    <t>21/04/2026 12:20</t>
  </si>
  <si>
    <t xml:space="preserve"> RUA PROFESSOR FERREIRA PAULINO</t>
  </si>
  <si>
    <t>ANT. 72</t>
  </si>
  <si>
    <t>21/04/2026 09:39</t>
  </si>
  <si>
    <t xml:space="preserve"> RUA JACOMINA APARECIDA PATERNO LUO</t>
  </si>
  <si>
    <t>21/04/2026 13:10</t>
  </si>
  <si>
    <t>21/04/2026 11:13</t>
  </si>
  <si>
    <t>ANT1600</t>
  </si>
  <si>
    <t>21/04/2026 14:57</t>
  </si>
  <si>
    <t>fotos dessa os estão na os de vazamento de água não visível em ramal 2626616138</t>
  </si>
  <si>
    <t>21/04/2026 16:04</t>
  </si>
  <si>
    <t>ANT22A C/2</t>
  </si>
  <si>
    <t>22/04/2026 10:12</t>
  </si>
  <si>
    <t xml:space="preserve"> TRAVESSA BARBOSA</t>
  </si>
  <si>
    <t>22/04/2026 10:26</t>
  </si>
  <si>
    <t xml:space="preserve"> RUA JOSE GOMES JARDIM</t>
  </si>
  <si>
    <t>C/1ANT12B</t>
  </si>
  <si>
    <t>22/04/2026 10:11</t>
  </si>
  <si>
    <t xml:space="preserve"> RUA JOAO TURSI</t>
  </si>
  <si>
    <t>Fotos Encaminhada via Whatsapp a Programacao</t>
  </si>
  <si>
    <t xml:space="preserve"> VIELA DANDARA PALMARES</t>
  </si>
  <si>
    <t>22/04/2026 09:20</t>
  </si>
  <si>
    <t>ANT. 77</t>
  </si>
  <si>
    <t>22/04/2026 09:32</t>
  </si>
  <si>
    <t>CASA 10</t>
  </si>
  <si>
    <t>22/04/2026 11:20</t>
  </si>
  <si>
    <t>C/1ANT2C</t>
  </si>
  <si>
    <t>22/04/2026 16:07</t>
  </si>
  <si>
    <t xml:space="preserve"> VIELA CATARINA TESTAI</t>
  </si>
  <si>
    <t>ANT38</t>
  </si>
  <si>
    <t>22/04/2026 14:20</t>
  </si>
  <si>
    <t xml:space="preserve"> RUA JOAQUIM MIRANDA</t>
  </si>
  <si>
    <t>ANT. 146</t>
  </si>
  <si>
    <t>22/04/2026 09:42</t>
  </si>
  <si>
    <t>fotos na Os 2616618910</t>
  </si>
  <si>
    <t>22/04/2026 11:08</t>
  </si>
  <si>
    <t>NÃO FOI POSSIVEL VISUALIZAR O SERVIÇO REALIZADO</t>
  </si>
  <si>
    <t>22/04/2026 13:37</t>
  </si>
  <si>
    <t>ANT. 360</t>
  </si>
  <si>
    <t>Reaperto na Porca do Tubete</t>
  </si>
  <si>
    <t>22/04/2026 11:48</t>
  </si>
  <si>
    <t>17 Q-7</t>
  </si>
  <si>
    <t>fotos na O.S.2616752048</t>
  </si>
  <si>
    <t>22/04/2026 12:06</t>
  </si>
  <si>
    <t>ANT3C/2</t>
  </si>
  <si>
    <t>22/04/2026 11:07</t>
  </si>
  <si>
    <t>obs,,problemas na sincronizacao.</t>
  </si>
  <si>
    <t>22/04/2026 14:59</t>
  </si>
  <si>
    <t xml:space="preserve"> RUA JOSE GONCALVES NEVES</t>
  </si>
  <si>
    <t>JD GRACINDA</t>
  </si>
  <si>
    <t>22/04/2026 15:08</t>
  </si>
  <si>
    <t>22/04/2026 12:42</t>
  </si>
  <si>
    <t>sem toda as foto devido equpe de. avalete vim coloca hidro</t>
  </si>
  <si>
    <t>22/04/2026 13:59</t>
  </si>
  <si>
    <t>ANT10C/2</t>
  </si>
  <si>
    <t>foto na oss que abrimo para baixa o cavalete</t>
  </si>
  <si>
    <t>22/04/2026 15:50</t>
  </si>
  <si>
    <t>PE DE CAVALETE DIMENCIONADA 2 POLEGADAS fotos na os 2616821497 obs : sem foto de cavalete na rua por  que o caminhao nao estava na rua e sim no estacionamendo da residencia do imovel.</t>
  </si>
  <si>
    <t>22/04/2026 16:37</t>
  </si>
  <si>
    <t xml:space="preserve"> PASSAGEM AIRES</t>
  </si>
  <si>
    <t>ANT.411</t>
  </si>
  <si>
    <t xml:space="preserve"> RUA ROSA CRUZ</t>
  </si>
  <si>
    <t>24/04/2026 10:16</t>
  </si>
  <si>
    <t xml:space="preserve"> RUA PARANAPANEMA</t>
  </si>
  <si>
    <t>24/04/2026 09:15</t>
  </si>
  <si>
    <t>C/1ANT17C</t>
  </si>
  <si>
    <t>24/04/2026 08:59</t>
  </si>
  <si>
    <t xml:space="preserve"> RUA BEBEDOURO</t>
  </si>
  <si>
    <t>JD BEBEDOURO</t>
  </si>
  <si>
    <t>24/04/2026 12:07</t>
  </si>
  <si>
    <t>ANT. 31 A</t>
  </si>
  <si>
    <t>24/04/2026 10:38</t>
  </si>
  <si>
    <t xml:space="preserve"> RUA ELIAS ACRAS</t>
  </si>
  <si>
    <t>SA 1</t>
  </si>
  <si>
    <t>V SAO JORGE</t>
  </si>
  <si>
    <t>foi feito u. reparo de cavalete
sem  sinalização motivo o caminhão estava longe do serviço executado</t>
  </si>
  <si>
    <t>24/04/2026 09:47</t>
  </si>
  <si>
    <t xml:space="preserve"> RUA ELIANE</t>
  </si>
  <si>
    <t>24/04/2026 12:59</t>
  </si>
  <si>
    <t xml:space="preserve"> RUA ISABEL SPINA PERELLA</t>
  </si>
  <si>
    <t>ANT.444</t>
  </si>
  <si>
    <t>V ADELAIDE PERELA</t>
  </si>
  <si>
    <t>24/04/2026 16:20</t>
  </si>
  <si>
    <t>24/04/2026 16:24</t>
  </si>
  <si>
    <t>24/04/2026 11:52</t>
  </si>
  <si>
    <t>24/04/2026 13:52</t>
  </si>
  <si>
    <t xml:space="preserve"> RUA ROBERTO</t>
  </si>
  <si>
    <t>24/04/2026 08:53</t>
  </si>
  <si>
    <t>24/04/2026 09:24</t>
  </si>
  <si>
    <t xml:space="preserve"> RUA VINTE E QUATRO DE OUTUBRO</t>
  </si>
  <si>
    <t>ANT. 80 A</t>
  </si>
  <si>
    <t>24/04/2026 09:33</t>
  </si>
  <si>
    <t>ANTIGO 277</t>
  </si>
  <si>
    <t>24/04/2026 15:13</t>
  </si>
  <si>
    <t xml:space="preserve"> RUA AUGUSTO MAIA</t>
  </si>
  <si>
    <t>24/04/2026 11:18</t>
  </si>
  <si>
    <t xml:space="preserve"> RUA ALTAMIRA</t>
  </si>
  <si>
    <t>FDS C/3</t>
  </si>
  <si>
    <t>24/04/2026 15:09</t>
  </si>
  <si>
    <t>ANT 84</t>
  </si>
  <si>
    <t>24/04/2026 15:21</t>
  </si>
  <si>
    <t xml:space="preserve"> RUA BRANCA SALES</t>
  </si>
  <si>
    <t>ANT. 95</t>
  </si>
  <si>
    <t>OBS,,fotos na o.s principal
.</t>
  </si>
  <si>
    <t>24/04/2026 11:53</t>
  </si>
  <si>
    <t>ANT51C/1</t>
  </si>
  <si>
    <t>OBS,,fotos na o.s principal ,,servico na c 2.</t>
  </si>
  <si>
    <t>24/04/2026 11:44</t>
  </si>
  <si>
    <t>C/2ANT164</t>
  </si>
  <si>
    <t>24/04/2026 13:31</t>
  </si>
  <si>
    <t xml:space="preserve"> RUA OSVALDO RAMOS</t>
  </si>
  <si>
    <t>CASA-4</t>
  </si>
  <si>
    <t xml:space="preserve">fotos via wattsap,  devido erro de sincronização </t>
  </si>
  <si>
    <t>24/04/2026 14:13</t>
  </si>
  <si>
    <t>C/2ANT43</t>
  </si>
  <si>
    <t>25/04/2026 12:47</t>
  </si>
  <si>
    <t xml:space="preserve"> RUA DOMINGOS ALVES DOS SANTOS</t>
  </si>
  <si>
    <t>OBS,,fotos na o.s principal.</t>
  </si>
  <si>
    <t>foto na oss que abri os para baixa ao cavalere</t>
  </si>
  <si>
    <t>24/04/2026 14:18</t>
  </si>
  <si>
    <t>25/04/2026 08:02</t>
  </si>
  <si>
    <t>ANT8C/4</t>
  </si>
  <si>
    <t>25/04/2026 09:25</t>
  </si>
  <si>
    <t xml:space="preserve"> RUA SARGENTO GONCALO JOAQUIM DE OLIVEIRA</t>
  </si>
  <si>
    <t>CASA- 05</t>
  </si>
  <si>
    <t>25/04/2026 08:37</t>
  </si>
  <si>
    <t xml:space="preserve">cavalete esta normal nao esta vazando nada foi trocado as borrachas de vedação </t>
  </si>
  <si>
    <t>25/04/2026 07:45</t>
  </si>
  <si>
    <t>25/04/2026 10:22</t>
  </si>
  <si>
    <t xml:space="preserve"> RUA MONTE NEGRO</t>
  </si>
  <si>
    <t>25/04/2026 10:45</t>
  </si>
  <si>
    <t>ANTGNº16CA</t>
  </si>
  <si>
    <t>25/04/2026 10:53</t>
  </si>
  <si>
    <t>ANT20AAC/2</t>
  </si>
  <si>
    <t>25/04/2026 14:16</t>
  </si>
  <si>
    <t>ANT. 199</t>
  </si>
  <si>
    <t>25/04/2026 11:33</t>
  </si>
  <si>
    <t xml:space="preserve"> RUA CAMBARA DO SUL</t>
  </si>
  <si>
    <t>JD VANIRA</t>
  </si>
  <si>
    <t>25/04/2026 08:06</t>
  </si>
  <si>
    <t>ANT4147</t>
  </si>
  <si>
    <t>fotos da execucao enviadas via whattsapp</t>
  </si>
  <si>
    <t>25/04/2026 14:14</t>
  </si>
  <si>
    <t xml:space="preserve"> RUA FIRMINO DE BARROS</t>
  </si>
  <si>
    <t>ANT.  91</t>
  </si>
  <si>
    <t>25/04/2026 15:04</t>
  </si>
  <si>
    <t>fotos na os 2691523958</t>
  </si>
  <si>
    <t>25/04/2026 10:58</t>
  </si>
  <si>
    <t>ANT16B</t>
  </si>
  <si>
    <t xml:space="preserve">foto na os anterior </t>
  </si>
  <si>
    <t>25/04/2026 09:42</t>
  </si>
  <si>
    <t>Água estava encerrado e faturada só foi estanca do vazamento do furto do HD</t>
  </si>
  <si>
    <t>25/04/2026 12:25</t>
  </si>
  <si>
    <t>CASA   0 4</t>
  </si>
  <si>
    <t>25/04/2026 12:51</t>
  </si>
  <si>
    <t xml:space="preserve"> RUA ANTONIO MARTINS</t>
  </si>
  <si>
    <t>C/2ANT66</t>
  </si>
  <si>
    <t>25/04/2026 14:26</t>
  </si>
  <si>
    <t xml:space="preserve"> RUA ALECSANDER ALVES DINHO</t>
  </si>
  <si>
    <t>ANT29B C/1</t>
  </si>
  <si>
    <t>25/04/2026 14:13</t>
  </si>
  <si>
    <t>25/04/2026 16:06</t>
  </si>
  <si>
    <t>25/04/2026 15:41</t>
  </si>
  <si>
    <t>26/04/2026 08:43</t>
  </si>
  <si>
    <t xml:space="preserve"> VIELA DA PAZ</t>
  </si>
  <si>
    <t>26/04/2026 08:34</t>
  </si>
  <si>
    <t xml:space="preserve"> RUA INDIANOPOLIS</t>
  </si>
  <si>
    <t>ANT11C/1</t>
  </si>
  <si>
    <t>26/04/2026 09:59</t>
  </si>
  <si>
    <t>26/04/2026 11:27</t>
  </si>
  <si>
    <t>CASA 06.</t>
  </si>
  <si>
    <t>26/04/2026 10:20</t>
  </si>
  <si>
    <t xml:space="preserve"> RUA CANUTAMA</t>
  </si>
  <si>
    <t xml:space="preserve">fotos e informações no WhatsApp da programação </t>
  </si>
  <si>
    <t>26/04/2026 10:28</t>
  </si>
  <si>
    <t>26/04/2026 11:31</t>
  </si>
  <si>
    <t>26/04/2026 09:57</t>
  </si>
  <si>
    <t>C/2ANT407</t>
  </si>
  <si>
    <t>26/04/2026 13:04</t>
  </si>
  <si>
    <t>26/04/2026 12:45</t>
  </si>
  <si>
    <t>ANT20AC/2</t>
  </si>
  <si>
    <t>26/04/2026 13:28</t>
  </si>
  <si>
    <t>26/04/2026 14:37</t>
  </si>
  <si>
    <t xml:space="preserve"> RUA SANTO ANTONIO DA PLATINA</t>
  </si>
  <si>
    <t>26/04/2026 15:04</t>
  </si>
  <si>
    <t>26/04/2026 09:42</t>
  </si>
  <si>
    <t>ANTIGO 719</t>
  </si>
  <si>
    <t xml:space="preserve">observação reposição por conta do cliente </t>
  </si>
  <si>
    <t>26/04/2026 11:33</t>
  </si>
  <si>
    <t>26/04/2026 14:50</t>
  </si>
  <si>
    <t>26/04/2026 15:02</t>
  </si>
  <si>
    <t>26/04/2026 16:18</t>
  </si>
  <si>
    <t>ANT.84</t>
  </si>
  <si>
    <t>27/04/2026 12:22</t>
  </si>
  <si>
    <t>27/04/2026 14:40</t>
  </si>
  <si>
    <t>27/04/2026 12:13</t>
  </si>
  <si>
    <t xml:space="preserve"> RUA HORACIO MANOEL VIEIRA</t>
  </si>
  <si>
    <t xml:space="preserve">efetuado um conserto na casa três </t>
  </si>
  <si>
    <t>27/04/2026 11:38</t>
  </si>
  <si>
    <t>27/04/2026 11:00</t>
  </si>
  <si>
    <t xml:space="preserve"> RUA ELISIO RIBEIRO</t>
  </si>
  <si>
    <t>27/04/2026 15:08</t>
  </si>
  <si>
    <t xml:space="preserve"> RUA CLAUDIO AGOSTINHO</t>
  </si>
  <si>
    <t>CASA - 2</t>
  </si>
  <si>
    <t>27/04/2026 16:53</t>
  </si>
  <si>
    <t>ANT.536</t>
  </si>
  <si>
    <t>27/04/2026 15:24</t>
  </si>
  <si>
    <t xml:space="preserve"> RUA FRANCISCO BONDANCA</t>
  </si>
  <si>
    <t>ANT 131</t>
  </si>
  <si>
    <t>27/04/2026 11:10</t>
  </si>
  <si>
    <t>ANT 139 A</t>
  </si>
  <si>
    <t>27/04/2026 14:16</t>
  </si>
  <si>
    <t>27/04/2026 10:37</t>
  </si>
  <si>
    <t>27/04/2026 14:41</t>
  </si>
  <si>
    <t>27/04/2026 13:57</t>
  </si>
  <si>
    <t xml:space="preserve"> RUA GUARULHOS</t>
  </si>
  <si>
    <t>ANT 112 A</t>
  </si>
  <si>
    <t>27/04/2026 14:28</t>
  </si>
  <si>
    <t>C/1ANT770</t>
  </si>
  <si>
    <t>27/04/2026 16:20</t>
  </si>
  <si>
    <t>ANT. 3 C</t>
  </si>
  <si>
    <t>Obs,,fotos na o.s principal.,,pediu pra deixa sem tampa.</t>
  </si>
  <si>
    <t>27/04/2026 12:48</t>
  </si>
  <si>
    <t xml:space="preserve"> RUA CARAZINHO</t>
  </si>
  <si>
    <t>COM/02</t>
  </si>
  <si>
    <t>27/04/2026 13:28</t>
  </si>
  <si>
    <t>27/04/2026 13:09</t>
  </si>
  <si>
    <t xml:space="preserve"> RUA DOS GEOGRAFOS</t>
  </si>
  <si>
    <t>obs,,,fotos na o.s principal.</t>
  </si>
  <si>
    <t>27/04/2026 14:11</t>
  </si>
  <si>
    <t>ANT- 07</t>
  </si>
  <si>
    <t>ANT.2</t>
  </si>
  <si>
    <t>28/04/2026 09:38</t>
  </si>
  <si>
    <t>28/04/2026 10:43</t>
  </si>
  <si>
    <t xml:space="preserve"> RUA SANTA CONCEICAO</t>
  </si>
  <si>
    <t>ANT. 63</t>
  </si>
  <si>
    <t>28/04/2026 08:45</t>
  </si>
  <si>
    <t>B C/2</t>
  </si>
  <si>
    <t xml:space="preserve"> RUA JOAQUIM AUGUSTO DE AGUIAR</t>
  </si>
  <si>
    <t>ANT22C/1</t>
  </si>
  <si>
    <t>28/04/2026 12:04</t>
  </si>
  <si>
    <t>ANT 02</t>
  </si>
  <si>
    <t>28/04/2026 11:52</t>
  </si>
  <si>
    <t>ANT32A</t>
  </si>
  <si>
    <t>28/04/2026 12:39</t>
  </si>
  <si>
    <t xml:space="preserve"> RUA MUNHOZ MELO</t>
  </si>
  <si>
    <t>ANT 14 C/1</t>
  </si>
  <si>
    <t>28/04/2026 10:57</t>
  </si>
  <si>
    <t>fotos na os 2614164004.  executado uma subistituicao casa 1 e 2  . obs: essa ordem de servico é a casa 2 da residencia .por favor corigir .</t>
  </si>
  <si>
    <t>28/04/2026 18:24</t>
  </si>
  <si>
    <t xml:space="preserve"> ALAMEDA AMELIA</t>
  </si>
  <si>
    <t>28/04/2026 13:09</t>
  </si>
  <si>
    <t xml:space="preserve"> RUA SAO FRANCISCO DO PARA</t>
  </si>
  <si>
    <t>28/04/2026 12:37</t>
  </si>
  <si>
    <t xml:space="preserve">fotos na etapa principal  efetuado um novo concerto devido cotovelo trincado cavalete de ferro </t>
  </si>
  <si>
    <t>28/04/2026 09:35</t>
  </si>
  <si>
    <t xml:space="preserve"> RUA MARCELINO PETITO</t>
  </si>
  <si>
    <t>V CARIOCA</t>
  </si>
  <si>
    <t>28/04/2026 09:49</t>
  </si>
  <si>
    <t>28/04/2026 14:08</t>
  </si>
  <si>
    <t xml:space="preserve"> AVENIDA JOAO PALMA ALEMAN</t>
  </si>
  <si>
    <t>28/04/2026 15:13</t>
  </si>
  <si>
    <t>ANTIGO 80</t>
  </si>
  <si>
    <t>28/04/2026 14:25</t>
  </si>
  <si>
    <t>ANTGNº12C</t>
  </si>
  <si>
    <t>28/04/2026 11:08</t>
  </si>
  <si>
    <t>ANT 32 B</t>
  </si>
  <si>
    <t>28/04/2026 13:57</t>
  </si>
  <si>
    <t>28/04/2026 11:21</t>
  </si>
  <si>
    <t xml:space="preserve"> ALAMEDA YAYA</t>
  </si>
  <si>
    <t>V AIDA</t>
  </si>
  <si>
    <t>28/04/2026 13:47</t>
  </si>
  <si>
    <t>28/04/2026 12:50</t>
  </si>
  <si>
    <t>28/04/2026 13:49</t>
  </si>
  <si>
    <t xml:space="preserve">não hrd furtado </t>
  </si>
  <si>
    <t>28/04/2026 14:51</t>
  </si>
  <si>
    <t>29/04/2026 09:10</t>
  </si>
  <si>
    <t xml:space="preserve"> AVENIDA TENENTE AURELIO VIEIRA SAMPAIO</t>
  </si>
  <si>
    <t>ANTIGO 21</t>
  </si>
  <si>
    <t>V HERMINIA</t>
  </si>
  <si>
    <t>Executado Cra Ramal Exposto // Numero do Hidrometro Ilegivel</t>
  </si>
  <si>
    <t>29/04/2026 13:06</t>
  </si>
  <si>
    <t xml:space="preserve"> RUA DESCALVADO</t>
  </si>
  <si>
    <t>ANTIGO-139</t>
  </si>
  <si>
    <t>29/04/2026 09:20</t>
  </si>
  <si>
    <t xml:space="preserve"> RUA LALAU RABELLO</t>
  </si>
  <si>
    <t>29/04/2026 11:07</t>
  </si>
  <si>
    <t xml:space="preserve"> RUA JOAO BATISTA VAZ</t>
  </si>
  <si>
    <t>29/04/2026 09:07</t>
  </si>
  <si>
    <t xml:space="preserve"> RUA EMBU</t>
  </si>
  <si>
    <t>PQ MARABA</t>
  </si>
  <si>
    <t>29/04/2026 11:27</t>
  </si>
  <si>
    <t xml:space="preserve"> RUA RIO GRANDE</t>
  </si>
  <si>
    <t>ANT. 438</t>
  </si>
  <si>
    <t>29/04/2026 10:26</t>
  </si>
  <si>
    <t>29/04/2026 10:37</t>
  </si>
  <si>
    <t>29/04/2026 11:43</t>
  </si>
  <si>
    <t xml:space="preserve"> RUA SANTANA DO DESERTO</t>
  </si>
  <si>
    <t>29/04/2026 10:49</t>
  </si>
  <si>
    <t xml:space="preserve"> ALAMEDA RUFINO ALVES LOPES</t>
  </si>
  <si>
    <t xml:space="preserve">morador ausente </t>
  </si>
  <si>
    <t>29/04/2026 09:18</t>
  </si>
  <si>
    <t xml:space="preserve">o retrabalho e decorrente a obra que estão fazendo,todo vez que fizer só conserto e eles ficarem usando a mangueira vai vazar.
e necessário fazer a regularização do cavalete </t>
  </si>
  <si>
    <t>ANT8C/1</t>
  </si>
  <si>
    <t>29/04/2026 12:50</t>
  </si>
  <si>
    <t xml:space="preserve"> RUA ANTONIO DE FREITAS REIS JUNIOR</t>
  </si>
  <si>
    <t>29/04/2026 10:51</t>
  </si>
  <si>
    <t>29/04/2026 11:51</t>
  </si>
  <si>
    <t>29/04/2026 09:37</t>
  </si>
  <si>
    <t xml:space="preserve"> RUA SALES</t>
  </si>
  <si>
    <t>nao tinha tampa na caixa uma.</t>
  </si>
  <si>
    <t>29/04/2026 13:26</t>
  </si>
  <si>
    <t>29/04/2026 09:32</t>
  </si>
  <si>
    <t>C/1ANT19C</t>
  </si>
  <si>
    <t>29/04/2026 14:28</t>
  </si>
  <si>
    <t xml:space="preserve"> RUA AMERICO DE PAULA ARANTES</t>
  </si>
  <si>
    <t>29/04/2026 08:48</t>
  </si>
  <si>
    <t>Sim sem foto da sinalização motivo caminhãos longe do serviço</t>
  </si>
  <si>
    <t>29/04/2026 09:39</t>
  </si>
  <si>
    <t>29/04/2026 15:15</t>
  </si>
  <si>
    <t xml:space="preserve"> RUA SILVIA</t>
  </si>
  <si>
    <t>C/1ANT13</t>
  </si>
  <si>
    <t>29/04/2026 17:14</t>
  </si>
  <si>
    <t xml:space="preserve"> RUA BELO JARDIM</t>
  </si>
  <si>
    <t>ANT 392</t>
  </si>
  <si>
    <t>29/04/2026 15:18</t>
  </si>
  <si>
    <t xml:space="preserve"> RUA MARIA RITA SEVERINO</t>
  </si>
  <si>
    <t>ANTIGO 9</t>
  </si>
  <si>
    <t>29/04/2026 16:03</t>
  </si>
  <si>
    <t xml:space="preserve"> RUA SILVESTRE VASCONCELOS CALMON</t>
  </si>
  <si>
    <t>V PEDRO MOREIRA</t>
  </si>
  <si>
    <t>29/04/2026 09:51</t>
  </si>
  <si>
    <t>29/04/2026 14:54</t>
  </si>
  <si>
    <t>29/04/2026 12:06</t>
  </si>
  <si>
    <t xml:space="preserve">executado um conserto de cavalete porém cliente foi orientado a pedir uma regularização de cavalete para caixa uma cavalete de ferro muito antigo e enferrujado </t>
  </si>
  <si>
    <t>29/04/2026 15:08</t>
  </si>
  <si>
    <t>ANT497SALA</t>
  </si>
  <si>
    <t>29/04/2026 14:11</t>
  </si>
  <si>
    <t>29/04/2026 12:30</t>
  </si>
  <si>
    <t>29/04/2026 12:51</t>
  </si>
  <si>
    <t xml:space="preserve">obs,,fotos na o.s principal. </t>
  </si>
  <si>
    <t>29/04/2026 13:31</t>
  </si>
  <si>
    <t xml:space="preserve"> RUA BUENO BRANDAO</t>
  </si>
  <si>
    <t>JD SAO JOSE</t>
  </si>
  <si>
    <t>29/04/2026 14:48</t>
  </si>
  <si>
    <t xml:space="preserve"> RUA NAIN HASSAN RACHID</t>
  </si>
  <si>
    <t>fotos dessa os estão na os de troca de ramal de água 2617788955</t>
  </si>
  <si>
    <t xml:space="preserve">fotos na o.s principal. </t>
  </si>
  <si>
    <t>29/04/2026 16:58</t>
  </si>
  <si>
    <t>ANT. 6</t>
  </si>
  <si>
    <t>foto na oss que cacelamos para abrir o cavalete</t>
  </si>
  <si>
    <t>29/04/2026 15:03</t>
  </si>
  <si>
    <t xml:space="preserve"> RUA VERISSIMO</t>
  </si>
  <si>
    <t xml:space="preserve">cachorro comeu o cavalete </t>
  </si>
  <si>
    <t>30/04/2026 13:08</t>
  </si>
  <si>
    <t xml:space="preserve"> ALAMEDA DOS BEM TE VIS</t>
  </si>
  <si>
    <t>COND VALE DOS PASSAR</t>
  </si>
  <si>
    <t>30/04/2026 12:46</t>
  </si>
  <si>
    <t xml:space="preserve"> RUA JOSE RAIMUNDO DE OLIVEIRA</t>
  </si>
  <si>
    <t>C2ANT29</t>
  </si>
  <si>
    <t xml:space="preserve"> RUA ANGELO PEDRO COSTA</t>
  </si>
  <si>
    <t>30/04/2026 11:03</t>
  </si>
  <si>
    <t>30/04/2026 12:44</t>
  </si>
  <si>
    <t xml:space="preserve"> VIELA ABRIL</t>
  </si>
  <si>
    <t>30/04/2026 15:32</t>
  </si>
  <si>
    <t>30/04/2026 12:43</t>
  </si>
  <si>
    <t xml:space="preserve"> RUA TUCANO ANT SEIS A</t>
  </si>
  <si>
    <t>30/04/2026 13:13</t>
  </si>
  <si>
    <t>C/1ANT12AA</t>
  </si>
  <si>
    <t xml:space="preserve">realizado o reparo </t>
  </si>
  <si>
    <t>30/04/2026 10:48</t>
  </si>
  <si>
    <t xml:space="preserve"> RUA JOAQUIM JOSE DE CARVALHO</t>
  </si>
  <si>
    <t>C/3ANT9A</t>
  </si>
  <si>
    <t>V MARIA IZABEL</t>
  </si>
  <si>
    <t xml:space="preserve"> AVENIDA JOAO BERNARDO MEDEIROS</t>
  </si>
  <si>
    <t>JD BOM CLIMA</t>
  </si>
  <si>
    <t>Sinalização sem sinalização o acesso ao caminhão</t>
  </si>
  <si>
    <t>30/04/2026 08:28</t>
  </si>
  <si>
    <t xml:space="preserve"> RUA JORGE VEIGA</t>
  </si>
  <si>
    <t>ANT.32</t>
  </si>
  <si>
    <t>sem foto  sinalização motivo o sem acesso ao caminhão</t>
  </si>
  <si>
    <t xml:space="preserve">fotos na caixa 2 </t>
  </si>
  <si>
    <t>30/04/2026 11:35</t>
  </si>
  <si>
    <t>ANT. 5 C</t>
  </si>
  <si>
    <t>30/04/2026 15:48</t>
  </si>
  <si>
    <t xml:space="preserve">foi feito sondagem um reparo de cavalete </t>
  </si>
  <si>
    <t>30/04/2026 09:39</t>
  </si>
  <si>
    <t>30/04/2026 17:08</t>
  </si>
  <si>
    <t>30/04/2026 17:06</t>
  </si>
  <si>
    <t>30/04/2026 17:05</t>
  </si>
  <si>
    <t>aproveitado o ramal.</t>
  </si>
  <si>
    <t>30/04/2026 16:54</t>
  </si>
  <si>
    <t>C/02</t>
  </si>
  <si>
    <t>foto da execucao na O.S 2614614498</t>
  </si>
  <si>
    <t>ANTIGO 50</t>
  </si>
  <si>
    <t>30/04/2026 12:21</t>
  </si>
  <si>
    <t>ANT 367</t>
  </si>
  <si>
    <t>30/04/2026 09:45</t>
  </si>
  <si>
    <t>30/04/2026 10:14</t>
  </si>
  <si>
    <t xml:space="preserve"> RUA POLONIA</t>
  </si>
  <si>
    <t>30/04/2026 14:28</t>
  </si>
  <si>
    <t>30/04/2026 15:07</t>
  </si>
  <si>
    <t xml:space="preserve"> RUA VICENTE LEPORACE</t>
  </si>
  <si>
    <t>30/04/2026 13:29</t>
  </si>
  <si>
    <t>30/04/2026 15:37</t>
  </si>
  <si>
    <t>30/04/2026 16:19</t>
  </si>
  <si>
    <t xml:space="preserve"> RUA SAO RAIMUNDO DAS MANGABEIRAS</t>
  </si>
  <si>
    <t>ANT. 14</t>
  </si>
  <si>
    <t>foto da execucao enviadas via whattsapp</t>
  </si>
  <si>
    <t>30/04/2026 16:51</t>
  </si>
  <si>
    <t xml:space="preserve"> RUA ISABEL PEREIRA GARCIA</t>
  </si>
  <si>
    <t>JD ODETE</t>
  </si>
  <si>
    <t>30/04/2026 14:39</t>
  </si>
  <si>
    <t>ANT 5A</t>
  </si>
  <si>
    <t>30/04/2026 16:34</t>
  </si>
  <si>
    <t xml:space="preserve">Observação Sinalização </t>
  </si>
  <si>
    <t>Observação imprimação</t>
  </si>
  <si>
    <t>Observação Termômetro</t>
  </si>
  <si>
    <t>Observação Rastelo</t>
  </si>
  <si>
    <t>.COMPAC. MASSA ASF.</t>
  </si>
  <si>
    <t>Observação Compac. Da Massa ASF.</t>
  </si>
  <si>
    <t>Observação Placa Vibratória</t>
  </si>
  <si>
    <t>REPOSIÇÃO DE CAPA ASFALTICA INV</t>
  </si>
  <si>
    <t>MARTHONIO RODRIGUES DOS SANTOS</t>
  </si>
  <si>
    <t>REPOSIÇÃO DE CAPA ASFALTICA</t>
  </si>
  <si>
    <t>ANT40C/1</t>
  </si>
  <si>
    <t>ANT 999</t>
  </si>
  <si>
    <t xml:space="preserve"> RUA SANTANA DO ITARARE</t>
  </si>
  <si>
    <t>ANT 20</t>
  </si>
  <si>
    <t>Trata se de Pv</t>
  </si>
  <si>
    <t>ANTIGO  23</t>
  </si>
  <si>
    <t>base concreto</t>
  </si>
  <si>
    <t>LUCAS HENRIQUE ALVES DA SILVA</t>
  </si>
  <si>
    <t xml:space="preserve"> RUA ORLANDO FANTAZZINI</t>
  </si>
  <si>
    <t>ANT12 C/1</t>
  </si>
  <si>
    <t xml:space="preserve"> AVENIDA JOSE LOURENCO NEVES</t>
  </si>
  <si>
    <t>ANT125</t>
  </si>
  <si>
    <t>Rua fresada trata-se de obra no local</t>
  </si>
  <si>
    <t xml:space="preserve"> RUA TAPACIQUARA</t>
  </si>
  <si>
    <t>JONATHAN JUSTINO ELOY</t>
  </si>
  <si>
    <t xml:space="preserve"> RUA FIORI POLACHINI</t>
  </si>
  <si>
    <t>ANT.51 C/2</t>
  </si>
  <si>
    <t>FOTOS NO PLANEJAMENTO DO DIA 01/04</t>
  </si>
  <si>
    <t xml:space="preserve"> RUA ANTONIO GUEDES DA SILVA</t>
  </si>
  <si>
    <t>ANT. 138</t>
  </si>
  <si>
    <t>ANT. 1780</t>
  </si>
  <si>
    <t>ANTNº10A</t>
  </si>
  <si>
    <t xml:space="preserve"> RUA SEG SARGENTO RUBENS LEITE</t>
  </si>
  <si>
    <t>FDS</t>
  </si>
  <si>
    <t>V GOPOUVA</t>
  </si>
  <si>
    <t>ANT30</t>
  </si>
  <si>
    <t xml:space="preserve"> RUA SALGADO DE CASTRO</t>
  </si>
  <si>
    <t>FOTOS SALVAS NA ETAPA DO FIM DO DIA - ERRO DE SINCRONIZAÇÃO</t>
  </si>
  <si>
    <t xml:space="preserve"> TRAVESSA ORSI</t>
  </si>
  <si>
    <t>JD DAS HORTENCIAS</t>
  </si>
  <si>
    <t xml:space="preserve"> RUA TIJUCAS</t>
  </si>
  <si>
    <t xml:space="preserve"> RUA ENTRE RIOS DE MINAS</t>
  </si>
  <si>
    <t>ANT. 108</t>
  </si>
  <si>
    <t>BASE DE CONCRETO</t>
  </si>
  <si>
    <t>executado anteriormente trata-se de obra no local</t>
  </si>
  <si>
    <t>ANTN°1030</t>
  </si>
  <si>
    <t>sequência de fotos na os 2614312644</t>
  </si>
  <si>
    <t>Servico Executado Anteriormente devido Urgencia, Os aberta Posteriormente</t>
  </si>
  <si>
    <t xml:space="preserve"> RUA SANDOVALINA</t>
  </si>
  <si>
    <t xml:space="preserve">não utilização de sapinho base </t>
  </si>
  <si>
    <t xml:space="preserve">base concreto não utilização de sapinho </t>
  </si>
  <si>
    <t>ANT62C/1</t>
  </si>
  <si>
    <t>FOTOS NA O.S. 2614397494 - VALA 2</t>
  </si>
  <si>
    <t>AUSÊNCIA DE CARIMBO</t>
  </si>
  <si>
    <t>sequência de fotos na is 2614498794</t>
  </si>
  <si>
    <t>FOTOS SALVAS NA REDE</t>
  </si>
  <si>
    <t>MAYARA BUENO LERIDA TADDEI</t>
  </si>
  <si>
    <t>FOTOS SALVAS NA REDE - PRIORIDADE</t>
  </si>
  <si>
    <t>executado anteriormente</t>
  </si>
  <si>
    <t>serviço executado sem sequência de fotos local transitado ou Estreito</t>
  </si>
  <si>
    <t xml:space="preserve"> RUA UGANDA</t>
  </si>
  <si>
    <t>REPOSIÇÃO DE ASFALTO INV</t>
  </si>
  <si>
    <t xml:space="preserve">OS REF 2611251030 SEGUNDA VALA fotos na rede </t>
  </si>
  <si>
    <t>13/04/2026 09:35</t>
  </si>
  <si>
    <t>13/04/2026 09:53</t>
  </si>
  <si>
    <t>13/04/2026 09:10</t>
  </si>
  <si>
    <t>13/04/2026 13:01</t>
  </si>
  <si>
    <t>13/04/2026 12:33</t>
  </si>
  <si>
    <t>13/04/2026 09:00</t>
  </si>
  <si>
    <t>13/04/2026 12:18</t>
  </si>
  <si>
    <t>USO INCORRETO DO EQUIPAMENTO</t>
  </si>
  <si>
    <t>13/04/2026 08:14</t>
  </si>
  <si>
    <t>13/04/2026 09:30</t>
  </si>
  <si>
    <t>13/04/2026 08:01</t>
  </si>
  <si>
    <t>13/04/2026 11:02</t>
  </si>
  <si>
    <t>13/04/2026 10:36</t>
  </si>
  <si>
    <t>13/04/2026 13:51</t>
  </si>
  <si>
    <t>FOTOS NA OS 2614501281 - VALA 2</t>
  </si>
  <si>
    <t>rua sem saída</t>
  </si>
  <si>
    <t>14/04/2026 09:36</t>
  </si>
  <si>
    <t>14/04/2026 10:43</t>
  </si>
  <si>
    <t>14/04/2026 08:49</t>
  </si>
  <si>
    <t>14/04/2026 08:17</t>
  </si>
  <si>
    <t xml:space="preserve">sequência de fotos executado em outra os </t>
  </si>
  <si>
    <t>14/04/2026 08:52</t>
  </si>
  <si>
    <t>14/04/2026 10:25</t>
  </si>
  <si>
    <t>14/04/2026 09:44</t>
  </si>
  <si>
    <t>14/04/2026 09:45</t>
  </si>
  <si>
    <t>14/04/2026 10:01</t>
  </si>
  <si>
    <t>14/04/2026 09:16</t>
  </si>
  <si>
    <t>14/04/2026 08:51</t>
  </si>
  <si>
    <t>14/04/2026 11:01</t>
  </si>
  <si>
    <t xml:space="preserve">OS ABERTA APÓS A EXECUÇÃO - TRATA-SE DE OBRA - EQ. MARCIO </t>
  </si>
  <si>
    <t>FRANCISCO ARLINDO LOPES DE SOUSA</t>
  </si>
  <si>
    <t>VALA 2 - FOTOS NA OS 2615587858</t>
  </si>
  <si>
    <t>14/04/2026 13:17</t>
  </si>
  <si>
    <t>VALA 3 - FOTOS NA OS 2615587858</t>
  </si>
  <si>
    <t>15/04/2026 08:38</t>
  </si>
  <si>
    <t>15/04/2026 09:02</t>
  </si>
  <si>
    <t>15/04/2026 09:47</t>
  </si>
  <si>
    <t>15/04/2026 10:01</t>
  </si>
  <si>
    <t>15/04/2026 11:50</t>
  </si>
  <si>
    <t>15/04/2026 10:57</t>
  </si>
  <si>
    <t>15/04/2026 10:13</t>
  </si>
  <si>
    <t>15/04/2026 09:27</t>
  </si>
  <si>
    <t>15/04/2026 11:07</t>
  </si>
  <si>
    <t>perguntas executados em sequência de fotos trata-se de obra</t>
  </si>
  <si>
    <t>15/04/2026 08:27</t>
  </si>
  <si>
    <t>serviço executado sem sequência de fotos trata-se de obra</t>
  </si>
  <si>
    <t>15/04/2026 08:09</t>
  </si>
  <si>
    <t>serviço executado sem sequência de foto trata-se de obra</t>
  </si>
  <si>
    <t>15/04/2026 08:08</t>
  </si>
  <si>
    <t>15/04/2026 10:21</t>
  </si>
  <si>
    <t>15/04/2026 09:13</t>
  </si>
  <si>
    <t>15/04/2026 08:36</t>
  </si>
  <si>
    <t>FOTOS NA OS 2615572211 - VALA 2</t>
  </si>
  <si>
    <t>15/04/2026 11:56</t>
  </si>
  <si>
    <t>16/04/2026 11:31</t>
  </si>
  <si>
    <t>16/04/2026 10:01</t>
  </si>
  <si>
    <t>16/04/2026 08:34</t>
  </si>
  <si>
    <t>16/04/2026 09:33</t>
  </si>
  <si>
    <t>16/04/2026 09:46</t>
  </si>
  <si>
    <t>16/04/2026 09:21</t>
  </si>
  <si>
    <t>16/04/2026 12:22</t>
  </si>
  <si>
    <t>16/04/2026 10:33</t>
  </si>
  <si>
    <t>16/04/2026 09:29</t>
  </si>
  <si>
    <t>16/04/2026 08:15</t>
  </si>
  <si>
    <t>16/04/2026 10:54</t>
  </si>
  <si>
    <t>16/04/2026 10:41</t>
  </si>
  <si>
    <t>17/04/2026 12:01</t>
  </si>
  <si>
    <t>17/04/2026 09:46</t>
  </si>
  <si>
    <t>17/04/2026 13:01</t>
  </si>
  <si>
    <t>EXCESSO</t>
  </si>
  <si>
    <t>17/04/2026 07:48</t>
  </si>
  <si>
    <t>base concreto por isso não utilizamos compactador sapinho</t>
  </si>
  <si>
    <t>17/04/2026 08:29</t>
  </si>
  <si>
    <t>NÃO FOI POSSIVEL VISUALIZAR A UTILIZAÇÃO DO EQUIPAMENTO</t>
  </si>
  <si>
    <t>17/04/2026 11:52</t>
  </si>
  <si>
    <t>INSUFICIENTE</t>
  </si>
  <si>
    <t>FALTA TRENA E CARIMBO</t>
  </si>
  <si>
    <t>17/04/2026 08:50</t>
  </si>
  <si>
    <t>17/04/2026 06:01</t>
  </si>
  <si>
    <t>17/04/2026 09:20</t>
  </si>
  <si>
    <t>QUANTIDADE INSUFICIENTE</t>
  </si>
  <si>
    <t>17/04/2026 07:54</t>
  </si>
  <si>
    <t>17/04/2026 09:30</t>
  </si>
  <si>
    <t>17/04/2026 08:32</t>
  </si>
  <si>
    <t>17/04/2026 08:56</t>
  </si>
  <si>
    <t>17/04/2026 08:11</t>
  </si>
  <si>
    <t>17/04/2026 10:10</t>
  </si>
  <si>
    <t>17/04/2026 12:15</t>
  </si>
  <si>
    <t>17/04/2026 11:45</t>
  </si>
  <si>
    <t>18/04/2026 11:01</t>
  </si>
  <si>
    <t>18/04/2026 08:30</t>
  </si>
  <si>
    <t>18/04/2026 09:02</t>
  </si>
  <si>
    <t xml:space="preserve"> RUA JESUINO RABELLO</t>
  </si>
  <si>
    <t>ANT. 524</t>
  </si>
  <si>
    <t>18/04/2026 09:36</t>
  </si>
  <si>
    <t>18/04/2026 09:19</t>
  </si>
  <si>
    <t>18/04/2026 10:22</t>
  </si>
  <si>
    <t>18/04/2026 09:59</t>
  </si>
  <si>
    <t>18/04/2026 10:48</t>
  </si>
  <si>
    <t>18/04/2026 09:07</t>
  </si>
  <si>
    <t>18/04/2026 08:11</t>
  </si>
  <si>
    <t>18/04/2026 09:48</t>
  </si>
  <si>
    <t>Sem sequencia fotos devido chuva no Local</t>
  </si>
  <si>
    <t>18/04/2026 08:36</t>
  </si>
  <si>
    <t>Sem sequencia fotos, devido Chluva no Local.</t>
  </si>
  <si>
    <t>18/04/2026 08:28</t>
  </si>
  <si>
    <t>18/04/2026 10:24</t>
  </si>
  <si>
    <t>18/04/2026 07:57</t>
  </si>
  <si>
    <t>18/04/2026 11:51</t>
  </si>
  <si>
    <t>18/04/2026 10:16</t>
  </si>
  <si>
    <t>18/04/2026 09:01</t>
  </si>
  <si>
    <t>18/04/2026 09:27</t>
  </si>
  <si>
    <t>18/04/2026 08:57</t>
  </si>
  <si>
    <t>18/04/2026 08:24</t>
  </si>
  <si>
    <t>18/04/2026 08:07</t>
  </si>
  <si>
    <t>20/04/2026 09:01</t>
  </si>
  <si>
    <t>20/04/2026 08:12</t>
  </si>
  <si>
    <t>20/04/2026 10:26</t>
  </si>
  <si>
    <t>20/04/2026 10:01</t>
  </si>
  <si>
    <t xml:space="preserve">base concreto,  não utilização de sapinho </t>
  </si>
  <si>
    <t>20/04/2026 10:55</t>
  </si>
  <si>
    <t>20/04/2026 08:21</t>
  </si>
  <si>
    <t>20/04/2026 11:34</t>
  </si>
  <si>
    <t>20/04/2026 13:01</t>
  </si>
  <si>
    <t>20/04/2026 10:16</t>
  </si>
  <si>
    <t>20/04/2026 11:50</t>
  </si>
  <si>
    <t>VALA 2</t>
  </si>
  <si>
    <t>20/04/2026 10:54</t>
  </si>
  <si>
    <t>VALA 1</t>
  </si>
  <si>
    <t>20/04/2026 10:51</t>
  </si>
  <si>
    <t>VALA 2 - FOTOS NA OS 2616329155</t>
  </si>
  <si>
    <t>20/04/2026 10:57</t>
  </si>
  <si>
    <t>baixar sem sequência de fotos local ruim de sinalização rua sem saída</t>
  </si>
  <si>
    <t>21/04/2026 11:22</t>
  </si>
  <si>
    <t>21/04/2026 10:11</t>
  </si>
  <si>
    <t>21/04/2026 08:19</t>
  </si>
  <si>
    <t>21/04/2026 08:48</t>
  </si>
  <si>
    <t>21/04/2026 07:51</t>
  </si>
  <si>
    <t>21/04/2026 09:42</t>
  </si>
  <si>
    <t>21/04/2026 10:43</t>
  </si>
  <si>
    <t>21/04/2026 10:24</t>
  </si>
  <si>
    <t>21/04/2026 08:17</t>
  </si>
  <si>
    <t>21/04/2026 09:01</t>
  </si>
  <si>
    <t>21/04/2026 09:22</t>
  </si>
  <si>
    <t>21/04/2026 09:51</t>
  </si>
  <si>
    <t>21/04/2026 11:20</t>
  </si>
  <si>
    <t>22/04/2026 08:51</t>
  </si>
  <si>
    <t>22/04/2026 10:13</t>
  </si>
  <si>
    <t>22/04/2026 08:40</t>
  </si>
  <si>
    <t>22/04/2026 10:37</t>
  </si>
  <si>
    <t>22/04/2026 09:19</t>
  </si>
  <si>
    <t>22/04/2026 08:11</t>
  </si>
  <si>
    <t>22/04/2026 07:55</t>
  </si>
  <si>
    <t>22/04/2026 08:52</t>
  </si>
  <si>
    <t>22/04/2026 08:33</t>
  </si>
  <si>
    <t>24/04/2026 09:32</t>
  </si>
  <si>
    <t>24/04/2026 09:53</t>
  </si>
  <si>
    <t>24/04/2026 13:01</t>
  </si>
  <si>
    <t>24/04/2026 11:01</t>
  </si>
  <si>
    <t xml:space="preserve"> RUA PAUAPIXUNA</t>
  </si>
  <si>
    <t>ANT. 51</t>
  </si>
  <si>
    <t xml:space="preserve"> RUA SOLDADO JOAO BATISTA DOS REIS</t>
  </si>
  <si>
    <t>ANT. 9 A</t>
  </si>
  <si>
    <t>24/04/2026 11:42</t>
  </si>
  <si>
    <t>ANT 82  B</t>
  </si>
  <si>
    <t>24/04/2026 11:24</t>
  </si>
  <si>
    <t>24/04/2026 10:01</t>
  </si>
  <si>
    <t>24/04/2026 10:48</t>
  </si>
  <si>
    <t>24/04/2026 09:58</t>
  </si>
  <si>
    <t>24/04/2026 09:08</t>
  </si>
  <si>
    <t>24/04/2026 10:43</t>
  </si>
  <si>
    <t>24/04/2026 08:35</t>
  </si>
  <si>
    <t>24/04/2026 11:20</t>
  </si>
  <si>
    <t>sequência de fotos na os 2616822493</t>
  </si>
  <si>
    <t>24/04/2026 12:10</t>
  </si>
  <si>
    <t>24/04/2026 08:02</t>
  </si>
  <si>
    <t>24/04/2026 08:14</t>
  </si>
  <si>
    <t>24/04/2026 12:08</t>
  </si>
  <si>
    <t>24/04/2026 08:24</t>
  </si>
  <si>
    <t>SN</t>
  </si>
  <si>
    <t>O.S. ABERTA APÓS EXECUÇÃO - OBRA MANINHO</t>
  </si>
  <si>
    <t>24/04/2026 14:36</t>
  </si>
  <si>
    <t>24/04/2026 14:21</t>
  </si>
  <si>
    <t>24/04/2026 14:35</t>
  </si>
  <si>
    <t>25/04/2026 11:41</t>
  </si>
  <si>
    <t>25/04/2026 10:09</t>
  </si>
  <si>
    <t>Trata se Registro de Parada</t>
  </si>
  <si>
    <t>25/04/2026 09:30</t>
  </si>
  <si>
    <t>25/04/2026 12:32</t>
  </si>
  <si>
    <t>25/04/2026 09:01</t>
  </si>
  <si>
    <t>25/04/2026 08:10</t>
  </si>
  <si>
    <t xml:space="preserve"> RUA ANTONIO CARLOS PIRES</t>
  </si>
  <si>
    <t>CASA 04A</t>
  </si>
  <si>
    <t xml:space="preserve"> PRACA DOS AVIADORES</t>
  </si>
  <si>
    <t>SL03ANT336</t>
  </si>
  <si>
    <t>25/04/2026 08:11</t>
  </si>
  <si>
    <t xml:space="preserve"> RUA BARRA DO JACAREI</t>
  </si>
  <si>
    <t>2A C/1</t>
  </si>
  <si>
    <t>25/04/2026 10:12</t>
  </si>
  <si>
    <t>25/04/2026 10:39</t>
  </si>
  <si>
    <t>25/04/2026 11:31</t>
  </si>
  <si>
    <t>ESTIMATIVA</t>
  </si>
  <si>
    <t>25/04/2026 07:51</t>
  </si>
  <si>
    <t>25/04/2026 07:34</t>
  </si>
  <si>
    <t>serviço executado sem sequência de fotos local transitado</t>
  </si>
  <si>
    <t>25/04/2026 08:39</t>
  </si>
  <si>
    <t>25/04/2026 11:07</t>
  </si>
  <si>
    <t>25/04/2026 12:03</t>
  </si>
  <si>
    <t>25/04/2026 09:43</t>
  </si>
  <si>
    <t xml:space="preserve"> RUA ABY SOUZA LIMA</t>
  </si>
  <si>
    <t>ANT. 78</t>
  </si>
  <si>
    <t>25/04/2026 08:07</t>
  </si>
  <si>
    <t>ANT. 565</t>
  </si>
  <si>
    <t>25/04/2026 09:24</t>
  </si>
  <si>
    <t>25/04/2026 10:02</t>
  </si>
  <si>
    <t>25/04/2026 10:11</t>
  </si>
  <si>
    <t>ANT. 862</t>
  </si>
  <si>
    <t>25/04/2026 11:20</t>
  </si>
  <si>
    <t>25/04/2026 08:20</t>
  </si>
  <si>
    <t xml:space="preserve"> RUA DEZOITO DE FEVEREIRO</t>
  </si>
  <si>
    <t>25/04/2026 10:54</t>
  </si>
  <si>
    <t>25/04/2026 08:30</t>
  </si>
  <si>
    <t>25/04/2026 10:26</t>
  </si>
  <si>
    <t>25/04/2026 09:37</t>
  </si>
  <si>
    <t>executado anteriormente trata-se de obra rua asfaltada</t>
  </si>
  <si>
    <t>25/04/2026 08:22</t>
  </si>
  <si>
    <t>FOTOS ENVIADAS VIA WHATSAPP</t>
  </si>
  <si>
    <t>25/04/2026 07:01</t>
  </si>
  <si>
    <t xml:space="preserve">OS ABERTA APÓS A EXECUÇÃO - TRATA-SE DE OBRA - EQ MARCIO </t>
  </si>
  <si>
    <t>ABERTA APÓS EXECUÇÃO, OBRA MANINHO</t>
  </si>
  <si>
    <t>27/04/2026 11:01</t>
  </si>
  <si>
    <t>Servico executado anteriormente, Os aberta posteriormente</t>
  </si>
  <si>
    <t>27/04/2026 11:19</t>
  </si>
  <si>
    <t>27/04/2026 09:42</t>
  </si>
  <si>
    <t>27/04/2026 10:51</t>
  </si>
  <si>
    <t>27/04/2026 10:05</t>
  </si>
  <si>
    <t>27/04/2026 11:07</t>
  </si>
  <si>
    <t>27/04/2026 10:26</t>
  </si>
  <si>
    <t>27/04/2026 09:56</t>
  </si>
  <si>
    <t>27/04/2026 07:43</t>
  </si>
  <si>
    <t>SEM RÉGUA E SEM TRENA</t>
  </si>
  <si>
    <t>27/04/2026 10:44</t>
  </si>
  <si>
    <t>27/04/2026 09:12</t>
  </si>
  <si>
    <t>27/04/2026 12:11</t>
  </si>
  <si>
    <t>27/04/2026 09:33</t>
  </si>
  <si>
    <t>27/04/2026 08:06</t>
  </si>
  <si>
    <t>27/04/2026 10:47</t>
  </si>
  <si>
    <t>27/04/2026 10:32</t>
  </si>
  <si>
    <t>27/04/2026 09:23</t>
  </si>
  <si>
    <t>27/04/2026 07:58</t>
  </si>
  <si>
    <t>27/04/2026 08:30</t>
  </si>
  <si>
    <t>27/04/2026 09:53</t>
  </si>
  <si>
    <t>27/04/2026 10:54</t>
  </si>
  <si>
    <t>27/04/2026 11:05</t>
  </si>
  <si>
    <t>28/04/2026 10:07</t>
  </si>
  <si>
    <t>28/04/2026 11:16</t>
  </si>
  <si>
    <t>28/04/2026 09:18</t>
  </si>
  <si>
    <t>O.S. ABERTA APÓS EXECUÇÃO, OBRA</t>
  </si>
  <si>
    <t>28/04/2026 14:01</t>
  </si>
  <si>
    <t>28/04/2026 10:32</t>
  </si>
  <si>
    <t>Servico Obra, executado anteriormente , Os aberta Posteriormente</t>
  </si>
  <si>
    <t>28/04/2026 11:56</t>
  </si>
  <si>
    <t>28/04/2026 10:04</t>
  </si>
  <si>
    <t>Trata se obra, Servico executado anteriormente, Os aberta Posteriormente.</t>
  </si>
  <si>
    <t>28/04/2026 09:34</t>
  </si>
  <si>
    <t>28/04/2026 11:12</t>
  </si>
  <si>
    <t>Trata se Obra, Os aberta Posteriormente</t>
  </si>
  <si>
    <t>28/04/2026 09:31</t>
  </si>
  <si>
    <t>Servico Obra, Servico Executado Anteriormente, Os aberta Posteriormente</t>
  </si>
  <si>
    <t>28/04/2026 12:12</t>
  </si>
  <si>
    <t>28/04/2026 11:33</t>
  </si>
  <si>
    <t>serviço executado em frente ao terminal de carga do X</t>
  </si>
  <si>
    <t>28/04/2026 13:01</t>
  </si>
  <si>
    <t>28/04/2026 10:48</t>
  </si>
  <si>
    <t>28/04/2026 09:55</t>
  </si>
  <si>
    <t>28/04/2026 12:14</t>
  </si>
  <si>
    <t>28/04/2026 11:44</t>
  </si>
  <si>
    <t>O.S. ABERTA APÓS EXECUÇÃO DO SERVIÇO, OBRA JOÃO PEDRO</t>
  </si>
  <si>
    <t>FOTOS NA O.S. 2616396927 - VALA 2</t>
  </si>
  <si>
    <t>28/04/2026 11:58</t>
  </si>
  <si>
    <t>28/04/2026 09:01</t>
  </si>
  <si>
    <t>29/04/2026 09:36</t>
  </si>
  <si>
    <t>29/04/2026 10:23</t>
  </si>
  <si>
    <t>29/04/2026 10:47</t>
  </si>
  <si>
    <t>29/04/2026 08:23</t>
  </si>
  <si>
    <t>29/04/2026 11:38</t>
  </si>
  <si>
    <t>29/04/2026 08:05</t>
  </si>
  <si>
    <t>ANT. 418</t>
  </si>
  <si>
    <t>29/04/2026 08:46</t>
  </si>
  <si>
    <t>29/04/2026 10:24</t>
  </si>
  <si>
    <t>Trata se Obra, servico executado anteriormente, Os aberta posteriormente</t>
  </si>
  <si>
    <t>29/04/2026 11:08</t>
  </si>
  <si>
    <t>29/04/2026 11:30</t>
  </si>
  <si>
    <t>29/04/2026 09:09</t>
  </si>
  <si>
    <t>29/04/2026 10:02</t>
  </si>
  <si>
    <t>Servico Obra, servico executado anteriormente, Os aberta Posteriormente</t>
  </si>
  <si>
    <t>29/04/2026 10:46</t>
  </si>
  <si>
    <t>29/04/2026 09:13</t>
  </si>
  <si>
    <t>executado anteriormente trata-se de obra</t>
  </si>
  <si>
    <t>29/04/2026 07:59</t>
  </si>
  <si>
    <t>29/04/2026 08:09</t>
  </si>
  <si>
    <t>serviço executado Antes de abrir a os. 1.70x4.50</t>
  </si>
  <si>
    <t>29/04/2026 11:26</t>
  </si>
  <si>
    <t>29/04/2026 10:19</t>
  </si>
  <si>
    <t>29/04/2026 08:28</t>
  </si>
  <si>
    <t>29/04/2026 10:40</t>
  </si>
  <si>
    <t>29/04/2026 08:54</t>
  </si>
  <si>
    <t>29/04/2026 09:01</t>
  </si>
  <si>
    <t>OS ABERTA APÓS A EXECUÇÃO - TRATA-SE DE OBRA - EQ MARCIO</t>
  </si>
  <si>
    <t>29/04/2026 10:01</t>
  </si>
  <si>
    <t>30/04/2026 09:55</t>
  </si>
  <si>
    <t>30/04/2026 09:18</t>
  </si>
  <si>
    <t>30/04/2026 10:16</t>
  </si>
  <si>
    <t>30/04/2026 08:17</t>
  </si>
  <si>
    <t>30/04/2026 08:00</t>
  </si>
  <si>
    <t>30/04/2026 11:31</t>
  </si>
  <si>
    <t>30/04/2026 09:02</t>
  </si>
  <si>
    <t>30/04/2026 08:55</t>
  </si>
  <si>
    <t>Servico Obra, Servico executado anteriormente, Os aberta posteriomente</t>
  </si>
  <si>
    <t>30/04/2026 08:20</t>
  </si>
  <si>
    <t>30/04/2026 11:51</t>
  </si>
  <si>
    <t xml:space="preserve"> AVENIDA DONA GLORIA PAGNONCELLI</t>
  </si>
  <si>
    <t>ANT. 1 C</t>
  </si>
  <si>
    <t>30/04/2026 09:22</t>
  </si>
  <si>
    <t>30/04/2026 08:40</t>
  </si>
  <si>
    <t>30/04/2026 11:14</t>
  </si>
  <si>
    <t>30/04/2026 09:06</t>
  </si>
  <si>
    <t>serviço executado em outra os 1.00x1.00</t>
  </si>
  <si>
    <t>30/04/2026 09:43</t>
  </si>
  <si>
    <t>executado anteriormente. 0.70x1.60</t>
  </si>
  <si>
    <t>30/04/2026 09:40</t>
  </si>
  <si>
    <t>EXECUTADO ANTERIORMENTE, TRATA-SE DE OBRA</t>
  </si>
  <si>
    <t>executado anteriormente trata-se de obra  2.00x2.50</t>
  </si>
  <si>
    <t>30/04/2026 10:27</t>
  </si>
  <si>
    <t>executado anteriormente 1.00x1.50</t>
  </si>
  <si>
    <t>30/04/2026 10:07</t>
  </si>
  <si>
    <t>30/04/2026 08:02</t>
  </si>
  <si>
    <t>30/04/2026 10:31</t>
  </si>
  <si>
    <t xml:space="preserve">Os aberta após a execução - Trata-se de obra - EQ. Marcio </t>
  </si>
  <si>
    <t>Os aberta após a execução - Trata-se de obra - EQ. Marcio</t>
  </si>
  <si>
    <t xml:space="preserve">Os aberta após a execução - Trata-se de obra - EQ marcio </t>
  </si>
  <si>
    <t>JOSE AUGUSTO EXPEDITO DOS SANTOS</t>
  </si>
  <si>
    <t>Os aberta após a execução - trata-se de obra - eq Marcio</t>
  </si>
  <si>
    <t>Pós 60</t>
  </si>
  <si>
    <t xml:space="preserve"> 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</si>
</sst>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x14ac:knownFonts="1">
    <font>
      <sz val="11"/>
      <color theme="1"/>
      <name val="Calibri"/>
      <family val="2"/>
      <scheme val="minor"/>
    </font>
    <font>
      <sz val="11"/>
      <color theme="1"/>
      <name val="Calibri"/>
      <family val="2"/>
      <scheme val="minor"/>
    </font>
    <font>
      <sz val="11"/>
      <color theme="1"/>
      <name val="Tahoma"/>
      <family val="2"/>
    </font>
    <font>
      <b/>
      <sz val="11"/>
      <color theme="0"/>
      <name val="Tahoma"/>
      <family val="2"/>
    </font>
    <font>
      <sz val="11"/>
      <color theme="4" tint="-0.499984740745262"/>
      <name val="Tahoma"/>
      <family val="2"/>
    </font>
    <font>
      <b/>
      <sz val="9"/>
      <color theme="4" tint="-0.499984740745262"/>
      <name val="Tahoma"/>
      <family val="2"/>
    </font>
    <font>
      <b/>
      <sz val="12"/>
      <color theme="0"/>
      <name val="Tahoma"/>
      <family val="2"/>
    </font>
    <font>
      <sz val="12"/>
      <color theme="1"/>
      <name val="Tahoma"/>
      <family val="2"/>
    </font>
    <font>
      <sz val="11"/>
      <color indexed="8"/>
      <name val="Calibri"/>
      <family val="2"/>
      <scheme val="minor"/>
    </font>
    <font>
      <sz val="28"/>
      <color theme="4" tint="-0.499984740745262"/>
      <name val="Tahoma"/>
      <family val="2"/>
    </font>
    <font>
      <b/>
      <sz val="14"/>
      <color theme="4" tint="-0.499984740745262"/>
      <name val="Tahoma"/>
      <family val="2"/>
    </font>
    <font>
      <sz val="8"/>
      <name val="Calibri"/>
      <family val="2"/>
      <scheme val="minor"/>
    </font>
    <font>
      <sz val="36"/>
      <color theme="4" tint="-0.499984740745262"/>
      <name val="Tahoma"/>
      <family val="2"/>
    </font>
    <font>
      <b/>
      <sz val="12"/>
      <color rgb="FFFFFFFF"/>
      <name val="Tahoma"/>
      <family val="2"/>
    </font>
    <font>
      <sz val="12"/>
      <color rgb="FF000000"/>
      <name val="Tahoma"/>
      <family val="2"/>
    </font>
    <font>
      <b/>
      <sz val="12"/>
      <color theme="1"/>
      <name val="Tahoma"/>
      <family val="2"/>
    </font>
    <font>
      <sz val="12"/>
      <name val="Tahoma"/>
      <family val="2"/>
    </font>
    <font>
      <sz val="12"/>
      <color rgb="FFFF0000"/>
      <name val="Tahoma"/>
      <family val="2"/>
    </font>
    <font>
      <b/>
      <sz val="12"/>
      <color theme="4" tint="-0.499984740745262"/>
      <name val="Tahoma"/>
      <family val="2"/>
    </font>
    <font>
      <sz val="12"/>
      <color theme="4" tint="-0.499984740745262"/>
      <name val="Tahoma"/>
      <family val="2"/>
    </font>
    <font>
      <sz val="12"/>
      <color theme="1"/>
      <name val="Tahoma"/>
      <family val="2"/>
    </font>
    <font>
      <sz val="11"/>
      <color theme="1"/>
      <name val="Tahoma"/>
      <family val="2"/>
    </font>
    <font>
      <sz val="16"/>
      <color theme="1"/>
      <name val="Tahoma"/>
      <family val="2"/>
    </font>
    <font>
      <b/>
      <sz val="14"/>
      <color theme="0"/>
      <name val="Tahoma"/>
      <family val="2"/>
    </font>
    <font>
      <sz val="14"/>
      <color theme="1"/>
      <name val="Tahoma"/>
      <family val="2"/>
    </font>
    <font>
      <b/>
      <sz val="14"/>
      <color theme="1"/>
      <name val="Tahoma"/>
      <family val="2"/>
    </font>
    <font>
      <b/>
      <sz val="16"/>
      <color theme="4" tint="-0.499984740745262"/>
      <name val="Tahoma"/>
      <family val="2"/>
    </font>
    <font>
      <sz val="16"/>
      <color theme="1"/>
      <name val="Tahoma"/>
      <family val="2"/>
    </font>
    <font>
      <b/>
      <sz val="16"/>
      <color theme="0"/>
      <name val="Tahoma"/>
      <family val="2"/>
    </font>
    <font>
      <sz val="16"/>
      <color rgb="FFFF0000"/>
      <name val="Tahoma"/>
      <family val="2"/>
    </font>
    <font>
      <b/>
      <sz val="18"/>
      <color theme="0"/>
      <name val="Tahoma"/>
      <family val="2"/>
    </font>
    <font>
      <sz val="18"/>
      <color theme="1"/>
      <name val="Tahoma"/>
      <family val="2"/>
    </font>
    <font>
      <b/>
      <sz val="24"/>
      <color theme="0"/>
      <name val="Tahoma"/>
      <family val="2"/>
    </font>
    <font>
      <b/>
      <sz val="18"/>
      <color theme="1"/>
      <name val="Tahoma"/>
      <family val="2"/>
    </font>
    <font>
      <sz val="12"/>
      <color rgb="FF000000"/>
      <name val="Tahoma"/>
    </font>
    <font>
      <sz val="12"/>
      <color theme="1"/>
      <name val="Tahoma"/>
    </font>
    <font>
      <sz val="11"/>
      <color rgb="FF000000"/>
      <name val="Calibri"/>
      <family val="2"/>
    </font>
    <font>
      <sz val="12"/>
      <color rgb="FF000000"/>
      <name val="Tahoma"/>
      <charset val="1"/>
    </font>
    <font>
      <b/>
      <sz val="12"/>
      <color rgb="FF000000"/>
      <name val="Tahoma"/>
      <family val="2"/>
    </font>
    <font>
      <b/>
      <sz val="11"/>
      <color theme="1"/>
      <name val="Tahoma"/>
      <family val="2"/>
    </font>
    <font>
      <sz val="12"/>
      <color rgb="FF000000"/>
      <name val="Arial"/>
    </font>
  </fonts>
  <fills count="22">
    <fill>
      <patternFill patternType="none"/>
    </fill>
    <fill>
      <patternFill patternType="gray125"/>
    </fill>
    <fill>
      <patternFill patternType="solid">
        <fgColor theme="0"/>
        <bgColor indexed="64"/>
      </patternFill>
    </fill>
    <fill>
      <patternFill patternType="solid">
        <fgColor theme="4" tint="0.39997558519241921"/>
        <bgColor indexed="64"/>
      </patternFill>
    </fill>
    <fill>
      <patternFill patternType="solid">
        <fgColor theme="1" tint="4.9989318521683403E-2"/>
        <bgColor indexed="64"/>
      </patternFill>
    </fill>
    <fill>
      <patternFill patternType="solid">
        <fgColor theme="1"/>
        <bgColor indexed="64"/>
      </patternFill>
    </fill>
    <fill>
      <patternFill patternType="solid">
        <fgColor rgb="FFFFFFFF"/>
        <bgColor rgb="FF000000"/>
      </patternFill>
    </fill>
    <fill>
      <patternFill patternType="solid">
        <fgColor theme="8" tint="-0.249977111117893"/>
        <bgColor indexed="64"/>
      </patternFill>
    </fill>
    <fill>
      <patternFill patternType="solid">
        <fgColor rgb="FF0070C0"/>
        <bgColor indexed="64"/>
      </patternFill>
    </fill>
    <fill>
      <patternFill patternType="solid">
        <fgColor theme="8" tint="0.39997558519241921"/>
        <bgColor indexed="64"/>
      </patternFill>
    </fill>
    <fill>
      <patternFill patternType="solid">
        <fgColor theme="8" tint="0.39997558519241921"/>
        <bgColor theme="4" tint="0.79998168889431442"/>
      </patternFill>
    </fill>
    <fill>
      <patternFill patternType="solid">
        <fgColor theme="8" tint="-0.499984740745262"/>
        <bgColor indexed="64"/>
      </patternFill>
    </fill>
    <fill>
      <patternFill patternType="solid">
        <fgColor theme="4" tint="-0.249977111117893"/>
        <bgColor indexed="64"/>
      </patternFill>
    </fill>
    <fill>
      <patternFill patternType="solid">
        <fgColor theme="1"/>
        <bgColor rgb="FF000000"/>
      </patternFill>
    </fill>
    <fill>
      <patternFill patternType="solid">
        <fgColor rgb="FFFF0000"/>
        <bgColor rgb="FF000000"/>
      </patternFill>
    </fill>
    <fill>
      <patternFill patternType="solid">
        <fgColor rgb="FFFF0000"/>
        <bgColor indexed="64"/>
      </patternFill>
    </fill>
    <fill>
      <patternFill patternType="solid">
        <fgColor theme="8" tint="0.39997558519241921"/>
        <bgColor rgb="FF000000"/>
      </patternFill>
    </fill>
    <fill>
      <patternFill patternType="solid">
        <fgColor theme="9" tint="0.39997558519241921"/>
        <bgColor indexed="64"/>
      </patternFill>
    </fill>
    <fill>
      <patternFill patternType="solid">
        <fgColor rgb="FFFFFF00"/>
        <bgColor indexed="64"/>
      </patternFill>
    </fill>
    <fill>
      <patternFill patternType="solid">
        <fgColor rgb="FFC00000"/>
        <bgColor indexed="64"/>
      </patternFill>
    </fill>
    <fill>
      <patternFill patternType="solid">
        <fgColor rgb="FF8D54B8"/>
        <bgColor indexed="64"/>
      </patternFill>
    </fill>
    <fill>
      <patternFill patternType="solid">
        <fgColor rgb="FF7030A0"/>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rgb="FF000000"/>
      </left>
      <right style="thin">
        <color rgb="FF000000"/>
      </right>
      <top/>
      <bottom style="thin">
        <color rgb="FF000000"/>
      </bottom>
      <diagonal/>
    </border>
    <border>
      <left style="thin">
        <color indexed="64"/>
      </left>
      <right/>
      <top/>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s>
  <cellStyleXfs count="3">
    <xf numFmtId="0" fontId="0" fillId="0" borderId="0"/>
    <xf numFmtId="9" fontId="1" fillId="0" borderId="0" applyFont="0" applyFill="0" applyBorder="0" applyAlignment="0" applyProtection="0"/>
    <xf numFmtId="0" fontId="8" fillId="0" borderId="0"/>
  </cellStyleXfs>
  <cellXfs count="354">
    <xf numFmtId="0" fontId="0" fillId="0" borderId="0" xfId="0"/>
    <xf numFmtId="0" fontId="2" fillId="2" borderId="0" xfId="0" applyFont="1" applyFill="1"/>
    <xf numFmtId="0" fontId="2" fillId="2" borderId="0" xfId="0" applyFont="1" applyFill="1" applyAlignment="1">
      <alignment vertical="center"/>
    </xf>
    <xf numFmtId="0" fontId="5" fillId="2" borderId="0" xfId="0" applyFont="1" applyFill="1" applyAlignment="1">
      <alignment vertical="top"/>
    </xf>
    <xf numFmtId="0" fontId="5" fillId="2" borderId="0" xfId="0" applyFont="1" applyFill="1"/>
    <xf numFmtId="0" fontId="7" fillId="2" borderId="0" xfId="0" applyFont="1" applyFill="1" applyAlignment="1">
      <alignment vertical="center"/>
    </xf>
    <xf numFmtId="0" fontId="4" fillId="2" borderId="0" xfId="0" applyFont="1" applyFill="1"/>
    <xf numFmtId="0" fontId="9" fillId="2" borderId="0" xfId="0" applyFont="1" applyFill="1"/>
    <xf numFmtId="0" fontId="10" fillId="2" borderId="0" xfId="0" applyFont="1" applyFill="1"/>
    <xf numFmtId="0" fontId="7" fillId="2" borderId="4" xfId="0" applyFont="1" applyFill="1" applyBorder="1" applyAlignment="1">
      <alignment horizontal="center" vertical="center"/>
    </xf>
    <xf numFmtId="0" fontId="7" fillId="2" borderId="0" xfId="0" applyFont="1" applyFill="1" applyAlignment="1">
      <alignment horizontal="left" vertical="center"/>
    </xf>
    <xf numFmtId="0" fontId="7" fillId="2" borderId="0" xfId="0" applyFont="1" applyFill="1"/>
    <xf numFmtId="10" fontId="7" fillId="2" borderId="2" xfId="1" applyNumberFormat="1" applyFont="1" applyFill="1" applyBorder="1" applyAlignment="1">
      <alignment horizontal="center" vertical="center"/>
    </xf>
    <xf numFmtId="0" fontId="7" fillId="2" borderId="3" xfId="0" applyFont="1" applyFill="1" applyBorder="1" applyAlignment="1">
      <alignment horizontal="center" vertical="center"/>
    </xf>
    <xf numFmtId="0" fontId="7" fillId="2" borderId="0" xfId="0" applyFont="1" applyFill="1" applyAlignment="1">
      <alignment horizontal="center"/>
    </xf>
    <xf numFmtId="10" fontId="7" fillId="2" borderId="0" xfId="1" applyNumberFormat="1" applyFont="1" applyFill="1" applyBorder="1" applyAlignment="1">
      <alignment horizontal="left"/>
    </xf>
    <xf numFmtId="10" fontId="16" fillId="2" borderId="1" xfId="1" applyNumberFormat="1" applyFont="1" applyFill="1" applyBorder="1" applyAlignment="1">
      <alignment horizontal="center" vertical="center"/>
    </xf>
    <xf numFmtId="10" fontId="17" fillId="2" borderId="0" xfId="1" applyNumberFormat="1" applyFont="1" applyFill="1" applyBorder="1" applyAlignment="1">
      <alignment horizontal="center" vertical="center"/>
    </xf>
    <xf numFmtId="0" fontId="22" fillId="2" borderId="0" xfId="0" applyFont="1" applyFill="1"/>
    <xf numFmtId="10" fontId="22" fillId="2" borderId="0" xfId="1" applyNumberFormat="1" applyFont="1" applyFill="1" applyBorder="1" applyAlignment="1">
      <alignment horizontal="center" vertical="center"/>
    </xf>
    <xf numFmtId="0" fontId="24" fillId="2" borderId="0" xfId="0" applyFont="1" applyFill="1"/>
    <xf numFmtId="0" fontId="24" fillId="2" borderId="0" xfId="0" applyFont="1" applyFill="1" applyAlignment="1">
      <alignment horizontal="left" indent="1"/>
    </xf>
    <xf numFmtId="0" fontId="24" fillId="2" borderId="1" xfId="0" applyFont="1" applyFill="1" applyBorder="1" applyAlignment="1">
      <alignment horizontal="center" vertical="center"/>
    </xf>
    <xf numFmtId="0" fontId="3" fillId="2" borderId="0" xfId="0" applyFont="1" applyFill="1" applyAlignment="1">
      <alignment vertical="center"/>
    </xf>
    <xf numFmtId="0" fontId="26" fillId="2" borderId="0" xfId="0" applyFont="1" applyFill="1" applyAlignment="1">
      <alignment horizontal="center" vertical="center"/>
    </xf>
    <xf numFmtId="10" fontId="26" fillId="2" borderId="0" xfId="1" applyNumberFormat="1" applyFont="1" applyFill="1" applyAlignment="1">
      <alignment horizontal="center" vertical="center"/>
    </xf>
    <xf numFmtId="0" fontId="26" fillId="2" borderId="0" xfId="0" applyFont="1" applyFill="1"/>
    <xf numFmtId="0" fontId="26" fillId="2" borderId="0" xfId="0" applyFont="1" applyFill="1" applyAlignment="1">
      <alignment vertical="top"/>
    </xf>
    <xf numFmtId="10" fontId="26" fillId="2" borderId="0" xfId="1" applyNumberFormat="1" applyFont="1" applyFill="1" applyBorder="1" applyAlignment="1">
      <alignment horizontal="center" vertical="center"/>
    </xf>
    <xf numFmtId="0" fontId="27" fillId="2" borderId="0" xfId="0" applyFont="1" applyFill="1"/>
    <xf numFmtId="0" fontId="20" fillId="2" borderId="0" xfId="0" applyFont="1" applyFill="1" applyAlignment="1">
      <alignment vertical="center"/>
    </xf>
    <xf numFmtId="0" fontId="21" fillId="2" borderId="0" xfId="0" applyFont="1" applyFill="1" applyAlignment="1">
      <alignment vertical="center"/>
    </xf>
    <xf numFmtId="0" fontId="24" fillId="2" borderId="0" xfId="0" applyFont="1" applyFill="1" applyAlignment="1">
      <alignment horizontal="right"/>
    </xf>
    <xf numFmtId="0" fontId="13" fillId="4" borderId="1" xfId="0" applyFont="1" applyFill="1" applyBorder="1" applyAlignment="1">
      <alignment horizontal="center" vertical="center"/>
    </xf>
    <xf numFmtId="0" fontId="6" fillId="5" borderId="1" xfId="0" applyFont="1" applyFill="1" applyBorder="1" applyAlignment="1" applyProtection="1">
      <alignment horizontal="center" vertical="center"/>
      <protection locked="0"/>
    </xf>
    <xf numFmtId="0" fontId="22" fillId="2" borderId="0" xfId="0" applyFont="1" applyFill="1" applyAlignment="1">
      <alignment vertical="center"/>
    </xf>
    <xf numFmtId="0" fontId="28" fillId="2" borderId="0" xfId="0" applyFont="1" applyFill="1" applyAlignment="1">
      <alignment horizontal="center" vertical="center"/>
    </xf>
    <xf numFmtId="0" fontId="28" fillId="2" borderId="0" xfId="0" applyFont="1" applyFill="1" applyAlignment="1">
      <alignment vertical="center"/>
    </xf>
    <xf numFmtId="0" fontId="29" fillId="2" borderId="0" xfId="0" applyFont="1" applyFill="1"/>
    <xf numFmtId="0" fontId="24" fillId="2" borderId="0" xfId="0" applyFont="1" applyFill="1" applyAlignment="1">
      <alignment vertical="center"/>
    </xf>
    <xf numFmtId="0" fontId="25" fillId="2" borderId="0" xfId="0" applyFont="1" applyFill="1"/>
    <xf numFmtId="0" fontId="15" fillId="2" borderId="0" xfId="0" applyFont="1" applyFill="1" applyAlignment="1">
      <alignment vertical="center"/>
    </xf>
    <xf numFmtId="0" fontId="18" fillId="2" borderId="0" xfId="0" applyFont="1" applyFill="1" applyAlignment="1">
      <alignment vertical="center"/>
    </xf>
    <xf numFmtId="0" fontId="19" fillId="2" borderId="0" xfId="0" applyFont="1" applyFill="1" applyAlignment="1">
      <alignment vertical="center"/>
    </xf>
    <xf numFmtId="0" fontId="30" fillId="2" borderId="0" xfId="0" applyFont="1" applyFill="1" applyAlignment="1">
      <alignment horizontal="center" vertical="center"/>
    </xf>
    <xf numFmtId="0" fontId="31" fillId="2" borderId="0" xfId="0" applyFont="1" applyFill="1" applyAlignment="1">
      <alignment vertical="center"/>
    </xf>
    <xf numFmtId="10" fontId="26" fillId="2" borderId="19" xfId="1" applyNumberFormat="1" applyFont="1" applyFill="1" applyBorder="1" applyAlignment="1">
      <alignment horizontal="center" vertical="center"/>
    </xf>
    <xf numFmtId="0" fontId="23" fillId="2" borderId="0" xfId="0" applyFont="1" applyFill="1" applyAlignment="1">
      <alignment horizontal="center"/>
    </xf>
    <xf numFmtId="0" fontId="10" fillId="2" borderId="0" xfId="0" applyFont="1" applyFill="1" applyAlignment="1">
      <alignment horizontal="center" vertical="center"/>
    </xf>
    <xf numFmtId="10" fontId="10" fillId="2" borderId="0" xfId="1" applyNumberFormat="1" applyFont="1" applyFill="1" applyBorder="1" applyAlignment="1">
      <alignment horizontal="center" vertical="center"/>
    </xf>
    <xf numFmtId="0" fontId="2" fillId="2" borderId="10" xfId="0" applyFont="1" applyFill="1" applyBorder="1" applyAlignment="1">
      <alignment horizontal="center"/>
    </xf>
    <xf numFmtId="0" fontId="22" fillId="2" borderId="0" xfId="0" applyFont="1" applyFill="1" applyAlignment="1">
      <alignment horizontal="center" vertical="center"/>
    </xf>
    <xf numFmtId="10" fontId="7" fillId="2" borderId="1" xfId="1" applyNumberFormat="1" applyFont="1" applyFill="1" applyBorder="1" applyAlignment="1">
      <alignment horizontal="center"/>
    </xf>
    <xf numFmtId="0" fontId="7" fillId="2" borderId="0" xfId="0" applyFont="1" applyFill="1" applyAlignment="1">
      <alignment horizontal="center" vertical="center"/>
    </xf>
    <xf numFmtId="0" fontId="7" fillId="0" borderId="10" xfId="0" applyFont="1" applyBorder="1" applyAlignment="1">
      <alignment horizontal="center" vertical="center"/>
    </xf>
    <xf numFmtId="0" fontId="7" fillId="2" borderId="0" xfId="0" applyFont="1" applyFill="1" applyAlignment="1">
      <alignment horizontal="left"/>
    </xf>
    <xf numFmtId="0" fontId="7" fillId="2" borderId="10" xfId="0" applyFont="1" applyFill="1" applyBorder="1" applyAlignment="1">
      <alignment horizontal="center" vertical="center"/>
    </xf>
    <xf numFmtId="0" fontId="7" fillId="2" borderId="0" xfId="0" applyFont="1" applyFill="1" applyAlignment="1">
      <alignment horizontal="center" vertical="center" wrapText="1"/>
    </xf>
    <xf numFmtId="0" fontId="7" fillId="0" borderId="24" xfId="0" applyFont="1" applyBorder="1" applyAlignment="1">
      <alignment horizontal="center" vertical="center" wrapText="1"/>
    </xf>
    <xf numFmtId="0" fontId="7" fillId="2" borderId="24" xfId="0" applyFont="1" applyFill="1" applyBorder="1" applyAlignment="1">
      <alignment horizontal="center" vertical="center"/>
    </xf>
    <xf numFmtId="0" fontId="14" fillId="6" borderId="1" xfId="0" applyFont="1" applyFill="1" applyBorder="1" applyAlignment="1">
      <alignment horizontal="left" vertical="center"/>
    </xf>
    <xf numFmtId="0" fontId="7" fillId="0" borderId="24" xfId="0" applyFont="1" applyBorder="1" applyAlignment="1" applyProtection="1">
      <alignment horizontal="center" vertical="center"/>
      <protection locked="0"/>
    </xf>
    <xf numFmtId="0" fontId="7" fillId="0" borderId="10" xfId="0" applyFont="1" applyBorder="1" applyAlignment="1" applyProtection="1">
      <alignment horizontal="center" vertical="center"/>
      <protection locked="0"/>
    </xf>
    <xf numFmtId="0" fontId="7" fillId="2" borderId="26" xfId="0" applyFont="1" applyFill="1" applyBorder="1" applyAlignment="1">
      <alignment horizontal="center" vertical="center"/>
    </xf>
    <xf numFmtId="0" fontId="7" fillId="2" borderId="1" xfId="0" applyFont="1" applyFill="1" applyBorder="1" applyAlignment="1">
      <alignment horizontal="center"/>
    </xf>
    <xf numFmtId="0" fontId="24" fillId="0" borderId="10" xfId="0" applyFont="1" applyBorder="1" applyAlignment="1">
      <alignment horizontal="center"/>
    </xf>
    <xf numFmtId="10" fontId="24" fillId="0" borderId="10" xfId="0" applyNumberFormat="1" applyFont="1" applyBorder="1" applyAlignment="1">
      <alignment horizontal="center"/>
    </xf>
    <xf numFmtId="10" fontId="24" fillId="2" borderId="10" xfId="0" applyNumberFormat="1" applyFont="1" applyFill="1" applyBorder="1" applyAlignment="1">
      <alignment horizontal="center"/>
    </xf>
    <xf numFmtId="0" fontId="24" fillId="0" borderId="9" xfId="0" applyFont="1" applyBorder="1" applyAlignment="1">
      <alignment horizontal="center"/>
    </xf>
    <xf numFmtId="0" fontId="24" fillId="2" borderId="1" xfId="0" applyFont="1" applyFill="1" applyBorder="1" applyAlignment="1">
      <alignment horizontal="center"/>
    </xf>
    <xf numFmtId="10" fontId="24" fillId="2" borderId="1" xfId="1" applyNumberFormat="1" applyFont="1" applyFill="1" applyBorder="1" applyAlignment="1">
      <alignment horizontal="center"/>
    </xf>
    <xf numFmtId="10" fontId="24" fillId="0" borderId="1" xfId="0" applyNumberFormat="1" applyFont="1" applyBorder="1" applyAlignment="1">
      <alignment horizontal="center"/>
    </xf>
    <xf numFmtId="0" fontId="24" fillId="0" borderId="1" xfId="0" applyFont="1" applyBorder="1" applyAlignment="1">
      <alignment horizontal="center" vertical="center"/>
    </xf>
    <xf numFmtId="10" fontId="24" fillId="2" borderId="1" xfId="1" applyNumberFormat="1" applyFont="1" applyFill="1" applyBorder="1" applyAlignment="1">
      <alignment horizontal="center" vertical="center"/>
    </xf>
    <xf numFmtId="10" fontId="24" fillId="2" borderId="1" xfId="0" applyNumberFormat="1" applyFont="1" applyFill="1" applyBorder="1" applyAlignment="1">
      <alignment horizontal="center"/>
    </xf>
    <xf numFmtId="0" fontId="7" fillId="2" borderId="5" xfId="0" applyFont="1" applyFill="1" applyBorder="1" applyAlignment="1">
      <alignment horizontal="center"/>
    </xf>
    <xf numFmtId="0" fontId="23" fillId="2" borderId="0" xfId="0" applyFont="1" applyFill="1" applyAlignment="1">
      <alignment horizontal="center" vertical="center"/>
    </xf>
    <xf numFmtId="0" fontId="24" fillId="2" borderId="10" xfId="0" applyFont="1" applyFill="1" applyBorder="1" applyAlignment="1">
      <alignment horizontal="center"/>
    </xf>
    <xf numFmtId="10" fontId="24" fillId="2" borderId="10" xfId="1" applyNumberFormat="1" applyFont="1" applyFill="1" applyBorder="1" applyAlignment="1">
      <alignment horizontal="center"/>
    </xf>
    <xf numFmtId="0" fontId="24" fillId="2" borderId="10" xfId="0" applyFont="1" applyFill="1" applyBorder="1" applyAlignment="1">
      <alignment horizontal="center" vertical="center"/>
    </xf>
    <xf numFmtId="0" fontId="24" fillId="0" borderId="10" xfId="0" applyFont="1" applyBorder="1" applyAlignment="1">
      <alignment horizontal="center" vertical="center"/>
    </xf>
    <xf numFmtId="10" fontId="24" fillId="2" borderId="10" xfId="1" applyNumberFormat="1" applyFont="1" applyFill="1" applyBorder="1" applyAlignment="1">
      <alignment horizontal="center" vertical="center"/>
    </xf>
    <xf numFmtId="0" fontId="24" fillId="0" borderId="12" xfId="0" applyFont="1" applyBorder="1" applyAlignment="1">
      <alignment horizontal="center"/>
    </xf>
    <xf numFmtId="0" fontId="24" fillId="0" borderId="1" xfId="0" applyFont="1" applyBorder="1" applyAlignment="1">
      <alignment horizontal="center"/>
    </xf>
    <xf numFmtId="10" fontId="16" fillId="2" borderId="1" xfId="1" applyNumberFormat="1" applyFont="1" applyFill="1" applyBorder="1" applyAlignment="1">
      <alignment horizontal="center" vertical="center" wrapText="1"/>
    </xf>
    <xf numFmtId="10" fontId="7" fillId="2" borderId="1" xfId="1" applyNumberFormat="1" applyFont="1" applyFill="1" applyBorder="1" applyAlignment="1">
      <alignment horizontal="center" wrapText="1"/>
    </xf>
    <xf numFmtId="0" fontId="18" fillId="2" borderId="0" xfId="0" applyFont="1" applyFill="1" applyAlignment="1">
      <alignment horizontal="center" vertical="center"/>
    </xf>
    <xf numFmtId="0" fontId="26" fillId="2" borderId="18" xfId="0" applyFont="1" applyFill="1" applyBorder="1" applyAlignment="1">
      <alignment horizontal="center" vertical="center"/>
    </xf>
    <xf numFmtId="0" fontId="26" fillId="2" borderId="16" xfId="0" applyFont="1" applyFill="1" applyBorder="1" applyAlignment="1">
      <alignment horizontal="center" vertical="center"/>
    </xf>
    <xf numFmtId="0" fontId="26" fillId="2" borderId="17" xfId="0" applyFont="1" applyFill="1" applyBorder="1" applyAlignment="1">
      <alignment horizontal="center" vertical="center"/>
    </xf>
    <xf numFmtId="0" fontId="26" fillId="2" borderId="21" xfId="0" applyFont="1" applyFill="1" applyBorder="1" applyAlignment="1">
      <alignment horizontal="center" vertical="center"/>
    </xf>
    <xf numFmtId="0" fontId="26" fillId="2" borderId="20" xfId="0" applyFont="1" applyFill="1" applyBorder="1" applyAlignment="1">
      <alignment horizontal="center" vertical="center"/>
    </xf>
    <xf numFmtId="0" fontId="7" fillId="2" borderId="1" xfId="0" applyFont="1" applyFill="1" applyBorder="1" applyAlignment="1">
      <alignment horizontal="center" vertical="center"/>
    </xf>
    <xf numFmtId="0" fontId="32" fillId="2" borderId="0" xfId="0" applyFont="1" applyFill="1" applyAlignment="1">
      <alignment vertical="center"/>
    </xf>
    <xf numFmtId="0" fontId="14" fillId="0" borderId="24" xfId="0" applyFont="1" applyBorder="1" applyAlignment="1">
      <alignment horizontal="center" vertical="center" wrapText="1"/>
    </xf>
    <xf numFmtId="0" fontId="14" fillId="0" borderId="25" xfId="0" applyFont="1" applyBorder="1" applyAlignment="1">
      <alignment horizontal="center" vertical="center" wrapText="1"/>
    </xf>
    <xf numFmtId="0" fontId="7" fillId="0" borderId="1" xfId="0" applyFont="1" applyBorder="1" applyAlignment="1">
      <alignment horizontal="center" vertical="center" wrapText="1"/>
    </xf>
    <xf numFmtId="0" fontId="14" fillId="0" borderId="1" xfId="0" applyFont="1" applyBorder="1" applyAlignment="1">
      <alignment horizontal="center" vertical="center" wrapText="1"/>
    </xf>
    <xf numFmtId="1" fontId="31" fillId="2" borderId="10" xfId="1" applyNumberFormat="1" applyFont="1" applyFill="1" applyBorder="1" applyAlignment="1">
      <alignment horizontal="center" vertical="center"/>
    </xf>
    <xf numFmtId="0" fontId="33" fillId="2" borderId="0" xfId="0" applyFont="1" applyFill="1"/>
    <xf numFmtId="0" fontId="31" fillId="2" borderId="0" xfId="0" applyFont="1" applyFill="1"/>
    <xf numFmtId="0" fontId="14" fillId="6" borderId="1" xfId="0" applyFont="1" applyFill="1" applyBorder="1" applyAlignment="1">
      <alignment vertical="center"/>
    </xf>
    <xf numFmtId="1" fontId="31" fillId="2" borderId="1" xfId="1" applyNumberFormat="1" applyFont="1" applyFill="1" applyBorder="1" applyAlignment="1">
      <alignment horizontal="center" vertical="center"/>
    </xf>
    <xf numFmtId="0" fontId="31" fillId="2" borderId="1" xfId="0" applyFont="1" applyFill="1" applyBorder="1" applyAlignment="1">
      <alignment horizontal="center"/>
    </xf>
    <xf numFmtId="0" fontId="6" fillId="8" borderId="23" xfId="0" applyFont="1" applyFill="1" applyBorder="1" applyAlignment="1">
      <alignment vertical="center"/>
    </xf>
    <xf numFmtId="0" fontId="6" fillId="8" borderId="12" xfId="0" applyFont="1" applyFill="1" applyBorder="1" applyAlignment="1">
      <alignment vertical="center"/>
    </xf>
    <xf numFmtId="0" fontId="6" fillId="8" borderId="11" xfId="0" applyFont="1" applyFill="1" applyBorder="1" applyAlignment="1">
      <alignment vertical="center"/>
    </xf>
    <xf numFmtId="0" fontId="6" fillId="8" borderId="1" xfId="0" applyFont="1" applyFill="1" applyBorder="1" applyAlignment="1">
      <alignment horizontal="left" vertical="center"/>
    </xf>
    <xf numFmtId="0" fontId="6" fillId="8" borderId="1" xfId="0" applyFont="1" applyFill="1" applyBorder="1" applyAlignment="1">
      <alignment horizontal="center" vertical="center" wrapText="1"/>
    </xf>
    <xf numFmtId="0" fontId="23" fillId="8" borderId="9" xfId="0" applyFont="1" applyFill="1" applyBorder="1" applyAlignment="1">
      <alignment vertical="center"/>
    </xf>
    <xf numFmtId="0" fontId="23" fillId="8" borderId="9" xfId="0" applyFont="1" applyFill="1" applyBorder="1" applyAlignment="1">
      <alignment horizontal="center" vertical="center"/>
    </xf>
    <xf numFmtId="0" fontId="23" fillId="8" borderId="1" xfId="0" applyFont="1" applyFill="1" applyBorder="1" applyAlignment="1">
      <alignment horizontal="center" vertical="center"/>
    </xf>
    <xf numFmtId="0" fontId="23" fillId="8" borderId="30" xfId="0" applyFont="1" applyFill="1" applyBorder="1" applyAlignment="1">
      <alignment horizontal="center" vertical="center" wrapText="1"/>
    </xf>
    <xf numFmtId="0" fontId="23" fillId="8" borderId="5" xfId="0" applyFont="1" applyFill="1" applyBorder="1" applyAlignment="1">
      <alignment horizontal="center" vertical="center" wrapText="1"/>
    </xf>
    <xf numFmtId="0" fontId="23" fillId="8" borderId="4" xfId="0" applyFont="1" applyFill="1" applyBorder="1" applyAlignment="1">
      <alignment horizontal="center" vertical="center" wrapText="1"/>
    </xf>
    <xf numFmtId="0" fontId="23" fillId="8" borderId="1" xfId="0" applyFont="1" applyFill="1" applyBorder="1" applyAlignment="1">
      <alignment horizontal="center" vertical="center" wrapText="1"/>
    </xf>
    <xf numFmtId="0" fontId="23" fillId="8" borderId="10" xfId="0" applyFont="1" applyFill="1" applyBorder="1" applyAlignment="1">
      <alignment horizontal="left" vertical="center"/>
    </xf>
    <xf numFmtId="0" fontId="23" fillId="8" borderId="10" xfId="0" applyFont="1" applyFill="1" applyBorder="1" applyAlignment="1">
      <alignment horizontal="center" vertical="center"/>
    </xf>
    <xf numFmtId="0" fontId="23" fillId="8" borderId="5" xfId="0" applyFont="1" applyFill="1" applyBorder="1" applyAlignment="1">
      <alignment horizontal="center" vertical="center"/>
    </xf>
    <xf numFmtId="0" fontId="23" fillId="8" borderId="24" xfId="0" applyFont="1" applyFill="1" applyBorder="1" applyAlignment="1">
      <alignment horizontal="center" vertical="center"/>
    </xf>
    <xf numFmtId="0" fontId="23" fillId="8" borderId="10" xfId="0" applyFont="1" applyFill="1" applyBorder="1" applyAlignment="1">
      <alignment horizontal="center" vertical="center" wrapText="1"/>
    </xf>
    <xf numFmtId="0" fontId="7" fillId="9" borderId="1" xfId="0" applyFont="1" applyFill="1" applyBorder="1" applyAlignment="1">
      <alignment horizontal="center" vertical="center"/>
    </xf>
    <xf numFmtId="0" fontId="7" fillId="9" borderId="7" xfId="0" applyFont="1" applyFill="1" applyBorder="1"/>
    <xf numFmtId="0" fontId="7" fillId="9" borderId="2" xfId="0" applyFont="1" applyFill="1" applyBorder="1"/>
    <xf numFmtId="0" fontId="7" fillId="9" borderId="1" xfId="0" applyFont="1" applyFill="1" applyBorder="1"/>
    <xf numFmtId="0" fontId="7" fillId="9" borderId="5" xfId="0" applyFont="1" applyFill="1" applyBorder="1"/>
    <xf numFmtId="0" fontId="25" fillId="10" borderId="1" xfId="0" applyFont="1" applyFill="1" applyBorder="1" applyAlignment="1">
      <alignment vertical="center"/>
    </xf>
    <xf numFmtId="0" fontId="25" fillId="10" borderId="10" xfId="0" applyFont="1" applyFill="1" applyBorder="1" applyAlignment="1">
      <alignment horizontal="left" vertical="center"/>
    </xf>
    <xf numFmtId="0" fontId="25" fillId="10" borderId="9" xfId="0" applyFont="1" applyFill="1" applyBorder="1" applyAlignment="1">
      <alignment horizontal="left" vertical="center"/>
    </xf>
    <xf numFmtId="0" fontId="7" fillId="9" borderId="1" xfId="0" applyFont="1" applyFill="1" applyBorder="1" applyAlignment="1">
      <alignment horizontal="left" vertical="center"/>
    </xf>
    <xf numFmtId="10" fontId="30" fillId="8" borderId="9" xfId="1" applyNumberFormat="1" applyFont="1" applyFill="1" applyBorder="1" applyAlignment="1">
      <alignment horizontal="center" vertical="center"/>
    </xf>
    <xf numFmtId="0" fontId="30" fillId="8" borderId="0" xfId="0" applyFont="1" applyFill="1" applyAlignment="1">
      <alignment horizontal="center"/>
    </xf>
    <xf numFmtId="0" fontId="6" fillId="11" borderId="1" xfId="0" applyFont="1" applyFill="1" applyBorder="1" applyAlignment="1">
      <alignment horizontal="left" vertical="center"/>
    </xf>
    <xf numFmtId="0" fontId="6" fillId="11" borderId="1" xfId="0" applyFont="1" applyFill="1" applyBorder="1" applyAlignment="1">
      <alignment horizontal="center" vertical="center" wrapText="1"/>
    </xf>
    <xf numFmtId="0" fontId="15" fillId="3" borderId="11" xfId="0" applyFont="1" applyFill="1" applyBorder="1" applyAlignment="1">
      <alignment vertical="center"/>
    </xf>
    <xf numFmtId="0" fontId="15" fillId="3" borderId="23" xfId="0" applyFont="1" applyFill="1" applyBorder="1" applyAlignment="1">
      <alignment vertical="center"/>
    </xf>
    <xf numFmtId="0" fontId="15" fillId="3" borderId="3" xfId="0" applyFont="1" applyFill="1" applyBorder="1" applyAlignment="1">
      <alignment vertical="center"/>
    </xf>
    <xf numFmtId="0" fontId="15" fillId="3" borderId="2" xfId="0" applyFont="1" applyFill="1" applyBorder="1" applyAlignment="1">
      <alignment horizontal="center" vertical="center"/>
    </xf>
    <xf numFmtId="10" fontId="15" fillId="3" borderId="4" xfId="1" applyNumberFormat="1" applyFont="1" applyFill="1" applyBorder="1" applyAlignment="1">
      <alignment horizontal="center" vertical="center"/>
    </xf>
    <xf numFmtId="0" fontId="6" fillId="12" borderId="10" xfId="0" applyFont="1" applyFill="1" applyBorder="1" applyAlignment="1">
      <alignment horizontal="center"/>
    </xf>
    <xf numFmtId="0" fontId="13" fillId="5" borderId="1" xfId="0" applyFont="1" applyFill="1" applyBorder="1" applyAlignment="1">
      <alignment horizontal="center" vertical="center"/>
    </xf>
    <xf numFmtId="0" fontId="13" fillId="15" borderId="1" xfId="0" applyFont="1" applyFill="1" applyBorder="1" applyAlignment="1">
      <alignment horizontal="center" vertical="center"/>
    </xf>
    <xf numFmtId="0" fontId="14" fillId="6" borderId="1" xfId="0" applyFont="1" applyFill="1" applyBorder="1" applyAlignment="1">
      <alignment horizontal="left"/>
    </xf>
    <xf numFmtId="0" fontId="7" fillId="2" borderId="10" xfId="0" applyFont="1" applyFill="1" applyBorder="1" applyAlignment="1">
      <alignment horizontal="center"/>
    </xf>
    <xf numFmtId="49" fontId="7" fillId="2" borderId="10" xfId="0" applyNumberFormat="1" applyFont="1" applyFill="1" applyBorder="1" applyAlignment="1">
      <alignment horizontal="center"/>
    </xf>
    <xf numFmtId="49" fontId="7" fillId="2" borderId="24" xfId="0" applyNumberFormat="1" applyFont="1" applyFill="1" applyBorder="1" applyAlignment="1">
      <alignment horizontal="center"/>
    </xf>
    <xf numFmtId="49" fontId="7" fillId="2" borderId="1" xfId="0" applyNumberFormat="1" applyFont="1" applyFill="1" applyBorder="1" applyAlignment="1">
      <alignment horizontal="center"/>
    </xf>
    <xf numFmtId="10" fontId="30" fillId="7" borderId="10" xfId="1" applyNumberFormat="1" applyFont="1" applyFill="1" applyBorder="1" applyAlignment="1">
      <alignment horizontal="center" vertical="center"/>
    </xf>
    <xf numFmtId="0" fontId="6" fillId="2" borderId="0" xfId="0" applyFont="1" applyFill="1" applyAlignment="1">
      <alignment vertical="center"/>
    </xf>
    <xf numFmtId="0" fontId="15" fillId="3" borderId="1" xfId="0" applyFont="1" applyFill="1" applyBorder="1"/>
    <xf numFmtId="0" fontId="15" fillId="3" borderId="5" xfId="0" applyFont="1" applyFill="1" applyBorder="1"/>
    <xf numFmtId="0" fontId="14" fillId="0" borderId="24" xfId="0" applyFont="1" applyBorder="1" applyAlignment="1">
      <alignment horizontal="center" vertical="center"/>
    </xf>
    <xf numFmtId="0" fontId="7" fillId="2" borderId="24" xfId="0" applyFont="1" applyFill="1" applyBorder="1" applyAlignment="1" applyProtection="1">
      <alignment horizontal="center" vertical="center"/>
      <protection locked="0"/>
    </xf>
    <xf numFmtId="0" fontId="7" fillId="0" borderId="27" xfId="0" applyFont="1" applyBorder="1" applyAlignment="1" applyProtection="1">
      <alignment horizontal="center" vertical="center"/>
      <protection locked="0"/>
    </xf>
    <xf numFmtId="0" fontId="14" fillId="0" borderId="1" xfId="0" applyFont="1" applyBorder="1" applyAlignment="1">
      <alignment horizontal="center" vertical="center"/>
    </xf>
    <xf numFmtId="0" fontId="7" fillId="0" borderId="1" xfId="0" applyFont="1" applyBorder="1" applyAlignment="1" applyProtection="1">
      <alignment horizontal="center" vertical="center"/>
      <protection locked="0"/>
    </xf>
    <xf numFmtId="0" fontId="7" fillId="2" borderId="24" xfId="0" applyFont="1" applyFill="1" applyBorder="1" applyAlignment="1">
      <alignment horizontal="center"/>
    </xf>
    <xf numFmtId="49" fontId="7" fillId="2" borderId="12" xfId="0" applyNumberFormat="1" applyFont="1" applyFill="1" applyBorder="1" applyAlignment="1">
      <alignment horizontal="center"/>
    </xf>
    <xf numFmtId="49" fontId="7" fillId="2" borderId="4" xfId="0" applyNumberFormat="1" applyFont="1" applyFill="1" applyBorder="1" applyAlignment="1">
      <alignment horizontal="center"/>
    </xf>
    <xf numFmtId="0" fontId="14" fillId="6" borderId="1" xfId="0" applyFont="1" applyFill="1" applyBorder="1"/>
    <xf numFmtId="0" fontId="14" fillId="6" borderId="4" xfId="0" applyFont="1" applyFill="1" applyBorder="1" applyAlignment="1">
      <alignment horizontal="center"/>
    </xf>
    <xf numFmtId="0" fontId="14" fillId="6" borderId="8" xfId="0" applyFont="1" applyFill="1" applyBorder="1" applyAlignment="1">
      <alignment horizontal="center"/>
    </xf>
    <xf numFmtId="49" fontId="35" fillId="2" borderId="1" xfId="0" applyNumberFormat="1" applyFont="1" applyFill="1" applyBorder="1" applyAlignment="1">
      <alignment horizontal="center"/>
    </xf>
    <xf numFmtId="0" fontId="35" fillId="2" borderId="1" xfId="0" applyFont="1" applyFill="1" applyBorder="1" applyAlignment="1">
      <alignment horizontal="center" vertical="center"/>
    </xf>
    <xf numFmtId="0" fontId="14" fillId="0" borderId="4" xfId="0" applyFont="1" applyBorder="1" applyAlignment="1">
      <alignment horizontal="center" vertical="center" wrapText="1"/>
    </xf>
    <xf numFmtId="49" fontId="7" fillId="2" borderId="26" xfId="0" applyNumberFormat="1" applyFont="1" applyFill="1" applyBorder="1" applyAlignment="1">
      <alignment horizontal="center"/>
    </xf>
    <xf numFmtId="49" fontId="7" fillId="2" borderId="31" xfId="0" applyNumberFormat="1" applyFont="1" applyFill="1" applyBorder="1" applyAlignment="1">
      <alignment horizontal="center"/>
    </xf>
    <xf numFmtId="49" fontId="7" fillId="2" borderId="1" xfId="0" applyNumberFormat="1" applyFont="1" applyFill="1" applyBorder="1" applyAlignment="1">
      <alignment horizontal="center" vertical="center"/>
    </xf>
    <xf numFmtId="0" fontId="7" fillId="2" borderId="12" xfId="0" applyFont="1" applyFill="1" applyBorder="1" applyAlignment="1">
      <alignment horizontal="center"/>
    </xf>
    <xf numFmtId="0" fontId="7" fillId="2" borderId="12" xfId="0" applyFont="1" applyFill="1" applyBorder="1" applyAlignment="1">
      <alignment horizontal="center" vertical="center"/>
    </xf>
    <xf numFmtId="0" fontId="14" fillId="6" borderId="9" xfId="0" applyFont="1" applyFill="1" applyBorder="1" applyAlignment="1">
      <alignment horizontal="center" vertical="center"/>
    </xf>
    <xf numFmtId="0" fontId="14" fillId="6" borderId="9" xfId="0" applyFont="1" applyFill="1" applyBorder="1" applyAlignment="1">
      <alignment horizontal="center"/>
    </xf>
    <xf numFmtId="0" fontId="15" fillId="9" borderId="1" xfId="0" applyFont="1" applyFill="1" applyBorder="1" applyAlignment="1">
      <alignment horizontal="center" vertical="center"/>
    </xf>
    <xf numFmtId="10" fontId="15" fillId="9" borderId="1" xfId="1" applyNumberFormat="1" applyFont="1" applyFill="1" applyBorder="1" applyAlignment="1">
      <alignment horizontal="center" vertical="center"/>
    </xf>
    <xf numFmtId="0" fontId="15" fillId="9" borderId="1" xfId="0" applyFont="1" applyFill="1" applyBorder="1" applyAlignment="1">
      <alignment vertical="center"/>
    </xf>
    <xf numFmtId="10" fontId="39" fillId="9" borderId="1" xfId="0" applyNumberFormat="1" applyFont="1" applyFill="1" applyBorder="1" applyAlignment="1">
      <alignment horizontal="center"/>
    </xf>
    <xf numFmtId="0" fontId="23" fillId="8" borderId="1" xfId="0" applyFont="1" applyFill="1" applyBorder="1" applyAlignment="1">
      <alignment horizontal="center"/>
    </xf>
    <xf numFmtId="0" fontId="15" fillId="9" borderId="1" xfId="0" applyFont="1" applyFill="1" applyBorder="1" applyAlignment="1">
      <alignment horizontal="left" vertical="center"/>
    </xf>
    <xf numFmtId="0" fontId="14" fillId="2" borderId="1" xfId="0" applyFont="1" applyFill="1" applyBorder="1" applyAlignment="1">
      <alignment horizontal="left"/>
    </xf>
    <xf numFmtId="0" fontId="14" fillId="2" borderId="1" xfId="0" applyFont="1" applyFill="1" applyBorder="1"/>
    <xf numFmtId="0" fontId="38" fillId="16" borderId="1" xfId="0" applyFont="1" applyFill="1" applyBorder="1" applyAlignment="1">
      <alignment horizontal="left" wrapText="1"/>
    </xf>
    <xf numFmtId="0" fontId="38" fillId="9" borderId="1" xfId="0" applyFont="1" applyFill="1" applyBorder="1" applyAlignment="1">
      <alignment horizontal="left" wrapText="1"/>
    </xf>
    <xf numFmtId="0" fontId="38" fillId="16" borderId="1" xfId="0" applyFont="1" applyFill="1" applyBorder="1"/>
    <xf numFmtId="0" fontId="0" fillId="2" borderId="0" xfId="0" applyFill="1"/>
    <xf numFmtId="49" fontId="7" fillId="2" borderId="33" xfId="0" applyNumberFormat="1" applyFont="1" applyFill="1" applyBorder="1" applyAlignment="1">
      <alignment horizontal="center"/>
    </xf>
    <xf numFmtId="0" fontId="14" fillId="6" borderId="1" xfId="0" applyFont="1" applyFill="1" applyBorder="1" applyAlignment="1">
      <alignment horizontal="center"/>
    </xf>
    <xf numFmtId="0" fontId="7" fillId="2" borderId="31" xfId="0" applyFont="1" applyFill="1" applyBorder="1" applyAlignment="1">
      <alignment horizontal="center"/>
    </xf>
    <xf numFmtId="0" fontId="7" fillId="2" borderId="31" xfId="0" applyFont="1" applyFill="1" applyBorder="1" applyAlignment="1">
      <alignment horizontal="center" wrapText="1"/>
    </xf>
    <xf numFmtId="0" fontId="7" fillId="0" borderId="27" xfId="0" applyFont="1" applyBorder="1" applyAlignment="1">
      <alignment horizontal="center" vertical="center" wrapText="1"/>
    </xf>
    <xf numFmtId="0" fontId="7" fillId="2" borderId="31" xfId="0" applyFont="1" applyFill="1" applyBorder="1" applyAlignment="1">
      <alignment horizontal="center" vertical="center"/>
    </xf>
    <xf numFmtId="0" fontId="14" fillId="0" borderId="27" xfId="0" applyFont="1" applyBorder="1" applyAlignment="1">
      <alignment horizontal="center" vertical="center"/>
    </xf>
    <xf numFmtId="0" fontId="6" fillId="5" borderId="1" xfId="0" applyFont="1" applyFill="1" applyBorder="1" applyAlignment="1">
      <alignment horizontal="center" vertical="center"/>
    </xf>
    <xf numFmtId="0" fontId="13" fillId="13" borderId="1" xfId="0" applyFont="1" applyFill="1" applyBorder="1" applyAlignment="1">
      <alignment horizontal="center" vertical="center"/>
    </xf>
    <xf numFmtId="0" fontId="6" fillId="5" borderId="1" xfId="0" applyFont="1" applyFill="1" applyBorder="1" applyAlignment="1">
      <alignment horizontal="center" vertical="center" wrapText="1"/>
    </xf>
    <xf numFmtId="0" fontId="13" fillId="13" borderId="1" xfId="0" applyFont="1" applyFill="1" applyBorder="1" applyAlignment="1">
      <alignment horizontal="center" vertical="center" wrapText="1"/>
    </xf>
    <xf numFmtId="0" fontId="13" fillId="14" borderId="1" xfId="0" applyFont="1" applyFill="1" applyBorder="1" applyAlignment="1">
      <alignment horizontal="center" vertical="center"/>
    </xf>
    <xf numFmtId="0" fontId="7" fillId="2" borderId="27" xfId="0" applyFont="1" applyFill="1" applyBorder="1" applyAlignment="1">
      <alignment horizontal="center" vertical="center"/>
    </xf>
    <xf numFmtId="0" fontId="14" fillId="0" borderId="27" xfId="0" applyFont="1" applyBorder="1" applyAlignment="1">
      <alignment horizontal="center" vertical="center" wrapText="1"/>
    </xf>
    <xf numFmtId="0" fontId="6" fillId="15" borderId="1" xfId="0" applyFont="1" applyFill="1" applyBorder="1" applyAlignment="1">
      <alignment horizontal="center" vertical="center"/>
    </xf>
    <xf numFmtId="0" fontId="7" fillId="0" borderId="31" xfId="0" applyFont="1" applyBorder="1" applyAlignment="1">
      <alignment horizontal="center" vertical="center" wrapText="1"/>
    </xf>
    <xf numFmtId="0" fontId="13" fillId="5" borderId="1" xfId="0" applyFont="1" applyFill="1" applyBorder="1" applyAlignment="1">
      <alignment horizontal="center" vertical="center" wrapText="1"/>
    </xf>
    <xf numFmtId="0" fontId="7" fillId="0" borderId="31" xfId="0" applyFont="1" applyBorder="1" applyAlignment="1">
      <alignment horizontal="center" vertical="center"/>
    </xf>
    <xf numFmtId="0" fontId="14" fillId="0" borderId="34" xfId="0" applyFont="1" applyBorder="1" applyAlignment="1">
      <alignment horizontal="center" vertical="center" wrapText="1"/>
    </xf>
    <xf numFmtId="0" fontId="36" fillId="0" borderId="1" xfId="0" applyFont="1" applyBorder="1" applyAlignment="1">
      <alignment horizontal="center"/>
    </xf>
    <xf numFmtId="0" fontId="36" fillId="0" borderId="4" xfId="0" applyFont="1" applyBorder="1" applyAlignment="1">
      <alignment horizontal="center"/>
    </xf>
    <xf numFmtId="0" fontId="36" fillId="0" borderId="9" xfId="0" applyFont="1" applyBorder="1" applyAlignment="1">
      <alignment horizontal="center"/>
    </xf>
    <xf numFmtId="0" fontId="36" fillId="0" borderId="8" xfId="0" applyFont="1" applyBorder="1" applyAlignment="1">
      <alignment horizontal="center"/>
    </xf>
    <xf numFmtId="0" fontId="14" fillId="6" borderId="0" xfId="0" applyFont="1" applyFill="1" applyAlignment="1">
      <alignment horizontal="center"/>
    </xf>
    <xf numFmtId="0" fontId="14" fillId="6" borderId="32" xfId="0" applyFont="1" applyFill="1" applyBorder="1" applyAlignment="1">
      <alignment horizontal="center"/>
    </xf>
    <xf numFmtId="0" fontId="37" fillId="0" borderId="0" xfId="0" applyFont="1" applyAlignment="1">
      <alignment horizontal="center"/>
    </xf>
    <xf numFmtId="0" fontId="14" fillId="0" borderId="2" xfId="0" applyFont="1" applyBorder="1" applyAlignment="1">
      <alignment horizontal="center" vertical="center" wrapText="1"/>
    </xf>
    <xf numFmtId="0" fontId="7" fillId="0" borderId="35" xfId="0" applyFont="1" applyBorder="1" applyAlignment="1" applyProtection="1">
      <alignment horizontal="center" vertical="center" wrapText="1"/>
      <protection locked="0"/>
    </xf>
    <xf numFmtId="0" fontId="7" fillId="0" borderId="26" xfId="0" applyFont="1" applyBorder="1" applyAlignment="1" applyProtection="1">
      <alignment horizontal="center" vertical="center" wrapText="1"/>
      <protection locked="0"/>
    </xf>
    <xf numFmtId="0" fontId="7" fillId="0" borderId="4" xfId="0" applyFont="1" applyBorder="1" applyAlignment="1" applyProtection="1">
      <alignment horizontal="center" vertical="center" wrapText="1"/>
      <protection locked="0"/>
    </xf>
    <xf numFmtId="0" fontId="7" fillId="2" borderId="0" xfId="0" applyFont="1" applyFill="1" applyAlignment="1">
      <alignment horizontal="center" wrapText="1"/>
    </xf>
    <xf numFmtId="0" fontId="7" fillId="2" borderId="36" xfId="0" applyFont="1" applyFill="1" applyBorder="1" applyAlignment="1">
      <alignment horizontal="center" wrapText="1"/>
    </xf>
    <xf numFmtId="0" fontId="7" fillId="2" borderId="33" xfId="0" applyFont="1" applyFill="1" applyBorder="1" applyAlignment="1">
      <alignment horizontal="center" vertical="center"/>
    </xf>
    <xf numFmtId="0" fontId="7" fillId="0" borderId="25" xfId="0" applyFont="1" applyBorder="1" applyAlignment="1">
      <alignment horizontal="center" vertical="center" wrapText="1"/>
    </xf>
    <xf numFmtId="0" fontId="14" fillId="0" borderId="26" xfId="0" applyFont="1" applyBorder="1" applyAlignment="1">
      <alignment horizontal="center" vertical="center" wrapText="1"/>
    </xf>
    <xf numFmtId="0" fontId="14" fillId="6" borderId="0" xfId="0" applyFont="1" applyFill="1"/>
    <xf numFmtId="0" fontId="6" fillId="8" borderId="1" xfId="0" applyFont="1" applyFill="1" applyBorder="1" applyAlignment="1">
      <alignment horizontal="center" vertical="center"/>
    </xf>
    <xf numFmtId="0" fontId="24" fillId="17" borderId="1" xfId="0" applyFont="1" applyFill="1" applyBorder="1" applyAlignment="1">
      <alignment horizontal="center"/>
    </xf>
    <xf numFmtId="49" fontId="7" fillId="2" borderId="10" xfId="0" applyNumberFormat="1" applyFont="1" applyFill="1" applyBorder="1" applyAlignment="1">
      <alignment horizontal="center" vertical="center"/>
    </xf>
    <xf numFmtId="0" fontId="7" fillId="2" borderId="33" xfId="0" applyFont="1" applyFill="1" applyBorder="1" applyAlignment="1">
      <alignment horizontal="center"/>
    </xf>
    <xf numFmtId="0" fontId="13" fillId="8" borderId="5" xfId="0" applyFont="1" applyFill="1" applyBorder="1" applyAlignment="1">
      <alignment horizontal="center" vertical="center"/>
    </xf>
    <xf numFmtId="0" fontId="13" fillId="8" borderId="5" xfId="0" applyFont="1" applyFill="1" applyBorder="1" applyAlignment="1">
      <alignment horizontal="center" vertical="center" wrapText="1"/>
    </xf>
    <xf numFmtId="0" fontId="6" fillId="5" borderId="5" xfId="0" applyFont="1" applyFill="1" applyBorder="1" applyAlignment="1">
      <alignment horizontal="center" vertical="center"/>
    </xf>
    <xf numFmtId="49" fontId="7" fillId="2" borderId="8" xfId="0" applyNumberFormat="1" applyFont="1" applyFill="1" applyBorder="1" applyAlignment="1">
      <alignment horizontal="center"/>
    </xf>
    <xf numFmtId="0" fontId="14" fillId="2" borderId="10" xfId="0" applyFont="1" applyFill="1" applyBorder="1" applyAlignment="1">
      <alignment horizontal="center"/>
    </xf>
    <xf numFmtId="0" fontId="14" fillId="2" borderId="10" xfId="0" applyFont="1" applyFill="1" applyBorder="1" applyAlignment="1">
      <alignment horizontal="center" vertical="center"/>
    </xf>
    <xf numFmtId="0" fontId="34" fillId="2" borderId="10" xfId="0" applyFont="1" applyFill="1" applyBorder="1" applyAlignment="1">
      <alignment horizontal="center"/>
    </xf>
    <xf numFmtId="0" fontId="40" fillId="2" borderId="10" xfId="0" applyFont="1" applyFill="1" applyBorder="1" applyAlignment="1">
      <alignment horizontal="center"/>
    </xf>
    <xf numFmtId="22" fontId="40" fillId="2" borderId="10" xfId="0" applyNumberFormat="1" applyFont="1" applyFill="1" applyBorder="1" applyAlignment="1">
      <alignment horizontal="center"/>
    </xf>
    <xf numFmtId="49" fontId="35" fillId="2" borderId="10" xfId="0" applyNumberFormat="1" applyFont="1" applyFill="1" applyBorder="1" applyAlignment="1">
      <alignment horizontal="center"/>
    </xf>
    <xf numFmtId="0" fontId="35" fillId="2" borderId="10" xfId="0" applyFont="1" applyFill="1" applyBorder="1" applyAlignment="1">
      <alignment horizontal="center" vertical="center"/>
    </xf>
    <xf numFmtId="22" fontId="34" fillId="2" borderId="10" xfId="0" applyNumberFormat="1" applyFont="1" applyFill="1" applyBorder="1" applyAlignment="1">
      <alignment horizontal="center"/>
    </xf>
    <xf numFmtId="0" fontId="34" fillId="2" borderId="10" xfId="0" quotePrefix="1" applyFont="1" applyFill="1" applyBorder="1" applyAlignment="1">
      <alignment horizontal="center"/>
    </xf>
    <xf numFmtId="0" fontId="34" fillId="2" borderId="10" xfId="0" applyFont="1" applyFill="1" applyBorder="1" applyAlignment="1">
      <alignment horizontal="center" wrapText="1"/>
    </xf>
    <xf numFmtId="0" fontId="40" fillId="2" borderId="10" xfId="0" applyFont="1" applyFill="1" applyBorder="1" applyAlignment="1">
      <alignment horizontal="center" wrapText="1"/>
    </xf>
    <xf numFmtId="0" fontId="40" fillId="2" borderId="10" xfId="0" quotePrefix="1" applyFont="1" applyFill="1" applyBorder="1" applyAlignment="1">
      <alignment horizontal="center"/>
    </xf>
    <xf numFmtId="0" fontId="40" fillId="2" borderId="24" xfId="0" applyFont="1" applyFill="1" applyBorder="1" applyAlignment="1">
      <alignment horizontal="center"/>
    </xf>
    <xf numFmtId="22" fontId="40" fillId="2" borderId="24" xfId="0" applyNumberFormat="1" applyFont="1" applyFill="1" applyBorder="1" applyAlignment="1">
      <alignment horizontal="center"/>
    </xf>
    <xf numFmtId="0" fontId="34" fillId="2" borderId="24" xfId="0" applyFont="1" applyFill="1" applyBorder="1" applyAlignment="1">
      <alignment horizontal="center"/>
    </xf>
    <xf numFmtId="22" fontId="34" fillId="2" borderId="24" xfId="0" applyNumberFormat="1" applyFont="1" applyFill="1" applyBorder="1" applyAlignment="1">
      <alignment horizontal="center"/>
    </xf>
    <xf numFmtId="0" fontId="34" fillId="18" borderId="10" xfId="0" applyFont="1" applyFill="1" applyBorder="1" applyAlignment="1">
      <alignment horizontal="center"/>
    </xf>
    <xf numFmtId="0" fontId="34" fillId="2" borderId="10" xfId="0" applyFont="1" applyFill="1" applyBorder="1" applyAlignment="1">
      <alignment horizontal="left"/>
    </xf>
    <xf numFmtId="0" fontId="34" fillId="2" borderId="10" xfId="0" applyFont="1" applyFill="1" applyBorder="1" applyAlignment="1">
      <alignment horizontal="left" wrapText="1"/>
    </xf>
    <xf numFmtId="0" fontId="34" fillId="19" borderId="24" xfId="0" applyFont="1" applyFill="1" applyBorder="1" applyAlignment="1">
      <alignment horizontal="center"/>
    </xf>
    <xf numFmtId="0" fontId="34" fillId="20" borderId="10" xfId="0" applyFont="1" applyFill="1" applyBorder="1" applyAlignment="1">
      <alignment horizontal="center"/>
    </xf>
    <xf numFmtId="0" fontId="34" fillId="20" borderId="24" xfId="0" applyFont="1" applyFill="1" applyBorder="1" applyAlignment="1">
      <alignment horizontal="center"/>
    </xf>
    <xf numFmtId="0" fontId="40" fillId="20" borderId="10" xfId="0" applyFont="1" applyFill="1" applyBorder="1" applyAlignment="1">
      <alignment horizontal="center"/>
    </xf>
    <xf numFmtId="0" fontId="40" fillId="20" borderId="24" xfId="0" applyFont="1" applyFill="1" applyBorder="1" applyAlignment="1">
      <alignment horizontal="center"/>
    </xf>
    <xf numFmtId="0" fontId="40" fillId="18" borderId="10" xfId="0" applyFont="1" applyFill="1" applyBorder="1" applyAlignment="1">
      <alignment horizontal="center"/>
    </xf>
    <xf numFmtId="0" fontId="34" fillId="2" borderId="24" xfId="0" applyFont="1" applyFill="1" applyBorder="1" applyAlignment="1">
      <alignment horizontal="left"/>
    </xf>
    <xf numFmtId="0" fontId="34" fillId="2" borderId="24" xfId="0" applyFont="1" applyFill="1" applyBorder="1" applyAlignment="1">
      <alignment horizontal="left" wrapText="1"/>
    </xf>
    <xf numFmtId="0" fontId="34" fillId="21" borderId="10" xfId="0" applyFont="1" applyFill="1" applyBorder="1" applyAlignment="1">
      <alignment horizontal="center"/>
    </xf>
    <xf numFmtId="0" fontId="34" fillId="21" borderId="24" xfId="0" applyFont="1" applyFill="1" applyBorder="1" applyAlignment="1">
      <alignment horizontal="center"/>
    </xf>
    <xf numFmtId="0" fontId="35" fillId="2" borderId="0" xfId="0" applyFont="1" applyFill="1" applyAlignment="1">
      <alignment horizontal="center" vertical="center"/>
    </xf>
    <xf numFmtId="49" fontId="7" fillId="2" borderId="30" xfId="0" applyNumberFormat="1" applyFont="1" applyFill="1" applyBorder="1" applyAlignment="1">
      <alignment horizontal="center"/>
    </xf>
    <xf numFmtId="0" fontId="7" fillId="2" borderId="5" xfId="0" applyFont="1" applyFill="1" applyBorder="1" applyAlignment="1">
      <alignment horizontal="center" vertical="center"/>
    </xf>
    <xf numFmtId="49" fontId="7" fillId="2" borderId="5" xfId="0" applyNumberFormat="1" applyFont="1" applyFill="1" applyBorder="1" applyAlignment="1">
      <alignment horizontal="center"/>
    </xf>
    <xf numFmtId="0" fontId="7" fillId="0" borderId="24" xfId="0" applyFont="1" applyBorder="1" applyAlignment="1">
      <alignment horizontal="center" vertical="center"/>
    </xf>
    <xf numFmtId="0" fontId="14" fillId="0" borderId="28" xfId="0" applyFont="1" applyBorder="1" applyAlignment="1">
      <alignment horizontal="center" vertical="center" wrapText="1"/>
    </xf>
    <xf numFmtId="0" fontId="14" fillId="0" borderId="5" xfId="0" applyFont="1" applyBorder="1" applyAlignment="1">
      <alignment horizontal="center" vertical="center" wrapText="1"/>
    </xf>
    <xf numFmtId="0" fontId="7" fillId="0" borderId="30" xfId="0" applyFont="1" applyBorder="1" applyAlignment="1" applyProtection="1">
      <alignment horizontal="center" vertical="center" wrapText="1"/>
      <protection locked="0"/>
    </xf>
    <xf numFmtId="0" fontId="7" fillId="2" borderId="0" xfId="0" quotePrefix="1" applyFont="1" applyFill="1" applyAlignment="1">
      <alignment horizontal="center" vertical="center"/>
    </xf>
    <xf numFmtId="0" fontId="34" fillId="2" borderId="11" xfId="0" applyFont="1" applyFill="1" applyBorder="1" applyAlignment="1">
      <alignment horizontal="center"/>
    </xf>
    <xf numFmtId="0" fontId="34" fillId="15" borderId="10" xfId="0" applyFont="1" applyFill="1" applyBorder="1" applyAlignment="1">
      <alignment horizontal="center"/>
    </xf>
    <xf numFmtId="49" fontId="7" fillId="15" borderId="4" xfId="0" applyNumberFormat="1" applyFont="1" applyFill="1" applyBorder="1" applyAlignment="1">
      <alignment horizontal="center"/>
    </xf>
    <xf numFmtId="0" fontId="7" fillId="15" borderId="1" xfId="0" applyFont="1" applyFill="1" applyBorder="1" applyAlignment="1">
      <alignment horizontal="center" vertical="center"/>
    </xf>
    <xf numFmtId="49" fontId="7" fillId="15" borderId="1" xfId="0" applyNumberFormat="1" applyFont="1" applyFill="1" applyBorder="1" applyAlignment="1">
      <alignment horizontal="center"/>
    </xf>
    <xf numFmtId="0" fontId="40" fillId="2" borderId="0" xfId="0" applyFont="1" applyFill="1" applyAlignment="1">
      <alignment horizontal="center"/>
    </xf>
    <xf numFmtId="0" fontId="34" fillId="2" borderId="0" xfId="0" applyFont="1" applyFill="1" applyAlignment="1">
      <alignment horizontal="center"/>
    </xf>
    <xf numFmtId="0" fontId="6" fillId="7" borderId="0" xfId="0" applyFont="1" applyFill="1" applyAlignment="1">
      <alignment horizontal="center" vertical="center"/>
    </xf>
    <xf numFmtId="0" fontId="6" fillId="3" borderId="0" xfId="0" applyFont="1" applyFill="1" applyAlignment="1">
      <alignment horizontal="center" vertical="center"/>
    </xf>
    <xf numFmtId="0" fontId="18" fillId="2" borderId="0" xfId="0" applyFont="1" applyFill="1" applyAlignment="1">
      <alignment horizontal="center"/>
    </xf>
    <xf numFmtId="0" fontId="18" fillId="2" borderId="0" xfId="0" applyFont="1" applyFill="1" applyAlignment="1">
      <alignment horizontal="center" vertical="center"/>
    </xf>
    <xf numFmtId="0" fontId="15" fillId="2" borderId="0" xfId="0" applyFont="1" applyFill="1" applyAlignment="1">
      <alignment horizontal="center" vertical="center"/>
    </xf>
    <xf numFmtId="0" fontId="6" fillId="11" borderId="2" xfId="0" applyFont="1" applyFill="1" applyBorder="1" applyAlignment="1">
      <alignment horizontal="center" vertical="center"/>
    </xf>
    <xf numFmtId="0" fontId="6" fillId="11" borderId="3" xfId="0" applyFont="1" applyFill="1" applyBorder="1" applyAlignment="1">
      <alignment horizontal="center" vertical="center"/>
    </xf>
    <xf numFmtId="0" fontId="6" fillId="11" borderId="4" xfId="0" applyFont="1" applyFill="1" applyBorder="1" applyAlignment="1">
      <alignment horizontal="center" vertical="center"/>
    </xf>
    <xf numFmtId="0" fontId="6" fillId="11" borderId="0" xfId="0" applyFont="1" applyFill="1" applyAlignment="1">
      <alignment horizontal="center" vertical="center"/>
    </xf>
    <xf numFmtId="0" fontId="19" fillId="2" borderId="0" xfId="0" applyFont="1" applyFill="1" applyAlignment="1">
      <alignment horizontal="center" vertical="center"/>
    </xf>
    <xf numFmtId="0" fontId="6" fillId="12" borderId="11" xfId="0" applyFont="1" applyFill="1" applyBorder="1" applyAlignment="1">
      <alignment horizontal="center"/>
    </xf>
    <xf numFmtId="0" fontId="6" fillId="12" borderId="23" xfId="0" applyFont="1" applyFill="1" applyBorder="1" applyAlignment="1">
      <alignment horizontal="center"/>
    </xf>
    <xf numFmtId="0" fontId="6" fillId="12" borderId="12" xfId="0" applyFont="1" applyFill="1" applyBorder="1" applyAlignment="1">
      <alignment horizontal="center"/>
    </xf>
    <xf numFmtId="0" fontId="2" fillId="2" borderId="11" xfId="0" applyFont="1" applyFill="1" applyBorder="1" applyAlignment="1">
      <alignment horizontal="center"/>
    </xf>
    <xf numFmtId="0" fontId="2" fillId="2" borderId="23" xfId="0" applyFont="1" applyFill="1" applyBorder="1" applyAlignment="1">
      <alignment horizontal="center"/>
    </xf>
    <xf numFmtId="0" fontId="2" fillId="2" borderId="12" xfId="0" applyFont="1" applyFill="1" applyBorder="1" applyAlignment="1">
      <alignment horizontal="center"/>
    </xf>
    <xf numFmtId="0" fontId="2" fillId="2" borderId="0" xfId="0" applyFont="1" applyFill="1" applyAlignment="1">
      <alignment horizontal="center" vertical="center"/>
    </xf>
    <xf numFmtId="0" fontId="5" fillId="2" borderId="0" xfId="0" applyFont="1" applyFill="1" applyAlignment="1">
      <alignment horizontal="center"/>
    </xf>
    <xf numFmtId="0" fontId="10" fillId="2" borderId="0" xfId="0" applyFont="1" applyFill="1" applyAlignment="1">
      <alignment horizontal="center"/>
    </xf>
    <xf numFmtId="0" fontId="12" fillId="2" borderId="0" xfId="0" applyFont="1" applyFill="1" applyAlignment="1">
      <alignment horizontal="center"/>
    </xf>
    <xf numFmtId="0" fontId="7" fillId="2" borderId="3" xfId="0" applyFont="1" applyFill="1" applyBorder="1" applyAlignment="1">
      <alignment horizontal="center"/>
    </xf>
    <xf numFmtId="0" fontId="7" fillId="2" borderId="4" xfId="0" applyFont="1" applyFill="1" applyBorder="1" applyAlignment="1">
      <alignment horizontal="center"/>
    </xf>
    <xf numFmtId="10" fontId="7" fillId="2" borderId="2" xfId="1" applyNumberFormat="1" applyFont="1" applyFill="1" applyBorder="1" applyAlignment="1">
      <alignment horizontal="center"/>
    </xf>
    <xf numFmtId="10" fontId="7" fillId="2" borderId="3" xfId="1" applyNumberFormat="1" applyFont="1" applyFill="1" applyBorder="1" applyAlignment="1">
      <alignment horizontal="center"/>
    </xf>
    <xf numFmtId="0" fontId="23" fillId="5" borderId="1" xfId="0" applyFont="1" applyFill="1" applyBorder="1" applyAlignment="1">
      <alignment horizontal="center"/>
    </xf>
    <xf numFmtId="0" fontId="6" fillId="8" borderId="2" xfId="0" applyFont="1" applyFill="1" applyBorder="1" applyAlignment="1">
      <alignment horizontal="center" vertical="center"/>
    </xf>
    <xf numFmtId="0" fontId="6" fillId="8" borderId="3" xfId="0" applyFont="1" applyFill="1" applyBorder="1" applyAlignment="1">
      <alignment horizontal="center" vertical="center"/>
    </xf>
    <xf numFmtId="0" fontId="6" fillId="8" borderId="4" xfId="0" applyFont="1" applyFill="1" applyBorder="1" applyAlignment="1">
      <alignment horizontal="center" vertical="center"/>
    </xf>
    <xf numFmtId="0" fontId="23" fillId="8" borderId="11" xfId="0" applyFont="1" applyFill="1" applyBorder="1" applyAlignment="1">
      <alignment horizontal="center" vertical="center"/>
    </xf>
    <xf numFmtId="0" fontId="23" fillId="8" borderId="23" xfId="0" applyFont="1" applyFill="1" applyBorder="1" applyAlignment="1">
      <alignment horizontal="center" vertical="center"/>
    </xf>
    <xf numFmtId="0" fontId="23" fillId="8" borderId="12" xfId="0" applyFont="1" applyFill="1" applyBorder="1" applyAlignment="1">
      <alignment horizontal="center" vertical="center"/>
    </xf>
    <xf numFmtId="0" fontId="23" fillId="8" borderId="10" xfId="0" applyFont="1" applyFill="1" applyBorder="1" applyAlignment="1">
      <alignment horizontal="center" vertical="center"/>
    </xf>
    <xf numFmtId="0" fontId="23" fillId="8" borderId="2" xfId="0" applyFont="1" applyFill="1" applyBorder="1" applyAlignment="1">
      <alignment horizontal="center" vertical="center"/>
    </xf>
    <xf numFmtId="0" fontId="23" fillId="8" borderId="3" xfId="0" applyFont="1" applyFill="1" applyBorder="1" applyAlignment="1">
      <alignment horizontal="center" vertical="center"/>
    </xf>
    <xf numFmtId="0" fontId="23" fillId="8" borderId="4" xfId="0" applyFont="1" applyFill="1" applyBorder="1" applyAlignment="1">
      <alignment horizontal="center" vertical="center"/>
    </xf>
    <xf numFmtId="0" fontId="23" fillId="8" borderId="1" xfId="0" applyFont="1" applyFill="1" applyBorder="1" applyAlignment="1">
      <alignment horizontal="center" vertical="center"/>
    </xf>
    <xf numFmtId="0" fontId="23" fillId="8" borderId="28" xfId="0" applyFont="1" applyFill="1" applyBorder="1" applyAlignment="1">
      <alignment horizontal="center" vertical="center"/>
    </xf>
    <xf numFmtId="0" fontId="23" fillId="8" borderId="1" xfId="0" applyFont="1" applyFill="1" applyBorder="1" applyAlignment="1">
      <alignment horizontal="center"/>
    </xf>
    <xf numFmtId="0" fontId="23" fillId="8" borderId="29" xfId="0" applyFont="1" applyFill="1" applyBorder="1" applyAlignment="1">
      <alignment horizontal="center" vertical="center"/>
    </xf>
    <xf numFmtId="0" fontId="23" fillId="8" borderId="30" xfId="0" applyFont="1" applyFill="1" applyBorder="1" applyAlignment="1">
      <alignment horizontal="center" vertical="center"/>
    </xf>
    <xf numFmtId="0" fontId="6" fillId="8" borderId="1" xfId="0" applyFont="1" applyFill="1" applyBorder="1" applyAlignment="1">
      <alignment horizontal="center" vertical="center"/>
    </xf>
    <xf numFmtId="0" fontId="6" fillId="8" borderId="28" xfId="0" applyFont="1" applyFill="1" applyBorder="1" applyAlignment="1">
      <alignment horizontal="center" vertical="center"/>
    </xf>
    <xf numFmtId="0" fontId="6" fillId="8" borderId="29" xfId="0" applyFont="1" applyFill="1" applyBorder="1" applyAlignment="1">
      <alignment horizontal="center" vertical="center"/>
    </xf>
    <xf numFmtId="0" fontId="6" fillId="8" borderId="30" xfId="0" applyFont="1" applyFill="1" applyBorder="1" applyAlignment="1">
      <alignment horizontal="center" vertical="center"/>
    </xf>
    <xf numFmtId="0" fontId="6" fillId="8" borderId="0" xfId="0" applyFont="1" applyFill="1" applyAlignment="1">
      <alignment horizontal="center" vertical="center"/>
    </xf>
    <xf numFmtId="0" fontId="6" fillId="8" borderId="7" xfId="0" applyFont="1" applyFill="1" applyBorder="1" applyAlignment="1">
      <alignment horizontal="center" vertical="center"/>
    </xf>
    <xf numFmtId="0" fontId="6" fillId="8" borderId="6" xfId="0" applyFont="1" applyFill="1" applyBorder="1" applyAlignment="1">
      <alignment horizontal="center" vertical="center"/>
    </xf>
    <xf numFmtId="0" fontId="6" fillId="8" borderId="8" xfId="0" applyFont="1" applyFill="1" applyBorder="1" applyAlignment="1">
      <alignment horizontal="center" vertical="center"/>
    </xf>
    <xf numFmtId="0" fontId="7" fillId="2" borderId="0" xfId="0" applyFont="1" applyFill="1" applyAlignment="1">
      <alignment horizontal="center" vertical="center"/>
    </xf>
    <xf numFmtId="0" fontId="7" fillId="9" borderId="6" xfId="0" applyFont="1" applyFill="1" applyBorder="1" applyAlignment="1">
      <alignment horizontal="center"/>
    </xf>
    <xf numFmtId="0" fontId="7" fillId="9" borderId="8" xfId="0" applyFont="1" applyFill="1" applyBorder="1" applyAlignment="1">
      <alignment horizontal="center"/>
    </xf>
    <xf numFmtId="0" fontId="7" fillId="9" borderId="7" xfId="0" applyFont="1" applyFill="1" applyBorder="1" applyAlignment="1">
      <alignment horizontal="center"/>
    </xf>
    <xf numFmtId="0" fontId="6" fillId="8" borderId="23" xfId="0" applyFont="1" applyFill="1" applyBorder="1" applyAlignment="1">
      <alignment horizontal="center" vertical="center"/>
    </xf>
    <xf numFmtId="0" fontId="24" fillId="17" borderId="1" xfId="0" applyFont="1" applyFill="1" applyBorder="1" applyAlignment="1">
      <alignment horizontal="center"/>
    </xf>
    <xf numFmtId="0" fontId="32" fillId="7" borderId="0" xfId="0" applyFont="1" applyFill="1" applyAlignment="1">
      <alignment horizontal="center" vertical="center"/>
    </xf>
    <xf numFmtId="0" fontId="26" fillId="2" borderId="18" xfId="0" applyFont="1" applyFill="1" applyBorder="1" applyAlignment="1">
      <alignment horizontal="center" vertical="center"/>
    </xf>
    <xf numFmtId="0" fontId="26" fillId="2" borderId="19" xfId="0" applyFont="1" applyFill="1" applyBorder="1" applyAlignment="1">
      <alignment horizontal="center" vertical="center"/>
    </xf>
    <xf numFmtId="0" fontId="26" fillId="2" borderId="16" xfId="0" applyFont="1" applyFill="1" applyBorder="1" applyAlignment="1">
      <alignment horizontal="center" vertical="center"/>
    </xf>
    <xf numFmtId="0" fontId="26" fillId="2" borderId="17" xfId="0" applyFont="1" applyFill="1" applyBorder="1" applyAlignment="1">
      <alignment horizontal="center" vertical="center"/>
    </xf>
    <xf numFmtId="0" fontId="33" fillId="10" borderId="10" xfId="0" applyFont="1" applyFill="1" applyBorder="1" applyAlignment="1">
      <alignment horizontal="left" vertical="center"/>
    </xf>
    <xf numFmtId="0" fontId="30" fillId="7" borderId="0" xfId="0" applyFont="1" applyFill="1" applyAlignment="1">
      <alignment horizontal="center" vertical="center"/>
    </xf>
    <xf numFmtId="10" fontId="30" fillId="7" borderId="10" xfId="1" applyNumberFormat="1" applyFont="1" applyFill="1" applyBorder="1" applyAlignment="1">
      <alignment horizontal="center" vertical="center"/>
    </xf>
    <xf numFmtId="0" fontId="33" fillId="10" borderId="11" xfId="0" applyFont="1" applyFill="1" applyBorder="1" applyAlignment="1">
      <alignment horizontal="left" vertical="center"/>
    </xf>
    <xf numFmtId="0" fontId="33" fillId="10" borderId="12" xfId="0" applyFont="1" applyFill="1" applyBorder="1" applyAlignment="1">
      <alignment horizontal="left" vertical="center"/>
    </xf>
    <xf numFmtId="10" fontId="30" fillId="7" borderId="11" xfId="1" applyNumberFormat="1" applyFont="1" applyFill="1" applyBorder="1" applyAlignment="1">
      <alignment horizontal="center" vertical="center"/>
    </xf>
    <xf numFmtId="10" fontId="30" fillId="7" borderId="12" xfId="1" applyNumberFormat="1" applyFont="1" applyFill="1" applyBorder="1" applyAlignment="1">
      <alignment horizontal="center" vertical="center"/>
    </xf>
    <xf numFmtId="10" fontId="30" fillId="7" borderId="23" xfId="1" applyNumberFormat="1" applyFont="1" applyFill="1" applyBorder="1" applyAlignment="1">
      <alignment horizontal="center" vertical="center"/>
    </xf>
    <xf numFmtId="0" fontId="32" fillId="8" borderId="0" xfId="0" applyFont="1" applyFill="1" applyAlignment="1">
      <alignment horizontal="center" vertical="center"/>
    </xf>
    <xf numFmtId="0" fontId="26" fillId="2" borderId="0" xfId="0" applyFont="1" applyFill="1" applyAlignment="1">
      <alignment horizontal="center" vertical="center"/>
    </xf>
    <xf numFmtId="0" fontId="26" fillId="2" borderId="21" xfId="0" applyFont="1" applyFill="1" applyBorder="1" applyAlignment="1">
      <alignment horizontal="center" vertical="center"/>
    </xf>
    <xf numFmtId="0" fontId="26" fillId="2" borderId="22" xfId="0" applyFont="1" applyFill="1" applyBorder="1" applyAlignment="1">
      <alignment horizontal="center" vertical="center"/>
    </xf>
    <xf numFmtId="0" fontId="33" fillId="10" borderId="2" xfId="0" applyFont="1" applyFill="1" applyBorder="1" applyAlignment="1">
      <alignment horizontal="left" vertical="center"/>
    </xf>
    <xf numFmtId="0" fontId="33" fillId="10" borderId="4" xfId="0" applyFont="1" applyFill="1" applyBorder="1" applyAlignment="1">
      <alignment horizontal="left" vertical="center"/>
    </xf>
    <xf numFmtId="0" fontId="30" fillId="8" borderId="0" xfId="0" applyFont="1" applyFill="1" applyAlignment="1">
      <alignment horizontal="center" vertical="center"/>
    </xf>
    <xf numFmtId="10" fontId="30" fillId="8" borderId="10" xfId="1" applyNumberFormat="1" applyFont="1" applyFill="1" applyBorder="1" applyAlignment="1">
      <alignment horizontal="center" vertical="center"/>
    </xf>
    <xf numFmtId="10" fontId="30" fillId="8" borderId="9" xfId="1" applyNumberFormat="1" applyFont="1" applyFill="1" applyBorder="1" applyAlignment="1">
      <alignment horizontal="center" vertical="center"/>
    </xf>
    <xf numFmtId="0" fontId="26" fillId="2" borderId="20" xfId="0" applyFont="1" applyFill="1" applyBorder="1" applyAlignment="1">
      <alignment horizontal="center" vertical="center"/>
    </xf>
    <xf numFmtId="0" fontId="30" fillId="8" borderId="13" xfId="0" applyFont="1" applyFill="1" applyBorder="1" applyAlignment="1">
      <alignment horizontal="center" vertical="center"/>
    </xf>
    <xf numFmtId="0" fontId="30" fillId="8" borderId="14" xfId="0" applyFont="1" applyFill="1" applyBorder="1" applyAlignment="1">
      <alignment horizontal="center" vertical="center"/>
    </xf>
    <xf numFmtId="0" fontId="30" fillId="8" borderId="15" xfId="0" applyFont="1" applyFill="1" applyBorder="1" applyAlignment="1">
      <alignment horizontal="center" vertical="center"/>
    </xf>
    <xf numFmtId="0" fontId="33" fillId="10" borderId="1" xfId="0" applyFont="1" applyFill="1" applyBorder="1" applyAlignment="1">
      <alignment horizontal="left" vertical="center"/>
    </xf>
  </cellXfs>
  <cellStyles count="3">
    <cellStyle name="Normal" xfId="0" builtinId="0"/>
    <cellStyle name="Normal 2" xfId="2" xr:uid="{00000000-0005-0000-0000-000001000000}"/>
    <cellStyle name="Porcentagem" xfId="1" builtinId="5"/>
  </cellStyles>
  <dxfs count="79">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7030A0"/>
        </patternFill>
      </fill>
    </dxf>
    <dxf>
      <font>
        <color theme="0"/>
      </font>
      <fill>
        <patternFill>
          <bgColor rgb="FF7030A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7030A0"/>
        </patternFill>
      </fill>
    </dxf>
    <dxf>
      <font>
        <color theme="0"/>
      </font>
      <fill>
        <patternFill>
          <bgColor rgb="FF7030A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7030A0"/>
        </patternFill>
      </fill>
    </dxf>
    <dxf>
      <font>
        <color theme="0"/>
      </font>
      <fill>
        <patternFill>
          <bgColor rgb="FF7030A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ont>
        <color theme="0"/>
      </font>
      <fill>
        <patternFill>
          <bgColor rgb="FF7030A0"/>
        </patternFill>
      </fill>
    </dxf>
  </dxfs>
  <tableStyles count="0" defaultTableStyle="TableStyleMedium2" defaultPivotStyle="PivotStyleLight16"/>
  <colors>
    <mruColors>
      <color rgb="FFFF6600"/>
      <color rgb="FF8D54B8"/>
      <color rgb="FFE7CAFC"/>
      <color rgb="FFF5837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3.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4.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5.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6.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7.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8.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0555555555555555E-2"/>
          <c:y val="7.8169631186539912E-2"/>
          <c:w val="0.93888888888888888"/>
          <c:h val="0.81443130365676397"/>
        </c:manualLayout>
      </c:layout>
      <c:barChart>
        <c:barDir val="col"/>
        <c:grouping val="clustered"/>
        <c:varyColors val="0"/>
        <c:ser>
          <c:idx val="0"/>
          <c:order val="0"/>
          <c:tx>
            <c:strRef>
              <c:f>'DADOS - GOPOÚVA'!$C$6</c:f>
              <c:strCache>
                <c:ptCount val="1"/>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'DADOS - GOPOÚVA'!$B$7</c:f>
              <c:strCache>
                <c:ptCount val="1"/>
                <c:pt idx="0">
                  <c:v>IT (%)</c:v>
                </c:pt>
              </c:strCache>
            </c:strRef>
          </c:cat>
          <c:val>
            <c:numRef>
              <c:f>'DADOS - GOPOÚVA'!$C$7</c:f>
              <c:numCache>
                <c:formatCode>0.00%</c:formatCode>
                <c:ptCount val="1"/>
              </c:numCache>
            </c:numRef>
          </c:val>
          <c:extLst>
            <c:ext xmlns:c16="http://schemas.microsoft.com/office/drawing/2014/chart" uri="{C3380CC4-5D6E-409C-BE32-E72D297353CC}">
              <c16:uniqueId val="{00000000-1201-49ED-9F30-DE47A83A00E8}"/>
            </c:ext>
          </c:extLst>
        </c:ser>
        <c:dLbls>
          <c:dLblPos val="outEnd"/>
          <c:showLegendKey val="0"/>
          <c:showVal val="1"/>
          <c:showCatName val="0"/>
          <c:showSerName val="0"/>
          <c:showPercent val="0"/>
          <c:showBubbleSize val="0"/>
        </c:dLbls>
        <c:gapWidth val="219"/>
        <c:overlap val="-27"/>
        <c:axId val="150302512"/>
        <c:axId val="150304472"/>
        <c:extLst>
          <c:ext xmlns:c15="http://schemas.microsoft.com/office/drawing/2012/chart" uri="{02D57815-91ED-43cb-92C2-25804820EDAC}">
            <c15:filteredBarSeries>
              <c15:ser>
                <c:idx val="1"/>
                <c:order val="1"/>
                <c:tx>
                  <c:strRef>
                    <c:extLst>
                      <c:ext uri="{02D57815-91ED-43cb-92C2-25804820EDAC}">
                        <c15:formulaRef>
                          <c15:sqref>'DADOS - GOPOÚVA'!$D$6</c15:sqref>
                        </c15:formulaRef>
                      </c:ext>
                    </c:extLst>
                    <c:strCache>
                      <c:ptCount val="1"/>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'DADOS - GOPOÚVA'!$B$7</c15:sqref>
                        </c15:formulaRef>
                      </c:ext>
                    </c:extLst>
                    <c:strCache>
                      <c:ptCount val="1"/>
                      <c:pt idx="0">
                        <c:v>IT (%)</c:v>
                      </c:pt>
                    </c:strCache>
                  </c:strRef>
                </c:cat>
                <c:val>
                  <c:numRef>
                    <c:extLst>
                      <c:ext uri="{02D57815-91ED-43cb-92C2-25804820EDAC}">
                        <c15:formulaRef>
                          <c15:sqref>'DADOS - GOPOÚVA'!$D$7</c15:sqref>
                        </c15:formulaRef>
                      </c:ext>
                    </c:extLst>
                    <c:numCache>
                      <c:formatCode>General</c:formatCode>
                      <c:ptCount val="1"/>
                    </c:numCache>
                  </c:numRef>
                </c:val>
                <c:extLst>
                  <c:ext xmlns:c16="http://schemas.microsoft.com/office/drawing/2014/chart" uri="{C3380CC4-5D6E-409C-BE32-E72D297353CC}">
                    <c16:uniqueId val="{00000001-1201-49ED-9F30-DE47A83A00E8}"/>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'DADOS - GOPOÚVA'!$E$6</c15:sqref>
                        </c15:formulaRef>
                      </c:ext>
                    </c:extLst>
                    <c:strCache>
                      <c:ptCount val="1"/>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'DADOS - GOPOÚVA'!$B$7</c15:sqref>
                        </c15:formulaRef>
                      </c:ext>
                    </c:extLst>
                    <c:strCache>
                      <c:ptCount val="1"/>
                      <c:pt idx="0">
                        <c:v>IT (%)</c:v>
                      </c:pt>
                    </c:strCache>
                  </c:strRef>
                </c:cat>
                <c:val>
                  <c:numRef>
                    <c:extLst xmlns:c15="http://schemas.microsoft.com/office/drawing/2012/chart">
                      <c:ext xmlns:c15="http://schemas.microsoft.com/office/drawing/2012/chart" uri="{02D57815-91ED-43cb-92C2-25804820EDAC}">
                        <c15:formulaRef>
                          <c15:sqref>'DADOS - GOPOÚVA'!$E$7</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2-1201-49ED-9F30-DE47A83A00E8}"/>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'DADOS - GOPOÚVA'!$F$6</c15:sqref>
                        </c15:formulaRef>
                      </c:ext>
                    </c:extLst>
                    <c:strCache>
                      <c:ptCount val="1"/>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'DADOS - GOPOÚVA'!$B$7</c15:sqref>
                        </c15:formulaRef>
                      </c:ext>
                    </c:extLst>
                    <c:strCache>
                      <c:ptCount val="1"/>
                      <c:pt idx="0">
                        <c:v>IT (%)</c:v>
                      </c:pt>
                    </c:strCache>
                  </c:strRef>
                </c:cat>
                <c:val>
                  <c:numRef>
                    <c:extLst xmlns:c15="http://schemas.microsoft.com/office/drawing/2012/chart">
                      <c:ext xmlns:c15="http://schemas.microsoft.com/office/drawing/2012/chart" uri="{02D57815-91ED-43cb-92C2-25804820EDAC}">
                        <c15:formulaRef>
                          <c15:sqref>'DADOS - GOPOÚVA'!$F$7</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3-1201-49ED-9F30-DE47A83A00E8}"/>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'DADOS - GOPOÚVA'!$G$6</c15:sqref>
                        </c15:formulaRef>
                      </c:ext>
                    </c:extLst>
                    <c:strCache>
                      <c:ptCount val="1"/>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'DADOS - GOPOÚVA'!$B$7</c15:sqref>
                        </c15:formulaRef>
                      </c:ext>
                    </c:extLst>
                    <c:strCache>
                      <c:ptCount val="1"/>
                      <c:pt idx="0">
                        <c:v>IT (%)</c:v>
                      </c:pt>
                    </c:strCache>
                  </c:strRef>
                </c:cat>
                <c:val>
                  <c:numRef>
                    <c:extLst xmlns:c15="http://schemas.microsoft.com/office/drawing/2012/chart">
                      <c:ext xmlns:c15="http://schemas.microsoft.com/office/drawing/2012/chart" uri="{02D57815-91ED-43cb-92C2-25804820EDAC}">
                        <c15:formulaRef>
                          <c15:sqref>'DADOS - GOPOÚVA'!$G$7</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4-1201-49ED-9F30-DE47A83A00E8}"/>
                  </c:ext>
                </c:extLst>
              </c15:ser>
            </c15:filteredBarSeries>
          </c:ext>
        </c:extLst>
      </c:barChart>
      <c:catAx>
        <c:axId val="150302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crossAx val="150304472"/>
        <c:crosses val="autoZero"/>
        <c:auto val="1"/>
        <c:lblAlgn val="ctr"/>
        <c:lblOffset val="100"/>
        <c:noMultiLvlLbl val="0"/>
      </c:catAx>
      <c:valAx>
        <c:axId val="150304472"/>
        <c:scaling>
          <c:orientation val="minMax"/>
        </c:scaling>
        <c:delete val="1"/>
        <c:axPos val="l"/>
        <c:numFmt formatCode="0.00%" sourceLinked="1"/>
        <c:majorTickMark val="none"/>
        <c:minorTickMark val="none"/>
        <c:tickLblPos val="nextTo"/>
        <c:crossAx val="150302512"/>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0555476020042951E-2"/>
          <c:y val="0.10164305299744657"/>
          <c:w val="0.93888888888888888"/>
          <c:h val="0.73428314777865777"/>
        </c:manualLayout>
      </c:layout>
      <c:barChart>
        <c:barDir val="col"/>
        <c:grouping val="clustered"/>
        <c:varyColors val="0"/>
        <c:ser>
          <c:idx val="0"/>
          <c:order val="0"/>
          <c:tx>
            <c:strRef>
              <c:f>'DADOS - GOPOÚVA'!$B$25</c:f>
              <c:strCache>
                <c:ptCount val="1"/>
                <c:pt idx="0">
                  <c:v>ÍNDICE DE QUALIDADE SABESP - IQS (%)</c:v>
                </c:pt>
              </c:strCache>
            </c:strRef>
          </c:tx>
          <c:spPr>
            <a:solidFill>
              <a:schemeClr val="accent1"/>
            </a:solidFill>
            <a:ln>
              <a:noFill/>
            </a:ln>
            <a:effectLst/>
          </c:spPr>
          <c:invertIfNegative val="0"/>
          <c:dPt>
            <c:idx val="0"/>
            <c:invertIfNegative val="0"/>
            <c:bubble3D val="0"/>
            <c:spPr>
              <a:solidFill>
                <a:schemeClr val="accent1">
                  <a:lumMod val="50000"/>
                </a:schemeClr>
              </a:solidFill>
              <a:ln>
                <a:noFill/>
              </a:ln>
              <a:effectLst/>
            </c:spPr>
            <c:extLst>
              <c:ext xmlns:c16="http://schemas.microsoft.com/office/drawing/2014/chart" uri="{C3380CC4-5D6E-409C-BE32-E72D297353CC}">
                <c16:uniqueId val="{00000001-2E1E-4128-B0FB-3C9B5E6FE1F5}"/>
              </c:ext>
            </c:extLst>
          </c:dPt>
          <c:dLbls>
            <c:spPr>
              <a:noFill/>
              <a:ln>
                <a:noFill/>
              </a:ln>
              <a:effectLst/>
            </c:spPr>
            <c:txPr>
              <a:bodyPr rot="0" spcFirstLastPara="1" vertOverflow="ellipsis" vert="horz" wrap="square" anchor="ctr" anchorCtr="1"/>
              <a:lstStyle/>
              <a:p>
                <a:pPr>
                  <a:defRPr sz="12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'DADOS - GOPOÚVA'!$G$32</c:f>
              <c:strCache>
                <c:ptCount val="1"/>
                <c:pt idx="0">
                  <c:v>IQS (%):</c:v>
                </c:pt>
              </c:strCache>
            </c:strRef>
          </c:cat>
          <c:val>
            <c:numRef>
              <c:f>'DADOS - GOPOÚVA'!$G$31</c:f>
              <c:numCache>
                <c:formatCode>0.00%</c:formatCode>
                <c:ptCount val="1"/>
                <c:pt idx="0">
                  <c:v>0.75633365964500765</c:v>
                </c:pt>
              </c:numCache>
            </c:numRef>
          </c:val>
          <c:extLst>
            <c:ext xmlns:c16="http://schemas.microsoft.com/office/drawing/2014/chart" uri="{C3380CC4-5D6E-409C-BE32-E72D297353CC}">
              <c16:uniqueId val="{00000002-2E1E-4128-B0FB-3C9B5E6FE1F5}"/>
            </c:ext>
          </c:extLst>
        </c:ser>
        <c:dLbls>
          <c:dLblPos val="outEnd"/>
          <c:showLegendKey val="0"/>
          <c:showVal val="1"/>
          <c:showCatName val="0"/>
          <c:showSerName val="0"/>
          <c:showPercent val="0"/>
          <c:showBubbleSize val="0"/>
        </c:dLbls>
        <c:gapWidth val="219"/>
        <c:overlap val="-27"/>
        <c:axId val="150299376"/>
        <c:axId val="150297024"/>
        <c:extLst/>
      </c:barChart>
      <c:catAx>
        <c:axId val="150299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crossAx val="150297024"/>
        <c:crosses val="autoZero"/>
        <c:auto val="1"/>
        <c:lblAlgn val="ctr"/>
        <c:lblOffset val="100"/>
        <c:noMultiLvlLbl val="0"/>
      </c:catAx>
      <c:valAx>
        <c:axId val="150297024"/>
        <c:scaling>
          <c:orientation val="minMax"/>
          <c:max val="1"/>
        </c:scaling>
        <c:delete val="1"/>
        <c:axPos val="l"/>
        <c:numFmt formatCode="0.00%" sourceLinked="1"/>
        <c:majorTickMark val="out"/>
        <c:minorTickMark val="none"/>
        <c:tickLblPos val="nextTo"/>
        <c:crossAx val="150299376"/>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20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'DADOS - GOPOÚVA'!$C$9:$C$10</c:f>
              <c:strCache>
                <c:ptCount val="2"/>
                <c:pt idx="1">
                  <c:v>IC (%)</c:v>
                </c:pt>
              </c:strCache>
            </c:strRef>
          </c:tx>
          <c:spPr>
            <a:solidFill>
              <a:schemeClr val="accent1"/>
            </a:solidFill>
            <a:ln>
              <a:noFill/>
            </a:ln>
            <a:effectLst/>
          </c:spPr>
          <c:invertIfNegative val="0"/>
          <c:dPt>
            <c:idx val="1"/>
            <c:invertIfNegative val="0"/>
            <c:bubble3D val="0"/>
            <c:spPr>
              <a:solidFill>
                <a:schemeClr val="accent6">
                  <a:lumMod val="50000"/>
                </a:schemeClr>
              </a:solidFill>
              <a:ln>
                <a:noFill/>
              </a:ln>
              <a:effectLst/>
            </c:spPr>
            <c:extLst>
              <c:ext xmlns:c16="http://schemas.microsoft.com/office/drawing/2014/chart" uri="{C3380CC4-5D6E-409C-BE32-E72D297353CC}">
                <c16:uniqueId val="{00000001-7DC7-484C-83C8-0C64084A768B}"/>
              </c:ext>
            </c:extLst>
          </c:dPt>
          <c:dPt>
            <c:idx val="3"/>
            <c:invertIfNegative val="0"/>
            <c:bubble3D val="0"/>
            <c:spPr>
              <a:solidFill>
                <a:schemeClr val="bg2">
                  <a:lumMod val="50000"/>
                </a:schemeClr>
              </a:solidFill>
              <a:ln>
                <a:noFill/>
              </a:ln>
              <a:effectLst/>
            </c:spPr>
            <c:extLst>
              <c:ext xmlns:c16="http://schemas.microsoft.com/office/drawing/2014/chart" uri="{C3380CC4-5D6E-409C-BE32-E72D297353CC}">
                <c16:uniqueId val="{00000003-DF7C-4618-83D9-2DDFC9AAEFDE}"/>
              </c:ext>
            </c:extLst>
          </c:dPt>
          <c:dLbls>
            <c:dLbl>
              <c:idx val="0"/>
              <c:spPr>
                <a:noFill/>
                <a:ln>
                  <a:noFill/>
                </a:ln>
                <a:effectLst/>
              </c:spPr>
              <c:txPr>
                <a:bodyPr rot="0" spcFirstLastPara="1" vertOverflow="ellipsis" vert="horz" wrap="square" anchor="ctr" anchorCtr="1"/>
                <a:lstStyle/>
                <a:p>
                  <a:pPr>
                    <a:defRPr sz="9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dLblPos val="outEnd"/>
              <c:showLegendKey val="0"/>
              <c:showVal val="1"/>
              <c:showCatName val="0"/>
              <c:showSerName val="0"/>
              <c:showPercent val="0"/>
              <c:showBubbleSize val="0"/>
              <c:extLst>
                <c:ext xmlns:c16="http://schemas.microsoft.com/office/drawing/2014/chart" uri="{C3380CC4-5D6E-409C-BE32-E72D297353CC}">
                  <c16:uniqueId val="{00000004-B1F3-485D-9C43-43944CDFFCF2}"/>
                </c:ext>
              </c:extLst>
            </c:dLbl>
            <c:dLbl>
              <c:idx val="1"/>
              <c:spPr>
                <a:noFill/>
                <a:ln>
                  <a:noFill/>
                </a:ln>
                <a:effectLst/>
              </c:spPr>
              <c:txPr>
                <a:bodyPr rot="0" spcFirstLastPara="1" vertOverflow="ellipsis" vert="horz" wrap="square" anchor="ctr" anchorCtr="1"/>
                <a:lstStyle/>
                <a:p>
                  <a:pPr>
                    <a:defRPr sz="9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dLblPos val="outEnd"/>
              <c:showLegendKey val="0"/>
              <c:showVal val="1"/>
              <c:showCatName val="0"/>
              <c:showSerName val="0"/>
              <c:showPercent val="0"/>
              <c:showBubbleSize val="0"/>
              <c:extLst>
                <c:ext xmlns:c16="http://schemas.microsoft.com/office/drawing/2014/chart" uri="{C3380CC4-5D6E-409C-BE32-E72D297353CC}">
                  <c16:uniqueId val="{00000001-7DC7-484C-83C8-0C64084A768B}"/>
                </c:ext>
              </c:extLst>
            </c:dLbl>
            <c:dLbl>
              <c:idx val="3"/>
              <c:spPr>
                <a:noFill/>
                <a:ln>
                  <a:noFill/>
                </a:ln>
                <a:effectLst/>
              </c:spPr>
              <c:txPr>
                <a:bodyPr rot="0" spcFirstLastPara="1" vertOverflow="ellipsis" vert="horz" wrap="square" anchor="ctr" anchorCtr="1"/>
                <a:lstStyle/>
                <a:p>
                  <a:pPr>
                    <a:defRPr sz="9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dLblPos val="outEnd"/>
              <c:showLegendKey val="0"/>
              <c:showVal val="1"/>
              <c:showCatName val="0"/>
              <c:showSerName val="0"/>
              <c:showPercent val="0"/>
              <c:showBubbleSize val="0"/>
              <c:extLst>
                <c:ext xmlns:c16="http://schemas.microsoft.com/office/drawing/2014/chart" uri="{C3380CC4-5D6E-409C-BE32-E72D297353CC}">
                  <c16:uniqueId val="{00000003-DF7C-4618-83D9-2DDFC9AAEFDE}"/>
                </c:ext>
              </c:extLst>
            </c:dLbl>
            <c:spPr>
              <a:noFill/>
              <a:ln>
                <a:noFill/>
              </a:ln>
              <a:effectLst/>
            </c:spPr>
            <c:txPr>
              <a:bodyPr rot="0" spcFirstLastPara="1" vertOverflow="ellipsis" vert="horz" wrap="square" anchor="ctr" anchorCtr="1"/>
              <a:lstStyle/>
              <a:p>
                <a:pPr>
                  <a:defRPr sz="12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'DADOS - GOPOÚVA'!$B$11:$B$14</c:f>
              <c:strCache>
                <c:ptCount val="4"/>
                <c:pt idx="0">
                  <c:v>Água</c:v>
                </c:pt>
                <c:pt idx="1">
                  <c:v>Esgoto</c:v>
                </c:pt>
                <c:pt idx="2">
                  <c:v>Reposição</c:v>
                </c:pt>
                <c:pt idx="3">
                  <c:v>Pós 60</c:v>
                </c:pt>
              </c:strCache>
            </c:strRef>
          </c:cat>
          <c:val>
            <c:numRef>
              <c:f>'DADOS - GOPOÚVA'!$C$11:$C$14</c:f>
              <c:numCache>
                <c:formatCode>0.00%</c:formatCode>
                <c:ptCount val="4"/>
                <c:pt idx="0">
                  <c:v>0.99460000000000004</c:v>
                </c:pt>
                <c:pt idx="1">
                  <c:v>0.9909</c:v>
                </c:pt>
              </c:numCache>
            </c:numRef>
          </c:val>
          <c:extLst>
            <c:ext xmlns:c16="http://schemas.microsoft.com/office/drawing/2014/chart" uri="{C3380CC4-5D6E-409C-BE32-E72D297353CC}">
              <c16:uniqueId val="{00000004-7DC7-484C-83C8-0C64084A768B}"/>
            </c:ext>
          </c:extLst>
        </c:ser>
        <c:dLbls>
          <c:dLblPos val="outEnd"/>
          <c:showLegendKey val="0"/>
          <c:showVal val="1"/>
          <c:showCatName val="0"/>
          <c:showSerName val="0"/>
          <c:showPercent val="0"/>
          <c:showBubbleSize val="0"/>
        </c:dLbls>
        <c:gapWidth val="96"/>
        <c:overlap val="-27"/>
        <c:axId val="150297416"/>
        <c:axId val="150303296"/>
        <c:extLst/>
      </c:barChart>
      <c:catAx>
        <c:axId val="150297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crossAx val="150303296"/>
        <c:crosses val="autoZero"/>
        <c:auto val="1"/>
        <c:lblAlgn val="ctr"/>
        <c:lblOffset val="100"/>
        <c:noMultiLvlLbl val="0"/>
      </c:catAx>
      <c:valAx>
        <c:axId val="150303296"/>
        <c:scaling>
          <c:orientation val="minMax"/>
          <c:max val="1"/>
        </c:scaling>
        <c:delete val="1"/>
        <c:axPos val="l"/>
        <c:numFmt formatCode="0.00%" sourceLinked="1"/>
        <c:majorTickMark val="out"/>
        <c:minorTickMark val="none"/>
        <c:tickLblPos val="nextTo"/>
        <c:crossAx val="150297416"/>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20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320132913746185"/>
          <c:y val="8.3559059169948324E-2"/>
          <c:w val="0.6509543430325111"/>
          <c:h val="0.78373987807231327"/>
        </c:manualLayout>
      </c:layout>
      <c:barChart>
        <c:barDir val="bar"/>
        <c:grouping val="clustered"/>
        <c:varyColors val="0"/>
        <c:ser>
          <c:idx val="0"/>
          <c:order val="0"/>
          <c:tx>
            <c:strRef>
              <c:f>'DADOS - GOPOÚVA'!$C$16</c:f>
              <c:strCache>
                <c:ptCount val="1"/>
              </c:strCache>
            </c:strRef>
          </c:tx>
          <c:spPr>
            <a:solidFill>
              <a:schemeClr val="accent1"/>
            </a:solidFill>
            <a:ln>
              <a:noFill/>
            </a:ln>
            <a:effectLst/>
          </c:spPr>
          <c:invertIfNegative val="0"/>
          <c:dPt>
            <c:idx val="0"/>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1-2659-4C1F-AA16-7B5926CE2589}"/>
              </c:ext>
            </c:extLst>
          </c:dPt>
          <c:dPt>
            <c:idx val="1"/>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3-2659-4C1F-AA16-7B5926CE2589}"/>
              </c:ext>
            </c:extLst>
          </c:dPt>
          <c:dPt>
            <c:idx val="2"/>
            <c:invertIfNegative val="0"/>
            <c:bubble3D val="0"/>
            <c:spPr>
              <a:solidFill>
                <a:srgbClr val="F58377"/>
              </a:solidFill>
              <a:ln>
                <a:noFill/>
              </a:ln>
              <a:effectLst/>
            </c:spPr>
            <c:extLst>
              <c:ext xmlns:c16="http://schemas.microsoft.com/office/drawing/2014/chart" uri="{C3380CC4-5D6E-409C-BE32-E72D297353CC}">
                <c16:uniqueId val="{00000005-2659-4C1F-AA16-7B5926CE2589}"/>
              </c:ext>
            </c:extLst>
          </c:dPt>
          <c:dPt>
            <c:idx val="3"/>
            <c:invertIfNegative val="0"/>
            <c:bubble3D val="0"/>
            <c:spPr>
              <a:solidFill>
                <a:srgbClr val="FFC000"/>
              </a:solidFill>
              <a:ln>
                <a:noFill/>
              </a:ln>
              <a:effectLst/>
            </c:spPr>
            <c:extLst>
              <c:ext xmlns:c16="http://schemas.microsoft.com/office/drawing/2014/chart" uri="{C3380CC4-5D6E-409C-BE32-E72D297353CC}">
                <c16:uniqueId val="{00000007-2659-4C1F-AA16-7B5926CE2589}"/>
              </c:ext>
            </c:extLst>
          </c:dPt>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'DADOS - GOPOÚVA'!$B$17:$B$20</c:f>
              <c:strCache>
                <c:ptCount val="4"/>
                <c:pt idx="0">
                  <c:v>QUALIDADE</c:v>
                </c:pt>
                <c:pt idx="1">
                  <c:v>PRAZO</c:v>
                </c:pt>
                <c:pt idx="2">
                  <c:v>SEGURANÇA</c:v>
                </c:pt>
                <c:pt idx="3">
                  <c:v>ORGANIZAÇÃO</c:v>
                </c:pt>
              </c:strCache>
            </c:strRef>
          </c:cat>
          <c:val>
            <c:numRef>
              <c:f>'DADOS - GOPOÚVA'!$C$17:$C$20</c:f>
              <c:numCache>
                <c:formatCode>0.00%</c:formatCode>
                <c:ptCount val="4"/>
                <c:pt idx="0">
                  <c:v>0</c:v>
                </c:pt>
                <c:pt idx="1">
                  <c:v>0</c:v>
                </c:pt>
                <c:pt idx="2">
                  <c:v>0</c:v>
                </c:pt>
                <c:pt idx="3">
                  <c:v>0</c:v>
                </c:pt>
              </c:numCache>
            </c:numRef>
          </c:val>
          <c:extLst>
            <c:ext xmlns:c16="http://schemas.microsoft.com/office/drawing/2014/chart" uri="{C3380CC4-5D6E-409C-BE32-E72D297353CC}">
              <c16:uniqueId val="{00000008-2659-4C1F-AA16-7B5926CE2589}"/>
            </c:ext>
          </c:extLst>
        </c:ser>
        <c:dLbls>
          <c:dLblPos val="outEnd"/>
          <c:showLegendKey val="0"/>
          <c:showVal val="1"/>
          <c:showCatName val="0"/>
          <c:showSerName val="0"/>
          <c:showPercent val="0"/>
          <c:showBubbleSize val="0"/>
        </c:dLbls>
        <c:gapWidth val="38"/>
        <c:overlap val="-14"/>
        <c:axId val="150298984"/>
        <c:axId val="150301728"/>
      </c:barChart>
      <c:catAx>
        <c:axId val="150298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crossAx val="150301728"/>
        <c:crosses val="autoZero"/>
        <c:auto val="1"/>
        <c:lblAlgn val="ctr"/>
        <c:lblOffset val="100"/>
        <c:noMultiLvlLbl val="0"/>
      </c:catAx>
      <c:valAx>
        <c:axId val="150301728"/>
        <c:scaling>
          <c:orientation val="minMax"/>
          <c:max val="1"/>
        </c:scaling>
        <c:delete val="0"/>
        <c:axPos val="b"/>
        <c:numFmt formatCode="0.00%" sourceLinked="1"/>
        <c:majorTickMark val="none"/>
        <c:minorTickMark val="none"/>
        <c:tickLblPos val="none"/>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crossAx val="150298984"/>
        <c:crosses val="autoZero"/>
        <c:crossBetween val="between"/>
        <c:majorUnit val="0.2"/>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200">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LV's</c:v>
          </c:tx>
          <c:spPr>
            <a:solidFill>
              <a:schemeClr val="accent1"/>
            </a:solidFill>
            <a:ln>
              <a:noFill/>
            </a:ln>
            <a:effectLst/>
          </c:spPr>
          <c:invertIfNegative val="0"/>
          <c:dPt>
            <c:idx val="1"/>
            <c:invertIfNegative val="0"/>
            <c:bubble3D val="0"/>
            <c:spPr>
              <a:solidFill>
                <a:schemeClr val="accent6">
                  <a:lumMod val="50000"/>
                </a:schemeClr>
              </a:solidFill>
              <a:ln>
                <a:noFill/>
              </a:ln>
              <a:effectLst/>
            </c:spPr>
            <c:extLst>
              <c:ext xmlns:c16="http://schemas.microsoft.com/office/drawing/2014/chart" uri="{C3380CC4-5D6E-409C-BE32-E72D297353CC}">
                <c16:uniqueId val="{00000000-6BA8-42CF-A58C-10FC40B36235}"/>
              </c:ext>
            </c:extLst>
          </c:dPt>
          <c:dPt>
            <c:idx val="2"/>
            <c:invertIfNegative val="0"/>
            <c:bubble3D val="0"/>
            <c:spPr>
              <a:solidFill>
                <a:schemeClr val="bg1">
                  <a:lumMod val="50000"/>
                </a:schemeClr>
              </a:solidFill>
              <a:ln>
                <a:noFill/>
              </a:ln>
              <a:effectLst/>
            </c:spPr>
            <c:extLst>
              <c:ext xmlns:c16="http://schemas.microsoft.com/office/drawing/2014/chart" uri="{C3380CC4-5D6E-409C-BE32-E72D297353CC}">
                <c16:uniqueId val="{00000000-BB5C-4297-A0DF-ADE561F05E90}"/>
              </c:ext>
            </c:extLst>
          </c:dPt>
          <c:dPt>
            <c:idx val="3"/>
            <c:invertIfNegative val="0"/>
            <c:bubble3D val="0"/>
            <c:spPr>
              <a:solidFill>
                <a:srgbClr val="FF6600"/>
              </a:solidFill>
              <a:ln>
                <a:noFill/>
              </a:ln>
              <a:effectLst/>
            </c:spPr>
            <c:extLst>
              <c:ext xmlns:c16="http://schemas.microsoft.com/office/drawing/2014/chart" uri="{C3380CC4-5D6E-409C-BE32-E72D297353CC}">
                <c16:uniqueId val="{00000005-2725-4ED9-ACC6-0AE429B3DCD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'DADOS - GOPOÚVA'!$B$11:$B$14</c:f>
              <c:strCache>
                <c:ptCount val="4"/>
                <c:pt idx="0">
                  <c:v>Água</c:v>
                </c:pt>
                <c:pt idx="1">
                  <c:v>Esgoto</c:v>
                </c:pt>
                <c:pt idx="2">
                  <c:v>Reposição</c:v>
                </c:pt>
                <c:pt idx="3">
                  <c:v>Pós 60</c:v>
                </c:pt>
              </c:strCache>
            </c:strRef>
          </c:cat>
          <c:val>
            <c:numRef>
              <c:f>'DADOS - GOPOÚVA'!$E$11:$E$14</c:f>
              <c:numCache>
                <c:formatCode>General</c:formatCode>
                <c:ptCount val="4"/>
                <c:pt idx="0">
                  <c:v>48</c:v>
                </c:pt>
                <c:pt idx="1">
                  <c:v>25</c:v>
                </c:pt>
                <c:pt idx="2">
                  <c:v>32</c:v>
                </c:pt>
                <c:pt idx="3">
                  <c:v>285</c:v>
                </c:pt>
              </c:numCache>
            </c:numRef>
          </c:val>
          <c:extLst>
            <c:ext xmlns:c16="http://schemas.microsoft.com/office/drawing/2014/chart" uri="{C3380CC4-5D6E-409C-BE32-E72D297353CC}">
              <c16:uniqueId val="{00000006-F933-41A3-AB77-5EB3D96C9230}"/>
            </c:ext>
          </c:extLst>
        </c:ser>
        <c:dLbls>
          <c:dLblPos val="outEnd"/>
          <c:showLegendKey val="0"/>
          <c:showVal val="1"/>
          <c:showCatName val="0"/>
          <c:showSerName val="0"/>
          <c:showPercent val="0"/>
          <c:showBubbleSize val="0"/>
        </c:dLbls>
        <c:gapWidth val="96"/>
        <c:overlap val="-27"/>
        <c:axId val="150297416"/>
        <c:axId val="150303296"/>
        <c:extLst/>
      </c:barChart>
      <c:catAx>
        <c:axId val="150297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crossAx val="150303296"/>
        <c:crosses val="autoZero"/>
        <c:auto val="1"/>
        <c:lblAlgn val="ctr"/>
        <c:lblOffset val="100"/>
        <c:tickLblSkip val="1"/>
        <c:noMultiLvlLbl val="0"/>
      </c:catAx>
      <c:valAx>
        <c:axId val="150303296"/>
        <c:scaling>
          <c:orientation val="minMax"/>
        </c:scaling>
        <c:delete val="1"/>
        <c:axPos val="l"/>
        <c:numFmt formatCode="General" sourceLinked="1"/>
        <c:majorTickMark val="none"/>
        <c:minorTickMark val="none"/>
        <c:tickLblPos val="nextTo"/>
        <c:crossAx val="150297416"/>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20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accent1">
                    <a:lumMod val="50000"/>
                  </a:schemeClr>
                </a:solidFill>
                <a:latin typeface="Arial Black" panose="020B0A04020102020204" pitchFamily="34" charset="0"/>
                <a:ea typeface="Tahoma" panose="020B0604030504040204" pitchFamily="34" charset="0"/>
                <a:cs typeface="Arial" panose="020B0604020202020204" pitchFamily="34" charset="0"/>
              </a:defRPr>
            </a:pPr>
            <a:r>
              <a:rPr lang="pt-BR" sz="2800">
                <a:latin typeface="Arial Black" panose="020B0A04020102020204" pitchFamily="34" charset="0"/>
                <a:cs typeface="Arial" panose="020B0604020202020204" pitchFamily="34" charset="0"/>
              </a:rPr>
              <a:t>CONFORMIDADES - ETAPAS (%)</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accent1">
                  <a:lumMod val="50000"/>
                </a:schemeClr>
              </a:solidFill>
              <a:latin typeface="Arial Black" panose="020B0A04020102020204" pitchFamily="34" charset="0"/>
              <a:ea typeface="Tahoma" panose="020B0604030504040204" pitchFamily="34" charset="0"/>
              <a:cs typeface="Arial" panose="020B0604020202020204" pitchFamily="34" charset="0"/>
            </a:defRPr>
          </a:pPr>
          <a:endParaRPr lang="pt-BR"/>
        </a:p>
      </c:txPr>
    </c:title>
    <c:autoTitleDeleted val="0"/>
    <c:plotArea>
      <c:layout>
        <c:manualLayout>
          <c:layoutTarget val="inner"/>
          <c:xMode val="edge"/>
          <c:yMode val="edge"/>
          <c:x val="1.531199911142803E-2"/>
          <c:y val="0.25222387082079195"/>
          <c:w val="0.97242924138475473"/>
          <c:h val="0.42503477713678323"/>
        </c:manualLayout>
      </c:layout>
      <c:barChart>
        <c:barDir val="col"/>
        <c:grouping val="clustered"/>
        <c:varyColors val="0"/>
        <c:ser>
          <c:idx val="0"/>
          <c:order val="0"/>
          <c:tx>
            <c:strRef>
              <c:f>'DADOS - GOPOÚVA'!$F$141</c:f>
              <c:strCache>
                <c:ptCount val="1"/>
                <c:pt idx="0">
                  <c:v>CONFORME (%)</c:v>
                </c:pt>
              </c:strCache>
            </c:strRef>
          </c:tx>
          <c:spPr>
            <a:solidFill>
              <a:schemeClr val="accent1"/>
            </a:solidFill>
            <a:ln>
              <a:noFill/>
            </a:ln>
            <a:effectLst/>
          </c:spPr>
          <c:invertIfNegative val="0"/>
          <c:dLbls>
            <c:spPr>
              <a:noFill/>
              <a:ln>
                <a:noFill/>
              </a:ln>
              <a:effectLst/>
            </c:spPr>
            <c:txPr>
              <a:bodyPr rot="-5400000" spcFirstLastPara="1" vertOverflow="ellipsis" wrap="square" anchor="ctr" anchorCtr="1"/>
              <a:lstStyle/>
              <a:p>
                <a:pPr>
                  <a:defRPr sz="2400" b="1" i="0" u="none" strike="noStrike" kern="1200" baseline="0">
                    <a:solidFill>
                      <a:schemeClr val="accent1">
                        <a:lumMod val="50000"/>
                      </a:schemeClr>
                    </a:solidFill>
                    <a:latin typeface="Arial" panose="020B0604020202020204" pitchFamily="34" charset="0"/>
                    <a:ea typeface="Tahoma" panose="020B0604030504040204" pitchFamily="34" charset="0"/>
                    <a:cs typeface="Arial" panose="020B0604020202020204" pitchFamily="34" charset="0"/>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'DADOS - GOPOÚVA'!$B$63:$B$70</c:f>
              <c:strCache>
                <c:ptCount val="8"/>
                <c:pt idx="0">
                  <c:v>FACHADA</c:v>
                </c:pt>
                <c:pt idx="1">
                  <c:v>SINALIZAÇÃO</c:v>
                </c:pt>
                <c:pt idx="2">
                  <c:v>ENCERADO</c:v>
                </c:pt>
                <c:pt idx="3">
                  <c:v>GEOMETRIA</c:v>
                </c:pt>
                <c:pt idx="4">
                  <c:v>BERÇO DE AREIA</c:v>
                </c:pt>
                <c:pt idx="5">
                  <c:v>ESTANQUEIDADE</c:v>
                </c:pt>
                <c:pt idx="6">
                  <c:v>COMPACTAÇÃO</c:v>
                </c:pt>
                <c:pt idx="7">
                  <c:v>FINALIZAÇÃO</c:v>
                </c:pt>
              </c:strCache>
            </c:strRef>
          </c:cat>
          <c:val>
            <c:numRef>
              <c:f>'DADOS - GOPOÚVA'!$F$63:$F$70</c:f>
              <c:numCache>
                <c:formatCode>0.00%</c:formatCode>
                <c:ptCount val="8"/>
                <c:pt idx="0">
                  <c:v>0.97309417040358748</c:v>
                </c:pt>
                <c:pt idx="1">
                  <c:v>0.96268656716417911</c:v>
                </c:pt>
                <c:pt idx="2">
                  <c:v>0.96984924623115576</c:v>
                </c:pt>
                <c:pt idx="3">
                  <c:v>0.95465994962216627</c:v>
                </c:pt>
                <c:pt idx="4">
                  <c:v>0.95214105793450876</c:v>
                </c:pt>
                <c:pt idx="5">
                  <c:v>0.84659090909090906</c:v>
                </c:pt>
                <c:pt idx="6">
                  <c:v>0.90972222222222221</c:v>
                </c:pt>
                <c:pt idx="7">
                  <c:v>0.93497757847533636</c:v>
                </c:pt>
              </c:numCache>
            </c:numRef>
          </c:val>
          <c:extLst>
            <c:ext xmlns:c16="http://schemas.microsoft.com/office/drawing/2014/chart" uri="{C3380CC4-5D6E-409C-BE32-E72D297353CC}">
              <c16:uniqueId val="{00000000-832D-43CA-A6EB-4467C12F7822}"/>
            </c:ext>
          </c:extLst>
        </c:ser>
        <c:dLbls>
          <c:dLblPos val="outEnd"/>
          <c:showLegendKey val="0"/>
          <c:showVal val="1"/>
          <c:showCatName val="0"/>
          <c:showSerName val="0"/>
          <c:showPercent val="0"/>
          <c:showBubbleSize val="0"/>
        </c:dLbls>
        <c:gapWidth val="219"/>
        <c:overlap val="-27"/>
        <c:axId val="150759136"/>
        <c:axId val="150757960"/>
      </c:barChart>
      <c:catAx>
        <c:axId val="150759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800" b="1" i="0" u="none" strike="noStrike" kern="1200" baseline="0">
                <a:solidFill>
                  <a:schemeClr val="accent1">
                    <a:lumMod val="50000"/>
                  </a:schemeClr>
                </a:solidFill>
                <a:latin typeface="Arial Black" panose="020B0A04020102020204" pitchFamily="34" charset="0"/>
                <a:ea typeface="Tahoma" panose="020B0604030504040204" pitchFamily="34" charset="0"/>
                <a:cs typeface="Arial" panose="020B0604020202020204" pitchFamily="34" charset="0"/>
              </a:defRPr>
            </a:pPr>
            <a:endParaRPr lang="pt-BR"/>
          </a:p>
        </c:txPr>
        <c:crossAx val="150757960"/>
        <c:crosses val="autoZero"/>
        <c:auto val="1"/>
        <c:lblAlgn val="ctr"/>
        <c:lblOffset val="100"/>
        <c:noMultiLvlLbl val="0"/>
      </c:catAx>
      <c:valAx>
        <c:axId val="150757960"/>
        <c:scaling>
          <c:orientation val="minMax"/>
          <c:max val="1"/>
        </c:scaling>
        <c:delete val="1"/>
        <c:axPos val="l"/>
        <c:numFmt formatCode="0.00%" sourceLinked="1"/>
        <c:majorTickMark val="out"/>
        <c:minorTickMark val="none"/>
        <c:tickLblPos val="nextTo"/>
        <c:crossAx val="150759136"/>
        <c:crosses val="autoZero"/>
        <c:crossBetween val="between"/>
      </c:valAx>
      <c:spPr>
        <a:noFill/>
        <a:ln>
          <a:noFill/>
        </a:ln>
        <a:effectLst/>
      </c:spPr>
    </c:plotArea>
    <c:legend>
      <c:legendPos val="b"/>
      <c:layout>
        <c:manualLayout>
          <c:xMode val="edge"/>
          <c:yMode val="edge"/>
          <c:x val="0.39359072104018905"/>
          <c:y val="0.9210558333333333"/>
          <c:w val="0.19346517256450932"/>
          <c:h val="7.807444444444446E-2"/>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accent1">
                  <a:lumMod val="50000"/>
                </a:schemeClr>
              </a:solidFill>
              <a:latin typeface="Arial Black" panose="020B0A04020102020204" pitchFamily="34" charset="0"/>
              <a:ea typeface="Tahoma" panose="020B0604030504040204" pitchFamily="34" charset="0"/>
              <a:cs typeface="Arial" panose="020B0604020202020204" pitchFamily="34" charset="0"/>
            </a:defRPr>
          </a:pPr>
          <a:endParaRPr lang="pt-BR"/>
        </a:p>
      </c:txPr>
    </c:legend>
    <c:plotVisOnly val="1"/>
    <c:dispBlanksAs val="gap"/>
    <c:showDLblsOverMax val="0"/>
  </c:chart>
  <c:spPr>
    <a:noFill/>
    <a:ln w="9525" cap="flat" cmpd="sng" algn="ctr">
      <a:noFill/>
      <a:round/>
    </a:ln>
    <a:effectLst/>
  </c:spPr>
  <c:txPr>
    <a:bodyPr/>
    <a:lstStyle/>
    <a:p>
      <a:pPr>
        <a:defRPr sz="1400" b="1">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0" i="0" u="none" strike="noStrike" kern="1200" spc="0" baseline="0">
                <a:solidFill>
                  <a:srgbClr val="002060"/>
                </a:solidFill>
                <a:latin typeface="Arial Black" panose="020B0A04020102020204" pitchFamily="34" charset="0"/>
                <a:ea typeface="Tahoma" panose="020B0604030504040204" pitchFamily="34" charset="0"/>
                <a:cs typeface="Tahoma" panose="020B0604030504040204" pitchFamily="34" charset="0"/>
              </a:defRPr>
            </a:pPr>
            <a:r>
              <a:rPr lang="pt-BR" sz="2800" b="0">
                <a:solidFill>
                  <a:srgbClr val="002060"/>
                </a:solidFill>
                <a:latin typeface="Arial Black" panose="020B0A04020102020204" pitchFamily="34" charset="0"/>
                <a:ea typeface="Tahoma" panose="020B0604030504040204" pitchFamily="34" charset="0"/>
                <a:cs typeface="Tahoma" panose="020B0604030504040204" pitchFamily="34" charset="0"/>
              </a:rPr>
              <a:t>TEMPO DE EXECUÇÃO</a:t>
            </a:r>
          </a:p>
        </c:rich>
      </c:tx>
      <c:overlay val="0"/>
      <c:spPr>
        <a:noFill/>
        <a:ln>
          <a:noFill/>
        </a:ln>
        <a:effectLst/>
      </c:spPr>
      <c:txPr>
        <a:bodyPr rot="0" spcFirstLastPara="1" vertOverflow="ellipsis" vert="horz" wrap="square" anchor="ctr" anchorCtr="1"/>
        <a:lstStyle/>
        <a:p>
          <a:pPr>
            <a:defRPr sz="2800" b="0" i="0" u="none" strike="noStrike" kern="1200" spc="0" baseline="0">
              <a:solidFill>
                <a:srgbClr val="002060"/>
              </a:solidFill>
              <a:latin typeface="Arial Black" panose="020B0A04020102020204" pitchFamily="34" charset="0"/>
              <a:ea typeface="Tahoma" panose="020B0604030504040204" pitchFamily="34" charset="0"/>
              <a:cs typeface="Tahoma" panose="020B0604030504040204" pitchFamily="34" charset="0"/>
            </a:defRPr>
          </a:pPr>
          <a:endParaRPr lang="pt-BR"/>
        </a:p>
      </c:txPr>
    </c:title>
    <c:autoTitleDeleted val="0"/>
    <c:plotArea>
      <c:layout>
        <c:manualLayout>
          <c:layoutTarget val="inner"/>
          <c:xMode val="edge"/>
          <c:yMode val="edge"/>
          <c:x val="0.25286802598374047"/>
          <c:y val="0.13951153414116096"/>
          <c:w val="0.51182375872886243"/>
          <c:h val="0.73890179599621475"/>
        </c:manualLayout>
      </c:layout>
      <c:pieChart>
        <c:varyColors val="1"/>
        <c:ser>
          <c:idx val="0"/>
          <c:order val="0"/>
          <c:explosion val="5"/>
          <c:dPt>
            <c:idx val="0"/>
            <c:bubble3D val="0"/>
            <c:spPr>
              <a:solidFill>
                <a:schemeClr val="accent2"/>
              </a:solidFill>
              <a:ln w="19050">
                <a:solidFill>
                  <a:schemeClr val="lt1"/>
                </a:solidFill>
              </a:ln>
              <a:effectLst/>
            </c:spPr>
            <c:extLst>
              <c:ext xmlns:c16="http://schemas.microsoft.com/office/drawing/2014/chart" uri="{C3380CC4-5D6E-409C-BE32-E72D297353CC}">
                <c16:uniqueId val="{00000001-CC0C-4CA4-A2FC-7892E433BB69}"/>
              </c:ext>
            </c:extLst>
          </c:dPt>
          <c:dPt>
            <c:idx val="1"/>
            <c:bubble3D val="0"/>
            <c:spPr>
              <a:solidFill>
                <a:srgbClr val="0070C0"/>
              </a:solidFill>
              <a:ln w="19050">
                <a:solidFill>
                  <a:schemeClr val="lt1"/>
                </a:solidFill>
              </a:ln>
              <a:effectLst/>
            </c:spPr>
            <c:extLst>
              <c:ext xmlns:c16="http://schemas.microsoft.com/office/drawing/2014/chart" uri="{C3380CC4-5D6E-409C-BE32-E72D297353CC}">
                <c16:uniqueId val="{00000003-CC0C-4CA4-A2FC-7892E433BB69}"/>
              </c:ext>
            </c:extLst>
          </c:dPt>
          <c:dLbls>
            <c:dLbl>
              <c:idx val="0"/>
              <c:layout>
                <c:manualLayout>
                  <c:x val="0.16277207917487388"/>
                  <c:y val="0.85226000307351357"/>
                </c:manualLayout>
              </c:layout>
              <c:tx>
                <c:rich>
                  <a:bodyPr rot="0" spcFirstLastPara="1" vertOverflow="clip" horzOverflow="clip" vert="horz" wrap="square" lIns="38100" tIns="19050" rIns="38100" bIns="19050" anchor="ctr" anchorCtr="1">
                    <a:sp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fld id="{2A58C6F4-B231-424E-9B80-5E1049425616}" type="CATEGORYNAME">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[NOME DA CATEGORIA]</a:t>
                    </a:fld>
                    <a:r>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t> </a:t>
                    </a:r>
                    <a:fld id="{54E887FA-146D-4A5E-BCCB-520D85D38558}" type="VALUE">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[VALOR]</a:t>
                    </a:fld>
                    <a:r>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t>  </a:t>
                    </a:r>
                    <a:fld id="{F484959F-59E3-4CF1-901E-0814955F842B}" type="PERCENTAGE">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[PORCENTAGEM]</a:t>
                    </a:fld>
                    <a:endParaRPr lang="en-US" sz="2800" b="1">
                      <a:solidFill>
                        <a:srgbClr val="002060"/>
                      </a:solidFill>
                      <a:latin typeface="Arial" panose="020B0604020202020204" pitchFamily="34" charset="0"/>
                      <a:ea typeface="Tahoma" panose="020B0604030504040204" pitchFamily="34" charset="0"/>
                      <a:cs typeface="Arial" panose="020B0604020202020204" pitchFamily="34" charset="0"/>
                    </a:endParaRPr>
                  </a:p>
                </c:rich>
              </c:tx>
              <c:numFmt formatCode="0.00%" sourceLinked="0"/>
              <c:spPr>
                <a:noFill/>
                <a:ln>
                  <a:noFill/>
                </a:ln>
                <a:effectLst/>
              </c:spPr>
              <c:txPr>
                <a:bodyPr rot="0" spcFirstLastPara="1" vertOverflow="clip" horzOverflow="clip" vert="horz" wrap="square" lIns="38100" tIns="19050" rIns="38100" bIns="19050" anchor="ctr" anchorCtr="1">
                  <a:sp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endParaRPr lang="en-US"/>
                </a:p>
              </c:txPr>
              <c:dLblPos val="bestFit"/>
              <c:showLegendKey val="1"/>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35279826388888885"/>
                      <c:h val="0.14757532679738561"/>
                    </c:manualLayout>
                  </c15:layout>
                  <c15:dlblFieldTable/>
                  <c15:showDataLabelsRange val="0"/>
                </c:ext>
                <c:ext xmlns:c16="http://schemas.microsoft.com/office/drawing/2014/chart" uri="{C3380CC4-5D6E-409C-BE32-E72D297353CC}">
                  <c16:uniqueId val="{00000001-CC0C-4CA4-A2FC-7892E433BB69}"/>
                </c:ext>
              </c:extLst>
            </c:dLbl>
            <c:dLbl>
              <c:idx val="1"/>
              <c:layout>
                <c:manualLayout>
                  <c:x val="-0.35399648707653009"/>
                  <c:y val="-0.71892413760053531"/>
                </c:manualLayout>
              </c:layout>
              <c:tx>
                <c:rich>
                  <a:bodyPr rot="0" spcFirstLastPara="1" vertOverflow="clip" horzOverflow="clip" vert="horz" wrap="square" lIns="38100" tIns="19050" rIns="38100" bIns="19050" anchor="ctr" anchorCtr="1">
                    <a:sp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fld id="{492F35AB-C4D3-4D03-9208-4DF176E44099}" type="CATEGORYNAME">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[NOME DA CATEGORIA]</a:t>
                    </a:fld>
                    <a:r>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t> </a:t>
                    </a:r>
                    <a:fld id="{F3C34A50-719B-4770-9F64-BCF14F90EA6D}" type="VALUE">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[VALOR]</a:t>
                    </a:fld>
                    <a:r>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t>  </a:t>
                    </a:r>
                    <a:fld id="{266ED5CE-9937-4851-91A1-8D3054EF78F1}" type="PERCENTAGE">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[PORCENTAGEM]</a:t>
                    </a:fld>
                    <a:endParaRPr lang="en-US" sz="2800" b="1">
                      <a:solidFill>
                        <a:srgbClr val="002060"/>
                      </a:solidFill>
                      <a:latin typeface="Arial" panose="020B0604020202020204" pitchFamily="34" charset="0"/>
                      <a:ea typeface="Tahoma" panose="020B0604030504040204" pitchFamily="34" charset="0"/>
                      <a:cs typeface="Arial" panose="020B0604020202020204" pitchFamily="34" charset="0"/>
                    </a:endParaRPr>
                  </a:p>
                </c:rich>
              </c:tx>
              <c:numFmt formatCode="0.00%" sourceLinked="0"/>
              <c:spPr>
                <a:noFill/>
                <a:ln>
                  <a:noFill/>
                </a:ln>
                <a:effectLst/>
              </c:spPr>
              <c:txPr>
                <a:bodyPr rot="0" spcFirstLastPara="1" vertOverflow="clip" horzOverflow="clip" vert="horz" wrap="square" lIns="38100" tIns="19050" rIns="38100" bIns="19050" anchor="ctr" anchorCtr="1">
                  <a:sp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endParaRPr lang="en-US"/>
                </a:p>
              </c:txPr>
              <c:dLblPos val="bestFit"/>
              <c:showLegendKey val="1"/>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3095679359893192"/>
                      <c:h val="0.15418604463065264"/>
                    </c:manualLayout>
                  </c15:layout>
                  <c15:dlblFieldTable/>
                  <c15:showDataLabelsRange val="0"/>
                </c:ext>
                <c:ext xmlns:c16="http://schemas.microsoft.com/office/drawing/2014/chart" uri="{C3380CC4-5D6E-409C-BE32-E72D297353CC}">
                  <c16:uniqueId val="{00000003-CC0C-4CA4-A2FC-7892E433BB69}"/>
                </c:ext>
              </c:extLst>
            </c:dLbl>
            <c:numFmt formatCode="0.00%" sourceLinked="0"/>
            <c:spPr>
              <a:noFill/>
              <a:ln>
                <a:noFill/>
              </a:ln>
              <a:effectLst/>
            </c:spPr>
            <c:txPr>
              <a:bodyPr rot="0" spcFirstLastPara="1" vertOverflow="clip" horzOverflow="clip" vert="horz" wrap="square" lIns="38100" tIns="19050" rIns="38100" bIns="19050" anchor="ctr" anchorCtr="1">
                <a:sp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endParaRPr lang="pt-BR"/>
              </a:p>
            </c:txPr>
            <c:dLblPos val="outEnd"/>
            <c:showLegendKey val="1"/>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'DADOS - GOPOÚVA'!$D$50:$E$50</c:f>
              <c:strCache>
                <c:ptCount val="2"/>
                <c:pt idx="0">
                  <c:v>Não Conforme</c:v>
                </c:pt>
                <c:pt idx="1">
                  <c:v>Conforme</c:v>
                </c:pt>
              </c:strCache>
            </c:strRef>
          </c:cat>
          <c:val>
            <c:numRef>
              <c:f>'DADOS - GOPOÚVA'!$D$51:$E$51</c:f>
              <c:numCache>
                <c:formatCode>General</c:formatCode>
                <c:ptCount val="2"/>
                <c:pt idx="0">
                  <c:v>12</c:v>
                </c:pt>
                <c:pt idx="1">
                  <c:v>434</c:v>
                </c:pt>
              </c:numCache>
            </c:numRef>
          </c:val>
          <c:extLst>
            <c:ext xmlns:c16="http://schemas.microsoft.com/office/drawing/2014/chart" uri="{C3380CC4-5D6E-409C-BE32-E72D297353CC}">
              <c16:uniqueId val="{00000004-CC0C-4CA4-A2FC-7892E433BB69}"/>
            </c:ext>
          </c:extLst>
        </c:ser>
        <c:dLbls>
          <c:dLblPos val="bestFit"/>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0" i="0" u="none" strike="noStrike" kern="1200" spc="0" baseline="0">
                <a:solidFill>
                  <a:srgbClr val="002060"/>
                </a:solidFill>
                <a:latin typeface="Arial Black" panose="020B0A04020102020204" pitchFamily="34" charset="0"/>
                <a:ea typeface="Tahoma" panose="020B0604030504040204" pitchFamily="34" charset="0"/>
                <a:cs typeface="Tahoma" panose="020B0604030504040204" pitchFamily="34" charset="0"/>
              </a:defRPr>
            </a:pPr>
            <a:r>
              <a:rPr lang="pt-BR" sz="2800" b="0">
                <a:solidFill>
                  <a:srgbClr val="002060"/>
                </a:solidFill>
                <a:latin typeface="Arial Black" panose="020B0A04020102020204" pitchFamily="34" charset="0"/>
                <a:ea typeface="Tahoma" panose="020B0604030504040204" pitchFamily="34" charset="0"/>
                <a:cs typeface="Tahoma" panose="020B0604030504040204" pitchFamily="34" charset="0"/>
              </a:rPr>
              <a:t>SEQUÊNCIA</a:t>
            </a:r>
            <a:r>
              <a:rPr lang="pt-BR" sz="2800" b="0" baseline="0">
                <a:solidFill>
                  <a:srgbClr val="002060"/>
                </a:solidFill>
                <a:latin typeface="Arial Black" panose="020B0A04020102020204" pitchFamily="34" charset="0"/>
                <a:ea typeface="Tahoma" panose="020B0604030504040204" pitchFamily="34" charset="0"/>
                <a:cs typeface="Tahoma" panose="020B0604030504040204" pitchFamily="34" charset="0"/>
              </a:rPr>
              <a:t> DE FOTOS</a:t>
            </a:r>
          </a:p>
        </c:rich>
      </c:tx>
      <c:overlay val="0"/>
      <c:spPr>
        <a:noFill/>
        <a:ln>
          <a:noFill/>
        </a:ln>
        <a:effectLst/>
      </c:spPr>
      <c:txPr>
        <a:bodyPr rot="0" spcFirstLastPara="1" vertOverflow="ellipsis" vert="horz" wrap="square" anchor="ctr" anchorCtr="1"/>
        <a:lstStyle/>
        <a:p>
          <a:pPr>
            <a:defRPr sz="2800" b="0" i="0" u="none" strike="noStrike" kern="1200" spc="0" baseline="0">
              <a:solidFill>
                <a:srgbClr val="002060"/>
              </a:solidFill>
              <a:latin typeface="Arial Black" panose="020B0A04020102020204" pitchFamily="34" charset="0"/>
              <a:ea typeface="Tahoma" panose="020B0604030504040204" pitchFamily="34" charset="0"/>
              <a:cs typeface="Tahoma" panose="020B0604030504040204" pitchFamily="34" charset="0"/>
            </a:defRPr>
          </a:pPr>
          <a:endParaRPr lang="pt-BR"/>
        </a:p>
      </c:txPr>
    </c:title>
    <c:autoTitleDeleted val="0"/>
    <c:plotArea>
      <c:layout>
        <c:manualLayout>
          <c:layoutTarget val="inner"/>
          <c:xMode val="edge"/>
          <c:yMode val="edge"/>
          <c:x val="0.24408817824611825"/>
          <c:y val="0.15852426601789393"/>
          <c:w val="0.52792014624783645"/>
          <c:h val="0.76213957940111055"/>
        </c:manualLayout>
      </c:layout>
      <c:pieChart>
        <c:varyColors val="1"/>
        <c:ser>
          <c:idx val="0"/>
          <c:order val="0"/>
          <c:dPt>
            <c:idx val="0"/>
            <c:bubble3D val="0"/>
            <c:spPr>
              <a:solidFill>
                <a:schemeClr val="accent2"/>
              </a:solidFill>
              <a:ln w="19050">
                <a:solidFill>
                  <a:schemeClr val="lt1"/>
                </a:solidFill>
              </a:ln>
              <a:effectLst/>
            </c:spPr>
            <c:extLst>
              <c:ext xmlns:c16="http://schemas.microsoft.com/office/drawing/2014/chart" uri="{C3380CC4-5D6E-409C-BE32-E72D297353CC}">
                <c16:uniqueId val="{00000001-EA65-42E5-B7FA-11DE97626BD7}"/>
              </c:ext>
            </c:extLst>
          </c:dPt>
          <c:dPt>
            <c:idx val="1"/>
            <c:bubble3D val="0"/>
            <c:explosion val="5"/>
            <c:spPr>
              <a:solidFill>
                <a:schemeClr val="accent5">
                  <a:lumMod val="75000"/>
                </a:schemeClr>
              </a:solidFill>
              <a:ln w="19050">
                <a:solidFill>
                  <a:schemeClr val="lt1"/>
                </a:solidFill>
              </a:ln>
              <a:effectLst/>
            </c:spPr>
            <c:extLst>
              <c:ext xmlns:c16="http://schemas.microsoft.com/office/drawing/2014/chart" uri="{C3380CC4-5D6E-409C-BE32-E72D297353CC}">
                <c16:uniqueId val="{00000003-EA65-42E5-B7FA-11DE97626BD7}"/>
              </c:ext>
            </c:extLst>
          </c:dPt>
          <c:dLbls>
            <c:dLbl>
              <c:idx val="0"/>
              <c:layout>
                <c:manualLayout>
                  <c:x val="5.724216601474888E-2"/>
                  <c:y val="0.81153376416444911"/>
                </c:manualLayout>
              </c:layout>
              <c:tx>
                <c:rich>
                  <a:bodyPr rot="0" spcFirstLastPara="1" vertOverflow="ellipsis" vert="horz" wrap="square" lIns="38100" tIns="19050" rIns="38100" bIns="19050" anchor="ctr" anchorCtr="1">
                    <a:no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fld id="{FC030A06-458D-4C7B-B81B-4AA884195C6F}" type="CATEGORYNAME">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[NOME DA CATEGORIA]</a:t>
                    </a:fld>
                    <a:r>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t> </a:t>
                    </a:r>
                    <a:fld id="{863E82F7-5B06-49FB-B7C4-C348FD694204}" type="VALUE">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[VALOR]</a:t>
                    </a:fld>
                    <a:r>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t>  </a:t>
                    </a:r>
                    <a:fld id="{44C83611-AD08-4A73-90D4-E169757E39DC}" type="PERCENTAGE">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[PORCENTAGEM]</a:t>
                    </a:fld>
                    <a:endParaRPr lang="en-US" sz="2800" b="1">
                      <a:solidFill>
                        <a:srgbClr val="002060"/>
                      </a:solidFill>
                      <a:latin typeface="Arial" panose="020B0604020202020204" pitchFamily="34" charset="0"/>
                      <a:ea typeface="Tahoma" panose="020B0604030504040204" pitchFamily="34" charset="0"/>
                      <a:cs typeface="Arial" panose="020B0604020202020204" pitchFamily="34" charset="0"/>
                    </a:endParaRPr>
                  </a:p>
                </c:rich>
              </c:tx>
              <c:numFmt formatCode="0.00%" sourceLinked="0"/>
              <c:spPr>
                <a:noFill/>
                <a:ln>
                  <a:noFill/>
                </a:ln>
                <a:effectLst/>
              </c:spPr>
              <c:txPr>
                <a:bodyPr rot="0" spcFirstLastPara="1" vertOverflow="ellipsis" vert="horz" wrap="square" lIns="38100" tIns="19050" rIns="38100" bIns="19050" anchor="ctr" anchorCtr="1">
                  <a:no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endParaRPr lang="en-US"/>
                </a:p>
              </c:txPr>
              <c:dLblPos val="bestFit"/>
              <c:showLegendKey val="1"/>
              <c:showVal val="1"/>
              <c:showCatName val="1"/>
              <c:showSerName val="0"/>
              <c:showPercent val="1"/>
              <c:showBubbleSize val="0"/>
              <c:extLst>
                <c:ext xmlns:c15="http://schemas.microsoft.com/office/drawing/2012/chart" uri="{CE6537A1-D6FC-4f65-9D91-7224C49458BB}">
                  <c15:layout>
                    <c:manualLayout>
                      <c:w val="0.25131372944865166"/>
                      <c:h val="0.18359358444478593"/>
                    </c:manualLayout>
                  </c15:layout>
                  <c15:dlblFieldTable/>
                  <c15:showDataLabelsRange val="0"/>
                </c:ext>
                <c:ext xmlns:c16="http://schemas.microsoft.com/office/drawing/2014/chart" uri="{C3380CC4-5D6E-409C-BE32-E72D297353CC}">
                  <c16:uniqueId val="{00000001-EA65-42E5-B7FA-11DE97626BD7}"/>
                </c:ext>
              </c:extLst>
            </c:dLbl>
            <c:dLbl>
              <c:idx val="1"/>
              <c:layout>
                <c:manualLayout>
                  <c:x val="-0.29724679265226212"/>
                  <c:y val="-0.71209015100657569"/>
                </c:manualLayout>
              </c:layout>
              <c:tx>
                <c:rich>
                  <a:bodyPr rot="0" spcFirstLastPara="1" vertOverflow="ellipsis" vert="horz" wrap="square" lIns="38100" tIns="19050" rIns="38100" bIns="19050" anchor="ctr" anchorCtr="1">
                    <a:no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fld id="{7645A65E-1F1A-4A1B-B48E-5E83A908E1DA}" type="CATEGORYNAME">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[NOME DA CATEGORIA]</a:t>
                    </a:fld>
                    <a:r>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t> </a:t>
                    </a:r>
                    <a:fld id="{4B07B3DC-7C4A-47BF-A304-83039E3C474F}" type="VALUE">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[VALOR]</a:t>
                    </a:fld>
                    <a:r>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t>  </a:t>
                    </a:r>
                    <a:fld id="{6AB11A6D-864A-41E3-A3B9-2D782274E0E4}" type="PERCENTAGE">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[PORCENTAGEM]</a:t>
                    </a:fld>
                    <a:endParaRPr lang="en-US" sz="2800" b="1">
                      <a:solidFill>
                        <a:srgbClr val="002060"/>
                      </a:solidFill>
                      <a:latin typeface="Arial" panose="020B0604020202020204" pitchFamily="34" charset="0"/>
                      <a:ea typeface="Tahoma" panose="020B0604030504040204" pitchFamily="34" charset="0"/>
                      <a:cs typeface="Arial" panose="020B0604020202020204" pitchFamily="34" charset="0"/>
                    </a:endParaRPr>
                  </a:p>
                </c:rich>
              </c:tx>
              <c:numFmt formatCode="0.00%" sourceLinked="0"/>
              <c:spPr>
                <a:noFill/>
                <a:ln>
                  <a:noFill/>
                </a:ln>
                <a:effectLst/>
              </c:spPr>
              <c:txPr>
                <a:bodyPr rot="0" spcFirstLastPara="1" vertOverflow="ellipsis" vert="horz" wrap="square" lIns="38100" tIns="19050" rIns="38100" bIns="19050" anchor="ctr" anchorCtr="1">
                  <a:no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endParaRPr lang="en-US"/>
                </a:p>
              </c:txPr>
              <c:dLblPos val="bestFit"/>
              <c:showLegendKey val="1"/>
              <c:showVal val="1"/>
              <c:showCatName val="1"/>
              <c:showSerName val="0"/>
              <c:showPercent val="1"/>
              <c:showBubbleSize val="0"/>
              <c:extLst>
                <c:ext xmlns:c15="http://schemas.microsoft.com/office/drawing/2012/chart" uri="{CE6537A1-D6FC-4f65-9D91-7224C49458BB}">
                  <c15:layout>
                    <c:manualLayout>
                      <c:w val="0.42160393518518524"/>
                      <c:h val="0.18238937908496733"/>
                    </c:manualLayout>
                  </c15:layout>
                  <c15:dlblFieldTable/>
                  <c15:showDataLabelsRange val="0"/>
                </c:ext>
                <c:ext xmlns:c16="http://schemas.microsoft.com/office/drawing/2014/chart" uri="{C3380CC4-5D6E-409C-BE32-E72D297353CC}">
                  <c16:uniqueId val="{00000003-EA65-42E5-B7FA-11DE97626BD7}"/>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rgbClr val="002060"/>
                    </a:solidFill>
                    <a:latin typeface="Arial" panose="020B0604020202020204" pitchFamily="34" charset="0"/>
                    <a:ea typeface="+mn-ea"/>
                    <a:cs typeface="Arial" panose="020B0604020202020204" pitchFamily="34" charset="0"/>
                  </a:defRPr>
                </a:pPr>
                <a:endParaRPr lang="pt-BR"/>
              </a:p>
            </c:txPr>
            <c:dLblPos val="bestFit"/>
            <c:showLegendKey val="1"/>
            <c:showVal val="1"/>
            <c:showCatName val="1"/>
            <c:showSerName val="0"/>
            <c:showPercent val="1"/>
            <c:showBubbleSize val="0"/>
            <c:showLeaderLines val="0"/>
            <c:extLst>
              <c:ext xmlns:c15="http://schemas.microsoft.com/office/drawing/2012/chart" uri="{CE6537A1-D6FC-4f65-9D91-7224C49458BB}"/>
            </c:extLst>
          </c:dLbls>
          <c:cat>
            <c:strRef>
              <c:f>'DADOS - GOPOÚVA'!$D$54:$E$54</c:f>
              <c:strCache>
                <c:ptCount val="2"/>
                <c:pt idx="0">
                  <c:v>Fotos NC</c:v>
                </c:pt>
                <c:pt idx="1">
                  <c:v>Fotos Conforme</c:v>
                </c:pt>
              </c:strCache>
            </c:strRef>
          </c:cat>
          <c:val>
            <c:numRef>
              <c:f>'DADOS - GOPOÚVA'!$D$55:$E$55</c:f>
              <c:numCache>
                <c:formatCode>General</c:formatCode>
                <c:ptCount val="2"/>
                <c:pt idx="0">
                  <c:v>59</c:v>
                </c:pt>
                <c:pt idx="1">
                  <c:v>387</c:v>
                </c:pt>
              </c:numCache>
            </c:numRef>
          </c:val>
          <c:extLst>
            <c:ext xmlns:c16="http://schemas.microsoft.com/office/drawing/2014/chart" uri="{C3380CC4-5D6E-409C-BE32-E72D297353CC}">
              <c16:uniqueId val="{00000004-EA65-42E5-B7FA-11DE97626BD7}"/>
            </c:ext>
          </c:extLst>
        </c:ser>
        <c:dLbls>
          <c:dLblPos val="bestFit"/>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0" i="0" u="none" strike="noStrike" kern="1200" spc="0" baseline="0">
                <a:solidFill>
                  <a:srgbClr val="002060"/>
                </a:solidFill>
                <a:latin typeface="Arial Black" panose="020B0A04020102020204" pitchFamily="34" charset="0"/>
                <a:ea typeface="+mn-ea"/>
                <a:cs typeface="Arial" panose="020B0604020202020204" pitchFamily="34" charset="0"/>
              </a:defRPr>
            </a:pPr>
            <a:r>
              <a:rPr lang="pt-BR" sz="2800" b="0" baseline="0">
                <a:solidFill>
                  <a:srgbClr val="002060"/>
                </a:solidFill>
                <a:latin typeface="Arial Black" panose="020B0A04020102020204" pitchFamily="34" charset="0"/>
                <a:ea typeface="Tahoma" panose="020B0604030504040204" pitchFamily="34" charset="0"/>
                <a:cs typeface="Arial" panose="020B0604020202020204" pitchFamily="34" charset="0"/>
              </a:rPr>
              <a:t>BAIXA DE MATERIAIS</a:t>
            </a:r>
          </a:p>
        </c:rich>
      </c:tx>
      <c:overlay val="0"/>
      <c:spPr>
        <a:noFill/>
        <a:ln>
          <a:noFill/>
        </a:ln>
        <a:effectLst/>
      </c:spPr>
      <c:txPr>
        <a:bodyPr rot="0" spcFirstLastPara="1" vertOverflow="ellipsis" vert="horz" wrap="square" anchor="ctr" anchorCtr="1"/>
        <a:lstStyle/>
        <a:p>
          <a:pPr>
            <a:defRPr sz="2800" b="0" i="0" u="none" strike="noStrike" kern="1200" spc="0" baseline="0">
              <a:solidFill>
                <a:srgbClr val="002060"/>
              </a:solidFill>
              <a:latin typeface="Arial Black" panose="020B0A04020102020204" pitchFamily="34" charset="0"/>
              <a:ea typeface="+mn-ea"/>
              <a:cs typeface="Arial" panose="020B0604020202020204" pitchFamily="34" charset="0"/>
            </a:defRPr>
          </a:pPr>
          <a:endParaRPr lang="pt-BR"/>
        </a:p>
      </c:txPr>
    </c:title>
    <c:autoTitleDeleted val="0"/>
    <c:plotArea>
      <c:layout>
        <c:manualLayout>
          <c:layoutTarget val="inner"/>
          <c:xMode val="edge"/>
          <c:yMode val="edge"/>
          <c:x val="0.24593169729154113"/>
          <c:y val="0.14373658566932385"/>
          <c:w val="0.51105896326648759"/>
          <c:h val="0.73890179599621475"/>
        </c:manualLayout>
      </c:layout>
      <c:pieChart>
        <c:varyColors val="1"/>
        <c:ser>
          <c:idx val="0"/>
          <c:order val="0"/>
          <c:explosion val="5"/>
          <c:dPt>
            <c:idx val="0"/>
            <c:bubble3D val="0"/>
            <c:spPr>
              <a:solidFill>
                <a:schemeClr val="accent2"/>
              </a:solidFill>
              <a:ln w="19050">
                <a:solidFill>
                  <a:schemeClr val="lt1"/>
                </a:solidFill>
              </a:ln>
              <a:effectLst/>
            </c:spPr>
            <c:extLst>
              <c:ext xmlns:c16="http://schemas.microsoft.com/office/drawing/2014/chart" uri="{C3380CC4-5D6E-409C-BE32-E72D297353CC}">
                <c16:uniqueId val="{00000001-9304-434E-A76B-6DDA9A515479}"/>
              </c:ext>
            </c:extLst>
          </c:dPt>
          <c:dPt>
            <c:idx val="1"/>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3-9304-434E-A76B-6DDA9A515479}"/>
              </c:ext>
            </c:extLst>
          </c:dPt>
          <c:dLbls>
            <c:dLbl>
              <c:idx val="0"/>
              <c:layout>
                <c:manualLayout>
                  <c:x val="0.25302507718516087"/>
                  <c:y val="0.85395859104208216"/>
                </c:manualLayout>
              </c:layout>
              <c:tx>
                <c:rich>
                  <a:bodyPr rot="0" spcFirstLastPara="1" vertOverflow="ellipsis" vert="horz" wrap="square" lIns="38100" tIns="19050" rIns="38100" bIns="19050" anchor="ctr" anchorCtr="1">
                    <a:no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fld id="{FA69A047-9B9E-47DB-9E64-542F1CBA3585}" type="CATEGORYNAME">
                      <a:rPr lang="en-US" sz="2800">
                        <a:latin typeface="Arial" panose="020B060402020202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[NOME DA CATEGORIA]</a:t>
                    </a:fld>
                    <a:r>
                      <a:rPr lang="en-US" sz="2800" baseline="0">
                        <a:latin typeface="Arial" panose="020B0604020202020204" pitchFamily="34" charset="0"/>
                        <a:cs typeface="Arial" panose="020B0604020202020204" pitchFamily="34" charset="0"/>
                      </a:rPr>
                      <a:t> </a:t>
                    </a:r>
                    <a:fld id="{4DB9DE06-D9D3-4697-B576-E9618ABDAD13}" type="VALUE">
                      <a:rPr lang="en-US" sz="2800" baseline="0">
                        <a:latin typeface="Arial" panose="020B060402020202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[VALOR]</a:t>
                    </a:fld>
                    <a:r>
                      <a:rPr lang="en-US" sz="2800" baseline="0">
                        <a:latin typeface="Arial" panose="020B0604020202020204" pitchFamily="34" charset="0"/>
                        <a:cs typeface="Arial" panose="020B0604020202020204" pitchFamily="34" charset="0"/>
                      </a:rPr>
                      <a:t>  </a:t>
                    </a:r>
                    <a:fld id="{8B726B06-2CF4-48A3-9BFA-07BBD72E5BBC}" type="PERCENTAGE">
                      <a:rPr lang="en-US" sz="2800" baseline="0">
                        <a:latin typeface="Arial" panose="020B060402020202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[PORCENTAGEM]</a:t>
                    </a:fld>
                    <a:endParaRPr lang="en-US" sz="2800" baseline="0">
                      <a:latin typeface="Arial" panose="020B0604020202020204" pitchFamily="34" charset="0"/>
                      <a:cs typeface="Arial" panose="020B0604020202020204" pitchFamily="34" charset="0"/>
                    </a:endParaRPr>
                  </a:p>
                </c:rich>
              </c:tx>
              <c:numFmt formatCode="0.00%" sourceLinked="0"/>
              <c:spPr>
                <a:noFill/>
                <a:ln>
                  <a:noFill/>
                </a:ln>
                <a:effectLst/>
              </c:spPr>
              <c:txPr>
                <a:bodyPr rot="0" spcFirstLastPara="1" vertOverflow="ellipsis" vert="horz" wrap="square" lIns="38100" tIns="19050" rIns="38100" bIns="19050" anchor="ctr" anchorCtr="1">
                  <a:no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endParaRPr lang="en-US"/>
                </a:p>
              </c:txPr>
              <c:showLegendKey val="1"/>
              <c:showVal val="1"/>
              <c:showCatName val="1"/>
              <c:showSerName val="0"/>
              <c:showPercent val="1"/>
              <c:showBubbleSize val="0"/>
              <c:extLst>
                <c:ext xmlns:c15="http://schemas.microsoft.com/office/drawing/2012/chart" uri="{CE6537A1-D6FC-4f65-9D91-7224C49458BB}">
                  <c15:layout>
                    <c:manualLayout>
                      <c:w val="0.33408550054589059"/>
                      <c:h val="0.14464294669071556"/>
                    </c:manualLayout>
                  </c15:layout>
                  <c15:dlblFieldTable/>
                  <c15:showDataLabelsRange val="0"/>
                </c:ext>
                <c:ext xmlns:c16="http://schemas.microsoft.com/office/drawing/2014/chart" uri="{C3380CC4-5D6E-409C-BE32-E72D297353CC}">
                  <c16:uniqueId val="{00000001-9304-434E-A76B-6DDA9A515479}"/>
                </c:ext>
              </c:extLst>
            </c:dLbl>
            <c:dLbl>
              <c:idx val="1"/>
              <c:layout>
                <c:manualLayout>
                  <c:x val="-0.34650578090052325"/>
                  <c:y val="-0.71752226275305941"/>
                </c:manualLayout>
              </c:layout>
              <c:tx>
                <c:rich>
                  <a:bodyPr rot="0" spcFirstLastPara="1" vertOverflow="ellipsis" vert="horz" wrap="square" lIns="38100" tIns="19050" rIns="38100" bIns="19050" anchor="ctr" anchorCtr="1">
                    <a:no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fld id="{AD2D5BB3-D56F-49E4-80A9-2EDCAEE43C22}" type="CATEGORYNAME">
                      <a:rPr lang="en-US" sz="2800">
                        <a:latin typeface="Arial" panose="020B060402020202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[NOME DA CATEGORIA]</a:t>
                    </a:fld>
                    <a:r>
                      <a:rPr lang="en-US" sz="2800" baseline="0">
                        <a:latin typeface="Arial" panose="020B0604020202020204" pitchFamily="34" charset="0"/>
                        <a:cs typeface="Arial" panose="020B0604020202020204" pitchFamily="34" charset="0"/>
                      </a:rPr>
                      <a:t> </a:t>
                    </a:r>
                    <a:fld id="{59A4F695-EF35-4D36-89A3-68AAF9682697}" type="VALUE">
                      <a:rPr lang="en-US" sz="2800" baseline="0">
                        <a:latin typeface="Arial" panose="020B060402020202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[VALOR]</a:t>
                    </a:fld>
                    <a:r>
                      <a:rPr lang="en-US" sz="2800" baseline="0">
                        <a:latin typeface="Arial" panose="020B0604020202020204" pitchFamily="34" charset="0"/>
                        <a:cs typeface="Arial" panose="020B0604020202020204" pitchFamily="34" charset="0"/>
                      </a:rPr>
                      <a:t>  </a:t>
                    </a:r>
                    <a:fld id="{016E5925-4227-4D8B-9490-D040926C9D13}" type="PERCENTAGE">
                      <a:rPr lang="en-US" sz="2800" baseline="0">
                        <a:latin typeface="Arial" panose="020B060402020202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[PORCENTAGEM]</a:t>
                    </a:fld>
                    <a:endParaRPr lang="en-US" sz="2800" baseline="0">
                      <a:latin typeface="Arial" panose="020B0604020202020204" pitchFamily="34" charset="0"/>
                      <a:cs typeface="Arial" panose="020B0604020202020204" pitchFamily="34" charset="0"/>
                    </a:endParaRPr>
                  </a:p>
                </c:rich>
              </c:tx>
              <c:numFmt formatCode="0.00%" sourceLinked="0"/>
              <c:spPr>
                <a:noFill/>
                <a:ln>
                  <a:noFill/>
                </a:ln>
                <a:effectLst/>
              </c:spPr>
              <c:txPr>
                <a:bodyPr rot="0" spcFirstLastPara="1" vertOverflow="ellipsis" vert="horz" wrap="square" lIns="38100" tIns="19050" rIns="38100" bIns="19050" anchor="ctr" anchorCtr="1">
                  <a:no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endParaRPr lang="en-US"/>
                </a:p>
              </c:txPr>
              <c:showLegendKey val="1"/>
              <c:showVal val="1"/>
              <c:showCatName val="1"/>
              <c:showSerName val="0"/>
              <c:showPercent val="1"/>
              <c:showBubbleSize val="0"/>
              <c:extLst>
                <c:ext xmlns:c15="http://schemas.microsoft.com/office/drawing/2012/chart" uri="{CE6537A1-D6FC-4f65-9D91-7224C49458BB}">
                  <c15:layout>
                    <c:manualLayout>
                      <c:w val="0.29966052631578949"/>
                      <c:h val="0.16943277777777777"/>
                    </c:manualLayout>
                  </c15:layout>
                  <c15:dlblFieldTable/>
                  <c15:showDataLabelsRange val="0"/>
                </c:ext>
                <c:ext xmlns:c16="http://schemas.microsoft.com/office/drawing/2014/chart" uri="{C3380CC4-5D6E-409C-BE32-E72D297353CC}">
                  <c16:uniqueId val="{00000003-9304-434E-A76B-6DDA9A515479}"/>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endParaRPr lang="pt-BR"/>
              </a:p>
            </c:txPr>
            <c:showLegendKey val="1"/>
            <c:showVal val="1"/>
            <c:showCatName val="1"/>
            <c:showSerName val="0"/>
            <c:showPercent val="1"/>
            <c:showBubbleSize val="0"/>
            <c:showLeaderLines val="0"/>
            <c:extLst>
              <c:ext xmlns:c15="http://schemas.microsoft.com/office/drawing/2012/chart" uri="{CE6537A1-D6FC-4f65-9D91-7224C49458BB}"/>
            </c:extLst>
          </c:dLbls>
          <c:cat>
            <c:strRef>
              <c:f>'DADOS - GOPOÚVA'!$D$58:$E$58</c:f>
              <c:strCache>
                <c:ptCount val="2"/>
                <c:pt idx="0">
                  <c:v>Não Conforme</c:v>
                </c:pt>
                <c:pt idx="1">
                  <c:v>Conforme</c:v>
                </c:pt>
              </c:strCache>
            </c:strRef>
          </c:cat>
          <c:val>
            <c:numRef>
              <c:f>'DADOS - GOPOÚVA'!$D$59:$E$59</c:f>
              <c:numCache>
                <c:formatCode>General</c:formatCode>
                <c:ptCount val="2"/>
                <c:pt idx="0">
                  <c:v>0</c:v>
                </c:pt>
                <c:pt idx="1">
                  <c:v>488</c:v>
                </c:pt>
              </c:numCache>
            </c:numRef>
          </c:val>
          <c:extLst>
            <c:ext xmlns:c16="http://schemas.microsoft.com/office/drawing/2014/chart" uri="{C3380CC4-5D6E-409C-BE32-E72D297353CC}">
              <c16:uniqueId val="{00000004-9304-434E-A76B-6DDA9A515479}"/>
            </c:ext>
          </c:extLst>
        </c:ser>
        <c:dLbls>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r>
              <a:rPr lang="en-US" sz="1600"/>
              <a:t>CONFORMIDADE - SEQUÊNCIA DE FOTOS (%)</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title>
    <c:autoTitleDeleted val="0"/>
    <c:plotArea>
      <c:layout>
        <c:manualLayout>
          <c:layoutTarget val="inner"/>
          <c:xMode val="edge"/>
          <c:yMode val="edge"/>
          <c:x val="0.50358333333333327"/>
          <c:y val="6.9010317460317466E-2"/>
          <c:w val="0.39815672060701301"/>
          <c:h val="0.90014497354497369"/>
        </c:manualLayout>
      </c:layout>
      <c:barChart>
        <c:barDir val="bar"/>
        <c:grouping val="clustered"/>
        <c:varyColors val="0"/>
        <c:ser>
          <c:idx val="0"/>
          <c:order val="0"/>
          <c:tx>
            <c:strRef>
              <c:f>'DADOS - GOPOÚVA'!$F$151:$F$152</c:f>
              <c:strCache>
                <c:ptCount val="2"/>
                <c:pt idx="0">
                  <c:v>EQUIPES - CONFORMIDADE - TEMPO DE EXECUÇÃO</c:v>
                </c:pt>
                <c:pt idx="1">
                  <c:v>CONFORME (%)</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4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'DADOS - GOPOÚVA'!$B$101:$B$124</c:f>
              <c:strCache>
                <c:ptCount val="24"/>
                <c:pt idx="0">
                  <c:v>ADEMAR JOSE VIANA</c:v>
                </c:pt>
                <c:pt idx="1">
                  <c:v>ADIMILSON SOUZA OLIVEIRA</c:v>
                </c:pt>
                <c:pt idx="2">
                  <c:v>ALISSON ARAUJO DA SILVA</c:v>
                </c:pt>
                <c:pt idx="3">
                  <c:v>CARLOS HENRIQUE DO AMARAL</c:v>
                </c:pt>
                <c:pt idx="4">
                  <c:v>CICERO XAVIER DA SILVA</c:v>
                </c:pt>
                <c:pt idx="5">
                  <c:v>CLAUDIO JOSE SILVA SANTOS</c:v>
                </c:pt>
                <c:pt idx="6">
                  <c:v>EDILSON BARRETO DA SILVA</c:v>
                </c:pt>
                <c:pt idx="7">
                  <c:v>EDILSON DA SILVA DE ALMEIDA</c:v>
                </c:pt>
                <c:pt idx="8">
                  <c:v>EDSON COUTINHO DOS SANTOS</c:v>
                </c:pt>
                <c:pt idx="9">
                  <c:v>EDSON EVANGELISTA CABRAL SOARES</c:v>
                </c:pt>
                <c:pt idx="10">
                  <c:v>FABIO SANTOS</c:v>
                </c:pt>
                <c:pt idx="11">
                  <c:v>GILVAN FERREIRA DOS SANTOS</c:v>
                </c:pt>
                <c:pt idx="12">
                  <c:v>GIVALDO COSTA DOS SANTOS</c:v>
                </c:pt>
                <c:pt idx="13">
                  <c:v>HENRIQUE ANDRADE PEREIRA</c:v>
                </c:pt>
                <c:pt idx="14">
                  <c:v>JOAO MANOEL PEREIRA DOS SANTOS</c:v>
                </c:pt>
                <c:pt idx="15">
                  <c:v>JOSE LIMA SILVA</c:v>
                </c:pt>
                <c:pt idx="16">
                  <c:v>JOSE PETRUCIO SANTOS FILHO</c:v>
                </c:pt>
                <c:pt idx="17">
                  <c:v>RENATO RAMOS MANCCINI</c:v>
                </c:pt>
                <c:pt idx="18">
                  <c:v>ROBERTO APARECIDO BARBOSA SANTOS</c:v>
                </c:pt>
                <c:pt idx="19">
                  <c:v>ROBERTO SOARES DE ALMEIDA</c:v>
                </c:pt>
                <c:pt idx="20">
                  <c:v>RODRIGO PEREIRA VILAS BOAS</c:v>
                </c:pt>
                <c:pt idx="21">
                  <c:v>ROMARIO MARINHO SANTOS</c:v>
                </c:pt>
                <c:pt idx="22">
                  <c:v>RONALDO BISPO ROCHA</c:v>
                </c:pt>
                <c:pt idx="23">
                  <c:v>SANDRO DE FREITAS GALINDO</c:v>
                </c:pt>
              </c:strCache>
            </c:strRef>
          </c:cat>
          <c:val>
            <c:numRef>
              <c:f>'DADOS - GOPOÚVA'!$F$101:$F$124</c:f>
              <c:numCache>
                <c:formatCode>0.00%</c:formatCode>
                <c:ptCount val="24"/>
                <c:pt idx="0">
                  <c:v>1</c:v>
                </c:pt>
                <c:pt idx="1">
                  <c:v>1</c:v>
                </c:pt>
                <c:pt idx="2">
                  <c:v>1</c:v>
                </c:pt>
                <c:pt idx="3">
                  <c:v>0.8571428571428571</c:v>
                </c:pt>
                <c:pt idx="4">
                  <c:v>0.84615384615384615</c:v>
                </c:pt>
                <c:pt idx="5">
                  <c:v>1</c:v>
                </c:pt>
                <c:pt idx="6">
                  <c:v>0.76923076923076927</c:v>
                </c:pt>
                <c:pt idx="7">
                  <c:v>1</c:v>
                </c:pt>
                <c:pt idx="8">
                  <c:v>0.8666666666666667</c:v>
                </c:pt>
                <c:pt idx="9">
                  <c:v>1</c:v>
                </c:pt>
                <c:pt idx="10">
                  <c:v>0.8571428571428571</c:v>
                </c:pt>
                <c:pt idx="11">
                  <c:v>1</c:v>
                </c:pt>
                <c:pt idx="12">
                  <c:v>1</c:v>
                </c:pt>
                <c:pt idx="13">
                  <c:v>0.92307692307692313</c:v>
                </c:pt>
                <c:pt idx="14">
                  <c:v>0.9</c:v>
                </c:pt>
                <c:pt idx="15">
                  <c:v>0.93333333333333335</c:v>
                </c:pt>
                <c:pt idx="16">
                  <c:v>0.8571428571428571</c:v>
                </c:pt>
                <c:pt idx="17">
                  <c:v>0.80952380952380953</c:v>
                </c:pt>
                <c:pt idx="18">
                  <c:v>0.75471698113207553</c:v>
                </c:pt>
                <c:pt idx="19">
                  <c:v>0.75</c:v>
                </c:pt>
                <c:pt idx="20">
                  <c:v>1</c:v>
                </c:pt>
                <c:pt idx="21">
                  <c:v>0.7857142857142857</c:v>
                </c:pt>
                <c:pt idx="22">
                  <c:v>1</c:v>
                </c:pt>
                <c:pt idx="23">
                  <c:v>0.76315789473684215</c:v>
                </c:pt>
              </c:numCache>
            </c:numRef>
          </c:val>
          <c:extLst>
            <c:ext xmlns:c16="http://schemas.microsoft.com/office/drawing/2014/chart" uri="{C3380CC4-5D6E-409C-BE32-E72D297353CC}">
              <c16:uniqueId val="{00000000-7677-4C8F-9DAB-70D329F0C41D}"/>
            </c:ext>
          </c:extLst>
        </c:ser>
        <c:dLbls>
          <c:showLegendKey val="0"/>
          <c:showVal val="1"/>
          <c:showCatName val="0"/>
          <c:showSerName val="0"/>
          <c:showPercent val="0"/>
          <c:showBubbleSize val="0"/>
        </c:dLbls>
        <c:gapWidth val="39"/>
        <c:axId val="150760704"/>
        <c:axId val="150758352"/>
      </c:barChart>
      <c:catAx>
        <c:axId val="15076070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crossAx val="150758352"/>
        <c:crosses val="autoZero"/>
        <c:auto val="1"/>
        <c:lblAlgn val="ctr"/>
        <c:lblOffset val="100"/>
        <c:noMultiLvlLbl val="0"/>
      </c:catAx>
      <c:valAx>
        <c:axId val="150758352"/>
        <c:scaling>
          <c:orientation val="minMax"/>
          <c:max val="1"/>
        </c:scaling>
        <c:delete val="1"/>
        <c:axPos val="t"/>
        <c:numFmt formatCode="0.00%" sourceLinked="1"/>
        <c:majorTickMark val="out"/>
        <c:minorTickMark val="none"/>
        <c:tickLblPos val="nextTo"/>
        <c:crossAx val="150760704"/>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400" b="1">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r>
              <a:rPr lang="pt-BR" sz="1600"/>
              <a:t>CONFORMIDADE - TEMPO DE EXECUÇÃO (%)</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title>
    <c:autoTitleDeleted val="0"/>
    <c:plotArea>
      <c:layout>
        <c:manualLayout>
          <c:layoutTarget val="inner"/>
          <c:xMode val="edge"/>
          <c:yMode val="edge"/>
          <c:x val="0.50358333333333327"/>
          <c:y val="6.2601719576719589E-2"/>
          <c:w val="0.39389444444444449"/>
          <c:h val="0.90655370370370369"/>
        </c:manualLayout>
      </c:layout>
      <c:barChart>
        <c:barDir val="bar"/>
        <c:grouping val="clustered"/>
        <c:varyColors val="0"/>
        <c:ser>
          <c:idx val="0"/>
          <c:order val="0"/>
          <c:tx>
            <c:strRef>
              <c:f>'DADOS - GOPOÚVA'!$F$151:$F$152</c:f>
              <c:strCache>
                <c:ptCount val="2"/>
                <c:pt idx="0">
                  <c:v>EQUIPES - CONFORMIDADE - TEMPO DE EXECUÇÃO</c:v>
                </c:pt>
                <c:pt idx="1">
                  <c:v>CONFORME (%)</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4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'DADOS - GOPOÚVA'!$B$74:$B$97</c:f>
              <c:strCache>
                <c:ptCount val="24"/>
                <c:pt idx="0">
                  <c:v>ADEMAR JOSE VIANA</c:v>
                </c:pt>
                <c:pt idx="1">
                  <c:v>ADIMILSON SOUZA OLIVEIRA</c:v>
                </c:pt>
                <c:pt idx="2">
                  <c:v>ALISSON ARAUJO DA SILVA</c:v>
                </c:pt>
                <c:pt idx="3">
                  <c:v>CARLOS HENRIQUE DO AMARAL</c:v>
                </c:pt>
                <c:pt idx="4">
                  <c:v>CICERO XAVIER DA SILVA</c:v>
                </c:pt>
                <c:pt idx="5">
                  <c:v>CLAUDIO JOSE SILVA SANTOS</c:v>
                </c:pt>
                <c:pt idx="6">
                  <c:v>EDILSON BARRETO DA SILVA</c:v>
                </c:pt>
                <c:pt idx="7">
                  <c:v>EDILSON DA SILVA DE ALMEIDA</c:v>
                </c:pt>
                <c:pt idx="8">
                  <c:v>EDSON COUTINHO DOS SANTOS</c:v>
                </c:pt>
                <c:pt idx="9">
                  <c:v>EDSON EVANGELISTA CABRAL SOARES</c:v>
                </c:pt>
                <c:pt idx="10">
                  <c:v>FABIO SANTOS</c:v>
                </c:pt>
                <c:pt idx="11">
                  <c:v>GILVAN FERREIRA DOS SANTOS</c:v>
                </c:pt>
                <c:pt idx="12">
                  <c:v>GIVALDO COSTA DOS SANTOS</c:v>
                </c:pt>
                <c:pt idx="13">
                  <c:v>HENRIQUE ANDRADE PEREIRA</c:v>
                </c:pt>
                <c:pt idx="14">
                  <c:v>JOAO MANOEL PEREIRA DOS SANTOS</c:v>
                </c:pt>
                <c:pt idx="15">
                  <c:v>JOSE LIMA SILVA</c:v>
                </c:pt>
                <c:pt idx="16">
                  <c:v>JOSE PETRUCIO SANTOS FILHO</c:v>
                </c:pt>
                <c:pt idx="17">
                  <c:v>RENATO RAMOS MANCCINI</c:v>
                </c:pt>
                <c:pt idx="18">
                  <c:v>ROBERTO APARECIDO BARBOSA SANTOS</c:v>
                </c:pt>
                <c:pt idx="19">
                  <c:v>ROBERTO SOARES DE ALMEIDA</c:v>
                </c:pt>
                <c:pt idx="20">
                  <c:v>RODRIGO PEREIRA VILAS BOAS</c:v>
                </c:pt>
                <c:pt idx="21">
                  <c:v>ROMARIO MARINHO SANTOS</c:v>
                </c:pt>
                <c:pt idx="22">
                  <c:v>RONALDO BISPO ROCHA</c:v>
                </c:pt>
                <c:pt idx="23">
                  <c:v>SANDRO DE FREITAS GALINDO</c:v>
                </c:pt>
              </c:strCache>
            </c:strRef>
          </c:cat>
          <c:val>
            <c:numRef>
              <c:f>'DADOS - GOPOÚVA'!$F$74:$F$97</c:f>
              <c:numCache>
                <c:formatCode>0.00%</c:formatCode>
                <c:ptCount val="24"/>
                <c:pt idx="0">
                  <c:v>1</c:v>
                </c:pt>
                <c:pt idx="1">
                  <c:v>1</c:v>
                </c:pt>
                <c:pt idx="2">
                  <c:v>1</c:v>
                </c:pt>
                <c:pt idx="3">
                  <c:v>1</c:v>
                </c:pt>
                <c:pt idx="4">
                  <c:v>1</c:v>
                </c:pt>
                <c:pt idx="5">
                  <c:v>1</c:v>
                </c:pt>
                <c:pt idx="6">
                  <c:v>1</c:v>
                </c:pt>
                <c:pt idx="7">
                  <c:v>1</c:v>
                </c:pt>
                <c:pt idx="8">
                  <c:v>0.8666666666666667</c:v>
                </c:pt>
                <c:pt idx="9">
                  <c:v>1</c:v>
                </c:pt>
                <c:pt idx="10">
                  <c:v>1</c:v>
                </c:pt>
                <c:pt idx="11">
                  <c:v>1</c:v>
                </c:pt>
                <c:pt idx="12">
                  <c:v>1</c:v>
                </c:pt>
                <c:pt idx="13">
                  <c:v>0.92307692307692313</c:v>
                </c:pt>
                <c:pt idx="14">
                  <c:v>1</c:v>
                </c:pt>
                <c:pt idx="15">
                  <c:v>0.93333333333333335</c:v>
                </c:pt>
                <c:pt idx="16">
                  <c:v>0.90476190476190477</c:v>
                </c:pt>
                <c:pt idx="17">
                  <c:v>1</c:v>
                </c:pt>
                <c:pt idx="18">
                  <c:v>1</c:v>
                </c:pt>
                <c:pt idx="19">
                  <c:v>1</c:v>
                </c:pt>
                <c:pt idx="20">
                  <c:v>1</c:v>
                </c:pt>
                <c:pt idx="21">
                  <c:v>0.7857142857142857</c:v>
                </c:pt>
                <c:pt idx="22">
                  <c:v>1</c:v>
                </c:pt>
                <c:pt idx="23">
                  <c:v>0.94736842105263153</c:v>
                </c:pt>
              </c:numCache>
            </c:numRef>
          </c:val>
          <c:extLst>
            <c:ext xmlns:c16="http://schemas.microsoft.com/office/drawing/2014/chart" uri="{C3380CC4-5D6E-409C-BE32-E72D297353CC}">
              <c16:uniqueId val="{00000000-4FEB-496C-A128-F3BC26CBDFB1}"/>
            </c:ext>
          </c:extLst>
        </c:ser>
        <c:dLbls>
          <c:showLegendKey val="0"/>
          <c:showVal val="1"/>
          <c:showCatName val="0"/>
          <c:showSerName val="0"/>
          <c:showPercent val="0"/>
          <c:showBubbleSize val="0"/>
        </c:dLbls>
        <c:gapWidth val="39"/>
        <c:axId val="150757176"/>
        <c:axId val="150759920"/>
      </c:barChart>
      <c:catAx>
        <c:axId val="150757176"/>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1400" b="0"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crossAx val="150759920"/>
        <c:crosses val="autoZero"/>
        <c:auto val="1"/>
        <c:lblAlgn val="ctr"/>
        <c:lblOffset val="100"/>
        <c:noMultiLvlLbl val="0"/>
      </c:catAx>
      <c:valAx>
        <c:axId val="150759920"/>
        <c:scaling>
          <c:orientation val="minMax"/>
          <c:max val="1"/>
        </c:scaling>
        <c:delete val="1"/>
        <c:axPos val="t"/>
        <c:numFmt formatCode="0.00%" sourceLinked="1"/>
        <c:majorTickMark val="out"/>
        <c:minorTickMark val="none"/>
        <c:tickLblPos val="nextTo"/>
        <c:crossAx val="150757176"/>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400" b="1">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orientation="portrait"/>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1" i="0" u="none" strike="noStrike" kern="1200" spc="0" baseline="0">
                <a:solidFill>
                  <a:schemeClr val="accent1">
                    <a:lumMod val="50000"/>
                  </a:schemeClr>
                </a:solidFill>
                <a:latin typeface="Arial Black" panose="020B0A04020102020204" pitchFamily="34" charset="0"/>
                <a:ea typeface="Tahoma" panose="020B0604030504040204" pitchFamily="34" charset="0"/>
                <a:cs typeface="Arial" panose="020B0604020202020204" pitchFamily="34" charset="0"/>
              </a:defRPr>
            </a:pPr>
            <a:r>
              <a:rPr lang="pt-BR" sz="2800">
                <a:latin typeface="Arial Black" panose="020B0A04020102020204" pitchFamily="34" charset="0"/>
                <a:cs typeface="Arial" panose="020B0604020202020204" pitchFamily="34" charset="0"/>
              </a:rPr>
              <a:t>CONFORMIDADES - ETAPAS (%)</a:t>
            </a:r>
          </a:p>
        </c:rich>
      </c:tx>
      <c:overlay val="0"/>
      <c:spPr>
        <a:noFill/>
        <a:ln>
          <a:noFill/>
        </a:ln>
        <a:effectLst/>
      </c:spPr>
      <c:txPr>
        <a:bodyPr rot="0" spcFirstLastPara="1" vertOverflow="ellipsis" vert="horz" wrap="square" anchor="ctr" anchorCtr="1"/>
        <a:lstStyle/>
        <a:p>
          <a:pPr>
            <a:defRPr sz="2800" b="1" i="0" u="none" strike="noStrike" kern="1200" spc="0" baseline="0">
              <a:solidFill>
                <a:schemeClr val="accent1">
                  <a:lumMod val="50000"/>
                </a:schemeClr>
              </a:solidFill>
              <a:latin typeface="Arial Black" panose="020B0A04020102020204" pitchFamily="34" charset="0"/>
              <a:ea typeface="Tahoma" panose="020B0604030504040204" pitchFamily="34" charset="0"/>
              <a:cs typeface="Arial" panose="020B0604020202020204" pitchFamily="34" charset="0"/>
            </a:defRPr>
          </a:pPr>
          <a:endParaRPr lang="pt-BR"/>
        </a:p>
      </c:txPr>
    </c:title>
    <c:autoTitleDeleted val="0"/>
    <c:plotArea>
      <c:layout>
        <c:manualLayout>
          <c:layoutTarget val="inner"/>
          <c:xMode val="edge"/>
          <c:yMode val="edge"/>
          <c:x val="1.7359810874704493E-2"/>
          <c:y val="0.30038031165228529"/>
          <c:w val="0.97428749725412744"/>
          <c:h val="0.3927701015931967"/>
        </c:manualLayout>
      </c:layout>
      <c:barChart>
        <c:barDir val="col"/>
        <c:grouping val="clustered"/>
        <c:varyColors val="0"/>
        <c:ser>
          <c:idx val="0"/>
          <c:order val="0"/>
          <c:tx>
            <c:strRef>
              <c:f>'DADOS - GOPOÚVA'!$F$141</c:f>
              <c:strCache>
                <c:ptCount val="1"/>
                <c:pt idx="0">
                  <c:v>CONFORME (%)</c:v>
                </c:pt>
              </c:strCache>
            </c:strRef>
          </c:tx>
          <c:spPr>
            <a:solidFill>
              <a:schemeClr val="accent1"/>
            </a:solidFill>
            <a:ln>
              <a:noFill/>
            </a:ln>
            <a:effectLst/>
          </c:spPr>
          <c:invertIfNegative val="0"/>
          <c:dLbls>
            <c:dLbl>
              <c:idx val="3"/>
              <c:layout>
                <c:manualLayout>
                  <c:x val="-8.6702127659684552E-5"/>
                  <c:y val="-2.793750000000016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9DE-4A7E-8C72-4631B4C93CF3}"/>
                </c:ext>
              </c:extLst>
            </c:dLbl>
            <c:spPr>
              <a:noFill/>
              <a:ln>
                <a:noFill/>
              </a:ln>
              <a:effectLst/>
            </c:spPr>
            <c:txPr>
              <a:bodyPr rot="-5400000" spcFirstLastPara="1" vertOverflow="ellipsis" wrap="square" anchor="ctr" anchorCtr="1"/>
              <a:lstStyle/>
              <a:p>
                <a:pPr>
                  <a:defRPr sz="24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'DADOS - GOPOÚVA'!$B$142:$B$149</c:f>
              <c:strCache>
                <c:ptCount val="8"/>
                <c:pt idx="0">
                  <c:v>FACHADA</c:v>
                </c:pt>
                <c:pt idx="1">
                  <c:v>SINALIZAÇÃO</c:v>
                </c:pt>
                <c:pt idx="2">
                  <c:v>ENCERADO</c:v>
                </c:pt>
                <c:pt idx="3">
                  <c:v>GEOMETRIA</c:v>
                </c:pt>
                <c:pt idx="4">
                  <c:v>BERÇO DE AREIA</c:v>
                </c:pt>
                <c:pt idx="5">
                  <c:v>ESCORAMENTO</c:v>
                </c:pt>
                <c:pt idx="6">
                  <c:v>COMPACTAÇÃO</c:v>
                </c:pt>
                <c:pt idx="7">
                  <c:v>FINALIZAÇÃO</c:v>
                </c:pt>
              </c:strCache>
            </c:strRef>
          </c:cat>
          <c:val>
            <c:numRef>
              <c:f>'DADOS - GOPOÚVA'!$F$142:$F$149</c:f>
              <c:numCache>
                <c:formatCode>0.00%</c:formatCode>
                <c:ptCount val="8"/>
                <c:pt idx="0">
                  <c:v>0.86956521739130432</c:v>
                </c:pt>
                <c:pt idx="1">
                  <c:v>0.86956521739130432</c:v>
                </c:pt>
                <c:pt idx="2">
                  <c:v>0.83333333333333337</c:v>
                </c:pt>
                <c:pt idx="3">
                  <c:v>0.83333333333333337</c:v>
                </c:pt>
                <c:pt idx="4">
                  <c:v>0.83333333333333337</c:v>
                </c:pt>
                <c:pt idx="5">
                  <c:v>0.83333333333333337</c:v>
                </c:pt>
                <c:pt idx="6">
                  <c:v>0.82352941176470584</c:v>
                </c:pt>
                <c:pt idx="7">
                  <c:v>0.5</c:v>
                </c:pt>
              </c:numCache>
            </c:numRef>
          </c:val>
          <c:extLst>
            <c:ext xmlns:c16="http://schemas.microsoft.com/office/drawing/2014/chart" uri="{C3380CC4-5D6E-409C-BE32-E72D297353CC}">
              <c16:uniqueId val="{00000000-17C1-4C77-901B-F8D0CD8CEA75}"/>
            </c:ext>
          </c:extLst>
        </c:ser>
        <c:dLbls>
          <c:dLblPos val="outEnd"/>
          <c:showLegendKey val="0"/>
          <c:showVal val="1"/>
          <c:showCatName val="0"/>
          <c:showSerName val="0"/>
          <c:showPercent val="0"/>
          <c:showBubbleSize val="0"/>
        </c:dLbls>
        <c:gapWidth val="219"/>
        <c:overlap val="-27"/>
        <c:axId val="150755216"/>
        <c:axId val="150754432"/>
      </c:barChart>
      <c:catAx>
        <c:axId val="150755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800" b="1" i="0" u="none" strike="noStrike" kern="1200" baseline="0">
                <a:solidFill>
                  <a:schemeClr val="accent1">
                    <a:lumMod val="50000"/>
                  </a:schemeClr>
                </a:solidFill>
                <a:latin typeface="Arial Black" panose="020B0A04020102020204" pitchFamily="34" charset="0"/>
                <a:ea typeface="Tahoma" panose="020B0604030504040204" pitchFamily="34" charset="0"/>
                <a:cs typeface="Arial" panose="020B0604020202020204" pitchFamily="34" charset="0"/>
              </a:defRPr>
            </a:pPr>
            <a:endParaRPr lang="pt-BR"/>
          </a:p>
        </c:txPr>
        <c:crossAx val="150754432"/>
        <c:crosses val="autoZero"/>
        <c:auto val="1"/>
        <c:lblAlgn val="ctr"/>
        <c:lblOffset val="100"/>
        <c:noMultiLvlLbl val="0"/>
      </c:catAx>
      <c:valAx>
        <c:axId val="150754432"/>
        <c:scaling>
          <c:orientation val="minMax"/>
          <c:max val="1"/>
        </c:scaling>
        <c:delete val="1"/>
        <c:axPos val="l"/>
        <c:numFmt formatCode="0.00%" sourceLinked="1"/>
        <c:majorTickMark val="out"/>
        <c:minorTickMark val="none"/>
        <c:tickLblPos val="nextTo"/>
        <c:crossAx val="150755216"/>
        <c:crosses val="autoZero"/>
        <c:crossBetween val="between"/>
      </c:valAx>
      <c:spPr>
        <a:noFill/>
        <a:ln>
          <a:noFill/>
        </a:ln>
        <a:effectLst/>
      </c:spPr>
    </c:plotArea>
    <c:legend>
      <c:legendPos val="b"/>
      <c:layout>
        <c:manualLayout>
          <c:xMode val="edge"/>
          <c:yMode val="edge"/>
          <c:x val="0.41363812056737587"/>
          <c:y val="0.9503968055555555"/>
          <c:w val="0.1562106973995272"/>
          <c:h val="4.9603194444444443E-2"/>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accent1">
                  <a:lumMod val="50000"/>
                </a:schemeClr>
              </a:solidFill>
              <a:latin typeface="Arial Black" panose="020B0A04020102020204" pitchFamily="34" charset="0"/>
              <a:ea typeface="Tahoma" panose="020B0604030504040204" pitchFamily="34" charset="0"/>
              <a:cs typeface="Arial" panose="020B0604020202020204" pitchFamily="34" charset="0"/>
            </a:defRPr>
          </a:pPr>
          <a:endParaRPr lang="pt-BR"/>
        </a:p>
      </c:txPr>
    </c:legend>
    <c:plotVisOnly val="1"/>
    <c:dispBlanksAs val="gap"/>
    <c:showDLblsOverMax val="0"/>
  </c:chart>
  <c:spPr>
    <a:noFill/>
    <a:ln w="9525" cap="flat" cmpd="sng" algn="ctr">
      <a:noFill/>
      <a:round/>
    </a:ln>
    <a:effectLst/>
  </c:spPr>
  <c:txPr>
    <a:bodyPr/>
    <a:lstStyle/>
    <a:p>
      <a:pPr>
        <a:defRPr sz="1400" b="1">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0" i="0" u="none" strike="noStrike" kern="1200" spc="0" baseline="0">
                <a:solidFill>
                  <a:srgbClr val="002060"/>
                </a:solidFill>
                <a:latin typeface="Arial Black" panose="020B0A04020102020204" pitchFamily="34" charset="0"/>
                <a:ea typeface="+mn-ea"/>
                <a:cs typeface="+mn-cs"/>
              </a:defRPr>
            </a:pPr>
            <a:r>
              <a:rPr lang="pt-BR" sz="2800" b="0">
                <a:solidFill>
                  <a:srgbClr val="002060"/>
                </a:solidFill>
                <a:latin typeface="Arial Black" panose="020B0A04020102020204" pitchFamily="34" charset="0"/>
                <a:ea typeface="Tahoma" panose="020B0604030504040204" pitchFamily="34" charset="0"/>
                <a:cs typeface="Tahoma" panose="020B0604030504040204" pitchFamily="34" charset="0"/>
              </a:rPr>
              <a:t>TEMPO DE EXECUÇÃO</a:t>
            </a:r>
          </a:p>
        </c:rich>
      </c:tx>
      <c:overlay val="0"/>
      <c:spPr>
        <a:noFill/>
        <a:ln>
          <a:noFill/>
        </a:ln>
        <a:effectLst/>
      </c:spPr>
      <c:txPr>
        <a:bodyPr rot="0" spcFirstLastPara="1" vertOverflow="ellipsis" vert="horz" wrap="square" anchor="ctr" anchorCtr="1"/>
        <a:lstStyle/>
        <a:p>
          <a:pPr>
            <a:defRPr sz="2800" b="0" i="0" u="none" strike="noStrike" kern="1200" spc="0" baseline="0">
              <a:solidFill>
                <a:srgbClr val="002060"/>
              </a:solidFill>
              <a:latin typeface="Arial Black" panose="020B0A04020102020204" pitchFamily="34" charset="0"/>
              <a:ea typeface="+mn-ea"/>
              <a:cs typeface="+mn-cs"/>
            </a:defRPr>
          </a:pPr>
          <a:endParaRPr lang="pt-BR"/>
        </a:p>
      </c:txPr>
    </c:title>
    <c:autoTitleDeleted val="0"/>
    <c:plotArea>
      <c:layout>
        <c:manualLayout>
          <c:layoutTarget val="inner"/>
          <c:xMode val="edge"/>
          <c:yMode val="edge"/>
          <c:x val="0.24994141007119972"/>
          <c:y val="0.14162405990524241"/>
          <c:w val="0.51182375872886243"/>
          <c:h val="0.73890179599621475"/>
        </c:manualLayout>
      </c:layout>
      <c:pieChart>
        <c:varyColors val="1"/>
        <c:ser>
          <c:idx val="0"/>
          <c:order val="0"/>
          <c:explosion val="2"/>
          <c:dPt>
            <c:idx val="0"/>
            <c:bubble3D val="0"/>
            <c:spPr>
              <a:solidFill>
                <a:schemeClr val="accent2"/>
              </a:solidFill>
              <a:ln w="19050">
                <a:solidFill>
                  <a:schemeClr val="lt1"/>
                </a:solidFill>
              </a:ln>
              <a:effectLst/>
            </c:spPr>
            <c:extLst>
              <c:ext xmlns:c16="http://schemas.microsoft.com/office/drawing/2014/chart" uri="{C3380CC4-5D6E-409C-BE32-E72D297353CC}">
                <c16:uniqueId val="{00000001-A59E-4627-9756-5A5F4E379057}"/>
              </c:ext>
            </c:extLst>
          </c:dPt>
          <c:dPt>
            <c:idx val="1"/>
            <c:bubble3D val="0"/>
            <c:explosion val="4"/>
            <c:spPr>
              <a:solidFill>
                <a:srgbClr val="0070C0"/>
              </a:solidFill>
              <a:ln w="19050">
                <a:solidFill>
                  <a:schemeClr val="lt1"/>
                </a:solidFill>
              </a:ln>
              <a:effectLst/>
            </c:spPr>
            <c:extLst>
              <c:ext xmlns:c16="http://schemas.microsoft.com/office/drawing/2014/chart" uri="{C3380CC4-5D6E-409C-BE32-E72D297353CC}">
                <c16:uniqueId val="{00000003-A59E-4627-9756-5A5F4E379057}"/>
              </c:ext>
            </c:extLst>
          </c:dPt>
          <c:dLbls>
            <c:dLbl>
              <c:idx val="0"/>
              <c:layout>
                <c:manualLayout>
                  <c:x val="-3.0687156969100505E-2"/>
                  <c:y val="0.82610658614605559"/>
                </c:manualLayout>
              </c:layout>
              <c:tx>
                <c:rich>
                  <a:bodyPr/>
                  <a:lstStyle/>
                  <a:p>
                    <a:fld id="{D7AA9998-2443-4465-96D0-949A6750C795}" type="CATEGORYNAME">
                      <a:rPr lang="en-US"/>
                      <a:pPr/>
                      <a:t>[NOME DA CATEGORIA]</a:t>
                    </a:fld>
                    <a:r>
                      <a:rPr lang="en-US" baseline="0"/>
                      <a:t> </a:t>
                    </a:r>
                    <a:fld id="{630D5960-443D-4D3D-BA05-E51B7ACD033D}" type="VALUE">
                      <a:rPr lang="en-US" baseline="0"/>
                      <a:pPr/>
                      <a:t>[VALOR]</a:t>
                    </a:fld>
                    <a:r>
                      <a:rPr lang="en-US" baseline="0"/>
                      <a:t>  </a:t>
                    </a:r>
                    <a:fld id="{58A4C82E-EE0D-44D1-8E26-7C68F06A51D3}" type="PERCENTAGE">
                      <a:rPr lang="en-US" baseline="0"/>
                      <a:pPr/>
                      <a:t>[PORCENTAGEM]</a:t>
                    </a:fld>
                    <a:endParaRPr lang="en-US" baseline="0"/>
                  </a:p>
                </c:rich>
              </c:tx>
              <c:dLblPos val="bestFit"/>
              <c:showLegendKey val="1"/>
              <c:showVal val="1"/>
              <c:showCatName val="1"/>
              <c:showSerName val="0"/>
              <c:showPercent val="1"/>
              <c:showBubbleSize val="0"/>
              <c:extLst>
                <c:ext xmlns:c15="http://schemas.microsoft.com/office/drawing/2012/chart" uri="{CE6537A1-D6FC-4f65-9D91-7224C49458BB}">
                  <c15:layout>
                    <c:manualLayout>
                      <c:w val="0.34060533195204051"/>
                      <c:h val="0.14196834281000023"/>
                    </c:manualLayout>
                  </c15:layout>
                  <c15:dlblFieldTable/>
                  <c15:showDataLabelsRange val="0"/>
                </c:ext>
                <c:ext xmlns:c16="http://schemas.microsoft.com/office/drawing/2014/chart" uri="{C3380CC4-5D6E-409C-BE32-E72D297353CC}">
                  <c16:uniqueId val="{00000001-A59E-4627-9756-5A5F4E379057}"/>
                </c:ext>
              </c:extLst>
            </c:dLbl>
            <c:dLbl>
              <c:idx val="1"/>
              <c:layout>
                <c:manualLayout>
                  <c:x val="-8.6696625476190892E-2"/>
                  <c:y val="-0.68440741849122833"/>
                </c:manualLayout>
              </c:layout>
              <c:tx>
                <c:rich>
                  <a:bodyPr/>
                  <a:lstStyle/>
                  <a:p>
                    <a:fld id="{F73E79B4-0BA4-47AD-90FB-5E1388E88467}" type="CATEGORYNAME">
                      <a:rPr lang="en-US"/>
                      <a:pPr/>
                      <a:t>[NOME DA CATEGORIA]</a:t>
                    </a:fld>
                    <a:r>
                      <a:rPr lang="en-US" baseline="0"/>
                      <a:t> </a:t>
                    </a:r>
                    <a:fld id="{0F378421-95D2-4F08-BF94-B6B48CA57815}" type="VALUE">
                      <a:rPr lang="en-US" baseline="0"/>
                      <a:pPr/>
                      <a:t>[VALOR]</a:t>
                    </a:fld>
                    <a:r>
                      <a:rPr lang="en-US" baseline="0"/>
                      <a:t>  </a:t>
                    </a:r>
                    <a:fld id="{5A033822-324F-4FC3-9BD3-2D316201C5B7}" type="PERCENTAGE">
                      <a:rPr lang="en-US" baseline="0"/>
                      <a:pPr/>
                      <a:t>[PORCENTAGEM]</a:t>
                    </a:fld>
                    <a:endParaRPr lang="en-US" baseline="0"/>
                  </a:p>
                </c:rich>
              </c:tx>
              <c:dLblPos val="bestFit"/>
              <c:showLegendKey val="1"/>
              <c:showVal val="1"/>
              <c:showCatName val="1"/>
              <c:showSerName val="0"/>
              <c:showPercent val="1"/>
              <c:showBubbleSize val="0"/>
              <c:extLst>
                <c:ext xmlns:c15="http://schemas.microsoft.com/office/drawing/2012/chart" uri="{CE6537A1-D6FC-4f65-9D91-7224C49458BB}">
                  <c15:layout>
                    <c:manualLayout>
                      <c:w val="0.28610138888888886"/>
                      <c:h val="0.16471209150326796"/>
                    </c:manualLayout>
                  </c15:layout>
                  <c15:dlblFieldTable/>
                  <c15:showDataLabelsRange val="0"/>
                </c:ext>
                <c:ext xmlns:c16="http://schemas.microsoft.com/office/drawing/2014/chart" uri="{C3380CC4-5D6E-409C-BE32-E72D297353CC}">
                  <c16:uniqueId val="{00000003-A59E-4627-9756-5A5F4E379057}"/>
                </c:ext>
              </c:extLst>
            </c:dLbl>
            <c:numFmt formatCode="0.00%" sourceLinked="0"/>
            <c:spPr>
              <a:noFill/>
              <a:ln>
                <a:noFill/>
              </a:ln>
              <a:effectLst/>
            </c:spPr>
            <c:txPr>
              <a:bodyPr rot="0" spcFirstLastPara="1" vertOverflow="clip" horzOverflow="clip" vert="horz" wrap="square" lIns="38100" tIns="19050" rIns="38100" bIns="19050" anchor="ctr" anchorCtr="1">
                <a:sp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endParaRPr lang="pt-BR"/>
              </a:p>
            </c:txPr>
            <c:dLblPos val="bestFit"/>
            <c:showLegendKey val="1"/>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'DADOS - GOPOÚVA'!$D$129:$E$129</c:f>
              <c:strCache>
                <c:ptCount val="2"/>
                <c:pt idx="0">
                  <c:v>Não Conforme</c:v>
                </c:pt>
                <c:pt idx="1">
                  <c:v>Conforme</c:v>
                </c:pt>
              </c:strCache>
            </c:strRef>
          </c:cat>
          <c:val>
            <c:numRef>
              <c:f>'DADOS - GOPOÚVA'!$D$130:$E$130</c:f>
              <c:numCache>
                <c:formatCode>General</c:formatCode>
                <c:ptCount val="2"/>
                <c:pt idx="0">
                  <c:v>3</c:v>
                </c:pt>
                <c:pt idx="1">
                  <c:v>20</c:v>
                </c:pt>
              </c:numCache>
            </c:numRef>
          </c:val>
          <c:extLst>
            <c:ext xmlns:c16="http://schemas.microsoft.com/office/drawing/2014/chart" uri="{C3380CC4-5D6E-409C-BE32-E72D297353CC}">
              <c16:uniqueId val="{00000004-A59E-4627-9756-5A5F4E379057}"/>
            </c:ext>
          </c:extLst>
        </c:ser>
        <c:dLbls>
          <c:dLblPos val="bestFit"/>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0" i="0" u="none" strike="noStrike" kern="1200" spc="0" baseline="0">
                <a:solidFill>
                  <a:srgbClr val="002060"/>
                </a:solidFill>
                <a:latin typeface="Arial Black" panose="020B0A04020102020204" pitchFamily="34" charset="0"/>
                <a:ea typeface="+mn-ea"/>
                <a:cs typeface="+mn-cs"/>
              </a:defRPr>
            </a:pPr>
            <a:r>
              <a:rPr lang="pt-BR" sz="2800" b="0">
                <a:solidFill>
                  <a:srgbClr val="002060"/>
                </a:solidFill>
                <a:latin typeface="Arial Black" panose="020B0A04020102020204" pitchFamily="34" charset="0"/>
                <a:ea typeface="Tahoma" panose="020B0604030504040204" pitchFamily="34" charset="0"/>
                <a:cs typeface="Tahoma" panose="020B0604030504040204" pitchFamily="34" charset="0"/>
              </a:rPr>
              <a:t>SEQUÊNCIA</a:t>
            </a:r>
            <a:r>
              <a:rPr lang="pt-BR" sz="2800" b="0" baseline="0">
                <a:solidFill>
                  <a:srgbClr val="002060"/>
                </a:solidFill>
                <a:latin typeface="Arial Black" panose="020B0A04020102020204" pitchFamily="34" charset="0"/>
                <a:ea typeface="Tahoma" panose="020B0604030504040204" pitchFamily="34" charset="0"/>
                <a:cs typeface="Tahoma" panose="020B0604030504040204" pitchFamily="34" charset="0"/>
              </a:rPr>
              <a:t> DE FOTOS</a:t>
            </a:r>
            <a:endParaRPr lang="pt-BR" sz="2800" b="0">
              <a:solidFill>
                <a:srgbClr val="002060"/>
              </a:solidFill>
              <a:latin typeface="Arial Black" panose="020B0A04020102020204" pitchFamily="34" charset="0"/>
              <a:ea typeface="Tahoma" panose="020B0604030504040204" pitchFamily="34" charset="0"/>
              <a:cs typeface="Tahoma" panose="020B0604030504040204" pitchFamily="34" charset="0"/>
            </a:endParaRPr>
          </a:p>
        </c:rich>
      </c:tx>
      <c:overlay val="0"/>
      <c:spPr>
        <a:noFill/>
        <a:ln>
          <a:noFill/>
        </a:ln>
        <a:effectLst/>
      </c:spPr>
      <c:txPr>
        <a:bodyPr rot="0" spcFirstLastPara="1" vertOverflow="ellipsis" vert="horz" wrap="square" anchor="ctr" anchorCtr="1"/>
        <a:lstStyle/>
        <a:p>
          <a:pPr>
            <a:defRPr sz="2800" b="0" i="0" u="none" strike="noStrike" kern="1200" spc="0" baseline="0">
              <a:solidFill>
                <a:srgbClr val="002060"/>
              </a:solidFill>
              <a:latin typeface="Arial Black" panose="020B0A04020102020204" pitchFamily="34" charset="0"/>
              <a:ea typeface="+mn-ea"/>
              <a:cs typeface="+mn-cs"/>
            </a:defRPr>
          </a:pPr>
          <a:endParaRPr lang="pt-BR"/>
        </a:p>
      </c:txPr>
    </c:title>
    <c:autoTitleDeleted val="0"/>
    <c:plotArea>
      <c:layout>
        <c:manualLayout>
          <c:layoutTarget val="inner"/>
          <c:xMode val="edge"/>
          <c:yMode val="edge"/>
          <c:x val="0.24408817824611825"/>
          <c:y val="0.16063679178197537"/>
          <c:w val="0.52645683829156609"/>
          <c:h val="0.76002705363702916"/>
        </c:manualLayout>
      </c:layout>
      <c:pieChart>
        <c:varyColors val="1"/>
        <c:ser>
          <c:idx val="0"/>
          <c:order val="0"/>
          <c:spPr>
            <a:solidFill>
              <a:srgbClr val="0070C0"/>
            </a:solidFill>
          </c:spPr>
          <c:dPt>
            <c:idx val="0"/>
            <c:bubble3D val="0"/>
            <c:spPr>
              <a:solidFill>
                <a:schemeClr val="accent2"/>
              </a:solidFill>
              <a:ln w="19050">
                <a:solidFill>
                  <a:schemeClr val="lt1"/>
                </a:solidFill>
              </a:ln>
              <a:effectLst/>
            </c:spPr>
            <c:extLst>
              <c:ext xmlns:c16="http://schemas.microsoft.com/office/drawing/2014/chart" uri="{C3380CC4-5D6E-409C-BE32-E72D297353CC}">
                <c16:uniqueId val="{00000001-7A44-4090-AA9C-FAF488BBF139}"/>
              </c:ext>
            </c:extLst>
          </c:dPt>
          <c:dPt>
            <c:idx val="1"/>
            <c:bubble3D val="0"/>
            <c:explosion val="3"/>
            <c:spPr>
              <a:solidFill>
                <a:srgbClr val="0070C0"/>
              </a:solidFill>
              <a:ln w="19050">
                <a:solidFill>
                  <a:schemeClr val="lt1"/>
                </a:solidFill>
              </a:ln>
              <a:effectLst/>
            </c:spPr>
            <c:extLst>
              <c:ext xmlns:c16="http://schemas.microsoft.com/office/drawing/2014/chart" uri="{C3380CC4-5D6E-409C-BE32-E72D297353CC}">
                <c16:uniqueId val="{00000003-7A44-4090-AA9C-FAF488BBF139}"/>
              </c:ext>
            </c:extLst>
          </c:dPt>
          <c:dLbls>
            <c:dLbl>
              <c:idx val="0"/>
              <c:layout>
                <c:manualLayout>
                  <c:x val="-2.6286831199105364E-2"/>
                  <c:y val="0.71496712149275699"/>
                </c:manualLayout>
              </c:layout>
              <c:tx>
                <c:rich>
                  <a:bodyPr/>
                  <a:lstStyle/>
                  <a:p>
                    <a:fld id="{CAEC8876-5378-4A20-BE5A-C02B522B8D22}" type="CATEGORYNAME">
                      <a:rPr lang="en-US"/>
                      <a:pPr/>
                      <a:t>[NOME DA CATEGORIA]</a:t>
                    </a:fld>
                    <a:r>
                      <a:rPr lang="en-US" baseline="0"/>
                      <a:t> </a:t>
                    </a:r>
                    <a:fld id="{B467554B-D943-4E85-A02D-AC3F1CE50BC7}" type="VALUE">
                      <a:rPr lang="en-US" baseline="0"/>
                      <a:pPr/>
                      <a:t>[VALOR]</a:t>
                    </a:fld>
                    <a:r>
                      <a:rPr lang="en-US" baseline="0"/>
                      <a:t>  </a:t>
                    </a:r>
                    <a:fld id="{747E5295-F595-4F8E-A432-A36E3B52AA5F}" type="PERCENTAGE">
                      <a:rPr lang="en-US" baseline="0"/>
                      <a:pPr/>
                      <a:t>[PORCENTAGEM]</a:t>
                    </a:fld>
                    <a:endParaRPr lang="en-US" baseline="0"/>
                  </a:p>
                </c:rich>
              </c:tx>
              <c:showLegendKey val="1"/>
              <c:showVal val="1"/>
              <c:showCatName val="1"/>
              <c:showSerName val="0"/>
              <c:showPercent val="1"/>
              <c:showBubbleSize val="0"/>
              <c:extLst>
                <c:ext xmlns:c15="http://schemas.microsoft.com/office/drawing/2012/chart" uri="{CE6537A1-D6FC-4f65-9D91-7224C49458BB}">
                  <c15:layout>
                    <c:manualLayout>
                      <c:w val="0.25330124330200093"/>
                      <c:h val="0.15776765854881628"/>
                    </c:manualLayout>
                  </c15:layout>
                  <c15:dlblFieldTable/>
                  <c15:showDataLabelsRange val="0"/>
                </c:ext>
                <c:ext xmlns:c16="http://schemas.microsoft.com/office/drawing/2014/chart" uri="{C3380CC4-5D6E-409C-BE32-E72D297353CC}">
                  <c16:uniqueId val="{00000001-7A44-4090-AA9C-FAF488BBF139}"/>
                </c:ext>
              </c:extLst>
            </c:dLbl>
            <c:dLbl>
              <c:idx val="1"/>
              <c:layout>
                <c:manualLayout>
                  <c:x val="-2.2849479751589064E-2"/>
                  <c:y val="-0.69124558182421125"/>
                </c:manualLayout>
              </c:layout>
              <c:tx>
                <c:rich>
                  <a:bodyPr/>
                  <a:lstStyle/>
                  <a:p>
                    <a:fld id="{F7EE4FE2-536A-4141-B094-1A947EE4F26B}" type="CATEGORYNAME">
                      <a:rPr lang="en-US"/>
                      <a:pPr/>
                      <a:t>[NOME DA CATEGORIA]</a:t>
                    </a:fld>
                    <a:r>
                      <a:rPr lang="en-US" baseline="0"/>
                      <a:t> </a:t>
                    </a:r>
                    <a:fld id="{32C1CE29-2E08-42AC-B888-DD09F5703C29}" type="VALUE">
                      <a:rPr lang="en-US" baseline="0"/>
                      <a:pPr/>
                      <a:t>[VALOR]</a:t>
                    </a:fld>
                    <a:r>
                      <a:rPr lang="en-US" baseline="0"/>
                      <a:t>  </a:t>
                    </a:r>
                    <a:fld id="{F5150581-3665-4D8E-B5A7-ED518478A343}" type="PERCENTAGE">
                      <a:rPr lang="en-US" baseline="0"/>
                      <a:pPr/>
                      <a:t>[PORCENTAGEM]</a:t>
                    </a:fld>
                    <a:endParaRPr lang="en-US" baseline="0"/>
                  </a:p>
                </c:rich>
              </c:tx>
              <c:showLegendKey val="1"/>
              <c:showVal val="1"/>
              <c:showCatName val="1"/>
              <c:showSerName val="0"/>
              <c:showPercent val="1"/>
              <c:showBubbleSize val="0"/>
              <c:extLst>
                <c:ext xmlns:c15="http://schemas.microsoft.com/office/drawing/2012/chart" uri="{CE6537A1-D6FC-4f65-9D91-7224C49458BB}">
                  <c15:layout>
                    <c:manualLayout>
                      <c:w val="0.41846261574074067"/>
                      <c:h val="0.14371519607843136"/>
                    </c:manualLayout>
                  </c15:layout>
                  <c15:dlblFieldTable/>
                  <c15:showDataLabelsRange val="0"/>
                </c:ext>
                <c:ext xmlns:c16="http://schemas.microsoft.com/office/drawing/2014/chart" uri="{C3380CC4-5D6E-409C-BE32-E72D297353CC}">
                  <c16:uniqueId val="{00000003-7A44-4090-AA9C-FAF488BBF139}"/>
                </c:ext>
              </c:extLst>
            </c:dLbl>
            <c:numFmt formatCode="0.00%" sourceLinked="0"/>
            <c:spPr>
              <a:noFill/>
              <a:ln>
                <a:noFill/>
              </a:ln>
              <a:effectLst/>
            </c:spPr>
            <c:txPr>
              <a:bodyPr rot="0" spcFirstLastPara="1" vertOverflow="clip" horzOverflow="clip" vert="horz" wrap="square" lIns="38100" tIns="19050" rIns="38100" bIns="19050" anchor="ctr" anchorCtr="1">
                <a:sp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endParaRPr lang="pt-BR"/>
              </a:p>
            </c:txPr>
            <c:showLegendKey val="1"/>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'DADOS - GOPOÚVA'!$D$133:$E$133</c:f>
              <c:strCache>
                <c:ptCount val="2"/>
                <c:pt idx="0">
                  <c:v>Fotos NC</c:v>
                </c:pt>
                <c:pt idx="1">
                  <c:v>Fotos Conforme</c:v>
                </c:pt>
              </c:strCache>
            </c:strRef>
          </c:cat>
          <c:val>
            <c:numRef>
              <c:f>'DADOS - GOPOÚVA'!$D$134:$E$134</c:f>
              <c:numCache>
                <c:formatCode>General</c:formatCode>
                <c:ptCount val="2"/>
                <c:pt idx="0">
                  <c:v>6</c:v>
                </c:pt>
                <c:pt idx="1">
                  <c:v>17</c:v>
                </c:pt>
              </c:numCache>
            </c:numRef>
          </c:val>
          <c:extLst>
            <c:ext xmlns:c16="http://schemas.microsoft.com/office/drawing/2014/chart" uri="{C3380CC4-5D6E-409C-BE32-E72D297353CC}">
              <c16:uniqueId val="{00000004-7A44-4090-AA9C-FAF488BBF139}"/>
            </c:ext>
          </c:extLst>
        </c:ser>
        <c:dLbls>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0" i="0" u="none" strike="noStrike" kern="1200" spc="0" baseline="0">
                <a:solidFill>
                  <a:srgbClr val="002060"/>
                </a:solidFill>
                <a:latin typeface="Arial Black" panose="020B0A04020102020204" pitchFamily="34" charset="0"/>
                <a:ea typeface="+mn-ea"/>
                <a:cs typeface="+mn-cs"/>
              </a:defRPr>
            </a:pPr>
            <a:r>
              <a:rPr lang="pt-BR" sz="2800" b="0">
                <a:solidFill>
                  <a:srgbClr val="002060"/>
                </a:solidFill>
                <a:latin typeface="Arial Black" panose="020B0A04020102020204" pitchFamily="34" charset="0"/>
                <a:ea typeface="Tahoma" panose="020B0604030504040204" pitchFamily="34" charset="0"/>
                <a:cs typeface="Tahoma" panose="020B0604030504040204" pitchFamily="34" charset="0"/>
              </a:rPr>
              <a:t>BAIXA DE MATERIAIS</a:t>
            </a:r>
          </a:p>
        </c:rich>
      </c:tx>
      <c:overlay val="0"/>
      <c:spPr>
        <a:noFill/>
        <a:ln>
          <a:noFill/>
        </a:ln>
        <a:effectLst/>
      </c:spPr>
      <c:txPr>
        <a:bodyPr rot="0" spcFirstLastPara="1" vertOverflow="ellipsis" vert="horz" wrap="square" anchor="ctr" anchorCtr="1"/>
        <a:lstStyle/>
        <a:p>
          <a:pPr>
            <a:defRPr sz="2800" b="0" i="0" u="none" strike="noStrike" kern="1200" spc="0" baseline="0">
              <a:solidFill>
                <a:srgbClr val="002060"/>
              </a:solidFill>
              <a:latin typeface="Arial Black" panose="020B0A04020102020204" pitchFamily="34" charset="0"/>
              <a:ea typeface="+mn-ea"/>
              <a:cs typeface="+mn-cs"/>
            </a:defRPr>
          </a:pPr>
          <a:endParaRPr lang="pt-BR"/>
        </a:p>
      </c:txPr>
    </c:title>
    <c:autoTitleDeleted val="0"/>
    <c:plotArea>
      <c:layout>
        <c:manualLayout>
          <c:layoutTarget val="inner"/>
          <c:xMode val="edge"/>
          <c:yMode val="edge"/>
          <c:x val="0.24586807523371615"/>
          <c:y val="0.13949522561280739"/>
          <c:w val="0.5111862073821376"/>
          <c:h val="0.73893065102195687"/>
        </c:manualLayout>
      </c:layout>
      <c:pieChart>
        <c:varyColors val="1"/>
        <c:ser>
          <c:idx val="0"/>
          <c:order val="0"/>
          <c:explosion val="5"/>
          <c:dPt>
            <c:idx val="0"/>
            <c:bubble3D val="0"/>
            <c:spPr>
              <a:solidFill>
                <a:schemeClr val="accent2"/>
              </a:solidFill>
              <a:ln w="19050">
                <a:solidFill>
                  <a:schemeClr val="lt1"/>
                </a:solidFill>
              </a:ln>
              <a:effectLst/>
            </c:spPr>
            <c:extLst>
              <c:ext xmlns:c16="http://schemas.microsoft.com/office/drawing/2014/chart" uri="{C3380CC4-5D6E-409C-BE32-E72D297353CC}">
                <c16:uniqueId val="{00000001-67F8-42F9-8A0B-75617D2C6C54}"/>
              </c:ext>
            </c:extLst>
          </c:dPt>
          <c:dPt>
            <c:idx val="1"/>
            <c:bubble3D val="0"/>
            <c:spPr>
              <a:solidFill>
                <a:srgbClr val="0070C0"/>
              </a:solidFill>
              <a:ln w="19050">
                <a:solidFill>
                  <a:schemeClr val="lt1"/>
                </a:solidFill>
              </a:ln>
              <a:effectLst/>
            </c:spPr>
            <c:extLst>
              <c:ext xmlns:c16="http://schemas.microsoft.com/office/drawing/2014/chart" uri="{C3380CC4-5D6E-409C-BE32-E72D297353CC}">
                <c16:uniqueId val="{00000003-67F8-42F9-8A0B-75617D2C6C54}"/>
              </c:ext>
            </c:extLst>
          </c:dPt>
          <c:dLbls>
            <c:dLbl>
              <c:idx val="0"/>
              <c:layout>
                <c:manualLayout>
                  <c:x val="0.26621196943012704"/>
                  <c:y val="0.85302312169017802"/>
                </c:manualLayout>
              </c:layout>
              <c:tx>
                <c:rich>
                  <a:bodyPr rot="0" spcFirstLastPara="1" vertOverflow="ellipsis" vert="horz" wrap="square" lIns="38100" tIns="19050" rIns="38100" bIns="19050" anchor="ctr" anchorCtr="1">
                    <a:no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fld id="{168CD30E-EA64-49F3-80BB-0B4A413F001C}" type="CATEGORYNAME">
                      <a:rPr lang="en-US" sz="2800"/>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[NOME DA CATEGORIA]</a:t>
                    </a:fld>
                    <a:r>
                      <a:rPr lang="en-US" sz="2800" baseline="0"/>
                      <a:t> </a:t>
                    </a:r>
                    <a:fld id="{DE199BC1-D116-45F0-BA09-231C76E2E010}" type="VALUE">
                      <a:rPr lang="en-US" sz="2800" baseline="0"/>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[VALOR]</a:t>
                    </a:fld>
                    <a:r>
                      <a:rPr lang="en-US" sz="2800" baseline="0"/>
                      <a:t> </a:t>
                    </a:r>
                    <a:fld id="{34D9668E-8E06-4A93-A358-CED6173C4C0C}" type="PERCENTAGE">
                      <a:rPr lang="en-US" sz="2800" baseline="0"/>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[PORCENTAGEM]</a:t>
                    </a:fld>
                    <a:endParaRPr lang="en-US" sz="2800" baseline="0"/>
                  </a:p>
                </c:rich>
              </c:tx>
              <c:numFmt formatCode="0.00%" sourceLinked="0"/>
              <c:spPr>
                <a:noFill/>
                <a:ln>
                  <a:noFill/>
                </a:ln>
                <a:effectLst/>
              </c:spPr>
              <c:txPr>
                <a:bodyPr rot="0" spcFirstLastPara="1" vertOverflow="ellipsis" vert="horz" wrap="square" lIns="38100" tIns="19050" rIns="38100" bIns="19050" anchor="ctr" anchorCtr="1">
                  <a:no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endParaRPr lang="en-US"/>
                </a:p>
              </c:txPr>
              <c:showLegendKey val="1"/>
              <c:showVal val="1"/>
              <c:showCatName val="1"/>
              <c:showSerName val="0"/>
              <c:showPercent val="1"/>
              <c:showBubbleSize val="0"/>
              <c:separator>
</c:separator>
              <c:extLst>
                <c:ext xmlns:c15="http://schemas.microsoft.com/office/drawing/2012/chart" uri="{CE6537A1-D6FC-4f65-9D91-7224C49458BB}">
                  <c15:layout>
                    <c:manualLayout>
                      <c:w val="0.37297631809832404"/>
                      <c:h val="0.14634020192505501"/>
                    </c:manualLayout>
                  </c15:layout>
                  <c15:dlblFieldTable/>
                  <c15:showDataLabelsRange val="0"/>
                </c:ext>
                <c:ext xmlns:c16="http://schemas.microsoft.com/office/drawing/2014/chart" uri="{C3380CC4-5D6E-409C-BE32-E72D297353CC}">
                  <c16:uniqueId val="{00000001-67F8-42F9-8A0B-75617D2C6C54}"/>
                </c:ext>
              </c:extLst>
            </c:dLbl>
            <c:dLbl>
              <c:idx val="1"/>
              <c:layout>
                <c:manualLayout>
                  <c:x val="-0.35556381380168361"/>
                  <c:y val="-0.72990760963087842"/>
                </c:manualLayout>
              </c:layout>
              <c:tx>
                <c:rich>
                  <a:bodyPr rot="0" spcFirstLastPara="1" vertOverflow="ellipsis" vert="horz" wrap="square" lIns="38100" tIns="19050" rIns="38100" bIns="19050" anchor="ctr" anchorCtr="1">
                    <a:no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fld id="{FD32FEAD-2A31-4691-95EE-F244B64EDA5E}" type="CATEGORYNAME">
                      <a:rPr lang="en-US" sz="2800">
                        <a:latin typeface="Arial" panose="020B060402020202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[NOME DA CATEGORIA]</a:t>
                    </a:fld>
                    <a:r>
                      <a:rPr lang="en-US" sz="2800" baseline="0">
                        <a:latin typeface="Arial" panose="020B0604020202020204" pitchFamily="34" charset="0"/>
                        <a:cs typeface="Arial" panose="020B0604020202020204" pitchFamily="34" charset="0"/>
                      </a:rPr>
                      <a:t> </a:t>
                    </a:r>
                    <a:fld id="{5EA723BA-2510-4823-87B9-CD97722B93A7}" type="VALUE">
                      <a:rPr lang="en-US" sz="2800" baseline="0">
                        <a:latin typeface="Arial" panose="020B060402020202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[VALOR]</a:t>
                    </a:fld>
                    <a:r>
                      <a:rPr lang="en-US" sz="2800" baseline="0">
                        <a:latin typeface="Arial" panose="020B0604020202020204" pitchFamily="34" charset="0"/>
                        <a:cs typeface="Arial" panose="020B0604020202020204" pitchFamily="34" charset="0"/>
                      </a:rPr>
                      <a:t> </a:t>
                    </a:r>
                    <a:fld id="{C6A87B76-4917-4FF4-8AF9-B471BE291FE2}" type="PERCENTAGE">
                      <a:rPr lang="en-US" sz="2800" baseline="0">
                        <a:latin typeface="Arial" panose="020B060402020202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[PORCENTAGEM]</a:t>
                    </a:fld>
                    <a:endParaRPr lang="en-US" sz="2800" baseline="0">
                      <a:latin typeface="Arial" panose="020B0604020202020204" pitchFamily="34" charset="0"/>
                      <a:cs typeface="Arial" panose="020B0604020202020204" pitchFamily="34" charset="0"/>
                    </a:endParaRPr>
                  </a:p>
                </c:rich>
              </c:tx>
              <c:numFmt formatCode="0.00%" sourceLinked="0"/>
              <c:spPr>
                <a:noFill/>
                <a:ln>
                  <a:noFill/>
                </a:ln>
                <a:effectLst/>
              </c:spPr>
              <c:txPr>
                <a:bodyPr rot="0" spcFirstLastPara="1" vertOverflow="ellipsis" vert="horz" wrap="square" lIns="38100" tIns="19050" rIns="38100" bIns="19050" anchor="ctr" anchorCtr="1">
                  <a:no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endParaRPr lang="en-US"/>
                </a:p>
              </c:txPr>
              <c:showLegendKey val="1"/>
              <c:showVal val="1"/>
              <c:showCatName val="1"/>
              <c:showSerName val="0"/>
              <c:showPercent val="1"/>
              <c:showBubbleSize val="0"/>
              <c:separator>
</c:separator>
              <c:extLst>
                <c:ext xmlns:c15="http://schemas.microsoft.com/office/drawing/2012/chart" uri="{CE6537A1-D6FC-4f65-9D91-7224C49458BB}">
                  <c15:layout>
                    <c:manualLayout>
                      <c:w val="0.29179595290080917"/>
                      <c:h val="0.15593404515499107"/>
                    </c:manualLayout>
                  </c15:layout>
                  <c15:dlblFieldTable/>
                  <c15:showDataLabelsRange val="0"/>
                </c:ext>
                <c:ext xmlns:c16="http://schemas.microsoft.com/office/drawing/2014/chart" uri="{C3380CC4-5D6E-409C-BE32-E72D297353CC}">
                  <c16:uniqueId val="{00000003-67F8-42F9-8A0B-75617D2C6C54}"/>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endParaRPr lang="pt-BR"/>
              </a:p>
            </c:txPr>
            <c:showLegendKey val="1"/>
            <c:showVal val="1"/>
            <c:showCatName val="1"/>
            <c:showSerName val="0"/>
            <c:showPercent val="1"/>
            <c:showBubbleSize val="0"/>
            <c:separator>
</c:separator>
            <c:showLeaderLines val="0"/>
            <c:extLst>
              <c:ext xmlns:c15="http://schemas.microsoft.com/office/drawing/2012/chart" uri="{CE6537A1-D6FC-4f65-9D91-7224C49458BB}"/>
            </c:extLst>
          </c:dLbls>
          <c:cat>
            <c:strRef>
              <c:f>'DADOS - GOPOÚVA'!$D$137:$E$137</c:f>
              <c:strCache>
                <c:ptCount val="2"/>
                <c:pt idx="0">
                  <c:v>Não Conforme</c:v>
                </c:pt>
                <c:pt idx="1">
                  <c:v>Conforme</c:v>
                </c:pt>
              </c:strCache>
            </c:strRef>
          </c:cat>
          <c:val>
            <c:numRef>
              <c:f>'DADOS - GOPOÚVA'!$D$138:$E$138</c:f>
              <c:numCache>
                <c:formatCode>General</c:formatCode>
                <c:ptCount val="2"/>
                <c:pt idx="0">
                  <c:v>0</c:v>
                </c:pt>
                <c:pt idx="1">
                  <c:v>289</c:v>
                </c:pt>
              </c:numCache>
            </c:numRef>
          </c:val>
          <c:extLst>
            <c:ext xmlns:c16="http://schemas.microsoft.com/office/drawing/2014/chart" uri="{C3380CC4-5D6E-409C-BE32-E72D297353CC}">
              <c16:uniqueId val="{00000004-67F8-42F9-8A0B-75617D2C6C54}"/>
            </c:ext>
          </c:extLst>
        </c:ser>
        <c:dLbls>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r>
              <a:rPr lang="pt-BR" sz="1600"/>
              <a:t>CONFORMIDADE - TEMPO DE EXECUÇÃO (%)</a:t>
            </a:r>
          </a:p>
        </c:rich>
      </c:tx>
      <c:overlay val="0"/>
      <c:spPr>
        <a:noFill/>
        <a:ln>
          <a:noFill/>
        </a:ln>
        <a:effectLst/>
      </c:spPr>
    </c:title>
    <c:autoTitleDeleted val="0"/>
    <c:plotArea>
      <c:layout>
        <c:manualLayout>
          <c:layoutTarget val="inner"/>
          <c:xMode val="edge"/>
          <c:yMode val="edge"/>
          <c:x val="0.50358333333333327"/>
          <c:y val="4.0969004490307152E-2"/>
          <c:w val="0.39382913567373784"/>
          <c:h val="0.92818631354236081"/>
        </c:manualLayout>
      </c:layout>
      <c:barChart>
        <c:barDir val="bar"/>
        <c:grouping val="clustered"/>
        <c:varyColors val="0"/>
        <c:ser>
          <c:idx val="0"/>
          <c:order val="0"/>
          <c:tx>
            <c:strRef>
              <c:f>'DADOS - GOPOÚVA'!$B$153:$B$156</c:f>
              <c:strCache>
                <c:ptCount val="4"/>
                <c:pt idx="0">
                  <c:v>ANDRE PEREIRA DE FREITAS</c:v>
                </c:pt>
                <c:pt idx="1">
                  <c:v>CICERO BELO DE SANTANA</c:v>
                </c:pt>
                <c:pt idx="2">
                  <c:v>GILVAN FERREIRA DOS SANTOS</c:v>
                </c:pt>
                <c:pt idx="3">
                  <c:v>JOAO RIBEIRO PEREIRA</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4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'DADOS - GOPOÚVA'!$B$153:$B$156</c:f>
              <c:strCache>
                <c:ptCount val="4"/>
                <c:pt idx="0">
                  <c:v>ANDRE PEREIRA DE FREITAS</c:v>
                </c:pt>
                <c:pt idx="1">
                  <c:v>CICERO BELO DE SANTANA</c:v>
                </c:pt>
                <c:pt idx="2">
                  <c:v>GILVAN FERREIRA DOS SANTOS</c:v>
                </c:pt>
                <c:pt idx="3">
                  <c:v>JOAO RIBEIRO PEREIRA</c:v>
                </c:pt>
              </c:strCache>
            </c:strRef>
          </c:cat>
          <c:val>
            <c:numRef>
              <c:f>'DADOS - GOPOÚVA'!$F$153:$F$156</c:f>
              <c:numCache>
                <c:formatCode>0.00%</c:formatCode>
                <c:ptCount val="4"/>
                <c:pt idx="0">
                  <c:v>0.5714285714285714</c:v>
                </c:pt>
                <c:pt idx="1">
                  <c:v>1</c:v>
                </c:pt>
                <c:pt idx="2">
                  <c:v>1</c:v>
                </c:pt>
                <c:pt idx="3">
                  <c:v>1</c:v>
                </c:pt>
              </c:numCache>
            </c:numRef>
          </c:val>
          <c:extLst>
            <c:ext xmlns:c16="http://schemas.microsoft.com/office/drawing/2014/chart" uri="{C3380CC4-5D6E-409C-BE32-E72D297353CC}">
              <c16:uniqueId val="{00000000-6569-44AB-93B3-B67B51C063D5}"/>
            </c:ext>
          </c:extLst>
        </c:ser>
        <c:dLbls>
          <c:showLegendKey val="0"/>
          <c:showVal val="1"/>
          <c:showCatName val="0"/>
          <c:showSerName val="0"/>
          <c:showPercent val="0"/>
          <c:showBubbleSize val="0"/>
        </c:dLbls>
        <c:gapWidth val="39"/>
        <c:axId val="150761096"/>
        <c:axId val="150754824"/>
      </c:barChart>
      <c:catAx>
        <c:axId val="15076109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crossAx val="150754824"/>
        <c:crosses val="autoZero"/>
        <c:auto val="1"/>
        <c:lblAlgn val="ctr"/>
        <c:lblOffset val="100"/>
        <c:noMultiLvlLbl val="0"/>
      </c:catAx>
      <c:valAx>
        <c:axId val="150754824"/>
        <c:scaling>
          <c:orientation val="minMax"/>
          <c:max val="1"/>
        </c:scaling>
        <c:delete val="1"/>
        <c:axPos val="t"/>
        <c:numFmt formatCode="0.00%" sourceLinked="1"/>
        <c:majorTickMark val="out"/>
        <c:minorTickMark val="none"/>
        <c:tickLblPos val="nextTo"/>
        <c:crossAx val="150761096"/>
        <c:crosses val="autoZero"/>
        <c:crossBetween val="between"/>
      </c:valAx>
    </c:plotArea>
    <c:plotVisOnly val="1"/>
    <c:dispBlanksAs val="gap"/>
    <c:showDLblsOverMax val="0"/>
  </c:chart>
  <c:spPr>
    <a:solidFill>
      <a:schemeClr val="bg1"/>
    </a:solidFill>
    <a:ln w="9525" cap="flat" cmpd="sng" algn="ctr">
      <a:noFill/>
      <a:round/>
    </a:ln>
    <a:effectLst/>
  </c:spPr>
  <c:txPr>
    <a:bodyPr/>
    <a:lstStyle/>
    <a:p>
      <a:pPr>
        <a:defRPr sz="1400" b="1">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orientation="portrait"/>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r>
              <a:rPr lang="pt-BR" sz="1600"/>
              <a:t>CONFORMIDADE - SEQUÊNCIA DE FOTOS (%)</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title>
    <c:autoTitleDeleted val="0"/>
    <c:plotArea>
      <c:layout>
        <c:manualLayout>
          <c:layoutTarget val="inner"/>
          <c:xMode val="edge"/>
          <c:yMode val="edge"/>
          <c:x val="0.50358333333333327"/>
          <c:y val="4.2302217003050424E-2"/>
          <c:w val="0.39815672060701301"/>
          <c:h val="0.92685301921188457"/>
        </c:manualLayout>
      </c:layout>
      <c:barChart>
        <c:barDir val="bar"/>
        <c:grouping val="clustered"/>
        <c:varyColors val="0"/>
        <c:ser>
          <c:idx val="0"/>
          <c:order val="0"/>
          <c:tx>
            <c:strRef>
              <c:f>'DADOS - GOPOÚVA'!$B$160:$B$163</c:f>
              <c:strCache>
                <c:ptCount val="4"/>
                <c:pt idx="0">
                  <c:v>ANDRE PEREIRA DE FREITAS</c:v>
                </c:pt>
                <c:pt idx="1">
                  <c:v>CICERO BELO DE SANTANA</c:v>
                </c:pt>
                <c:pt idx="2">
                  <c:v>GILVAN FERREIRA DOS SANTOS</c:v>
                </c:pt>
                <c:pt idx="3">
                  <c:v>JOAO RIBEIRO PEREIRA</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4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'DADOS - GOPOÚVA'!$B$160:$B$163</c:f>
              <c:strCache>
                <c:ptCount val="4"/>
                <c:pt idx="0">
                  <c:v>ANDRE PEREIRA DE FREITAS</c:v>
                </c:pt>
                <c:pt idx="1">
                  <c:v>CICERO BELO DE SANTANA</c:v>
                </c:pt>
                <c:pt idx="2">
                  <c:v>GILVAN FERREIRA DOS SANTOS</c:v>
                </c:pt>
                <c:pt idx="3">
                  <c:v>JOAO RIBEIRO PEREIRA</c:v>
                </c:pt>
              </c:strCache>
            </c:strRef>
          </c:cat>
          <c:val>
            <c:numRef>
              <c:f>'DADOS - GOPOÚVA'!$F$160:$F$163</c:f>
              <c:numCache>
                <c:formatCode>0.00%</c:formatCode>
                <c:ptCount val="4"/>
                <c:pt idx="0">
                  <c:v>0.2857142857142857</c:v>
                </c:pt>
                <c:pt idx="1">
                  <c:v>1</c:v>
                </c:pt>
                <c:pt idx="2">
                  <c:v>0.91666666666666663</c:v>
                </c:pt>
                <c:pt idx="3">
                  <c:v>1</c:v>
                </c:pt>
              </c:numCache>
            </c:numRef>
          </c:val>
          <c:extLst>
            <c:ext xmlns:c16="http://schemas.microsoft.com/office/drawing/2014/chart" uri="{C3380CC4-5D6E-409C-BE32-E72D297353CC}">
              <c16:uniqueId val="{00000000-4370-4EA7-952C-EE6980CDD0DB}"/>
            </c:ext>
          </c:extLst>
        </c:ser>
        <c:dLbls>
          <c:dLblPos val="outEnd"/>
          <c:showLegendKey val="0"/>
          <c:showVal val="1"/>
          <c:showCatName val="0"/>
          <c:showSerName val="0"/>
          <c:showPercent val="0"/>
          <c:showBubbleSize val="0"/>
        </c:dLbls>
        <c:gapWidth val="39"/>
        <c:axId val="150298592"/>
        <c:axId val="150299768"/>
      </c:barChart>
      <c:catAx>
        <c:axId val="15029859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crossAx val="150299768"/>
        <c:crosses val="autoZero"/>
        <c:auto val="1"/>
        <c:lblAlgn val="ctr"/>
        <c:lblOffset val="100"/>
        <c:noMultiLvlLbl val="0"/>
      </c:catAx>
      <c:valAx>
        <c:axId val="150299768"/>
        <c:scaling>
          <c:orientation val="minMax"/>
          <c:max val="1"/>
        </c:scaling>
        <c:delete val="1"/>
        <c:axPos val="t"/>
        <c:numFmt formatCode="0.00%" sourceLinked="1"/>
        <c:majorTickMark val="out"/>
        <c:minorTickMark val="none"/>
        <c:tickLblPos val="nextTo"/>
        <c:crossAx val="150298592"/>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400" b="1">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r>
              <a:rPr lang="pt-BR" sz="1600"/>
              <a:t>CONFORMIDADE - TEMPO DE EXECUÇÃO (%)</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title>
    <c:autoTitleDeleted val="0"/>
    <c:plotArea>
      <c:layout>
        <c:manualLayout>
          <c:layoutTarget val="inner"/>
          <c:xMode val="edge"/>
          <c:yMode val="edge"/>
          <c:x val="0.50358333333333327"/>
          <c:y val="5.8590444444444445E-2"/>
          <c:w val="0.38727615833976453"/>
          <c:h val="0.91056488888888876"/>
        </c:manualLayout>
      </c:layout>
      <c:barChart>
        <c:barDir val="bar"/>
        <c:grouping val="clustered"/>
        <c:varyColors val="0"/>
        <c:ser>
          <c:idx val="0"/>
          <c:order val="0"/>
          <c:tx>
            <c:strRef>
              <c:f>'DADOS - GOPOÚVA'!$F$151:$F$152</c:f>
              <c:strCache>
                <c:ptCount val="2"/>
                <c:pt idx="0">
                  <c:v>EQUIPES - CONFORMIDADE - TEMPO DE EXECUÇÃO</c:v>
                </c:pt>
                <c:pt idx="1">
                  <c:v>CONFORME (%)</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4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'DADOS - GOPOÚVA'!$B$189:$B$226</c:f>
              <c:strCache>
                <c:ptCount val="38"/>
                <c:pt idx="0">
                  <c:v>ADEMAR JOSE VIANA</c:v>
                </c:pt>
                <c:pt idx="1">
                  <c:v>ADIMILSON SOUZA OLIVEIRA</c:v>
                </c:pt>
                <c:pt idx="2">
                  <c:v>ALISSON ARAUJO DA SILVA</c:v>
                </c:pt>
                <c:pt idx="3">
                  <c:v>ANA CAROLINA FERREIRA SILVA</c:v>
                </c:pt>
                <c:pt idx="4">
                  <c:v>ANDRE DE OLIVEIRA ASSONI</c:v>
                </c:pt>
                <c:pt idx="5">
                  <c:v>CAMILA DE PAULA OLIVEIRA</c:v>
                </c:pt>
                <c:pt idx="6">
                  <c:v>CARLOS HENRIQUE DO AMARAL</c:v>
                </c:pt>
                <c:pt idx="7">
                  <c:v>CICERO XAVIER DA SILVA</c:v>
                </c:pt>
                <c:pt idx="8">
                  <c:v>CLAUDIO JOSE SILVA SANTOS</c:v>
                </c:pt>
                <c:pt idx="9">
                  <c:v>CLAUDIO MELO BARBOSA DA SILVA</c:v>
                </c:pt>
                <c:pt idx="10">
                  <c:v>CLEILTON FERREIRA DA SILVA</c:v>
                </c:pt>
                <c:pt idx="11">
                  <c:v>DANILO DE ANDRADE SANTANA</c:v>
                </c:pt>
                <c:pt idx="12">
                  <c:v>DIOGO GERMANO SOUZA</c:v>
                </c:pt>
                <c:pt idx="13">
                  <c:v>EDILSON DA SILVA DE ALMEIDA</c:v>
                </c:pt>
                <c:pt idx="14">
                  <c:v>EDSON EVANGELISTA CABRAL SOARES</c:v>
                </c:pt>
                <c:pt idx="15">
                  <c:v>EMERSON JAMES COSTA DIAS</c:v>
                </c:pt>
                <c:pt idx="16">
                  <c:v>FABIANO CALIXTO DE OLIVEIRA</c:v>
                </c:pt>
                <c:pt idx="17">
                  <c:v>FABIO SANTOS</c:v>
                </c:pt>
                <c:pt idx="18">
                  <c:v>FRANCISCO MELO DA SILVA</c:v>
                </c:pt>
                <c:pt idx="19">
                  <c:v>GILBERTO JOSE DA SILVA</c:v>
                </c:pt>
                <c:pt idx="20">
                  <c:v>GIVALDO COSTA DOS SANTOS</c:v>
                </c:pt>
                <c:pt idx="21">
                  <c:v>HENRIQUE ANDRADE PEREIRA</c:v>
                </c:pt>
                <c:pt idx="22">
                  <c:v>JOAO MANOEL PEREIRA DOS SANTOS</c:v>
                </c:pt>
                <c:pt idx="23">
                  <c:v>JOSE ANTONIO ALVES DE OLIVEIRA</c:v>
                </c:pt>
                <c:pt idx="24">
                  <c:v>JOSE LIMA SILVA</c:v>
                </c:pt>
                <c:pt idx="25">
                  <c:v>JOSE PETRUCIO SANTOS FILHO</c:v>
                </c:pt>
                <c:pt idx="26">
                  <c:v>LUIZ CARLOS ALVES GOMES DA SILVA</c:v>
                </c:pt>
                <c:pt idx="27">
                  <c:v>MURILO ALVES ROCHA</c:v>
                </c:pt>
                <c:pt idx="28">
                  <c:v>RAIMUNDO NONATO COSTA DA SILVA</c:v>
                </c:pt>
                <c:pt idx="29">
                  <c:v>RENATO RAMOS MANCCINI</c:v>
                </c:pt>
                <c:pt idx="30">
                  <c:v>ROBERTO APARECIDO BARBOSA SANTOS</c:v>
                </c:pt>
                <c:pt idx="31">
                  <c:v>ROBERTO SOARES DE ALMEIDA</c:v>
                </c:pt>
                <c:pt idx="32">
                  <c:v>RODRIGO PEREIRA VILAS BOAS</c:v>
                </c:pt>
                <c:pt idx="33">
                  <c:v>ROMARIO MARINHO SANTOS</c:v>
                </c:pt>
                <c:pt idx="34">
                  <c:v>SANDRO DE FREITAS GALINDO</c:v>
                </c:pt>
                <c:pt idx="35">
                  <c:v>SEVERINO JOSE DA SILVA FILHO</c:v>
                </c:pt>
                <c:pt idx="36">
                  <c:v>VALDIZEL ALVES DE OLIVEIRA</c:v>
                </c:pt>
                <c:pt idx="37">
                  <c:v>VIVIANE APARECIDA DA SILVA ARAUJO</c:v>
                </c:pt>
              </c:strCache>
            </c:strRef>
          </c:cat>
          <c:val>
            <c:numRef>
              <c:f>'DADOS - GOPOÚVA'!$F$189:$F$226</c:f>
              <c:numCache>
                <c:formatCode>0.00%</c:formatCode>
                <c:ptCount val="38"/>
                <c:pt idx="0">
                  <c:v>1</c:v>
                </c:pt>
                <c:pt idx="1">
                  <c:v>1</c:v>
                </c:pt>
                <c:pt idx="2">
                  <c:v>1</c:v>
                </c:pt>
                <c:pt idx="3">
                  <c:v>1</c:v>
                </c:pt>
                <c:pt idx="4">
                  <c:v>0.8571428571428571</c:v>
                </c:pt>
                <c:pt idx="5">
                  <c:v>1</c:v>
                </c:pt>
                <c:pt idx="6">
                  <c:v>1</c:v>
                </c:pt>
                <c:pt idx="7">
                  <c:v>1</c:v>
                </c:pt>
                <c:pt idx="8">
                  <c:v>1</c:v>
                </c:pt>
                <c:pt idx="9">
                  <c:v>1</c:v>
                </c:pt>
                <c:pt idx="10">
                  <c:v>1</c:v>
                </c:pt>
                <c:pt idx="11">
                  <c:v>1</c:v>
                </c:pt>
                <c:pt idx="12">
                  <c:v>1</c:v>
                </c:pt>
                <c:pt idx="13">
                  <c:v>1</c:v>
                </c:pt>
                <c:pt idx="14">
                  <c:v>1</c:v>
                </c:pt>
                <c:pt idx="15">
                  <c:v>1</c:v>
                </c:pt>
                <c:pt idx="16">
                  <c:v>0.95454545454545459</c:v>
                </c:pt>
                <c:pt idx="17">
                  <c:v>1</c:v>
                </c:pt>
                <c:pt idx="18">
                  <c:v>1</c:v>
                </c:pt>
                <c:pt idx="19">
                  <c:v>1</c:v>
                </c:pt>
                <c:pt idx="20">
                  <c:v>1</c:v>
                </c:pt>
                <c:pt idx="21">
                  <c:v>1</c:v>
                </c:pt>
                <c:pt idx="22">
                  <c:v>1</c:v>
                </c:pt>
                <c:pt idx="23">
                  <c:v>0.92592592592592593</c:v>
                </c:pt>
                <c:pt idx="24">
                  <c:v>0.75</c:v>
                </c:pt>
                <c:pt idx="25">
                  <c:v>1</c:v>
                </c:pt>
                <c:pt idx="26">
                  <c:v>1</c:v>
                </c:pt>
                <c:pt idx="27">
                  <c:v>1</c:v>
                </c:pt>
                <c:pt idx="28">
                  <c:v>1</c:v>
                </c:pt>
                <c:pt idx="29">
                  <c:v>1</c:v>
                </c:pt>
                <c:pt idx="30">
                  <c:v>0.6</c:v>
                </c:pt>
                <c:pt idx="31">
                  <c:v>1</c:v>
                </c:pt>
                <c:pt idx="32">
                  <c:v>1</c:v>
                </c:pt>
                <c:pt idx="33">
                  <c:v>1</c:v>
                </c:pt>
                <c:pt idx="34">
                  <c:v>1</c:v>
                </c:pt>
                <c:pt idx="35">
                  <c:v>1</c:v>
                </c:pt>
                <c:pt idx="36">
                  <c:v>1</c:v>
                </c:pt>
                <c:pt idx="37">
                  <c:v>1</c:v>
                </c:pt>
              </c:numCache>
            </c:numRef>
          </c:val>
          <c:extLst>
            <c:ext xmlns:c16="http://schemas.microsoft.com/office/drawing/2014/chart" uri="{C3380CC4-5D6E-409C-BE32-E72D297353CC}">
              <c16:uniqueId val="{00000000-9292-4096-AFAE-3AAE52A6DF59}"/>
            </c:ext>
          </c:extLst>
        </c:ser>
        <c:dLbls>
          <c:showLegendKey val="0"/>
          <c:showVal val="1"/>
          <c:showCatName val="0"/>
          <c:showSerName val="0"/>
          <c:showPercent val="0"/>
          <c:showBubbleSize val="0"/>
        </c:dLbls>
        <c:gapWidth val="39"/>
        <c:axId val="152712216"/>
        <c:axId val="152709080"/>
      </c:barChart>
      <c:catAx>
        <c:axId val="15271221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crossAx val="152709080"/>
        <c:crosses val="autoZero"/>
        <c:auto val="1"/>
        <c:lblAlgn val="ctr"/>
        <c:lblOffset val="100"/>
        <c:noMultiLvlLbl val="0"/>
      </c:catAx>
      <c:valAx>
        <c:axId val="152709080"/>
        <c:scaling>
          <c:orientation val="minMax"/>
          <c:max val="1"/>
        </c:scaling>
        <c:delete val="1"/>
        <c:axPos val="t"/>
        <c:numFmt formatCode="0.00%" sourceLinked="1"/>
        <c:majorTickMark val="out"/>
        <c:minorTickMark val="none"/>
        <c:tickLblPos val="nextTo"/>
        <c:crossAx val="152712216"/>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400" b="1">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orientation="portrait"/>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r>
              <a:rPr lang="pt-BR" sz="1600"/>
              <a:t>CONFORMIDADE - SEQUÊNCIA DE FOTOS (%)</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title>
    <c:autoTitleDeleted val="0"/>
    <c:plotArea>
      <c:layout>
        <c:manualLayout>
          <c:layoutTarget val="inner"/>
          <c:xMode val="edge"/>
          <c:yMode val="edge"/>
          <c:x val="0.50358333333333327"/>
          <c:y val="5.9739444444444442E-2"/>
          <c:w val="0.36294965706780657"/>
          <c:h val="0.90941577777777782"/>
        </c:manualLayout>
      </c:layout>
      <c:barChart>
        <c:barDir val="bar"/>
        <c:grouping val="clustered"/>
        <c:varyColors val="0"/>
        <c:ser>
          <c:idx val="0"/>
          <c:order val="0"/>
          <c:tx>
            <c:strRef>
              <c:f>'DADOS - GOPOÚVA'!$F$151:$F$152</c:f>
              <c:strCache>
                <c:ptCount val="2"/>
                <c:pt idx="0">
                  <c:v>EQUIPES - CONFORMIDADE - TEMPO DE EXECUÇÃO</c:v>
                </c:pt>
                <c:pt idx="1">
                  <c:v>CONFORME (%)</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4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'DADOS - GOPOÚVA'!$B$230:$B$267</c:f>
              <c:strCache>
                <c:ptCount val="38"/>
                <c:pt idx="0">
                  <c:v>ADEMAR JOSE VIANA</c:v>
                </c:pt>
                <c:pt idx="1">
                  <c:v>ADIMILSON SOUZA OLIVEIRA</c:v>
                </c:pt>
                <c:pt idx="2">
                  <c:v>ALISSON ARAUJO DA SILVA</c:v>
                </c:pt>
                <c:pt idx="3">
                  <c:v>ANA CAROLINA FERREIRA SILVA</c:v>
                </c:pt>
                <c:pt idx="4">
                  <c:v>ANDRE DE OLIVEIRA ASSONI</c:v>
                </c:pt>
                <c:pt idx="5">
                  <c:v>CAMILA DE PAULA OLIVEIRA</c:v>
                </c:pt>
                <c:pt idx="6">
                  <c:v>CARLOS HENRIQUE DO AMARAL</c:v>
                </c:pt>
                <c:pt idx="7">
                  <c:v>CICERO XAVIER DA SILVA</c:v>
                </c:pt>
                <c:pt idx="8">
                  <c:v>CLAUDIO JOSE SILVA SANTOS</c:v>
                </c:pt>
                <c:pt idx="9">
                  <c:v>CLAUDIO MELO BARBOSA DA SILVA</c:v>
                </c:pt>
                <c:pt idx="10">
                  <c:v>CLEILTON FERREIRA DA SILVA</c:v>
                </c:pt>
                <c:pt idx="11">
                  <c:v>DANILO DE ANDRADE SANTANA</c:v>
                </c:pt>
                <c:pt idx="12">
                  <c:v>DIOGO GERMANO SOUZA</c:v>
                </c:pt>
                <c:pt idx="13">
                  <c:v>EDILSON DA SILVA DE ALMEIDA</c:v>
                </c:pt>
                <c:pt idx="14">
                  <c:v>EDSON EVANGELISTA CABRAL SOARES</c:v>
                </c:pt>
                <c:pt idx="15">
                  <c:v>EMERSON JAMES COSTA DIAS</c:v>
                </c:pt>
                <c:pt idx="16">
                  <c:v>FABIANO CALIXTO DE OLIVEIRA</c:v>
                </c:pt>
                <c:pt idx="17">
                  <c:v>FABIO SANTOS</c:v>
                </c:pt>
                <c:pt idx="18">
                  <c:v>FRANCISCO MELO DA SILVA</c:v>
                </c:pt>
                <c:pt idx="19">
                  <c:v>GILBERTO JOSE DA SILVA</c:v>
                </c:pt>
                <c:pt idx="20">
                  <c:v>GIVALDO COSTA DOS SANTOS</c:v>
                </c:pt>
                <c:pt idx="21">
                  <c:v>HENRIQUE ANDRADE PEREIRA</c:v>
                </c:pt>
                <c:pt idx="22">
                  <c:v>JOAO MANOEL PEREIRA DOS SANTOS</c:v>
                </c:pt>
                <c:pt idx="23">
                  <c:v>JOSE ANTONIO ALVES DE OLIVEIRA</c:v>
                </c:pt>
                <c:pt idx="24">
                  <c:v>JOSE LIMA SILVA</c:v>
                </c:pt>
                <c:pt idx="25">
                  <c:v>JOSE PETRUCIO SANTOS FILHO</c:v>
                </c:pt>
                <c:pt idx="26">
                  <c:v>LUIZ CARLOS ALVES GOMES DA SILVA</c:v>
                </c:pt>
                <c:pt idx="27">
                  <c:v>MURILO ALVES ROCHA</c:v>
                </c:pt>
                <c:pt idx="28">
                  <c:v>RAIMUNDO NONATO COSTA DA SILVA</c:v>
                </c:pt>
                <c:pt idx="29">
                  <c:v>RENATO RAMOS MANCCINI</c:v>
                </c:pt>
                <c:pt idx="30">
                  <c:v>ROBERTO APARECIDO BARBOSA SANTOS</c:v>
                </c:pt>
                <c:pt idx="31">
                  <c:v>ROBERTO SOARES DE ALMEIDA</c:v>
                </c:pt>
                <c:pt idx="32">
                  <c:v>RODRIGO PEREIRA VILAS BOAS</c:v>
                </c:pt>
                <c:pt idx="33">
                  <c:v>ROMARIO MARINHO SANTOS</c:v>
                </c:pt>
                <c:pt idx="34">
                  <c:v>SANDRO DE FREITAS GALINDO</c:v>
                </c:pt>
                <c:pt idx="35">
                  <c:v>SEVERINO JOSE DA SILVA FILHO</c:v>
                </c:pt>
                <c:pt idx="36">
                  <c:v>VALDIZEL ALVES DE OLIVEIRA</c:v>
                </c:pt>
                <c:pt idx="37">
                  <c:v>VIVIANE APARECIDA DA SILVA ARAUJO</c:v>
                </c:pt>
              </c:strCache>
            </c:strRef>
          </c:cat>
          <c:val>
            <c:numRef>
              <c:f>'DADOS - GOPOÚVA'!$F$230:$F$267</c:f>
              <c:numCache>
                <c:formatCode>0.00%</c:formatCode>
                <c:ptCount val="38"/>
                <c:pt idx="0">
                  <c:v>1</c:v>
                </c:pt>
                <c:pt idx="1">
                  <c:v>1</c:v>
                </c:pt>
                <c:pt idx="2">
                  <c:v>0</c:v>
                </c:pt>
                <c:pt idx="3">
                  <c:v>1</c:v>
                </c:pt>
                <c:pt idx="4">
                  <c:v>0.80952380952380953</c:v>
                </c:pt>
                <c:pt idx="5">
                  <c:v>1</c:v>
                </c:pt>
                <c:pt idx="6">
                  <c:v>1</c:v>
                </c:pt>
                <c:pt idx="7">
                  <c:v>1</c:v>
                </c:pt>
                <c:pt idx="8">
                  <c:v>1</c:v>
                </c:pt>
                <c:pt idx="9">
                  <c:v>1</c:v>
                </c:pt>
                <c:pt idx="10">
                  <c:v>0.9375</c:v>
                </c:pt>
                <c:pt idx="11">
                  <c:v>1</c:v>
                </c:pt>
                <c:pt idx="12">
                  <c:v>1</c:v>
                </c:pt>
                <c:pt idx="13">
                  <c:v>1</c:v>
                </c:pt>
                <c:pt idx="14">
                  <c:v>0.95238095238095233</c:v>
                </c:pt>
                <c:pt idx="15">
                  <c:v>0.94117647058823528</c:v>
                </c:pt>
                <c:pt idx="16">
                  <c:v>0.95454545454545459</c:v>
                </c:pt>
                <c:pt idx="17">
                  <c:v>0.5</c:v>
                </c:pt>
                <c:pt idx="18">
                  <c:v>1</c:v>
                </c:pt>
                <c:pt idx="19">
                  <c:v>1</c:v>
                </c:pt>
                <c:pt idx="20">
                  <c:v>1</c:v>
                </c:pt>
                <c:pt idx="21">
                  <c:v>1</c:v>
                </c:pt>
                <c:pt idx="22">
                  <c:v>1</c:v>
                </c:pt>
                <c:pt idx="23">
                  <c:v>0.92592592592592593</c:v>
                </c:pt>
                <c:pt idx="24">
                  <c:v>0.75</c:v>
                </c:pt>
                <c:pt idx="25">
                  <c:v>1</c:v>
                </c:pt>
                <c:pt idx="26">
                  <c:v>1</c:v>
                </c:pt>
                <c:pt idx="27">
                  <c:v>1</c:v>
                </c:pt>
                <c:pt idx="28">
                  <c:v>1</c:v>
                </c:pt>
                <c:pt idx="29">
                  <c:v>1</c:v>
                </c:pt>
                <c:pt idx="30">
                  <c:v>0.6</c:v>
                </c:pt>
                <c:pt idx="31">
                  <c:v>0.33333333333333331</c:v>
                </c:pt>
                <c:pt idx="32">
                  <c:v>1</c:v>
                </c:pt>
                <c:pt idx="33">
                  <c:v>1</c:v>
                </c:pt>
                <c:pt idx="34">
                  <c:v>1</c:v>
                </c:pt>
                <c:pt idx="35">
                  <c:v>1</c:v>
                </c:pt>
                <c:pt idx="36">
                  <c:v>1</c:v>
                </c:pt>
                <c:pt idx="37">
                  <c:v>1</c:v>
                </c:pt>
              </c:numCache>
            </c:numRef>
          </c:val>
          <c:extLst>
            <c:ext xmlns:c16="http://schemas.microsoft.com/office/drawing/2014/chart" uri="{C3380CC4-5D6E-409C-BE32-E72D297353CC}">
              <c16:uniqueId val="{00000000-E234-4981-9103-FD711F7BDF61}"/>
            </c:ext>
          </c:extLst>
        </c:ser>
        <c:dLbls>
          <c:showLegendKey val="0"/>
          <c:showVal val="1"/>
          <c:showCatName val="0"/>
          <c:showSerName val="0"/>
          <c:showPercent val="0"/>
          <c:showBubbleSize val="0"/>
        </c:dLbls>
        <c:gapWidth val="39"/>
        <c:axId val="152714568"/>
        <c:axId val="152714960"/>
      </c:barChart>
      <c:catAx>
        <c:axId val="15271456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crossAx val="152714960"/>
        <c:crosses val="autoZero"/>
        <c:auto val="1"/>
        <c:lblAlgn val="ctr"/>
        <c:lblOffset val="100"/>
        <c:noMultiLvlLbl val="0"/>
      </c:catAx>
      <c:valAx>
        <c:axId val="152714960"/>
        <c:scaling>
          <c:orientation val="minMax"/>
          <c:max val="1"/>
        </c:scaling>
        <c:delete val="1"/>
        <c:axPos val="t"/>
        <c:numFmt formatCode="0.00%" sourceLinked="1"/>
        <c:majorTickMark val="out"/>
        <c:minorTickMark val="none"/>
        <c:tickLblPos val="nextTo"/>
        <c:crossAx val="152714568"/>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400" b="1">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1" i="0" u="none" strike="noStrike" kern="1200" spc="0" baseline="0">
                <a:solidFill>
                  <a:schemeClr val="accent1">
                    <a:lumMod val="50000"/>
                  </a:schemeClr>
                </a:solidFill>
                <a:latin typeface="Arial Black" panose="020B0A04020102020204" pitchFamily="34" charset="0"/>
                <a:ea typeface="Tahoma" panose="020B0604030504040204" pitchFamily="34" charset="0"/>
                <a:cs typeface="Arial" panose="020B0604020202020204" pitchFamily="34" charset="0"/>
              </a:defRPr>
            </a:pPr>
            <a:r>
              <a:rPr lang="pt-BR" sz="2800">
                <a:latin typeface="Arial Black" panose="020B0A04020102020204" pitchFamily="34" charset="0"/>
                <a:cs typeface="Arial" panose="020B0604020202020204" pitchFamily="34" charset="0"/>
              </a:rPr>
              <a:t>CONFORMIDADES - ETAPAS (%)</a:t>
            </a:r>
          </a:p>
        </c:rich>
      </c:tx>
      <c:overlay val="0"/>
      <c:spPr>
        <a:noFill/>
        <a:ln>
          <a:noFill/>
        </a:ln>
        <a:effectLst/>
      </c:spPr>
      <c:txPr>
        <a:bodyPr rot="0" spcFirstLastPara="1" vertOverflow="ellipsis" vert="horz" wrap="square" anchor="ctr" anchorCtr="1"/>
        <a:lstStyle/>
        <a:p>
          <a:pPr>
            <a:defRPr sz="2800" b="1" i="0" u="none" strike="noStrike" kern="1200" spc="0" baseline="0">
              <a:solidFill>
                <a:schemeClr val="accent1">
                  <a:lumMod val="50000"/>
                </a:schemeClr>
              </a:solidFill>
              <a:latin typeface="Arial Black" panose="020B0A04020102020204" pitchFamily="34" charset="0"/>
              <a:ea typeface="Tahoma" panose="020B0604030504040204" pitchFamily="34" charset="0"/>
              <a:cs typeface="Arial" panose="020B0604020202020204" pitchFamily="34" charset="0"/>
            </a:defRPr>
          </a:pPr>
          <a:endParaRPr lang="pt-BR"/>
        </a:p>
      </c:txPr>
    </c:title>
    <c:autoTitleDeleted val="0"/>
    <c:plotArea>
      <c:layout>
        <c:manualLayout>
          <c:layoutTarget val="inner"/>
          <c:xMode val="edge"/>
          <c:yMode val="edge"/>
          <c:x val="2.129131205673759E-2"/>
          <c:y val="0.30354528648532864"/>
          <c:w val="0.97242924138475473"/>
          <c:h val="0.38872654471878615"/>
        </c:manualLayout>
      </c:layout>
      <c:barChart>
        <c:barDir val="col"/>
        <c:grouping val="clustered"/>
        <c:varyColors val="0"/>
        <c:ser>
          <c:idx val="0"/>
          <c:order val="0"/>
          <c:tx>
            <c:strRef>
              <c:f>'DADOS - GOPOÚVA'!$F$141</c:f>
              <c:strCache>
                <c:ptCount val="1"/>
                <c:pt idx="0">
                  <c:v>CONFORME (%)</c:v>
                </c:pt>
              </c:strCache>
            </c:strRef>
          </c:tx>
          <c:spPr>
            <a:solidFill>
              <a:schemeClr val="accent1"/>
            </a:solidFill>
            <a:ln>
              <a:noFill/>
            </a:ln>
            <a:effectLst/>
          </c:spPr>
          <c:invertIfNegative val="0"/>
          <c:dLbls>
            <c:spPr>
              <a:noFill/>
              <a:ln>
                <a:noFill/>
              </a:ln>
              <a:effectLst/>
            </c:spPr>
            <c:txPr>
              <a:bodyPr rot="-5400000" spcFirstLastPara="1" vertOverflow="ellipsis" wrap="square" anchor="ctr" anchorCtr="1"/>
              <a:lstStyle/>
              <a:p>
                <a:pPr>
                  <a:defRPr sz="24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'DADOS - GOPOÚVA'!$B$181:$B$185</c:f>
              <c:strCache>
                <c:ptCount val="5"/>
                <c:pt idx="0">
                  <c:v>FACHADA</c:v>
                </c:pt>
                <c:pt idx="1">
                  <c:v>ANTES</c:v>
                </c:pt>
                <c:pt idx="2">
                  <c:v>HIDRÔMETRO</c:v>
                </c:pt>
                <c:pt idx="3">
                  <c:v>LEITURA</c:v>
                </c:pt>
                <c:pt idx="4">
                  <c:v>FINALIZAÇÃO</c:v>
                </c:pt>
              </c:strCache>
            </c:strRef>
          </c:cat>
          <c:val>
            <c:numRef>
              <c:f>'DADOS - GOPOÚVA'!$F$181:$F$185</c:f>
              <c:numCache>
                <c:formatCode>0.00%</c:formatCode>
                <c:ptCount val="5"/>
                <c:pt idx="0">
                  <c:v>0.96866096866096862</c:v>
                </c:pt>
                <c:pt idx="1">
                  <c:v>0.95156695156695159</c:v>
                </c:pt>
                <c:pt idx="2">
                  <c:v>0.95953757225433522</c:v>
                </c:pt>
                <c:pt idx="3">
                  <c:v>0.96581196581196582</c:v>
                </c:pt>
                <c:pt idx="4">
                  <c:v>0.95156695156695159</c:v>
                </c:pt>
              </c:numCache>
            </c:numRef>
          </c:val>
          <c:extLst>
            <c:ext xmlns:c16="http://schemas.microsoft.com/office/drawing/2014/chart" uri="{C3380CC4-5D6E-409C-BE32-E72D297353CC}">
              <c16:uniqueId val="{00000000-5765-48B9-A753-420F03092637}"/>
            </c:ext>
          </c:extLst>
        </c:ser>
        <c:dLbls>
          <c:dLblPos val="outEnd"/>
          <c:showLegendKey val="0"/>
          <c:showVal val="1"/>
          <c:showCatName val="0"/>
          <c:showSerName val="0"/>
          <c:showPercent val="0"/>
          <c:showBubbleSize val="0"/>
        </c:dLbls>
        <c:gapWidth val="219"/>
        <c:overlap val="-27"/>
        <c:axId val="152710256"/>
        <c:axId val="152709472"/>
      </c:barChart>
      <c:catAx>
        <c:axId val="1527102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800" b="1" i="0" u="none" strike="noStrike" kern="1200" baseline="0">
                <a:solidFill>
                  <a:schemeClr val="accent1">
                    <a:lumMod val="50000"/>
                  </a:schemeClr>
                </a:solidFill>
                <a:latin typeface="Arial Black" panose="020B0A04020102020204" pitchFamily="34" charset="0"/>
                <a:ea typeface="Tahoma" panose="020B0604030504040204" pitchFamily="34" charset="0"/>
                <a:cs typeface="Arial" panose="020B0604020202020204" pitchFamily="34" charset="0"/>
              </a:defRPr>
            </a:pPr>
            <a:endParaRPr lang="pt-BR"/>
          </a:p>
        </c:txPr>
        <c:crossAx val="152709472"/>
        <c:crosses val="autoZero"/>
        <c:auto val="1"/>
        <c:lblAlgn val="ctr"/>
        <c:lblOffset val="100"/>
        <c:noMultiLvlLbl val="0"/>
      </c:catAx>
      <c:valAx>
        <c:axId val="152709472"/>
        <c:scaling>
          <c:orientation val="minMax"/>
          <c:max val="1"/>
          <c:min val="0"/>
        </c:scaling>
        <c:delete val="1"/>
        <c:axPos val="l"/>
        <c:numFmt formatCode="0.00%" sourceLinked="1"/>
        <c:majorTickMark val="out"/>
        <c:minorTickMark val="none"/>
        <c:tickLblPos val="nextTo"/>
        <c:crossAx val="152710256"/>
        <c:crosses val="autoZero"/>
        <c:crossBetween val="between"/>
      </c:valAx>
      <c:spPr>
        <a:noFill/>
        <a:ln>
          <a:noFill/>
        </a:ln>
        <a:effectLst/>
      </c:spPr>
    </c:plotArea>
    <c:legend>
      <c:legendPos val="b"/>
      <c:layout>
        <c:manualLayout>
          <c:xMode val="edge"/>
          <c:yMode val="edge"/>
          <c:x val="0.40087807328605207"/>
          <c:y val="0.94510513888888892"/>
          <c:w val="0.1562106973995272"/>
          <c:h val="4.9603194444444443E-2"/>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accent1">
                  <a:lumMod val="50000"/>
                </a:schemeClr>
              </a:solidFill>
              <a:latin typeface="Arial Black" panose="020B0A04020102020204" pitchFamily="34" charset="0"/>
              <a:ea typeface="Tahoma" panose="020B0604030504040204" pitchFamily="34" charset="0"/>
              <a:cs typeface="Arial" panose="020B0604020202020204" pitchFamily="34" charset="0"/>
            </a:defRPr>
          </a:pPr>
          <a:endParaRPr lang="pt-BR"/>
        </a:p>
      </c:txPr>
    </c:legend>
    <c:plotVisOnly val="1"/>
    <c:dispBlanksAs val="gap"/>
    <c:showDLblsOverMax val="0"/>
  </c:chart>
  <c:spPr>
    <a:noFill/>
    <a:ln w="9525" cap="flat" cmpd="sng" algn="ctr">
      <a:noFill/>
      <a:round/>
    </a:ln>
    <a:effectLst/>
  </c:spPr>
  <c:txPr>
    <a:bodyPr/>
    <a:lstStyle/>
    <a:p>
      <a:pPr>
        <a:defRPr sz="1400" b="1">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0" i="0" u="none" strike="noStrike" kern="1200" spc="0" baseline="0">
                <a:solidFill>
                  <a:schemeClr val="accent1">
                    <a:lumMod val="50000"/>
                  </a:schemeClr>
                </a:solidFill>
                <a:latin typeface="Arial Black" panose="020B0A04020102020204" pitchFamily="34" charset="0"/>
                <a:ea typeface="Tahoma" panose="020B0604030504040204" pitchFamily="34" charset="0"/>
                <a:cs typeface="Tahoma" panose="020B0604030504040204" pitchFamily="34" charset="0"/>
              </a:defRPr>
            </a:pPr>
            <a:r>
              <a:rPr lang="en-US" sz="2800" b="0">
                <a:latin typeface="Arial Black" panose="020B0A04020102020204" pitchFamily="34" charset="0"/>
              </a:rPr>
              <a:t>BAIXA DE MATERIAIS</a:t>
            </a:r>
          </a:p>
        </c:rich>
      </c:tx>
      <c:overlay val="0"/>
      <c:spPr>
        <a:noFill/>
        <a:ln>
          <a:noFill/>
        </a:ln>
        <a:effectLst/>
      </c:spPr>
      <c:txPr>
        <a:bodyPr rot="0" spcFirstLastPara="1" vertOverflow="ellipsis" vert="horz" wrap="square" anchor="ctr" anchorCtr="1"/>
        <a:lstStyle/>
        <a:p>
          <a:pPr>
            <a:defRPr sz="2800" b="0" i="0" u="none" strike="noStrike" kern="1200" spc="0" baseline="0">
              <a:solidFill>
                <a:schemeClr val="accent1">
                  <a:lumMod val="50000"/>
                </a:schemeClr>
              </a:solidFill>
              <a:latin typeface="Arial Black" panose="020B0A04020102020204" pitchFamily="34" charset="0"/>
              <a:ea typeface="Tahoma" panose="020B0604030504040204" pitchFamily="34" charset="0"/>
              <a:cs typeface="Tahoma" panose="020B0604030504040204" pitchFamily="34" charset="0"/>
            </a:defRPr>
          </a:pPr>
          <a:endParaRPr lang="pt-BR"/>
        </a:p>
      </c:txPr>
    </c:title>
    <c:autoTitleDeleted val="0"/>
    <c:plotArea>
      <c:layout>
        <c:manualLayout>
          <c:layoutTarget val="inner"/>
          <c:xMode val="edge"/>
          <c:yMode val="edge"/>
          <c:x val="0.24366454309353225"/>
          <c:y val="0.14082396156467297"/>
          <c:w val="0.51855578158835169"/>
          <c:h val="0.74974088291267738"/>
        </c:manualLayout>
      </c:layout>
      <c:pieChart>
        <c:varyColors val="1"/>
        <c:ser>
          <c:idx val="0"/>
          <c:order val="0"/>
          <c:tx>
            <c:strRef>
              <c:f>'DADOS - GOPOÚVA'!$B$45</c:f>
              <c:strCache>
                <c:ptCount val="1"/>
                <c:pt idx="0">
                  <c:v>Cavalete</c:v>
                </c:pt>
              </c:strCache>
            </c:strRef>
          </c:tx>
          <c:explosion val="5"/>
          <c:dPt>
            <c:idx val="0"/>
            <c:bubble3D val="0"/>
            <c:spPr>
              <a:solidFill>
                <a:schemeClr val="accent2"/>
              </a:solidFill>
              <a:ln w="19050">
                <a:solidFill>
                  <a:schemeClr val="lt1"/>
                </a:solidFill>
              </a:ln>
              <a:effectLst/>
            </c:spPr>
            <c:extLst>
              <c:ext xmlns:c16="http://schemas.microsoft.com/office/drawing/2014/chart" uri="{C3380CC4-5D6E-409C-BE32-E72D297353CC}">
                <c16:uniqueId val="{00000001-8168-44DB-B1EF-14436925AC90}"/>
              </c:ext>
            </c:extLst>
          </c:dPt>
          <c:dPt>
            <c:idx val="1"/>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3-8168-44DB-B1EF-14436925AC90}"/>
              </c:ext>
            </c:extLst>
          </c:dPt>
          <c:dLbls>
            <c:dLbl>
              <c:idx val="0"/>
              <c:layout>
                <c:manualLayout>
                  <c:x val="0.28227638682753309"/>
                  <c:y val="0.84135307391800185"/>
                </c:manualLayout>
              </c:layout>
              <c:tx>
                <c:rich>
                  <a:bodyPr/>
                  <a:lstStyle/>
                  <a:p>
                    <a:fld id="{8978A893-F7BD-4125-BC3D-4F6807DE3E61}" type="CATEGORYNAME">
                      <a:rPr lang="en-US" sz="2800"/>
                      <a:pPr/>
                      <a:t>[NOME DA CATEGORIA]</a:t>
                    </a:fld>
                    <a:r>
                      <a:rPr lang="en-US" sz="2800"/>
                      <a:t> </a:t>
                    </a:r>
                    <a:r>
                      <a:rPr lang="en-US" sz="2800" baseline="0"/>
                      <a:t> </a:t>
                    </a:r>
                    <a:fld id="{2B2C4DFF-D81E-49EA-8B28-07B53B245BAE}" type="VALUE">
                      <a:rPr lang="en-US" sz="2800" baseline="0"/>
                      <a:pPr/>
                      <a:t>[VALOR]</a:t>
                    </a:fld>
                    <a:endParaRPr lang="en-US" sz="2800" baseline="0"/>
                  </a:p>
                </c:rich>
              </c:tx>
              <c:dLblPos val="bestFit"/>
              <c:showLegendKey val="1"/>
              <c:showVal val="1"/>
              <c:showCatName val="1"/>
              <c:showSerName val="0"/>
              <c:showPercent val="0"/>
              <c:showBubbleSize val="0"/>
              <c:extLst>
                <c:ext xmlns:c15="http://schemas.microsoft.com/office/drawing/2012/chart" uri="{CE6537A1-D6FC-4f65-9D91-7224C49458BB}">
                  <c15:layout>
                    <c:manualLayout>
                      <c:w val="0.33729679136361845"/>
                      <c:h val="0.15836634664380403"/>
                    </c:manualLayout>
                  </c15:layout>
                  <c15:dlblFieldTable/>
                  <c15:showDataLabelsRange val="0"/>
                </c:ext>
                <c:ext xmlns:c16="http://schemas.microsoft.com/office/drawing/2014/chart" uri="{C3380CC4-5D6E-409C-BE32-E72D297353CC}">
                  <c16:uniqueId val="{00000001-8168-44DB-B1EF-14436925AC90}"/>
                </c:ext>
              </c:extLst>
            </c:dLbl>
            <c:dLbl>
              <c:idx val="1"/>
              <c:layout>
                <c:manualLayout>
                  <c:x val="-0.35360230081918209"/>
                  <c:y val="-0.72398084715740429"/>
                </c:manualLayout>
              </c:layout>
              <c:tx>
                <c:rich>
                  <a:bodyPr/>
                  <a:lstStyle/>
                  <a:p>
                    <a:fld id="{24452494-4EBE-4191-A7A4-627DD8DA6BA6}" type="CATEGORYNAME">
                      <a:rPr lang="en-US" sz="2800"/>
                      <a:pPr/>
                      <a:t>[NOME DA CATEGORIA]</a:t>
                    </a:fld>
                    <a:r>
                      <a:rPr lang="en-US" sz="2800"/>
                      <a:t> </a:t>
                    </a:r>
                    <a:r>
                      <a:rPr lang="en-US" sz="2800" baseline="0"/>
                      <a:t> </a:t>
                    </a:r>
                    <a:fld id="{867B1018-F910-455F-89E6-4A1F1E31B057}" type="VALUE">
                      <a:rPr lang="en-US" sz="2800" baseline="0"/>
                      <a:pPr/>
                      <a:t>[VALOR]</a:t>
                    </a:fld>
                    <a:endParaRPr lang="en-US" sz="2800" baseline="0"/>
                  </a:p>
                </c:rich>
              </c:tx>
              <c:dLblPos val="bestFit"/>
              <c:showLegendKey val="1"/>
              <c:showVal val="1"/>
              <c:showCatName val="1"/>
              <c:showSerName val="0"/>
              <c:showPercent val="0"/>
              <c:showBubbleSize val="0"/>
              <c:extLst>
                <c:ext xmlns:c15="http://schemas.microsoft.com/office/drawing/2012/chart" uri="{CE6537A1-D6FC-4f65-9D91-7224C49458BB}">
                  <c15:layout>
                    <c:manualLayout>
                      <c:w val="0.29868124999999995"/>
                      <c:h val="0.16459183006535946"/>
                    </c:manualLayout>
                  </c15:layout>
                  <c15:dlblFieldTable/>
                  <c15:showDataLabelsRange val="0"/>
                </c:ext>
                <c:ext xmlns:c16="http://schemas.microsoft.com/office/drawing/2014/chart" uri="{C3380CC4-5D6E-409C-BE32-E72D297353CC}">
                  <c16:uniqueId val="{00000003-8168-44DB-B1EF-14436925AC90}"/>
                </c:ext>
              </c:extLst>
            </c:dLbl>
            <c:spPr>
              <a:noFill/>
              <a:ln>
                <a:noFill/>
              </a:ln>
              <a:effectLst/>
            </c:spPr>
            <c:txPr>
              <a:bodyPr rot="0" spcFirstLastPara="1" vertOverflow="ellipsis" vert="horz" wrap="square" anchor="ctr" anchorCtr="1"/>
              <a:lstStyle/>
              <a:p>
                <a:pPr>
                  <a:defRPr sz="2800" b="1" i="0" u="none" strike="noStrike" kern="1200" baseline="0">
                    <a:solidFill>
                      <a:schemeClr val="accent1">
                        <a:lumMod val="50000"/>
                      </a:schemeClr>
                    </a:solidFill>
                    <a:latin typeface="Arial" panose="020B0604020202020204" pitchFamily="34" charset="0"/>
                    <a:ea typeface="Tahoma" panose="020B0604030504040204" pitchFamily="34" charset="0"/>
                    <a:cs typeface="Arial" panose="020B0604020202020204" pitchFamily="34" charset="0"/>
                  </a:defRPr>
                </a:pPr>
                <a:endParaRPr lang="pt-BR"/>
              </a:p>
            </c:txPr>
            <c:dLblPos val="outEnd"/>
            <c:showLegendKey val="1"/>
            <c:showVal val="1"/>
            <c:showCatName val="1"/>
            <c:showSerName val="0"/>
            <c:showPercent val="0"/>
            <c:showBubbleSize val="0"/>
            <c:showLeaderLines val="0"/>
            <c:extLst>
              <c:ext xmlns:c15="http://schemas.microsoft.com/office/drawing/2012/chart" uri="{CE6537A1-D6FC-4f65-9D91-7224C49458BB}"/>
            </c:extLst>
          </c:dLbls>
          <c:cat>
            <c:multiLvlStrRef>
              <c:f>'DADOS - GOPOÚVA'!$D$176:$G$177</c:f>
              <c:multiLvlStrCache>
                <c:ptCount val="4"/>
                <c:lvl>
                  <c:pt idx="0">
                    <c:v>0</c:v>
                  </c:pt>
                  <c:pt idx="1">
                    <c:v>331</c:v>
                  </c:pt>
                  <c:pt idx="2">
                    <c:v>0,00%</c:v>
                  </c:pt>
                  <c:pt idx="3">
                    <c:v>100,00%</c:v>
                  </c:pt>
                </c:lvl>
                <c:lvl>
                  <c:pt idx="0">
                    <c:v>Não Conforme</c:v>
                  </c:pt>
                  <c:pt idx="1">
                    <c:v>Conforme</c:v>
                  </c:pt>
                  <c:pt idx="2">
                    <c:v>Não Conforme (%)</c:v>
                  </c:pt>
                  <c:pt idx="3">
                    <c:v>Conforme (%)</c:v>
                  </c:pt>
                </c:lvl>
              </c:multiLvlStrCache>
            </c:multiLvlStrRef>
          </c:cat>
          <c:val>
            <c:numRef>
              <c:f>'DADOS - GOPOÚVA'!$F$177:$G$177</c:f>
              <c:numCache>
                <c:formatCode>0.00%</c:formatCode>
                <c:ptCount val="2"/>
                <c:pt idx="0">
                  <c:v>0</c:v>
                </c:pt>
                <c:pt idx="1">
                  <c:v>1</c:v>
                </c:pt>
              </c:numCache>
            </c:numRef>
          </c:val>
          <c:extLst>
            <c:ext xmlns:c16="http://schemas.microsoft.com/office/drawing/2014/chart" uri="{C3380CC4-5D6E-409C-BE32-E72D297353CC}">
              <c16:uniqueId val="{00000004-8168-44DB-B1EF-14436925AC90}"/>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sz="1400" b="1">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0" i="0" u="none" strike="noStrike" kern="1200" spc="0" baseline="0">
                <a:solidFill>
                  <a:schemeClr val="accent1">
                    <a:lumMod val="50000"/>
                  </a:schemeClr>
                </a:solidFill>
                <a:latin typeface="Arial Black" panose="020B0A04020102020204" pitchFamily="34" charset="0"/>
                <a:ea typeface="Tahoma" panose="020B0604030504040204" pitchFamily="34" charset="0"/>
                <a:cs typeface="Tahoma" panose="020B0604030504040204" pitchFamily="34" charset="0"/>
              </a:defRPr>
            </a:pPr>
            <a:r>
              <a:rPr lang="en-US" sz="2800" b="0">
                <a:latin typeface="Arial Black" panose="020B0A04020102020204" pitchFamily="34" charset="0"/>
              </a:rPr>
              <a:t>TEMPO DE EXECUÇÃO</a:t>
            </a:r>
          </a:p>
        </c:rich>
      </c:tx>
      <c:overlay val="0"/>
      <c:spPr>
        <a:noFill/>
        <a:ln>
          <a:noFill/>
        </a:ln>
        <a:effectLst/>
      </c:spPr>
      <c:txPr>
        <a:bodyPr rot="0" spcFirstLastPara="1" vertOverflow="ellipsis" vert="horz" wrap="square" anchor="ctr" anchorCtr="1"/>
        <a:lstStyle/>
        <a:p>
          <a:pPr>
            <a:defRPr sz="2800" b="0" i="0" u="none" strike="noStrike" kern="1200" spc="0" baseline="0">
              <a:solidFill>
                <a:schemeClr val="accent1">
                  <a:lumMod val="50000"/>
                </a:schemeClr>
              </a:solidFill>
              <a:latin typeface="Arial Black" panose="020B0A04020102020204" pitchFamily="34" charset="0"/>
              <a:ea typeface="Tahoma" panose="020B0604030504040204" pitchFamily="34" charset="0"/>
              <a:cs typeface="Tahoma" panose="020B0604030504040204" pitchFamily="34" charset="0"/>
            </a:defRPr>
          </a:pPr>
          <a:endParaRPr lang="pt-BR"/>
        </a:p>
      </c:txPr>
    </c:title>
    <c:autoTitleDeleted val="0"/>
    <c:plotArea>
      <c:layout>
        <c:manualLayout>
          <c:layoutTarget val="inner"/>
          <c:xMode val="edge"/>
          <c:yMode val="edge"/>
          <c:x val="0.24231285155397544"/>
          <c:y val="0.14114716137251632"/>
          <c:w val="0.52931099537037041"/>
          <c:h val="0.74726258169934645"/>
        </c:manualLayout>
      </c:layout>
      <c:pieChart>
        <c:varyColors val="1"/>
        <c:ser>
          <c:idx val="0"/>
          <c:order val="0"/>
          <c:tx>
            <c:strRef>
              <c:f>'DADOS - GOPOÚVA'!$B$169</c:f>
              <c:strCache>
                <c:ptCount val="1"/>
                <c:pt idx="0">
                  <c:v>Cavalete</c:v>
                </c:pt>
              </c:strCache>
            </c:strRef>
          </c:tx>
          <c:explosion val="5"/>
          <c:dPt>
            <c:idx val="0"/>
            <c:bubble3D val="0"/>
            <c:spPr>
              <a:solidFill>
                <a:schemeClr val="accent2"/>
              </a:solidFill>
              <a:ln w="19050">
                <a:solidFill>
                  <a:schemeClr val="lt1"/>
                </a:solidFill>
              </a:ln>
              <a:effectLst/>
            </c:spPr>
            <c:extLst>
              <c:ext xmlns:c16="http://schemas.microsoft.com/office/drawing/2014/chart" uri="{C3380CC4-5D6E-409C-BE32-E72D297353CC}">
                <c16:uniqueId val="{00000001-EB0A-4332-9E56-38B5EE4808DF}"/>
              </c:ext>
            </c:extLst>
          </c:dPt>
          <c:dPt>
            <c:idx val="1"/>
            <c:bubble3D val="0"/>
            <c:spPr>
              <a:solidFill>
                <a:srgbClr val="0070C0"/>
              </a:solidFill>
              <a:ln w="19050">
                <a:solidFill>
                  <a:schemeClr val="lt1"/>
                </a:solidFill>
              </a:ln>
              <a:effectLst/>
            </c:spPr>
            <c:extLst>
              <c:ext xmlns:c16="http://schemas.microsoft.com/office/drawing/2014/chart" uri="{C3380CC4-5D6E-409C-BE32-E72D297353CC}">
                <c16:uniqueId val="{00000003-EB0A-4332-9E56-38B5EE4808DF}"/>
              </c:ext>
            </c:extLst>
          </c:dPt>
          <c:dLbls>
            <c:dLbl>
              <c:idx val="0"/>
              <c:layout>
                <c:manualLayout>
                  <c:x val="0.18306923037389033"/>
                  <c:y val="0.85427283094866424"/>
                </c:manualLayout>
              </c:layout>
              <c:tx>
                <c:rich>
                  <a:bodyPr/>
                  <a:lstStyle/>
                  <a:p>
                    <a:fld id="{0C6B6B03-4D35-4CED-A6D3-F45B0D9B74B8}" type="CATEGORYNAME">
                      <a:rPr lang="en-US" sz="2800"/>
                      <a:pPr/>
                      <a:t>[NOME DA CATEGORIA]</a:t>
                    </a:fld>
                    <a:r>
                      <a:rPr lang="en-US" sz="2800"/>
                      <a:t> </a:t>
                    </a:r>
                    <a:r>
                      <a:rPr lang="en-US" sz="2800" baseline="0"/>
                      <a:t> </a:t>
                    </a:r>
                    <a:fld id="{ECBDC4DC-ECC6-4C01-A2F1-DA35C2BE1F3C}" type="VALUE">
                      <a:rPr lang="en-US" sz="2800" baseline="0"/>
                      <a:pPr/>
                      <a:t>[VALOR]</a:t>
                    </a:fld>
                    <a:endParaRPr lang="en-US" sz="2800" baseline="0"/>
                  </a:p>
                </c:rich>
              </c:tx>
              <c:dLblPos val="bestFit"/>
              <c:showLegendKey val="1"/>
              <c:showVal val="1"/>
              <c:showCatName val="1"/>
              <c:showSerName val="0"/>
              <c:showPercent val="0"/>
              <c:showBubbleSize val="0"/>
              <c:extLst>
                <c:ext xmlns:c15="http://schemas.microsoft.com/office/drawing/2012/chart" uri="{CE6537A1-D6FC-4f65-9D91-7224C49458BB}">
                  <c15:layout>
                    <c:manualLayout>
                      <c:w val="0.35201404853350243"/>
                      <c:h val="0.145289840419939"/>
                    </c:manualLayout>
                  </c15:layout>
                  <c15:dlblFieldTable/>
                  <c15:showDataLabelsRange val="0"/>
                </c:ext>
                <c:ext xmlns:c16="http://schemas.microsoft.com/office/drawing/2014/chart" uri="{C3380CC4-5D6E-409C-BE32-E72D297353CC}">
                  <c16:uniqueId val="{00000001-EB0A-4332-9E56-38B5EE4808DF}"/>
                </c:ext>
              </c:extLst>
            </c:dLbl>
            <c:dLbl>
              <c:idx val="1"/>
              <c:layout>
                <c:manualLayout>
                  <c:x val="-0.35729252744828671"/>
                  <c:y val="-0.72833237623041647"/>
                </c:manualLayout>
              </c:layout>
              <c:tx>
                <c:rich>
                  <a:bodyPr/>
                  <a:lstStyle/>
                  <a:p>
                    <a:fld id="{1B8102D6-CF21-40EA-BD5F-C97AC8022A2A}" type="CATEGORYNAME">
                      <a:rPr lang="en-US" sz="2800"/>
                      <a:pPr/>
                      <a:t>[NOME DA CATEGORIA]</a:t>
                    </a:fld>
                    <a:r>
                      <a:rPr lang="en-US" sz="2800"/>
                      <a:t> </a:t>
                    </a:r>
                    <a:r>
                      <a:rPr lang="en-US" sz="2800" baseline="0"/>
                      <a:t> </a:t>
                    </a:r>
                    <a:fld id="{93B84BD9-ADA0-451D-8D4B-B4165E8402C9}" type="VALUE">
                      <a:rPr lang="en-US" sz="2800" baseline="0"/>
                      <a:pPr/>
                      <a:t>[VALOR]</a:t>
                    </a:fld>
                    <a:endParaRPr lang="en-US" sz="2800" baseline="0"/>
                  </a:p>
                </c:rich>
              </c:tx>
              <c:dLblPos val="bestFit"/>
              <c:showLegendKey val="1"/>
              <c:showVal val="1"/>
              <c:showCatName val="1"/>
              <c:showSerName val="0"/>
              <c:showPercent val="0"/>
              <c:showBubbleSize val="0"/>
              <c:extLst>
                <c:ext xmlns:c15="http://schemas.microsoft.com/office/drawing/2012/chart" uri="{CE6537A1-D6FC-4f65-9D91-7224C49458BB}">
                  <c15:layout>
                    <c:manualLayout>
                      <c:w val="0.2993527777777778"/>
                      <c:h val="0.15897973856209149"/>
                    </c:manualLayout>
                  </c15:layout>
                  <c15:dlblFieldTable/>
                  <c15:showDataLabelsRange val="0"/>
                </c:ext>
                <c:ext xmlns:c16="http://schemas.microsoft.com/office/drawing/2014/chart" uri="{C3380CC4-5D6E-409C-BE32-E72D297353CC}">
                  <c16:uniqueId val="{00000003-EB0A-4332-9E56-38B5EE4808DF}"/>
                </c:ext>
              </c:extLst>
            </c:dLbl>
            <c:spPr>
              <a:noFill/>
              <a:ln>
                <a:noFill/>
              </a:ln>
              <a:effectLst/>
            </c:spPr>
            <c:txPr>
              <a:bodyPr rot="0" spcFirstLastPara="1" vertOverflow="ellipsis" vert="horz" wrap="square" anchor="ctr" anchorCtr="1"/>
              <a:lstStyle/>
              <a:p>
                <a:pPr>
                  <a:defRPr sz="2800" b="1" i="0" u="none" strike="noStrike" kern="1200" baseline="0">
                    <a:solidFill>
                      <a:schemeClr val="accent1">
                        <a:lumMod val="50000"/>
                      </a:schemeClr>
                    </a:solidFill>
                    <a:latin typeface="Arial" panose="020B0604020202020204" pitchFamily="34" charset="0"/>
                    <a:ea typeface="Tahoma" panose="020B0604030504040204" pitchFamily="34" charset="0"/>
                    <a:cs typeface="Arial" panose="020B0604020202020204" pitchFamily="34" charset="0"/>
                  </a:defRPr>
                </a:pPr>
                <a:endParaRPr lang="pt-BR"/>
              </a:p>
            </c:txPr>
            <c:dLblPos val="outEnd"/>
            <c:showLegendKey val="1"/>
            <c:showVal val="1"/>
            <c:showCatName val="1"/>
            <c:showSerName val="0"/>
            <c:showPercent val="0"/>
            <c:showBubbleSize val="0"/>
            <c:showLeaderLines val="0"/>
            <c:extLst>
              <c:ext xmlns:c15="http://schemas.microsoft.com/office/drawing/2012/chart" uri="{CE6537A1-D6FC-4f65-9D91-7224C49458BB}"/>
            </c:extLst>
          </c:dLbls>
          <c:cat>
            <c:multiLvlStrRef>
              <c:f>'DADOS - GOPOÚVA'!$D$168:$G$169</c:f>
              <c:multiLvlStrCache>
                <c:ptCount val="4"/>
                <c:lvl>
                  <c:pt idx="0">
                    <c:v>11</c:v>
                  </c:pt>
                  <c:pt idx="1">
                    <c:v>340</c:v>
                  </c:pt>
                  <c:pt idx="2">
                    <c:v>3,13%</c:v>
                  </c:pt>
                  <c:pt idx="3">
                    <c:v>96,87%</c:v>
                  </c:pt>
                </c:lvl>
                <c:lvl>
                  <c:pt idx="0">
                    <c:v>Não Conforme</c:v>
                  </c:pt>
                  <c:pt idx="1">
                    <c:v>Conforme</c:v>
                  </c:pt>
                  <c:pt idx="2">
                    <c:v>Não Conforme (%)</c:v>
                  </c:pt>
                  <c:pt idx="3">
                    <c:v>Conforme (%)</c:v>
                  </c:pt>
                </c:lvl>
              </c:multiLvlStrCache>
            </c:multiLvlStrRef>
          </c:cat>
          <c:val>
            <c:numRef>
              <c:f>'DADOS - GOPOÚVA'!$F$169:$G$169</c:f>
              <c:numCache>
                <c:formatCode>0.00%</c:formatCode>
                <c:ptCount val="2"/>
                <c:pt idx="0">
                  <c:v>3.1339031339031341E-2</c:v>
                </c:pt>
                <c:pt idx="1">
                  <c:v>0.96866096866096862</c:v>
                </c:pt>
              </c:numCache>
            </c:numRef>
          </c:val>
          <c:extLst>
            <c:ext xmlns:c16="http://schemas.microsoft.com/office/drawing/2014/chart" uri="{C3380CC4-5D6E-409C-BE32-E72D297353CC}">
              <c16:uniqueId val="{00000004-EB0A-4332-9E56-38B5EE4808DF}"/>
            </c:ext>
          </c:extLst>
        </c:ser>
        <c:ser>
          <c:idx val="1"/>
          <c:order val="1"/>
          <c:tx>
            <c:strRef>
              <c:f>CAVALETE!$A$20:$AA$20</c:f>
              <c:strCache>
                <c:ptCount val="27"/>
                <c:pt idx="0">
                  <c:v>ONMG - DIV MANUT SERV OPE GOPOÚVA</c:v>
                </c:pt>
                <c:pt idx="1">
                  <c:v>2689317160</c:v>
                </c:pt>
                <c:pt idx="2">
                  <c:v>TROCAR CAVALETE (KIT)</c:v>
                </c:pt>
                <c:pt idx="3">
                  <c:v>OUTROS SERVIÇOS DE CAVALETE</c:v>
                </c:pt>
                <c:pt idx="4">
                  <c:v>GUARULHOS</c:v>
                </c:pt>
                <c:pt idx="5">
                  <c:v> AVENIDA MARIA GEBIN DE MORAES</c:v>
                </c:pt>
                <c:pt idx="6">
                  <c:v>560</c:v>
                </c:pt>
                <c:pt idx="7">
                  <c:v>ANT8AC/1</c:v>
                </c:pt>
                <c:pt idx="8">
                  <c:v>PQ CONTINENTAL II</c:v>
                </c:pt>
                <c:pt idx="9">
                  <c:v>TROCA DE CAVALETE (KIT)</c:v>
                </c:pt>
                <c:pt idx="10">
                  <c:v>fotos do serviço na etapa principal </c:v>
                </c:pt>
                <c:pt idx="11">
                  <c:v>01/04/2026</c:v>
                </c:pt>
                <c:pt idx="12">
                  <c:v>04/01/2026 11:52</c:v>
                </c:pt>
                <c:pt idx="13">
                  <c:v>EDSON EVANGELISTA CABRAL SOARES</c:v>
                </c:pt>
                <c:pt idx="14">
                  <c:v>C</c:v>
                </c:pt>
                <c:pt idx="16">
                  <c:v>C</c:v>
                </c:pt>
                <c:pt idx="18">
                  <c:v>C</c:v>
                </c:pt>
                <c:pt idx="20">
                  <c:v>C</c:v>
                </c:pt>
                <c:pt idx="22">
                  <c:v>C</c:v>
                </c:pt>
                <c:pt idx="24">
                  <c:v>C</c:v>
                </c:pt>
                <c:pt idx="25">
                  <c:v>C</c:v>
                </c:pt>
                <c:pt idx="26">
                  <c:v>UTILIZOU O PDA CORRETAMENTE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9B83-4009-ACB5-0D62CEB6ACED}"/>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CAVALETE!$AB$2:$AB$5</c:f>
              <c:strCache>
                <c:ptCount val="4"/>
                <c:pt idx="0">
                  <c:v>C</c:v>
                </c:pt>
                <c:pt idx="1">
                  <c:v>C</c:v>
                </c:pt>
                <c:pt idx="2">
                  <c:v>C</c:v>
                </c:pt>
                <c:pt idx="3">
                  <c:v>C</c:v>
                </c:pt>
              </c:strCache>
            </c:strRef>
          </c:cat>
          <c:val>
            <c:numRef>
              <c:f>CAVALETE!#REF!</c:f>
              <c:numCache>
                <c:formatCode>General</c:formatCode>
                <c:ptCount val="1"/>
                <c:pt idx="0">
                  <c:v>1</c:v>
                </c:pt>
              </c:numCache>
            </c:numRef>
          </c:val>
          <c:extLst>
            <c:ext xmlns:c16="http://schemas.microsoft.com/office/drawing/2014/chart" uri="{C3380CC4-5D6E-409C-BE32-E72D297353CC}">
              <c16:uniqueId val="{00000007-EB0A-4332-9E56-38B5EE4808DF}"/>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sz="1400" b="1">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0" i="0" u="none" strike="noStrike" kern="1200" spc="0" baseline="0">
                <a:solidFill>
                  <a:schemeClr val="accent1">
                    <a:lumMod val="50000"/>
                  </a:schemeClr>
                </a:solidFill>
                <a:latin typeface="Arial Black" panose="020B0A04020102020204" pitchFamily="34" charset="0"/>
                <a:ea typeface="Tahoma" panose="020B0604030504040204" pitchFamily="34" charset="0"/>
                <a:cs typeface="Tahoma" panose="020B0604030504040204" pitchFamily="34" charset="0"/>
              </a:defRPr>
            </a:pPr>
            <a:r>
              <a:rPr lang="en-US" sz="2800" b="0">
                <a:latin typeface="Arial Black" panose="020B0A04020102020204" pitchFamily="34" charset="0"/>
              </a:rPr>
              <a:t>SEQUÊNCIA DE FOTOS</a:t>
            </a:r>
          </a:p>
        </c:rich>
      </c:tx>
      <c:overlay val="0"/>
      <c:spPr>
        <a:noFill/>
        <a:ln>
          <a:noFill/>
        </a:ln>
        <a:effectLst/>
      </c:spPr>
      <c:txPr>
        <a:bodyPr rot="0" spcFirstLastPara="1" vertOverflow="ellipsis" vert="horz" wrap="square" anchor="ctr" anchorCtr="1"/>
        <a:lstStyle/>
        <a:p>
          <a:pPr>
            <a:defRPr sz="2800" b="0" i="0" u="none" strike="noStrike" kern="1200" spc="0" baseline="0">
              <a:solidFill>
                <a:schemeClr val="accent1">
                  <a:lumMod val="50000"/>
                </a:schemeClr>
              </a:solidFill>
              <a:latin typeface="Arial Black" panose="020B0A04020102020204" pitchFamily="34" charset="0"/>
              <a:ea typeface="Tahoma" panose="020B0604030504040204" pitchFamily="34" charset="0"/>
              <a:cs typeface="Tahoma" panose="020B0604030504040204" pitchFamily="34" charset="0"/>
            </a:defRPr>
          </a:pPr>
          <a:endParaRPr lang="pt-BR"/>
        </a:p>
      </c:txPr>
    </c:title>
    <c:autoTitleDeleted val="0"/>
    <c:plotArea>
      <c:layout>
        <c:manualLayout>
          <c:layoutTarget val="inner"/>
          <c:xMode val="edge"/>
          <c:yMode val="edge"/>
          <c:x val="0.23580792919340848"/>
          <c:y val="0.16201192961596447"/>
          <c:w val="0.53080044327861176"/>
          <c:h val="0.76629776200351274"/>
        </c:manualLayout>
      </c:layout>
      <c:pieChart>
        <c:varyColors val="1"/>
        <c:ser>
          <c:idx val="0"/>
          <c:order val="0"/>
          <c:tx>
            <c:strRef>
              <c:f>'DADOS - GOPOÚVA'!$B$29</c:f>
              <c:strCache>
                <c:ptCount val="1"/>
                <c:pt idx="0">
                  <c:v>Cavalete</c:v>
                </c:pt>
              </c:strCache>
            </c:strRef>
          </c:tx>
          <c:spPr>
            <a:solidFill>
              <a:schemeClr val="accent2"/>
            </a:solidFill>
          </c:spPr>
          <c:explosion val="5"/>
          <c:dPt>
            <c:idx val="0"/>
            <c:bubble3D val="0"/>
            <c:spPr>
              <a:solidFill>
                <a:schemeClr val="accent2"/>
              </a:solidFill>
              <a:ln w="19050">
                <a:solidFill>
                  <a:schemeClr val="lt1"/>
                </a:solidFill>
              </a:ln>
              <a:effectLst/>
            </c:spPr>
            <c:extLst>
              <c:ext xmlns:c16="http://schemas.microsoft.com/office/drawing/2014/chart" uri="{C3380CC4-5D6E-409C-BE32-E72D297353CC}">
                <c16:uniqueId val="{00000001-77E3-4DDB-8F85-0503BB784D87}"/>
              </c:ext>
            </c:extLst>
          </c:dPt>
          <c:dPt>
            <c:idx val="1"/>
            <c:bubble3D val="0"/>
            <c:spPr>
              <a:solidFill>
                <a:srgbClr val="0070C0"/>
              </a:solidFill>
              <a:ln w="19050">
                <a:solidFill>
                  <a:schemeClr val="lt1"/>
                </a:solidFill>
              </a:ln>
              <a:effectLst/>
            </c:spPr>
            <c:extLst>
              <c:ext xmlns:c16="http://schemas.microsoft.com/office/drawing/2014/chart" uri="{C3380CC4-5D6E-409C-BE32-E72D297353CC}">
                <c16:uniqueId val="{00000003-77E3-4DDB-8F85-0503BB784D87}"/>
              </c:ext>
            </c:extLst>
          </c:dPt>
          <c:dLbls>
            <c:dLbl>
              <c:idx val="0"/>
              <c:layout>
                <c:manualLayout>
                  <c:x val="0.15821084947651778"/>
                  <c:y val="0.83258288376456868"/>
                </c:manualLayout>
              </c:layout>
              <c:tx>
                <c:rich>
                  <a:bodyPr/>
                  <a:lstStyle/>
                  <a:p>
                    <a:fld id="{933EC8F2-8578-4307-8F0E-BACFC1127520}" type="CATEGORYNAME">
                      <a:rPr lang="en-US"/>
                      <a:pPr/>
                      <a:t>[NOME DA CATEGORIA]</a:t>
                    </a:fld>
                    <a:r>
                      <a:rPr lang="en-US"/>
                      <a:t> </a:t>
                    </a:r>
                    <a:r>
                      <a:rPr lang="en-US" baseline="0"/>
                      <a:t> </a:t>
                    </a:r>
                    <a:fld id="{3088FF1F-25A3-4A84-88D2-1B05B8F52E20}" type="VALUE">
                      <a:rPr lang="en-US" baseline="0"/>
                      <a:pPr/>
                      <a:t>[VALOR]</a:t>
                    </a:fld>
                    <a:endParaRPr lang="en-US" baseline="0"/>
                  </a:p>
                </c:rich>
              </c:tx>
              <c:dLblPos val="bestFit"/>
              <c:showLegendKey val="1"/>
              <c:showVal val="1"/>
              <c:showCatName val="1"/>
              <c:showSerName val="0"/>
              <c:showPercent val="0"/>
              <c:showBubbleSize val="0"/>
              <c:extLst>
                <c:ext xmlns:c15="http://schemas.microsoft.com/office/drawing/2012/chart" uri="{CE6537A1-D6FC-4f65-9D91-7224C49458BB}">
                  <c15:layout>
                    <c:manualLayout>
                      <c:w val="0.27110694983711187"/>
                      <c:h val="0.16027866044574959"/>
                    </c:manualLayout>
                  </c15:layout>
                  <c15:dlblFieldTable/>
                  <c15:showDataLabelsRange val="0"/>
                </c:ext>
                <c:ext xmlns:c16="http://schemas.microsoft.com/office/drawing/2014/chart" uri="{C3380CC4-5D6E-409C-BE32-E72D297353CC}">
                  <c16:uniqueId val="{00000001-77E3-4DDB-8F85-0503BB784D87}"/>
                </c:ext>
              </c:extLst>
            </c:dLbl>
            <c:dLbl>
              <c:idx val="1"/>
              <c:layout>
                <c:manualLayout>
                  <c:x val="-9.1911977008637472E-2"/>
                  <c:y val="-0.73492069526112735"/>
                </c:manualLayout>
              </c:layout>
              <c:tx>
                <c:rich>
                  <a:bodyPr/>
                  <a:lstStyle/>
                  <a:p>
                    <a:fld id="{30DEE036-772C-41DB-82FD-52101E084105}" type="CATEGORYNAME">
                      <a:rPr lang="en-US"/>
                      <a:pPr/>
                      <a:t>[NOME DA CATEGORIA]</a:t>
                    </a:fld>
                    <a:r>
                      <a:rPr lang="en-US"/>
                      <a:t> </a:t>
                    </a:r>
                    <a:r>
                      <a:rPr lang="en-US" baseline="0"/>
                      <a:t> </a:t>
                    </a:r>
                    <a:fld id="{F85FB7F0-7B94-4229-9B77-C8D2594BEC01}" type="VALUE">
                      <a:rPr lang="en-US" baseline="0"/>
                      <a:pPr/>
                      <a:t>[VALOR]</a:t>
                    </a:fld>
                    <a:endParaRPr lang="en-US" baseline="0"/>
                  </a:p>
                </c:rich>
              </c:tx>
              <c:dLblPos val="bestFit"/>
              <c:showLegendKey val="1"/>
              <c:showVal val="1"/>
              <c:showCatName val="1"/>
              <c:showSerName val="0"/>
              <c:showPercent val="0"/>
              <c:showBubbleSize val="0"/>
              <c:extLst>
                <c:ext xmlns:c15="http://schemas.microsoft.com/office/drawing/2012/chart" uri="{CE6537A1-D6FC-4f65-9D91-7224C49458BB}">
                  <c15:layout>
                    <c:manualLayout>
                      <c:w val="0.41223321759259257"/>
                      <c:h val="0.15726192810457518"/>
                    </c:manualLayout>
                  </c15:layout>
                  <c15:dlblFieldTable/>
                  <c15:showDataLabelsRange val="0"/>
                </c:ext>
                <c:ext xmlns:c16="http://schemas.microsoft.com/office/drawing/2014/chart" uri="{C3380CC4-5D6E-409C-BE32-E72D297353CC}">
                  <c16:uniqueId val="{00000003-77E3-4DDB-8F85-0503BB784D87}"/>
                </c:ext>
              </c:extLst>
            </c:dLbl>
            <c:spPr>
              <a:noFill/>
              <a:ln>
                <a:noFill/>
              </a:ln>
              <a:effectLst/>
            </c:spPr>
            <c:txPr>
              <a:bodyPr rot="0" spcFirstLastPara="1" vertOverflow="ellipsis" vert="horz" wrap="square" anchor="ctr" anchorCtr="1"/>
              <a:lstStyle/>
              <a:p>
                <a:pPr>
                  <a:defRPr sz="2800" b="1" i="0" u="none" strike="noStrike" kern="1200" baseline="0">
                    <a:solidFill>
                      <a:schemeClr val="accent1">
                        <a:lumMod val="50000"/>
                      </a:schemeClr>
                    </a:solidFill>
                    <a:latin typeface="Arial" panose="020B0604020202020204" pitchFamily="34" charset="0"/>
                    <a:ea typeface="Tahoma" panose="020B0604030504040204" pitchFamily="34" charset="0"/>
                    <a:cs typeface="Arial" panose="020B0604020202020204" pitchFamily="34" charset="0"/>
                  </a:defRPr>
                </a:pPr>
                <a:endParaRPr lang="pt-BR"/>
              </a:p>
            </c:txPr>
            <c:dLblPos val="outEnd"/>
            <c:showLegendKey val="1"/>
            <c:showVal val="1"/>
            <c:showCatName val="1"/>
            <c:showSerName val="0"/>
            <c:showPercent val="0"/>
            <c:showBubbleSize val="0"/>
            <c:showLeaderLines val="0"/>
            <c:extLst>
              <c:ext xmlns:c15="http://schemas.microsoft.com/office/drawing/2012/chart" uri="{CE6537A1-D6FC-4f65-9D91-7224C49458BB}"/>
            </c:extLst>
          </c:dLbls>
          <c:cat>
            <c:multiLvlStrRef>
              <c:f>'DADOS - GOPOÚVA'!$D$172:$G$173</c:f>
              <c:multiLvlStrCache>
                <c:ptCount val="4"/>
                <c:lvl>
                  <c:pt idx="0">
                    <c:v>23</c:v>
                  </c:pt>
                  <c:pt idx="1">
                    <c:v>328</c:v>
                  </c:pt>
                  <c:pt idx="2">
                    <c:v>6,55%</c:v>
                  </c:pt>
                  <c:pt idx="3">
                    <c:v>93,45%</c:v>
                  </c:pt>
                </c:lvl>
                <c:lvl>
                  <c:pt idx="0">
                    <c:v>Fotos NC</c:v>
                  </c:pt>
                  <c:pt idx="1">
                    <c:v>Fotos Conforme</c:v>
                  </c:pt>
                  <c:pt idx="2">
                    <c:v>Não Conforme (%)</c:v>
                  </c:pt>
                  <c:pt idx="3">
                    <c:v>Conforme (%)</c:v>
                  </c:pt>
                </c:lvl>
              </c:multiLvlStrCache>
            </c:multiLvlStrRef>
          </c:cat>
          <c:val>
            <c:numRef>
              <c:f>'DADOS - GOPOÚVA'!$F$173:$G$173</c:f>
              <c:numCache>
                <c:formatCode>0.00%</c:formatCode>
                <c:ptCount val="2"/>
                <c:pt idx="0">
                  <c:v>6.5527065527065526E-2</c:v>
                </c:pt>
                <c:pt idx="1">
                  <c:v>0.93447293447293445</c:v>
                </c:pt>
              </c:numCache>
            </c:numRef>
          </c:val>
          <c:extLst>
            <c:ext xmlns:c16="http://schemas.microsoft.com/office/drawing/2014/chart" uri="{C3380CC4-5D6E-409C-BE32-E72D297353CC}">
              <c16:uniqueId val="{00000004-77E3-4DDB-8F85-0503BB784D87}"/>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sz="1400" b="1">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1" i="0" u="none" strike="noStrike" kern="1200" spc="0" baseline="0">
                <a:solidFill>
                  <a:schemeClr val="accent1">
                    <a:lumMod val="50000"/>
                  </a:schemeClr>
                </a:solidFill>
                <a:latin typeface="Arial Black" panose="020B0A04020102020204" pitchFamily="34" charset="0"/>
                <a:ea typeface="Tahoma" panose="020B0604030504040204" pitchFamily="34" charset="0"/>
                <a:cs typeface="Arial" panose="020B0604020202020204" pitchFamily="34" charset="0"/>
              </a:defRPr>
            </a:pPr>
            <a:r>
              <a:rPr lang="pt-BR" sz="2800">
                <a:latin typeface="Arial Black" panose="020B0A04020102020204" pitchFamily="34" charset="0"/>
                <a:cs typeface="Arial" panose="020B0604020202020204" pitchFamily="34" charset="0"/>
              </a:rPr>
              <a:t>CONFORMIDADES - ETAPAS (%)</a:t>
            </a:r>
          </a:p>
        </c:rich>
      </c:tx>
      <c:overlay val="0"/>
      <c:spPr>
        <a:noFill/>
        <a:ln>
          <a:noFill/>
        </a:ln>
        <a:effectLst/>
      </c:spPr>
      <c:txPr>
        <a:bodyPr rot="0" spcFirstLastPara="1" vertOverflow="ellipsis" vert="horz" wrap="square" anchor="ctr" anchorCtr="1"/>
        <a:lstStyle/>
        <a:p>
          <a:pPr>
            <a:defRPr sz="2800" b="1" i="0" u="none" strike="noStrike" kern="1200" spc="0" baseline="0">
              <a:solidFill>
                <a:schemeClr val="accent1">
                  <a:lumMod val="50000"/>
                </a:schemeClr>
              </a:solidFill>
              <a:latin typeface="Arial Black" panose="020B0A04020102020204" pitchFamily="34" charset="0"/>
              <a:ea typeface="Tahoma" panose="020B0604030504040204" pitchFamily="34" charset="0"/>
              <a:cs typeface="Arial" panose="020B0604020202020204" pitchFamily="34" charset="0"/>
            </a:defRPr>
          </a:pPr>
          <a:endParaRPr lang="pt-BR"/>
        </a:p>
      </c:txPr>
    </c:title>
    <c:autoTitleDeleted val="0"/>
    <c:plotArea>
      <c:layout>
        <c:manualLayout>
          <c:layoutTarget val="inner"/>
          <c:xMode val="edge"/>
          <c:yMode val="edge"/>
          <c:x val="1.6037174940898347E-2"/>
          <c:y val="0.28111929219109572"/>
          <c:w val="0.97242924138475473"/>
          <c:h val="0.34474156247575083"/>
        </c:manualLayout>
      </c:layout>
      <c:barChart>
        <c:barDir val="col"/>
        <c:grouping val="clustered"/>
        <c:varyColors val="0"/>
        <c:ser>
          <c:idx val="0"/>
          <c:order val="0"/>
          <c:tx>
            <c:strRef>
              <c:f>'DADOS - GOPOÚVA'!$F$141</c:f>
              <c:strCache>
                <c:ptCount val="1"/>
                <c:pt idx="0">
                  <c:v>CONFORME (%)</c:v>
                </c:pt>
              </c:strCache>
            </c:strRef>
          </c:tx>
          <c:spPr>
            <a:solidFill>
              <a:schemeClr val="accent1"/>
            </a:solidFill>
            <a:ln>
              <a:noFill/>
            </a:ln>
            <a:effectLst/>
          </c:spPr>
          <c:invertIfNegative val="0"/>
          <c:dLbls>
            <c:spPr>
              <a:noFill/>
              <a:ln>
                <a:noFill/>
              </a:ln>
              <a:effectLst/>
            </c:spPr>
            <c:txPr>
              <a:bodyPr rot="-5400000" spcFirstLastPara="1" vertOverflow="ellipsis" wrap="square" anchor="ctr" anchorCtr="1"/>
              <a:lstStyle/>
              <a:p>
                <a:pPr>
                  <a:defRPr sz="24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'DADOS - GOPOÚVA'!$B$281:$B$288</c:f>
              <c:strCache>
                <c:ptCount val="8"/>
                <c:pt idx="0">
                  <c:v>FACHADA</c:v>
                </c:pt>
                <c:pt idx="1">
                  <c:v>SINALIZAÇÃO</c:v>
                </c:pt>
                <c:pt idx="2">
                  <c:v>IMPRIMAÇÃO</c:v>
                </c:pt>
                <c:pt idx="3">
                  <c:v>TERMÔMETRO</c:v>
                </c:pt>
                <c:pt idx="4">
                  <c:v>RASTELO</c:v>
                </c:pt>
                <c:pt idx="5">
                  <c:v>COMPAC. MASSA ASF.</c:v>
                </c:pt>
                <c:pt idx="6">
                  <c:v>PLACA VIBRATÓRIA</c:v>
                </c:pt>
                <c:pt idx="7">
                  <c:v>FINALIZAÇÃO</c:v>
                </c:pt>
              </c:strCache>
            </c:strRef>
          </c:cat>
          <c:val>
            <c:numRef>
              <c:f>'DADOS - GOPOÚVA'!$F$281:$F$288</c:f>
              <c:numCache>
                <c:formatCode>0.00%</c:formatCode>
                <c:ptCount val="8"/>
                <c:pt idx="0">
                  <c:v>0.57077625570776258</c:v>
                </c:pt>
                <c:pt idx="1">
                  <c:v>0.54794520547945202</c:v>
                </c:pt>
                <c:pt idx="2">
                  <c:v>0.53424657534246578</c:v>
                </c:pt>
                <c:pt idx="3">
                  <c:v>0.53669724770642202</c:v>
                </c:pt>
                <c:pt idx="4">
                  <c:v>0.54337899543378998</c:v>
                </c:pt>
                <c:pt idx="5">
                  <c:v>0.51627906976744187</c:v>
                </c:pt>
                <c:pt idx="6">
                  <c:v>0.5321100917431193</c:v>
                </c:pt>
                <c:pt idx="7">
                  <c:v>0.54128440366972475</c:v>
                </c:pt>
              </c:numCache>
            </c:numRef>
          </c:val>
          <c:extLst>
            <c:ext xmlns:c16="http://schemas.microsoft.com/office/drawing/2014/chart" uri="{C3380CC4-5D6E-409C-BE32-E72D297353CC}">
              <c16:uniqueId val="{00000000-D6CB-4E40-8E8B-79E45B67B7E4}"/>
            </c:ext>
          </c:extLst>
        </c:ser>
        <c:dLbls>
          <c:dLblPos val="outEnd"/>
          <c:showLegendKey val="0"/>
          <c:showVal val="1"/>
          <c:showCatName val="0"/>
          <c:showSerName val="0"/>
          <c:showPercent val="0"/>
          <c:showBubbleSize val="0"/>
        </c:dLbls>
        <c:gapWidth val="219"/>
        <c:overlap val="-27"/>
        <c:axId val="152712608"/>
        <c:axId val="152713000"/>
      </c:barChart>
      <c:catAx>
        <c:axId val="152712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800" b="1" i="0" u="none" strike="noStrike" kern="1200" baseline="0">
                <a:solidFill>
                  <a:schemeClr val="accent1">
                    <a:lumMod val="50000"/>
                  </a:schemeClr>
                </a:solidFill>
                <a:latin typeface="Arial Black" panose="020B0A04020102020204" pitchFamily="34" charset="0"/>
                <a:ea typeface="Tahoma" panose="020B0604030504040204" pitchFamily="34" charset="0"/>
                <a:cs typeface="Arial" panose="020B0604020202020204" pitchFamily="34" charset="0"/>
              </a:defRPr>
            </a:pPr>
            <a:endParaRPr lang="pt-BR"/>
          </a:p>
        </c:txPr>
        <c:crossAx val="152713000"/>
        <c:crosses val="autoZero"/>
        <c:auto val="1"/>
        <c:lblAlgn val="ctr"/>
        <c:lblOffset val="100"/>
        <c:noMultiLvlLbl val="0"/>
      </c:catAx>
      <c:valAx>
        <c:axId val="152713000"/>
        <c:scaling>
          <c:orientation val="minMax"/>
          <c:max val="1"/>
        </c:scaling>
        <c:delete val="1"/>
        <c:axPos val="l"/>
        <c:numFmt formatCode="0.00%" sourceLinked="1"/>
        <c:majorTickMark val="out"/>
        <c:minorTickMark val="none"/>
        <c:tickLblPos val="nextTo"/>
        <c:crossAx val="152712608"/>
        <c:crosses val="autoZero"/>
        <c:crossBetween val="between"/>
      </c:valAx>
      <c:spPr>
        <a:noFill/>
        <a:ln>
          <a:noFill/>
        </a:ln>
        <a:effectLst/>
      </c:spPr>
    </c:plotArea>
    <c:legend>
      <c:legendPos val="b"/>
      <c:legendEntry>
        <c:idx val="0"/>
        <c:txPr>
          <a:bodyPr rot="0" spcFirstLastPara="1" vertOverflow="ellipsis" vert="horz" wrap="square" anchor="ctr" anchorCtr="1"/>
          <a:lstStyle/>
          <a:p>
            <a:pPr>
              <a:defRPr sz="2000" b="1" i="0" u="none" strike="noStrike" kern="1200" baseline="0">
                <a:solidFill>
                  <a:schemeClr val="accent1">
                    <a:lumMod val="50000"/>
                  </a:schemeClr>
                </a:solidFill>
                <a:latin typeface="Arial Black" panose="020B0A04020102020204" pitchFamily="34" charset="0"/>
                <a:ea typeface="Tahoma" panose="020B0604030504040204" pitchFamily="34" charset="0"/>
                <a:cs typeface="Arial" panose="020B0604020202020204" pitchFamily="34" charset="0"/>
              </a:defRPr>
            </a:pPr>
            <a:endParaRPr lang="pt-BR"/>
          </a:p>
        </c:txPr>
      </c:legendEntry>
      <c:layout>
        <c:manualLayout>
          <c:xMode val="edge"/>
          <c:yMode val="edge"/>
          <c:x val="0.40388043735224594"/>
          <c:y val="0.9503968055555555"/>
          <c:w val="0.1562106973995272"/>
          <c:h val="4.9603194444444443E-2"/>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accent1">
                  <a:lumMod val="50000"/>
                </a:schemeClr>
              </a:solidFill>
              <a:latin typeface="Arial Black" panose="020B0A04020102020204" pitchFamily="34" charset="0"/>
              <a:ea typeface="Tahoma" panose="020B0604030504040204" pitchFamily="34" charset="0"/>
              <a:cs typeface="Arial" panose="020B0604020202020204" pitchFamily="34" charset="0"/>
            </a:defRPr>
          </a:pPr>
          <a:endParaRPr lang="pt-BR"/>
        </a:p>
      </c:txPr>
    </c:legend>
    <c:plotVisOnly val="1"/>
    <c:dispBlanksAs val="gap"/>
    <c:showDLblsOverMax val="0"/>
  </c:chart>
  <c:spPr>
    <a:noFill/>
    <a:ln w="9525" cap="flat" cmpd="sng" algn="ctr">
      <a:noFill/>
      <a:round/>
    </a:ln>
    <a:effectLst/>
  </c:spPr>
  <c:txPr>
    <a:bodyPr/>
    <a:lstStyle/>
    <a:p>
      <a:pPr>
        <a:defRPr sz="1400" b="1">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0" i="0" u="none" strike="noStrike" kern="1200" spc="0" baseline="0">
                <a:solidFill>
                  <a:schemeClr val="accent1">
                    <a:lumMod val="50000"/>
                  </a:schemeClr>
                </a:solidFill>
                <a:latin typeface="Arial Black" panose="020B0A04020102020204" pitchFamily="34" charset="0"/>
                <a:ea typeface="Tahoma" panose="020B0604030504040204" pitchFamily="34" charset="0"/>
                <a:cs typeface="Tahoma" panose="020B0604030504040204" pitchFamily="34" charset="0"/>
              </a:defRPr>
            </a:pPr>
            <a:r>
              <a:rPr lang="en-US" sz="2800" b="0">
                <a:latin typeface="Arial Black" panose="020B0A04020102020204" pitchFamily="34" charset="0"/>
              </a:rPr>
              <a:t>SEQUÊNCIA DE FOTOS</a:t>
            </a:r>
          </a:p>
        </c:rich>
      </c:tx>
      <c:overlay val="0"/>
      <c:spPr>
        <a:noFill/>
        <a:ln>
          <a:noFill/>
        </a:ln>
        <a:effectLst/>
      </c:spPr>
      <c:txPr>
        <a:bodyPr rot="0" spcFirstLastPara="1" vertOverflow="ellipsis" vert="horz" wrap="square" anchor="ctr" anchorCtr="1"/>
        <a:lstStyle/>
        <a:p>
          <a:pPr>
            <a:defRPr sz="2800" b="0" i="0" u="none" strike="noStrike" kern="1200" spc="0" baseline="0">
              <a:solidFill>
                <a:schemeClr val="accent1">
                  <a:lumMod val="50000"/>
                </a:schemeClr>
              </a:solidFill>
              <a:latin typeface="Arial Black" panose="020B0A04020102020204" pitchFamily="34" charset="0"/>
              <a:ea typeface="Tahoma" panose="020B0604030504040204" pitchFamily="34" charset="0"/>
              <a:cs typeface="Tahoma" panose="020B0604030504040204" pitchFamily="34" charset="0"/>
            </a:defRPr>
          </a:pPr>
          <a:endParaRPr lang="pt-BR"/>
        </a:p>
      </c:txPr>
    </c:title>
    <c:autoTitleDeleted val="0"/>
    <c:plotArea>
      <c:layout>
        <c:manualLayout>
          <c:layoutTarget val="inner"/>
          <c:xMode val="edge"/>
          <c:yMode val="edge"/>
          <c:x val="0.24031445681432562"/>
          <c:y val="0.15766062556379071"/>
          <c:w val="0.5255393326808746"/>
          <c:h val="0.7587024833488889"/>
        </c:manualLayout>
      </c:layout>
      <c:pieChart>
        <c:varyColors val="1"/>
        <c:ser>
          <c:idx val="0"/>
          <c:order val="0"/>
          <c:tx>
            <c:strRef>
              <c:f>'DADOS - GOPOÚVA'!$B$277</c:f>
              <c:strCache>
                <c:ptCount val="1"/>
                <c:pt idx="0">
                  <c:v>Reposição</c:v>
                </c:pt>
              </c:strCache>
            </c:strRef>
          </c:tx>
          <c:explosion val="7"/>
          <c:dPt>
            <c:idx val="0"/>
            <c:bubble3D val="0"/>
            <c:explosion val="4"/>
            <c:spPr>
              <a:solidFill>
                <a:schemeClr val="accent2"/>
              </a:solidFill>
              <a:ln w="19050">
                <a:solidFill>
                  <a:schemeClr val="lt1"/>
                </a:solidFill>
              </a:ln>
              <a:effectLst/>
            </c:spPr>
            <c:extLst>
              <c:ext xmlns:c16="http://schemas.microsoft.com/office/drawing/2014/chart" uri="{C3380CC4-5D6E-409C-BE32-E72D297353CC}">
                <c16:uniqueId val="{00000001-CB88-4D06-91FD-5261587D6167}"/>
              </c:ext>
            </c:extLst>
          </c:dPt>
          <c:dPt>
            <c:idx val="1"/>
            <c:bubble3D val="0"/>
            <c:explosion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3-CB88-4D06-91FD-5261587D6167}"/>
              </c:ext>
            </c:extLst>
          </c:dPt>
          <c:dLbls>
            <c:dLbl>
              <c:idx val="0"/>
              <c:layout>
                <c:manualLayout>
                  <c:x val="-2.4036631944444446E-2"/>
                  <c:y val="0.35432205882352924"/>
                </c:manualLayout>
              </c:layout>
              <c:tx>
                <c:rich>
                  <a:bodyPr/>
                  <a:lstStyle/>
                  <a:p>
                    <a:fld id="{3DEF3CBE-BA40-452E-B62D-38C7634BD340}" type="CATEGORYNAME">
                      <a:rPr lang="en-US"/>
                      <a:pPr/>
                      <a:t>[NOME DA CATEGORIA]</a:t>
                    </a:fld>
                    <a:r>
                      <a:rPr lang="en-US"/>
                      <a:t> </a:t>
                    </a:r>
                    <a:r>
                      <a:rPr lang="en-US" baseline="0"/>
                      <a:t> </a:t>
                    </a:r>
                    <a:fld id="{D6809A74-2863-4AA8-B879-291FD493640F}" type="VALUE">
                      <a:rPr lang="en-US" baseline="0"/>
                      <a:pPr/>
                      <a:t>[VALOR]</a:t>
                    </a:fld>
                    <a:endParaRPr lang="en-US" baseline="0"/>
                  </a:p>
                </c:rich>
              </c:tx>
              <c:dLblPos val="bestFit"/>
              <c:showLegendKey val="1"/>
              <c:showVal val="1"/>
              <c:showCatName val="1"/>
              <c:showSerName val="0"/>
              <c:showPercent val="0"/>
              <c:showBubbleSize val="0"/>
              <c:extLst>
                <c:ext xmlns:c15="http://schemas.microsoft.com/office/drawing/2012/chart" uri="{CE6537A1-D6FC-4f65-9D91-7224C49458BB}">
                  <c15:layout>
                    <c:manualLayout>
                      <c:w val="0.28209016203703696"/>
                      <c:h val="0.17012957516339869"/>
                    </c:manualLayout>
                  </c15:layout>
                  <c15:dlblFieldTable/>
                  <c15:showDataLabelsRange val="0"/>
                </c:ext>
                <c:ext xmlns:c16="http://schemas.microsoft.com/office/drawing/2014/chart" uri="{C3380CC4-5D6E-409C-BE32-E72D297353CC}">
                  <c16:uniqueId val="{00000001-CB88-4D06-91FD-5261587D6167}"/>
                </c:ext>
              </c:extLst>
            </c:dLbl>
            <c:dLbl>
              <c:idx val="1"/>
              <c:layout>
                <c:manualLayout>
                  <c:x val="-1.6283969907407402E-2"/>
                  <c:y val="-0.33226437908496731"/>
                </c:manualLayout>
              </c:layout>
              <c:tx>
                <c:rich>
                  <a:bodyPr/>
                  <a:lstStyle/>
                  <a:p>
                    <a:fld id="{8F0133E8-1217-4EC6-AB2D-79F2A72D508F}" type="CATEGORYNAME">
                      <a:rPr lang="en-US"/>
                      <a:pPr/>
                      <a:t>[NOME DA CATEGORIA]</a:t>
                    </a:fld>
                    <a:r>
                      <a:rPr lang="en-US"/>
                      <a:t> </a:t>
                    </a:r>
                    <a:r>
                      <a:rPr lang="en-US" baseline="0"/>
                      <a:t> </a:t>
                    </a:r>
                    <a:fld id="{F8FF62A4-B229-456B-9502-C1291D08E5A2}" type="VALUE">
                      <a:rPr lang="en-US" baseline="0"/>
                      <a:pPr/>
                      <a:t>[VALOR]</a:t>
                    </a:fld>
                    <a:endParaRPr lang="en-US" baseline="0"/>
                  </a:p>
                </c:rich>
              </c:tx>
              <c:dLblPos val="bestFit"/>
              <c:showLegendKey val="1"/>
              <c:showVal val="1"/>
              <c:showCatName val="1"/>
              <c:showSerName val="0"/>
              <c:showPercent val="0"/>
              <c:showBubbleSize val="0"/>
              <c:extLst>
                <c:ext xmlns:c15="http://schemas.microsoft.com/office/drawing/2012/chart" uri="{CE6537A1-D6FC-4f65-9D91-7224C49458BB}">
                  <c15:layout>
                    <c:manualLayout>
                      <c:w val="0.41250763888888886"/>
                      <c:h val="0.15975375816993465"/>
                    </c:manualLayout>
                  </c15:layout>
                  <c15:dlblFieldTable/>
                  <c15:showDataLabelsRange val="0"/>
                </c:ext>
                <c:ext xmlns:c16="http://schemas.microsoft.com/office/drawing/2014/chart" uri="{C3380CC4-5D6E-409C-BE32-E72D297353CC}">
                  <c16:uniqueId val="{00000003-CB88-4D06-91FD-5261587D6167}"/>
                </c:ext>
              </c:extLst>
            </c:dLbl>
            <c:spPr>
              <a:noFill/>
              <a:ln>
                <a:noFill/>
              </a:ln>
              <a:effectLst/>
            </c:spPr>
            <c:txPr>
              <a:bodyPr rot="0" spcFirstLastPara="1" vertOverflow="ellipsis" vert="horz" wrap="square" anchor="ctr" anchorCtr="1"/>
              <a:lstStyle/>
              <a:p>
                <a:pPr>
                  <a:defRPr sz="2800" b="1" i="0" u="none" strike="noStrike" kern="1200" baseline="0">
                    <a:solidFill>
                      <a:schemeClr val="accent1">
                        <a:lumMod val="50000"/>
                      </a:schemeClr>
                    </a:solidFill>
                    <a:latin typeface="Arial" panose="020B0604020202020204" pitchFamily="34" charset="0"/>
                    <a:ea typeface="Tahoma" panose="020B0604030504040204" pitchFamily="34" charset="0"/>
                    <a:cs typeface="Arial" panose="020B0604020202020204" pitchFamily="34" charset="0"/>
                  </a:defRPr>
                </a:pPr>
                <a:endParaRPr lang="pt-BR"/>
              </a:p>
            </c:txPr>
            <c:dLblPos val="outEnd"/>
            <c:showLegendKey val="1"/>
            <c:showVal val="1"/>
            <c:showCatName val="1"/>
            <c:showSerName val="0"/>
            <c:showPercent val="0"/>
            <c:showBubbleSize val="0"/>
            <c:showLeaderLines val="0"/>
            <c:extLst>
              <c:ext xmlns:c15="http://schemas.microsoft.com/office/drawing/2012/chart" uri="{CE6537A1-D6FC-4f65-9D91-7224C49458BB}"/>
            </c:extLst>
          </c:dLbls>
          <c:cat>
            <c:multiLvlStrRef>
              <c:f>'DADOS - GOPOÚVA'!$D$276:$G$277</c:f>
              <c:multiLvlStrCache>
                <c:ptCount val="4"/>
                <c:lvl>
                  <c:pt idx="0">
                    <c:v>113</c:v>
                  </c:pt>
                  <c:pt idx="1">
                    <c:v>106</c:v>
                  </c:pt>
                  <c:pt idx="2">
                    <c:v>51,60%</c:v>
                  </c:pt>
                  <c:pt idx="3">
                    <c:v>48,40%</c:v>
                  </c:pt>
                </c:lvl>
                <c:lvl>
                  <c:pt idx="0">
                    <c:v>Fotos NC</c:v>
                  </c:pt>
                  <c:pt idx="1">
                    <c:v>Fotos Conforme</c:v>
                  </c:pt>
                  <c:pt idx="2">
                    <c:v>Não Conforme (%)</c:v>
                  </c:pt>
                  <c:pt idx="3">
                    <c:v>Conforme (%)</c:v>
                  </c:pt>
                </c:lvl>
              </c:multiLvlStrCache>
            </c:multiLvlStrRef>
          </c:cat>
          <c:val>
            <c:numRef>
              <c:f>'DADOS - GOPOÚVA'!$F$277:$G$277</c:f>
              <c:numCache>
                <c:formatCode>0.00%</c:formatCode>
                <c:ptCount val="2"/>
                <c:pt idx="0">
                  <c:v>0.51598173515981738</c:v>
                </c:pt>
                <c:pt idx="1">
                  <c:v>0.48401826484018262</c:v>
                </c:pt>
              </c:numCache>
            </c:numRef>
          </c:val>
          <c:extLst>
            <c:ext xmlns:c16="http://schemas.microsoft.com/office/drawing/2014/chart" uri="{C3380CC4-5D6E-409C-BE32-E72D297353CC}">
              <c16:uniqueId val="{00000004-CB88-4D06-91FD-5261587D6167}"/>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sz="1400" b="1">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r>
              <a:rPr lang="pt-BR" sz="1600"/>
              <a:t>CONFORMIDADE - TEMPO DE EXECUÇÃO (%)</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title>
    <c:autoTitleDeleted val="0"/>
    <c:plotArea>
      <c:layout>
        <c:manualLayout>
          <c:layoutTarget val="inner"/>
          <c:xMode val="edge"/>
          <c:yMode val="edge"/>
          <c:x val="0.46574067767750721"/>
          <c:y val="4.0388703703703704E-2"/>
          <c:w val="0.43457295922193129"/>
          <c:h val="0.92876657407407404"/>
        </c:manualLayout>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'DADOS - GOPOÚVA'!$B$293:$B$295</c:f>
              <c:strCache>
                <c:ptCount val="3"/>
                <c:pt idx="0">
                  <c:v>JONATHAN JUSTINO ELOY</c:v>
                </c:pt>
                <c:pt idx="1">
                  <c:v>LUCAS HENRIQUE ALVES DA SILVA</c:v>
                </c:pt>
                <c:pt idx="2">
                  <c:v>MARTHONIO RODRIGUES DOS SANTOS</c:v>
                </c:pt>
              </c:strCache>
            </c:strRef>
          </c:cat>
          <c:val>
            <c:numRef>
              <c:f>'DADOS - GOPOÚVA'!$F$293:$F$295</c:f>
              <c:numCache>
                <c:formatCode>0.00%</c:formatCode>
                <c:ptCount val="3"/>
                <c:pt idx="0">
                  <c:v>0.11688311688311688</c:v>
                </c:pt>
                <c:pt idx="1">
                  <c:v>0.94117647058823528</c:v>
                </c:pt>
                <c:pt idx="2">
                  <c:v>0.6</c:v>
                </c:pt>
              </c:numCache>
            </c:numRef>
          </c:val>
          <c:extLst>
            <c:ext xmlns:c16="http://schemas.microsoft.com/office/drawing/2014/chart" uri="{C3380CC4-5D6E-409C-BE32-E72D297353CC}">
              <c16:uniqueId val="{00000000-4817-46EF-ABB2-FB8A2EFE31B4}"/>
            </c:ext>
          </c:extLst>
        </c:ser>
        <c:dLbls>
          <c:showLegendKey val="0"/>
          <c:showVal val="1"/>
          <c:showCatName val="0"/>
          <c:showSerName val="0"/>
          <c:showPercent val="0"/>
          <c:showBubbleSize val="0"/>
        </c:dLbls>
        <c:gapWidth val="39"/>
        <c:axId val="160445792"/>
        <c:axId val="160446968"/>
      </c:barChart>
      <c:catAx>
        <c:axId val="16044579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crossAx val="160446968"/>
        <c:crosses val="autoZero"/>
        <c:auto val="1"/>
        <c:lblAlgn val="ctr"/>
        <c:lblOffset val="100"/>
        <c:noMultiLvlLbl val="0"/>
      </c:catAx>
      <c:valAx>
        <c:axId val="160446968"/>
        <c:scaling>
          <c:orientation val="minMax"/>
          <c:max val="1"/>
        </c:scaling>
        <c:delete val="1"/>
        <c:axPos val="t"/>
        <c:numFmt formatCode="0.00%" sourceLinked="1"/>
        <c:majorTickMark val="out"/>
        <c:minorTickMark val="none"/>
        <c:tickLblPos val="nextTo"/>
        <c:crossAx val="160445792"/>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400" b="1">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orientation="portrait"/>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r>
              <a:rPr lang="pt-BR" sz="1600"/>
              <a:t>CONFORMIDADE - SEQUÊNCIA DE FOTOS (%)</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title>
    <c:autoTitleDeleted val="0"/>
    <c:plotArea>
      <c:layout>
        <c:manualLayout>
          <c:layoutTarget val="inner"/>
          <c:xMode val="edge"/>
          <c:yMode val="edge"/>
          <c:x val="0.47895705648931086"/>
          <c:y val="4.1143058359907364E-2"/>
          <c:w val="0.42278298326165686"/>
          <c:h val="0.92801217503974465"/>
        </c:manualLayout>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'DADOS - GOPOÚVA'!$B$300:$B$302</c:f>
              <c:strCache>
                <c:ptCount val="3"/>
                <c:pt idx="0">
                  <c:v>JONATHAN JUSTINO ELOY</c:v>
                </c:pt>
                <c:pt idx="1">
                  <c:v>LUCAS HENRIQUE ALVES DA SILVA</c:v>
                </c:pt>
                <c:pt idx="2">
                  <c:v>MARTHONIO RODRIGUES DOS SANTOS</c:v>
                </c:pt>
              </c:strCache>
            </c:strRef>
          </c:cat>
          <c:val>
            <c:numRef>
              <c:f>'DADOS - GOPOÚVA'!$F$300:$F$302</c:f>
              <c:numCache>
                <c:formatCode>0.00%</c:formatCode>
                <c:ptCount val="3"/>
                <c:pt idx="0">
                  <c:v>0.11688311688311688</c:v>
                </c:pt>
                <c:pt idx="1">
                  <c:v>0.77011494252873558</c:v>
                </c:pt>
                <c:pt idx="2">
                  <c:v>0.54545454545454541</c:v>
                </c:pt>
              </c:numCache>
            </c:numRef>
          </c:val>
          <c:extLst>
            <c:ext xmlns:c16="http://schemas.microsoft.com/office/drawing/2014/chart" uri="{C3380CC4-5D6E-409C-BE32-E72D297353CC}">
              <c16:uniqueId val="{00000000-48C5-4BEE-8638-9F60C82252CC}"/>
            </c:ext>
          </c:extLst>
        </c:ser>
        <c:dLbls>
          <c:showLegendKey val="0"/>
          <c:showVal val="1"/>
          <c:showCatName val="0"/>
          <c:showSerName val="0"/>
          <c:showPercent val="0"/>
          <c:showBubbleSize val="0"/>
        </c:dLbls>
        <c:gapWidth val="39"/>
        <c:axId val="152711432"/>
        <c:axId val="152711824"/>
      </c:barChart>
      <c:catAx>
        <c:axId val="15271143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crossAx val="152711824"/>
        <c:crosses val="autoZero"/>
        <c:auto val="1"/>
        <c:lblAlgn val="ctr"/>
        <c:lblOffset val="100"/>
        <c:noMultiLvlLbl val="0"/>
      </c:catAx>
      <c:valAx>
        <c:axId val="152711824"/>
        <c:scaling>
          <c:orientation val="minMax"/>
          <c:max val="1"/>
        </c:scaling>
        <c:delete val="1"/>
        <c:axPos val="t"/>
        <c:numFmt formatCode="0.00%" sourceLinked="1"/>
        <c:majorTickMark val="out"/>
        <c:minorTickMark val="none"/>
        <c:tickLblPos val="nextTo"/>
        <c:crossAx val="152711432"/>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400" b="1">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0" i="0" u="none" strike="noStrike" kern="1200" spc="0" baseline="0">
                <a:solidFill>
                  <a:schemeClr val="accent1">
                    <a:lumMod val="50000"/>
                  </a:schemeClr>
                </a:solidFill>
                <a:latin typeface="Arial Black" panose="020B0A04020102020204" pitchFamily="34" charset="0"/>
                <a:ea typeface="Tahoma" panose="020B0604030504040204" pitchFamily="34" charset="0"/>
                <a:cs typeface="Tahoma" panose="020B0604030504040204" pitchFamily="34" charset="0"/>
              </a:defRPr>
            </a:pPr>
            <a:r>
              <a:rPr lang="en-US" sz="2800" b="0">
                <a:latin typeface="Arial Black" panose="020B0A04020102020204" pitchFamily="34" charset="0"/>
              </a:rPr>
              <a:t>TEMPO DE EXECUÇÃO</a:t>
            </a:r>
          </a:p>
        </c:rich>
      </c:tx>
      <c:overlay val="0"/>
      <c:spPr>
        <a:noFill/>
        <a:ln>
          <a:noFill/>
        </a:ln>
        <a:effectLst/>
      </c:spPr>
      <c:txPr>
        <a:bodyPr rot="0" spcFirstLastPara="1" vertOverflow="ellipsis" vert="horz" wrap="square" anchor="ctr" anchorCtr="1"/>
        <a:lstStyle/>
        <a:p>
          <a:pPr>
            <a:defRPr sz="2800" b="0" i="0" u="none" strike="noStrike" kern="1200" spc="0" baseline="0">
              <a:solidFill>
                <a:schemeClr val="accent1">
                  <a:lumMod val="50000"/>
                </a:schemeClr>
              </a:solidFill>
              <a:latin typeface="Arial Black" panose="020B0A04020102020204" pitchFamily="34" charset="0"/>
              <a:ea typeface="Tahoma" panose="020B0604030504040204" pitchFamily="34" charset="0"/>
              <a:cs typeface="Tahoma" panose="020B0604030504040204" pitchFamily="34" charset="0"/>
            </a:defRPr>
          </a:pPr>
          <a:endParaRPr lang="pt-BR"/>
        </a:p>
      </c:txPr>
    </c:title>
    <c:autoTitleDeleted val="0"/>
    <c:plotArea>
      <c:layout>
        <c:manualLayout>
          <c:layoutTarget val="inner"/>
          <c:xMode val="edge"/>
          <c:yMode val="edge"/>
          <c:x val="0.24449053032354315"/>
          <c:y val="0.14094322778300733"/>
          <c:w val="0.52329897363349509"/>
          <c:h val="0.75546815650189691"/>
        </c:manualLayout>
      </c:layout>
      <c:pieChart>
        <c:varyColors val="1"/>
        <c:ser>
          <c:idx val="0"/>
          <c:order val="0"/>
          <c:tx>
            <c:strRef>
              <c:f>'DADOS - GOPOÚVA'!$B$273</c:f>
              <c:strCache>
                <c:ptCount val="1"/>
                <c:pt idx="0">
                  <c:v>Reposição</c:v>
                </c:pt>
              </c:strCache>
            </c:strRef>
          </c:tx>
          <c:spPr>
            <a:solidFill>
              <a:srgbClr val="FF6600"/>
            </a:solidFill>
          </c:spPr>
          <c:dPt>
            <c:idx val="0"/>
            <c:bubble3D val="0"/>
            <c:spPr>
              <a:solidFill>
                <a:schemeClr val="accent2"/>
              </a:solidFill>
              <a:ln w="19050">
                <a:solidFill>
                  <a:schemeClr val="lt1"/>
                </a:solidFill>
              </a:ln>
              <a:effectLst/>
            </c:spPr>
            <c:extLst>
              <c:ext xmlns:c16="http://schemas.microsoft.com/office/drawing/2014/chart" uri="{C3380CC4-5D6E-409C-BE32-E72D297353CC}">
                <c16:uniqueId val="{00000001-7536-41E6-9230-4F85BDF64C60}"/>
              </c:ext>
            </c:extLst>
          </c:dPt>
          <c:dPt>
            <c:idx val="1"/>
            <c:bubble3D val="0"/>
            <c:explosion val="3"/>
            <c:spPr>
              <a:solidFill>
                <a:schemeClr val="accent5">
                  <a:lumMod val="75000"/>
                </a:schemeClr>
              </a:solidFill>
              <a:ln w="19050">
                <a:solidFill>
                  <a:schemeClr val="lt1"/>
                </a:solidFill>
              </a:ln>
              <a:effectLst/>
            </c:spPr>
            <c:extLst>
              <c:ext xmlns:c16="http://schemas.microsoft.com/office/drawing/2014/chart" uri="{C3380CC4-5D6E-409C-BE32-E72D297353CC}">
                <c16:uniqueId val="{00000003-7536-41E6-9230-4F85BDF64C60}"/>
              </c:ext>
            </c:extLst>
          </c:dPt>
          <c:dLbls>
            <c:dLbl>
              <c:idx val="0"/>
              <c:layout>
                <c:manualLayout>
                  <c:x val="-2.330173611111111E-2"/>
                  <c:y val="0.49650269607843123"/>
                </c:manualLayout>
              </c:layout>
              <c:tx>
                <c:rich>
                  <a:bodyPr/>
                  <a:lstStyle/>
                  <a:p>
                    <a:fld id="{D32A983E-12C8-45CC-B469-EF048F5E8B78}" type="CATEGORYNAME">
                      <a:rPr lang="en-US"/>
                      <a:pPr/>
                      <a:t>[NOME DA CATEGORIA]</a:t>
                    </a:fld>
                    <a:r>
                      <a:rPr lang="en-US"/>
                      <a:t> </a:t>
                    </a:r>
                    <a:r>
                      <a:rPr lang="en-US" baseline="0"/>
                      <a:t> </a:t>
                    </a:r>
                    <a:fld id="{2D12AD4D-606F-41A8-82FC-D09A7E5C91BC}" type="VALUE">
                      <a:rPr lang="en-US" baseline="0"/>
                      <a:pPr/>
                      <a:t>[VALOR]</a:t>
                    </a:fld>
                    <a:endParaRPr lang="en-US" baseline="0"/>
                  </a:p>
                </c:rich>
              </c:tx>
              <c:dLblPos val="bestFit"/>
              <c:showLegendKey val="1"/>
              <c:showVal val="1"/>
              <c:showCatName val="1"/>
              <c:showSerName val="0"/>
              <c:showPercent val="0"/>
              <c:showBubbleSize val="0"/>
              <c:extLst>
                <c:ext xmlns:c15="http://schemas.microsoft.com/office/drawing/2012/chart" uri="{CE6537A1-D6FC-4f65-9D91-7224C49458BB}">
                  <c15:layout>
                    <c:manualLayout>
                      <c:w val="0.36166053240740742"/>
                      <c:h val="0.14440228758169932"/>
                    </c:manualLayout>
                  </c15:layout>
                  <c15:dlblFieldTable/>
                  <c15:showDataLabelsRange val="0"/>
                </c:ext>
                <c:ext xmlns:c16="http://schemas.microsoft.com/office/drawing/2014/chart" uri="{C3380CC4-5D6E-409C-BE32-E72D297353CC}">
                  <c16:uniqueId val="{00000001-7536-41E6-9230-4F85BDF64C60}"/>
                </c:ext>
              </c:extLst>
            </c:dLbl>
            <c:dLbl>
              <c:idx val="1"/>
              <c:layout>
                <c:manualLayout>
                  <c:x val="-2.2898611111111113E-2"/>
                  <c:y val="-0.41025392156862744"/>
                </c:manualLayout>
              </c:layout>
              <c:tx>
                <c:rich>
                  <a:bodyPr/>
                  <a:lstStyle/>
                  <a:p>
                    <a:fld id="{A2E33BF9-6A21-498F-89FC-6AF97EA74EE0}" type="CATEGORYNAME">
                      <a:rPr lang="en-US"/>
                      <a:pPr/>
                      <a:t>[NOME DA CATEGORIA]</a:t>
                    </a:fld>
                    <a:r>
                      <a:rPr lang="en-US"/>
                      <a:t> </a:t>
                    </a:r>
                    <a:r>
                      <a:rPr lang="en-US" baseline="0"/>
                      <a:t> </a:t>
                    </a:r>
                    <a:fld id="{7DCD1389-3CC2-402C-BC0C-CE4F48B3EB75}" type="VALUE">
                      <a:rPr lang="en-US" baseline="0"/>
                      <a:pPr/>
                      <a:t>[VALOR]</a:t>
                    </a:fld>
                    <a:endParaRPr lang="en-US" baseline="0"/>
                  </a:p>
                </c:rich>
              </c:tx>
              <c:dLblPos val="bestFit"/>
              <c:showLegendKey val="1"/>
              <c:showVal val="1"/>
              <c:showCatName val="1"/>
              <c:showSerName val="0"/>
              <c:showPercent val="0"/>
              <c:showBubbleSize val="0"/>
              <c:extLst>
                <c:ext xmlns:c15="http://schemas.microsoft.com/office/drawing/2012/chart" uri="{CE6537A1-D6FC-4f65-9D91-7224C49458BB}">
                  <c15:layout>
                    <c:manualLayout>
                      <c:w val="0.29013356481481484"/>
                      <c:h val="0.17220473856209151"/>
                    </c:manualLayout>
                  </c15:layout>
                  <c15:dlblFieldTable/>
                  <c15:showDataLabelsRange val="0"/>
                </c:ext>
                <c:ext xmlns:c16="http://schemas.microsoft.com/office/drawing/2014/chart" uri="{C3380CC4-5D6E-409C-BE32-E72D297353CC}">
                  <c16:uniqueId val="{00000003-7536-41E6-9230-4F85BDF64C60}"/>
                </c:ext>
              </c:extLst>
            </c:dLbl>
            <c:spPr>
              <a:noFill/>
              <a:ln>
                <a:noFill/>
              </a:ln>
              <a:effectLst/>
            </c:spPr>
            <c:txPr>
              <a:bodyPr rot="0" spcFirstLastPara="1" vertOverflow="ellipsis" vert="horz" wrap="square" anchor="ctr" anchorCtr="1"/>
              <a:lstStyle/>
              <a:p>
                <a:pPr>
                  <a:defRPr sz="2800" b="1" i="0" u="none" strike="noStrike" kern="1200" baseline="0">
                    <a:solidFill>
                      <a:schemeClr val="accent1">
                        <a:lumMod val="50000"/>
                      </a:schemeClr>
                    </a:solidFill>
                    <a:latin typeface="Arial" panose="020B0604020202020204" pitchFamily="34" charset="0"/>
                    <a:ea typeface="Tahoma" panose="020B0604030504040204" pitchFamily="34" charset="0"/>
                    <a:cs typeface="Arial" panose="020B0604020202020204" pitchFamily="34" charset="0"/>
                  </a:defRPr>
                </a:pPr>
                <a:endParaRPr lang="pt-BR"/>
              </a:p>
            </c:txPr>
            <c:dLblPos val="outEnd"/>
            <c:showLegendKey val="1"/>
            <c:showVal val="1"/>
            <c:showCatName val="1"/>
            <c:showSerName val="0"/>
            <c:showPercent val="0"/>
            <c:showBubbleSize val="0"/>
            <c:showLeaderLines val="0"/>
            <c:extLst>
              <c:ext xmlns:c15="http://schemas.microsoft.com/office/drawing/2012/chart" uri="{CE6537A1-D6FC-4f65-9D91-7224C49458BB}"/>
            </c:extLst>
          </c:dLbls>
          <c:cat>
            <c:multiLvlStrRef>
              <c:f>'DADOS - GOPOÚVA'!$D$272:$G$273</c:f>
              <c:multiLvlStrCache>
                <c:ptCount val="4"/>
                <c:lvl>
                  <c:pt idx="0">
                    <c:v>95</c:v>
                  </c:pt>
                  <c:pt idx="1">
                    <c:v>122</c:v>
                  </c:pt>
                  <c:pt idx="2">
                    <c:v>43,78%</c:v>
                  </c:pt>
                  <c:pt idx="3">
                    <c:v>56,22%</c:v>
                  </c:pt>
                </c:lvl>
                <c:lvl>
                  <c:pt idx="0">
                    <c:v>Não Conforme</c:v>
                  </c:pt>
                  <c:pt idx="1">
                    <c:v>Conforme</c:v>
                  </c:pt>
                  <c:pt idx="2">
                    <c:v>Não Conforme (%)</c:v>
                  </c:pt>
                  <c:pt idx="3">
                    <c:v>Conforme (%)</c:v>
                  </c:pt>
                </c:lvl>
              </c:multiLvlStrCache>
            </c:multiLvlStrRef>
          </c:cat>
          <c:val>
            <c:numRef>
              <c:f>'DADOS - GOPOÚVA'!$F$273:$G$273</c:f>
              <c:numCache>
                <c:formatCode>0.00%</c:formatCode>
                <c:ptCount val="2"/>
                <c:pt idx="0">
                  <c:v>0.43778801843317972</c:v>
                </c:pt>
                <c:pt idx="1">
                  <c:v>0.56221198156682028</c:v>
                </c:pt>
              </c:numCache>
            </c:numRef>
          </c:val>
          <c:extLst>
            <c:ext xmlns:c16="http://schemas.microsoft.com/office/drawing/2014/chart" uri="{C3380CC4-5D6E-409C-BE32-E72D297353CC}">
              <c16:uniqueId val="{00000004-7536-41E6-9230-4F85BDF64C60}"/>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sz="1400" b="1">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5" Type="http://schemas.openxmlformats.org/officeDocument/2006/relationships/chart" Target="../charts/chart16.xml"/><Relationship Id="rId4" Type="http://schemas.openxmlformats.org/officeDocument/2006/relationships/chart" Target="../charts/chart15.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chart" Target="../charts/chart18.xml"/><Relationship Id="rId6" Type="http://schemas.openxmlformats.org/officeDocument/2006/relationships/chart" Target="../charts/chart23.xml"/><Relationship Id="rId5" Type="http://schemas.openxmlformats.org/officeDocument/2006/relationships/chart" Target="../charts/chart22.xml"/><Relationship Id="rId4" Type="http://schemas.openxmlformats.org/officeDocument/2006/relationships/chart" Target="../charts/chart21.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6.xml"/><Relationship Id="rId2" Type="http://schemas.openxmlformats.org/officeDocument/2006/relationships/chart" Target="../charts/chart25.xml"/><Relationship Id="rId1" Type="http://schemas.openxmlformats.org/officeDocument/2006/relationships/chart" Target="../charts/chart24.xml"/><Relationship Id="rId5" Type="http://schemas.openxmlformats.org/officeDocument/2006/relationships/chart" Target="../charts/chart28.xml"/><Relationship Id="rId4" Type="http://schemas.openxmlformats.org/officeDocument/2006/relationships/chart" Target="../charts/chart27.xml"/></Relationships>
</file>

<file path=xl/drawings/drawing1.xml><?xml version="1.0" encoding="utf-8"?>
<xdr:wsDr xmlns:xdr="http://schemas.openxmlformats.org/drawingml/2006/spreadsheetDrawing" xmlns:a="http://schemas.openxmlformats.org/drawingml/2006/main">
  <xdr:twoCellAnchor editAs="oneCell">
    <xdr:from>
      <xdr:col>2</xdr:col>
      <xdr:colOff>99391</xdr:colOff>
      <xdr:row>2</xdr:row>
      <xdr:rowOff>41413</xdr:rowOff>
    </xdr:from>
    <xdr:to>
      <xdr:col>4</xdr:col>
      <xdr:colOff>92613</xdr:colOff>
      <xdr:row>6</xdr:row>
      <xdr:rowOff>7782</xdr:rowOff>
    </xdr:to>
    <xdr:pic>
      <xdr:nvPicPr>
        <xdr:cNvPr id="2" name="Imagem 1">
          <a:extLst>
            <a:ext uri="{FF2B5EF4-FFF2-40B4-BE49-F238E27FC236}">
              <a16:creationId xmlns:a16="http://schemas.microsoft.com/office/drawing/2014/main" id="{02DC06CA-4461-46CA-B6C9-0956E128606E}"/>
            </a:ext>
          </a:extLst>
        </xdr:cNvPr>
        <xdr:cNvPicPr>
          <a:picLocks noChangeAspect="1"/>
        </xdr:cNvPicPr>
      </xdr:nvPicPr>
      <xdr:blipFill>
        <a:blip xmlns:r="http://schemas.openxmlformats.org/officeDocument/2006/relationships" r:embed="rId1"/>
        <a:stretch>
          <a:fillRect/>
        </a:stretch>
      </xdr:blipFill>
      <xdr:spPr>
        <a:xfrm>
          <a:off x="1325217" y="414130"/>
          <a:ext cx="1219048" cy="695238"/>
        </a:xfrm>
        <a:prstGeom prst="rect">
          <a:avLst/>
        </a:prstGeom>
      </xdr:spPr>
    </xdr:pic>
    <xdr:clientData/>
  </xdr:twoCellAnchor>
  <xdr:twoCellAnchor editAs="oneCell">
    <xdr:from>
      <xdr:col>8</xdr:col>
      <xdr:colOff>64300</xdr:colOff>
      <xdr:row>2</xdr:row>
      <xdr:rowOff>57980</xdr:rowOff>
    </xdr:from>
    <xdr:to>
      <xdr:col>9</xdr:col>
      <xdr:colOff>548872</xdr:colOff>
      <xdr:row>6</xdr:row>
      <xdr:rowOff>149089</xdr:rowOff>
    </xdr:to>
    <xdr:pic>
      <xdr:nvPicPr>
        <xdr:cNvPr id="3" name="Imagem 2">
          <a:extLst>
            <a:ext uri="{FF2B5EF4-FFF2-40B4-BE49-F238E27FC236}">
              <a16:creationId xmlns:a16="http://schemas.microsoft.com/office/drawing/2014/main" id="{9026B990-86C2-470A-A235-22D471891EE3}"/>
            </a:ext>
          </a:extLst>
        </xdr:cNvPr>
        <xdr:cNvPicPr>
          <a:picLocks noChangeAspect="1"/>
        </xdr:cNvPicPr>
      </xdr:nvPicPr>
      <xdr:blipFill rotWithShape="1">
        <a:blip xmlns:r="http://schemas.openxmlformats.org/officeDocument/2006/relationships" r:embed="rId2"/>
        <a:srcRect l="9566"/>
        <a:stretch/>
      </xdr:blipFill>
      <xdr:spPr>
        <a:xfrm>
          <a:off x="4967604" y="430697"/>
          <a:ext cx="1097485" cy="819978"/>
        </a:xfrm>
        <a:prstGeom prst="rect">
          <a:avLst/>
        </a:prstGeom>
      </xdr:spPr>
    </xdr:pic>
    <xdr:clientData/>
  </xdr:twoCellAnchor>
  <xdr:twoCellAnchor>
    <xdr:from>
      <xdr:col>2</xdr:col>
      <xdr:colOff>49697</xdr:colOff>
      <xdr:row>18</xdr:row>
      <xdr:rowOff>16566</xdr:rowOff>
    </xdr:from>
    <xdr:to>
      <xdr:col>9</xdr:col>
      <xdr:colOff>521806</xdr:colOff>
      <xdr:row>18</xdr:row>
      <xdr:rowOff>62285</xdr:rowOff>
    </xdr:to>
    <xdr:sp macro="" textlink="">
      <xdr:nvSpPr>
        <xdr:cNvPr id="4" name="Retângulo 3">
          <a:extLst>
            <a:ext uri="{FF2B5EF4-FFF2-40B4-BE49-F238E27FC236}">
              <a16:creationId xmlns:a16="http://schemas.microsoft.com/office/drawing/2014/main" id="{D6B017D2-1884-4C27-B367-2AB745ED7866}"/>
            </a:ext>
          </a:extLst>
        </xdr:cNvPr>
        <xdr:cNvSpPr/>
      </xdr:nvSpPr>
      <xdr:spPr>
        <a:xfrm>
          <a:off x="1275523" y="2948609"/>
          <a:ext cx="4762500" cy="4571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1485900</xdr:colOff>
      <xdr:row>7</xdr:row>
      <xdr:rowOff>170977</xdr:rowOff>
    </xdr:from>
    <xdr:to>
      <xdr:col>6</xdr:col>
      <xdr:colOff>142875</xdr:colOff>
      <xdr:row>17</xdr:row>
      <xdr:rowOff>135133</xdr:rowOff>
    </xdr:to>
    <xdr:graphicFrame macro="">
      <xdr:nvGraphicFramePr>
        <xdr:cNvPr id="4" name="Gráfico 3">
          <a:extLst>
            <a:ext uri="{FF2B5EF4-FFF2-40B4-BE49-F238E27FC236}">
              <a16:creationId xmlns:a16="http://schemas.microsoft.com/office/drawing/2014/main" id="{B211B829-FD75-471F-A304-D514CAF733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1511986</xdr:colOff>
      <xdr:row>86</xdr:row>
      <xdr:rowOff>142122</xdr:rowOff>
    </xdr:from>
    <xdr:to>
      <xdr:col>5</xdr:col>
      <xdr:colOff>814261</xdr:colOff>
      <xdr:row>97</xdr:row>
      <xdr:rowOff>111372</xdr:rowOff>
    </xdr:to>
    <xdr:graphicFrame macro="">
      <xdr:nvGraphicFramePr>
        <xdr:cNvPr id="5" name="Gráfico 4">
          <a:extLst>
            <a:ext uri="{FF2B5EF4-FFF2-40B4-BE49-F238E27FC236}">
              <a16:creationId xmlns:a16="http://schemas.microsoft.com/office/drawing/2014/main" id="{03CEE601-598D-4426-BFC9-82617D16096D}"/>
            </a:ext>
            <a:ext uri="{147F2762-F138-4A5C-976F-8EAC2B608ADB}">
              <a16:predDERef xmlns:a16="http://schemas.microsoft.com/office/drawing/2014/main" pred="{B211B829-FD75-471F-A304-D514CAF733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twoCellAnchor>
  <xdr:twoCellAnchor>
    <xdr:from>
      <xdr:col>1</xdr:col>
      <xdr:colOff>98158</xdr:colOff>
      <xdr:row>36</xdr:row>
      <xdr:rowOff>91029</xdr:rowOff>
    </xdr:from>
    <xdr:to>
      <xdr:col>4</xdr:col>
      <xdr:colOff>50083</xdr:colOff>
      <xdr:row>49</xdr:row>
      <xdr:rowOff>39279</xdr:rowOff>
    </xdr:to>
    <xdr:graphicFrame macro="">
      <xdr:nvGraphicFramePr>
        <xdr:cNvPr id="6" name="Gráfico 5">
          <a:extLst>
            <a:ext uri="{FF2B5EF4-FFF2-40B4-BE49-F238E27FC236}">
              <a16:creationId xmlns:a16="http://schemas.microsoft.com/office/drawing/2014/main" id="{9F8A54A1-DED3-4ED5-96C3-0BBE63DE246C}"/>
            </a:ext>
            <a:ext uri="{147F2762-F138-4A5C-976F-8EAC2B608ADB}">
              <a16:predDERef xmlns:a16="http://schemas.microsoft.com/office/drawing/2014/main" pred="{03CEE601-598D-4426-BFC9-82617D1609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twoCellAnchor>
  <xdr:twoCellAnchor>
    <xdr:from>
      <xdr:col>1</xdr:col>
      <xdr:colOff>89084</xdr:colOff>
      <xdr:row>58</xdr:row>
      <xdr:rowOff>112966</xdr:rowOff>
    </xdr:from>
    <xdr:to>
      <xdr:col>6</xdr:col>
      <xdr:colOff>901709</xdr:colOff>
      <xdr:row>73</xdr:row>
      <xdr:rowOff>135466</xdr:rowOff>
    </xdr:to>
    <xdr:graphicFrame macro="">
      <xdr:nvGraphicFramePr>
        <xdr:cNvPr id="2" name="Gráfico 7">
          <a:extLst>
            <a:ext uri="{FF2B5EF4-FFF2-40B4-BE49-F238E27FC236}">
              <a16:creationId xmlns:a16="http://schemas.microsoft.com/office/drawing/2014/main" id="{A47D3D24-A9C9-4F14-B51F-98B7ABDD9C46}"/>
            </a:ext>
            <a:ext uri="{147F2762-F138-4A5C-976F-8EAC2B608ADB}">
              <a16:predDERef xmlns:a16="http://schemas.microsoft.com/office/drawing/2014/main" pred="{9F8A54A1-DED3-4ED5-96C3-0BBE63DE24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twoCellAnchor>
  <xdr:twoCellAnchor>
    <xdr:from>
      <xdr:col>4</xdr:col>
      <xdr:colOff>142874</xdr:colOff>
      <xdr:row>36</xdr:row>
      <xdr:rowOff>95250</xdr:rowOff>
    </xdr:from>
    <xdr:to>
      <xdr:col>9</xdr:col>
      <xdr:colOff>47174</xdr:colOff>
      <xdr:row>49</xdr:row>
      <xdr:rowOff>43500</xdr:rowOff>
    </xdr:to>
    <xdr:graphicFrame macro="">
      <xdr:nvGraphicFramePr>
        <xdr:cNvPr id="8" name="Gráfico 7">
          <a:extLst>
            <a:ext uri="{FF2B5EF4-FFF2-40B4-BE49-F238E27FC236}">
              <a16:creationId xmlns:a16="http://schemas.microsoft.com/office/drawing/2014/main" id="{2467A6C4-F694-44E7-829A-4FFA328C3ED0}"/>
            </a:ext>
            <a:ext uri="{147F2762-F138-4A5C-976F-8EAC2B608ADB}">
              <a16:predDERef xmlns:a16="http://schemas.microsoft.com/office/drawing/2014/main" pred="{A47D3D24-A9C9-4F14-B51F-98B7ABDD9C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twoCellAnchor>
</xdr:wsDr>
</file>

<file path=xl/drawings/drawing3.xml><?xml version="1.0" encoding="utf-8"?>
<xdr:wsDr xmlns:xdr="http://schemas.openxmlformats.org/drawingml/2006/spreadsheetDrawing" xmlns:a="http://schemas.openxmlformats.org/drawingml/2006/main">
  <xdr:twoCellAnchor>
    <xdr:from>
      <xdr:col>0</xdr:col>
      <xdr:colOff>476246</xdr:colOff>
      <xdr:row>69</xdr:row>
      <xdr:rowOff>17355</xdr:rowOff>
    </xdr:from>
    <xdr:to>
      <xdr:col>6</xdr:col>
      <xdr:colOff>2251496</xdr:colOff>
      <xdr:row>100</xdr:row>
      <xdr:rowOff>195480</xdr:rowOff>
    </xdr:to>
    <xdr:graphicFrame macro="">
      <xdr:nvGraphicFramePr>
        <xdr:cNvPr id="10" name="Gráfico 8">
          <a:extLst>
            <a:ext uri="{FF2B5EF4-FFF2-40B4-BE49-F238E27FC236}">
              <a16:creationId xmlns:a16="http://schemas.microsoft.com/office/drawing/2014/main" id="{3EF74F18-FF06-4757-B33E-0D6ACC177B78}"/>
            </a:ext>
            <a:ext uri="{147F2762-F138-4A5C-976F-8EAC2B608ADB}">
              <a16:predDERef xmlns:a16="http://schemas.microsoft.com/office/drawing/2014/main" pred="{E3B3E07E-B9F6-4513-84A0-FA4D2DF4A8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0</xdr:col>
      <xdr:colOff>40192</xdr:colOff>
      <xdr:row>11</xdr:row>
      <xdr:rowOff>30304</xdr:rowOff>
    </xdr:from>
    <xdr:to>
      <xdr:col>3</xdr:col>
      <xdr:colOff>1146783</xdr:colOff>
      <xdr:row>36</xdr:row>
      <xdr:rowOff>88940</xdr:rowOff>
    </xdr:to>
    <xdr:graphicFrame macro="">
      <xdr:nvGraphicFramePr>
        <xdr:cNvPr id="14" name="Gráfico 13">
          <a:extLst>
            <a:ext uri="{FF2B5EF4-FFF2-40B4-BE49-F238E27FC236}">
              <a16:creationId xmlns:a16="http://schemas.microsoft.com/office/drawing/2014/main" id="{3D0183DF-6AF1-4520-9D91-DB2D326587B0}"/>
            </a:ext>
            <a:ext uri="{147F2762-F138-4A5C-976F-8EAC2B608ADB}">
              <a16:predDERef xmlns:a16="http://schemas.microsoft.com/office/drawing/2014/main" pred="{3EF74F18-FF06-4757-B33E-0D6ACC177B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twoCellAnchor>
  <xdr:twoCellAnchor>
    <xdr:from>
      <xdr:col>3</xdr:col>
      <xdr:colOff>1372458</xdr:colOff>
      <xdr:row>11</xdr:row>
      <xdr:rowOff>41128</xdr:rowOff>
    </xdr:from>
    <xdr:to>
      <xdr:col>6</xdr:col>
      <xdr:colOff>2479049</xdr:colOff>
      <xdr:row>36</xdr:row>
      <xdr:rowOff>99764</xdr:rowOff>
    </xdr:to>
    <xdr:graphicFrame macro="">
      <xdr:nvGraphicFramePr>
        <xdr:cNvPr id="17" name="Gráfico 16">
          <a:extLst>
            <a:ext uri="{FF2B5EF4-FFF2-40B4-BE49-F238E27FC236}">
              <a16:creationId xmlns:a16="http://schemas.microsoft.com/office/drawing/2014/main" id="{F70E54FA-E5B5-4F3E-A5CE-992632925DE6}"/>
            </a:ext>
            <a:ext uri="{147F2762-F138-4A5C-976F-8EAC2B608ADB}">
              <a16:predDERef xmlns:a16="http://schemas.microsoft.com/office/drawing/2014/main" pred="{3D0183DF-6AF1-4520-9D91-DB2D326587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twoCellAnchor>
  <xdr:twoCellAnchor>
    <xdr:from>
      <xdr:col>1</xdr:col>
      <xdr:colOff>2028997</xdr:colOff>
      <xdr:row>40</xdr:row>
      <xdr:rowOff>55841</xdr:rowOff>
    </xdr:from>
    <xdr:to>
      <xdr:col>5</xdr:col>
      <xdr:colOff>624451</xdr:colOff>
      <xdr:row>65</xdr:row>
      <xdr:rowOff>114477</xdr:rowOff>
    </xdr:to>
    <xdr:graphicFrame macro="">
      <xdr:nvGraphicFramePr>
        <xdr:cNvPr id="19" name="Gráfico 18">
          <a:extLst>
            <a:ext uri="{FF2B5EF4-FFF2-40B4-BE49-F238E27FC236}">
              <a16:creationId xmlns:a16="http://schemas.microsoft.com/office/drawing/2014/main" id="{DD5D9726-403C-45CE-A645-CF04055D6855}"/>
            </a:ext>
            <a:ext uri="{147F2762-F138-4A5C-976F-8EAC2B608ADB}">
              <a16:predDERef xmlns:a16="http://schemas.microsoft.com/office/drawing/2014/main" pred="{F70E54FA-E5B5-4F3E-A5CE-992632925D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twoCellAnchor>
  <xdr:twoCellAnchor>
    <xdr:from>
      <xdr:col>4</xdr:col>
      <xdr:colOff>138546</xdr:colOff>
      <xdr:row>103</xdr:row>
      <xdr:rowOff>17315</xdr:rowOff>
    </xdr:from>
    <xdr:to>
      <xdr:col>9</xdr:col>
      <xdr:colOff>361939</xdr:colOff>
      <xdr:row>133</xdr:row>
      <xdr:rowOff>229458</xdr:rowOff>
    </xdr:to>
    <xdr:graphicFrame macro="">
      <xdr:nvGraphicFramePr>
        <xdr:cNvPr id="12" name="Gráfico 11">
          <a:extLst>
            <a:ext uri="{FF2B5EF4-FFF2-40B4-BE49-F238E27FC236}">
              <a16:creationId xmlns:a16="http://schemas.microsoft.com/office/drawing/2014/main" id="{34D73774-7948-40B2-9312-3DAEB34BCA54}"/>
            </a:ext>
            <a:ext uri="{147F2762-F138-4A5C-976F-8EAC2B608ADB}">
              <a16:predDERef xmlns:a16="http://schemas.microsoft.com/office/drawing/2014/main" pred="{DD5D9726-403C-45CE-A645-CF04055D68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twoCellAnchor>
  <xdr:twoCellAnchor>
    <xdr:from>
      <xdr:col>0</xdr:col>
      <xdr:colOff>86591</xdr:colOff>
      <xdr:row>103</xdr:row>
      <xdr:rowOff>51952</xdr:rowOff>
    </xdr:from>
    <xdr:to>
      <xdr:col>3</xdr:col>
      <xdr:colOff>1534627</xdr:colOff>
      <xdr:row>134</xdr:row>
      <xdr:rowOff>19166</xdr:rowOff>
    </xdr:to>
    <xdr:graphicFrame macro="">
      <xdr:nvGraphicFramePr>
        <xdr:cNvPr id="13" name="Gráfico 12">
          <a:extLst>
            <a:ext uri="{FF2B5EF4-FFF2-40B4-BE49-F238E27FC236}">
              <a16:creationId xmlns:a16="http://schemas.microsoft.com/office/drawing/2014/main" id="{17A2A409-7ABB-4EEB-B102-CB76391669E5}"/>
            </a:ext>
            <a:ext uri="{147F2762-F138-4A5C-976F-8EAC2B608ADB}">
              <a16:predDERef xmlns:a16="http://schemas.microsoft.com/office/drawing/2014/main" pred="{34D73774-7948-40B2-9312-3DAEB34BCA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twoCellAnchor>
</xdr:wsDr>
</file>

<file path=xl/drawings/drawing4.xml><?xml version="1.0" encoding="utf-8"?>
<xdr:wsDr xmlns:xdr="http://schemas.openxmlformats.org/drawingml/2006/spreadsheetDrawing" xmlns:a="http://schemas.openxmlformats.org/drawingml/2006/main">
  <xdr:twoCellAnchor>
    <xdr:from>
      <xdr:col>0</xdr:col>
      <xdr:colOff>500500</xdr:colOff>
      <xdr:row>69</xdr:row>
      <xdr:rowOff>42853</xdr:rowOff>
    </xdr:from>
    <xdr:to>
      <xdr:col>6</xdr:col>
      <xdr:colOff>2275750</xdr:colOff>
      <xdr:row>100</xdr:row>
      <xdr:rowOff>220978</xdr:rowOff>
    </xdr:to>
    <xdr:graphicFrame macro="">
      <xdr:nvGraphicFramePr>
        <xdr:cNvPr id="33" name="Gráfico 6">
          <a:extLst>
            <a:ext uri="{FF2B5EF4-FFF2-40B4-BE49-F238E27FC236}">
              <a16:creationId xmlns:a16="http://schemas.microsoft.com/office/drawing/2014/main" id="{1DC5442C-B92A-44C6-8C21-6DE48A2BF5E7}"/>
            </a:ext>
            <a:ext uri="{147F2762-F138-4A5C-976F-8EAC2B608ADB}">
              <a16:predDERef xmlns:a16="http://schemas.microsoft.com/office/drawing/2014/main" pred="{F10A1795-C65F-4E04-98E1-CE660C2EF9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0</xdr:col>
      <xdr:colOff>64947</xdr:colOff>
      <xdr:row>11</xdr:row>
      <xdr:rowOff>47623</xdr:rowOff>
    </xdr:from>
    <xdr:to>
      <xdr:col>3</xdr:col>
      <xdr:colOff>1171538</xdr:colOff>
      <xdr:row>36</xdr:row>
      <xdr:rowOff>106259</xdr:rowOff>
    </xdr:to>
    <xdr:graphicFrame macro="">
      <xdr:nvGraphicFramePr>
        <xdr:cNvPr id="14" name="Gráfico 13">
          <a:extLst>
            <a:ext uri="{FF2B5EF4-FFF2-40B4-BE49-F238E27FC236}">
              <a16:creationId xmlns:a16="http://schemas.microsoft.com/office/drawing/2014/main" id="{EA1CC67D-F2F7-415F-B3DB-1B59C5FBB776}"/>
            </a:ext>
            <a:ext uri="{147F2762-F138-4A5C-976F-8EAC2B608ADB}">
              <a16:predDERef xmlns:a16="http://schemas.microsoft.com/office/drawing/2014/main" pred="{1DC5442C-B92A-44C6-8C21-6DE48A2BF5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twoCellAnchor>
  <xdr:twoCellAnchor>
    <xdr:from>
      <xdr:col>3</xdr:col>
      <xdr:colOff>1378963</xdr:colOff>
      <xdr:row>11</xdr:row>
      <xdr:rowOff>47621</xdr:rowOff>
    </xdr:from>
    <xdr:to>
      <xdr:col>6</xdr:col>
      <xdr:colOff>2485554</xdr:colOff>
      <xdr:row>36</xdr:row>
      <xdr:rowOff>106257</xdr:rowOff>
    </xdr:to>
    <xdr:graphicFrame macro="">
      <xdr:nvGraphicFramePr>
        <xdr:cNvPr id="16" name="Gráfico 15">
          <a:extLst>
            <a:ext uri="{FF2B5EF4-FFF2-40B4-BE49-F238E27FC236}">
              <a16:creationId xmlns:a16="http://schemas.microsoft.com/office/drawing/2014/main" id="{CF6CAD73-B7AE-499F-8DC4-C21D7FFF833B}"/>
            </a:ext>
            <a:ext uri="{147F2762-F138-4A5C-976F-8EAC2B608ADB}">
              <a16:predDERef xmlns:a16="http://schemas.microsoft.com/office/drawing/2014/main" pred="{EA1CC67D-F2F7-415F-B3DB-1B59C5FBB7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twoCellAnchor>
  <xdr:twoCellAnchor editAs="oneCell">
    <xdr:from>
      <xdr:col>1</xdr:col>
      <xdr:colOff>1994305</xdr:colOff>
      <xdr:row>40</xdr:row>
      <xdr:rowOff>44203</xdr:rowOff>
    </xdr:from>
    <xdr:to>
      <xdr:col>5</xdr:col>
      <xdr:colOff>589759</xdr:colOff>
      <xdr:row>65</xdr:row>
      <xdr:rowOff>104101</xdr:rowOff>
    </xdr:to>
    <xdr:graphicFrame macro="">
      <xdr:nvGraphicFramePr>
        <xdr:cNvPr id="18" name="Gráfico 17">
          <a:extLst>
            <a:ext uri="{FF2B5EF4-FFF2-40B4-BE49-F238E27FC236}">
              <a16:creationId xmlns:a16="http://schemas.microsoft.com/office/drawing/2014/main" id="{70A887A1-0D46-4073-86C8-DB4131D19E01}"/>
            </a:ext>
            <a:ext uri="{147F2762-F138-4A5C-976F-8EAC2B608ADB}">
              <a16:predDERef xmlns:a16="http://schemas.microsoft.com/office/drawing/2014/main" pred="{CF6CAD73-B7AE-499F-8DC4-C21D7FFF83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fPrintsWithSheet="0"/>
  </xdr:twoCellAnchor>
  <xdr:twoCellAnchor>
    <xdr:from>
      <xdr:col>0</xdr:col>
      <xdr:colOff>69272</xdr:colOff>
      <xdr:row>103</xdr:row>
      <xdr:rowOff>51953</xdr:rowOff>
    </xdr:from>
    <xdr:to>
      <xdr:col>3</xdr:col>
      <xdr:colOff>1517308</xdr:colOff>
      <xdr:row>134</xdr:row>
      <xdr:rowOff>19167</xdr:rowOff>
    </xdr:to>
    <xdr:graphicFrame macro="">
      <xdr:nvGraphicFramePr>
        <xdr:cNvPr id="11" name="Gráfico 10">
          <a:extLst>
            <a:ext uri="{FF2B5EF4-FFF2-40B4-BE49-F238E27FC236}">
              <a16:creationId xmlns:a16="http://schemas.microsoft.com/office/drawing/2014/main" id="{ADB6A614-D4E9-4031-B07A-6390E9AE0153}"/>
            </a:ext>
            <a:ext uri="{147F2762-F138-4A5C-976F-8EAC2B608ADB}">
              <a16:predDERef xmlns:a16="http://schemas.microsoft.com/office/drawing/2014/main" pred="{70A887A1-0D46-4073-86C8-DB4131D19E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twoCellAnchor>
  <xdr:twoCellAnchor>
    <xdr:from>
      <xdr:col>4</xdr:col>
      <xdr:colOff>155863</xdr:colOff>
      <xdr:row>103</xdr:row>
      <xdr:rowOff>17319</xdr:rowOff>
    </xdr:from>
    <xdr:to>
      <xdr:col>9</xdr:col>
      <xdr:colOff>379256</xdr:colOff>
      <xdr:row>133</xdr:row>
      <xdr:rowOff>229462</xdr:rowOff>
    </xdr:to>
    <xdr:graphicFrame macro="">
      <xdr:nvGraphicFramePr>
        <xdr:cNvPr id="13" name="Gráfico 2">
          <a:extLst>
            <a:ext uri="{FF2B5EF4-FFF2-40B4-BE49-F238E27FC236}">
              <a16:creationId xmlns:a16="http://schemas.microsoft.com/office/drawing/2014/main" id="{D06B85C6-2DCE-43B5-86BE-4221BB530793}"/>
            </a:ext>
            <a:ext uri="{147F2762-F138-4A5C-976F-8EAC2B608ADB}">
              <a16:predDERef xmlns:a16="http://schemas.microsoft.com/office/drawing/2014/main" pred="{ADB6A614-D4E9-4031-B07A-6390E9AE01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twoCellAnchor>
</xdr:wsDr>
</file>

<file path=xl/drawings/drawing5.xml><?xml version="1.0" encoding="utf-8"?>
<xdr:wsDr xmlns:xdr="http://schemas.openxmlformats.org/drawingml/2006/spreadsheetDrawing" xmlns:a="http://schemas.openxmlformats.org/drawingml/2006/main">
  <xdr:twoCellAnchor>
    <xdr:from>
      <xdr:col>0</xdr:col>
      <xdr:colOff>190497</xdr:colOff>
      <xdr:row>103</xdr:row>
      <xdr:rowOff>50099</xdr:rowOff>
    </xdr:from>
    <xdr:to>
      <xdr:col>3</xdr:col>
      <xdr:colOff>1638533</xdr:colOff>
      <xdr:row>139</xdr:row>
      <xdr:rowOff>232670</xdr:rowOff>
    </xdr:to>
    <xdr:graphicFrame macro="">
      <xdr:nvGraphicFramePr>
        <xdr:cNvPr id="3" name="Gráfico 3">
          <a:extLst>
            <a:ext uri="{FF2B5EF4-FFF2-40B4-BE49-F238E27FC236}">
              <a16:creationId xmlns:a16="http://schemas.microsoft.com/office/drawing/2014/main" id="{95813E8A-A8E4-49C8-A6DF-05518B58AB16}"/>
            </a:ext>
            <a:ext uri="{147F2762-F138-4A5C-976F-8EAC2B608ADB}">
              <a16:predDERef xmlns:a16="http://schemas.microsoft.com/office/drawing/2014/main" pred="{0394C8A3-C81A-46AA-AD80-33F4296905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4</xdr:col>
      <xdr:colOff>977981</xdr:colOff>
      <xdr:row>103</xdr:row>
      <xdr:rowOff>47621</xdr:rowOff>
    </xdr:from>
    <xdr:to>
      <xdr:col>10</xdr:col>
      <xdr:colOff>589053</xdr:colOff>
      <xdr:row>139</xdr:row>
      <xdr:rowOff>230192</xdr:rowOff>
    </xdr:to>
    <xdr:graphicFrame macro="">
      <xdr:nvGraphicFramePr>
        <xdr:cNvPr id="6" name="Gráfico 2">
          <a:extLst>
            <a:ext uri="{FF2B5EF4-FFF2-40B4-BE49-F238E27FC236}">
              <a16:creationId xmlns:a16="http://schemas.microsoft.com/office/drawing/2014/main" id="{AEFBB891-2FBE-4777-AE17-AE9362211885}"/>
            </a:ext>
            <a:ext uri="{147F2762-F138-4A5C-976F-8EAC2B608ADB}">
              <a16:predDERef xmlns:a16="http://schemas.microsoft.com/office/drawing/2014/main" pred="{95813E8A-A8E4-49C8-A6DF-05518B58AB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twoCellAnchor>
  <xdr:twoCellAnchor>
    <xdr:from>
      <xdr:col>0</xdr:col>
      <xdr:colOff>601806</xdr:colOff>
      <xdr:row>69</xdr:row>
      <xdr:rowOff>24223</xdr:rowOff>
    </xdr:from>
    <xdr:to>
      <xdr:col>6</xdr:col>
      <xdr:colOff>2377056</xdr:colOff>
      <xdr:row>100</xdr:row>
      <xdr:rowOff>202348</xdr:rowOff>
    </xdr:to>
    <xdr:graphicFrame macro="">
      <xdr:nvGraphicFramePr>
        <xdr:cNvPr id="69" name="Gráfico 8">
          <a:extLst>
            <a:ext uri="{FF2B5EF4-FFF2-40B4-BE49-F238E27FC236}">
              <a16:creationId xmlns:a16="http://schemas.microsoft.com/office/drawing/2014/main" id="{86CF6E91-EA09-472B-90A6-47BCE3CC4052}"/>
            </a:ext>
            <a:ext uri="{147F2762-F138-4A5C-976F-8EAC2B608ADB}">
              <a16:predDERef xmlns:a16="http://schemas.microsoft.com/office/drawing/2014/main" pred="{AEFBB891-2FBE-4777-AE17-AE93622118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twoCellAnchor>
  <xdr:twoCellAnchor>
    <xdr:from>
      <xdr:col>1</xdr:col>
      <xdr:colOff>2015097</xdr:colOff>
      <xdr:row>40</xdr:row>
      <xdr:rowOff>34602</xdr:rowOff>
    </xdr:from>
    <xdr:to>
      <xdr:col>5</xdr:col>
      <xdr:colOff>610551</xdr:colOff>
      <xdr:row>65</xdr:row>
      <xdr:rowOff>93238</xdr:rowOff>
    </xdr:to>
    <xdr:graphicFrame macro="">
      <xdr:nvGraphicFramePr>
        <xdr:cNvPr id="12" name="Gráfico 3">
          <a:extLst>
            <a:ext uri="{FF2B5EF4-FFF2-40B4-BE49-F238E27FC236}">
              <a16:creationId xmlns:a16="http://schemas.microsoft.com/office/drawing/2014/main" id="{9CADCA27-B6AC-431C-B56E-0D54CDCA2DE4}"/>
            </a:ext>
            <a:ext uri="{147F2762-F138-4A5C-976F-8EAC2B608ADB}">
              <a16:predDERef xmlns:a16="http://schemas.microsoft.com/office/drawing/2014/main" pred="{86CF6E91-EA09-472B-90A6-47BCE3CC40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twoCellAnchor>
  <xdr:twoCellAnchor>
    <xdr:from>
      <xdr:col>0</xdr:col>
      <xdr:colOff>23813</xdr:colOff>
      <xdr:row>11</xdr:row>
      <xdr:rowOff>41132</xdr:rowOff>
    </xdr:from>
    <xdr:to>
      <xdr:col>3</xdr:col>
      <xdr:colOff>1130404</xdr:colOff>
      <xdr:row>36</xdr:row>
      <xdr:rowOff>99768</xdr:rowOff>
    </xdr:to>
    <xdr:graphicFrame macro="">
      <xdr:nvGraphicFramePr>
        <xdr:cNvPr id="8" name="Gráfico 7">
          <a:extLst>
            <a:ext uri="{FF2B5EF4-FFF2-40B4-BE49-F238E27FC236}">
              <a16:creationId xmlns:a16="http://schemas.microsoft.com/office/drawing/2014/main" id="{678B7B40-2D53-4316-83A8-4552E51C0337}"/>
            </a:ext>
            <a:ext uri="{147F2762-F138-4A5C-976F-8EAC2B608ADB}">
              <a16:predDERef xmlns:a16="http://schemas.microsoft.com/office/drawing/2014/main" pred="{9CADCA27-B6AC-431C-B56E-0D54CDCA2D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twoCellAnchor>
  <xdr:twoCellAnchor>
    <xdr:from>
      <xdr:col>3</xdr:col>
      <xdr:colOff>1385451</xdr:colOff>
      <xdr:row>11</xdr:row>
      <xdr:rowOff>34633</xdr:rowOff>
    </xdr:from>
    <xdr:to>
      <xdr:col>6</xdr:col>
      <xdr:colOff>2492042</xdr:colOff>
      <xdr:row>36</xdr:row>
      <xdr:rowOff>93269</xdr:rowOff>
    </xdr:to>
    <xdr:graphicFrame macro="">
      <xdr:nvGraphicFramePr>
        <xdr:cNvPr id="11" name="Gráfico 6">
          <a:extLst>
            <a:ext uri="{FF2B5EF4-FFF2-40B4-BE49-F238E27FC236}">
              <a16:creationId xmlns:a16="http://schemas.microsoft.com/office/drawing/2014/main" id="{57B972B1-F9AF-4689-9D39-B994D8E90C09}"/>
            </a:ext>
            <a:ext uri="{147F2762-F138-4A5C-976F-8EAC2B608ADB}">
              <a16:predDERef xmlns:a16="http://schemas.microsoft.com/office/drawing/2014/main" pred="{678B7B40-2D53-4316-83A8-4552E51C03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twoCellAnchor>
</xdr:wsDr>
</file>

<file path=xl/drawings/drawing6.xml><?xml version="1.0" encoding="utf-8"?>
<xdr:wsDr xmlns:xdr="http://schemas.openxmlformats.org/drawingml/2006/spreadsheetDrawing" xmlns:a="http://schemas.openxmlformats.org/drawingml/2006/main">
  <xdr:twoCellAnchor>
    <xdr:from>
      <xdr:col>0</xdr:col>
      <xdr:colOff>510887</xdr:colOff>
      <xdr:row>40</xdr:row>
      <xdr:rowOff>51947</xdr:rowOff>
    </xdr:from>
    <xdr:to>
      <xdr:col>6</xdr:col>
      <xdr:colOff>2286137</xdr:colOff>
      <xdr:row>71</xdr:row>
      <xdr:rowOff>230072</xdr:rowOff>
    </xdr:to>
    <xdr:graphicFrame macro="">
      <xdr:nvGraphicFramePr>
        <xdr:cNvPr id="31" name="Gráfico 8">
          <a:extLst>
            <a:ext uri="{FF2B5EF4-FFF2-40B4-BE49-F238E27FC236}">
              <a16:creationId xmlns:a16="http://schemas.microsoft.com/office/drawing/2014/main" id="{65D936B7-D8A6-4D59-AE25-B71D2FEDF962}"/>
            </a:ext>
            <a:ext uri="{147F2762-F138-4A5C-976F-8EAC2B608ADB}">
              <a16:predDERef xmlns:a16="http://schemas.microsoft.com/office/drawing/2014/main" pred="{65E6C130-BC09-43D4-8438-BFB9DFE0C6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3</xdr:col>
      <xdr:colOff>1357326</xdr:colOff>
      <xdr:row>11</xdr:row>
      <xdr:rowOff>70317</xdr:rowOff>
    </xdr:from>
    <xdr:to>
      <xdr:col>6</xdr:col>
      <xdr:colOff>2463917</xdr:colOff>
      <xdr:row>36</xdr:row>
      <xdr:rowOff>128953</xdr:rowOff>
    </xdr:to>
    <xdr:graphicFrame macro="">
      <xdr:nvGraphicFramePr>
        <xdr:cNvPr id="7" name="Gráfico 6">
          <a:extLst>
            <a:ext uri="{FF2B5EF4-FFF2-40B4-BE49-F238E27FC236}">
              <a16:creationId xmlns:a16="http://schemas.microsoft.com/office/drawing/2014/main" id="{0270527D-BC6C-4E97-99DC-71783A2A1136}"/>
            </a:ext>
            <a:ext uri="{147F2762-F138-4A5C-976F-8EAC2B608ADB}">
              <a16:predDERef xmlns:a16="http://schemas.microsoft.com/office/drawing/2014/main" pred="{65D936B7-D8A6-4D59-AE25-B71D2FEDF9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twoCellAnchor>
  <xdr:twoCellAnchor>
    <xdr:from>
      <xdr:col>0</xdr:col>
      <xdr:colOff>155862</xdr:colOff>
      <xdr:row>74</xdr:row>
      <xdr:rowOff>47629</xdr:rowOff>
    </xdr:from>
    <xdr:to>
      <xdr:col>3</xdr:col>
      <xdr:colOff>1603898</xdr:colOff>
      <xdr:row>103</xdr:row>
      <xdr:rowOff>216447</xdr:rowOff>
    </xdr:to>
    <xdr:graphicFrame macro="">
      <xdr:nvGraphicFramePr>
        <xdr:cNvPr id="3" name="Gráfico 2">
          <a:extLst>
            <a:ext uri="{FF2B5EF4-FFF2-40B4-BE49-F238E27FC236}">
              <a16:creationId xmlns:a16="http://schemas.microsoft.com/office/drawing/2014/main" id="{3843F33E-26AB-47B1-B712-FF0EBDCAA6C8}"/>
            </a:ext>
            <a:ext uri="{147F2762-F138-4A5C-976F-8EAC2B608ADB}">
              <a16:predDERef xmlns:a16="http://schemas.microsoft.com/office/drawing/2014/main" pred="{0270527D-BC6C-4E97-99DC-71783A2A11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twoCellAnchor>
  <xdr:twoCellAnchor>
    <xdr:from>
      <xdr:col>4</xdr:col>
      <xdr:colOff>946431</xdr:colOff>
      <xdr:row>74</xdr:row>
      <xdr:rowOff>52389</xdr:rowOff>
    </xdr:from>
    <xdr:to>
      <xdr:col>10</xdr:col>
      <xdr:colOff>557503</xdr:colOff>
      <xdr:row>103</xdr:row>
      <xdr:rowOff>221207</xdr:rowOff>
    </xdr:to>
    <xdr:graphicFrame macro="">
      <xdr:nvGraphicFramePr>
        <xdr:cNvPr id="4" name="Gráfico 3">
          <a:extLst>
            <a:ext uri="{FF2B5EF4-FFF2-40B4-BE49-F238E27FC236}">
              <a16:creationId xmlns:a16="http://schemas.microsoft.com/office/drawing/2014/main" id="{0FE276EF-3FBA-4BB5-9526-D81C70282A78}"/>
            </a:ext>
            <a:ext uri="{147F2762-F138-4A5C-976F-8EAC2B608ADB}">
              <a16:predDERef xmlns:a16="http://schemas.microsoft.com/office/drawing/2014/main" pred="{3843F33E-26AB-47B1-B712-FF0EBDCAA6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twoCellAnchor>
  <xdr:twoCellAnchor>
    <xdr:from>
      <xdr:col>0</xdr:col>
      <xdr:colOff>23818</xdr:colOff>
      <xdr:row>12</xdr:row>
      <xdr:rowOff>4764</xdr:rowOff>
    </xdr:from>
    <xdr:to>
      <xdr:col>3</xdr:col>
      <xdr:colOff>1130409</xdr:colOff>
      <xdr:row>37</xdr:row>
      <xdr:rowOff>63400</xdr:rowOff>
    </xdr:to>
    <xdr:graphicFrame macro="">
      <xdr:nvGraphicFramePr>
        <xdr:cNvPr id="9" name="Gráfico 8">
          <a:extLst>
            <a:ext uri="{FF2B5EF4-FFF2-40B4-BE49-F238E27FC236}">
              <a16:creationId xmlns:a16="http://schemas.microsoft.com/office/drawing/2014/main" id="{EA8CF3FD-770F-4488-82AA-BB5522A600A7}"/>
            </a:ext>
            <a:ext uri="{147F2762-F138-4A5C-976F-8EAC2B608ADB}">
              <a16:predDERef xmlns:a16="http://schemas.microsoft.com/office/drawing/2014/main" pred="{0FE276EF-3FBA-4BB5-9526-D81C70282A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twoCellAnchor>
</xdr:wsDr>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6:K42"/>
  <sheetViews>
    <sheetView zoomScaleNormal="100" zoomScaleSheetLayoutView="115" workbookViewId="0">
      <selection activeCell="C22" sqref="C22"/>
    </sheetView>
  </sheetViews>
  <sheetFormatPr defaultColWidth="9.140625" defaultRowHeight="14.25" x14ac:dyDescent="0.2"/>
  <cols>
    <col min="1" max="9" width="9.140625" style="1"/>
    <col min="10" max="10" width="9.140625" style="1" customWidth="1"/>
    <col min="11" max="16384" width="9.140625" style="1"/>
  </cols>
  <sheetData>
    <row r="16" ht="18.75" customHeight="1" x14ac:dyDescent="0.2"/>
    <row r="17" spans="3:11" ht="18.75" customHeight="1" x14ac:dyDescent="0.2"/>
    <row r="18" spans="3:11" ht="44.25" x14ac:dyDescent="0.55000000000000004">
      <c r="C18" s="292" t="s">
        <v>0</v>
      </c>
      <c r="D18" s="292"/>
      <c r="E18" s="292"/>
      <c r="F18" s="292"/>
      <c r="G18" s="292"/>
      <c r="H18" s="292"/>
      <c r="I18" s="292"/>
      <c r="J18" s="292"/>
      <c r="K18" s="7"/>
    </row>
    <row r="19" spans="3:11" x14ac:dyDescent="0.2">
      <c r="C19" s="6"/>
      <c r="D19" s="6"/>
      <c r="E19" s="6"/>
      <c r="F19" s="6"/>
      <c r="G19" s="6"/>
      <c r="H19" s="6"/>
      <c r="I19" s="6"/>
      <c r="J19" s="6"/>
      <c r="K19" s="6"/>
    </row>
    <row r="20" spans="3:11" ht="18" x14ac:dyDescent="0.25">
      <c r="C20" s="291" t="s">
        <v>1</v>
      </c>
      <c r="D20" s="291"/>
      <c r="E20" s="291"/>
      <c r="F20" s="291"/>
      <c r="G20" s="291"/>
      <c r="H20" s="291"/>
      <c r="I20" s="291"/>
      <c r="J20" s="291"/>
      <c r="K20" s="8"/>
    </row>
    <row r="21" spans="3:11" x14ac:dyDescent="0.2">
      <c r="C21" s="290" t="str">
        <f>'DADOS - GOPOÚVA'!B4</f>
        <v>Período: 01/03/2026 à 31/03/2026</v>
      </c>
      <c r="D21" s="290"/>
      <c r="E21" s="290"/>
      <c r="F21" s="290"/>
      <c r="G21" s="290"/>
      <c r="H21" s="290"/>
      <c r="I21" s="290"/>
      <c r="J21" s="290"/>
      <c r="K21" s="4"/>
    </row>
    <row r="35" spans="3:10" ht="17.25" customHeight="1" x14ac:dyDescent="0.2">
      <c r="C35" s="219" t="s">
        <v>2</v>
      </c>
      <c r="D35" s="11"/>
      <c r="E35" s="11"/>
      <c r="F35" s="11"/>
      <c r="G35" s="11"/>
    </row>
    <row r="36" spans="3:10" ht="17.25" customHeight="1" x14ac:dyDescent="0.2">
      <c r="C36" s="219" t="s">
        <v>3</v>
      </c>
      <c r="D36" s="11"/>
      <c r="E36" s="11"/>
      <c r="F36" s="11"/>
      <c r="G36" s="11"/>
    </row>
    <row r="37" spans="3:10" ht="17.25" customHeight="1" x14ac:dyDescent="0.2">
      <c r="C37" s="219" t="s">
        <v>4</v>
      </c>
      <c r="D37" s="11"/>
      <c r="E37" s="11"/>
      <c r="F37" s="11"/>
      <c r="G37" s="11"/>
    </row>
    <row r="38" spans="3:10" ht="15" x14ac:dyDescent="0.2">
      <c r="C38" s="11"/>
      <c r="D38" s="11"/>
      <c r="E38" s="11"/>
      <c r="F38" s="11"/>
      <c r="G38" s="11"/>
    </row>
    <row r="41" spans="3:10" ht="15" customHeight="1" x14ac:dyDescent="0.2">
      <c r="C41" s="289" t="s">
        <v>5</v>
      </c>
      <c r="D41" s="289"/>
      <c r="E41" s="289"/>
      <c r="F41" s="289"/>
      <c r="G41" s="289"/>
      <c r="H41" s="289"/>
      <c r="I41" s="289"/>
      <c r="J41" s="289"/>
    </row>
    <row r="42" spans="3:10" ht="15" customHeight="1" x14ac:dyDescent="0.2">
      <c r="C42" s="289">
        <v>2026</v>
      </c>
      <c r="D42" s="289"/>
      <c r="E42" s="289"/>
      <c r="F42" s="289"/>
      <c r="G42" s="289"/>
      <c r="H42" s="289"/>
      <c r="I42" s="289"/>
      <c r="J42" s="289"/>
    </row>
  </sheetData>
  <mergeCells count="5">
    <mergeCell ref="C42:J42"/>
    <mergeCell ref="C41:J41"/>
    <mergeCell ref="C21:J21"/>
    <mergeCell ref="C20:J20"/>
    <mergeCell ref="C18:J18"/>
  </mergeCells>
  <phoneticPr fontId="11" type="noConversion"/>
  <pageMargins left="0.51181102362204722" right="0.14000000000000001" top="0.78740157480314965" bottom="0.78740157480314965" header="0.31495953630796153" footer="0.3149595363079615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382"/>
  <sheetViews>
    <sheetView zoomScale="70" zoomScaleNormal="70" workbookViewId="0">
      <selection activeCell="E12" sqref="E12:G12"/>
    </sheetView>
  </sheetViews>
  <sheetFormatPr defaultColWidth="9.140625" defaultRowHeight="18" x14ac:dyDescent="0.25"/>
  <cols>
    <col min="1" max="1" width="4.5703125" style="20" customWidth="1"/>
    <col min="2" max="2" width="62.42578125" style="20" bestFit="1" customWidth="1"/>
    <col min="3" max="3" width="24.5703125" style="20" bestFit="1" customWidth="1"/>
    <col min="4" max="4" width="25.28515625" style="20" customWidth="1"/>
    <col min="5" max="5" width="24.7109375" style="20" bestFit="1" customWidth="1"/>
    <col min="6" max="6" width="29.5703125" style="20" bestFit="1" customWidth="1"/>
    <col min="7" max="7" width="29.42578125" style="20" bestFit="1" customWidth="1"/>
    <col min="8" max="9" width="9.140625" style="20"/>
    <col min="10" max="10" width="12.42578125" style="20" bestFit="1" customWidth="1"/>
    <col min="11" max="16384" width="9.140625" style="20"/>
  </cols>
  <sheetData>
    <row r="1" spans="1:7" s="1" customFormat="1" ht="15" x14ac:dyDescent="0.2">
      <c r="A1" s="11"/>
      <c r="B1" s="11"/>
      <c r="C1" s="11"/>
      <c r="D1" s="11"/>
      <c r="E1" s="11"/>
      <c r="F1" s="11"/>
      <c r="G1" s="11"/>
    </row>
    <row r="2" spans="1:7" s="2" customFormat="1" ht="15" x14ac:dyDescent="0.25">
      <c r="A2" s="5"/>
      <c r="B2" s="314" t="s">
        <v>6</v>
      </c>
      <c r="C2" s="315"/>
      <c r="D2" s="315"/>
      <c r="E2" s="315"/>
      <c r="F2" s="315"/>
      <c r="G2" s="316"/>
    </row>
    <row r="3" spans="1:7" s="1" customFormat="1" ht="20.25" customHeight="1" x14ac:dyDescent="0.2">
      <c r="A3" s="11"/>
      <c r="B3" s="318" t="s">
        <v>7</v>
      </c>
      <c r="C3" s="319"/>
      <c r="D3" s="319"/>
      <c r="E3" s="319"/>
      <c r="F3" s="319"/>
      <c r="G3" s="320"/>
    </row>
    <row r="4" spans="1:7" s="1" customFormat="1" ht="15" x14ac:dyDescent="0.2">
      <c r="A4" s="11"/>
      <c r="B4" s="321" t="s">
        <v>8</v>
      </c>
      <c r="C4" s="321"/>
      <c r="D4" s="321"/>
      <c r="E4" s="321"/>
      <c r="F4" s="321"/>
      <c r="G4" s="321"/>
    </row>
    <row r="5" spans="1:7" s="1" customFormat="1" ht="15" x14ac:dyDescent="0.2">
      <c r="A5" s="11"/>
      <c r="B5" s="11"/>
      <c r="C5" s="11"/>
      <c r="D5" s="11"/>
      <c r="E5" s="11"/>
      <c r="F5" s="11"/>
      <c r="G5" s="11"/>
    </row>
    <row r="6" spans="1:7" s="2" customFormat="1" ht="24.75" customHeight="1" x14ac:dyDescent="0.25">
      <c r="A6" s="5"/>
      <c r="B6" s="313" t="s">
        <v>9</v>
      </c>
      <c r="C6" s="313"/>
      <c r="D6" s="313"/>
      <c r="E6" s="313"/>
      <c r="F6" s="313"/>
      <c r="G6" s="313"/>
    </row>
    <row r="7" spans="1:7" s="1" customFormat="1" ht="21.75" customHeight="1" x14ac:dyDescent="0.2">
      <c r="A7" s="11"/>
      <c r="B7" s="121" t="s">
        <v>10</v>
      </c>
      <c r="C7" s="12"/>
      <c r="D7" s="13"/>
      <c r="E7" s="13"/>
      <c r="F7" s="13"/>
      <c r="G7" s="9"/>
    </row>
    <row r="8" spans="1:7" s="1" customFormat="1" ht="15" x14ac:dyDescent="0.2">
      <c r="A8" s="11"/>
      <c r="B8" s="14"/>
      <c r="C8" s="14"/>
      <c r="D8" s="14"/>
      <c r="E8" s="14"/>
      <c r="F8" s="14"/>
      <c r="G8" s="14"/>
    </row>
    <row r="9" spans="1:7" s="2" customFormat="1" ht="24.75" customHeight="1" x14ac:dyDescent="0.25">
      <c r="A9" s="5"/>
      <c r="B9" s="106"/>
      <c r="C9" s="104"/>
      <c r="D9" s="325" t="s">
        <v>11</v>
      </c>
      <c r="E9" s="325"/>
      <c r="F9" s="325"/>
      <c r="G9" s="105"/>
    </row>
    <row r="10" spans="1:7" s="1" customFormat="1" ht="17.25" customHeight="1" x14ac:dyDescent="0.2">
      <c r="A10" s="11"/>
      <c r="B10" s="122" t="s">
        <v>12</v>
      </c>
      <c r="C10" s="324" t="s">
        <v>13</v>
      </c>
      <c r="D10" s="322"/>
      <c r="E10" s="322" t="s">
        <v>14</v>
      </c>
      <c r="F10" s="322"/>
      <c r="G10" s="323"/>
    </row>
    <row r="11" spans="1:7" s="1" customFormat="1" ht="17.25" customHeight="1" x14ac:dyDescent="0.2">
      <c r="A11" s="11"/>
      <c r="B11" s="123" t="s">
        <v>15</v>
      </c>
      <c r="C11" s="295">
        <v>0.99460000000000004</v>
      </c>
      <c r="D11" s="296"/>
      <c r="E11" s="293">
        <v>48</v>
      </c>
      <c r="F11" s="293"/>
      <c r="G11" s="294"/>
    </row>
    <row r="12" spans="1:7" s="1" customFormat="1" ht="17.25" customHeight="1" x14ac:dyDescent="0.2">
      <c r="A12" s="11"/>
      <c r="B12" s="123" t="s">
        <v>16</v>
      </c>
      <c r="C12" s="295">
        <v>0.9909</v>
      </c>
      <c r="D12" s="296"/>
      <c r="E12" s="293">
        <v>25</v>
      </c>
      <c r="F12" s="293"/>
      <c r="G12" s="294"/>
    </row>
    <row r="13" spans="1:7" s="1" customFormat="1" ht="17.25" customHeight="1" x14ac:dyDescent="0.2">
      <c r="A13" s="11"/>
      <c r="B13" s="123" t="s">
        <v>17</v>
      </c>
      <c r="C13" s="295"/>
      <c r="D13" s="296"/>
      <c r="E13" s="293">
        <v>32</v>
      </c>
      <c r="F13" s="293"/>
      <c r="G13" s="294"/>
    </row>
    <row r="14" spans="1:7" s="1" customFormat="1" ht="17.25" customHeight="1" x14ac:dyDescent="0.2">
      <c r="A14" s="11"/>
      <c r="B14" s="123" t="s">
        <v>5002</v>
      </c>
      <c r="C14" s="295"/>
      <c r="D14" s="296"/>
      <c r="E14" s="293">
        <v>285</v>
      </c>
      <c r="F14" s="293"/>
      <c r="G14" s="294"/>
    </row>
    <row r="15" spans="1:7" s="1" customFormat="1" ht="17.25" customHeight="1" x14ac:dyDescent="0.2">
      <c r="A15" s="11"/>
      <c r="B15" s="15"/>
      <c r="C15" s="15"/>
      <c r="D15" s="11"/>
      <c r="E15" s="11"/>
      <c r="F15" s="11"/>
      <c r="G15" s="11"/>
    </row>
    <row r="16" spans="1:7" s="1" customFormat="1" ht="17.25" customHeight="1" x14ac:dyDescent="0.2">
      <c r="A16" s="11"/>
      <c r="B16" s="313" t="s">
        <v>6</v>
      </c>
      <c r="C16" s="313"/>
      <c r="D16" s="11"/>
      <c r="E16" s="220" t="s">
        <v>18</v>
      </c>
      <c r="F16" s="220">
        <f>('GRÁFICOS - ÁGUA'!B8+'GRÁFICOS - ESGOTO'!B8+'GRÁFICOS - CAVALETE'!B8+'GRÁFICOS - REPOSIÇÃO'!B8)</f>
        <v>1375</v>
      </c>
      <c r="G16" s="11"/>
    </row>
    <row r="17" spans="1:7" s="1" customFormat="1" ht="17.25" customHeight="1" x14ac:dyDescent="0.2">
      <c r="A17" s="11"/>
      <c r="B17" s="124" t="s">
        <v>19</v>
      </c>
      <c r="C17" s="52">
        <v>0</v>
      </c>
      <c r="D17" s="11"/>
      <c r="E17" s="11"/>
      <c r="F17" s="11"/>
      <c r="G17" s="11"/>
    </row>
    <row r="18" spans="1:7" s="1" customFormat="1" ht="17.25" customHeight="1" x14ac:dyDescent="0.2">
      <c r="A18" s="11"/>
      <c r="B18" s="124" t="s">
        <v>20</v>
      </c>
      <c r="C18" s="52">
        <v>0</v>
      </c>
      <c r="D18" s="11"/>
      <c r="E18" s="11"/>
      <c r="F18" s="11"/>
      <c r="G18" s="11"/>
    </row>
    <row r="19" spans="1:7" s="1" customFormat="1" ht="17.25" customHeight="1" x14ac:dyDescent="0.2">
      <c r="A19" s="11"/>
      <c r="B19" s="124" t="s">
        <v>21</v>
      </c>
      <c r="C19" s="52">
        <v>0</v>
      </c>
      <c r="D19" s="11"/>
      <c r="E19" s="11"/>
      <c r="F19" s="11"/>
      <c r="G19" s="11"/>
    </row>
    <row r="20" spans="1:7" s="1" customFormat="1" ht="17.25" customHeight="1" x14ac:dyDescent="0.2">
      <c r="A20" s="11"/>
      <c r="B20" s="124" t="s">
        <v>22</v>
      </c>
      <c r="C20" s="52">
        <v>0</v>
      </c>
      <c r="D20" s="11"/>
      <c r="E20" s="11"/>
      <c r="F20" s="11"/>
      <c r="G20" s="11"/>
    </row>
    <row r="21" spans="1:7" s="1" customFormat="1" ht="17.25" customHeight="1" x14ac:dyDescent="0.2">
      <c r="A21" s="11"/>
      <c r="B21" s="15"/>
      <c r="C21" s="15"/>
      <c r="D21" s="11"/>
      <c r="E21" s="11"/>
      <c r="F21" s="11"/>
      <c r="G21" s="11"/>
    </row>
    <row r="22" spans="1:7" s="1" customFormat="1" ht="15" x14ac:dyDescent="0.2">
      <c r="A22" s="11"/>
      <c r="B22" s="11"/>
      <c r="C22" s="11"/>
      <c r="D22" s="11"/>
      <c r="E22" s="11"/>
      <c r="F22" s="11"/>
      <c r="G22" s="11"/>
    </row>
    <row r="23" spans="1:7" s="1" customFormat="1" ht="21" customHeight="1" x14ac:dyDescent="0.2">
      <c r="A23" s="11"/>
      <c r="B23" s="317" t="s">
        <v>23</v>
      </c>
      <c r="C23" s="317"/>
      <c r="D23" s="317"/>
      <c r="E23" s="317"/>
      <c r="F23" s="317"/>
      <c r="G23" s="317"/>
    </row>
    <row r="24" spans="1:7" s="1" customFormat="1" ht="15" x14ac:dyDescent="0.2">
      <c r="A24" s="11"/>
      <c r="B24" s="11"/>
      <c r="C24" s="11"/>
      <c r="D24" s="11"/>
      <c r="E24" s="11"/>
      <c r="F24" s="11"/>
      <c r="G24" s="11"/>
    </row>
    <row r="25" spans="1:7" s="2" customFormat="1" ht="24.75" customHeight="1" x14ac:dyDescent="0.25">
      <c r="A25" s="5"/>
      <c r="B25" s="298" t="s">
        <v>24</v>
      </c>
      <c r="C25" s="299"/>
      <c r="D25" s="299"/>
      <c r="E25" s="299"/>
      <c r="F25" s="299"/>
      <c r="G25" s="300"/>
    </row>
    <row r="26" spans="1:7" s="1" customFormat="1" ht="30.75" customHeight="1" x14ac:dyDescent="0.2">
      <c r="A26" s="11"/>
      <c r="B26" s="107" t="s">
        <v>12</v>
      </c>
      <c r="C26" s="108" t="s">
        <v>25</v>
      </c>
      <c r="D26" s="108" t="s">
        <v>26</v>
      </c>
      <c r="E26" s="108" t="s">
        <v>27</v>
      </c>
      <c r="F26" s="108" t="s">
        <v>28</v>
      </c>
      <c r="G26" s="108" t="s">
        <v>29</v>
      </c>
    </row>
    <row r="27" spans="1:7" s="1" customFormat="1" ht="21" customHeight="1" x14ac:dyDescent="0.2">
      <c r="A27" s="11"/>
      <c r="B27" s="124" t="s">
        <v>15</v>
      </c>
      <c r="C27" s="64">
        <f>D27+E27</f>
        <v>446</v>
      </c>
      <c r="D27" s="64">
        <f>COUNTIF(ÁGUA!AF:AF,"Nc")</f>
        <v>59</v>
      </c>
      <c r="E27" s="64">
        <f>COUNTIF(ÁGUA!AF:AF,"c")</f>
        <v>387</v>
      </c>
      <c r="F27" s="52">
        <f>IFERROR(D27/C27,"-")</f>
        <v>0.13228699551569506</v>
      </c>
      <c r="G27" s="52">
        <f>IFERROR(100%-F27,"-")</f>
        <v>0.86771300448430488</v>
      </c>
    </row>
    <row r="28" spans="1:7" s="1" customFormat="1" ht="21" customHeight="1" x14ac:dyDescent="0.2">
      <c r="A28" s="11"/>
      <c r="B28" s="124" t="s">
        <v>16</v>
      </c>
      <c r="C28" s="64">
        <f>D28+E28</f>
        <v>23</v>
      </c>
      <c r="D28" s="64">
        <f>COUNTIF(ESGOTO!AF:AF,"NC")</f>
        <v>6</v>
      </c>
      <c r="E28" s="64">
        <f>COUNTIF(ESGOTO!AF:AF,"C")</f>
        <v>17</v>
      </c>
      <c r="F28" s="52">
        <f t="shared" ref="F28:F30" si="0">IFERROR(D28/C28,"-")</f>
        <v>0.2608695652173913</v>
      </c>
      <c r="G28" s="52">
        <f t="shared" ref="G28:G30" si="1">IFERROR(100%-F28,"-")</f>
        <v>0.73913043478260865</v>
      </c>
    </row>
    <row r="29" spans="1:7" s="1" customFormat="1" ht="21" customHeight="1" x14ac:dyDescent="0.2">
      <c r="A29" s="11"/>
      <c r="B29" s="124" t="s">
        <v>30</v>
      </c>
      <c r="C29" s="64">
        <f>D29+E29</f>
        <v>351</v>
      </c>
      <c r="D29" s="64">
        <f>COUNTIF(CAVALETE!Z:Z,"nc")</f>
        <v>23</v>
      </c>
      <c r="E29" s="64">
        <f>COUNTIF(CAVALETE!Z:Z,"C")</f>
        <v>328</v>
      </c>
      <c r="F29" s="52">
        <f t="shared" si="0"/>
        <v>6.5527065527065526E-2</v>
      </c>
      <c r="G29" s="52">
        <f t="shared" si="1"/>
        <v>0.93447293447293445</v>
      </c>
    </row>
    <row r="30" spans="1:7" s="1" customFormat="1" ht="21" customHeight="1" x14ac:dyDescent="0.2">
      <c r="A30" s="11"/>
      <c r="B30" s="125" t="s">
        <v>17</v>
      </c>
      <c r="C30" s="75">
        <f>D30+E30</f>
        <v>219</v>
      </c>
      <c r="D30" s="75">
        <f>COUNTIF(REPOSIÇÃO!AF:AF,"nC")</f>
        <v>113</v>
      </c>
      <c r="E30" s="75">
        <f>COUNTIF(REPOSIÇÃO!AF:AF,"c")</f>
        <v>106</v>
      </c>
      <c r="F30" s="52">
        <f t="shared" si="0"/>
        <v>0.51598173515981738</v>
      </c>
      <c r="G30" s="52">
        <f t="shared" si="1"/>
        <v>0.48401826484018262</v>
      </c>
    </row>
    <row r="31" spans="1:7" s="1" customFormat="1" ht="21" customHeight="1" x14ac:dyDescent="0.2">
      <c r="A31" s="11"/>
      <c r="B31" s="174" t="s">
        <v>31</v>
      </c>
      <c r="C31" s="172">
        <f>SUM(C27:C30)</f>
        <v>1039</v>
      </c>
      <c r="D31" s="172">
        <f t="shared" ref="D31:E31" si="2">SUM(D27:D30)</f>
        <v>201</v>
      </c>
      <c r="E31" s="172">
        <f t="shared" si="2"/>
        <v>838</v>
      </c>
      <c r="F31" s="175">
        <f>IFERROR(AVERAGE(F27,F28,F29,F30),"-")</f>
        <v>0.24366634035499232</v>
      </c>
      <c r="G31" s="173">
        <f>IFERROR(AVERAGE(G27,G28,G29,G30),"-")</f>
        <v>0.75633365964500765</v>
      </c>
    </row>
    <row r="32" spans="1:7" s="1" customFormat="1" ht="15" x14ac:dyDescent="0.2">
      <c r="A32" s="11"/>
      <c r="B32" s="11"/>
      <c r="C32" s="11"/>
      <c r="D32" s="11"/>
      <c r="E32" s="11"/>
      <c r="F32" s="172" t="s">
        <v>32</v>
      </c>
      <c r="G32" s="172" t="s">
        <v>33</v>
      </c>
    </row>
    <row r="33" spans="1:7" s="1" customFormat="1" ht="15" x14ac:dyDescent="0.2">
      <c r="A33" s="11"/>
      <c r="B33" s="11"/>
      <c r="C33" s="11"/>
      <c r="D33" s="11"/>
      <c r="E33" s="11"/>
      <c r="F33" s="11"/>
      <c r="G33" s="11"/>
    </row>
    <row r="34" spans="1:7" s="1" customFormat="1" ht="21" customHeight="1" x14ac:dyDescent="0.2">
      <c r="A34" s="11"/>
      <c r="B34" s="313" t="s">
        <v>34</v>
      </c>
      <c r="C34" s="313"/>
      <c r="D34" s="313"/>
      <c r="E34" s="313"/>
      <c r="F34" s="313"/>
      <c r="G34" s="313"/>
    </row>
    <row r="35" spans="1:7" s="1" customFormat="1" ht="42.75" customHeight="1" x14ac:dyDescent="0.2">
      <c r="A35" s="11"/>
      <c r="B35" s="107" t="s">
        <v>12</v>
      </c>
      <c r="C35" s="108" t="s">
        <v>35</v>
      </c>
      <c r="D35" s="108" t="s">
        <v>36</v>
      </c>
      <c r="E35" s="108" t="s">
        <v>37</v>
      </c>
      <c r="F35" s="108" t="s">
        <v>28</v>
      </c>
      <c r="G35" s="108" t="s">
        <v>29</v>
      </c>
    </row>
    <row r="36" spans="1:7" s="1" customFormat="1" ht="15" x14ac:dyDescent="0.2">
      <c r="A36" s="11"/>
      <c r="B36" s="124" t="s">
        <v>15</v>
      </c>
      <c r="C36" s="64">
        <f>D36+E36</f>
        <v>446</v>
      </c>
      <c r="D36" s="64">
        <f>COUNTIF(ÁGUA!AE:AE,"Nc")</f>
        <v>12</v>
      </c>
      <c r="E36" s="64">
        <f>COUNTIF(ÁGUA!AE:AE,"c")</f>
        <v>434</v>
      </c>
      <c r="F36" s="16">
        <f>IFERROR(D36/C36,"-")</f>
        <v>2.6905829596412557E-2</v>
      </c>
      <c r="G36" s="16">
        <f>IFERROR(E36/C36,"-")</f>
        <v>0.97309417040358748</v>
      </c>
    </row>
    <row r="37" spans="1:7" s="1" customFormat="1" ht="15" x14ac:dyDescent="0.2">
      <c r="A37" s="11"/>
      <c r="B37" s="124" t="s">
        <v>16</v>
      </c>
      <c r="C37" s="64">
        <f>D37+E37</f>
        <v>23</v>
      </c>
      <c r="D37" s="64">
        <f>COUNTIF(ESGOTO!AE:AE,"NC")</f>
        <v>3</v>
      </c>
      <c r="E37" s="64">
        <f>COUNTIF(ESGOTO!AE:AE,"C")</f>
        <v>20</v>
      </c>
      <c r="F37" s="16">
        <f t="shared" ref="F37:F39" si="3">IFERROR(D37/C37,"-")</f>
        <v>0.13043478260869565</v>
      </c>
      <c r="G37" s="16">
        <f t="shared" ref="G37:G39" si="4">IFERROR(E37/C37,"-")</f>
        <v>0.86956521739130432</v>
      </c>
    </row>
    <row r="38" spans="1:7" s="1" customFormat="1" ht="15" x14ac:dyDescent="0.2">
      <c r="A38" s="11"/>
      <c r="B38" s="124" t="s">
        <v>30</v>
      </c>
      <c r="C38" s="64">
        <f>D38+E38</f>
        <v>351</v>
      </c>
      <c r="D38" s="64">
        <f>COUNTIF(CAVALETE!Y:Y,"NC")</f>
        <v>11</v>
      </c>
      <c r="E38" s="64">
        <f>COUNTIF(CAVALETE!Y:Y,"C")</f>
        <v>340</v>
      </c>
      <c r="F38" s="16">
        <f t="shared" si="3"/>
        <v>3.1339031339031341E-2</v>
      </c>
      <c r="G38" s="16">
        <f t="shared" si="4"/>
        <v>0.96866096866096862</v>
      </c>
    </row>
    <row r="39" spans="1:7" s="1" customFormat="1" ht="15" x14ac:dyDescent="0.2">
      <c r="A39" s="11"/>
      <c r="B39" s="124" t="s">
        <v>17</v>
      </c>
      <c r="C39" s="64">
        <f>D39+E39</f>
        <v>217</v>
      </c>
      <c r="D39" s="64">
        <f>COUNTIF(REPOSIÇÃO!AE:AE,"nC")</f>
        <v>95</v>
      </c>
      <c r="E39" s="64">
        <f>COUNTIF(REPOSIÇÃO!AE:AE,"c")</f>
        <v>122</v>
      </c>
      <c r="F39" s="16">
        <f t="shared" si="3"/>
        <v>0.43778801843317972</v>
      </c>
      <c r="G39" s="16">
        <f t="shared" si="4"/>
        <v>0.56221198156682028</v>
      </c>
    </row>
    <row r="40" spans="1:7" s="1" customFormat="1" ht="15" x14ac:dyDescent="0.2">
      <c r="A40" s="11"/>
      <c r="B40" s="11"/>
      <c r="C40" s="11"/>
      <c r="D40" s="11"/>
      <c r="E40" s="11"/>
      <c r="F40" s="17"/>
      <c r="G40" s="17"/>
    </row>
    <row r="41" spans="1:7" s="1" customFormat="1" ht="15" x14ac:dyDescent="0.2">
      <c r="A41" s="11"/>
      <c r="B41" s="313" t="s">
        <v>38</v>
      </c>
      <c r="C41" s="313"/>
      <c r="D41" s="313"/>
      <c r="E41" s="313"/>
      <c r="F41" s="313"/>
      <c r="G41" s="313"/>
    </row>
    <row r="42" spans="1:7" s="1" customFormat="1" ht="15" x14ac:dyDescent="0.2">
      <c r="A42" s="11"/>
      <c r="B42" s="107" t="s">
        <v>12</v>
      </c>
      <c r="C42" s="108" t="s">
        <v>35</v>
      </c>
      <c r="D42" s="108" t="s">
        <v>36</v>
      </c>
      <c r="E42" s="108" t="s">
        <v>37</v>
      </c>
      <c r="F42" s="108" t="s">
        <v>28</v>
      </c>
      <c r="G42" s="108" t="s">
        <v>29</v>
      </c>
    </row>
    <row r="43" spans="1:7" s="1" customFormat="1" ht="15" x14ac:dyDescent="0.2">
      <c r="A43" s="11"/>
      <c r="B43" s="124" t="s">
        <v>15</v>
      </c>
      <c r="C43" s="64">
        <f>D43+E43</f>
        <v>488</v>
      </c>
      <c r="D43" s="64">
        <f>COUNTIF(ÁGUA!AH:AH,"Nc")</f>
        <v>0</v>
      </c>
      <c r="E43" s="64">
        <f>COUNTIF(ÁGUA!AH:AH,"c")</f>
        <v>488</v>
      </c>
      <c r="F43" s="84">
        <f>IFERROR(D43/C43,"-")</f>
        <v>0</v>
      </c>
      <c r="G43" s="16">
        <f>IFERROR(E43/C43,"-")</f>
        <v>1</v>
      </c>
    </row>
    <row r="44" spans="1:7" s="1" customFormat="1" ht="15" x14ac:dyDescent="0.2">
      <c r="A44" s="11"/>
      <c r="B44" s="124" t="s">
        <v>16</v>
      </c>
      <c r="C44" s="64">
        <f>D44+E44</f>
        <v>289</v>
      </c>
      <c r="D44" s="64">
        <f>COUNTIF(ESGOTO!AH:AH,"NC")</f>
        <v>0</v>
      </c>
      <c r="E44" s="64">
        <f>COUNTIF(ESGOTO!AH:AH,"C")</f>
        <v>289</v>
      </c>
      <c r="F44" s="84">
        <f t="shared" ref="F44:F45" si="5">IFERROR(D44/C44,"-")</f>
        <v>0</v>
      </c>
      <c r="G44" s="16">
        <f t="shared" ref="G44:G45" si="6">IFERROR(E44/C44,"-")</f>
        <v>1</v>
      </c>
    </row>
    <row r="45" spans="1:7" s="1" customFormat="1" ht="15" x14ac:dyDescent="0.2">
      <c r="A45" s="11"/>
      <c r="B45" s="124" t="s">
        <v>30</v>
      </c>
      <c r="C45" s="64">
        <f>D45+E45</f>
        <v>331</v>
      </c>
      <c r="D45" s="64">
        <f>COUNTIF(CAVALETE!AB:AB,"NC")</f>
        <v>0</v>
      </c>
      <c r="E45" s="64">
        <f>COUNTIF(CAVALETE!AB:AB,"C")</f>
        <v>331</v>
      </c>
      <c r="F45" s="84">
        <f t="shared" si="5"/>
        <v>0</v>
      </c>
      <c r="G45" s="16">
        <f t="shared" si="6"/>
        <v>1</v>
      </c>
    </row>
    <row r="46" spans="1:7" s="1" customFormat="1" ht="15" x14ac:dyDescent="0.2">
      <c r="A46" s="11"/>
      <c r="B46" s="11"/>
      <c r="C46" s="11"/>
      <c r="D46" s="11"/>
      <c r="E46" s="11"/>
      <c r="F46" s="17"/>
      <c r="G46" s="17"/>
    </row>
    <row r="47" spans="1:7" s="1" customFormat="1" x14ac:dyDescent="0.2">
      <c r="A47" s="11"/>
      <c r="B47" s="308" t="s">
        <v>39</v>
      </c>
      <c r="C47" s="308"/>
      <c r="D47" s="308"/>
      <c r="E47" s="308"/>
      <c r="F47" s="308"/>
      <c r="G47" s="308"/>
    </row>
    <row r="48" spans="1:7" s="1" customFormat="1" x14ac:dyDescent="0.2">
      <c r="A48" s="11"/>
      <c r="B48" s="76"/>
      <c r="C48" s="76"/>
      <c r="D48" s="76"/>
      <c r="E48" s="76"/>
      <c r="F48" s="76"/>
      <c r="G48" s="76"/>
    </row>
    <row r="49" spans="1:7" s="1" customFormat="1" ht="15" x14ac:dyDescent="0.2">
      <c r="A49" s="11"/>
      <c r="B49" s="298" t="s">
        <v>34</v>
      </c>
      <c r="C49" s="299"/>
      <c r="D49" s="299"/>
      <c r="E49" s="299"/>
      <c r="F49" s="299"/>
      <c r="G49" s="300"/>
    </row>
    <row r="50" spans="1:7" s="1" customFormat="1" ht="15" x14ac:dyDescent="0.2">
      <c r="A50" s="11"/>
      <c r="B50" s="107" t="s">
        <v>12</v>
      </c>
      <c r="C50" s="108" t="s">
        <v>35</v>
      </c>
      <c r="D50" s="108" t="s">
        <v>36</v>
      </c>
      <c r="E50" s="108" t="s">
        <v>37</v>
      </c>
      <c r="F50" s="108" t="s">
        <v>28</v>
      </c>
      <c r="G50" s="108" t="s">
        <v>29</v>
      </c>
    </row>
    <row r="51" spans="1:7" s="1" customFormat="1" ht="15" x14ac:dyDescent="0.2">
      <c r="A51" s="11"/>
      <c r="B51" s="124" t="s">
        <v>15</v>
      </c>
      <c r="C51" s="64">
        <f>D51+E51</f>
        <v>446</v>
      </c>
      <c r="D51" s="64">
        <f>COUNTIF(ÁGUA!AE:AE,"NC")</f>
        <v>12</v>
      </c>
      <c r="E51" s="64">
        <f>COUNTIF(ÁGUA!AE:AE,"C")</f>
        <v>434</v>
      </c>
      <c r="F51" s="16">
        <f>IFERROR(D51/C51,"-")</f>
        <v>2.6905829596412557E-2</v>
      </c>
      <c r="G51" s="16">
        <f>IFERROR(E51/C51,"-")</f>
        <v>0.97309417040358748</v>
      </c>
    </row>
    <row r="52" spans="1:7" s="1" customFormat="1" ht="15" x14ac:dyDescent="0.2">
      <c r="A52" s="11"/>
      <c r="B52" s="11"/>
      <c r="C52" s="11"/>
      <c r="D52" s="11"/>
      <c r="E52" s="11"/>
      <c r="F52" s="17"/>
      <c r="G52" s="17"/>
    </row>
    <row r="53" spans="1:7" s="1" customFormat="1" ht="15" x14ac:dyDescent="0.2">
      <c r="A53" s="11"/>
      <c r="B53" s="298" t="s">
        <v>24</v>
      </c>
      <c r="C53" s="299"/>
      <c r="D53" s="299"/>
      <c r="E53" s="299"/>
      <c r="F53" s="299"/>
      <c r="G53" s="300"/>
    </row>
    <row r="54" spans="1:7" s="1" customFormat="1" ht="15" x14ac:dyDescent="0.2">
      <c r="A54" s="11"/>
      <c r="B54" s="107" t="s">
        <v>12</v>
      </c>
      <c r="C54" s="108" t="s">
        <v>25</v>
      </c>
      <c r="D54" s="108" t="s">
        <v>26</v>
      </c>
      <c r="E54" s="108" t="s">
        <v>27</v>
      </c>
      <c r="F54" s="108" t="s">
        <v>28</v>
      </c>
      <c r="G54" s="108" t="s">
        <v>29</v>
      </c>
    </row>
    <row r="55" spans="1:7" s="1" customFormat="1" ht="15" x14ac:dyDescent="0.2">
      <c r="A55" s="11"/>
      <c r="B55" s="124" t="s">
        <v>15</v>
      </c>
      <c r="C55" s="64">
        <f>D55+E55</f>
        <v>446</v>
      </c>
      <c r="D55" s="64">
        <f>COUNTIF(ÁGUA!AF:AF,"NC")</f>
        <v>59</v>
      </c>
      <c r="E55" s="64">
        <f>COUNTIF(ÁGUA!AF:AF,"C")</f>
        <v>387</v>
      </c>
      <c r="F55" s="52">
        <f>IFERROR(D55/C55,"-")</f>
        <v>0.13228699551569506</v>
      </c>
      <c r="G55" s="52">
        <f>IFERROR(100%-F55,"-")</f>
        <v>0.86771300448430488</v>
      </c>
    </row>
    <row r="56" spans="1:7" s="1" customFormat="1" ht="15" x14ac:dyDescent="0.2">
      <c r="A56" s="11"/>
      <c r="B56" s="11"/>
      <c r="C56" s="11"/>
      <c r="D56" s="11"/>
      <c r="E56" s="11"/>
      <c r="F56" s="17"/>
      <c r="G56" s="17"/>
    </row>
    <row r="57" spans="1:7" s="1" customFormat="1" ht="15" x14ac:dyDescent="0.2">
      <c r="A57" s="11"/>
      <c r="B57" s="298" t="s">
        <v>38</v>
      </c>
      <c r="C57" s="299"/>
      <c r="D57" s="299"/>
      <c r="E57" s="299"/>
      <c r="F57" s="299"/>
      <c r="G57" s="300"/>
    </row>
    <row r="58" spans="1:7" s="1" customFormat="1" ht="15" x14ac:dyDescent="0.2">
      <c r="A58" s="11"/>
      <c r="B58" s="107" t="s">
        <v>12</v>
      </c>
      <c r="C58" s="108" t="s">
        <v>35</v>
      </c>
      <c r="D58" s="108" t="s">
        <v>36</v>
      </c>
      <c r="E58" s="108" t="s">
        <v>37</v>
      </c>
      <c r="F58" s="108" t="s">
        <v>28</v>
      </c>
      <c r="G58" s="108" t="s">
        <v>29</v>
      </c>
    </row>
    <row r="59" spans="1:7" s="1" customFormat="1" ht="15" x14ac:dyDescent="0.2">
      <c r="A59" s="11"/>
      <c r="B59" s="124" t="s">
        <v>15</v>
      </c>
      <c r="C59" s="64">
        <f>D59+E59</f>
        <v>488</v>
      </c>
      <c r="D59" s="64">
        <f>COUNTIF(ÁGUA!AH:AH,"NC")</f>
        <v>0</v>
      </c>
      <c r="E59" s="64">
        <f>COUNTIF(ÁGUA!AH:AH,"C")</f>
        <v>488</v>
      </c>
      <c r="F59" s="16">
        <f>IFERROR(D59/C59,"-")</f>
        <v>0</v>
      </c>
      <c r="G59" s="16">
        <f>IFERROR(E59/C59,"-")</f>
        <v>1</v>
      </c>
    </row>
    <row r="60" spans="1:7" s="1" customFormat="1" x14ac:dyDescent="0.25">
      <c r="A60" s="11"/>
      <c r="B60" s="20"/>
      <c r="C60" s="20"/>
      <c r="D60" s="20"/>
      <c r="E60" s="20"/>
      <c r="F60" s="20"/>
      <c r="G60" s="20"/>
    </row>
    <row r="61" spans="1:7" s="1" customFormat="1" x14ac:dyDescent="0.2">
      <c r="A61" s="11"/>
      <c r="B61" s="301" t="s">
        <v>40</v>
      </c>
      <c r="C61" s="302"/>
      <c r="D61" s="302"/>
      <c r="E61" s="302"/>
      <c r="F61" s="302"/>
      <c r="G61" s="303"/>
    </row>
    <row r="62" spans="1:7" ht="18" customHeight="1" x14ac:dyDescent="0.25">
      <c r="B62" s="109" t="s">
        <v>6</v>
      </c>
      <c r="C62" s="110" t="s">
        <v>41</v>
      </c>
      <c r="D62" s="110" t="s">
        <v>42</v>
      </c>
      <c r="E62" s="110" t="s">
        <v>43</v>
      </c>
      <c r="F62" s="110" t="s">
        <v>44</v>
      </c>
      <c r="G62" s="110" t="s">
        <v>45</v>
      </c>
    </row>
    <row r="63" spans="1:7" ht="18" customHeight="1" x14ac:dyDescent="0.25">
      <c r="B63" s="126" t="s">
        <v>46</v>
      </c>
      <c r="C63" s="69">
        <f>COUNTIF(ÁGUA!O:O,"c")</f>
        <v>434</v>
      </c>
      <c r="D63" s="69">
        <f>COUNTIF(ÁGUA!O:O,"Nc")</f>
        <v>2</v>
      </c>
      <c r="E63" s="69">
        <f>COUNTIF(ÁGUA!O:O,"SF")</f>
        <v>10</v>
      </c>
      <c r="F63" s="71">
        <f>IFERROR(C63/(C63+D63+E63),"-")</f>
        <v>0.97309417040358748</v>
      </c>
      <c r="G63" s="67">
        <f>IFERROR(100%-F63,"-")</f>
        <v>2.6905829596412523E-2</v>
      </c>
    </row>
    <row r="64" spans="1:7" x14ac:dyDescent="0.25">
      <c r="B64" s="126" t="s">
        <v>47</v>
      </c>
      <c r="C64" s="69">
        <f>COUNTIF(ÁGUA!Q:Q,"c")</f>
        <v>387</v>
      </c>
      <c r="D64" s="69">
        <f>COUNTIF(ÁGUA!Q:Q,"Nc")</f>
        <v>5</v>
      </c>
      <c r="E64" s="69">
        <f>COUNTIF(ÁGUA!Q:Q,"SF")</f>
        <v>10</v>
      </c>
      <c r="F64" s="71">
        <f t="shared" ref="F64:F69" si="7">IFERROR(C64/(C64+D64+E64),"-")</f>
        <v>0.96268656716417911</v>
      </c>
      <c r="G64" s="67">
        <f t="shared" ref="G64:G69" si="8">IFERROR(100%-F64,"-")</f>
        <v>3.7313432835820892E-2</v>
      </c>
    </row>
    <row r="65" spans="2:7" x14ac:dyDescent="0.25">
      <c r="B65" s="126" t="s">
        <v>48</v>
      </c>
      <c r="C65" s="69">
        <f>COUNTIF(ÁGUA!S:S,"c")</f>
        <v>386</v>
      </c>
      <c r="D65" s="69">
        <f>COUNTIF(ÁGUA!S:S,"Nc")</f>
        <v>2</v>
      </c>
      <c r="E65" s="69">
        <f>COUNTIF(ÁGUA!S:S,"SF")</f>
        <v>10</v>
      </c>
      <c r="F65" s="71">
        <f t="shared" si="7"/>
        <v>0.96984924623115576</v>
      </c>
      <c r="G65" s="67">
        <f t="shared" si="8"/>
        <v>3.0150753768844241E-2</v>
      </c>
    </row>
    <row r="66" spans="2:7" x14ac:dyDescent="0.25">
      <c r="B66" s="126" t="s">
        <v>49</v>
      </c>
      <c r="C66" s="69">
        <f>COUNTIF(ÁGUA!U:U,"c")</f>
        <v>379</v>
      </c>
      <c r="D66" s="69">
        <f>COUNTIF(ÁGUA!U:U,"Nc")</f>
        <v>2</v>
      </c>
      <c r="E66" s="69">
        <f>COUNTIF(ÁGUA!U:U,"SF")</f>
        <v>16</v>
      </c>
      <c r="F66" s="71">
        <f t="shared" ref="F66" si="9">IFERROR(C66/(C66+D66+E66),"-")</f>
        <v>0.95465994962216627</v>
      </c>
      <c r="G66" s="67">
        <f t="shared" ref="G66" si="10">IFERROR(100%-F66,"-")</f>
        <v>4.5340050377833729E-2</v>
      </c>
    </row>
    <row r="67" spans="2:7" x14ac:dyDescent="0.25">
      <c r="B67" s="126" t="s">
        <v>50</v>
      </c>
      <c r="C67" s="69">
        <f>COUNTIF(ÁGUA!W:W,"c")</f>
        <v>378</v>
      </c>
      <c r="D67" s="69">
        <f>COUNTIF(ÁGUA!W:W,"Nc")</f>
        <v>3</v>
      </c>
      <c r="E67" s="69">
        <f>COUNTIF(ÁGUA!W:W,"SF")</f>
        <v>16</v>
      </c>
      <c r="F67" s="71">
        <f t="shared" si="7"/>
        <v>0.95214105793450876</v>
      </c>
      <c r="G67" s="67">
        <f t="shared" si="8"/>
        <v>4.7858942065491239E-2</v>
      </c>
    </row>
    <row r="68" spans="2:7" x14ac:dyDescent="0.25">
      <c r="B68" s="126" t="s">
        <v>51</v>
      </c>
      <c r="C68" s="69">
        <f>COUNTIF(ÁGUA!Y:Y,"c")</f>
        <v>149</v>
      </c>
      <c r="D68" s="69">
        <f>COUNTIF(ÁGUA!Y:Y,"Nc")</f>
        <v>11</v>
      </c>
      <c r="E68" s="69">
        <f>COUNTIF(ÁGUA!Y:Y,"SF")</f>
        <v>16</v>
      </c>
      <c r="F68" s="71">
        <f t="shared" si="7"/>
        <v>0.84659090909090906</v>
      </c>
      <c r="G68" s="67">
        <f t="shared" si="8"/>
        <v>0.15340909090909094</v>
      </c>
    </row>
    <row r="69" spans="2:7" x14ac:dyDescent="0.25">
      <c r="B69" s="126" t="s">
        <v>52</v>
      </c>
      <c r="C69" s="69">
        <f>COUNTIF(ÁGUA!AA:AA,"c")</f>
        <v>393</v>
      </c>
      <c r="D69" s="69">
        <f>COUNTIF(ÁGUA!AA:AA,"Nc")</f>
        <v>22</v>
      </c>
      <c r="E69" s="69">
        <f>COUNTIF(ÁGUA!AA:AA,"SF")</f>
        <v>17</v>
      </c>
      <c r="F69" s="71">
        <f t="shared" si="7"/>
        <v>0.90972222222222221</v>
      </c>
      <c r="G69" s="67">
        <f t="shared" si="8"/>
        <v>9.027777777777779E-2</v>
      </c>
    </row>
    <row r="70" spans="2:7" x14ac:dyDescent="0.25">
      <c r="B70" s="126" t="s">
        <v>53</v>
      </c>
      <c r="C70" s="69">
        <f>COUNTIF(ÁGUA!AC:AC,"c")</f>
        <v>417</v>
      </c>
      <c r="D70" s="69">
        <f>COUNTIF(ÁGUA!AC:AC,"Nc")</f>
        <v>13</v>
      </c>
      <c r="E70" s="69">
        <f>COUNTIF(ÁGUA!AC:AC,"SF")</f>
        <v>16</v>
      </c>
      <c r="F70" s="71">
        <f t="shared" ref="F70" si="11">IFERROR(C70/(C70+D70+E70),"-")</f>
        <v>0.93497757847533636</v>
      </c>
      <c r="G70" s="67">
        <f t="shared" ref="G70" si="12">IFERROR(100%-F70,"-")</f>
        <v>6.5022421524663643E-2</v>
      </c>
    </row>
    <row r="72" spans="2:7" ht="18.75" customHeight="1" x14ac:dyDescent="0.25">
      <c r="B72" s="305" t="s">
        <v>54</v>
      </c>
      <c r="C72" s="306"/>
      <c r="D72" s="306"/>
      <c r="E72" s="306"/>
      <c r="F72" s="306"/>
      <c r="G72" s="307"/>
    </row>
    <row r="73" spans="2:7" ht="36" x14ac:dyDescent="0.25">
      <c r="B73" s="111" t="s">
        <v>55</v>
      </c>
      <c r="C73" s="112" t="s">
        <v>56</v>
      </c>
      <c r="D73" s="113" t="s">
        <v>41</v>
      </c>
      <c r="E73" s="113" t="s">
        <v>42</v>
      </c>
      <c r="F73" s="113" t="s">
        <v>44</v>
      </c>
      <c r="G73" s="113" t="s">
        <v>57</v>
      </c>
    </row>
    <row r="74" spans="2:7" x14ac:dyDescent="0.25">
      <c r="B74" s="271" t="s">
        <v>237</v>
      </c>
      <c r="C74" s="82">
        <f t="shared" ref="C74" si="13">D74+E74</f>
        <v>20</v>
      </c>
      <c r="D74" s="77">
        <f>COUNTIFS(ÁGUA!N:N,'DADOS - GOPOÚVA'!B74,ÁGUA!AE:AE,"c")</f>
        <v>20</v>
      </c>
      <c r="E74" s="77">
        <f>COUNTIFS(ÁGUA!N:N,'DADOS - GOPOÚVA'!B74,ÁGUA!AE:AE,"Nc")</f>
        <v>0</v>
      </c>
      <c r="F74" s="78">
        <f t="shared" ref="F74" si="14">IFERROR(D74/C74,"-")</f>
        <v>1</v>
      </c>
      <c r="G74" s="67">
        <f t="shared" ref="G74" si="15">IFERROR(100%-F74,"-")</f>
        <v>0</v>
      </c>
    </row>
    <row r="75" spans="2:7" x14ac:dyDescent="0.25">
      <c r="B75" s="231" t="s">
        <v>244</v>
      </c>
      <c r="C75" s="82">
        <f t="shared" ref="C75" si="16">D75+E75</f>
        <v>18</v>
      </c>
      <c r="D75" s="77">
        <f>COUNTIFS(ÁGUA!N:N,'DADOS - GOPOÚVA'!B75,ÁGUA!AE:AE,"c")</f>
        <v>18</v>
      </c>
      <c r="E75" s="77">
        <f>COUNTIFS(ÁGUA!N:N,'DADOS - GOPOÚVA'!B75,ÁGUA!AE:AE,"Nc")</f>
        <v>0</v>
      </c>
      <c r="F75" s="78">
        <f t="shared" ref="F75" si="17">IFERROR(D75/C75,"-")</f>
        <v>1</v>
      </c>
      <c r="G75" s="67">
        <f t="shared" ref="G75" si="18">IFERROR(100%-F75,"-")</f>
        <v>0</v>
      </c>
    </row>
    <row r="76" spans="2:7" x14ac:dyDescent="0.25">
      <c r="B76" s="231" t="s">
        <v>348</v>
      </c>
      <c r="C76" s="82">
        <f t="shared" ref="C76" si="19">D76+E76</f>
        <v>18</v>
      </c>
      <c r="D76" s="77">
        <f>COUNTIFS(ÁGUA!N:N,'DADOS - GOPOÚVA'!B76,ÁGUA!AE:AE,"c")</f>
        <v>18</v>
      </c>
      <c r="E76" s="77">
        <f>COUNTIFS(ÁGUA!N:N,'DADOS - GOPOÚVA'!B76,ÁGUA!AE:AE,"Nc")</f>
        <v>0</v>
      </c>
      <c r="F76" s="78">
        <f t="shared" ref="F76" si="20">IFERROR(D76/C76,"-")</f>
        <v>1</v>
      </c>
      <c r="G76" s="67">
        <f t="shared" ref="G76" si="21">IFERROR(100%-F76,"-")</f>
        <v>0</v>
      </c>
    </row>
    <row r="77" spans="2:7" x14ac:dyDescent="0.25">
      <c r="B77" s="231" t="s">
        <v>381</v>
      </c>
      <c r="C77" s="82">
        <f t="shared" ref="C77:C97" si="22">D77+E77</f>
        <v>14</v>
      </c>
      <c r="D77" s="77">
        <f>COUNTIFS(ÁGUA!N:N,'DADOS - GOPOÚVA'!B77,ÁGUA!AE:AE,"c")</f>
        <v>14</v>
      </c>
      <c r="E77" s="77">
        <f>COUNTIFS(ÁGUA!N:N,'DADOS - GOPOÚVA'!B77,ÁGUA!AE:AE,"Nc")</f>
        <v>0</v>
      </c>
      <c r="F77" s="78">
        <f t="shared" ref="F77:F97" si="23">IFERROR(D77/C77,"-")</f>
        <v>1</v>
      </c>
      <c r="G77" s="67">
        <f t="shared" ref="G77:G97" si="24">IFERROR(100%-F77,"-")</f>
        <v>0</v>
      </c>
    </row>
    <row r="78" spans="2:7" x14ac:dyDescent="0.25">
      <c r="B78" s="231" t="s">
        <v>203</v>
      </c>
      <c r="C78" s="82">
        <f t="shared" si="22"/>
        <v>39</v>
      </c>
      <c r="D78" s="77">
        <f>COUNTIFS(ÁGUA!N:N,'DADOS - GOPOÚVA'!B78,ÁGUA!AE:AE,"c")</f>
        <v>39</v>
      </c>
      <c r="E78" s="77">
        <f>COUNTIFS(ÁGUA!N:N,'DADOS - GOPOÚVA'!B78,ÁGUA!AE:AE,"Nc")</f>
        <v>0</v>
      </c>
      <c r="F78" s="78">
        <f t="shared" si="23"/>
        <v>1</v>
      </c>
      <c r="G78" s="67">
        <f t="shared" si="24"/>
        <v>0</v>
      </c>
    </row>
    <row r="79" spans="2:7" x14ac:dyDescent="0.25">
      <c r="B79" s="231" t="s">
        <v>228</v>
      </c>
      <c r="C79" s="82">
        <f t="shared" si="22"/>
        <v>17</v>
      </c>
      <c r="D79" s="77">
        <f>COUNTIFS(ÁGUA!N:N,'DADOS - GOPOÚVA'!B79,ÁGUA!AE:AE,"c")</f>
        <v>17</v>
      </c>
      <c r="E79" s="77">
        <f>COUNTIFS(ÁGUA!N:N,'DADOS - GOPOÚVA'!B79,ÁGUA!AE:AE,"Nc")</f>
        <v>0</v>
      </c>
      <c r="F79" s="78">
        <f t="shared" si="23"/>
        <v>1</v>
      </c>
      <c r="G79" s="67">
        <f t="shared" si="24"/>
        <v>0</v>
      </c>
    </row>
    <row r="80" spans="2:7" x14ac:dyDescent="0.25">
      <c r="B80" s="231" t="s">
        <v>263</v>
      </c>
      <c r="C80" s="82">
        <f t="shared" si="22"/>
        <v>26</v>
      </c>
      <c r="D80" s="77">
        <f>COUNTIFS(ÁGUA!N:N,'DADOS - GOPOÚVA'!B80,ÁGUA!AE:AE,"c")</f>
        <v>26</v>
      </c>
      <c r="E80" s="77">
        <f>COUNTIFS(ÁGUA!N:N,'DADOS - GOPOÚVA'!B80,ÁGUA!AE:AE,"Nc")</f>
        <v>0</v>
      </c>
      <c r="F80" s="78">
        <f t="shared" si="23"/>
        <v>1</v>
      </c>
      <c r="G80" s="67">
        <f t="shared" si="24"/>
        <v>0</v>
      </c>
    </row>
    <row r="81" spans="2:7" x14ac:dyDescent="0.25">
      <c r="B81" s="231" t="s">
        <v>303</v>
      </c>
      <c r="C81" s="82">
        <f t="shared" si="22"/>
        <v>16</v>
      </c>
      <c r="D81" s="77">
        <f>COUNTIFS(ÁGUA!N:N,'DADOS - GOPOÚVA'!B81,ÁGUA!AE:AE,"c")</f>
        <v>16</v>
      </c>
      <c r="E81" s="77">
        <f>COUNTIFS(ÁGUA!N:N,'DADOS - GOPOÚVA'!B81,ÁGUA!AE:AE,"Nc")</f>
        <v>0</v>
      </c>
      <c r="F81" s="78">
        <f t="shared" si="23"/>
        <v>1</v>
      </c>
      <c r="G81" s="67">
        <f t="shared" si="24"/>
        <v>0</v>
      </c>
    </row>
    <row r="82" spans="2:7" x14ac:dyDescent="0.25">
      <c r="B82" s="231" t="s">
        <v>250</v>
      </c>
      <c r="C82" s="82">
        <f t="shared" si="22"/>
        <v>15</v>
      </c>
      <c r="D82" s="77">
        <f>COUNTIFS(ÁGUA!N:N,'DADOS - GOPOÚVA'!B82,ÁGUA!AE:AE,"c")</f>
        <v>13</v>
      </c>
      <c r="E82" s="77">
        <f>COUNTIFS(ÁGUA!N:N,'DADOS - GOPOÚVA'!B82,ÁGUA!AE:AE,"Nc")</f>
        <v>2</v>
      </c>
      <c r="F82" s="78">
        <f t="shared" si="23"/>
        <v>0.8666666666666667</v>
      </c>
      <c r="G82" s="67">
        <f t="shared" si="24"/>
        <v>0.1333333333333333</v>
      </c>
    </row>
    <row r="83" spans="2:7" x14ac:dyDescent="0.25">
      <c r="B83" s="231" t="s">
        <v>819</v>
      </c>
      <c r="C83" s="82">
        <f t="shared" si="22"/>
        <v>1</v>
      </c>
      <c r="D83" s="77">
        <f>COUNTIFS(ÁGUA!N:N,'DADOS - GOPOÚVA'!B83,ÁGUA!AE:AE,"c")</f>
        <v>1</v>
      </c>
      <c r="E83" s="77">
        <f>COUNTIFS(ÁGUA!N:N,'DADOS - GOPOÚVA'!B83,ÁGUA!AE:AE,"Nc")</f>
        <v>0</v>
      </c>
      <c r="F83" s="78">
        <f t="shared" si="23"/>
        <v>1</v>
      </c>
      <c r="G83" s="67">
        <f t="shared" si="24"/>
        <v>0</v>
      </c>
    </row>
    <row r="84" spans="2:7" x14ac:dyDescent="0.25">
      <c r="B84" s="230" t="s">
        <v>317</v>
      </c>
      <c r="C84" s="82">
        <f t="shared" si="22"/>
        <v>7</v>
      </c>
      <c r="D84" s="77">
        <f>COUNTIFS(ÁGUA!N:N,'DADOS - GOPOÚVA'!B84,ÁGUA!AE:AE,"c")</f>
        <v>7</v>
      </c>
      <c r="E84" s="77">
        <f>COUNTIFS(ÁGUA!N:N,'DADOS - GOPOÚVA'!B84,ÁGUA!AE:AE,"Nc")</f>
        <v>0</v>
      </c>
      <c r="F84" s="78">
        <f t="shared" si="23"/>
        <v>1</v>
      </c>
      <c r="G84" s="67">
        <f t="shared" si="24"/>
        <v>0</v>
      </c>
    </row>
    <row r="85" spans="2:7" x14ac:dyDescent="0.25">
      <c r="B85" s="230" t="s">
        <v>2132</v>
      </c>
      <c r="C85" s="82">
        <f t="shared" si="22"/>
        <v>1</v>
      </c>
      <c r="D85" s="77">
        <f>COUNTIFS(ÁGUA!N:N,'DADOS - GOPOÚVA'!B85,ÁGUA!AE:AE,"c")</f>
        <v>1</v>
      </c>
      <c r="E85" s="77">
        <f>COUNTIFS(ÁGUA!N:N,'DADOS - GOPOÚVA'!B85,ÁGUA!AE:AE,"Nc")</f>
        <v>0</v>
      </c>
      <c r="F85" s="78">
        <f t="shared" si="23"/>
        <v>1</v>
      </c>
      <c r="G85" s="67">
        <f t="shared" si="24"/>
        <v>0</v>
      </c>
    </row>
    <row r="86" spans="2:7" x14ac:dyDescent="0.25">
      <c r="B86" s="231" t="s">
        <v>432</v>
      </c>
      <c r="C86" s="82">
        <f t="shared" si="22"/>
        <v>16</v>
      </c>
      <c r="D86" s="77">
        <f>COUNTIFS(ÁGUA!N:N,'DADOS - GOPOÚVA'!B86,ÁGUA!AE:AE,"c")</f>
        <v>16</v>
      </c>
      <c r="E86" s="77">
        <f>COUNTIFS(ÁGUA!N:N,'DADOS - GOPOÚVA'!B86,ÁGUA!AE:AE,"Nc")</f>
        <v>0</v>
      </c>
      <c r="F86" s="78">
        <f t="shared" si="23"/>
        <v>1</v>
      </c>
      <c r="G86" s="67">
        <f t="shared" si="24"/>
        <v>0</v>
      </c>
    </row>
    <row r="87" spans="2:7" x14ac:dyDescent="0.25">
      <c r="B87" s="231" t="s">
        <v>271</v>
      </c>
      <c r="C87" s="82">
        <f t="shared" si="22"/>
        <v>26</v>
      </c>
      <c r="D87" s="77">
        <f>COUNTIFS(ÁGUA!N:N,'DADOS - GOPOÚVA'!B87,ÁGUA!AE:AE,"c")</f>
        <v>24</v>
      </c>
      <c r="E87" s="77">
        <f>COUNTIFS(ÁGUA!N:N,'DADOS - GOPOÚVA'!B87,ÁGUA!AE:AE,"Nc")</f>
        <v>2</v>
      </c>
      <c r="F87" s="78">
        <f t="shared" si="23"/>
        <v>0.92307692307692313</v>
      </c>
      <c r="G87" s="67">
        <f t="shared" si="24"/>
        <v>7.6923076923076872E-2</v>
      </c>
    </row>
    <row r="88" spans="2:7" x14ac:dyDescent="0.25">
      <c r="B88" s="231" t="s">
        <v>260</v>
      </c>
      <c r="C88" s="82">
        <f t="shared" si="22"/>
        <v>20</v>
      </c>
      <c r="D88" s="77">
        <f>COUNTIFS(ÁGUA!N:N,'DADOS - GOPOÚVA'!B88,ÁGUA!AE:AE,"c")</f>
        <v>20</v>
      </c>
      <c r="E88" s="77">
        <f>COUNTIFS(ÁGUA!N:N,'DADOS - GOPOÚVA'!B88,ÁGUA!AE:AE,"Nc")</f>
        <v>0</v>
      </c>
      <c r="F88" s="78">
        <f t="shared" si="23"/>
        <v>1</v>
      </c>
      <c r="G88" s="67">
        <f t="shared" si="24"/>
        <v>0</v>
      </c>
    </row>
    <row r="89" spans="2:7" x14ac:dyDescent="0.25">
      <c r="B89" s="231" t="s">
        <v>241</v>
      </c>
      <c r="C89" s="82">
        <f t="shared" si="22"/>
        <v>15</v>
      </c>
      <c r="D89" s="77">
        <f>COUNTIFS(ÁGUA!N:N,'DADOS - GOPOÚVA'!B89,ÁGUA!AE:AE,"c")</f>
        <v>14</v>
      </c>
      <c r="E89" s="77">
        <f>COUNTIFS(ÁGUA!N:N,'DADOS - GOPOÚVA'!B89,ÁGUA!AE:AE,"Nc")</f>
        <v>1</v>
      </c>
      <c r="F89" s="78">
        <f t="shared" si="23"/>
        <v>0.93333333333333335</v>
      </c>
      <c r="G89" s="67">
        <f t="shared" si="24"/>
        <v>6.6666666666666652E-2</v>
      </c>
    </row>
    <row r="90" spans="2:7" x14ac:dyDescent="0.25">
      <c r="B90" s="231" t="s">
        <v>287</v>
      </c>
      <c r="C90" s="82">
        <f t="shared" si="22"/>
        <v>21</v>
      </c>
      <c r="D90" s="77">
        <f>COUNTIFS(ÁGUA!N:N,'DADOS - GOPOÚVA'!B90,ÁGUA!AE:AE,"c")</f>
        <v>19</v>
      </c>
      <c r="E90" s="77">
        <f>COUNTIFS(ÁGUA!N:N,'DADOS - GOPOÚVA'!B90,ÁGUA!AE:AE,"Nc")</f>
        <v>2</v>
      </c>
      <c r="F90" s="78">
        <f t="shared" si="23"/>
        <v>0.90476190476190477</v>
      </c>
      <c r="G90" s="67">
        <f t="shared" si="24"/>
        <v>9.5238095238095233E-2</v>
      </c>
    </row>
    <row r="91" spans="2:7" x14ac:dyDescent="0.25">
      <c r="B91" s="231" t="s">
        <v>209</v>
      </c>
      <c r="C91" s="82">
        <f t="shared" si="22"/>
        <v>42</v>
      </c>
      <c r="D91" s="77">
        <f>COUNTIFS(ÁGUA!N:N,'DADOS - GOPOÚVA'!B91,ÁGUA!AE:AE,"c")</f>
        <v>42</v>
      </c>
      <c r="E91" s="77">
        <f>COUNTIFS(ÁGUA!N:N,'DADOS - GOPOÚVA'!B91,ÁGUA!AE:AE,"Nc")</f>
        <v>0</v>
      </c>
      <c r="F91" s="78">
        <f t="shared" si="23"/>
        <v>1</v>
      </c>
      <c r="G91" s="67">
        <f t="shared" si="24"/>
        <v>0</v>
      </c>
    </row>
    <row r="92" spans="2:7" x14ac:dyDescent="0.25">
      <c r="B92" s="231" t="s">
        <v>408</v>
      </c>
      <c r="C92" s="82">
        <f t="shared" si="22"/>
        <v>53</v>
      </c>
      <c r="D92" s="77">
        <f>COUNTIFS(ÁGUA!N:N,'DADOS - GOPOÚVA'!B92,ÁGUA!AE:AE,"c")</f>
        <v>53</v>
      </c>
      <c r="E92" s="77">
        <f>COUNTIFS(ÁGUA!N:N,'DADOS - GOPOÚVA'!B92,ÁGUA!AE:AE,"Nc")</f>
        <v>0</v>
      </c>
      <c r="F92" s="78">
        <f t="shared" si="23"/>
        <v>1</v>
      </c>
      <c r="G92" s="67">
        <f t="shared" si="24"/>
        <v>0</v>
      </c>
    </row>
    <row r="93" spans="2:7" x14ac:dyDescent="0.25">
      <c r="B93" s="231" t="s">
        <v>615</v>
      </c>
      <c r="C93" s="82">
        <f t="shared" si="22"/>
        <v>4</v>
      </c>
      <c r="D93" s="77">
        <f>COUNTIFS(ÁGUA!N:N,'DADOS - GOPOÚVA'!B93,ÁGUA!AE:AE,"c")</f>
        <v>4</v>
      </c>
      <c r="E93" s="77">
        <f>COUNTIFS(ÁGUA!N:N,'DADOS - GOPOÚVA'!B93,ÁGUA!AE:AE,"Nc")</f>
        <v>0</v>
      </c>
      <c r="F93" s="78">
        <f t="shared" si="23"/>
        <v>1</v>
      </c>
      <c r="G93" s="67">
        <f t="shared" si="24"/>
        <v>0</v>
      </c>
    </row>
    <row r="94" spans="2:7" x14ac:dyDescent="0.25">
      <c r="B94" s="230" t="s">
        <v>1099</v>
      </c>
      <c r="C94" s="82">
        <f t="shared" si="22"/>
        <v>1</v>
      </c>
      <c r="D94" s="77">
        <f>COUNTIFS(ÁGUA!N:N,'DADOS - GOPOÚVA'!B94,ÁGUA!AE:AE,"c")</f>
        <v>1</v>
      </c>
      <c r="E94" s="77">
        <f>COUNTIFS(ÁGUA!N:N,'DADOS - GOPOÚVA'!B94,ÁGUA!AE:AE,"Nc")</f>
        <v>0</v>
      </c>
      <c r="F94" s="78">
        <f t="shared" si="23"/>
        <v>1</v>
      </c>
      <c r="G94" s="67">
        <f t="shared" si="24"/>
        <v>0</v>
      </c>
    </row>
    <row r="95" spans="2:7" x14ac:dyDescent="0.25">
      <c r="B95" s="231" t="s">
        <v>322</v>
      </c>
      <c r="C95" s="82">
        <f t="shared" si="22"/>
        <v>14</v>
      </c>
      <c r="D95" s="77">
        <f>COUNTIFS(ÁGUA!N:N,'DADOS - GOPOÚVA'!B95,ÁGUA!AE:AE,"c")</f>
        <v>11</v>
      </c>
      <c r="E95" s="77">
        <f>COUNTIFS(ÁGUA!N:N,'DADOS - GOPOÚVA'!B95,ÁGUA!AE:AE,"Nc")</f>
        <v>3</v>
      </c>
      <c r="F95" s="78">
        <f t="shared" si="23"/>
        <v>0.7857142857142857</v>
      </c>
      <c r="G95" s="67">
        <f t="shared" si="24"/>
        <v>0.2142857142857143</v>
      </c>
    </row>
    <row r="96" spans="2:7" x14ac:dyDescent="0.25">
      <c r="B96" s="230" t="s">
        <v>1104</v>
      </c>
      <c r="C96" s="82">
        <f t="shared" si="22"/>
        <v>4</v>
      </c>
      <c r="D96" s="77">
        <f>COUNTIFS(ÁGUA!N:N,'DADOS - GOPOÚVA'!B96,ÁGUA!AE:AE,"c")</f>
        <v>4</v>
      </c>
      <c r="E96" s="77">
        <f>COUNTIFS(ÁGUA!N:N,'DADOS - GOPOÚVA'!B96,ÁGUA!AE:AE,"Nc")</f>
        <v>0</v>
      </c>
      <c r="F96" s="78">
        <f t="shared" si="23"/>
        <v>1</v>
      </c>
      <c r="G96" s="67">
        <f t="shared" si="24"/>
        <v>0</v>
      </c>
    </row>
    <row r="97" spans="2:7" x14ac:dyDescent="0.25">
      <c r="B97" s="231" t="s">
        <v>215</v>
      </c>
      <c r="C97" s="82">
        <f t="shared" si="22"/>
        <v>38</v>
      </c>
      <c r="D97" s="77">
        <f>COUNTIFS(ÁGUA!N:N,'DADOS - GOPOÚVA'!B97,ÁGUA!AE:AE,"c")</f>
        <v>36</v>
      </c>
      <c r="E97" s="77">
        <f>COUNTIFS(ÁGUA!N:N,'DADOS - GOPOÚVA'!B97,ÁGUA!AE:AE,"Nc")</f>
        <v>2</v>
      </c>
      <c r="F97" s="78">
        <f t="shared" si="23"/>
        <v>0.94736842105263153</v>
      </c>
      <c r="G97" s="67">
        <f t="shared" si="24"/>
        <v>5.2631578947368474E-2</v>
      </c>
    </row>
    <row r="98" spans="2:7" x14ac:dyDescent="0.25">
      <c r="C98" s="32"/>
      <c r="D98" s="32"/>
      <c r="E98" s="32"/>
      <c r="F98" s="32"/>
      <c r="G98" s="32"/>
    </row>
    <row r="99" spans="2:7" x14ac:dyDescent="0.25">
      <c r="B99" s="305" t="s">
        <v>58</v>
      </c>
      <c r="C99" s="306"/>
      <c r="D99" s="306"/>
      <c r="E99" s="306"/>
      <c r="F99" s="306"/>
      <c r="G99" s="307"/>
    </row>
    <row r="100" spans="2:7" ht="36" x14ac:dyDescent="0.25">
      <c r="B100" s="111" t="s">
        <v>55</v>
      </c>
      <c r="C100" s="114" t="s">
        <v>56</v>
      </c>
      <c r="D100" s="115" t="s">
        <v>41</v>
      </c>
      <c r="E100" s="115" t="s">
        <v>42</v>
      </c>
      <c r="F100" s="115" t="s">
        <v>44</v>
      </c>
      <c r="G100" s="115" t="s">
        <v>57</v>
      </c>
    </row>
    <row r="101" spans="2:7" ht="19.5" customHeight="1" x14ac:dyDescent="0.25">
      <c r="B101" s="271" t="s">
        <v>237</v>
      </c>
      <c r="C101" s="72">
        <f t="shared" ref="C101:C102" si="25">D101+E101</f>
        <v>20</v>
      </c>
      <c r="D101" s="22">
        <f>COUNTIFS(ÁGUA!N:N,'DADOS - GOPOÚVA'!B101,ÁGUA!AF:AF,"c")</f>
        <v>20</v>
      </c>
      <c r="E101" s="72">
        <f>COUNTIFS(ÁGUA!N:N,'DADOS - GOPOÚVA'!B101,ÁGUA!AF:AF,"NC")</f>
        <v>0</v>
      </c>
      <c r="F101" s="73">
        <f>IFERROR(D101/C101,"-")</f>
        <v>1</v>
      </c>
      <c r="G101" s="74">
        <f>IFERROR(100%-F101,"-")</f>
        <v>0</v>
      </c>
    </row>
    <row r="102" spans="2:7" ht="19.5" customHeight="1" x14ac:dyDescent="0.25">
      <c r="B102" s="231" t="s">
        <v>244</v>
      </c>
      <c r="C102" s="72">
        <f t="shared" si="25"/>
        <v>18</v>
      </c>
      <c r="D102" s="22">
        <f>COUNTIFS(ÁGUA!N:N,'DADOS - GOPOÚVA'!B102,ÁGUA!AF:AF,"c")</f>
        <v>18</v>
      </c>
      <c r="E102" s="72">
        <f>COUNTIFS(ÁGUA!N:N,'DADOS - GOPOÚVA'!B102,ÁGUA!AF:AF,"NC")</f>
        <v>0</v>
      </c>
      <c r="F102" s="73">
        <f t="shared" ref="F102" si="26">IFERROR(D102/C102,"-")</f>
        <v>1</v>
      </c>
      <c r="G102" s="74">
        <f t="shared" ref="G102" si="27">IFERROR(100%-F102,"-")</f>
        <v>0</v>
      </c>
    </row>
    <row r="103" spans="2:7" ht="19.5" customHeight="1" x14ac:dyDescent="0.25">
      <c r="B103" s="231" t="s">
        <v>348</v>
      </c>
      <c r="C103" s="72">
        <f t="shared" ref="C103" si="28">D103+E103</f>
        <v>18</v>
      </c>
      <c r="D103" s="22">
        <f>COUNTIFS(ÁGUA!N:N,'DADOS - GOPOÚVA'!B103,ÁGUA!AF:AF,"c")</f>
        <v>18</v>
      </c>
      <c r="E103" s="72">
        <f>COUNTIFS(ÁGUA!N:N,'DADOS - GOPOÚVA'!B103,ÁGUA!AF:AF,"NC")</f>
        <v>0</v>
      </c>
      <c r="F103" s="73">
        <f t="shared" ref="F103" si="29">IFERROR(D103/C103,"-")</f>
        <v>1</v>
      </c>
      <c r="G103" s="74">
        <f t="shared" ref="G103" si="30">IFERROR(100%-F103,"-")</f>
        <v>0</v>
      </c>
    </row>
    <row r="104" spans="2:7" ht="19.5" customHeight="1" x14ac:dyDescent="0.25">
      <c r="B104" s="231" t="s">
        <v>381</v>
      </c>
      <c r="C104" s="72">
        <f t="shared" ref="C104:C124" si="31">D104+E104</f>
        <v>14</v>
      </c>
      <c r="D104" s="22">
        <f>COUNTIFS(ÁGUA!N:N,'DADOS - GOPOÚVA'!B104,ÁGUA!AF:AF,"c")</f>
        <v>12</v>
      </c>
      <c r="E104" s="72">
        <f>COUNTIFS(ÁGUA!N:N,'DADOS - GOPOÚVA'!B104,ÁGUA!AF:AF,"NC")</f>
        <v>2</v>
      </c>
      <c r="F104" s="73">
        <f t="shared" ref="F104:F124" si="32">IFERROR(D104/C104,"-")</f>
        <v>0.8571428571428571</v>
      </c>
      <c r="G104" s="74">
        <f t="shared" ref="G104:G124" si="33">IFERROR(100%-F104,"-")</f>
        <v>0.1428571428571429</v>
      </c>
    </row>
    <row r="105" spans="2:7" ht="19.5" customHeight="1" x14ac:dyDescent="0.25">
      <c r="B105" s="231" t="s">
        <v>203</v>
      </c>
      <c r="C105" s="72">
        <f t="shared" si="31"/>
        <v>39</v>
      </c>
      <c r="D105" s="22">
        <f>COUNTIFS(ÁGUA!N:N,'DADOS - GOPOÚVA'!B105,ÁGUA!AF:AF,"c")</f>
        <v>33</v>
      </c>
      <c r="E105" s="72">
        <f>COUNTIFS(ÁGUA!N:N,'DADOS - GOPOÚVA'!B105,ÁGUA!AF:AF,"NC")</f>
        <v>6</v>
      </c>
      <c r="F105" s="73">
        <f t="shared" si="32"/>
        <v>0.84615384615384615</v>
      </c>
      <c r="G105" s="74">
        <f t="shared" si="33"/>
        <v>0.15384615384615385</v>
      </c>
    </row>
    <row r="106" spans="2:7" ht="19.5" customHeight="1" x14ac:dyDescent="0.25">
      <c r="B106" s="231" t="s">
        <v>228</v>
      </c>
      <c r="C106" s="72">
        <f t="shared" si="31"/>
        <v>17</v>
      </c>
      <c r="D106" s="22">
        <f>COUNTIFS(ÁGUA!N:N,'DADOS - GOPOÚVA'!B106,ÁGUA!AF:AF,"c")</f>
        <v>17</v>
      </c>
      <c r="E106" s="72">
        <f>COUNTIFS(ÁGUA!N:N,'DADOS - GOPOÚVA'!B106,ÁGUA!AF:AF,"NC")</f>
        <v>0</v>
      </c>
      <c r="F106" s="73">
        <f t="shared" si="32"/>
        <v>1</v>
      </c>
      <c r="G106" s="74">
        <f t="shared" si="33"/>
        <v>0</v>
      </c>
    </row>
    <row r="107" spans="2:7" ht="19.5" customHeight="1" x14ac:dyDescent="0.25">
      <c r="B107" s="231" t="s">
        <v>263</v>
      </c>
      <c r="C107" s="72">
        <f t="shared" si="31"/>
        <v>26</v>
      </c>
      <c r="D107" s="22">
        <f>COUNTIFS(ÁGUA!N:N,'DADOS - GOPOÚVA'!B107,ÁGUA!AF:AF,"c")</f>
        <v>20</v>
      </c>
      <c r="E107" s="72">
        <f>COUNTIFS(ÁGUA!N:N,'DADOS - GOPOÚVA'!B107,ÁGUA!AF:AF,"NC")</f>
        <v>6</v>
      </c>
      <c r="F107" s="73">
        <f t="shared" si="32"/>
        <v>0.76923076923076927</v>
      </c>
      <c r="G107" s="74">
        <f t="shared" si="33"/>
        <v>0.23076923076923073</v>
      </c>
    </row>
    <row r="108" spans="2:7" ht="19.5" customHeight="1" x14ac:dyDescent="0.25">
      <c r="B108" s="231" t="s">
        <v>303</v>
      </c>
      <c r="C108" s="72">
        <f t="shared" si="31"/>
        <v>16</v>
      </c>
      <c r="D108" s="22">
        <f>COUNTIFS(ÁGUA!N:N,'DADOS - GOPOÚVA'!B108,ÁGUA!AF:AF,"c")</f>
        <v>16</v>
      </c>
      <c r="E108" s="72">
        <f>COUNTIFS(ÁGUA!N:N,'DADOS - GOPOÚVA'!B108,ÁGUA!AF:AF,"NC")</f>
        <v>0</v>
      </c>
      <c r="F108" s="73">
        <f t="shared" si="32"/>
        <v>1</v>
      </c>
      <c r="G108" s="74">
        <f t="shared" si="33"/>
        <v>0</v>
      </c>
    </row>
    <row r="109" spans="2:7" ht="19.5" customHeight="1" x14ac:dyDescent="0.25">
      <c r="B109" s="231" t="s">
        <v>250</v>
      </c>
      <c r="C109" s="72">
        <f t="shared" si="31"/>
        <v>15</v>
      </c>
      <c r="D109" s="22">
        <f>COUNTIFS(ÁGUA!N:N,'DADOS - GOPOÚVA'!B109,ÁGUA!AF:AF,"c")</f>
        <v>13</v>
      </c>
      <c r="E109" s="72">
        <f>COUNTIFS(ÁGUA!N:N,'DADOS - GOPOÚVA'!B109,ÁGUA!AF:AF,"NC")</f>
        <v>2</v>
      </c>
      <c r="F109" s="73">
        <f t="shared" si="32"/>
        <v>0.8666666666666667</v>
      </c>
      <c r="G109" s="74">
        <f t="shared" si="33"/>
        <v>0.1333333333333333</v>
      </c>
    </row>
    <row r="110" spans="2:7" ht="19.5" customHeight="1" x14ac:dyDescent="0.25">
      <c r="B110" s="231" t="s">
        <v>819</v>
      </c>
      <c r="C110" s="72">
        <f t="shared" si="31"/>
        <v>1</v>
      </c>
      <c r="D110" s="22">
        <f>COUNTIFS(ÁGUA!N:N,'DADOS - GOPOÚVA'!B110,ÁGUA!AF:AF,"c")</f>
        <v>1</v>
      </c>
      <c r="E110" s="72">
        <f>COUNTIFS(ÁGUA!N:N,'DADOS - GOPOÚVA'!B110,ÁGUA!AF:AF,"NC")</f>
        <v>0</v>
      </c>
      <c r="F110" s="73">
        <f t="shared" si="32"/>
        <v>1</v>
      </c>
      <c r="G110" s="74">
        <f t="shared" si="33"/>
        <v>0</v>
      </c>
    </row>
    <row r="111" spans="2:7" ht="19.5" customHeight="1" x14ac:dyDescent="0.25">
      <c r="B111" s="230" t="s">
        <v>317</v>
      </c>
      <c r="C111" s="72">
        <f t="shared" si="31"/>
        <v>7</v>
      </c>
      <c r="D111" s="22">
        <f>COUNTIFS(ÁGUA!N:N,'DADOS - GOPOÚVA'!B111,ÁGUA!AF:AF,"c")</f>
        <v>6</v>
      </c>
      <c r="E111" s="72">
        <f>COUNTIFS(ÁGUA!N:N,'DADOS - GOPOÚVA'!B111,ÁGUA!AF:AF,"NC")</f>
        <v>1</v>
      </c>
      <c r="F111" s="73">
        <f t="shared" si="32"/>
        <v>0.8571428571428571</v>
      </c>
      <c r="G111" s="74">
        <f t="shared" si="33"/>
        <v>0.1428571428571429</v>
      </c>
    </row>
    <row r="112" spans="2:7" ht="19.5" customHeight="1" x14ac:dyDescent="0.25">
      <c r="B112" s="230" t="s">
        <v>2132</v>
      </c>
      <c r="C112" s="72">
        <f t="shared" si="31"/>
        <v>1</v>
      </c>
      <c r="D112" s="22">
        <f>COUNTIFS(ÁGUA!N:N,'DADOS - GOPOÚVA'!B112,ÁGUA!AF:AF,"c")</f>
        <v>1</v>
      </c>
      <c r="E112" s="72">
        <f>COUNTIFS(ÁGUA!N:N,'DADOS - GOPOÚVA'!B112,ÁGUA!AF:AF,"NC")</f>
        <v>0</v>
      </c>
      <c r="F112" s="73">
        <f t="shared" si="32"/>
        <v>1</v>
      </c>
      <c r="G112" s="74">
        <f t="shared" si="33"/>
        <v>0</v>
      </c>
    </row>
    <row r="113" spans="2:10" ht="19.5" customHeight="1" x14ac:dyDescent="0.25">
      <c r="B113" s="231" t="s">
        <v>432</v>
      </c>
      <c r="C113" s="72">
        <f t="shared" si="31"/>
        <v>16</v>
      </c>
      <c r="D113" s="22">
        <f>COUNTIFS(ÁGUA!N:N,'DADOS - GOPOÚVA'!B113,ÁGUA!AF:AF,"c")</f>
        <v>16</v>
      </c>
      <c r="E113" s="72">
        <f>COUNTIFS(ÁGUA!N:N,'DADOS - GOPOÚVA'!B113,ÁGUA!AF:AF,"NC")</f>
        <v>0</v>
      </c>
      <c r="F113" s="73">
        <f t="shared" si="32"/>
        <v>1</v>
      </c>
      <c r="G113" s="74">
        <f t="shared" si="33"/>
        <v>0</v>
      </c>
    </row>
    <row r="114" spans="2:10" ht="19.5" customHeight="1" x14ac:dyDescent="0.25">
      <c r="B114" s="231" t="s">
        <v>271</v>
      </c>
      <c r="C114" s="72">
        <f t="shared" si="31"/>
        <v>26</v>
      </c>
      <c r="D114" s="22">
        <f>COUNTIFS(ÁGUA!N:N,'DADOS - GOPOÚVA'!B114,ÁGUA!AF:AF,"c")</f>
        <v>24</v>
      </c>
      <c r="E114" s="72">
        <f>COUNTIFS(ÁGUA!N:N,'DADOS - GOPOÚVA'!B114,ÁGUA!AF:AF,"NC")</f>
        <v>2</v>
      </c>
      <c r="F114" s="73">
        <f t="shared" si="32"/>
        <v>0.92307692307692313</v>
      </c>
      <c r="G114" s="74">
        <f t="shared" si="33"/>
        <v>7.6923076923076872E-2</v>
      </c>
    </row>
    <row r="115" spans="2:10" ht="19.5" customHeight="1" x14ac:dyDescent="0.25">
      <c r="B115" s="231" t="s">
        <v>260</v>
      </c>
      <c r="C115" s="72">
        <f t="shared" si="31"/>
        <v>20</v>
      </c>
      <c r="D115" s="22">
        <f>COUNTIFS(ÁGUA!N:N,'DADOS - GOPOÚVA'!B115,ÁGUA!AF:AF,"c")</f>
        <v>18</v>
      </c>
      <c r="E115" s="72">
        <f>COUNTIFS(ÁGUA!N:N,'DADOS - GOPOÚVA'!B115,ÁGUA!AF:AF,"NC")</f>
        <v>2</v>
      </c>
      <c r="F115" s="73">
        <f t="shared" si="32"/>
        <v>0.9</v>
      </c>
      <c r="G115" s="74">
        <f t="shared" si="33"/>
        <v>9.9999999999999978E-2</v>
      </c>
    </row>
    <row r="116" spans="2:10" ht="19.5" customHeight="1" x14ac:dyDescent="0.25">
      <c r="B116" s="231" t="s">
        <v>241</v>
      </c>
      <c r="C116" s="72">
        <f t="shared" si="31"/>
        <v>15</v>
      </c>
      <c r="D116" s="22">
        <f>COUNTIFS(ÁGUA!N:N,'DADOS - GOPOÚVA'!B116,ÁGUA!AF:AF,"c")</f>
        <v>14</v>
      </c>
      <c r="E116" s="72">
        <f>COUNTIFS(ÁGUA!N:N,'DADOS - GOPOÚVA'!B116,ÁGUA!AF:AF,"NC")</f>
        <v>1</v>
      </c>
      <c r="F116" s="73">
        <f t="shared" si="32"/>
        <v>0.93333333333333335</v>
      </c>
      <c r="G116" s="74">
        <f t="shared" si="33"/>
        <v>6.6666666666666652E-2</v>
      </c>
    </row>
    <row r="117" spans="2:10" ht="19.5" customHeight="1" x14ac:dyDescent="0.25">
      <c r="B117" s="231" t="s">
        <v>287</v>
      </c>
      <c r="C117" s="72">
        <f t="shared" si="31"/>
        <v>21</v>
      </c>
      <c r="D117" s="22">
        <f>COUNTIFS(ÁGUA!N:N,'DADOS - GOPOÚVA'!B117,ÁGUA!AF:AF,"c")</f>
        <v>18</v>
      </c>
      <c r="E117" s="72">
        <f>COUNTIFS(ÁGUA!N:N,'DADOS - GOPOÚVA'!B117,ÁGUA!AF:AF,"NC")</f>
        <v>3</v>
      </c>
      <c r="F117" s="73">
        <f t="shared" si="32"/>
        <v>0.8571428571428571</v>
      </c>
      <c r="G117" s="74">
        <f t="shared" si="33"/>
        <v>0.1428571428571429</v>
      </c>
    </row>
    <row r="118" spans="2:10" ht="19.5" customHeight="1" x14ac:dyDescent="0.25">
      <c r="B118" s="231" t="s">
        <v>209</v>
      </c>
      <c r="C118" s="72">
        <f t="shared" si="31"/>
        <v>42</v>
      </c>
      <c r="D118" s="22">
        <f>COUNTIFS(ÁGUA!N:N,'DADOS - GOPOÚVA'!B118,ÁGUA!AF:AF,"c")</f>
        <v>34</v>
      </c>
      <c r="E118" s="72">
        <f>COUNTIFS(ÁGUA!N:N,'DADOS - GOPOÚVA'!B118,ÁGUA!AF:AF,"NC")</f>
        <v>8</v>
      </c>
      <c r="F118" s="73">
        <f t="shared" si="32"/>
        <v>0.80952380952380953</v>
      </c>
      <c r="G118" s="74">
        <f t="shared" si="33"/>
        <v>0.19047619047619047</v>
      </c>
    </row>
    <row r="119" spans="2:10" ht="19.5" customHeight="1" x14ac:dyDescent="0.25">
      <c r="B119" s="231" t="s">
        <v>408</v>
      </c>
      <c r="C119" s="72">
        <f t="shared" si="31"/>
        <v>53</v>
      </c>
      <c r="D119" s="22">
        <f>COUNTIFS(ÁGUA!N:N,'DADOS - GOPOÚVA'!B119,ÁGUA!AF:AF,"c")</f>
        <v>40</v>
      </c>
      <c r="E119" s="72">
        <f>COUNTIFS(ÁGUA!N:N,'DADOS - GOPOÚVA'!B119,ÁGUA!AF:AF,"NC")</f>
        <v>13</v>
      </c>
      <c r="F119" s="73">
        <f t="shared" si="32"/>
        <v>0.75471698113207553</v>
      </c>
      <c r="G119" s="74">
        <f t="shared" si="33"/>
        <v>0.24528301886792447</v>
      </c>
    </row>
    <row r="120" spans="2:10" ht="19.5" customHeight="1" x14ac:dyDescent="0.25">
      <c r="B120" s="231" t="s">
        <v>615</v>
      </c>
      <c r="C120" s="72">
        <f t="shared" si="31"/>
        <v>4</v>
      </c>
      <c r="D120" s="22">
        <f>COUNTIFS(ÁGUA!N:N,'DADOS - GOPOÚVA'!B120,ÁGUA!AF:AF,"c")</f>
        <v>3</v>
      </c>
      <c r="E120" s="72">
        <f>COUNTIFS(ÁGUA!N:N,'DADOS - GOPOÚVA'!B120,ÁGUA!AF:AF,"NC")</f>
        <v>1</v>
      </c>
      <c r="F120" s="73">
        <f t="shared" si="32"/>
        <v>0.75</v>
      </c>
      <c r="G120" s="74">
        <f t="shared" si="33"/>
        <v>0.25</v>
      </c>
    </row>
    <row r="121" spans="2:10" ht="19.5" customHeight="1" x14ac:dyDescent="0.25">
      <c r="B121" s="230" t="s">
        <v>1099</v>
      </c>
      <c r="C121" s="72">
        <f t="shared" si="31"/>
        <v>1</v>
      </c>
      <c r="D121" s="22">
        <f>COUNTIFS(ÁGUA!N:N,'DADOS - GOPOÚVA'!B121,ÁGUA!AF:AF,"c")</f>
        <v>1</v>
      </c>
      <c r="E121" s="72">
        <f>COUNTIFS(ÁGUA!N:N,'DADOS - GOPOÚVA'!B121,ÁGUA!AF:AF,"NC")</f>
        <v>0</v>
      </c>
      <c r="F121" s="73">
        <f t="shared" si="32"/>
        <v>1</v>
      </c>
      <c r="G121" s="74">
        <f t="shared" si="33"/>
        <v>0</v>
      </c>
    </row>
    <row r="122" spans="2:10" ht="19.5" customHeight="1" x14ac:dyDescent="0.25">
      <c r="B122" s="231" t="s">
        <v>322</v>
      </c>
      <c r="C122" s="72">
        <f t="shared" si="31"/>
        <v>14</v>
      </c>
      <c r="D122" s="22">
        <f>COUNTIFS(ÁGUA!N:N,'DADOS - GOPOÚVA'!B122,ÁGUA!AF:AF,"c")</f>
        <v>11</v>
      </c>
      <c r="E122" s="72">
        <f>COUNTIFS(ÁGUA!N:N,'DADOS - GOPOÚVA'!B122,ÁGUA!AF:AF,"NC")</f>
        <v>3</v>
      </c>
      <c r="F122" s="73">
        <f t="shared" si="32"/>
        <v>0.7857142857142857</v>
      </c>
      <c r="G122" s="74">
        <f t="shared" si="33"/>
        <v>0.2142857142857143</v>
      </c>
    </row>
    <row r="123" spans="2:10" ht="19.5" customHeight="1" x14ac:dyDescent="0.25">
      <c r="B123" s="230" t="s">
        <v>1104</v>
      </c>
      <c r="C123" s="72">
        <f t="shared" si="31"/>
        <v>4</v>
      </c>
      <c r="D123" s="22">
        <f>COUNTIFS(ÁGUA!N:N,'DADOS - GOPOÚVA'!B123,ÁGUA!AF:AF,"c")</f>
        <v>4</v>
      </c>
      <c r="E123" s="72">
        <f>COUNTIFS(ÁGUA!N:N,'DADOS - GOPOÚVA'!B123,ÁGUA!AF:AF,"NC")</f>
        <v>0</v>
      </c>
      <c r="F123" s="73">
        <f t="shared" si="32"/>
        <v>1</v>
      </c>
      <c r="G123" s="74">
        <f t="shared" si="33"/>
        <v>0</v>
      </c>
    </row>
    <row r="124" spans="2:10" ht="19.5" customHeight="1" x14ac:dyDescent="0.25">
      <c r="B124" s="231" t="s">
        <v>215</v>
      </c>
      <c r="C124" s="72">
        <f t="shared" si="31"/>
        <v>38</v>
      </c>
      <c r="D124" s="22">
        <f>COUNTIFS(ÁGUA!N:N,'DADOS - GOPOÚVA'!B124,ÁGUA!AF:AF,"c")</f>
        <v>29</v>
      </c>
      <c r="E124" s="72">
        <f>COUNTIFS(ÁGUA!N:N,'DADOS - GOPOÚVA'!B124,ÁGUA!AF:AF,"NC")</f>
        <v>9</v>
      </c>
      <c r="F124" s="73">
        <f t="shared" si="32"/>
        <v>0.76315789473684215</v>
      </c>
      <c r="G124" s="74">
        <f t="shared" si="33"/>
        <v>0.23684210526315785</v>
      </c>
    </row>
    <row r="125" spans="2:10" ht="16.5" customHeight="1" x14ac:dyDescent="0.25">
      <c r="B125" s="47"/>
      <c r="C125" s="47"/>
      <c r="D125" s="47"/>
      <c r="E125" s="47"/>
      <c r="F125" s="47"/>
      <c r="G125" s="47"/>
    </row>
    <row r="126" spans="2:10" x14ac:dyDescent="0.25">
      <c r="B126" s="310" t="s">
        <v>59</v>
      </c>
      <c r="C126" s="310"/>
      <c r="D126" s="310"/>
      <c r="E126" s="310"/>
      <c r="F126" s="310"/>
      <c r="G126" s="310"/>
      <c r="I126" s="326" t="s">
        <v>60</v>
      </c>
      <c r="J126" s="326"/>
    </row>
    <row r="127" spans="2:10" ht="16.5" customHeight="1" x14ac:dyDescent="0.25">
      <c r="B127" s="47"/>
      <c r="C127" s="47"/>
      <c r="D127" s="47"/>
      <c r="E127" s="47"/>
      <c r="F127" s="47"/>
      <c r="G127" s="47"/>
    </row>
    <row r="128" spans="2:10" x14ac:dyDescent="0.25">
      <c r="B128" s="313" t="s">
        <v>34</v>
      </c>
      <c r="C128" s="313"/>
      <c r="D128" s="313"/>
      <c r="E128" s="313"/>
      <c r="F128" s="313"/>
      <c r="G128" s="313"/>
    </row>
    <row r="129" spans="2:11" x14ac:dyDescent="0.25">
      <c r="B129" s="107" t="s">
        <v>12</v>
      </c>
      <c r="C129" s="108" t="s">
        <v>35</v>
      </c>
      <c r="D129" s="108" t="s">
        <v>36</v>
      </c>
      <c r="E129" s="108" t="s">
        <v>37</v>
      </c>
      <c r="F129" s="108" t="s">
        <v>28</v>
      </c>
      <c r="G129" s="108" t="s">
        <v>29</v>
      </c>
      <c r="I129" s="221" t="s">
        <v>31</v>
      </c>
      <c r="J129" s="221" t="s">
        <v>35</v>
      </c>
      <c r="K129" s="221" t="s">
        <v>61</v>
      </c>
    </row>
    <row r="130" spans="2:11" x14ac:dyDescent="0.25">
      <c r="B130" s="124" t="s">
        <v>16</v>
      </c>
      <c r="C130" s="64">
        <f>D130+E130</f>
        <v>23</v>
      </c>
      <c r="D130" s="64">
        <f>COUNTIF(ESGOTO!AE:AE,"NC")</f>
        <v>3</v>
      </c>
      <c r="E130" s="64">
        <f>COUNTIF(ESGOTO!AE:AE,"C")</f>
        <v>20</v>
      </c>
      <c r="F130" s="16">
        <f>IFERROR(D130/C130,"-")</f>
        <v>0.13043478260869565</v>
      </c>
      <c r="G130" s="16">
        <f>IFERROR(E130/C130,"-")</f>
        <v>0.86956521739130432</v>
      </c>
      <c r="I130" s="69">
        <f>COUNTIFS(ESGOTO!D:D, "PI, PV, TL")</f>
        <v>78</v>
      </c>
      <c r="J130" s="69">
        <f>I130-K130</f>
        <v>75</v>
      </c>
      <c r="K130" s="69">
        <f>COUNTIFS(ESGOTO!D:D, "PI, PV, TL", ESGOTO!AF:AF, "NA")</f>
        <v>3</v>
      </c>
    </row>
    <row r="131" spans="2:11" x14ac:dyDescent="0.25">
      <c r="B131" s="11"/>
      <c r="C131" s="11"/>
      <c r="D131" s="11"/>
      <c r="E131" s="11"/>
      <c r="F131" s="17"/>
      <c r="G131" s="17"/>
    </row>
    <row r="132" spans="2:11" x14ac:dyDescent="0.25">
      <c r="B132" s="298" t="s">
        <v>24</v>
      </c>
      <c r="C132" s="299"/>
      <c r="D132" s="299"/>
      <c r="E132" s="299"/>
      <c r="F132" s="299"/>
      <c r="G132" s="300"/>
    </row>
    <row r="133" spans="2:11" x14ac:dyDescent="0.25">
      <c r="B133" s="107" t="s">
        <v>12</v>
      </c>
      <c r="C133" s="108" t="s">
        <v>25</v>
      </c>
      <c r="D133" s="108" t="s">
        <v>26</v>
      </c>
      <c r="E133" s="108" t="s">
        <v>27</v>
      </c>
      <c r="F133" s="108" t="s">
        <v>28</v>
      </c>
      <c r="G133" s="108" t="s">
        <v>29</v>
      </c>
    </row>
    <row r="134" spans="2:11" x14ac:dyDescent="0.25">
      <c r="B134" s="124" t="s">
        <v>16</v>
      </c>
      <c r="C134" s="64">
        <f>D134+E134</f>
        <v>23</v>
      </c>
      <c r="D134" s="64">
        <f>COUNTIF(ESGOTO!AF:AF,"NC")</f>
        <v>6</v>
      </c>
      <c r="E134" s="64">
        <f>COUNTIF(ESGOTO!AF:AF,"C")</f>
        <v>17</v>
      </c>
      <c r="F134" s="85">
        <f>IFERROR(D134/C134,"-")</f>
        <v>0.2608695652173913</v>
      </c>
      <c r="G134" s="52">
        <f>IFERROR(100%-F134,"-")</f>
        <v>0.73913043478260865</v>
      </c>
    </row>
    <row r="135" spans="2:11" x14ac:dyDescent="0.25">
      <c r="B135" s="11"/>
      <c r="C135" s="11"/>
      <c r="D135" s="11"/>
      <c r="E135" s="11"/>
      <c r="F135" s="17"/>
      <c r="G135" s="17"/>
    </row>
    <row r="136" spans="2:11" x14ac:dyDescent="0.25">
      <c r="B136" s="313" t="s">
        <v>38</v>
      </c>
      <c r="C136" s="313"/>
      <c r="D136" s="313"/>
      <c r="E136" s="313"/>
      <c r="F136" s="313"/>
      <c r="G136" s="313"/>
    </row>
    <row r="137" spans="2:11" ht="21" customHeight="1" x14ac:dyDescent="0.25">
      <c r="B137" s="107" t="s">
        <v>12</v>
      </c>
      <c r="C137" s="108" t="s">
        <v>35</v>
      </c>
      <c r="D137" s="108" t="s">
        <v>36</v>
      </c>
      <c r="E137" s="108" t="s">
        <v>37</v>
      </c>
      <c r="F137" s="108" t="s">
        <v>28</v>
      </c>
      <c r="G137" s="108" t="s">
        <v>29</v>
      </c>
    </row>
    <row r="138" spans="2:11" x14ac:dyDescent="0.25">
      <c r="B138" s="124" t="s">
        <v>16</v>
      </c>
      <c r="C138" s="64">
        <f>D138+E138</f>
        <v>289</v>
      </c>
      <c r="D138" s="64">
        <f>COUNTIF(ESGOTO!AH:AH,"NC")</f>
        <v>0</v>
      </c>
      <c r="E138" s="64">
        <f>COUNTIF(ESGOTO!AH:AH,"C")</f>
        <v>289</v>
      </c>
      <c r="F138" s="16">
        <f>IFERROR(D138/C138,"-")</f>
        <v>0</v>
      </c>
      <c r="G138" s="16">
        <f>IFERROR(E138/C138,"-")</f>
        <v>1</v>
      </c>
    </row>
    <row r="139" spans="2:11" x14ac:dyDescent="0.25">
      <c r="B139" s="11"/>
      <c r="C139" s="11"/>
      <c r="D139" s="11"/>
      <c r="E139" s="11"/>
      <c r="F139" s="11"/>
      <c r="G139" s="11"/>
    </row>
    <row r="140" spans="2:11" x14ac:dyDescent="0.25">
      <c r="B140" s="304" t="s">
        <v>40</v>
      </c>
      <c r="C140" s="304"/>
      <c r="D140" s="304"/>
      <c r="E140" s="304"/>
      <c r="F140" s="304"/>
      <c r="G140" s="304"/>
    </row>
    <row r="141" spans="2:11" x14ac:dyDescent="0.25">
      <c r="B141" s="116" t="s">
        <v>6</v>
      </c>
      <c r="C141" s="117" t="s">
        <v>41</v>
      </c>
      <c r="D141" s="117" t="s">
        <v>42</v>
      </c>
      <c r="E141" s="117" t="s">
        <v>43</v>
      </c>
      <c r="F141" s="117" t="s">
        <v>44</v>
      </c>
      <c r="G141" s="117" t="s">
        <v>45</v>
      </c>
    </row>
    <row r="142" spans="2:11" x14ac:dyDescent="0.25">
      <c r="B142" s="127" t="s">
        <v>46</v>
      </c>
      <c r="C142" s="65">
        <f>COUNTIF(ESGOTO!O:O,"C")</f>
        <v>20</v>
      </c>
      <c r="D142" s="65">
        <f>COUNTIF(ESGOTO!O:O,"NC")</f>
        <v>0</v>
      </c>
      <c r="E142" s="65">
        <f>COUNTIF(ESGOTO!O:O,"SF")</f>
        <v>3</v>
      </c>
      <c r="F142" s="66">
        <f>IFERROR(C142/(C142+D142+E142),"-")</f>
        <v>0.86956521739130432</v>
      </c>
      <c r="G142" s="67">
        <f>IFERROR(100%-F142,"-")</f>
        <v>0.13043478260869568</v>
      </c>
    </row>
    <row r="143" spans="2:11" x14ac:dyDescent="0.25">
      <c r="B143" s="127" t="s">
        <v>47</v>
      </c>
      <c r="C143" s="65">
        <f>COUNTIF(ESGOTO!Q:Q,"C")</f>
        <v>20</v>
      </c>
      <c r="D143" s="65">
        <f>COUNTIF(ESGOTO!Q:Q,"NC")</f>
        <v>0</v>
      </c>
      <c r="E143" s="65">
        <f>COUNTIF(ESGOTO!Q:Q,"SF")</f>
        <v>3</v>
      </c>
      <c r="F143" s="66">
        <f t="shared" ref="F143:F149" si="34">IFERROR(C143/(C143+D143+E143),"-")</f>
        <v>0.86956521739130432</v>
      </c>
      <c r="G143" s="67">
        <f t="shared" ref="G143:G149" si="35">IFERROR(100%-F143,"-")</f>
        <v>0.13043478260869568</v>
      </c>
    </row>
    <row r="144" spans="2:11" x14ac:dyDescent="0.25">
      <c r="B144" s="127" t="s">
        <v>48</v>
      </c>
      <c r="C144" s="65">
        <f>COUNTIF(ESGOTO!S:S,"C")</f>
        <v>15</v>
      </c>
      <c r="D144" s="65">
        <f>COUNTIF(ESGOTO!S:S,"NC")</f>
        <v>0</v>
      </c>
      <c r="E144" s="65">
        <f>COUNTIF(ESGOTO!S:S,"SF")</f>
        <v>3</v>
      </c>
      <c r="F144" s="66">
        <f t="shared" si="34"/>
        <v>0.83333333333333337</v>
      </c>
      <c r="G144" s="67">
        <f t="shared" si="35"/>
        <v>0.16666666666666663</v>
      </c>
    </row>
    <row r="145" spans="2:7" x14ac:dyDescent="0.25">
      <c r="B145" s="127" t="s">
        <v>49</v>
      </c>
      <c r="C145" s="65">
        <f>COUNTIF(ESGOTO!U:U,"C")</f>
        <v>15</v>
      </c>
      <c r="D145" s="65">
        <f>COUNTIF(ESGOTO!U:U,"NC")</f>
        <v>0</v>
      </c>
      <c r="E145" s="65">
        <f>COUNTIF(ESGOTO!U:U,"SF")</f>
        <v>3</v>
      </c>
      <c r="F145" s="66">
        <f>IFERROR(C145/(C145+D145+E145),"-")</f>
        <v>0.83333333333333337</v>
      </c>
      <c r="G145" s="67">
        <f t="shared" si="35"/>
        <v>0.16666666666666663</v>
      </c>
    </row>
    <row r="146" spans="2:7" x14ac:dyDescent="0.25">
      <c r="B146" s="127" t="s">
        <v>50</v>
      </c>
      <c r="C146" s="65">
        <f>COUNTIF(ESGOTO!U:U,"C")</f>
        <v>15</v>
      </c>
      <c r="D146" s="65">
        <f>COUNTIF(ESGOTO!W:W,"NC")</f>
        <v>0</v>
      </c>
      <c r="E146" s="65">
        <f>COUNTIF(ESGOTO!W:W,"SF")</f>
        <v>3</v>
      </c>
      <c r="F146" s="66">
        <f t="shared" ref="F146:F147" si="36">IFERROR(C146/(C146+D146+E146),"-")</f>
        <v>0.83333333333333337</v>
      </c>
      <c r="G146" s="67">
        <f t="shared" ref="G146:G147" si="37">IFERROR(100%-F146,"-")</f>
        <v>0.16666666666666663</v>
      </c>
    </row>
    <row r="147" spans="2:7" x14ac:dyDescent="0.25">
      <c r="B147" s="127" t="s">
        <v>62</v>
      </c>
      <c r="C147" s="65">
        <f>COUNTIF(ESGOTO!U:U,"C")</f>
        <v>15</v>
      </c>
      <c r="D147" s="65">
        <f>COUNTIF(ESGOTO!Y:Y,"NC")</f>
        <v>0</v>
      </c>
      <c r="E147" s="65">
        <f>COUNTIF(ESGOTO!Y:Y,"SF")</f>
        <v>3</v>
      </c>
      <c r="F147" s="66">
        <f t="shared" si="36"/>
        <v>0.83333333333333337</v>
      </c>
      <c r="G147" s="67">
        <f t="shared" si="37"/>
        <v>0.16666666666666663</v>
      </c>
    </row>
    <row r="148" spans="2:7" x14ac:dyDescent="0.25">
      <c r="B148" s="127" t="s">
        <v>52</v>
      </c>
      <c r="C148" s="65">
        <f>COUNTIF(ESGOTO!W:W,"C")</f>
        <v>14</v>
      </c>
      <c r="D148" s="65">
        <f>COUNTIF(ESGOTO!AA:AA,"NC")</f>
        <v>0</v>
      </c>
      <c r="E148" s="65">
        <f>COUNTIF(ESGOTO!AA:AA,"SF")</f>
        <v>3</v>
      </c>
      <c r="F148" s="66">
        <f t="shared" si="34"/>
        <v>0.82352941176470584</v>
      </c>
      <c r="G148" s="67">
        <f t="shared" si="35"/>
        <v>0.17647058823529416</v>
      </c>
    </row>
    <row r="149" spans="2:7" x14ac:dyDescent="0.25">
      <c r="B149" s="128" t="s">
        <v>53</v>
      </c>
      <c r="C149" s="68">
        <f>COUNTIF(ESGOTO!AC:AC,"C")</f>
        <v>6</v>
      </c>
      <c r="D149" s="68">
        <f>COUNTIF(ESGOTO!AC:AC,"NC")</f>
        <v>3</v>
      </c>
      <c r="E149" s="68">
        <f>COUNTIF(ESGOTO!AC:AC,"SF")</f>
        <v>3</v>
      </c>
      <c r="F149" s="66">
        <f t="shared" si="34"/>
        <v>0.5</v>
      </c>
      <c r="G149" s="67">
        <f t="shared" si="35"/>
        <v>0.5</v>
      </c>
    </row>
    <row r="151" spans="2:7" x14ac:dyDescent="0.25">
      <c r="B151" s="305" t="s">
        <v>54</v>
      </c>
      <c r="C151" s="306"/>
      <c r="D151" s="306"/>
      <c r="E151" s="306"/>
      <c r="F151" s="306"/>
      <c r="G151" s="307"/>
    </row>
    <row r="152" spans="2:7" ht="36" x14ac:dyDescent="0.25">
      <c r="B152" s="118" t="s">
        <v>55</v>
      </c>
      <c r="C152" s="113" t="s">
        <v>56</v>
      </c>
      <c r="D152" s="112" t="s">
        <v>41</v>
      </c>
      <c r="E152" s="113" t="s">
        <v>42</v>
      </c>
      <c r="F152" s="113" t="s">
        <v>44</v>
      </c>
      <c r="G152" s="113" t="s">
        <v>57</v>
      </c>
    </row>
    <row r="153" spans="2:7" x14ac:dyDescent="0.25">
      <c r="B153" s="272" t="s">
        <v>2638</v>
      </c>
      <c r="C153" s="83">
        <f t="shared" ref="C153:C154" si="38">D153+E153</f>
        <v>7</v>
      </c>
      <c r="D153" s="69">
        <f>COUNTIFS(ESGOTO!N:N,'DADOS - GOPOÚVA'!B153,ESGOTO!AE:AE,"c")</f>
        <v>4</v>
      </c>
      <c r="E153" s="69">
        <f>COUNTIFS(ESGOTO!N:N,'DADOS - GOPOÚVA'!B153,ESGOTO!AE:AE,"Nc")</f>
        <v>3</v>
      </c>
      <c r="F153" s="70">
        <f>IFERROR(D153/C153,"-")</f>
        <v>0.5714285714285714</v>
      </c>
      <c r="G153" s="74">
        <f>IFERROR(100%-F153,"-")</f>
        <v>0.4285714285714286</v>
      </c>
    </row>
    <row r="154" spans="2:7" x14ac:dyDescent="0.25">
      <c r="B154" s="230" t="s">
        <v>2646</v>
      </c>
      <c r="C154" s="83">
        <f t="shared" si="38"/>
        <v>2</v>
      </c>
      <c r="D154" s="69">
        <f>COUNTIFS(ESGOTO!N:N,'DADOS - GOPOÚVA'!B154,ESGOTO!AE:AE,"c")</f>
        <v>2</v>
      </c>
      <c r="E154" s="69">
        <f>COUNTIFS(ESGOTO!N:N,'DADOS - GOPOÚVA'!B154,ESGOTO!AE:AE,"Nc")</f>
        <v>0</v>
      </c>
      <c r="F154" s="70">
        <f t="shared" ref="F154" si="39">IFERROR(D154/C154,"-")</f>
        <v>1</v>
      </c>
      <c r="G154" s="74">
        <f t="shared" ref="G154" si="40">IFERROR(100%-F154,"-")</f>
        <v>0</v>
      </c>
    </row>
    <row r="155" spans="2:7" x14ac:dyDescent="0.25">
      <c r="B155" s="230" t="s">
        <v>2132</v>
      </c>
      <c r="C155" s="83">
        <f t="shared" ref="C155:C156" si="41">D155+E155</f>
        <v>12</v>
      </c>
      <c r="D155" s="69">
        <f>COUNTIFS(ESGOTO!N:N,'DADOS - GOPOÚVA'!B155,ESGOTO!AE:AE,"c")</f>
        <v>12</v>
      </c>
      <c r="E155" s="69">
        <f>COUNTIFS(ESGOTO!N:N,'DADOS - GOPOÚVA'!B155,ESGOTO!AE:AE,"Nc")</f>
        <v>0</v>
      </c>
      <c r="F155" s="70">
        <f t="shared" ref="F155:F156" si="42">IFERROR(D155/C155,"-")</f>
        <v>1</v>
      </c>
      <c r="G155" s="74">
        <f t="shared" ref="G155:G156" si="43">IFERROR(100%-F155,"-")</f>
        <v>0</v>
      </c>
    </row>
    <row r="156" spans="2:7" x14ac:dyDescent="0.25">
      <c r="B156" s="230" t="s">
        <v>2634</v>
      </c>
      <c r="C156" s="83">
        <f t="shared" si="41"/>
        <v>2</v>
      </c>
      <c r="D156" s="69">
        <f>COUNTIFS(ESGOTO!N:N,'DADOS - GOPOÚVA'!B156,ESGOTO!AE:AE,"c")</f>
        <v>2</v>
      </c>
      <c r="E156" s="69">
        <f>COUNTIFS(ESGOTO!N:N,'DADOS - GOPOÚVA'!B156,ESGOTO!AE:AE,"Nc")</f>
        <v>0</v>
      </c>
      <c r="F156" s="70">
        <f t="shared" si="42"/>
        <v>1</v>
      </c>
      <c r="G156" s="74">
        <f t="shared" si="43"/>
        <v>0</v>
      </c>
    </row>
    <row r="157" spans="2:7" x14ac:dyDescent="0.25">
      <c r="B157" s="21"/>
    </row>
    <row r="158" spans="2:7" x14ac:dyDescent="0.25">
      <c r="B158" s="305" t="s">
        <v>58</v>
      </c>
      <c r="C158" s="306"/>
      <c r="D158" s="306"/>
      <c r="E158" s="306"/>
      <c r="F158" s="306"/>
      <c r="G158" s="307"/>
    </row>
    <row r="159" spans="2:7" ht="36" x14ac:dyDescent="0.25">
      <c r="B159" s="111" t="s">
        <v>55</v>
      </c>
      <c r="C159" s="115" t="s">
        <v>56</v>
      </c>
      <c r="D159" s="115" t="s">
        <v>41</v>
      </c>
      <c r="E159" s="115" t="s">
        <v>42</v>
      </c>
      <c r="F159" s="115" t="s">
        <v>44</v>
      </c>
      <c r="G159" s="115" t="s">
        <v>57</v>
      </c>
    </row>
    <row r="160" spans="2:7" x14ac:dyDescent="0.25">
      <c r="B160" s="272" t="s">
        <v>2638</v>
      </c>
      <c r="C160" s="83">
        <f>D160+E160</f>
        <v>7</v>
      </c>
      <c r="D160" s="69">
        <f>COUNTIFS(ESGOTO!N:N,'DADOS - GOPOÚVA'!B160,ESGOTO!AF:AF,"c")</f>
        <v>2</v>
      </c>
      <c r="E160" s="69">
        <f>COUNTIFS(ESGOTO!N:N,'DADOS - GOPOÚVA'!B160,ESGOTO!AF:AF,"Nc")</f>
        <v>5</v>
      </c>
      <c r="F160" s="70">
        <f>IFERROR(D160/C160,"-")</f>
        <v>0.2857142857142857</v>
      </c>
      <c r="G160" s="74">
        <f>IFERROR(100%-F160,"-")</f>
        <v>0.7142857142857143</v>
      </c>
    </row>
    <row r="161" spans="2:7" x14ac:dyDescent="0.25">
      <c r="B161" s="230" t="s">
        <v>2646</v>
      </c>
      <c r="C161" s="83">
        <f t="shared" ref="C161" si="44">D161+E161</f>
        <v>2</v>
      </c>
      <c r="D161" s="69">
        <f>COUNTIFS(ESGOTO!N:N,'DADOS - GOPOÚVA'!B161,ESGOTO!AF:AF,"c")</f>
        <v>2</v>
      </c>
      <c r="E161" s="69">
        <f>COUNTIFS(ESGOTO!N:N,'DADOS - GOPOÚVA'!B161,ESGOTO!AF:AF,"Nc")</f>
        <v>0</v>
      </c>
      <c r="F161" s="70">
        <f t="shared" ref="F161" si="45">IFERROR(D161/C161,"-")</f>
        <v>1</v>
      </c>
      <c r="G161" s="74">
        <f t="shared" ref="G161" si="46">IFERROR(100%-F161,"-")</f>
        <v>0</v>
      </c>
    </row>
    <row r="162" spans="2:7" x14ac:dyDescent="0.25">
      <c r="B162" s="230" t="s">
        <v>2132</v>
      </c>
      <c r="C162" s="83">
        <f t="shared" ref="C162:C163" si="47">D162+E162</f>
        <v>12</v>
      </c>
      <c r="D162" s="69">
        <f>COUNTIFS(ESGOTO!N:N,'DADOS - GOPOÚVA'!B162,ESGOTO!AF:AF,"c")</f>
        <v>11</v>
      </c>
      <c r="E162" s="69">
        <f>COUNTIFS(ESGOTO!N:N,'DADOS - GOPOÚVA'!B162,ESGOTO!AF:AF,"Nc")</f>
        <v>1</v>
      </c>
      <c r="F162" s="70">
        <f t="shared" ref="F162:F163" si="48">IFERROR(D162/C162,"-")</f>
        <v>0.91666666666666663</v>
      </c>
      <c r="G162" s="74">
        <f t="shared" ref="G162:G163" si="49">IFERROR(100%-F162,"-")</f>
        <v>8.333333333333337E-2</v>
      </c>
    </row>
    <row r="163" spans="2:7" x14ac:dyDescent="0.25">
      <c r="B163" s="230" t="s">
        <v>2634</v>
      </c>
      <c r="C163" s="83">
        <f t="shared" si="47"/>
        <v>2</v>
      </c>
      <c r="D163" s="69">
        <f>COUNTIFS(ESGOTO!N:N,'DADOS - GOPOÚVA'!B163,ESGOTO!AF:AF,"c")</f>
        <v>2</v>
      </c>
      <c r="E163" s="69">
        <f>COUNTIFS(ESGOTO!N:N,'DADOS - GOPOÚVA'!B163,ESGOTO!AF:AF,"Nc")</f>
        <v>0</v>
      </c>
      <c r="F163" s="70">
        <f t="shared" si="48"/>
        <v>1</v>
      </c>
      <c r="G163" s="74">
        <f t="shared" si="49"/>
        <v>0</v>
      </c>
    </row>
    <row r="165" spans="2:7" x14ac:dyDescent="0.25">
      <c r="B165" s="308" t="s">
        <v>63</v>
      </c>
      <c r="C165" s="308"/>
      <c r="D165" s="308"/>
      <c r="E165" s="308"/>
      <c r="F165" s="308"/>
      <c r="G165" s="308"/>
    </row>
    <row r="167" spans="2:7" ht="19.5" customHeight="1" x14ac:dyDescent="0.25">
      <c r="B167" s="298" t="s">
        <v>34</v>
      </c>
      <c r="C167" s="299"/>
      <c r="D167" s="299"/>
      <c r="E167" s="299"/>
      <c r="F167" s="299"/>
      <c r="G167" s="300"/>
    </row>
    <row r="168" spans="2:7" ht="19.5" customHeight="1" x14ac:dyDescent="0.25">
      <c r="B168" s="107" t="s">
        <v>12</v>
      </c>
      <c r="C168" s="108" t="s">
        <v>35</v>
      </c>
      <c r="D168" s="108" t="s">
        <v>36</v>
      </c>
      <c r="E168" s="108" t="s">
        <v>37</v>
      </c>
      <c r="F168" s="108" t="s">
        <v>28</v>
      </c>
      <c r="G168" s="108" t="s">
        <v>29</v>
      </c>
    </row>
    <row r="169" spans="2:7" ht="19.5" customHeight="1" x14ac:dyDescent="0.25">
      <c r="B169" s="124" t="s">
        <v>30</v>
      </c>
      <c r="C169" s="64">
        <f>D169+E169</f>
        <v>351</v>
      </c>
      <c r="D169" s="64">
        <f>COUNTIF(CAVALETE!Y:Y,"NC")</f>
        <v>11</v>
      </c>
      <c r="E169" s="64">
        <f>COUNTIF(CAVALETE!Y:Y,"C")</f>
        <v>340</v>
      </c>
      <c r="F169" s="16">
        <f>IFERROR(D169/C169,"-")</f>
        <v>3.1339031339031341E-2</v>
      </c>
      <c r="G169" s="16">
        <f>IFERROR(E169/C169,"-")</f>
        <v>0.96866096866096862</v>
      </c>
    </row>
    <row r="170" spans="2:7" ht="19.5" customHeight="1" x14ac:dyDescent="0.25">
      <c r="B170" s="11"/>
      <c r="C170" s="11"/>
      <c r="D170" s="11"/>
      <c r="E170" s="11"/>
      <c r="F170" s="17"/>
      <c r="G170" s="17"/>
    </row>
    <row r="171" spans="2:7" ht="19.5" customHeight="1" x14ac:dyDescent="0.25">
      <c r="B171" s="298" t="s">
        <v>24</v>
      </c>
      <c r="C171" s="299"/>
      <c r="D171" s="299"/>
      <c r="E171" s="299"/>
      <c r="F171" s="299"/>
      <c r="G171" s="300"/>
    </row>
    <row r="172" spans="2:7" ht="19.5" customHeight="1" x14ac:dyDescent="0.25">
      <c r="B172" s="107" t="s">
        <v>12</v>
      </c>
      <c r="C172" s="108" t="s">
        <v>25</v>
      </c>
      <c r="D172" s="108" t="s">
        <v>26</v>
      </c>
      <c r="E172" s="108" t="s">
        <v>27</v>
      </c>
      <c r="F172" s="108" t="s">
        <v>28</v>
      </c>
      <c r="G172" s="108" t="s">
        <v>29</v>
      </c>
    </row>
    <row r="173" spans="2:7" ht="19.5" customHeight="1" x14ac:dyDescent="0.25">
      <c r="B173" s="124" t="s">
        <v>30</v>
      </c>
      <c r="C173" s="64">
        <f>D173+E173</f>
        <v>351</v>
      </c>
      <c r="D173" s="64">
        <f>COUNTIF(CAVALETE!Z:Z,"nc")</f>
        <v>23</v>
      </c>
      <c r="E173" s="64">
        <f>COUNTIF(CAVALETE!Z:Z,"C")</f>
        <v>328</v>
      </c>
      <c r="F173" s="52">
        <f>IFERROR(D173/C173,"-")</f>
        <v>6.5527065527065526E-2</v>
      </c>
      <c r="G173" s="52">
        <f>IFERROR(100%-F173,"-")</f>
        <v>0.93447293447293445</v>
      </c>
    </row>
    <row r="174" spans="2:7" ht="19.5" customHeight="1" x14ac:dyDescent="0.25">
      <c r="B174" s="11"/>
      <c r="C174" s="11"/>
      <c r="D174" s="11"/>
      <c r="E174" s="11"/>
      <c r="F174" s="17"/>
      <c r="G174" s="17"/>
    </row>
    <row r="175" spans="2:7" ht="19.5" customHeight="1" x14ac:dyDescent="0.25">
      <c r="B175" s="298" t="s">
        <v>38</v>
      </c>
      <c r="C175" s="299"/>
      <c r="D175" s="299"/>
      <c r="E175" s="299"/>
      <c r="F175" s="299"/>
      <c r="G175" s="300"/>
    </row>
    <row r="176" spans="2:7" ht="19.5" customHeight="1" x14ac:dyDescent="0.25">
      <c r="B176" s="107" t="s">
        <v>12</v>
      </c>
      <c r="C176" s="108" t="s">
        <v>35</v>
      </c>
      <c r="D176" s="108" t="s">
        <v>36</v>
      </c>
      <c r="E176" s="108" t="s">
        <v>37</v>
      </c>
      <c r="F176" s="108" t="s">
        <v>28</v>
      </c>
      <c r="G176" s="108" t="s">
        <v>29</v>
      </c>
    </row>
    <row r="177" spans="2:7" x14ac:dyDescent="0.25">
      <c r="B177" s="129" t="s">
        <v>30</v>
      </c>
      <c r="C177" s="64">
        <f>D177+E177</f>
        <v>331</v>
      </c>
      <c r="D177" s="64">
        <f>COUNTIF(CAVALETE!AB:AB,"NC")</f>
        <v>0</v>
      </c>
      <c r="E177" s="64">
        <f>COUNTIF(CAVALETE!AB:AB,"C")</f>
        <v>331</v>
      </c>
      <c r="F177" s="16">
        <f>IFERROR(D177/C177,"-")</f>
        <v>0</v>
      </c>
      <c r="G177" s="16">
        <f>IFERROR(E177/C177,"-")</f>
        <v>1</v>
      </c>
    </row>
    <row r="179" spans="2:7" x14ac:dyDescent="0.25">
      <c r="B179" s="301" t="s">
        <v>40</v>
      </c>
      <c r="C179" s="302"/>
      <c r="D179" s="302"/>
      <c r="E179" s="302"/>
      <c r="F179" s="302"/>
      <c r="G179" s="303"/>
    </row>
    <row r="180" spans="2:7" x14ac:dyDescent="0.25">
      <c r="B180" s="109" t="s">
        <v>6</v>
      </c>
      <c r="C180" s="110" t="s">
        <v>41</v>
      </c>
      <c r="D180" s="110" t="s">
        <v>42</v>
      </c>
      <c r="E180" s="110" t="s">
        <v>43</v>
      </c>
      <c r="F180" s="110" t="s">
        <v>44</v>
      </c>
      <c r="G180" s="110" t="s">
        <v>45</v>
      </c>
    </row>
    <row r="181" spans="2:7" x14ac:dyDescent="0.25">
      <c r="B181" s="126" t="s">
        <v>46</v>
      </c>
      <c r="C181" s="69">
        <f>COUNTIF(CAVALETE!O:O,"C")</f>
        <v>340</v>
      </c>
      <c r="D181" s="69">
        <f>COUNTIF(CAVALETE!O:O,"NC")</f>
        <v>0</v>
      </c>
      <c r="E181" s="69">
        <f>COUNTIF(CAVALETE!O:O,"SF")</f>
        <v>11</v>
      </c>
      <c r="F181" s="71">
        <f>IFERROR(C181/(C181+D181+E181),"-")</f>
        <v>0.96866096866096862</v>
      </c>
      <c r="G181" s="67">
        <f>IFERROR(100%-F181,"-")</f>
        <v>3.1339031339031376E-2</v>
      </c>
    </row>
    <row r="182" spans="2:7" x14ac:dyDescent="0.25">
      <c r="B182" s="126" t="s">
        <v>64</v>
      </c>
      <c r="C182" s="69">
        <f>COUNTIF(CAVALETE!Q:Q,"C")</f>
        <v>334</v>
      </c>
      <c r="D182" s="69">
        <f>COUNTIF(CAVALETE!Q:Q,"NC")</f>
        <v>0</v>
      </c>
      <c r="E182" s="69">
        <f>COUNTIF(CAVALETE!Q:Q,"SF")</f>
        <v>17</v>
      </c>
      <c r="F182" s="71">
        <f t="shared" ref="F182:F184" si="50">IFERROR(C182/(C182+D182+E182),"-")</f>
        <v>0.95156695156695159</v>
      </c>
      <c r="G182" s="67">
        <f t="shared" ref="G182:G185" si="51">IFERROR(100%-F182,"-")</f>
        <v>4.8433048433048409E-2</v>
      </c>
    </row>
    <row r="183" spans="2:7" x14ac:dyDescent="0.25">
      <c r="B183" s="126" t="s">
        <v>65</v>
      </c>
      <c r="C183" s="69">
        <f>COUNTIF(CAVALETE!S:S,"c")</f>
        <v>332</v>
      </c>
      <c r="D183" s="69">
        <f>COUNTIF(CAVALETE!S:S,"nc")</f>
        <v>0</v>
      </c>
      <c r="E183" s="69">
        <f>COUNTIF(CAVALETE!S:S,"SF")</f>
        <v>14</v>
      </c>
      <c r="F183" s="71">
        <f t="shared" si="50"/>
        <v>0.95953757225433522</v>
      </c>
      <c r="G183" s="67">
        <f t="shared" si="51"/>
        <v>4.0462427745664775E-2</v>
      </c>
    </row>
    <row r="184" spans="2:7" x14ac:dyDescent="0.25">
      <c r="B184" s="126" t="s">
        <v>66</v>
      </c>
      <c r="C184" s="69">
        <f>COUNTIF(CAVALETE!U:U,"c")</f>
        <v>339</v>
      </c>
      <c r="D184" s="69">
        <f>COUNTIF(CAVALETE!U:U,"NC")</f>
        <v>0</v>
      </c>
      <c r="E184" s="69">
        <f>COUNTIF(CAVALETE!U:U,"SF")</f>
        <v>12</v>
      </c>
      <c r="F184" s="71">
        <f t="shared" si="50"/>
        <v>0.96581196581196582</v>
      </c>
      <c r="G184" s="67">
        <f t="shared" si="51"/>
        <v>3.4188034188034178E-2</v>
      </c>
    </row>
    <row r="185" spans="2:7" x14ac:dyDescent="0.25">
      <c r="B185" s="126" t="s">
        <v>53</v>
      </c>
      <c r="C185" s="69">
        <f>COUNTIF(CAVALETE!W:W,"C")</f>
        <v>334</v>
      </c>
      <c r="D185" s="69">
        <f>COUNTIF(CAVALETE!W:W,"NC")</f>
        <v>1</v>
      </c>
      <c r="E185" s="69">
        <f>COUNTIF(CAVALETE!W:W,"SF")</f>
        <v>16</v>
      </c>
      <c r="F185" s="71">
        <f>IFERROR(C185/(C185+D185+E185),"-")</f>
        <v>0.95156695156695159</v>
      </c>
      <c r="G185" s="67">
        <f t="shared" si="51"/>
        <v>4.8433048433048409E-2</v>
      </c>
    </row>
    <row r="187" spans="2:7" x14ac:dyDescent="0.25">
      <c r="B187" s="309" t="s">
        <v>54</v>
      </c>
      <c r="C187" s="306"/>
      <c r="D187" s="306"/>
      <c r="E187" s="306"/>
      <c r="F187" s="306"/>
      <c r="G187" s="307"/>
    </row>
    <row r="188" spans="2:7" ht="36" x14ac:dyDescent="0.25">
      <c r="B188" s="119" t="s">
        <v>55</v>
      </c>
      <c r="C188" s="112" t="s">
        <v>56</v>
      </c>
      <c r="D188" s="113" t="s">
        <v>41</v>
      </c>
      <c r="E188" s="113" t="s">
        <v>42</v>
      </c>
      <c r="F188" s="113" t="s">
        <v>44</v>
      </c>
      <c r="G188" s="113" t="s">
        <v>57</v>
      </c>
    </row>
    <row r="189" spans="2:7" x14ac:dyDescent="0.25">
      <c r="B189" s="272" t="s">
        <v>237</v>
      </c>
      <c r="C189" s="83">
        <f t="shared" ref="C189" si="52">D189+E189</f>
        <v>2</v>
      </c>
      <c r="D189" s="69">
        <f>COUNTIFS(CAVALETE!N:N,'DADOS - GOPOÚVA'!B189,CAVALETE!Y:Y,"C")</f>
        <v>2</v>
      </c>
      <c r="E189" s="69">
        <f>COUNTIFS(CAVALETE!N:N,'DADOS - GOPOÚVA'!B189,CAVALETE!Y:Y,"NC")</f>
        <v>0</v>
      </c>
      <c r="F189" s="70">
        <f t="shared" ref="F189" si="53">IFERROR(D189/C189,"-")</f>
        <v>1</v>
      </c>
      <c r="G189" s="74">
        <f t="shared" ref="G189:G226" si="54">IFERROR(100%-F189,"-")</f>
        <v>0</v>
      </c>
    </row>
    <row r="190" spans="2:7" x14ac:dyDescent="0.25">
      <c r="B190" s="230" t="s">
        <v>244</v>
      </c>
      <c r="C190" s="83">
        <f t="shared" ref="C190:C226" si="55">D190+E190</f>
        <v>3</v>
      </c>
      <c r="D190" s="69">
        <f>COUNTIFS(CAVALETE!N:N,'DADOS - GOPOÚVA'!B190,CAVALETE!Y:Y,"C")</f>
        <v>3</v>
      </c>
      <c r="E190" s="69">
        <f>COUNTIFS(CAVALETE!N:N,'DADOS - GOPOÚVA'!B190,CAVALETE!Y:Y,"NC")</f>
        <v>0</v>
      </c>
      <c r="F190" s="70">
        <f t="shared" ref="F190:F226" si="56">IFERROR(D190/C190,"-")</f>
        <v>1</v>
      </c>
      <c r="G190" s="74">
        <f t="shared" si="54"/>
        <v>0</v>
      </c>
    </row>
    <row r="191" spans="2:7" x14ac:dyDescent="0.25">
      <c r="B191" s="230" t="s">
        <v>348</v>
      </c>
      <c r="C191" s="83">
        <f t="shared" si="55"/>
        <v>2</v>
      </c>
      <c r="D191" s="69">
        <f>COUNTIFS(CAVALETE!N:N,'DADOS - GOPOÚVA'!B191,CAVALETE!Y:Y,"C")</f>
        <v>2</v>
      </c>
      <c r="E191" s="69">
        <f>COUNTIFS(CAVALETE!N:N,'DADOS - GOPOÚVA'!B191,CAVALETE!Y:Y,"NC")</f>
        <v>0</v>
      </c>
      <c r="F191" s="70">
        <f t="shared" si="56"/>
        <v>1</v>
      </c>
      <c r="G191" s="74">
        <f t="shared" si="54"/>
        <v>0</v>
      </c>
    </row>
    <row r="192" spans="2:7" x14ac:dyDescent="0.25">
      <c r="B192" s="230" t="s">
        <v>3436</v>
      </c>
      <c r="C192" s="83">
        <f t="shared" si="55"/>
        <v>7</v>
      </c>
      <c r="D192" s="69">
        <f>COUNTIFS(CAVALETE!N:N,'DADOS - GOPOÚVA'!B192,CAVALETE!Y:Y,"C")</f>
        <v>7</v>
      </c>
      <c r="E192" s="69">
        <f>COUNTIFS(CAVALETE!N:N,'DADOS - GOPOÚVA'!B192,CAVALETE!Y:Y,"NC")</f>
        <v>0</v>
      </c>
      <c r="F192" s="70">
        <f t="shared" si="56"/>
        <v>1</v>
      </c>
      <c r="G192" s="74">
        <f t="shared" si="54"/>
        <v>0</v>
      </c>
    </row>
    <row r="193" spans="2:7" x14ac:dyDescent="0.25">
      <c r="B193" s="230" t="s">
        <v>3296</v>
      </c>
      <c r="C193" s="83">
        <f t="shared" si="55"/>
        <v>21</v>
      </c>
      <c r="D193" s="69">
        <f>COUNTIFS(CAVALETE!N:N,'DADOS - GOPOÚVA'!B193,CAVALETE!Y:Y,"C")</f>
        <v>18</v>
      </c>
      <c r="E193" s="69">
        <f>COUNTIFS(CAVALETE!N:N,'DADOS - GOPOÚVA'!B193,CAVALETE!Y:Y,"NC")</f>
        <v>3</v>
      </c>
      <c r="F193" s="70">
        <f t="shared" si="56"/>
        <v>0.8571428571428571</v>
      </c>
      <c r="G193" s="74">
        <f t="shared" si="54"/>
        <v>0.1428571428571429</v>
      </c>
    </row>
    <row r="194" spans="2:7" x14ac:dyDescent="0.25">
      <c r="B194" s="230" t="s">
        <v>3793</v>
      </c>
      <c r="C194" s="83">
        <f t="shared" ref="C194:C222" si="57">D194+E194</f>
        <v>1</v>
      </c>
      <c r="D194" s="69">
        <f>COUNTIFS(CAVALETE!N:N,'DADOS - GOPOÚVA'!B194,CAVALETE!Y:Y,"C")</f>
        <v>1</v>
      </c>
      <c r="E194" s="69">
        <f>COUNTIFS(CAVALETE!N:N,'DADOS - GOPOÚVA'!B194,CAVALETE!Y:Y,"NC")</f>
        <v>0</v>
      </c>
      <c r="F194" s="70">
        <f t="shared" ref="F194:F222" si="58">IFERROR(D194/C194,"-")</f>
        <v>1</v>
      </c>
      <c r="G194" s="74">
        <f t="shared" ref="G194:G222" si="59">IFERROR(100%-F194,"-")</f>
        <v>0</v>
      </c>
    </row>
    <row r="195" spans="2:7" x14ac:dyDescent="0.25">
      <c r="B195" s="230" t="s">
        <v>381</v>
      </c>
      <c r="C195" s="83">
        <f t="shared" ref="C195:C220" si="60">D195+E195</f>
        <v>1</v>
      </c>
      <c r="D195" s="69">
        <f>COUNTIFS(CAVALETE!N:N,'DADOS - GOPOÚVA'!B195,CAVALETE!Y:Y,"C")</f>
        <v>1</v>
      </c>
      <c r="E195" s="69">
        <f>COUNTIFS(CAVALETE!N:N,'DADOS - GOPOÚVA'!B195,CAVALETE!Y:Y,"NC")</f>
        <v>0</v>
      </c>
      <c r="F195" s="70">
        <f t="shared" ref="F195:F220" si="61">IFERROR(D195/C195,"-")</f>
        <v>1</v>
      </c>
      <c r="G195" s="74">
        <f t="shared" ref="G195:G220" si="62">IFERROR(100%-F195,"-")</f>
        <v>0</v>
      </c>
    </row>
    <row r="196" spans="2:7" x14ac:dyDescent="0.25">
      <c r="B196" s="230" t="s">
        <v>203</v>
      </c>
      <c r="C196" s="83">
        <f t="shared" si="60"/>
        <v>2</v>
      </c>
      <c r="D196" s="69">
        <f>COUNTIFS(CAVALETE!N:N,'DADOS - GOPOÚVA'!B196,CAVALETE!Y:Y,"C")</f>
        <v>2</v>
      </c>
      <c r="E196" s="69">
        <f>COUNTIFS(CAVALETE!N:N,'DADOS - GOPOÚVA'!B196,CAVALETE!Y:Y,"NC")</f>
        <v>0</v>
      </c>
      <c r="F196" s="70">
        <f t="shared" si="61"/>
        <v>1</v>
      </c>
      <c r="G196" s="74">
        <f t="shared" si="62"/>
        <v>0</v>
      </c>
    </row>
    <row r="197" spans="2:7" x14ac:dyDescent="0.25">
      <c r="B197" s="230" t="s">
        <v>228</v>
      </c>
      <c r="C197" s="83">
        <f t="shared" si="60"/>
        <v>3</v>
      </c>
      <c r="D197" s="69">
        <f>COUNTIFS(CAVALETE!N:N,'DADOS - GOPOÚVA'!B197,CAVALETE!Y:Y,"C")</f>
        <v>3</v>
      </c>
      <c r="E197" s="69">
        <f>COUNTIFS(CAVALETE!N:N,'DADOS - GOPOÚVA'!B197,CAVALETE!Y:Y,"NC")</f>
        <v>0</v>
      </c>
      <c r="F197" s="70">
        <f t="shared" si="61"/>
        <v>1</v>
      </c>
      <c r="G197" s="74">
        <f t="shared" si="62"/>
        <v>0</v>
      </c>
    </row>
    <row r="198" spans="2:7" x14ac:dyDescent="0.25">
      <c r="B198" s="230" t="s">
        <v>3590</v>
      </c>
      <c r="C198" s="83">
        <f t="shared" si="60"/>
        <v>3</v>
      </c>
      <c r="D198" s="69">
        <f>COUNTIFS(CAVALETE!N:N,'DADOS - GOPOÚVA'!B198,CAVALETE!Y:Y,"C")</f>
        <v>3</v>
      </c>
      <c r="E198" s="69">
        <f>COUNTIFS(CAVALETE!N:N,'DADOS - GOPOÚVA'!B198,CAVALETE!Y:Y,"NC")</f>
        <v>0</v>
      </c>
      <c r="F198" s="70">
        <f t="shared" si="61"/>
        <v>1</v>
      </c>
      <c r="G198" s="74">
        <f t="shared" si="62"/>
        <v>0</v>
      </c>
    </row>
    <row r="199" spans="2:7" x14ac:dyDescent="0.25">
      <c r="B199" s="230" t="s">
        <v>3289</v>
      </c>
      <c r="C199" s="83">
        <f t="shared" si="60"/>
        <v>48</v>
      </c>
      <c r="D199" s="69">
        <f>COUNTIFS(CAVALETE!N:N,'DADOS - GOPOÚVA'!B199,CAVALETE!Y:Y,"C")</f>
        <v>48</v>
      </c>
      <c r="E199" s="69">
        <f>COUNTIFS(CAVALETE!N:N,'DADOS - GOPOÚVA'!B199,CAVALETE!Y:Y,"NC")</f>
        <v>0</v>
      </c>
      <c r="F199" s="70">
        <f t="shared" si="61"/>
        <v>1</v>
      </c>
      <c r="G199" s="74">
        <f t="shared" si="62"/>
        <v>0</v>
      </c>
    </row>
    <row r="200" spans="2:7" x14ac:dyDescent="0.25">
      <c r="B200" s="230" t="s">
        <v>3810</v>
      </c>
      <c r="C200" s="83">
        <f t="shared" si="60"/>
        <v>2</v>
      </c>
      <c r="D200" s="69">
        <f>COUNTIFS(CAVALETE!N:N,'DADOS - GOPOÚVA'!B200,CAVALETE!Y:Y,"C")</f>
        <v>2</v>
      </c>
      <c r="E200" s="69">
        <f>COUNTIFS(CAVALETE!N:N,'DADOS - GOPOÚVA'!B200,CAVALETE!Y:Y,"NC")</f>
        <v>0</v>
      </c>
      <c r="F200" s="70">
        <f t="shared" si="61"/>
        <v>1</v>
      </c>
      <c r="G200" s="74">
        <f t="shared" si="62"/>
        <v>0</v>
      </c>
    </row>
    <row r="201" spans="2:7" x14ac:dyDescent="0.25">
      <c r="B201" s="230" t="s">
        <v>3341</v>
      </c>
      <c r="C201" s="83">
        <f t="shared" si="60"/>
        <v>4</v>
      </c>
      <c r="D201" s="69">
        <f>COUNTIFS(CAVALETE!N:N,'DADOS - GOPOÚVA'!B201,CAVALETE!Y:Y,"C")</f>
        <v>4</v>
      </c>
      <c r="E201" s="69">
        <f>COUNTIFS(CAVALETE!N:N,'DADOS - GOPOÚVA'!B201,CAVALETE!Y:Y,"NC")</f>
        <v>0</v>
      </c>
      <c r="F201" s="70">
        <f t="shared" si="61"/>
        <v>1</v>
      </c>
      <c r="G201" s="74">
        <f t="shared" si="62"/>
        <v>0</v>
      </c>
    </row>
    <row r="202" spans="2:7" x14ac:dyDescent="0.25">
      <c r="B202" s="230" t="s">
        <v>303</v>
      </c>
      <c r="C202" s="83">
        <f t="shared" si="60"/>
        <v>1</v>
      </c>
      <c r="D202" s="69">
        <f>COUNTIFS(CAVALETE!N:N,'DADOS - GOPOÚVA'!B202,CAVALETE!Y:Y,"C")</f>
        <v>1</v>
      </c>
      <c r="E202" s="69">
        <f>COUNTIFS(CAVALETE!N:N,'DADOS - GOPOÚVA'!B202,CAVALETE!Y:Y,"NC")</f>
        <v>0</v>
      </c>
      <c r="F202" s="70">
        <f t="shared" si="61"/>
        <v>1</v>
      </c>
      <c r="G202" s="74">
        <f t="shared" si="62"/>
        <v>0</v>
      </c>
    </row>
    <row r="203" spans="2:7" x14ac:dyDescent="0.25">
      <c r="B203" s="230" t="s">
        <v>819</v>
      </c>
      <c r="C203" s="83">
        <f t="shared" si="60"/>
        <v>42</v>
      </c>
      <c r="D203" s="69">
        <f>COUNTIFS(CAVALETE!N:N,'DADOS - GOPOÚVA'!B203,CAVALETE!Y:Y,"C")</f>
        <v>42</v>
      </c>
      <c r="E203" s="69">
        <f>COUNTIFS(CAVALETE!N:N,'DADOS - GOPOÚVA'!B203,CAVALETE!Y:Y,"NC")</f>
        <v>0</v>
      </c>
      <c r="F203" s="70">
        <f t="shared" si="61"/>
        <v>1</v>
      </c>
      <c r="G203" s="74">
        <f t="shared" si="62"/>
        <v>0</v>
      </c>
    </row>
    <row r="204" spans="2:7" x14ac:dyDescent="0.25">
      <c r="B204" s="230" t="s">
        <v>3338</v>
      </c>
      <c r="C204" s="83">
        <f t="shared" si="60"/>
        <v>17</v>
      </c>
      <c r="D204" s="69">
        <f>COUNTIFS(CAVALETE!N:N,'DADOS - GOPOÚVA'!B204,CAVALETE!Y:Y,"C")</f>
        <v>17</v>
      </c>
      <c r="E204" s="69">
        <f>COUNTIFS(CAVALETE!N:N,'DADOS - GOPOÚVA'!B204,CAVALETE!Y:Y,"NC")</f>
        <v>0</v>
      </c>
      <c r="F204" s="70">
        <f t="shared" si="61"/>
        <v>1</v>
      </c>
      <c r="G204" s="74">
        <f t="shared" si="62"/>
        <v>0</v>
      </c>
    </row>
    <row r="205" spans="2:7" x14ac:dyDescent="0.25">
      <c r="B205" s="230" t="s">
        <v>3282</v>
      </c>
      <c r="C205" s="83">
        <f t="shared" si="60"/>
        <v>22</v>
      </c>
      <c r="D205" s="69">
        <f>COUNTIFS(CAVALETE!N:N,'DADOS - GOPOÚVA'!B205,CAVALETE!Y:Y,"C")</f>
        <v>21</v>
      </c>
      <c r="E205" s="69">
        <f>COUNTIFS(CAVALETE!N:N,'DADOS - GOPOÚVA'!B205,CAVALETE!Y:Y,"NC")</f>
        <v>1</v>
      </c>
      <c r="F205" s="70">
        <f t="shared" si="61"/>
        <v>0.95454545454545459</v>
      </c>
      <c r="G205" s="74">
        <f t="shared" si="62"/>
        <v>4.5454545454545414E-2</v>
      </c>
    </row>
    <row r="206" spans="2:7" x14ac:dyDescent="0.25">
      <c r="B206" s="230" t="s">
        <v>317</v>
      </c>
      <c r="C206" s="83">
        <f t="shared" si="60"/>
        <v>2</v>
      </c>
      <c r="D206" s="69">
        <f>COUNTIFS(CAVALETE!N:N,'DADOS - GOPOÚVA'!B206,CAVALETE!Y:Y,"C")</f>
        <v>2</v>
      </c>
      <c r="E206" s="69">
        <f>COUNTIFS(CAVALETE!N:N,'DADOS - GOPOÚVA'!B206,CAVALETE!Y:Y,"NC")</f>
        <v>0</v>
      </c>
      <c r="F206" s="70">
        <f t="shared" si="61"/>
        <v>1</v>
      </c>
      <c r="G206" s="74">
        <f t="shared" si="62"/>
        <v>0</v>
      </c>
    </row>
    <row r="207" spans="2:7" x14ac:dyDescent="0.25">
      <c r="B207" s="230" t="s">
        <v>3913</v>
      </c>
      <c r="C207" s="83">
        <f t="shared" si="60"/>
        <v>1</v>
      </c>
      <c r="D207" s="69">
        <f>COUNTIFS(CAVALETE!N:N,'DADOS - GOPOÚVA'!B207,CAVALETE!Y:Y,"C")</f>
        <v>1</v>
      </c>
      <c r="E207" s="69">
        <f>COUNTIFS(CAVALETE!N:N,'DADOS - GOPOÚVA'!B207,CAVALETE!Y:Y,"NC")</f>
        <v>0</v>
      </c>
      <c r="F207" s="70">
        <f t="shared" si="61"/>
        <v>1</v>
      </c>
      <c r="G207" s="74">
        <f t="shared" si="62"/>
        <v>0</v>
      </c>
    </row>
    <row r="208" spans="2:7" x14ac:dyDescent="0.25">
      <c r="B208" s="230" t="s">
        <v>3900</v>
      </c>
      <c r="C208" s="83">
        <f t="shared" si="60"/>
        <v>1</v>
      </c>
      <c r="D208" s="69">
        <f>COUNTIFS(CAVALETE!N:N,'DADOS - GOPOÚVA'!B208,CAVALETE!Y:Y,"C")</f>
        <v>1</v>
      </c>
      <c r="E208" s="69">
        <f>COUNTIFS(CAVALETE!N:N,'DADOS - GOPOÚVA'!B208,CAVALETE!Y:Y,"NC")</f>
        <v>0</v>
      </c>
      <c r="F208" s="70">
        <f t="shared" si="61"/>
        <v>1</v>
      </c>
      <c r="G208" s="74">
        <f t="shared" si="62"/>
        <v>0</v>
      </c>
    </row>
    <row r="209" spans="2:7" x14ac:dyDescent="0.25">
      <c r="B209" s="230" t="s">
        <v>432</v>
      </c>
      <c r="C209" s="83">
        <f t="shared" si="60"/>
        <v>2</v>
      </c>
      <c r="D209" s="69">
        <f>COUNTIFS(CAVALETE!N:N,'DADOS - GOPOÚVA'!B209,CAVALETE!Y:Y,"C")</f>
        <v>2</v>
      </c>
      <c r="E209" s="69">
        <f>COUNTIFS(CAVALETE!N:N,'DADOS - GOPOÚVA'!B209,CAVALETE!Y:Y,"NC")</f>
        <v>0</v>
      </c>
      <c r="F209" s="70">
        <f t="shared" si="61"/>
        <v>1</v>
      </c>
      <c r="G209" s="74">
        <f t="shared" si="62"/>
        <v>0</v>
      </c>
    </row>
    <row r="210" spans="2:7" x14ac:dyDescent="0.25">
      <c r="B210" s="230" t="s">
        <v>271</v>
      </c>
      <c r="C210" s="83">
        <f t="shared" si="60"/>
        <v>2</v>
      </c>
      <c r="D210" s="69">
        <f>COUNTIFS(CAVALETE!N:N,'DADOS - GOPOÚVA'!B210,CAVALETE!Y:Y,"C")</f>
        <v>2</v>
      </c>
      <c r="E210" s="69">
        <f>COUNTIFS(CAVALETE!N:N,'DADOS - GOPOÚVA'!B210,CAVALETE!Y:Y,"NC")</f>
        <v>0</v>
      </c>
      <c r="F210" s="70">
        <f t="shared" si="61"/>
        <v>1</v>
      </c>
      <c r="G210" s="74">
        <f t="shared" si="62"/>
        <v>0</v>
      </c>
    </row>
    <row r="211" spans="2:7" x14ac:dyDescent="0.25">
      <c r="B211" s="230" t="s">
        <v>260</v>
      </c>
      <c r="C211" s="83">
        <f t="shared" si="60"/>
        <v>4</v>
      </c>
      <c r="D211" s="69">
        <f>COUNTIFS(CAVALETE!N:N,'DADOS - GOPOÚVA'!B211,CAVALETE!Y:Y,"C")</f>
        <v>4</v>
      </c>
      <c r="E211" s="69">
        <f>COUNTIFS(CAVALETE!N:N,'DADOS - GOPOÚVA'!B211,CAVALETE!Y:Y,"NC")</f>
        <v>0</v>
      </c>
      <c r="F211" s="70">
        <f t="shared" si="61"/>
        <v>1</v>
      </c>
      <c r="G211" s="74">
        <f t="shared" si="62"/>
        <v>0</v>
      </c>
    </row>
    <row r="212" spans="2:7" x14ac:dyDescent="0.25">
      <c r="B212" s="230" t="s">
        <v>3276</v>
      </c>
      <c r="C212" s="83">
        <f t="shared" si="60"/>
        <v>54</v>
      </c>
      <c r="D212" s="69">
        <f>COUNTIFS(CAVALETE!N:N,'DADOS - GOPOÚVA'!B212,CAVALETE!Y:Y,"C")</f>
        <v>50</v>
      </c>
      <c r="E212" s="69">
        <f>COUNTIFS(CAVALETE!N:N,'DADOS - GOPOÚVA'!B212,CAVALETE!Y:Y,"NC")</f>
        <v>4</v>
      </c>
      <c r="F212" s="70">
        <f t="shared" si="61"/>
        <v>0.92592592592592593</v>
      </c>
      <c r="G212" s="74">
        <f t="shared" si="62"/>
        <v>7.407407407407407E-2</v>
      </c>
    </row>
    <row r="213" spans="2:7" x14ac:dyDescent="0.25">
      <c r="B213" s="230" t="s">
        <v>241</v>
      </c>
      <c r="C213" s="83">
        <f t="shared" si="60"/>
        <v>4</v>
      </c>
      <c r="D213" s="69">
        <f>COUNTIFS(CAVALETE!N:N,'DADOS - GOPOÚVA'!B213,CAVALETE!Y:Y,"C")</f>
        <v>3</v>
      </c>
      <c r="E213" s="69">
        <f>COUNTIFS(CAVALETE!N:N,'DADOS - GOPOÚVA'!B213,CAVALETE!Y:Y,"NC")</f>
        <v>1</v>
      </c>
      <c r="F213" s="70">
        <f t="shared" si="61"/>
        <v>0.75</v>
      </c>
      <c r="G213" s="74">
        <f t="shared" si="62"/>
        <v>0.25</v>
      </c>
    </row>
    <row r="214" spans="2:7" x14ac:dyDescent="0.25">
      <c r="B214" s="230" t="s">
        <v>287</v>
      </c>
      <c r="C214" s="83">
        <f t="shared" si="60"/>
        <v>1</v>
      </c>
      <c r="D214" s="69">
        <f>COUNTIFS(CAVALETE!N:N,'DADOS - GOPOÚVA'!B214,CAVALETE!Y:Y,"C")</f>
        <v>1</v>
      </c>
      <c r="E214" s="69">
        <f>COUNTIFS(CAVALETE!N:N,'DADOS - GOPOÚVA'!B214,CAVALETE!Y:Y,"NC")</f>
        <v>0</v>
      </c>
      <c r="F214" s="70">
        <f t="shared" si="61"/>
        <v>1</v>
      </c>
      <c r="G214" s="74">
        <f t="shared" si="62"/>
        <v>0</v>
      </c>
    </row>
    <row r="215" spans="2:7" x14ac:dyDescent="0.25">
      <c r="B215" s="230" t="s">
        <v>3860</v>
      </c>
      <c r="C215" s="83">
        <f t="shared" si="60"/>
        <v>2</v>
      </c>
      <c r="D215" s="69">
        <f>COUNTIFS(CAVALETE!N:N,'DADOS - GOPOÚVA'!B215,CAVALETE!Y:Y,"C")</f>
        <v>2</v>
      </c>
      <c r="E215" s="69">
        <f>COUNTIFS(CAVALETE!N:N,'DADOS - GOPOÚVA'!B215,CAVALETE!Y:Y,"NC")</f>
        <v>0</v>
      </c>
      <c r="F215" s="70">
        <f t="shared" si="61"/>
        <v>1</v>
      </c>
      <c r="G215" s="74">
        <f t="shared" si="62"/>
        <v>0</v>
      </c>
    </row>
    <row r="216" spans="2:7" x14ac:dyDescent="0.25">
      <c r="B216" s="230" t="s">
        <v>294</v>
      </c>
      <c r="C216" s="83">
        <f t="shared" si="60"/>
        <v>38</v>
      </c>
      <c r="D216" s="69">
        <f>COUNTIFS(CAVALETE!N:N,'DADOS - GOPOÚVA'!B216,CAVALETE!Y:Y,"C")</f>
        <v>38</v>
      </c>
      <c r="E216" s="69">
        <f>COUNTIFS(CAVALETE!N:N,'DADOS - GOPOÚVA'!B216,CAVALETE!Y:Y,"NC")</f>
        <v>0</v>
      </c>
      <c r="F216" s="70">
        <f t="shared" si="61"/>
        <v>1</v>
      </c>
      <c r="G216" s="74">
        <f t="shared" si="62"/>
        <v>0</v>
      </c>
    </row>
    <row r="217" spans="2:7" x14ac:dyDescent="0.25">
      <c r="B217" s="230" t="s">
        <v>3882</v>
      </c>
      <c r="C217" s="83">
        <f t="shared" si="60"/>
        <v>1</v>
      </c>
      <c r="D217" s="69">
        <f>COUNTIFS(CAVALETE!N:N,'DADOS - GOPOÚVA'!B217,CAVALETE!Y:Y,"C")</f>
        <v>1</v>
      </c>
      <c r="E217" s="69">
        <f>COUNTIFS(CAVALETE!N:N,'DADOS - GOPOÚVA'!B217,CAVALETE!Y:Y,"NC")</f>
        <v>0</v>
      </c>
      <c r="F217" s="70">
        <f t="shared" si="61"/>
        <v>1</v>
      </c>
      <c r="G217" s="74">
        <f t="shared" si="62"/>
        <v>0</v>
      </c>
    </row>
    <row r="218" spans="2:7" x14ac:dyDescent="0.25">
      <c r="B218" s="230" t="s">
        <v>209</v>
      </c>
      <c r="C218" s="83">
        <f t="shared" si="60"/>
        <v>4</v>
      </c>
      <c r="D218" s="69">
        <f>COUNTIFS(CAVALETE!N:N,'DADOS - GOPOÚVA'!B218,CAVALETE!Y:Y,"C")</f>
        <v>4</v>
      </c>
      <c r="E218" s="69">
        <f>COUNTIFS(CAVALETE!N:N,'DADOS - GOPOÚVA'!B218,CAVALETE!Y:Y,"NC")</f>
        <v>0</v>
      </c>
      <c r="F218" s="70">
        <f t="shared" si="61"/>
        <v>1</v>
      </c>
      <c r="G218" s="74">
        <f t="shared" si="62"/>
        <v>0</v>
      </c>
    </row>
    <row r="219" spans="2:7" x14ac:dyDescent="0.25">
      <c r="B219" s="230" t="s">
        <v>408</v>
      </c>
      <c r="C219" s="83">
        <f t="shared" si="60"/>
        <v>5</v>
      </c>
      <c r="D219" s="69">
        <f>COUNTIFS(CAVALETE!N:N,'DADOS - GOPOÚVA'!B219,CAVALETE!Y:Y,"C")</f>
        <v>3</v>
      </c>
      <c r="E219" s="69">
        <f>COUNTIFS(CAVALETE!N:N,'DADOS - GOPOÚVA'!B219,CAVALETE!Y:Y,"NC")</f>
        <v>2</v>
      </c>
      <c r="F219" s="70">
        <f t="shared" si="61"/>
        <v>0.6</v>
      </c>
      <c r="G219" s="74">
        <f t="shared" si="62"/>
        <v>0.4</v>
      </c>
    </row>
    <row r="220" spans="2:7" x14ac:dyDescent="0.25">
      <c r="B220" s="230" t="s">
        <v>615</v>
      </c>
      <c r="C220" s="83">
        <f t="shared" si="60"/>
        <v>3</v>
      </c>
      <c r="D220" s="69">
        <f>COUNTIFS(CAVALETE!N:N,'DADOS - GOPOÚVA'!B220,CAVALETE!Y:Y,"C")</f>
        <v>3</v>
      </c>
      <c r="E220" s="69">
        <f>COUNTIFS(CAVALETE!N:N,'DADOS - GOPOÚVA'!B220,CAVALETE!Y:Y,"NC")</f>
        <v>0</v>
      </c>
      <c r="F220" s="70">
        <f t="shared" si="61"/>
        <v>1</v>
      </c>
      <c r="G220" s="74">
        <f t="shared" si="62"/>
        <v>0</v>
      </c>
    </row>
    <row r="221" spans="2:7" x14ac:dyDescent="0.25">
      <c r="B221" s="230" t="s">
        <v>1099</v>
      </c>
      <c r="C221" s="83">
        <f t="shared" si="57"/>
        <v>25</v>
      </c>
      <c r="D221" s="69">
        <f>COUNTIFS(CAVALETE!N:N,'DADOS - GOPOÚVA'!B221,CAVALETE!Y:Y,"C")</f>
        <v>25</v>
      </c>
      <c r="E221" s="69">
        <f>COUNTIFS(CAVALETE!N:N,'DADOS - GOPOÚVA'!B221,CAVALETE!Y:Y,"NC")</f>
        <v>0</v>
      </c>
      <c r="F221" s="70">
        <f t="shared" si="58"/>
        <v>1</v>
      </c>
      <c r="G221" s="74">
        <f t="shared" si="59"/>
        <v>0</v>
      </c>
    </row>
    <row r="222" spans="2:7" x14ac:dyDescent="0.25">
      <c r="B222" s="230" t="s">
        <v>322</v>
      </c>
      <c r="C222" s="83">
        <f t="shared" si="57"/>
        <v>1</v>
      </c>
      <c r="D222" s="69">
        <f>COUNTIFS(CAVALETE!N:N,'DADOS - GOPOÚVA'!B222,CAVALETE!Y:Y,"C")</f>
        <v>1</v>
      </c>
      <c r="E222" s="69">
        <f>COUNTIFS(CAVALETE!N:N,'DADOS - GOPOÚVA'!B222,CAVALETE!Y:Y,"NC")</f>
        <v>0</v>
      </c>
      <c r="F222" s="70">
        <f t="shared" si="58"/>
        <v>1</v>
      </c>
      <c r="G222" s="74">
        <f t="shared" si="59"/>
        <v>0</v>
      </c>
    </row>
    <row r="223" spans="2:7" x14ac:dyDescent="0.25">
      <c r="B223" s="230" t="s">
        <v>215</v>
      </c>
      <c r="C223" s="83">
        <f t="shared" si="55"/>
        <v>12</v>
      </c>
      <c r="D223" s="69">
        <f>COUNTIFS(CAVALETE!N:N,'DADOS - GOPOÚVA'!B223,CAVALETE!Y:Y,"C")</f>
        <v>12</v>
      </c>
      <c r="E223" s="69">
        <f>COUNTIFS(CAVALETE!N:N,'DADOS - GOPOÚVA'!B223,CAVALETE!Y:Y,"NC")</f>
        <v>0</v>
      </c>
      <c r="F223" s="70">
        <f t="shared" si="56"/>
        <v>1</v>
      </c>
      <c r="G223" s="74">
        <f t="shared" si="54"/>
        <v>0</v>
      </c>
    </row>
    <row r="224" spans="2:7" x14ac:dyDescent="0.25">
      <c r="B224" s="230" t="s">
        <v>3433</v>
      </c>
      <c r="C224" s="83">
        <f t="shared" si="55"/>
        <v>4</v>
      </c>
      <c r="D224" s="69">
        <f>COUNTIFS(CAVALETE!N:N,'DADOS - GOPOÚVA'!B224,CAVALETE!Y:Y,"C")</f>
        <v>4</v>
      </c>
      <c r="E224" s="69">
        <f>COUNTIFS(CAVALETE!N:N,'DADOS - GOPOÚVA'!B224,CAVALETE!Y:Y,"NC")</f>
        <v>0</v>
      </c>
      <c r="F224" s="70">
        <f t="shared" si="56"/>
        <v>1</v>
      </c>
      <c r="G224" s="74">
        <f t="shared" si="54"/>
        <v>0</v>
      </c>
    </row>
    <row r="225" spans="2:7" x14ac:dyDescent="0.25">
      <c r="B225" s="230" t="s">
        <v>3801</v>
      </c>
      <c r="C225" s="83">
        <f t="shared" si="55"/>
        <v>2</v>
      </c>
      <c r="D225" s="69">
        <f>COUNTIFS(CAVALETE!N:N,'DADOS - GOPOÚVA'!B225,CAVALETE!Y:Y,"C")</f>
        <v>2</v>
      </c>
      <c r="E225" s="69">
        <f>COUNTIFS(CAVALETE!N:N,'DADOS - GOPOÚVA'!B225,CAVALETE!Y:Y,"NC")</f>
        <v>0</v>
      </c>
      <c r="F225" s="70">
        <f t="shared" si="56"/>
        <v>1</v>
      </c>
      <c r="G225" s="74">
        <f t="shared" si="54"/>
        <v>0</v>
      </c>
    </row>
    <row r="226" spans="2:7" x14ac:dyDescent="0.25">
      <c r="B226" s="230" t="s">
        <v>3841</v>
      </c>
      <c r="C226" s="83">
        <f t="shared" si="55"/>
        <v>2</v>
      </c>
      <c r="D226" s="69">
        <f>COUNTIFS(CAVALETE!N:N,'DADOS - GOPOÚVA'!B226,CAVALETE!Y:Y,"C")</f>
        <v>2</v>
      </c>
      <c r="E226" s="69">
        <f>COUNTIFS(CAVALETE!N:N,'DADOS - GOPOÚVA'!B226,CAVALETE!Y:Y,"NC")</f>
        <v>0</v>
      </c>
      <c r="F226" s="70">
        <f t="shared" si="56"/>
        <v>1</v>
      </c>
      <c r="G226" s="74">
        <f t="shared" si="54"/>
        <v>0</v>
      </c>
    </row>
    <row r="228" spans="2:7" x14ac:dyDescent="0.25">
      <c r="B228" s="309" t="s">
        <v>58</v>
      </c>
      <c r="C228" s="306"/>
      <c r="D228" s="306"/>
      <c r="E228" s="306"/>
      <c r="F228" s="306"/>
      <c r="G228" s="307"/>
    </row>
    <row r="229" spans="2:7" ht="36" x14ac:dyDescent="0.25">
      <c r="B229" s="119" t="s">
        <v>55</v>
      </c>
      <c r="C229" s="112" t="s">
        <v>56</v>
      </c>
      <c r="D229" s="113" t="s">
        <v>41</v>
      </c>
      <c r="E229" s="113" t="s">
        <v>42</v>
      </c>
      <c r="F229" s="113" t="s">
        <v>44</v>
      </c>
      <c r="G229" s="113" t="s">
        <v>57</v>
      </c>
    </row>
    <row r="230" spans="2:7" ht="20.25" customHeight="1" x14ac:dyDescent="0.25">
      <c r="B230" s="272" t="s">
        <v>237</v>
      </c>
      <c r="C230" s="83">
        <f t="shared" ref="C230" si="63">D230+E230</f>
        <v>2</v>
      </c>
      <c r="D230" s="69">
        <f>COUNTIFS(CAVALETE!N:N,'DADOS - GOPOÚVA'!B230,CAVALETE!Z:Z,"C")</f>
        <v>2</v>
      </c>
      <c r="E230" s="69">
        <f>COUNTIFS(CAVALETE!N:N,'DADOS - GOPOÚVA'!B230,CAVALETE!Z:Z,"NC")</f>
        <v>0</v>
      </c>
      <c r="F230" s="70">
        <f t="shared" ref="F230" si="64">IFERROR(D230/C230,"-")</f>
        <v>1</v>
      </c>
      <c r="G230" s="74">
        <f t="shared" ref="G230:G267" si="65">IFERROR(100%-F230,"-")</f>
        <v>0</v>
      </c>
    </row>
    <row r="231" spans="2:7" x14ac:dyDescent="0.25">
      <c r="B231" s="230" t="s">
        <v>244</v>
      </c>
      <c r="C231" s="83">
        <f t="shared" ref="C231:C267" si="66">D231+E231</f>
        <v>3</v>
      </c>
      <c r="D231" s="69">
        <f>COUNTIFS(CAVALETE!N:N,'DADOS - GOPOÚVA'!B231,CAVALETE!Z:Z,"C")</f>
        <v>3</v>
      </c>
      <c r="E231" s="69">
        <f>COUNTIFS(CAVALETE!N:N,'DADOS - GOPOÚVA'!B231,CAVALETE!Z:Z,"NC")</f>
        <v>0</v>
      </c>
      <c r="F231" s="70">
        <f t="shared" ref="F231:F267" si="67">IFERROR(D231/C231,"-")</f>
        <v>1</v>
      </c>
      <c r="G231" s="74">
        <f t="shared" si="65"/>
        <v>0</v>
      </c>
    </row>
    <row r="232" spans="2:7" x14ac:dyDescent="0.25">
      <c r="B232" s="230" t="s">
        <v>348</v>
      </c>
      <c r="C232" s="83">
        <f t="shared" si="66"/>
        <v>2</v>
      </c>
      <c r="D232" s="69">
        <f>COUNTIFS(CAVALETE!N:N,'DADOS - GOPOÚVA'!B232,CAVALETE!Z:Z,"C")</f>
        <v>0</v>
      </c>
      <c r="E232" s="69">
        <f>COUNTIFS(CAVALETE!N:N,'DADOS - GOPOÚVA'!B232,CAVALETE!Z:Z,"NC")</f>
        <v>2</v>
      </c>
      <c r="F232" s="70">
        <f t="shared" si="67"/>
        <v>0</v>
      </c>
      <c r="G232" s="74">
        <f t="shared" si="65"/>
        <v>1</v>
      </c>
    </row>
    <row r="233" spans="2:7" x14ac:dyDescent="0.25">
      <c r="B233" s="230" t="s">
        <v>3436</v>
      </c>
      <c r="C233" s="83">
        <f t="shared" si="66"/>
        <v>7</v>
      </c>
      <c r="D233" s="69">
        <f>COUNTIFS(CAVALETE!N:N,'DADOS - GOPOÚVA'!B233,CAVALETE!Z:Z,"C")</f>
        <v>7</v>
      </c>
      <c r="E233" s="69">
        <f>COUNTIFS(CAVALETE!N:N,'DADOS - GOPOÚVA'!B233,CAVALETE!Z:Z,"NC")</f>
        <v>0</v>
      </c>
      <c r="F233" s="70">
        <f t="shared" si="67"/>
        <v>1</v>
      </c>
      <c r="G233" s="74">
        <f t="shared" si="65"/>
        <v>0</v>
      </c>
    </row>
    <row r="234" spans="2:7" x14ac:dyDescent="0.25">
      <c r="B234" s="230" t="s">
        <v>3296</v>
      </c>
      <c r="C234" s="83">
        <f t="shared" ref="C234:C259" si="68">D234+E234</f>
        <v>21</v>
      </c>
      <c r="D234" s="69">
        <f>COUNTIFS(CAVALETE!N:N,'DADOS - GOPOÚVA'!B234,CAVALETE!Z:Z,"C")</f>
        <v>17</v>
      </c>
      <c r="E234" s="69">
        <f>COUNTIFS(CAVALETE!N:N,'DADOS - GOPOÚVA'!B234,CAVALETE!Z:Z,"NC")</f>
        <v>4</v>
      </c>
      <c r="F234" s="70">
        <f t="shared" ref="F234:F259" si="69">IFERROR(D234/C234,"-")</f>
        <v>0.80952380952380953</v>
      </c>
      <c r="G234" s="74">
        <f t="shared" ref="G234:G259" si="70">IFERROR(100%-F234,"-")</f>
        <v>0.19047619047619047</v>
      </c>
    </row>
    <row r="235" spans="2:7" x14ac:dyDescent="0.25">
      <c r="B235" s="230" t="s">
        <v>3793</v>
      </c>
      <c r="C235" s="83">
        <f t="shared" si="68"/>
        <v>1</v>
      </c>
      <c r="D235" s="69">
        <f>COUNTIFS(CAVALETE!N:N,'DADOS - GOPOÚVA'!B235,CAVALETE!Z:Z,"C")</f>
        <v>1</v>
      </c>
      <c r="E235" s="69">
        <f>COUNTIFS(CAVALETE!N:N,'DADOS - GOPOÚVA'!B235,CAVALETE!Z:Z,"NC")</f>
        <v>0</v>
      </c>
      <c r="F235" s="70">
        <f t="shared" si="69"/>
        <v>1</v>
      </c>
      <c r="G235" s="74">
        <f t="shared" si="70"/>
        <v>0</v>
      </c>
    </row>
    <row r="236" spans="2:7" x14ac:dyDescent="0.25">
      <c r="B236" s="230" t="s">
        <v>381</v>
      </c>
      <c r="C236" s="83">
        <f t="shared" si="68"/>
        <v>1</v>
      </c>
      <c r="D236" s="69">
        <f>COUNTIFS(CAVALETE!N:N,'DADOS - GOPOÚVA'!B236,CAVALETE!Z:Z,"C")</f>
        <v>1</v>
      </c>
      <c r="E236" s="69">
        <f>COUNTIFS(CAVALETE!N:N,'DADOS - GOPOÚVA'!B236,CAVALETE!Z:Z,"NC")</f>
        <v>0</v>
      </c>
      <c r="F236" s="70">
        <f t="shared" si="69"/>
        <v>1</v>
      </c>
      <c r="G236" s="74">
        <f t="shared" si="70"/>
        <v>0</v>
      </c>
    </row>
    <row r="237" spans="2:7" x14ac:dyDescent="0.25">
      <c r="B237" s="230" t="s">
        <v>203</v>
      </c>
      <c r="C237" s="83">
        <f t="shared" si="68"/>
        <v>2</v>
      </c>
      <c r="D237" s="69">
        <f>COUNTIFS(CAVALETE!N:N,'DADOS - GOPOÚVA'!B237,CAVALETE!Z:Z,"C")</f>
        <v>2</v>
      </c>
      <c r="E237" s="69">
        <f>COUNTIFS(CAVALETE!N:N,'DADOS - GOPOÚVA'!B237,CAVALETE!Z:Z,"NC")</f>
        <v>0</v>
      </c>
      <c r="F237" s="70">
        <f t="shared" si="69"/>
        <v>1</v>
      </c>
      <c r="G237" s="74">
        <f t="shared" si="70"/>
        <v>0</v>
      </c>
    </row>
    <row r="238" spans="2:7" x14ac:dyDescent="0.25">
      <c r="B238" s="230" t="s">
        <v>228</v>
      </c>
      <c r="C238" s="83">
        <f t="shared" si="68"/>
        <v>3</v>
      </c>
      <c r="D238" s="69">
        <f>COUNTIFS(CAVALETE!N:N,'DADOS - GOPOÚVA'!B238,CAVALETE!Z:Z,"C")</f>
        <v>3</v>
      </c>
      <c r="E238" s="69">
        <f>COUNTIFS(CAVALETE!N:N,'DADOS - GOPOÚVA'!B238,CAVALETE!Z:Z,"NC")</f>
        <v>0</v>
      </c>
      <c r="F238" s="70">
        <f t="shared" si="69"/>
        <v>1</v>
      </c>
      <c r="G238" s="74">
        <f t="shared" si="70"/>
        <v>0</v>
      </c>
    </row>
    <row r="239" spans="2:7" x14ac:dyDescent="0.25">
      <c r="B239" s="230" t="s">
        <v>3590</v>
      </c>
      <c r="C239" s="83">
        <f t="shared" si="68"/>
        <v>3</v>
      </c>
      <c r="D239" s="69">
        <f>COUNTIFS(CAVALETE!N:N,'DADOS - GOPOÚVA'!B239,CAVALETE!Z:Z,"C")</f>
        <v>3</v>
      </c>
      <c r="E239" s="69">
        <f>COUNTIFS(CAVALETE!N:N,'DADOS - GOPOÚVA'!B239,CAVALETE!Z:Z,"NC")</f>
        <v>0</v>
      </c>
      <c r="F239" s="70">
        <f t="shared" si="69"/>
        <v>1</v>
      </c>
      <c r="G239" s="74">
        <f t="shared" si="70"/>
        <v>0</v>
      </c>
    </row>
    <row r="240" spans="2:7" x14ac:dyDescent="0.25">
      <c r="B240" s="230" t="s">
        <v>3289</v>
      </c>
      <c r="C240" s="83">
        <f t="shared" si="68"/>
        <v>48</v>
      </c>
      <c r="D240" s="69">
        <f>COUNTIFS(CAVALETE!N:N,'DADOS - GOPOÚVA'!B240,CAVALETE!Z:Z,"C")</f>
        <v>45</v>
      </c>
      <c r="E240" s="69">
        <f>COUNTIFS(CAVALETE!N:N,'DADOS - GOPOÚVA'!B240,CAVALETE!Z:Z,"NC")</f>
        <v>3</v>
      </c>
      <c r="F240" s="70">
        <f t="shared" si="69"/>
        <v>0.9375</v>
      </c>
      <c r="G240" s="74">
        <f t="shared" si="70"/>
        <v>6.25E-2</v>
      </c>
    </row>
    <row r="241" spans="2:7" x14ac:dyDescent="0.25">
      <c r="B241" s="230" t="s">
        <v>3810</v>
      </c>
      <c r="C241" s="83">
        <f t="shared" si="68"/>
        <v>2</v>
      </c>
      <c r="D241" s="69">
        <f>COUNTIFS(CAVALETE!N:N,'DADOS - GOPOÚVA'!B241,CAVALETE!Z:Z,"C")</f>
        <v>2</v>
      </c>
      <c r="E241" s="69">
        <f>COUNTIFS(CAVALETE!N:N,'DADOS - GOPOÚVA'!B241,CAVALETE!Z:Z,"NC")</f>
        <v>0</v>
      </c>
      <c r="F241" s="70">
        <f t="shared" si="69"/>
        <v>1</v>
      </c>
      <c r="G241" s="74">
        <f t="shared" si="70"/>
        <v>0</v>
      </c>
    </row>
    <row r="242" spans="2:7" x14ac:dyDescent="0.25">
      <c r="B242" s="230" t="s">
        <v>3341</v>
      </c>
      <c r="C242" s="83">
        <f t="shared" si="68"/>
        <v>4</v>
      </c>
      <c r="D242" s="69">
        <f>COUNTIFS(CAVALETE!N:N,'DADOS - GOPOÚVA'!B242,CAVALETE!Z:Z,"C")</f>
        <v>4</v>
      </c>
      <c r="E242" s="69">
        <f>COUNTIFS(CAVALETE!N:N,'DADOS - GOPOÚVA'!B242,CAVALETE!Z:Z,"NC")</f>
        <v>0</v>
      </c>
      <c r="F242" s="70">
        <f t="shared" si="69"/>
        <v>1</v>
      </c>
      <c r="G242" s="74">
        <f t="shared" si="70"/>
        <v>0</v>
      </c>
    </row>
    <row r="243" spans="2:7" x14ac:dyDescent="0.25">
      <c r="B243" s="230" t="s">
        <v>303</v>
      </c>
      <c r="C243" s="83">
        <f t="shared" si="68"/>
        <v>1</v>
      </c>
      <c r="D243" s="69">
        <f>COUNTIFS(CAVALETE!N:N,'DADOS - GOPOÚVA'!B243,CAVALETE!Z:Z,"C")</f>
        <v>1</v>
      </c>
      <c r="E243" s="69">
        <f>COUNTIFS(CAVALETE!N:N,'DADOS - GOPOÚVA'!B243,CAVALETE!Z:Z,"NC")</f>
        <v>0</v>
      </c>
      <c r="F243" s="70">
        <f t="shared" si="69"/>
        <v>1</v>
      </c>
      <c r="G243" s="74">
        <f t="shared" si="70"/>
        <v>0</v>
      </c>
    </row>
    <row r="244" spans="2:7" x14ac:dyDescent="0.25">
      <c r="B244" s="230" t="s">
        <v>819</v>
      </c>
      <c r="C244" s="83">
        <f t="shared" si="68"/>
        <v>42</v>
      </c>
      <c r="D244" s="69">
        <f>COUNTIFS(CAVALETE!N:N,'DADOS - GOPOÚVA'!B244,CAVALETE!Z:Z,"C")</f>
        <v>40</v>
      </c>
      <c r="E244" s="69">
        <f>COUNTIFS(CAVALETE!N:N,'DADOS - GOPOÚVA'!B244,CAVALETE!Z:Z,"NC")</f>
        <v>2</v>
      </c>
      <c r="F244" s="70">
        <f t="shared" si="69"/>
        <v>0.95238095238095233</v>
      </c>
      <c r="G244" s="74">
        <f t="shared" si="70"/>
        <v>4.7619047619047672E-2</v>
      </c>
    </row>
    <row r="245" spans="2:7" x14ac:dyDescent="0.25">
      <c r="B245" s="230" t="s">
        <v>3338</v>
      </c>
      <c r="C245" s="83">
        <f t="shared" si="68"/>
        <v>17</v>
      </c>
      <c r="D245" s="69">
        <f>COUNTIFS(CAVALETE!N:N,'DADOS - GOPOÚVA'!B245,CAVALETE!Z:Z,"C")</f>
        <v>16</v>
      </c>
      <c r="E245" s="69">
        <f>COUNTIFS(CAVALETE!N:N,'DADOS - GOPOÚVA'!B245,CAVALETE!Z:Z,"NC")</f>
        <v>1</v>
      </c>
      <c r="F245" s="70">
        <f t="shared" si="69"/>
        <v>0.94117647058823528</v>
      </c>
      <c r="G245" s="74">
        <f t="shared" si="70"/>
        <v>5.8823529411764719E-2</v>
      </c>
    </row>
    <row r="246" spans="2:7" x14ac:dyDescent="0.25">
      <c r="B246" s="230" t="s">
        <v>3282</v>
      </c>
      <c r="C246" s="83">
        <f t="shared" si="68"/>
        <v>22</v>
      </c>
      <c r="D246" s="69">
        <f>COUNTIFS(CAVALETE!N:N,'DADOS - GOPOÚVA'!B246,CAVALETE!Z:Z,"C")</f>
        <v>21</v>
      </c>
      <c r="E246" s="69">
        <f>COUNTIFS(CAVALETE!N:N,'DADOS - GOPOÚVA'!B246,CAVALETE!Z:Z,"NC")</f>
        <v>1</v>
      </c>
      <c r="F246" s="70">
        <f t="shared" si="69"/>
        <v>0.95454545454545459</v>
      </c>
      <c r="G246" s="74">
        <f t="shared" si="70"/>
        <v>4.5454545454545414E-2</v>
      </c>
    </row>
    <row r="247" spans="2:7" x14ac:dyDescent="0.25">
      <c r="B247" s="230" t="s">
        <v>317</v>
      </c>
      <c r="C247" s="83">
        <f t="shared" si="68"/>
        <v>2</v>
      </c>
      <c r="D247" s="69">
        <f>COUNTIFS(CAVALETE!N:N,'DADOS - GOPOÚVA'!B247,CAVALETE!Z:Z,"C")</f>
        <v>1</v>
      </c>
      <c r="E247" s="69">
        <f>COUNTIFS(CAVALETE!N:N,'DADOS - GOPOÚVA'!B247,CAVALETE!Z:Z,"NC")</f>
        <v>1</v>
      </c>
      <c r="F247" s="70">
        <f t="shared" si="69"/>
        <v>0.5</v>
      </c>
      <c r="G247" s="74">
        <f t="shared" si="70"/>
        <v>0.5</v>
      </c>
    </row>
    <row r="248" spans="2:7" x14ac:dyDescent="0.25">
      <c r="B248" s="230" t="s">
        <v>3913</v>
      </c>
      <c r="C248" s="83">
        <f t="shared" si="68"/>
        <v>1</v>
      </c>
      <c r="D248" s="69">
        <f>COUNTIFS(CAVALETE!N:N,'DADOS - GOPOÚVA'!B248,CAVALETE!Z:Z,"C")</f>
        <v>1</v>
      </c>
      <c r="E248" s="69">
        <f>COUNTIFS(CAVALETE!N:N,'DADOS - GOPOÚVA'!B248,CAVALETE!Z:Z,"NC")</f>
        <v>0</v>
      </c>
      <c r="F248" s="70">
        <f t="shared" si="69"/>
        <v>1</v>
      </c>
      <c r="G248" s="74">
        <f t="shared" si="70"/>
        <v>0</v>
      </c>
    </row>
    <row r="249" spans="2:7" x14ac:dyDescent="0.25">
      <c r="B249" s="230" t="s">
        <v>3900</v>
      </c>
      <c r="C249" s="83">
        <f t="shared" si="68"/>
        <v>1</v>
      </c>
      <c r="D249" s="69">
        <f>COUNTIFS(CAVALETE!N:N,'DADOS - GOPOÚVA'!B249,CAVALETE!Z:Z,"C")</f>
        <v>1</v>
      </c>
      <c r="E249" s="69">
        <f>COUNTIFS(CAVALETE!N:N,'DADOS - GOPOÚVA'!B249,CAVALETE!Z:Z,"NC")</f>
        <v>0</v>
      </c>
      <c r="F249" s="70">
        <f t="shared" si="69"/>
        <v>1</v>
      </c>
      <c r="G249" s="74">
        <f t="shared" si="70"/>
        <v>0</v>
      </c>
    </row>
    <row r="250" spans="2:7" x14ac:dyDescent="0.25">
      <c r="B250" s="230" t="s">
        <v>432</v>
      </c>
      <c r="C250" s="83">
        <f t="shared" si="68"/>
        <v>2</v>
      </c>
      <c r="D250" s="69">
        <f>COUNTIFS(CAVALETE!N:N,'DADOS - GOPOÚVA'!B250,CAVALETE!Z:Z,"C")</f>
        <v>2</v>
      </c>
      <c r="E250" s="69">
        <f>COUNTIFS(CAVALETE!N:N,'DADOS - GOPOÚVA'!B250,CAVALETE!Z:Z,"NC")</f>
        <v>0</v>
      </c>
      <c r="F250" s="70">
        <f t="shared" si="69"/>
        <v>1</v>
      </c>
      <c r="G250" s="74">
        <f t="shared" si="70"/>
        <v>0</v>
      </c>
    </row>
    <row r="251" spans="2:7" x14ac:dyDescent="0.25">
      <c r="B251" s="230" t="s">
        <v>271</v>
      </c>
      <c r="C251" s="83">
        <f t="shared" si="68"/>
        <v>2</v>
      </c>
      <c r="D251" s="69">
        <f>COUNTIFS(CAVALETE!N:N,'DADOS - GOPOÚVA'!B251,CAVALETE!Z:Z,"C")</f>
        <v>2</v>
      </c>
      <c r="E251" s="69">
        <f>COUNTIFS(CAVALETE!N:N,'DADOS - GOPOÚVA'!B251,CAVALETE!Z:Z,"NC")</f>
        <v>0</v>
      </c>
      <c r="F251" s="70">
        <f t="shared" si="69"/>
        <v>1</v>
      </c>
      <c r="G251" s="74">
        <f t="shared" si="70"/>
        <v>0</v>
      </c>
    </row>
    <row r="252" spans="2:7" x14ac:dyDescent="0.25">
      <c r="B252" s="230" t="s">
        <v>260</v>
      </c>
      <c r="C252" s="83">
        <f t="shared" si="68"/>
        <v>4</v>
      </c>
      <c r="D252" s="69">
        <f>COUNTIFS(CAVALETE!N:N,'DADOS - GOPOÚVA'!B252,CAVALETE!Z:Z,"C")</f>
        <v>4</v>
      </c>
      <c r="E252" s="69">
        <f>COUNTIFS(CAVALETE!N:N,'DADOS - GOPOÚVA'!B252,CAVALETE!Z:Z,"NC")</f>
        <v>0</v>
      </c>
      <c r="F252" s="70">
        <f t="shared" si="69"/>
        <v>1</v>
      </c>
      <c r="G252" s="74">
        <f t="shared" si="70"/>
        <v>0</v>
      </c>
    </row>
    <row r="253" spans="2:7" x14ac:dyDescent="0.25">
      <c r="B253" s="230" t="s">
        <v>3276</v>
      </c>
      <c r="C253" s="83">
        <f t="shared" si="68"/>
        <v>54</v>
      </c>
      <c r="D253" s="69">
        <f>COUNTIFS(CAVALETE!N:N,'DADOS - GOPOÚVA'!B253,CAVALETE!Z:Z,"C")</f>
        <v>50</v>
      </c>
      <c r="E253" s="69">
        <f>COUNTIFS(CAVALETE!N:N,'DADOS - GOPOÚVA'!B253,CAVALETE!Z:Z,"NC")</f>
        <v>4</v>
      </c>
      <c r="F253" s="70">
        <f t="shared" si="69"/>
        <v>0.92592592592592593</v>
      </c>
      <c r="G253" s="74">
        <f t="shared" si="70"/>
        <v>7.407407407407407E-2</v>
      </c>
    </row>
    <row r="254" spans="2:7" x14ac:dyDescent="0.25">
      <c r="B254" s="230" t="s">
        <v>241</v>
      </c>
      <c r="C254" s="83">
        <f t="shared" si="68"/>
        <v>4</v>
      </c>
      <c r="D254" s="69">
        <f>COUNTIFS(CAVALETE!N:N,'DADOS - GOPOÚVA'!B254,CAVALETE!Z:Z,"C")</f>
        <v>3</v>
      </c>
      <c r="E254" s="69">
        <f>COUNTIFS(CAVALETE!N:N,'DADOS - GOPOÚVA'!B254,CAVALETE!Z:Z,"NC")</f>
        <v>1</v>
      </c>
      <c r="F254" s="70">
        <f t="shared" si="69"/>
        <v>0.75</v>
      </c>
      <c r="G254" s="74">
        <f t="shared" si="70"/>
        <v>0.25</v>
      </c>
    </row>
    <row r="255" spans="2:7" x14ac:dyDescent="0.25">
      <c r="B255" s="230" t="s">
        <v>287</v>
      </c>
      <c r="C255" s="83">
        <f t="shared" si="68"/>
        <v>1</v>
      </c>
      <c r="D255" s="69">
        <f>COUNTIFS(CAVALETE!N:N,'DADOS - GOPOÚVA'!B255,CAVALETE!Z:Z,"C")</f>
        <v>1</v>
      </c>
      <c r="E255" s="69">
        <f>COUNTIFS(CAVALETE!N:N,'DADOS - GOPOÚVA'!B255,CAVALETE!Z:Z,"NC")</f>
        <v>0</v>
      </c>
      <c r="F255" s="70">
        <f t="shared" si="69"/>
        <v>1</v>
      </c>
      <c r="G255" s="74">
        <f t="shared" si="70"/>
        <v>0</v>
      </c>
    </row>
    <row r="256" spans="2:7" x14ac:dyDescent="0.25">
      <c r="B256" s="230" t="s">
        <v>3860</v>
      </c>
      <c r="C256" s="83">
        <f t="shared" si="68"/>
        <v>2</v>
      </c>
      <c r="D256" s="69">
        <f>COUNTIFS(CAVALETE!N:N,'DADOS - GOPOÚVA'!B256,CAVALETE!Z:Z,"C")</f>
        <v>2</v>
      </c>
      <c r="E256" s="69">
        <f>COUNTIFS(CAVALETE!N:N,'DADOS - GOPOÚVA'!B256,CAVALETE!Z:Z,"NC")</f>
        <v>0</v>
      </c>
      <c r="F256" s="70">
        <f t="shared" si="69"/>
        <v>1</v>
      </c>
      <c r="G256" s="74">
        <f t="shared" si="70"/>
        <v>0</v>
      </c>
    </row>
    <row r="257" spans="2:7" x14ac:dyDescent="0.25">
      <c r="B257" s="230" t="s">
        <v>294</v>
      </c>
      <c r="C257" s="83">
        <f t="shared" si="68"/>
        <v>38</v>
      </c>
      <c r="D257" s="69">
        <f>COUNTIFS(CAVALETE!N:N,'DADOS - GOPOÚVA'!B257,CAVALETE!Z:Z,"C")</f>
        <v>38</v>
      </c>
      <c r="E257" s="69">
        <f>COUNTIFS(CAVALETE!N:N,'DADOS - GOPOÚVA'!B257,CAVALETE!Z:Z,"NC")</f>
        <v>0</v>
      </c>
      <c r="F257" s="70">
        <f t="shared" si="69"/>
        <v>1</v>
      </c>
      <c r="G257" s="74">
        <f t="shared" si="70"/>
        <v>0</v>
      </c>
    </row>
    <row r="258" spans="2:7" x14ac:dyDescent="0.25">
      <c r="B258" s="230" t="s">
        <v>3882</v>
      </c>
      <c r="C258" s="83">
        <f t="shared" si="68"/>
        <v>1</v>
      </c>
      <c r="D258" s="69">
        <f>COUNTIFS(CAVALETE!N:N,'DADOS - GOPOÚVA'!B258,CAVALETE!Z:Z,"C")</f>
        <v>1</v>
      </c>
      <c r="E258" s="69">
        <f>COUNTIFS(CAVALETE!N:N,'DADOS - GOPOÚVA'!B258,CAVALETE!Z:Z,"NC")</f>
        <v>0</v>
      </c>
      <c r="F258" s="70">
        <f t="shared" si="69"/>
        <v>1</v>
      </c>
      <c r="G258" s="74">
        <f t="shared" si="70"/>
        <v>0</v>
      </c>
    </row>
    <row r="259" spans="2:7" x14ac:dyDescent="0.25">
      <c r="B259" s="230" t="s">
        <v>209</v>
      </c>
      <c r="C259" s="83">
        <f t="shared" si="68"/>
        <v>4</v>
      </c>
      <c r="D259" s="69">
        <f>COUNTIFS(CAVALETE!N:N,'DADOS - GOPOÚVA'!B259,CAVALETE!Z:Z,"C")</f>
        <v>4</v>
      </c>
      <c r="E259" s="69">
        <f>COUNTIFS(CAVALETE!N:N,'DADOS - GOPOÚVA'!B259,CAVALETE!Z:Z,"NC")</f>
        <v>0</v>
      </c>
      <c r="F259" s="70">
        <f t="shared" si="69"/>
        <v>1</v>
      </c>
      <c r="G259" s="74">
        <f t="shared" si="70"/>
        <v>0</v>
      </c>
    </row>
    <row r="260" spans="2:7" x14ac:dyDescent="0.25">
      <c r="B260" s="230" t="s">
        <v>408</v>
      </c>
      <c r="C260" s="83">
        <f t="shared" si="66"/>
        <v>5</v>
      </c>
      <c r="D260" s="69">
        <f>COUNTIFS(CAVALETE!N:N,'DADOS - GOPOÚVA'!B260,CAVALETE!Z:Z,"C")</f>
        <v>3</v>
      </c>
      <c r="E260" s="69">
        <f>COUNTIFS(CAVALETE!N:N,'DADOS - GOPOÚVA'!B260,CAVALETE!Z:Z,"NC")</f>
        <v>2</v>
      </c>
      <c r="F260" s="70">
        <f t="shared" si="67"/>
        <v>0.6</v>
      </c>
      <c r="G260" s="74">
        <f t="shared" si="65"/>
        <v>0.4</v>
      </c>
    </row>
    <row r="261" spans="2:7" x14ac:dyDescent="0.25">
      <c r="B261" s="230" t="s">
        <v>615</v>
      </c>
      <c r="C261" s="83">
        <f t="shared" si="66"/>
        <v>3</v>
      </c>
      <c r="D261" s="69">
        <f>COUNTIFS(CAVALETE!N:N,'DADOS - GOPOÚVA'!B261,CAVALETE!Z:Z,"C")</f>
        <v>1</v>
      </c>
      <c r="E261" s="69">
        <f>COUNTIFS(CAVALETE!N:N,'DADOS - GOPOÚVA'!B261,CAVALETE!Z:Z,"NC")</f>
        <v>2</v>
      </c>
      <c r="F261" s="70">
        <f t="shared" si="67"/>
        <v>0.33333333333333331</v>
      </c>
      <c r="G261" s="74">
        <f t="shared" si="65"/>
        <v>0.66666666666666674</v>
      </c>
    </row>
    <row r="262" spans="2:7" x14ac:dyDescent="0.25">
      <c r="B262" s="230" t="s">
        <v>1099</v>
      </c>
      <c r="C262" s="83">
        <f t="shared" si="66"/>
        <v>25</v>
      </c>
      <c r="D262" s="69">
        <f>COUNTIFS(CAVALETE!N:N,'DADOS - GOPOÚVA'!B262,CAVALETE!Z:Z,"C")</f>
        <v>25</v>
      </c>
      <c r="E262" s="69">
        <f>COUNTIFS(CAVALETE!N:N,'DADOS - GOPOÚVA'!B262,CAVALETE!Z:Z,"NC")</f>
        <v>0</v>
      </c>
      <c r="F262" s="70">
        <f t="shared" si="67"/>
        <v>1</v>
      </c>
      <c r="G262" s="74">
        <f t="shared" si="65"/>
        <v>0</v>
      </c>
    </row>
    <row r="263" spans="2:7" x14ac:dyDescent="0.25">
      <c r="B263" s="230" t="s">
        <v>322</v>
      </c>
      <c r="C263" s="83">
        <f t="shared" ref="C263" si="71">D263+E263</f>
        <v>1</v>
      </c>
      <c r="D263" s="69">
        <f>COUNTIFS(CAVALETE!N:N,'DADOS - GOPOÚVA'!B263,CAVALETE!Z:Z,"C")</f>
        <v>1</v>
      </c>
      <c r="E263" s="69">
        <f>COUNTIFS(CAVALETE!N:N,'DADOS - GOPOÚVA'!B263,CAVALETE!Z:Z,"NC")</f>
        <v>0</v>
      </c>
      <c r="F263" s="70">
        <f t="shared" ref="F263" si="72">IFERROR(D263/C263,"-")</f>
        <v>1</v>
      </c>
      <c r="G263" s="74">
        <f t="shared" ref="G263" si="73">IFERROR(100%-F263,"-")</f>
        <v>0</v>
      </c>
    </row>
    <row r="264" spans="2:7" x14ac:dyDescent="0.25">
      <c r="B264" s="230" t="s">
        <v>215</v>
      </c>
      <c r="C264" s="83">
        <f t="shared" si="66"/>
        <v>12</v>
      </c>
      <c r="D264" s="69">
        <f>COUNTIFS(CAVALETE!N:N,'DADOS - GOPOÚVA'!B264,CAVALETE!Z:Z,"C")</f>
        <v>12</v>
      </c>
      <c r="E264" s="69">
        <f>COUNTIFS(CAVALETE!N:N,'DADOS - GOPOÚVA'!B264,CAVALETE!Z:Z,"NC")</f>
        <v>0</v>
      </c>
      <c r="F264" s="70">
        <f t="shared" si="67"/>
        <v>1</v>
      </c>
      <c r="G264" s="74">
        <f t="shared" si="65"/>
        <v>0</v>
      </c>
    </row>
    <row r="265" spans="2:7" x14ac:dyDescent="0.25">
      <c r="B265" s="230" t="s">
        <v>3433</v>
      </c>
      <c r="C265" s="83">
        <f t="shared" si="66"/>
        <v>4</v>
      </c>
      <c r="D265" s="69">
        <f>COUNTIFS(CAVALETE!N:N,'DADOS - GOPOÚVA'!B265,CAVALETE!Z:Z,"C")</f>
        <v>4</v>
      </c>
      <c r="E265" s="69">
        <f>COUNTIFS(CAVALETE!N:N,'DADOS - GOPOÚVA'!B265,CAVALETE!Z:Z,"NC")</f>
        <v>0</v>
      </c>
      <c r="F265" s="70">
        <f t="shared" si="67"/>
        <v>1</v>
      </c>
      <c r="G265" s="74">
        <f t="shared" si="65"/>
        <v>0</v>
      </c>
    </row>
    <row r="266" spans="2:7" x14ac:dyDescent="0.25">
      <c r="B266" s="230" t="s">
        <v>3801</v>
      </c>
      <c r="C266" s="83">
        <f t="shared" si="66"/>
        <v>2</v>
      </c>
      <c r="D266" s="69">
        <f>COUNTIFS(CAVALETE!N:N,'DADOS - GOPOÚVA'!B266,CAVALETE!Z:Z,"C")</f>
        <v>2</v>
      </c>
      <c r="E266" s="69">
        <f>COUNTIFS(CAVALETE!N:N,'DADOS - GOPOÚVA'!B266,CAVALETE!Z:Z,"NC")</f>
        <v>0</v>
      </c>
      <c r="F266" s="70">
        <f t="shared" si="67"/>
        <v>1</v>
      </c>
      <c r="G266" s="74">
        <f t="shared" si="65"/>
        <v>0</v>
      </c>
    </row>
    <row r="267" spans="2:7" x14ac:dyDescent="0.25">
      <c r="B267" s="230" t="s">
        <v>3841</v>
      </c>
      <c r="C267" s="83">
        <f t="shared" si="66"/>
        <v>2</v>
      </c>
      <c r="D267" s="69">
        <f>COUNTIFS(CAVALETE!N:N,'DADOS - GOPOÚVA'!B267,CAVALETE!Z:Z,"C")</f>
        <v>2</v>
      </c>
      <c r="E267" s="69">
        <f>COUNTIFS(CAVALETE!N:N,'DADOS - GOPOÚVA'!B267,CAVALETE!Z:Z,"NC")</f>
        <v>0</v>
      </c>
      <c r="F267" s="70">
        <f t="shared" si="67"/>
        <v>1</v>
      </c>
      <c r="G267" s="74">
        <f t="shared" si="65"/>
        <v>0</v>
      </c>
    </row>
    <row r="269" spans="2:7" x14ac:dyDescent="0.25">
      <c r="B269" s="308" t="s">
        <v>67</v>
      </c>
      <c r="C269" s="308"/>
      <c r="D269" s="308"/>
      <c r="E269" s="308"/>
      <c r="F269" s="308"/>
      <c r="G269" s="308"/>
    </row>
    <row r="271" spans="2:7" x14ac:dyDescent="0.25">
      <c r="B271" s="313" t="s">
        <v>34</v>
      </c>
      <c r="C271" s="313"/>
      <c r="D271" s="313"/>
      <c r="E271" s="313"/>
      <c r="F271" s="313"/>
      <c r="G271" s="313"/>
    </row>
    <row r="272" spans="2:7" x14ac:dyDescent="0.25">
      <c r="B272" s="107" t="s">
        <v>12</v>
      </c>
      <c r="C272" s="108" t="s">
        <v>35</v>
      </c>
      <c r="D272" s="108" t="s">
        <v>36</v>
      </c>
      <c r="E272" s="108" t="s">
        <v>37</v>
      </c>
      <c r="F272" s="108" t="s">
        <v>28</v>
      </c>
      <c r="G272" s="108" t="s">
        <v>29</v>
      </c>
    </row>
    <row r="273" spans="2:7" x14ac:dyDescent="0.25">
      <c r="B273" s="124" t="s">
        <v>17</v>
      </c>
      <c r="C273" s="64">
        <f>D273+E273</f>
        <v>217</v>
      </c>
      <c r="D273" s="64">
        <f>COUNTIF(REPOSIÇÃO!AE:AE,"nc")</f>
        <v>95</v>
      </c>
      <c r="E273" s="64">
        <f>COUNTIF(REPOSIÇÃO!AE:AE,"c")</f>
        <v>122</v>
      </c>
      <c r="F273" s="16">
        <f>IFERROR(D273/C273,"-")</f>
        <v>0.43778801843317972</v>
      </c>
      <c r="G273" s="16">
        <f>IFERROR(E273/C273,"-")</f>
        <v>0.56221198156682028</v>
      </c>
    </row>
    <row r="274" spans="2:7" x14ac:dyDescent="0.25">
      <c r="B274" s="11"/>
      <c r="C274" s="11"/>
      <c r="D274" s="11"/>
      <c r="E274" s="11"/>
      <c r="F274" s="17"/>
      <c r="G274" s="17"/>
    </row>
    <row r="275" spans="2:7" x14ac:dyDescent="0.25">
      <c r="B275" s="298" t="s">
        <v>24</v>
      </c>
      <c r="C275" s="299"/>
      <c r="D275" s="299"/>
      <c r="E275" s="299"/>
      <c r="F275" s="299"/>
      <c r="G275" s="300"/>
    </row>
    <row r="276" spans="2:7" x14ac:dyDescent="0.25">
      <c r="B276" s="107" t="s">
        <v>12</v>
      </c>
      <c r="C276" s="108" t="s">
        <v>25</v>
      </c>
      <c r="D276" s="108" t="s">
        <v>26</v>
      </c>
      <c r="E276" s="108" t="s">
        <v>27</v>
      </c>
      <c r="F276" s="108" t="s">
        <v>28</v>
      </c>
      <c r="G276" s="108" t="s">
        <v>29</v>
      </c>
    </row>
    <row r="277" spans="2:7" x14ac:dyDescent="0.25">
      <c r="B277" s="124" t="s">
        <v>17</v>
      </c>
      <c r="C277" s="64">
        <f>D277+E277</f>
        <v>219</v>
      </c>
      <c r="D277" s="64">
        <f>COUNTIF(REPOSIÇÃO!AF:AF,"nc")</f>
        <v>113</v>
      </c>
      <c r="E277" s="64">
        <f>COUNTIF(REPOSIÇÃO!AF:AF,"c")</f>
        <v>106</v>
      </c>
      <c r="F277" s="52">
        <f>IFERROR(D277/C277,"-")</f>
        <v>0.51598173515981738</v>
      </c>
      <c r="G277" s="52">
        <f>IFERROR(100%-F277,"-")</f>
        <v>0.48401826484018262</v>
      </c>
    </row>
    <row r="278" spans="2:7" x14ac:dyDescent="0.25">
      <c r="B278" s="11"/>
      <c r="C278" s="11"/>
      <c r="D278" s="11"/>
      <c r="E278" s="11"/>
      <c r="F278" s="17"/>
      <c r="G278" s="17"/>
    </row>
    <row r="279" spans="2:7" x14ac:dyDescent="0.25">
      <c r="B279" s="304" t="s">
        <v>40</v>
      </c>
      <c r="C279" s="304"/>
      <c r="D279" s="304"/>
      <c r="E279" s="304"/>
      <c r="F279" s="304"/>
      <c r="G279" s="304"/>
    </row>
    <row r="280" spans="2:7" x14ac:dyDescent="0.25">
      <c r="B280" s="109" t="s">
        <v>6</v>
      </c>
      <c r="C280" s="110" t="s">
        <v>41</v>
      </c>
      <c r="D280" s="110" t="s">
        <v>42</v>
      </c>
      <c r="E280" s="110" t="s">
        <v>43</v>
      </c>
      <c r="F280" s="110" t="s">
        <v>44</v>
      </c>
      <c r="G280" s="110" t="s">
        <v>45</v>
      </c>
    </row>
    <row r="281" spans="2:7" x14ac:dyDescent="0.25">
      <c r="B281" s="126" t="s">
        <v>46</v>
      </c>
      <c r="C281" s="22">
        <f>COUNTIF(REPOSIÇÃO!O:O,"C")</f>
        <v>125</v>
      </c>
      <c r="D281" s="22">
        <f>COUNTIF(REPOSIÇÃO!O:O,"NC")</f>
        <v>91</v>
      </c>
      <c r="E281" s="22">
        <f>COUNTIF(REPOSIÇÃO!O:O,"SF")</f>
        <v>3</v>
      </c>
      <c r="F281" s="71">
        <f>IFERROR(C281/(C281+D281+E281),"-")</f>
        <v>0.57077625570776258</v>
      </c>
      <c r="G281" s="74">
        <f>IFERROR(100%-F281,"-")</f>
        <v>0.42922374429223742</v>
      </c>
    </row>
    <row r="282" spans="2:7" x14ac:dyDescent="0.25">
      <c r="B282" s="126" t="s">
        <v>47</v>
      </c>
      <c r="C282" s="22">
        <f>COUNTIF(REPOSIÇÃO!Q:Q,"C")</f>
        <v>120</v>
      </c>
      <c r="D282" s="22">
        <f>COUNTIF(REPOSIÇÃO!Q:Q,"NC")</f>
        <v>91</v>
      </c>
      <c r="E282" s="22">
        <f>COUNTIF(REPOSIÇÃO!Q:Q,"SF")</f>
        <v>8</v>
      </c>
      <c r="F282" s="71">
        <f t="shared" ref="F282:F288" si="74">IFERROR(C282/(C282+D282+E282),"-")</f>
        <v>0.54794520547945202</v>
      </c>
      <c r="G282" s="74">
        <f t="shared" ref="G282:G288" si="75">IFERROR(100%-F282,"-")</f>
        <v>0.45205479452054798</v>
      </c>
    </row>
    <row r="283" spans="2:7" x14ac:dyDescent="0.25">
      <c r="B283" s="126" t="s">
        <v>68</v>
      </c>
      <c r="C283" s="22">
        <f>COUNTIF(REPOSIÇÃO!S:S,"C")</f>
        <v>117</v>
      </c>
      <c r="D283" s="22">
        <f>COUNTIF(REPOSIÇÃO!S:S,"NC")</f>
        <v>94</v>
      </c>
      <c r="E283" s="22">
        <f>COUNTIF(REPOSIÇÃO!S:S,"SF")</f>
        <v>8</v>
      </c>
      <c r="F283" s="71">
        <f t="shared" si="74"/>
        <v>0.53424657534246578</v>
      </c>
      <c r="G283" s="74">
        <f t="shared" si="75"/>
        <v>0.46575342465753422</v>
      </c>
    </row>
    <row r="284" spans="2:7" x14ac:dyDescent="0.25">
      <c r="B284" s="126" t="s">
        <v>69</v>
      </c>
      <c r="C284" s="22">
        <f>COUNTIF(REPOSIÇÃO!U:U,"C")</f>
        <v>117</v>
      </c>
      <c r="D284" s="22">
        <f>COUNTIF(REPOSIÇÃO!U:U,"NC")</f>
        <v>91</v>
      </c>
      <c r="E284" s="22">
        <f>COUNTIF(REPOSIÇÃO!U:U,"SF")</f>
        <v>10</v>
      </c>
      <c r="F284" s="71">
        <f t="shared" si="74"/>
        <v>0.53669724770642202</v>
      </c>
      <c r="G284" s="74">
        <f t="shared" si="75"/>
        <v>0.46330275229357798</v>
      </c>
    </row>
    <row r="285" spans="2:7" x14ac:dyDescent="0.25">
      <c r="B285" s="126" t="s">
        <v>70</v>
      </c>
      <c r="C285" s="22">
        <f>COUNTIF(REPOSIÇÃO!W:W,"C")</f>
        <v>119</v>
      </c>
      <c r="D285" s="22">
        <f>COUNTIF(REPOSIÇÃO!W:W,"NC")</f>
        <v>92</v>
      </c>
      <c r="E285" s="22">
        <f>COUNTIF(REPOSIÇÃO!W:W,"SF")</f>
        <v>8</v>
      </c>
      <c r="F285" s="71">
        <f t="shared" si="74"/>
        <v>0.54337899543378998</v>
      </c>
      <c r="G285" s="74">
        <f t="shared" si="75"/>
        <v>0.45662100456621002</v>
      </c>
    </row>
    <row r="286" spans="2:7" x14ac:dyDescent="0.25">
      <c r="B286" s="126" t="s">
        <v>71</v>
      </c>
      <c r="C286" s="22">
        <f>COUNTIF(REPOSIÇÃO!Y:Y,"C")</f>
        <v>111</v>
      </c>
      <c r="D286" s="22">
        <f>COUNTIF(REPOSIÇÃO!Y:Y,"NC")</f>
        <v>91</v>
      </c>
      <c r="E286" s="22">
        <f>COUNTIF(REPOSIÇÃO!Y:Y,"SF")</f>
        <v>13</v>
      </c>
      <c r="F286" s="71">
        <f t="shared" si="74"/>
        <v>0.51627906976744187</v>
      </c>
      <c r="G286" s="74">
        <f t="shared" si="75"/>
        <v>0.48372093023255813</v>
      </c>
    </row>
    <row r="287" spans="2:7" x14ac:dyDescent="0.25">
      <c r="B287" s="126" t="s">
        <v>72</v>
      </c>
      <c r="C287" s="22">
        <f>COUNTIF(REPOSIÇÃO!AA:AA,"C")</f>
        <v>116</v>
      </c>
      <c r="D287" s="22">
        <f>COUNTIF(REPOSIÇÃO!AA:AA,"NC")</f>
        <v>92</v>
      </c>
      <c r="E287" s="22">
        <f>COUNTIF(REPOSIÇÃO!AA:AA,"SF")</f>
        <v>10</v>
      </c>
      <c r="F287" s="71">
        <f t="shared" ref="F287" si="76">IFERROR(C287/(C287+D287+E287),"-")</f>
        <v>0.5321100917431193</v>
      </c>
      <c r="G287" s="74">
        <f t="shared" ref="G287" si="77">IFERROR(100%-F287,"-")</f>
        <v>0.4678899082568807</v>
      </c>
    </row>
    <row r="288" spans="2:7" x14ac:dyDescent="0.25">
      <c r="B288" s="126" t="s">
        <v>53</v>
      </c>
      <c r="C288" s="22">
        <f>COUNTIF(REPOSIÇÃO!AC:AC,"C")</f>
        <v>118</v>
      </c>
      <c r="D288" s="22">
        <f>COUNTIF(REPOSIÇÃO!AC:AC,"NC")</f>
        <v>95</v>
      </c>
      <c r="E288" s="22">
        <f>COUNTIF(REPOSIÇÃO!AC:AC,"SF")</f>
        <v>5</v>
      </c>
      <c r="F288" s="71">
        <f t="shared" si="74"/>
        <v>0.54128440366972475</v>
      </c>
      <c r="G288" s="74">
        <f t="shared" si="75"/>
        <v>0.45871559633027525</v>
      </c>
    </row>
    <row r="291" spans="2:7" x14ac:dyDescent="0.25">
      <c r="B291" s="309" t="s">
        <v>54</v>
      </c>
      <c r="C291" s="311"/>
      <c r="D291" s="311"/>
      <c r="E291" s="311"/>
      <c r="F291" s="311"/>
      <c r="G291" s="312"/>
    </row>
    <row r="292" spans="2:7" ht="36" x14ac:dyDescent="0.25">
      <c r="B292" s="119" t="s">
        <v>55</v>
      </c>
      <c r="C292" s="120" t="s">
        <v>56</v>
      </c>
      <c r="D292" s="120" t="s">
        <v>41</v>
      </c>
      <c r="E292" s="120" t="s">
        <v>42</v>
      </c>
      <c r="F292" s="120" t="s">
        <v>44</v>
      </c>
      <c r="G292" s="120" t="s">
        <v>57</v>
      </c>
    </row>
    <row r="293" spans="2:7" x14ac:dyDescent="0.25">
      <c r="B293" s="231" t="s">
        <v>4620</v>
      </c>
      <c r="C293" s="82">
        <f t="shared" ref="C293:C295" si="78">D293+E293</f>
        <v>77</v>
      </c>
      <c r="D293" s="77">
        <f>COUNTIFS(REPOSIÇÃO!N:N,'DADOS - GOPOÚVA'!B293,REPOSIÇÃO!AE:AE,"C")</f>
        <v>9</v>
      </c>
      <c r="E293" s="77">
        <f>COUNTIFS(REPOSIÇÃO!N:N,'DADOS - GOPOÚVA'!B293,REPOSIÇÃO!AE:AE,"NC")</f>
        <v>68</v>
      </c>
      <c r="F293" s="78">
        <f t="shared" ref="F293:F295" si="79">IFERROR(D293/C293,"-")</f>
        <v>0.11688311688311688</v>
      </c>
      <c r="G293" s="67">
        <f t="shared" ref="G293:G295" si="80">IFERROR(100%-F293,"-")</f>
        <v>0.88311688311688308</v>
      </c>
    </row>
    <row r="294" spans="2:7" x14ac:dyDescent="0.25">
      <c r="B294" s="231" t="s">
        <v>4613</v>
      </c>
      <c r="C294" s="82">
        <f t="shared" si="78"/>
        <v>85</v>
      </c>
      <c r="D294" s="77">
        <f>COUNTIFS(REPOSIÇÃO!N:N,'DADOS - GOPOÚVA'!B294,REPOSIÇÃO!AE:AE,"C")</f>
        <v>80</v>
      </c>
      <c r="E294" s="77">
        <f>COUNTIFS(REPOSIÇÃO!N:N,'DADOS - GOPOÚVA'!B294,REPOSIÇÃO!AE:AE,"NC")</f>
        <v>5</v>
      </c>
      <c r="F294" s="78">
        <f t="shared" si="79"/>
        <v>0.94117647058823528</v>
      </c>
      <c r="G294" s="67">
        <f t="shared" si="80"/>
        <v>5.8823529411764719E-2</v>
      </c>
    </row>
    <row r="295" spans="2:7" x14ac:dyDescent="0.25">
      <c r="B295" s="231" t="s">
        <v>4604</v>
      </c>
      <c r="C295" s="82">
        <f t="shared" si="78"/>
        <v>55</v>
      </c>
      <c r="D295" s="77">
        <f>COUNTIFS(REPOSIÇÃO!N:N,'DADOS - GOPOÚVA'!B295,REPOSIÇÃO!AE:AE,"C")</f>
        <v>33</v>
      </c>
      <c r="E295" s="77">
        <f>COUNTIFS(REPOSIÇÃO!N:N,'DADOS - GOPOÚVA'!B295,REPOSIÇÃO!AE:AE,"NC")</f>
        <v>22</v>
      </c>
      <c r="F295" s="78">
        <f t="shared" si="79"/>
        <v>0.6</v>
      </c>
      <c r="G295" s="67">
        <f t="shared" si="80"/>
        <v>0.4</v>
      </c>
    </row>
    <row r="298" spans="2:7" x14ac:dyDescent="0.25">
      <c r="B298" s="309" t="s">
        <v>58</v>
      </c>
      <c r="C298" s="311"/>
      <c r="D298" s="311"/>
      <c r="E298" s="311"/>
      <c r="F298" s="311"/>
      <c r="G298" s="312"/>
    </row>
    <row r="299" spans="2:7" ht="36" x14ac:dyDescent="0.25">
      <c r="B299" s="119" t="s">
        <v>55</v>
      </c>
      <c r="C299" s="120" t="s">
        <v>56</v>
      </c>
      <c r="D299" s="120" t="s">
        <v>41</v>
      </c>
      <c r="E299" s="120" t="s">
        <v>42</v>
      </c>
      <c r="F299" s="120" t="s">
        <v>44</v>
      </c>
      <c r="G299" s="120" t="s">
        <v>57</v>
      </c>
    </row>
    <row r="300" spans="2:7" x14ac:dyDescent="0.25">
      <c r="B300" s="231" t="s">
        <v>4620</v>
      </c>
      <c r="C300" s="82">
        <f t="shared" ref="C300" si="81">D300+E300</f>
        <v>77</v>
      </c>
      <c r="D300" s="79">
        <f>COUNTIFS(REPOSIÇÃO!N:N,'DADOS - GOPOÚVA'!B300,REPOSIÇÃO!AF:AF,"C")</f>
        <v>9</v>
      </c>
      <c r="E300" s="80">
        <f>COUNTIFS(REPOSIÇÃO!N:N,'DADOS - GOPOÚVA'!B300,REPOSIÇÃO!AF:AF,"NC")</f>
        <v>68</v>
      </c>
      <c r="F300" s="81">
        <f t="shared" ref="F300" si="82">IFERROR(D300/C300,"-")</f>
        <v>0.11688311688311688</v>
      </c>
      <c r="G300" s="67">
        <f t="shared" ref="G300" si="83">IFERROR(100%-F300,"-")</f>
        <v>0.88311688311688308</v>
      </c>
    </row>
    <row r="301" spans="2:7" x14ac:dyDescent="0.25">
      <c r="B301" s="231" t="s">
        <v>4613</v>
      </c>
      <c r="C301" s="82">
        <f t="shared" ref="C301:C302" si="84">D301+E301</f>
        <v>87</v>
      </c>
      <c r="D301" s="79">
        <f>COUNTIFS(REPOSIÇÃO!N:N,'DADOS - GOPOÚVA'!B301,REPOSIÇÃO!AF:AF,"C")</f>
        <v>67</v>
      </c>
      <c r="E301" s="80">
        <f>COUNTIFS(REPOSIÇÃO!N:N,'DADOS - GOPOÚVA'!B301,REPOSIÇÃO!AF:AF,"NC")</f>
        <v>20</v>
      </c>
      <c r="F301" s="81">
        <f t="shared" ref="F301:F302" si="85">IFERROR(D301/C301,"-")</f>
        <v>0.77011494252873558</v>
      </c>
      <c r="G301" s="67">
        <f t="shared" ref="G301:G302" si="86">IFERROR(100%-F301,"-")</f>
        <v>0.22988505747126442</v>
      </c>
    </row>
    <row r="302" spans="2:7" x14ac:dyDescent="0.25">
      <c r="B302" s="231" t="s">
        <v>4604</v>
      </c>
      <c r="C302" s="82">
        <f t="shared" si="84"/>
        <v>55</v>
      </c>
      <c r="D302" s="79">
        <f>COUNTIFS(REPOSIÇÃO!N:N,'DADOS - GOPOÚVA'!B302,REPOSIÇÃO!AF:AF,"C")</f>
        <v>30</v>
      </c>
      <c r="E302" s="80">
        <f>COUNTIFS(REPOSIÇÃO!N:N,'DADOS - GOPOÚVA'!B302,REPOSIÇÃO!AF:AF,"NC")</f>
        <v>25</v>
      </c>
      <c r="F302" s="81">
        <f t="shared" si="85"/>
        <v>0.54545454545454541</v>
      </c>
      <c r="G302" s="67">
        <f t="shared" si="86"/>
        <v>0.45454545454545459</v>
      </c>
    </row>
    <row r="304" spans="2:7" x14ac:dyDescent="0.25">
      <c r="B304" s="297" t="s">
        <v>73</v>
      </c>
      <c r="C304" s="297"/>
      <c r="D304" s="297"/>
      <c r="E304" s="297"/>
      <c r="F304" s="297"/>
      <c r="G304" s="297"/>
    </row>
    <row r="306" spans="2:6" x14ac:dyDescent="0.25">
      <c r="B306" s="176" t="s">
        <v>74</v>
      </c>
      <c r="C306" s="176" t="s">
        <v>31</v>
      </c>
      <c r="D306" s="176" t="s">
        <v>37</v>
      </c>
      <c r="E306" s="176" t="s">
        <v>36</v>
      </c>
      <c r="F306" s="176" t="s">
        <v>75</v>
      </c>
    </row>
    <row r="307" spans="2:6" x14ac:dyDescent="0.25">
      <c r="B307" s="177" t="s">
        <v>76</v>
      </c>
      <c r="C307" s="69">
        <f>D307+E307</f>
        <v>166</v>
      </c>
      <c r="D307" s="92">
        <f>COUNTIFS(ÁGUA!D:D,B307,ÁGUA!AF:AF,"c")</f>
        <v>132</v>
      </c>
      <c r="E307" s="92">
        <f>COUNTIFS(ÁGUA!D:D,B307,ÁGUA!AF:AF,"nc")</f>
        <v>34</v>
      </c>
      <c r="F307" s="74">
        <f>IFERROR(E307/(E307+D307),"0%")</f>
        <v>0.20481927710843373</v>
      </c>
    </row>
    <row r="308" spans="2:6" x14ac:dyDescent="0.25">
      <c r="B308" s="177" t="s">
        <v>77</v>
      </c>
      <c r="C308" s="69">
        <f t="shared" ref="C308:C311" si="87">D308+E308</f>
        <v>30</v>
      </c>
      <c r="D308" s="92">
        <f>COUNTIFS(ÁGUA!D:D,B308,ÁGUA!AF:AF,"c")</f>
        <v>27</v>
      </c>
      <c r="E308" s="92">
        <f>COUNTIFS(ÁGUA!D:D,B308,ÁGUA!AF:AF,"nc")</f>
        <v>3</v>
      </c>
      <c r="F308" s="74">
        <f t="shared" ref="F308:F311" si="88">IFERROR(E308/(E308+D308),"0%")</f>
        <v>0.1</v>
      </c>
    </row>
    <row r="309" spans="2:6" x14ac:dyDescent="0.25">
      <c r="B309" s="177" t="s">
        <v>78</v>
      </c>
      <c r="C309" s="69">
        <f t="shared" si="87"/>
        <v>48</v>
      </c>
      <c r="D309" s="92">
        <f>COUNTIFS(ÁGUA!D:D,B309,ÁGUA!AF:AF,"c")</f>
        <v>34</v>
      </c>
      <c r="E309" s="92">
        <f>COUNTIFS(ÁGUA!D:D,B309,ÁGUA!AF:AF,"nc")</f>
        <v>14</v>
      </c>
      <c r="F309" s="74">
        <f t="shared" si="88"/>
        <v>0.29166666666666669</v>
      </c>
    </row>
    <row r="310" spans="2:6" x14ac:dyDescent="0.25">
      <c r="B310" s="177" t="s">
        <v>79</v>
      </c>
      <c r="C310" s="69">
        <f t="shared" si="87"/>
        <v>3</v>
      </c>
      <c r="D310" s="92">
        <f>COUNTIFS(ÁGUA!D:D,B310,ÁGUA!AF:AF,"c")</f>
        <v>2</v>
      </c>
      <c r="E310" s="92">
        <f>COUNTIFS(ÁGUA!D:D,B310,ÁGUA!AF:AF,"nc")</f>
        <v>1</v>
      </c>
      <c r="F310" s="74">
        <f t="shared" si="88"/>
        <v>0.33333333333333331</v>
      </c>
    </row>
    <row r="311" spans="2:6" x14ac:dyDescent="0.25">
      <c r="B311" s="177" t="s">
        <v>80</v>
      </c>
      <c r="C311" s="69">
        <f t="shared" si="87"/>
        <v>199</v>
      </c>
      <c r="D311" s="92">
        <f>COUNTIFS(ÁGUA!D:D,B311,ÁGUA!AF:AF,"c")</f>
        <v>192</v>
      </c>
      <c r="E311" s="92">
        <f>COUNTIFS(ÁGUA!D:D,B311,ÁGUA!AF:AF,"nc")</f>
        <v>7</v>
      </c>
      <c r="F311" s="74">
        <f t="shared" si="88"/>
        <v>3.5175879396984924E-2</v>
      </c>
    </row>
    <row r="313" spans="2:6" x14ac:dyDescent="0.25">
      <c r="B313" s="176" t="s">
        <v>81</v>
      </c>
      <c r="C313" s="176" t="s">
        <v>31</v>
      </c>
      <c r="D313" s="176" t="s">
        <v>37</v>
      </c>
      <c r="E313" s="176" t="s">
        <v>36</v>
      </c>
      <c r="F313" s="176" t="s">
        <v>75</v>
      </c>
    </row>
    <row r="314" spans="2:6" x14ac:dyDescent="0.25">
      <c r="B314" s="159" t="s">
        <v>82</v>
      </c>
      <c r="C314" s="69">
        <f>D314+E314</f>
        <v>3</v>
      </c>
      <c r="D314" s="92">
        <f>COUNTIFS(ÁGUA!C:C,B314,ÁGUA!AF:AF,"c")</f>
        <v>1</v>
      </c>
      <c r="E314" s="92">
        <f>COUNTIFS(ÁGUA!C:C,B314,ÁGUA!AF:AF,"nc")</f>
        <v>2</v>
      </c>
      <c r="F314" s="74">
        <f>IFERROR(E314/(E314+D314),"0%")</f>
        <v>0.66666666666666663</v>
      </c>
    </row>
    <row r="315" spans="2:6" x14ac:dyDescent="0.25">
      <c r="B315" s="101" t="s">
        <v>83</v>
      </c>
      <c r="C315" s="69">
        <f t="shared" ref="C315:C338" si="89">D315+E315</f>
        <v>22</v>
      </c>
      <c r="D315" s="92">
        <f>COUNTIFS(ÁGUA!C:C,B315,ÁGUA!AF:AF,"c")</f>
        <v>15</v>
      </c>
      <c r="E315" s="92">
        <f>COUNTIFS(ÁGUA!C:C,B315,ÁGUA!AF:AF,"nc")</f>
        <v>7</v>
      </c>
      <c r="F315" s="74">
        <f t="shared" ref="F315:F338" si="90">IFERROR(E315/(E315+D315),"0%")</f>
        <v>0.31818181818181818</v>
      </c>
    </row>
    <row r="316" spans="2:6" x14ac:dyDescent="0.25">
      <c r="B316" s="159" t="s">
        <v>84</v>
      </c>
      <c r="C316" s="69">
        <f t="shared" si="89"/>
        <v>0</v>
      </c>
      <c r="D316" s="92">
        <f>COUNTIFS(ÁGUA!C:C,B316,ÁGUA!AF:AF,"c")</f>
        <v>0</v>
      </c>
      <c r="E316" s="92">
        <f>COUNTIFS(ÁGUA!C:C,B316,ÁGUA!AF:AF,"nc")</f>
        <v>0</v>
      </c>
      <c r="F316" s="74" t="str">
        <f t="shared" si="90"/>
        <v>0%</v>
      </c>
    </row>
    <row r="317" spans="2:6" x14ac:dyDescent="0.25">
      <c r="B317" s="159" t="s">
        <v>85</v>
      </c>
      <c r="C317" s="69">
        <f t="shared" si="89"/>
        <v>29</v>
      </c>
      <c r="D317" s="92">
        <f>COUNTIFS(ÁGUA!C:C,B317,ÁGUA!AF:AF,"c")</f>
        <v>22</v>
      </c>
      <c r="E317" s="92">
        <f>COUNTIFS(ÁGUA!C:C,B317,ÁGUA!AF:AF,"nc")</f>
        <v>7</v>
      </c>
      <c r="F317" s="74">
        <f t="shared" si="90"/>
        <v>0.2413793103448276</v>
      </c>
    </row>
    <row r="318" spans="2:6" x14ac:dyDescent="0.25">
      <c r="B318" s="159" t="s">
        <v>86</v>
      </c>
      <c r="C318" s="69">
        <f t="shared" si="89"/>
        <v>0</v>
      </c>
      <c r="D318" s="92">
        <f>COUNTIFS(ÁGUA!C:C,B318,ÁGUA!AF:AF,"c")</f>
        <v>0</v>
      </c>
      <c r="E318" s="92">
        <f>COUNTIFS(ÁGUA!C:C,B318,ÁGUA!AF:AF,"nc")</f>
        <v>0</v>
      </c>
      <c r="F318" s="74" t="str">
        <f t="shared" si="90"/>
        <v>0%</v>
      </c>
    </row>
    <row r="319" spans="2:6" x14ac:dyDescent="0.25">
      <c r="B319" s="101" t="s">
        <v>87</v>
      </c>
      <c r="C319" s="69">
        <f t="shared" si="89"/>
        <v>0</v>
      </c>
      <c r="D319" s="92">
        <f>COUNTIFS(ÁGUA!C:C,B319,ÁGUA!AF:AF,"c")</f>
        <v>0</v>
      </c>
      <c r="E319" s="92">
        <f>COUNTIFS(ÁGUA!C:C,B319,ÁGUA!AF:AF,"nc")</f>
        <v>0</v>
      </c>
      <c r="F319" s="74" t="str">
        <f t="shared" si="90"/>
        <v>0%</v>
      </c>
    </row>
    <row r="320" spans="2:6" x14ac:dyDescent="0.25">
      <c r="B320" s="101" t="s">
        <v>88</v>
      </c>
      <c r="C320" s="69">
        <f t="shared" si="89"/>
        <v>8</v>
      </c>
      <c r="D320" s="92">
        <f>COUNTIFS(ÁGUA!C:C,B320,ÁGUA!AF:AF,"c")</f>
        <v>8</v>
      </c>
      <c r="E320" s="92">
        <f>COUNTIFS(ÁGUA!C:C,B320,ÁGUA!AF:AF,"nc")</f>
        <v>0</v>
      </c>
      <c r="F320" s="74">
        <f t="shared" si="90"/>
        <v>0</v>
      </c>
    </row>
    <row r="321" spans="2:6" x14ac:dyDescent="0.25">
      <c r="B321" s="159" t="s">
        <v>89</v>
      </c>
      <c r="C321" s="69">
        <f t="shared" si="89"/>
        <v>22</v>
      </c>
      <c r="D321" s="92">
        <f>COUNTIFS(ÁGUA!C:C,B321,ÁGUA!AF:AF,"c")</f>
        <v>19</v>
      </c>
      <c r="E321" s="92">
        <f>COUNTIFS(ÁGUA!C:C,B321,ÁGUA!AF:AF,"nc")</f>
        <v>3</v>
      </c>
      <c r="F321" s="74">
        <f t="shared" si="90"/>
        <v>0.13636363636363635</v>
      </c>
    </row>
    <row r="322" spans="2:6" x14ac:dyDescent="0.25">
      <c r="B322" s="159" t="s">
        <v>90</v>
      </c>
      <c r="C322" s="69">
        <f t="shared" si="89"/>
        <v>0</v>
      </c>
      <c r="D322" s="92">
        <f>COUNTIFS(ÁGUA!C:C,B322,ÁGUA!AF:AF,"c")</f>
        <v>0</v>
      </c>
      <c r="E322" s="92">
        <f>COUNTIFS(ÁGUA!C:C,B322,ÁGUA!AF:AF,"nc")</f>
        <v>0</v>
      </c>
      <c r="F322" s="74" t="str">
        <f t="shared" si="90"/>
        <v>0%</v>
      </c>
    </row>
    <row r="323" spans="2:6" x14ac:dyDescent="0.25">
      <c r="B323" s="101" t="s">
        <v>91</v>
      </c>
      <c r="C323" s="69">
        <f t="shared" si="89"/>
        <v>7</v>
      </c>
      <c r="D323" s="92">
        <f>COUNTIFS(ÁGUA!C:C,B323,ÁGUA!AF:AF,"c")</f>
        <v>6</v>
      </c>
      <c r="E323" s="92">
        <f>COUNTIFS(ÁGUA!C:C,B323,ÁGUA!AF:AF,"nc")</f>
        <v>1</v>
      </c>
      <c r="F323" s="74">
        <f t="shared" si="90"/>
        <v>0.14285714285714285</v>
      </c>
    </row>
    <row r="324" spans="2:6" x14ac:dyDescent="0.25">
      <c r="B324" s="179" t="s">
        <v>92</v>
      </c>
      <c r="C324" s="69">
        <f t="shared" si="89"/>
        <v>0</v>
      </c>
      <c r="D324" s="92">
        <f>COUNTIFS(ÁGUA!C:C,B324,ÁGUA!AF:AF,"c")</f>
        <v>0</v>
      </c>
      <c r="E324" s="92">
        <f>COUNTIFS(ÁGUA!C:C,B324,ÁGUA!AF:AF,"nc")</f>
        <v>0</v>
      </c>
      <c r="F324" s="74" t="str">
        <f t="shared" si="90"/>
        <v>0%</v>
      </c>
    </row>
    <row r="325" spans="2:6" x14ac:dyDescent="0.25">
      <c r="B325" s="159" t="s">
        <v>93</v>
      </c>
      <c r="C325" s="69">
        <f t="shared" si="89"/>
        <v>28</v>
      </c>
      <c r="D325" s="92">
        <f>COUNTIFS(ÁGUA!C:C,B325,ÁGUA!AF:AF,"c")</f>
        <v>24</v>
      </c>
      <c r="E325" s="92">
        <f>COUNTIFS(ÁGUA!C:C,B325,ÁGUA!AF:AF,"nc")</f>
        <v>4</v>
      </c>
      <c r="F325" s="74">
        <f t="shared" si="90"/>
        <v>0.14285714285714285</v>
      </c>
    </row>
    <row r="326" spans="2:6" x14ac:dyDescent="0.25">
      <c r="B326" s="101" t="s">
        <v>94</v>
      </c>
      <c r="C326" s="69">
        <f t="shared" si="89"/>
        <v>13</v>
      </c>
      <c r="D326" s="92">
        <f>COUNTIFS(ÁGUA!C:C,B326,ÁGUA!AF:AF,"c")</f>
        <v>11</v>
      </c>
      <c r="E326" s="92">
        <f>COUNTIFS(ÁGUA!C:C,B326,ÁGUA!AF:AF,"nc")</f>
        <v>2</v>
      </c>
      <c r="F326" s="74">
        <f t="shared" si="90"/>
        <v>0.15384615384615385</v>
      </c>
    </row>
    <row r="327" spans="2:6" x14ac:dyDescent="0.25">
      <c r="B327" s="101" t="s">
        <v>95</v>
      </c>
      <c r="C327" s="69">
        <f t="shared" si="89"/>
        <v>40</v>
      </c>
      <c r="D327" s="92">
        <f>COUNTIFS(ÁGUA!C:C,B327,ÁGUA!AF:AF,"c")</f>
        <v>33</v>
      </c>
      <c r="E327" s="92">
        <f>COUNTIFS(ÁGUA!C:C,B327,ÁGUA!AF:AF,"nc")</f>
        <v>7</v>
      </c>
      <c r="F327" s="74">
        <f t="shared" si="90"/>
        <v>0.17499999999999999</v>
      </c>
    </row>
    <row r="328" spans="2:6" x14ac:dyDescent="0.25">
      <c r="B328" s="101" t="s">
        <v>96</v>
      </c>
      <c r="C328" s="69">
        <f t="shared" si="89"/>
        <v>21</v>
      </c>
      <c r="D328" s="92">
        <f>COUNTIFS(ÁGUA!C:C,B328,ÁGUA!AF:AF,"c")</f>
        <v>17</v>
      </c>
      <c r="E328" s="92">
        <f>COUNTIFS(ÁGUA!C:C,B328,ÁGUA!AF:AF,"nc")</f>
        <v>4</v>
      </c>
      <c r="F328" s="74">
        <f t="shared" si="90"/>
        <v>0.19047619047619047</v>
      </c>
    </row>
    <row r="329" spans="2:6" x14ac:dyDescent="0.25">
      <c r="B329" s="101" t="s">
        <v>97</v>
      </c>
      <c r="C329" s="69">
        <f t="shared" si="89"/>
        <v>0</v>
      </c>
      <c r="D329" s="92">
        <f>COUNTIFS(ÁGUA!C:C,B329,ÁGUA!AF:AF,"c")</f>
        <v>0</v>
      </c>
      <c r="E329" s="92">
        <f>COUNTIFS(ÁGUA!C:C,B329,ÁGUA!AF:AF,"nc")</f>
        <v>0</v>
      </c>
      <c r="F329" s="74" t="str">
        <f t="shared" si="90"/>
        <v>0%</v>
      </c>
    </row>
    <row r="330" spans="2:6" x14ac:dyDescent="0.25">
      <c r="B330" s="101" t="s">
        <v>98</v>
      </c>
      <c r="C330" s="69">
        <f t="shared" si="89"/>
        <v>25</v>
      </c>
      <c r="D330" s="92">
        <f>COUNTIFS(ÁGUA!C:C,B330,ÁGUA!AF:AF,"c")</f>
        <v>22</v>
      </c>
      <c r="E330" s="92">
        <f>COUNTIFS(ÁGUA!C:C,B330,ÁGUA!AF:AF,"nc")</f>
        <v>3</v>
      </c>
      <c r="F330" s="74">
        <f t="shared" si="90"/>
        <v>0.12</v>
      </c>
    </row>
    <row r="331" spans="2:6" x14ac:dyDescent="0.25">
      <c r="B331" s="159" t="s">
        <v>99</v>
      </c>
      <c r="C331" s="69">
        <f t="shared" si="89"/>
        <v>18</v>
      </c>
      <c r="D331" s="92">
        <f>COUNTIFS(ÁGUA!C:C,B331,ÁGUA!AF:AF,"c")</f>
        <v>18</v>
      </c>
      <c r="E331" s="92">
        <f>COUNTIFS(ÁGUA!C:C,B331,ÁGUA!AF:AF,"nc")</f>
        <v>0</v>
      </c>
      <c r="F331" s="74">
        <f t="shared" si="90"/>
        <v>0</v>
      </c>
    </row>
    <row r="332" spans="2:6" x14ac:dyDescent="0.25">
      <c r="B332" s="101" t="s">
        <v>100</v>
      </c>
      <c r="C332" s="69">
        <f t="shared" si="89"/>
        <v>48</v>
      </c>
      <c r="D332" s="92">
        <f>COUNTIFS(ÁGUA!C:C,B332,ÁGUA!AF:AF,"c")</f>
        <v>34</v>
      </c>
      <c r="E332" s="92">
        <f>COUNTIFS(ÁGUA!C:C,B332,ÁGUA!AF:AF,"nc")</f>
        <v>14</v>
      </c>
      <c r="F332" s="74">
        <f t="shared" si="90"/>
        <v>0.29166666666666669</v>
      </c>
    </row>
    <row r="333" spans="2:6" x14ac:dyDescent="0.25">
      <c r="B333" s="159" t="s">
        <v>101</v>
      </c>
      <c r="C333" s="69">
        <f t="shared" si="89"/>
        <v>9</v>
      </c>
      <c r="D333" s="92">
        <f>COUNTIFS(ÁGUA!C:C,B333,ÁGUA!AF:AF,"c")</f>
        <v>9</v>
      </c>
      <c r="E333" s="92">
        <f>COUNTIFS(ÁGUA!C:C,B333,ÁGUA!AF:AF,"nc")</f>
        <v>0</v>
      </c>
      <c r="F333" s="74">
        <f t="shared" si="90"/>
        <v>0</v>
      </c>
    </row>
    <row r="334" spans="2:6" x14ac:dyDescent="0.25">
      <c r="B334" s="101" t="s">
        <v>102</v>
      </c>
      <c r="C334" s="69">
        <f t="shared" si="89"/>
        <v>49</v>
      </c>
      <c r="D334" s="92">
        <f>COUNTIFS(ÁGUA!C:C,B334,ÁGUA!AF:AF,"c")</f>
        <v>48</v>
      </c>
      <c r="E334" s="92">
        <f>COUNTIFS(ÁGUA!C:C,B334,ÁGUA!AF:AF,"nc")</f>
        <v>1</v>
      </c>
      <c r="F334" s="74">
        <f t="shared" si="90"/>
        <v>2.0408163265306121E-2</v>
      </c>
    </row>
    <row r="335" spans="2:6" x14ac:dyDescent="0.25">
      <c r="B335" s="159" t="s">
        <v>103</v>
      </c>
      <c r="C335" s="69">
        <f t="shared" si="89"/>
        <v>8</v>
      </c>
      <c r="D335" s="92">
        <f>COUNTIFS(ÁGUA!C:C,B335,ÁGUA!AF:AF,"c")</f>
        <v>8</v>
      </c>
      <c r="E335" s="92">
        <f>COUNTIFS(ÁGUA!C:C,B335,ÁGUA!AF:AF,"nc")</f>
        <v>0</v>
      </c>
      <c r="F335" s="74">
        <f t="shared" si="90"/>
        <v>0</v>
      </c>
    </row>
    <row r="336" spans="2:6" x14ac:dyDescent="0.25">
      <c r="B336" s="159" t="s">
        <v>104</v>
      </c>
      <c r="C336" s="69">
        <f t="shared" si="89"/>
        <v>13</v>
      </c>
      <c r="D336" s="92">
        <f>COUNTIFS(ÁGUA!C:C,B336,ÁGUA!AF:AF,"c")</f>
        <v>13</v>
      </c>
      <c r="E336" s="92">
        <f>COUNTIFS(ÁGUA!C:C,B336,ÁGUA!AF:AF,"nc")</f>
        <v>0</v>
      </c>
      <c r="F336" s="74">
        <f t="shared" si="90"/>
        <v>0</v>
      </c>
    </row>
    <row r="337" spans="2:6" x14ac:dyDescent="0.25">
      <c r="B337" s="159" t="s">
        <v>105</v>
      </c>
      <c r="C337" s="69">
        <f t="shared" si="89"/>
        <v>45</v>
      </c>
      <c r="D337" s="92">
        <f>COUNTIFS(ÁGUA!C:C,B337,ÁGUA!AF:AF,"c")</f>
        <v>44</v>
      </c>
      <c r="E337" s="92">
        <f>COUNTIFS(ÁGUA!C:C,B337,ÁGUA!AF:AF,"nc")</f>
        <v>1</v>
      </c>
      <c r="F337" s="74">
        <f t="shared" si="90"/>
        <v>2.2222222222222223E-2</v>
      </c>
    </row>
    <row r="338" spans="2:6" x14ac:dyDescent="0.25">
      <c r="B338" s="101" t="s">
        <v>106</v>
      </c>
      <c r="C338" s="69">
        <f t="shared" si="89"/>
        <v>25</v>
      </c>
      <c r="D338" s="92">
        <f>COUNTIFS(ÁGUA!C:C,B338,ÁGUA!AF:AF,"c")</f>
        <v>25</v>
      </c>
      <c r="E338" s="92">
        <f>COUNTIFS(ÁGUA!C:C,B338,ÁGUA!AF:AF,"nc")</f>
        <v>0</v>
      </c>
      <c r="F338" s="74">
        <f t="shared" si="90"/>
        <v>0</v>
      </c>
    </row>
    <row r="340" spans="2:6" x14ac:dyDescent="0.25">
      <c r="B340" s="176" t="s">
        <v>107</v>
      </c>
      <c r="C340" s="176" t="s">
        <v>31</v>
      </c>
      <c r="D340" s="176" t="s">
        <v>37</v>
      </c>
      <c r="E340" s="176" t="s">
        <v>36</v>
      </c>
      <c r="F340" s="176" t="s">
        <v>75</v>
      </c>
    </row>
    <row r="341" spans="2:6" x14ac:dyDescent="0.25">
      <c r="B341" s="180" t="s">
        <v>108</v>
      </c>
      <c r="C341" s="69">
        <f>D341+E341</f>
        <v>1</v>
      </c>
      <c r="D341" s="92">
        <f>COUNTIFS(ESGOTO!D:D,B341,ESGOTO!AF:AF,"c")</f>
        <v>1</v>
      </c>
      <c r="E341" s="92">
        <f>COUNTIFS(ESGOTO!D:D,B341,ESGOTO!AF:AF,"nc")</f>
        <v>0</v>
      </c>
      <c r="F341" s="74">
        <f>IFERROR(E341/(E341+D341),"0%")</f>
        <v>0</v>
      </c>
    </row>
    <row r="342" spans="2:6" x14ac:dyDescent="0.25">
      <c r="B342" s="180" t="s">
        <v>109</v>
      </c>
      <c r="C342" s="69">
        <f t="shared" ref="C342:C345" si="91">D342+E342</f>
        <v>0</v>
      </c>
      <c r="D342" s="92">
        <f>COUNTIFS(ESGOTO!D:D,B342,ESGOTO!AF:AF,"c")</f>
        <v>0</v>
      </c>
      <c r="E342" s="92">
        <f>COUNTIFS(ESGOTO!D:D,B342,ESGOTO!AF:AF,"nc")</f>
        <v>0</v>
      </c>
      <c r="F342" s="74" t="str">
        <f t="shared" ref="F342:F345" si="92">IFERROR(E342/(E342+D342),"0%")</f>
        <v>0%</v>
      </c>
    </row>
    <row r="343" spans="2:6" x14ac:dyDescent="0.25">
      <c r="B343" s="181" t="s">
        <v>110</v>
      </c>
      <c r="C343" s="69">
        <f t="shared" si="91"/>
        <v>13</v>
      </c>
      <c r="D343" s="92">
        <f>COUNTIFS(ESGOTO!D:D,B343,ESGOTO!AF:AF,"c")</f>
        <v>13</v>
      </c>
      <c r="E343" s="92">
        <f>COUNTIFS(ESGOTO!D:D,B343,ESGOTO!AF:AF,"nc")</f>
        <v>0</v>
      </c>
      <c r="F343" s="74">
        <f t="shared" si="92"/>
        <v>0</v>
      </c>
    </row>
    <row r="344" spans="2:6" x14ac:dyDescent="0.25">
      <c r="B344" s="180" t="s">
        <v>111</v>
      </c>
      <c r="C344" s="69">
        <f t="shared" si="91"/>
        <v>9</v>
      </c>
      <c r="D344" s="92">
        <f>COUNTIFS(ESGOTO!D:D,B344,ESGOTO!AF:AF,"c")</f>
        <v>3</v>
      </c>
      <c r="E344" s="92">
        <f>COUNTIFS(ESGOTO!D:D,B344,ESGOTO!AF:AF,"nc")</f>
        <v>6</v>
      </c>
      <c r="F344" s="74">
        <f t="shared" si="92"/>
        <v>0.66666666666666663</v>
      </c>
    </row>
    <row r="345" spans="2:6" x14ac:dyDescent="0.25">
      <c r="B345" s="180" t="s">
        <v>112</v>
      </c>
      <c r="C345" s="69">
        <f t="shared" si="91"/>
        <v>0</v>
      </c>
      <c r="D345" s="92">
        <f>COUNTIFS(ESGOTO!D:D,B345,ESGOTO!AF:AF,"c")</f>
        <v>0</v>
      </c>
      <c r="E345" s="92">
        <f>COUNTIFS(ESGOTO!D:D,B345,ESGOTO!AF:AF,"nc")</f>
        <v>0</v>
      </c>
      <c r="F345" s="74" t="str">
        <f t="shared" si="92"/>
        <v>0%</v>
      </c>
    </row>
    <row r="347" spans="2:6" x14ac:dyDescent="0.25">
      <c r="B347" s="176" t="s">
        <v>113</v>
      </c>
      <c r="C347" s="176" t="s">
        <v>31</v>
      </c>
      <c r="D347" s="176" t="s">
        <v>37</v>
      </c>
      <c r="E347" s="176" t="s">
        <v>36</v>
      </c>
      <c r="F347" s="176" t="s">
        <v>75</v>
      </c>
    </row>
    <row r="348" spans="2:6" x14ac:dyDescent="0.25">
      <c r="B348" s="178" t="s">
        <v>114</v>
      </c>
      <c r="C348" s="69">
        <f>D348+E348</f>
        <v>0</v>
      </c>
      <c r="D348" s="92">
        <f>COUNTIFS(ESGOTO!C:C,B348,ESGOTO!AF:AF,"c")</f>
        <v>0</v>
      </c>
      <c r="E348" s="92">
        <f>COUNTIFS(ESGOTO!C:C,B348,ESGOTO!AF:AF,"nc")</f>
        <v>0</v>
      </c>
      <c r="F348" s="74" t="str">
        <f>IFERROR(E348/(E348+D348),"0%")</f>
        <v>0%</v>
      </c>
    </row>
    <row r="349" spans="2:6" x14ac:dyDescent="0.25">
      <c r="B349" s="142" t="s">
        <v>115</v>
      </c>
      <c r="C349" s="69">
        <f t="shared" ref="C349:C356" si="93">D349+E349</f>
        <v>0</v>
      </c>
      <c r="D349" s="92">
        <f>COUNTIFS(ESGOTO!C:C,B349,ESGOTO!AF:AF,"c")</f>
        <v>0</v>
      </c>
      <c r="E349" s="92">
        <f>COUNTIFS(ESGOTO!C:C,B349,ESGOTO!AF:AF,"nc")</f>
        <v>0</v>
      </c>
      <c r="F349" s="74" t="str">
        <f t="shared" ref="F349:F356" si="94">IFERROR(E349/(E349+D349),"0%")</f>
        <v>0%</v>
      </c>
    </row>
    <row r="350" spans="2:6" x14ac:dyDescent="0.25">
      <c r="B350" s="178" t="s">
        <v>116</v>
      </c>
      <c r="C350" s="69">
        <f t="shared" si="93"/>
        <v>0</v>
      </c>
      <c r="D350" s="92">
        <f>COUNTIFS(ESGOTO!C:C,B350,ESGOTO!AF:AF,"c")</f>
        <v>0</v>
      </c>
      <c r="E350" s="92">
        <f>COUNTIFS(ESGOTO!C:C,B350,ESGOTO!AF:AF,"nc")</f>
        <v>0</v>
      </c>
      <c r="F350" s="74" t="str">
        <f t="shared" si="94"/>
        <v>0%</v>
      </c>
    </row>
    <row r="351" spans="2:6" x14ac:dyDescent="0.25">
      <c r="B351" s="60" t="s">
        <v>117</v>
      </c>
      <c r="C351" s="69">
        <f t="shared" si="93"/>
        <v>0</v>
      </c>
      <c r="D351" s="92">
        <f>COUNTIFS(ESGOTO!C:C,B351,ESGOTO!AF:AF,"c")</f>
        <v>0</v>
      </c>
      <c r="E351" s="92">
        <f>COUNTIFS(ESGOTO!C:C,B351,ESGOTO!AF:AF,"nc")</f>
        <v>0</v>
      </c>
      <c r="F351" s="74" t="str">
        <f t="shared" si="94"/>
        <v>0%</v>
      </c>
    </row>
    <row r="352" spans="2:6" x14ac:dyDescent="0.25">
      <c r="B352" s="178" t="s">
        <v>118</v>
      </c>
      <c r="C352" s="69">
        <f t="shared" si="93"/>
        <v>0</v>
      </c>
      <c r="D352" s="92">
        <f>COUNTIFS(ESGOTO!C:C,B352,ESGOTO!AF:AF,"c")</f>
        <v>0</v>
      </c>
      <c r="E352" s="92">
        <f>COUNTIFS(ESGOTO!C:C,B352,ESGOTO!AF:AF,"nc")</f>
        <v>0</v>
      </c>
      <c r="F352" s="74" t="str">
        <f t="shared" si="94"/>
        <v>0%</v>
      </c>
    </row>
    <row r="353" spans="2:6" x14ac:dyDescent="0.25">
      <c r="B353" s="60" t="s">
        <v>119</v>
      </c>
      <c r="C353" s="69">
        <f t="shared" si="93"/>
        <v>0</v>
      </c>
      <c r="D353" s="92">
        <f>COUNTIFS(ESGOTO!C:C,B353,ESGOTO!AF:AF,"c")</f>
        <v>0</v>
      </c>
      <c r="E353" s="92">
        <f>COUNTIFS(ESGOTO!C:C,B353,ESGOTO!AF:AF,"nc")</f>
        <v>0</v>
      </c>
      <c r="F353" s="74" t="str">
        <f t="shared" si="94"/>
        <v>0%</v>
      </c>
    </row>
    <row r="354" spans="2:6" x14ac:dyDescent="0.25">
      <c r="B354" s="142" t="s">
        <v>120</v>
      </c>
      <c r="C354" s="69">
        <f t="shared" si="93"/>
        <v>9</v>
      </c>
      <c r="D354" s="92">
        <f>COUNTIFS(ESGOTO!C:C,B354,ESGOTO!AF:AF,"c")</f>
        <v>3</v>
      </c>
      <c r="E354" s="92">
        <f>COUNTIFS(ESGOTO!C:C,B354,ESGOTO!AF:AF,"nc")</f>
        <v>6</v>
      </c>
      <c r="F354" s="74">
        <f t="shared" si="94"/>
        <v>0.66666666666666663</v>
      </c>
    </row>
    <row r="355" spans="2:6" x14ac:dyDescent="0.25">
      <c r="B355" s="60" t="s">
        <v>121</v>
      </c>
      <c r="C355" s="69">
        <f t="shared" si="93"/>
        <v>2</v>
      </c>
      <c r="D355" s="92">
        <f>COUNTIFS(ESGOTO!C:C,B355,ESGOTO!AF:AF,"c")</f>
        <v>2</v>
      </c>
      <c r="E355" s="92">
        <f>COUNTIFS(ESGOTO!C:C,B355,ESGOTO!AF:AF,"nc")</f>
        <v>0</v>
      </c>
      <c r="F355" s="74">
        <f t="shared" si="94"/>
        <v>0</v>
      </c>
    </row>
    <row r="356" spans="2:6" x14ac:dyDescent="0.25">
      <c r="B356" s="142" t="s">
        <v>122</v>
      </c>
      <c r="C356" s="69">
        <f t="shared" si="93"/>
        <v>1</v>
      </c>
      <c r="D356" s="92">
        <f>COUNTIFS(ESGOTO!C:C,B356,ESGOTO!AF:AF,"c")</f>
        <v>1</v>
      </c>
      <c r="E356" s="92">
        <f>COUNTIFS(ESGOTO!C:C,B356,ESGOTO!AF:AF,"nc")</f>
        <v>0</v>
      </c>
      <c r="F356" s="74">
        <f t="shared" si="94"/>
        <v>0</v>
      </c>
    </row>
    <row r="359" spans="2:6" x14ac:dyDescent="0.25">
      <c r="B359" s="176" t="s">
        <v>123</v>
      </c>
      <c r="C359" s="176" t="s">
        <v>31</v>
      </c>
      <c r="D359" s="176" t="s">
        <v>37</v>
      </c>
      <c r="E359" s="176" t="s">
        <v>36</v>
      </c>
      <c r="F359" s="176" t="s">
        <v>75</v>
      </c>
    </row>
    <row r="360" spans="2:6" x14ac:dyDescent="0.25">
      <c r="B360" s="182" t="s">
        <v>63</v>
      </c>
      <c r="C360" s="69">
        <f>D360+E360</f>
        <v>174</v>
      </c>
      <c r="D360" s="92">
        <f>COUNTIFS(CAVALETE!D:D,B360,CAVALETE!Z:Z,"c")</f>
        <v>164</v>
      </c>
      <c r="E360" s="92">
        <f>COUNTIFS(CAVALETE!D:D,B360,CAVALETE!Z:Z,"nc")</f>
        <v>10</v>
      </c>
      <c r="F360" s="74">
        <f>IFERROR(E360/(E360+D360),"0%")</f>
        <v>5.7471264367816091E-2</v>
      </c>
    </row>
    <row r="361" spans="2:6" x14ac:dyDescent="0.25">
      <c r="B361" s="182" t="s">
        <v>124</v>
      </c>
      <c r="C361" s="69">
        <f>D361+E361</f>
        <v>177</v>
      </c>
      <c r="D361" s="92">
        <f>COUNTIFS(CAVALETE!D:D,B361,CAVALETE!Z:Z,"c")</f>
        <v>164</v>
      </c>
      <c r="E361" s="92">
        <f>COUNTIFS(CAVALETE!D:D,B361,CAVALETE!Z:Z,"nc")</f>
        <v>13</v>
      </c>
      <c r="F361" s="74">
        <f>IFERROR(E361/(E361+D361),"0%")</f>
        <v>7.3446327683615822E-2</v>
      </c>
    </row>
    <row r="363" spans="2:6" x14ac:dyDescent="0.25">
      <c r="B363" s="176" t="s">
        <v>125</v>
      </c>
      <c r="C363" s="176" t="s">
        <v>31</v>
      </c>
      <c r="D363" s="176" t="s">
        <v>37</v>
      </c>
      <c r="E363" s="176" t="s">
        <v>36</v>
      </c>
      <c r="F363" s="176" t="s">
        <v>75</v>
      </c>
    </row>
    <row r="364" spans="2:6" x14ac:dyDescent="0.25">
      <c r="B364" s="60" t="s">
        <v>126</v>
      </c>
      <c r="C364" s="69">
        <f>D364+E364</f>
        <v>6</v>
      </c>
      <c r="D364" s="69">
        <f>COUNTIFS(CAVALETE!C:C,B364,CAVALETE!Z:Z,"c")</f>
        <v>3</v>
      </c>
      <c r="E364" s="69">
        <f>COUNTIFS(CAVALETE!C:C,B364,CAVALETE!Z:Z,"nc")</f>
        <v>3</v>
      </c>
      <c r="F364" s="74">
        <f>IFERROR(E364/(E364+D364),"0%")</f>
        <v>0.5</v>
      </c>
    </row>
    <row r="365" spans="2:6" x14ac:dyDescent="0.25">
      <c r="B365" s="60" t="s">
        <v>127</v>
      </c>
      <c r="C365" s="69">
        <f t="shared" ref="C365:C373" si="95">D365+E365</f>
        <v>152</v>
      </c>
      <c r="D365" s="69">
        <f>COUNTIFS(CAVALETE!C:C,B365,CAVALETE!Z:Z,"c")</f>
        <v>145</v>
      </c>
      <c r="E365" s="69">
        <f>COUNTIFS(CAVALETE!C:C,B365,CAVALETE!Z:Z,"nc")</f>
        <v>7</v>
      </c>
      <c r="F365" s="74">
        <f t="shared" ref="F365:F373" si="96">IFERROR(E365/(E365+D365),"0%")</f>
        <v>4.6052631578947366E-2</v>
      </c>
    </row>
    <row r="366" spans="2:6" x14ac:dyDescent="0.25">
      <c r="B366" s="159" t="s">
        <v>128</v>
      </c>
      <c r="C366" s="69">
        <f t="shared" si="95"/>
        <v>12</v>
      </c>
      <c r="D366" s="69">
        <f>COUNTIFS(CAVALETE!C:C,B366,CAVALETE!Z:Z,"c")</f>
        <v>12</v>
      </c>
      <c r="E366" s="69">
        <f>COUNTIFS(CAVALETE!C:C,B366,CAVALETE!Z:Z,"nc")</f>
        <v>0</v>
      </c>
      <c r="F366" s="74">
        <f t="shared" si="96"/>
        <v>0</v>
      </c>
    </row>
    <row r="367" spans="2:6" x14ac:dyDescent="0.25">
      <c r="B367" s="60" t="s">
        <v>129</v>
      </c>
      <c r="C367" s="69">
        <f t="shared" si="95"/>
        <v>8</v>
      </c>
      <c r="D367" s="69">
        <f>COUNTIFS(CAVALETE!C:C,B367,CAVALETE!Z:Z,"c")</f>
        <v>6</v>
      </c>
      <c r="E367" s="69">
        <f>COUNTIFS(CAVALETE!C:C,B367,CAVALETE!Z:Z,"nc")</f>
        <v>2</v>
      </c>
      <c r="F367" s="74">
        <f t="shared" si="96"/>
        <v>0.25</v>
      </c>
    </row>
    <row r="368" spans="2:6" x14ac:dyDescent="0.25">
      <c r="B368" s="159" t="s">
        <v>130</v>
      </c>
      <c r="C368" s="69">
        <f t="shared" si="95"/>
        <v>6</v>
      </c>
      <c r="D368" s="69">
        <f>COUNTIFS(CAVALETE!C:C,B368,CAVALETE!Z:Z,"c")</f>
        <v>6</v>
      </c>
      <c r="E368" s="69">
        <f>COUNTIFS(CAVALETE!C:C,B368,CAVALETE!Z:Z,"nc")</f>
        <v>0</v>
      </c>
      <c r="F368" s="74">
        <f t="shared" si="96"/>
        <v>0</v>
      </c>
    </row>
    <row r="369" spans="2:6" x14ac:dyDescent="0.25">
      <c r="B369" s="60" t="s">
        <v>131</v>
      </c>
      <c r="C369" s="69">
        <f t="shared" si="95"/>
        <v>6</v>
      </c>
      <c r="D369" s="69">
        <f>COUNTIFS(CAVALETE!C:C,B369,CAVALETE!Z:Z,"c")</f>
        <v>6</v>
      </c>
      <c r="E369" s="69">
        <f>COUNTIFS(CAVALETE!C:C,B369,CAVALETE!Z:Z,"nc")</f>
        <v>0</v>
      </c>
      <c r="F369" s="74">
        <f t="shared" si="96"/>
        <v>0</v>
      </c>
    </row>
    <row r="370" spans="2:6" x14ac:dyDescent="0.25">
      <c r="B370" s="178" t="s">
        <v>132</v>
      </c>
      <c r="C370" s="69">
        <f t="shared" si="95"/>
        <v>0</v>
      </c>
      <c r="D370" s="69">
        <f>COUNTIFS(CAVALETE!C:C,B370,CAVALETE!Z:Z,"c")</f>
        <v>0</v>
      </c>
      <c r="E370" s="69">
        <f>COUNTIFS(CAVALETE!C:C,B370,CAVALETE!Z:Z,"nc")</f>
        <v>0</v>
      </c>
      <c r="F370" s="74" t="str">
        <f t="shared" si="96"/>
        <v>0%</v>
      </c>
    </row>
    <row r="371" spans="2:6" x14ac:dyDescent="0.25">
      <c r="B371" s="60" t="s">
        <v>133</v>
      </c>
      <c r="C371" s="69">
        <f t="shared" si="95"/>
        <v>112</v>
      </c>
      <c r="D371" s="69">
        <f>COUNTIFS(CAVALETE!C:C,B371,CAVALETE!Z:Z,"c")</f>
        <v>107</v>
      </c>
      <c r="E371" s="69">
        <f>COUNTIFS(CAVALETE!C:C,B371,CAVALETE!Z:Z,"nc")</f>
        <v>5</v>
      </c>
      <c r="F371" s="74">
        <f t="shared" si="96"/>
        <v>4.4642857142857144E-2</v>
      </c>
    </row>
    <row r="372" spans="2:6" x14ac:dyDescent="0.25">
      <c r="B372" s="60" t="s">
        <v>134</v>
      </c>
      <c r="C372" s="69">
        <f t="shared" si="95"/>
        <v>13</v>
      </c>
      <c r="D372" s="69">
        <f>COUNTIFS(CAVALETE!C:C,B372,CAVALETE!Z:Z,"c")</f>
        <v>12</v>
      </c>
      <c r="E372" s="69">
        <f>COUNTIFS(CAVALETE!C:C,B372,CAVALETE!Z:Z,"nc")</f>
        <v>1</v>
      </c>
      <c r="F372" s="74">
        <f t="shared" si="96"/>
        <v>7.6923076923076927E-2</v>
      </c>
    </row>
    <row r="373" spans="2:6" x14ac:dyDescent="0.25">
      <c r="B373" s="60" t="s">
        <v>135</v>
      </c>
      <c r="C373" s="69">
        <f t="shared" si="95"/>
        <v>32</v>
      </c>
      <c r="D373" s="69">
        <f>COUNTIFS(CAVALETE!C:C,B373,CAVALETE!Z:Z,"c")</f>
        <v>27</v>
      </c>
      <c r="E373" s="69">
        <f>COUNTIFS(CAVALETE!C:C,B373,CAVALETE!Z:Z,"nc")</f>
        <v>5</v>
      </c>
      <c r="F373" s="74">
        <f t="shared" si="96"/>
        <v>0.15625</v>
      </c>
    </row>
    <row r="375" spans="2:6" x14ac:dyDescent="0.25">
      <c r="B375" s="176" t="s">
        <v>136</v>
      </c>
      <c r="C375" s="176" t="s">
        <v>31</v>
      </c>
      <c r="D375" s="176" t="s">
        <v>37</v>
      </c>
      <c r="E375" s="176" t="s">
        <v>36</v>
      </c>
      <c r="F375" s="176" t="s">
        <v>75</v>
      </c>
    </row>
    <row r="376" spans="2:6" x14ac:dyDescent="0.25">
      <c r="B376" s="182" t="s">
        <v>67</v>
      </c>
      <c r="C376" s="69">
        <f>D376+E376</f>
        <v>219</v>
      </c>
      <c r="D376" s="92">
        <f>COUNTIFS(REPOSIÇÃO!D:D,B376,REPOSIÇÃO!AF:AF,"c")</f>
        <v>106</v>
      </c>
      <c r="E376" s="92">
        <f>COUNTIFS(REPOSIÇÃO!D:D,B376,REPOSIÇÃO!AF:AF,"nc")</f>
        <v>113</v>
      </c>
      <c r="F376" s="74">
        <f>IFERROR(E376/(E376+D376),"0")</f>
        <v>0.51598173515981738</v>
      </c>
    </row>
    <row r="378" spans="2:6" x14ac:dyDescent="0.25">
      <c r="B378" s="176" t="s">
        <v>137</v>
      </c>
      <c r="C378" s="176" t="s">
        <v>31</v>
      </c>
      <c r="D378" s="176" t="s">
        <v>37</v>
      </c>
      <c r="E378" s="176" t="s">
        <v>36</v>
      </c>
      <c r="F378" s="176" t="s">
        <v>75</v>
      </c>
    </row>
    <row r="379" spans="2:6" x14ac:dyDescent="0.25">
      <c r="B379" s="60" t="s">
        <v>138</v>
      </c>
      <c r="C379" s="69">
        <f>D379+E379</f>
        <v>86</v>
      </c>
      <c r="D379" s="69">
        <f>COUNTIFS(REPOSIÇÃO!C:C,B379,REPOSIÇÃO!AF:AF,"c")</f>
        <v>47</v>
      </c>
      <c r="E379" s="69">
        <f>COUNTIFS(REPOSIÇÃO!C:C,B379,REPOSIÇÃO!AF:AF,"NC")</f>
        <v>39</v>
      </c>
      <c r="F379" s="74">
        <f>IFERROR(E379/(E379+D379),"0%")</f>
        <v>0.45348837209302323</v>
      </c>
    </row>
    <row r="380" spans="2:6" x14ac:dyDescent="0.25">
      <c r="B380" s="142" t="s">
        <v>139</v>
      </c>
      <c r="C380" s="69">
        <f t="shared" ref="C380:C382" si="97">D380+E380</f>
        <v>52</v>
      </c>
      <c r="D380" s="69">
        <f>COUNTIFS(REPOSIÇÃO!C:C,B380,REPOSIÇÃO!AF:AF,"c")</f>
        <v>21</v>
      </c>
      <c r="E380" s="69">
        <f>COUNTIFS(REPOSIÇÃO!C:C,B380,REPOSIÇÃO!AF:AF,"NC")</f>
        <v>31</v>
      </c>
      <c r="F380" s="74">
        <f>IFERROR(E380/(E380+D380),"0%")</f>
        <v>0.59615384615384615</v>
      </c>
    </row>
    <row r="381" spans="2:6" x14ac:dyDescent="0.25">
      <c r="B381" s="178" t="s">
        <v>140</v>
      </c>
      <c r="C381" s="69">
        <f t="shared" si="97"/>
        <v>29</v>
      </c>
      <c r="D381" s="69">
        <f>COUNTIFS(REPOSIÇÃO!C:C,B381,REPOSIÇÃO!AF:AF,"c")</f>
        <v>12</v>
      </c>
      <c r="E381" s="69">
        <f>COUNTIFS(REPOSIÇÃO!C:C,B381,REPOSIÇÃO!AF:AF,"NC")</f>
        <v>17</v>
      </c>
      <c r="F381" s="74">
        <f t="shared" ref="F381:F382" si="98">IFERROR(E381/(E381+D381),"0%")</f>
        <v>0.58620689655172409</v>
      </c>
    </row>
    <row r="382" spans="2:6" x14ac:dyDescent="0.25">
      <c r="B382" s="142" t="s">
        <v>141</v>
      </c>
      <c r="C382" s="69">
        <f t="shared" si="97"/>
        <v>52</v>
      </c>
      <c r="D382" s="69">
        <f>COUNTIFS(REPOSIÇÃO!C:C,B382,REPOSIÇÃO!AF:AF,"c")</f>
        <v>26</v>
      </c>
      <c r="E382" s="69">
        <f>COUNTIFS(REPOSIÇÃO!C:C,B382,REPOSIÇÃO!AF:AF,"NC")</f>
        <v>26</v>
      </c>
      <c r="F382" s="74">
        <f t="shared" si="98"/>
        <v>0.5</v>
      </c>
    </row>
  </sheetData>
  <sortState xmlns:xlrd2="http://schemas.microsoft.com/office/spreadsheetml/2017/richdata2" ref="B230:G267">
    <sortCondition ref="B230:B267"/>
  </sortState>
  <mergeCells count="49">
    <mergeCell ref="I126:J126"/>
    <mergeCell ref="B25:G25"/>
    <mergeCell ref="B41:G41"/>
    <mergeCell ref="B140:G140"/>
    <mergeCell ref="B34:G34"/>
    <mergeCell ref="B47:G47"/>
    <mergeCell ref="B49:G49"/>
    <mergeCell ref="B53:G53"/>
    <mergeCell ref="B57:G57"/>
    <mergeCell ref="B6:G6"/>
    <mergeCell ref="B271:G271"/>
    <mergeCell ref="B158:G158"/>
    <mergeCell ref="B165:G165"/>
    <mergeCell ref="B179:G179"/>
    <mergeCell ref="B167:G167"/>
    <mergeCell ref="B171:G171"/>
    <mergeCell ref="B175:G175"/>
    <mergeCell ref="B132:G132"/>
    <mergeCell ref="B136:G136"/>
    <mergeCell ref="B2:G2"/>
    <mergeCell ref="B23:G23"/>
    <mergeCell ref="B3:G3"/>
    <mergeCell ref="B4:G4"/>
    <mergeCell ref="E10:G10"/>
    <mergeCell ref="B16:C16"/>
    <mergeCell ref="E11:G11"/>
    <mergeCell ref="E12:G12"/>
    <mergeCell ref="E14:G14"/>
    <mergeCell ref="C10:D10"/>
    <mergeCell ref="D9:F9"/>
    <mergeCell ref="C11:D11"/>
    <mergeCell ref="C12:D12"/>
    <mergeCell ref="C14:D14"/>
    <mergeCell ref="E13:G13"/>
    <mergeCell ref="C13:D13"/>
    <mergeCell ref="B304:G304"/>
    <mergeCell ref="B275:G275"/>
    <mergeCell ref="B61:G61"/>
    <mergeCell ref="B279:G279"/>
    <mergeCell ref="B72:G72"/>
    <mergeCell ref="B99:G99"/>
    <mergeCell ref="B269:G269"/>
    <mergeCell ref="B228:G228"/>
    <mergeCell ref="B126:G126"/>
    <mergeCell ref="B291:G291"/>
    <mergeCell ref="B298:G298"/>
    <mergeCell ref="B187:G187"/>
    <mergeCell ref="B151:G151"/>
    <mergeCell ref="B128:G128"/>
  </mergeCells>
  <pageMargins left="0.511811024" right="0.511811024" top="0.78740157499999996" bottom="0.78740157499999996" header="0.31496062000000002" footer="0.31496062000000002"/>
  <pageSetup paperSize="9" orientation="portrait" horizontalDpi="120" verticalDpi="72"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107"/>
  <sheetViews>
    <sheetView topLeftCell="A96" zoomScale="115" zoomScaleNormal="115" zoomScaleSheetLayoutView="100" workbookViewId="0">
      <selection activeCell="J44" sqref="J44"/>
    </sheetView>
  </sheetViews>
  <sheetFormatPr defaultColWidth="9.140625" defaultRowHeight="15" x14ac:dyDescent="0.2"/>
  <cols>
    <col min="1" max="1" width="7.5703125" style="11" customWidth="1"/>
    <col min="2" max="2" width="24.42578125" style="11" customWidth="1"/>
    <col min="3" max="7" width="15.140625" style="11" customWidth="1"/>
    <col min="8" max="9" width="5" style="11" customWidth="1"/>
    <col min="10" max="16384" width="9.140625" style="1"/>
  </cols>
  <sheetData>
    <row r="1" spans="1:9" ht="6" customHeight="1" x14ac:dyDescent="0.2"/>
    <row r="2" spans="1:9" s="5" customFormat="1" ht="23.25" customHeight="1" x14ac:dyDescent="0.25">
      <c r="A2" s="273" t="s">
        <v>2</v>
      </c>
      <c r="B2" s="273"/>
      <c r="C2" s="273"/>
      <c r="D2" s="273"/>
      <c r="E2" s="273"/>
      <c r="F2" s="273"/>
      <c r="G2" s="273"/>
      <c r="H2" s="273"/>
      <c r="I2" s="273"/>
    </row>
    <row r="3" spans="1:9" ht="6.75" customHeight="1" x14ac:dyDescent="0.2"/>
    <row r="4" spans="1:9" s="2" customFormat="1" ht="17.25" customHeight="1" x14ac:dyDescent="0.25">
      <c r="A4" s="273" t="s">
        <v>7</v>
      </c>
      <c r="B4" s="273"/>
      <c r="C4" s="273"/>
      <c r="D4" s="273"/>
      <c r="E4" s="273"/>
      <c r="F4" s="273"/>
      <c r="G4" s="273"/>
      <c r="H4" s="273"/>
      <c r="I4" s="273"/>
    </row>
    <row r="5" spans="1:9" x14ac:dyDescent="0.2">
      <c r="A5" s="275" t="str">
        <f>'DADOS - GOPOÚVA'!B4</f>
        <v>Período: 01/03/2026 à 31/03/2026</v>
      </c>
      <c r="B5" s="275"/>
      <c r="C5" s="275"/>
      <c r="D5" s="275"/>
      <c r="E5" s="275"/>
      <c r="F5" s="275"/>
      <c r="G5" s="275"/>
      <c r="H5" s="275"/>
      <c r="I5" s="275"/>
    </row>
    <row r="6" spans="1:9" x14ac:dyDescent="0.2">
      <c r="A6" s="86"/>
      <c r="B6" s="86"/>
      <c r="C6" s="86"/>
      <c r="D6" s="86"/>
      <c r="E6" s="86"/>
      <c r="F6" s="86"/>
      <c r="G6" s="86"/>
      <c r="H6" s="86"/>
      <c r="I6" s="86"/>
    </row>
    <row r="7" spans="1:9" s="2" customFormat="1" ht="18" hidden="1" customHeight="1" x14ac:dyDescent="0.25">
      <c r="A7" s="274" t="s">
        <v>142</v>
      </c>
      <c r="B7" s="274"/>
      <c r="C7" s="274"/>
      <c r="D7" s="274"/>
      <c r="E7" s="274"/>
      <c r="F7" s="274"/>
      <c r="G7" s="274"/>
      <c r="H7" s="274"/>
      <c r="I7" s="274"/>
    </row>
    <row r="8" spans="1:9" ht="15" hidden="1" customHeight="1" x14ac:dyDescent="0.2">
      <c r="A8" s="41"/>
      <c r="B8" s="41"/>
      <c r="C8" s="41"/>
      <c r="D8" s="41"/>
      <c r="E8" s="41"/>
      <c r="F8" s="41"/>
      <c r="G8" s="41"/>
      <c r="H8" s="41"/>
      <c r="I8" s="41"/>
    </row>
    <row r="9" spans="1:9" ht="15" hidden="1" customHeight="1" x14ac:dyDescent="0.2">
      <c r="A9" s="41"/>
      <c r="B9" s="41"/>
      <c r="C9" s="41"/>
      <c r="D9" s="41"/>
      <c r="E9" s="41"/>
      <c r="F9" s="41"/>
      <c r="G9" s="41"/>
      <c r="H9" s="41"/>
      <c r="I9" s="41"/>
    </row>
    <row r="10" spans="1:9" ht="15" hidden="1" customHeight="1" x14ac:dyDescent="0.2">
      <c r="A10" s="41"/>
      <c r="B10" s="41"/>
      <c r="C10" s="41"/>
      <c r="D10" s="41"/>
      <c r="E10" s="41"/>
      <c r="F10" s="41"/>
      <c r="G10" s="41"/>
      <c r="H10" s="41"/>
      <c r="I10" s="41"/>
    </row>
    <row r="11" spans="1:9" ht="15" hidden="1" customHeight="1" x14ac:dyDescent="0.2">
      <c r="A11" s="41"/>
      <c r="B11" s="41"/>
      <c r="C11" s="41"/>
      <c r="D11" s="41"/>
      <c r="E11" s="41"/>
      <c r="F11" s="41"/>
      <c r="G11" s="41"/>
      <c r="H11" s="41"/>
      <c r="I11" s="41"/>
    </row>
    <row r="12" spans="1:9" ht="15" hidden="1" customHeight="1" x14ac:dyDescent="0.2">
      <c r="A12" s="41"/>
      <c r="B12" s="41"/>
      <c r="C12" s="41"/>
      <c r="D12" s="41"/>
      <c r="E12" s="41"/>
      <c r="F12" s="41"/>
      <c r="G12" s="41"/>
      <c r="H12" s="41"/>
      <c r="I12" s="41"/>
    </row>
    <row r="13" spans="1:9" ht="15" hidden="1" customHeight="1" x14ac:dyDescent="0.2">
      <c r="A13" s="41"/>
      <c r="B13" s="41"/>
      <c r="C13" s="41"/>
      <c r="D13" s="41"/>
      <c r="E13" s="41"/>
      <c r="F13" s="41"/>
      <c r="G13" s="41"/>
      <c r="H13" s="41"/>
      <c r="I13" s="41"/>
    </row>
    <row r="14" spans="1:9" ht="15" hidden="1" customHeight="1" x14ac:dyDescent="0.2">
      <c r="A14" s="41"/>
      <c r="B14" s="41"/>
      <c r="C14" s="41"/>
      <c r="D14" s="41"/>
      <c r="E14" s="41"/>
      <c r="F14" s="41"/>
      <c r="G14" s="41"/>
      <c r="H14" s="41"/>
      <c r="I14" s="41"/>
    </row>
    <row r="15" spans="1:9" ht="15" hidden="1" customHeight="1" x14ac:dyDescent="0.2">
      <c r="A15" s="41"/>
      <c r="B15" s="41"/>
      <c r="C15" s="41"/>
      <c r="D15" s="41"/>
      <c r="E15" s="41"/>
      <c r="F15" s="41"/>
      <c r="G15" s="41"/>
      <c r="H15" s="41"/>
      <c r="I15" s="41"/>
    </row>
    <row r="16" spans="1:9" ht="15" hidden="1" customHeight="1" x14ac:dyDescent="0.2">
      <c r="A16" s="41"/>
      <c r="B16" s="41"/>
      <c r="C16" s="41"/>
      <c r="D16" s="41"/>
      <c r="E16" s="41"/>
      <c r="F16" s="41"/>
      <c r="G16" s="41"/>
      <c r="H16" s="41"/>
      <c r="I16" s="41"/>
    </row>
    <row r="17" spans="1:9" ht="15" hidden="1" customHeight="1" x14ac:dyDescent="0.2">
      <c r="A17" s="41"/>
      <c r="B17" s="41"/>
      <c r="C17" s="41"/>
      <c r="D17" s="41"/>
      <c r="E17" s="41"/>
      <c r="F17" s="41"/>
      <c r="G17" s="41"/>
      <c r="H17" s="41"/>
      <c r="I17" s="41"/>
    </row>
    <row r="18" spans="1:9" ht="15" hidden="1" customHeight="1" x14ac:dyDescent="0.2">
      <c r="A18" s="41"/>
      <c r="B18" s="41"/>
      <c r="C18" s="41"/>
      <c r="D18" s="41"/>
      <c r="E18" s="41"/>
      <c r="F18" s="41"/>
      <c r="G18" s="41"/>
      <c r="H18" s="41"/>
      <c r="I18" s="41"/>
    </row>
    <row r="19" spans="1:9" ht="15" hidden="1" customHeight="1" x14ac:dyDescent="0.2">
      <c r="A19" s="41"/>
      <c r="B19" s="41"/>
      <c r="C19" s="41"/>
      <c r="D19" s="41"/>
      <c r="E19" s="41"/>
      <c r="F19" s="41"/>
      <c r="G19" s="41"/>
      <c r="H19" s="41"/>
      <c r="I19" s="41"/>
    </row>
    <row r="20" spans="1:9" ht="15" hidden="1" customHeight="1" x14ac:dyDescent="0.2">
      <c r="A20" s="41"/>
      <c r="B20" s="42" t="s">
        <v>143</v>
      </c>
      <c r="C20" s="42"/>
      <c r="D20" s="42"/>
      <c r="E20" s="42"/>
      <c r="F20" s="42"/>
      <c r="G20" s="42"/>
      <c r="H20" s="42"/>
      <c r="I20" s="42"/>
    </row>
    <row r="21" spans="1:9" ht="6.75" hidden="1" customHeight="1" x14ac:dyDescent="0.2">
      <c r="A21" s="41"/>
      <c r="B21" s="42"/>
      <c r="C21" s="42"/>
      <c r="D21" s="42"/>
      <c r="E21" s="42"/>
      <c r="F21" s="42"/>
      <c r="G21" s="42"/>
      <c r="H21" s="42"/>
      <c r="I21" s="42"/>
    </row>
    <row r="22" spans="1:9" ht="15" hidden="1" customHeight="1" x14ac:dyDescent="0.2">
      <c r="A22" s="41"/>
      <c r="B22" s="276" t="s">
        <v>144</v>
      </c>
      <c r="C22" s="276"/>
      <c r="D22" s="276"/>
      <c r="E22" s="276"/>
      <c r="F22" s="276"/>
      <c r="G22" s="276"/>
      <c r="H22" s="42"/>
      <c r="I22" s="42"/>
    </row>
    <row r="23" spans="1:9" ht="6" hidden="1" customHeight="1" x14ac:dyDescent="0.2">
      <c r="A23" s="41"/>
      <c r="B23" s="42"/>
      <c r="C23" s="42"/>
      <c r="D23" s="42"/>
      <c r="E23" s="42"/>
      <c r="F23" s="42"/>
      <c r="G23" s="42"/>
      <c r="H23" s="42"/>
      <c r="I23" s="42"/>
    </row>
    <row r="24" spans="1:9" ht="15" hidden="1" customHeight="1" x14ac:dyDescent="0.2">
      <c r="A24" s="41"/>
      <c r="B24" s="42" t="s">
        <v>145</v>
      </c>
      <c r="C24" s="42"/>
      <c r="D24" s="42"/>
      <c r="E24" s="42"/>
      <c r="F24" s="42"/>
      <c r="G24" s="42"/>
      <c r="H24" s="42"/>
      <c r="I24" s="42"/>
    </row>
    <row r="25" spans="1:9" ht="15" hidden="1" customHeight="1" x14ac:dyDescent="0.2">
      <c r="A25" s="41"/>
      <c r="B25" s="42" t="s">
        <v>146</v>
      </c>
      <c r="C25" s="42"/>
      <c r="D25" s="42"/>
      <c r="E25" s="42"/>
      <c r="F25" s="42"/>
      <c r="G25" s="42"/>
      <c r="H25" s="42"/>
      <c r="I25" s="42"/>
    </row>
    <row r="26" spans="1:9" ht="15" hidden="1" customHeight="1" x14ac:dyDescent="0.2">
      <c r="A26" s="41"/>
      <c r="B26" s="42" t="s">
        <v>147</v>
      </c>
      <c r="C26" s="42"/>
      <c r="D26" s="42"/>
      <c r="E26" s="42"/>
      <c r="F26" s="42"/>
      <c r="G26" s="42"/>
      <c r="H26" s="42"/>
      <c r="I26" s="42"/>
    </row>
    <row r="27" spans="1:9" ht="15" hidden="1" customHeight="1" x14ac:dyDescent="0.2">
      <c r="A27" s="41"/>
      <c r="B27" s="42" t="s">
        <v>148</v>
      </c>
      <c r="C27" s="42"/>
      <c r="D27" s="42"/>
      <c r="E27" s="42"/>
      <c r="F27" s="42"/>
      <c r="G27" s="42"/>
      <c r="H27" s="42"/>
      <c r="I27" s="42"/>
    </row>
    <row r="28" spans="1:9" ht="6.75" hidden="1" customHeight="1" x14ac:dyDescent="0.2">
      <c r="A28" s="41"/>
      <c r="B28" s="42"/>
      <c r="C28" s="42"/>
      <c r="D28" s="42"/>
      <c r="E28" s="42"/>
      <c r="F28" s="42"/>
      <c r="G28" s="42"/>
      <c r="H28" s="42"/>
      <c r="I28" s="42"/>
    </row>
    <row r="29" spans="1:9" ht="15" hidden="1" customHeight="1" x14ac:dyDescent="0.2">
      <c r="A29" s="41"/>
      <c r="B29" s="42" t="s">
        <v>149</v>
      </c>
      <c r="C29" s="42"/>
      <c r="D29" s="42"/>
      <c r="E29" s="42"/>
      <c r="F29" s="42"/>
      <c r="G29" s="42"/>
      <c r="H29" s="42"/>
      <c r="I29" s="42"/>
    </row>
    <row r="30" spans="1:9" ht="7.5" hidden="1" customHeight="1" x14ac:dyDescent="0.2">
      <c r="A30" s="41"/>
      <c r="B30" s="42"/>
      <c r="C30" s="42"/>
      <c r="D30" s="42"/>
      <c r="E30" s="42"/>
      <c r="F30" s="42"/>
      <c r="G30" s="42"/>
      <c r="H30" s="42"/>
      <c r="I30" s="42"/>
    </row>
    <row r="31" spans="1:9" ht="15" hidden="1" customHeight="1" x14ac:dyDescent="0.2">
      <c r="A31" s="277" t="s">
        <v>150</v>
      </c>
      <c r="B31" s="277"/>
      <c r="C31" s="277"/>
      <c r="D31" s="277"/>
      <c r="E31" s="277"/>
      <c r="F31" s="277"/>
      <c r="G31" s="277"/>
      <c r="H31" s="277"/>
      <c r="I31" s="277"/>
    </row>
    <row r="32" spans="1:9" ht="15" customHeight="1" x14ac:dyDescent="0.2">
      <c r="A32" s="277"/>
      <c r="B32" s="277"/>
      <c r="C32" s="277"/>
      <c r="D32" s="277"/>
      <c r="E32" s="277"/>
      <c r="F32" s="277"/>
      <c r="G32" s="277"/>
      <c r="H32" s="277"/>
      <c r="I32" s="277"/>
    </row>
    <row r="33" spans="1:9" x14ac:dyDescent="0.2">
      <c r="A33" s="5"/>
      <c r="B33" s="43"/>
      <c r="C33" s="43"/>
      <c r="D33" s="43"/>
      <c r="E33" s="43"/>
      <c r="F33" s="43"/>
      <c r="G33" s="43"/>
      <c r="H33" s="43"/>
      <c r="I33" s="43"/>
    </row>
    <row r="34" spans="1:9" s="2" customFormat="1" ht="24" customHeight="1" x14ac:dyDescent="0.25">
      <c r="A34" s="273" t="s">
        <v>151</v>
      </c>
      <c r="B34" s="273"/>
      <c r="C34" s="273"/>
      <c r="D34" s="273"/>
      <c r="E34" s="273"/>
      <c r="F34" s="273"/>
      <c r="G34" s="273"/>
      <c r="H34" s="273"/>
      <c r="I34" s="273"/>
    </row>
    <row r="36" spans="1:9" ht="15" customHeight="1" x14ac:dyDescent="0.2">
      <c r="B36" s="275" t="s">
        <v>152</v>
      </c>
      <c r="C36" s="275"/>
      <c r="D36" s="275"/>
      <c r="E36" s="275" t="s">
        <v>14</v>
      </c>
      <c r="F36" s="275"/>
      <c r="G36" s="275"/>
      <c r="H36" s="275"/>
      <c r="I36" s="275"/>
    </row>
    <row r="40" spans="1:9" s="2" customFormat="1" ht="22.5" customHeight="1" x14ac:dyDescent="0.25">
      <c r="A40" s="5"/>
      <c r="B40" s="5"/>
      <c r="C40" s="5"/>
      <c r="D40" s="5"/>
      <c r="E40" s="5"/>
      <c r="F40" s="5"/>
      <c r="G40" s="5"/>
      <c r="H40" s="5"/>
      <c r="I40" s="5"/>
    </row>
    <row r="50" spans="1:9" ht="15.75" customHeight="1" x14ac:dyDescent="0.2"/>
    <row r="51" spans="1:9" ht="15.75" customHeight="1" x14ac:dyDescent="0.2">
      <c r="B51" s="139" t="s">
        <v>153</v>
      </c>
      <c r="C51" s="283" t="s">
        <v>154</v>
      </c>
      <c r="D51" s="284"/>
      <c r="E51" s="285"/>
    </row>
    <row r="52" spans="1:9" ht="15.75" customHeight="1" x14ac:dyDescent="0.2">
      <c r="B52" s="50" t="s">
        <v>15</v>
      </c>
      <c r="C52" s="286">
        <v>0</v>
      </c>
      <c r="D52" s="287"/>
      <c r="E52" s="288"/>
    </row>
    <row r="53" spans="1:9" ht="15.75" customHeight="1" x14ac:dyDescent="0.2">
      <c r="B53" s="50" t="s">
        <v>16</v>
      </c>
      <c r="C53" s="286">
        <v>0</v>
      </c>
      <c r="D53" s="287"/>
      <c r="E53" s="288"/>
    </row>
    <row r="54" spans="1:9" ht="15.75" customHeight="1" x14ac:dyDescent="0.2">
      <c r="B54" s="50" t="s">
        <v>17</v>
      </c>
      <c r="C54" s="286">
        <v>0</v>
      </c>
      <c r="D54" s="287"/>
      <c r="E54" s="288"/>
    </row>
    <row r="55" spans="1:9" ht="15.75" customHeight="1" x14ac:dyDescent="0.2"/>
    <row r="57" spans="1:9" ht="20.25" customHeight="1" x14ac:dyDescent="0.2">
      <c r="A57" s="273" t="s">
        <v>155</v>
      </c>
      <c r="B57" s="273"/>
      <c r="C57" s="273"/>
      <c r="D57" s="273"/>
      <c r="E57" s="273"/>
      <c r="F57" s="273"/>
      <c r="G57" s="273"/>
      <c r="H57" s="273"/>
      <c r="I57" s="273"/>
    </row>
    <row r="84" spans="1:9" ht="22.5" customHeight="1" x14ac:dyDescent="0.2">
      <c r="A84" s="281" t="s">
        <v>23</v>
      </c>
      <c r="B84" s="281"/>
      <c r="C84" s="281"/>
      <c r="D84" s="281"/>
      <c r="E84" s="281"/>
      <c r="F84" s="281"/>
      <c r="G84" s="281"/>
      <c r="H84" s="281"/>
      <c r="I84" s="281"/>
    </row>
    <row r="85" spans="1:9" ht="15" customHeight="1" x14ac:dyDescent="0.2">
      <c r="A85" s="282" t="str">
        <f>'DADOS - GOPOÚVA'!B4</f>
        <v>Período: 01/03/2026 à 31/03/2026</v>
      </c>
      <c r="B85" s="282"/>
      <c r="C85" s="282"/>
      <c r="D85" s="282"/>
      <c r="E85" s="282"/>
      <c r="F85" s="282"/>
      <c r="G85" s="282"/>
      <c r="H85" s="282"/>
      <c r="I85" s="282"/>
    </row>
    <row r="86" spans="1:9" ht="19.5" customHeight="1" x14ac:dyDescent="0.2">
      <c r="B86" s="281" t="s">
        <v>156</v>
      </c>
      <c r="C86" s="281"/>
      <c r="D86" s="281"/>
      <c r="E86" s="281"/>
      <c r="F86" s="281"/>
      <c r="G86" s="281"/>
      <c r="H86" s="281"/>
      <c r="I86" s="148"/>
    </row>
    <row r="95" spans="1:9" s="2" customFormat="1" ht="22.5" customHeight="1" x14ac:dyDescent="0.25">
      <c r="A95" s="5"/>
      <c r="B95" s="5"/>
      <c r="C95" s="5"/>
      <c r="D95" s="5"/>
      <c r="E95" s="5"/>
      <c r="F95" s="5"/>
      <c r="G95" s="5"/>
      <c r="H95" s="5"/>
      <c r="I95" s="5"/>
    </row>
    <row r="101" spans="2:7" ht="36" customHeight="1" x14ac:dyDescent="0.2">
      <c r="B101" s="278" t="s">
        <v>24</v>
      </c>
      <c r="C101" s="279"/>
      <c r="D101" s="279"/>
      <c r="E101" s="279"/>
      <c r="F101" s="279"/>
      <c r="G101" s="280"/>
    </row>
    <row r="102" spans="2:7" ht="45" x14ac:dyDescent="0.2">
      <c r="B102" s="132" t="s">
        <v>12</v>
      </c>
      <c r="C102" s="133" t="s">
        <v>25</v>
      </c>
      <c r="D102" s="133" t="s">
        <v>26</v>
      </c>
      <c r="E102" s="133" t="s">
        <v>27</v>
      </c>
      <c r="F102" s="133" t="s">
        <v>28</v>
      </c>
      <c r="G102" s="133" t="s">
        <v>29</v>
      </c>
    </row>
    <row r="103" spans="2:7" ht="22.5" customHeight="1" x14ac:dyDescent="0.2">
      <c r="B103" s="149" t="s">
        <v>15</v>
      </c>
      <c r="C103" s="64">
        <f>D103+E103</f>
        <v>446</v>
      </c>
      <c r="D103" s="64">
        <f>COUNTIF(ÁGUA!AF:AF,"Nc")</f>
        <v>59</v>
      </c>
      <c r="E103" s="64">
        <f>COUNTIF(ÁGUA!AF:AF,"c")</f>
        <v>387</v>
      </c>
      <c r="F103" s="52">
        <f t="shared" ref="F103:F105" si="0">IFERROR(D103/C103,"-")</f>
        <v>0.13228699551569506</v>
      </c>
      <c r="G103" s="52">
        <f t="shared" ref="G103:G105" si="1">IFERROR(100%-F103,"-")</f>
        <v>0.86771300448430488</v>
      </c>
    </row>
    <row r="104" spans="2:7" ht="22.5" customHeight="1" x14ac:dyDescent="0.2">
      <c r="B104" s="149" t="s">
        <v>16</v>
      </c>
      <c r="C104" s="64">
        <f>D104+E104</f>
        <v>23</v>
      </c>
      <c r="D104" s="64">
        <f>COUNTIF(ESGOTO!AF:AF,"NC")</f>
        <v>6</v>
      </c>
      <c r="E104" s="64">
        <f>COUNTIF(ESGOTO!AF:AF,"C")</f>
        <v>17</v>
      </c>
      <c r="F104" s="52">
        <f t="shared" si="0"/>
        <v>0.2608695652173913</v>
      </c>
      <c r="G104" s="52">
        <f t="shared" si="1"/>
        <v>0.73913043478260865</v>
      </c>
    </row>
    <row r="105" spans="2:7" ht="22.5" customHeight="1" x14ac:dyDescent="0.2">
      <c r="B105" s="149" t="s">
        <v>30</v>
      </c>
      <c r="C105" s="64">
        <f>D105+E105</f>
        <v>351</v>
      </c>
      <c r="D105" s="64">
        <f>COUNTIF(CAVALETE!Z:Z,"nc")</f>
        <v>23</v>
      </c>
      <c r="E105" s="64">
        <f>COUNTIF(CAVALETE!Z:Z,"C")</f>
        <v>328</v>
      </c>
      <c r="F105" s="52">
        <f t="shared" si="0"/>
        <v>6.5527065527065526E-2</v>
      </c>
      <c r="G105" s="52">
        <f t="shared" si="1"/>
        <v>0.93447293447293445</v>
      </c>
    </row>
    <row r="106" spans="2:7" ht="22.5" customHeight="1" x14ac:dyDescent="0.2">
      <c r="B106" s="150" t="s">
        <v>17</v>
      </c>
      <c r="C106" s="75">
        <f>D106+E106</f>
        <v>219</v>
      </c>
      <c r="D106" s="75">
        <f>COUNTIF(REPOSIÇÃO!AF:AF,"nC")</f>
        <v>113</v>
      </c>
      <c r="E106" s="64">
        <f>COUNTIF(REPOSIÇÃO!AF:AF,"c")</f>
        <v>106</v>
      </c>
      <c r="F106" s="52">
        <f>IFERROR(D106/C106,"-")</f>
        <v>0.51598173515981738</v>
      </c>
      <c r="G106" s="52">
        <f>IFERROR(100%-F106,"-")</f>
        <v>0.48401826484018262</v>
      </c>
    </row>
    <row r="107" spans="2:7" ht="28.5" customHeight="1" x14ac:dyDescent="0.2">
      <c r="B107" s="134"/>
      <c r="C107" s="135"/>
      <c r="D107" s="135"/>
      <c r="E107" s="136"/>
      <c r="F107" s="137" t="s">
        <v>33</v>
      </c>
      <c r="G107" s="138">
        <f>IFERROR(AVERAGE(G103,G104,G105,G106), "-")</f>
        <v>0.75633365964500765</v>
      </c>
    </row>
  </sheetData>
  <mergeCells count="18">
    <mergeCell ref="B101:G101"/>
    <mergeCell ref="B36:D36"/>
    <mergeCell ref="E36:I36"/>
    <mergeCell ref="A84:I84"/>
    <mergeCell ref="A85:I85"/>
    <mergeCell ref="A57:I57"/>
    <mergeCell ref="C51:E51"/>
    <mergeCell ref="C52:E52"/>
    <mergeCell ref="C53:E53"/>
    <mergeCell ref="C54:E54"/>
    <mergeCell ref="B86:H86"/>
    <mergeCell ref="A2:I2"/>
    <mergeCell ref="A4:I4"/>
    <mergeCell ref="A7:I7"/>
    <mergeCell ref="A34:I34"/>
    <mergeCell ref="A5:I5"/>
    <mergeCell ref="B22:G22"/>
    <mergeCell ref="A31:I32"/>
  </mergeCells>
  <pageMargins left="0.511811024" right="0.511811024" top="0.78740157499999996" bottom="0.78740157499999996" header="0.31496062000000002" footer="0.31496062000000002"/>
  <pageSetup paperSize="9" scale="78" fitToHeight="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tint="0.59999389629810485"/>
    <pageSetUpPr fitToPage="1"/>
  </sheetPr>
  <dimension ref="A1:O103"/>
  <sheetViews>
    <sheetView topLeftCell="A100" zoomScale="70" zoomScaleNormal="70" zoomScaleSheetLayoutView="70" workbookViewId="0">
      <selection activeCell="E76" sqref="E76"/>
    </sheetView>
  </sheetViews>
  <sheetFormatPr defaultColWidth="9.140625" defaultRowHeight="19.899999999999999" customHeight="1" x14ac:dyDescent="0.25"/>
  <cols>
    <col min="1" max="7" width="37.7109375" style="18" customWidth="1"/>
    <col min="8" max="16384" width="9.140625" style="18"/>
  </cols>
  <sheetData>
    <row r="1" spans="1:7" s="35" customFormat="1" ht="35.1" customHeight="1" x14ac:dyDescent="0.25">
      <c r="A1" s="327" t="s">
        <v>157</v>
      </c>
      <c r="B1" s="327"/>
      <c r="C1" s="327"/>
      <c r="D1" s="327"/>
      <c r="E1" s="327"/>
      <c r="F1" s="327"/>
      <c r="G1" s="93"/>
    </row>
    <row r="2" spans="1:7" s="51" customFormat="1" ht="30" customHeight="1" thickBot="1" x14ac:dyDescent="0.3"/>
    <row r="3" spans="1:7" s="51" customFormat="1" ht="30" customHeight="1" x14ac:dyDescent="0.25">
      <c r="A3" s="36"/>
      <c r="B3" s="330" t="s">
        <v>158</v>
      </c>
      <c r="C3" s="331"/>
      <c r="D3" s="330" t="s">
        <v>56</v>
      </c>
      <c r="E3" s="331"/>
    </row>
    <row r="4" spans="1:7" s="51" customFormat="1" ht="30" customHeight="1" thickBot="1" x14ac:dyDescent="0.3">
      <c r="A4" s="36"/>
      <c r="B4" s="328">
        <f>COUNTIF(ÁGUA!A:A,"ONMG - DIV MANUT SERV OPE GOPOÚVA")</f>
        <v>1013</v>
      </c>
      <c r="C4" s="329"/>
      <c r="D4" s="328">
        <f>'DADOS - GOPOÚVA'!C27</f>
        <v>446</v>
      </c>
      <c r="E4" s="329"/>
    </row>
    <row r="5" spans="1:7" s="51" customFormat="1" ht="35.1" customHeight="1" x14ac:dyDescent="0.25">
      <c r="A5" s="36"/>
      <c r="B5" s="91" t="s">
        <v>159</v>
      </c>
      <c r="C5" s="90" t="s">
        <v>160</v>
      </c>
      <c r="D5" s="91" t="s">
        <v>161</v>
      </c>
      <c r="E5" s="90" t="s">
        <v>160</v>
      </c>
    </row>
    <row r="6" spans="1:7" s="51" customFormat="1" ht="35.1" customHeight="1" thickBot="1" x14ac:dyDescent="0.3">
      <c r="A6" s="36"/>
      <c r="B6" s="87">
        <f>'DADOS - GOPOÚVA'!C27+'GRÁFICOS - ÁGUA'!D8</f>
        <v>515</v>
      </c>
      <c r="C6" s="46">
        <f>IFERROR(B6/B4,"-")</f>
        <v>0.50839091806515302</v>
      </c>
      <c r="D6" s="87">
        <f>COUNTIFS(ÁGUA!O:O,"SF",ÁGUA!Q:Q,"SF",ÁGUA!S:S,"SF",ÁGUA!U:U,"SF",ÁGUA!W:W,"SF",ÁGUA!Y:Y,"SF",ÁGUA!AC:AC,"SF",ÁGUA!AA:AA,"SF")</f>
        <v>10</v>
      </c>
      <c r="E6" s="46">
        <f>IFERROR(D6/B4,"-")</f>
        <v>9.8716683119447184E-3</v>
      </c>
    </row>
    <row r="7" spans="1:7" s="51" customFormat="1" ht="35.1" customHeight="1" x14ac:dyDescent="0.25">
      <c r="A7" s="36"/>
      <c r="B7" s="91" t="s">
        <v>162</v>
      </c>
      <c r="C7" s="90" t="s">
        <v>160</v>
      </c>
      <c r="D7" s="91" t="s">
        <v>163</v>
      </c>
      <c r="E7" s="90" t="s">
        <v>160</v>
      </c>
    </row>
    <row r="8" spans="1:7" s="51" customFormat="1" ht="35.1" customHeight="1" thickBot="1" x14ac:dyDescent="0.3">
      <c r="A8" s="36"/>
      <c r="B8" s="87">
        <f>B4-B6</f>
        <v>498</v>
      </c>
      <c r="C8" s="46">
        <f>IFERROR(B8/B4,"-")</f>
        <v>0.49160908193484698</v>
      </c>
      <c r="D8" s="87">
        <f>COUNTIFS(ÁGUA!O:O,"na",ÁGUA!Q:Q,"na",ÁGUA!S:S,"na",ÁGUA!U:U,"na",ÁGUA!W:W,"na",ÁGUA!Y:Y,"na",ÁGUA!AC:AC,"na",ÁGUA!AA:AA,"na")</f>
        <v>69</v>
      </c>
      <c r="E8" s="46">
        <f>IFERROR(D8/B4,"-")</f>
        <v>6.8114511352418555E-2</v>
      </c>
    </row>
    <row r="9" spans="1:7" s="51" customFormat="1" ht="20.100000000000001" customHeight="1" x14ac:dyDescent="0.25">
      <c r="A9" s="36"/>
      <c r="B9" s="36"/>
      <c r="C9" s="36"/>
      <c r="D9" s="36"/>
      <c r="E9" s="36"/>
    </row>
    <row r="10" spans="1:7" s="51" customFormat="1" ht="20.100000000000001" customHeight="1" x14ac:dyDescent="0.25">
      <c r="A10" s="36"/>
      <c r="B10" s="36"/>
      <c r="C10" s="36"/>
      <c r="D10" s="36"/>
      <c r="E10" s="36"/>
    </row>
    <row r="11" spans="1:7" s="35" customFormat="1" ht="35.1" customHeight="1" x14ac:dyDescent="0.25">
      <c r="A11" s="327" t="s">
        <v>164</v>
      </c>
      <c r="B11" s="327"/>
      <c r="C11" s="327"/>
      <c r="D11" s="327"/>
      <c r="E11" s="327"/>
      <c r="F11" s="327"/>
      <c r="G11" s="327"/>
    </row>
    <row r="12" spans="1:7" s="26" customFormat="1" ht="19.899999999999999" customHeight="1" x14ac:dyDescent="0.25"/>
    <row r="13" spans="1:7" s="27" customFormat="1" ht="19.899999999999999" customHeight="1" x14ac:dyDescent="0.25"/>
    <row r="14" spans="1:7" s="27" customFormat="1" ht="19.899999999999999" customHeight="1" x14ac:dyDescent="0.25">
      <c r="A14" s="24"/>
      <c r="B14" s="24"/>
      <c r="C14" s="28"/>
      <c r="D14" s="28"/>
      <c r="E14" s="24"/>
    </row>
    <row r="15" spans="1:7" s="27" customFormat="1" ht="19.899999999999999" customHeight="1" x14ac:dyDescent="0.25">
      <c r="A15" s="24"/>
      <c r="B15" s="24"/>
      <c r="C15" s="28"/>
      <c r="D15" s="28"/>
      <c r="E15" s="24"/>
    </row>
    <row r="16" spans="1:7" s="27" customFormat="1" ht="19.899999999999999" customHeight="1" x14ac:dyDescent="0.25"/>
    <row r="17" s="27" customFormat="1" ht="19.899999999999999" customHeight="1" x14ac:dyDescent="0.25"/>
    <row r="40" spans="1:7" ht="35.1" customHeight="1" x14ac:dyDescent="0.25">
      <c r="A40" s="327" t="s">
        <v>165</v>
      </c>
      <c r="B40" s="327"/>
      <c r="C40" s="327"/>
      <c r="D40" s="327"/>
      <c r="E40" s="327"/>
      <c r="F40" s="327"/>
      <c r="G40" s="327"/>
    </row>
    <row r="69" spans="1:7" s="35" customFormat="1" ht="35.1" customHeight="1" x14ac:dyDescent="0.25">
      <c r="A69" s="327" t="s">
        <v>166</v>
      </c>
      <c r="B69" s="327"/>
      <c r="C69" s="327"/>
      <c r="D69" s="327"/>
      <c r="E69" s="327"/>
      <c r="F69" s="327"/>
      <c r="G69" s="327"/>
    </row>
    <row r="101" spans="1:15" ht="19.5" customHeight="1" x14ac:dyDescent="0.25"/>
    <row r="102" spans="1:15" ht="19.5" customHeight="1" x14ac:dyDescent="0.25"/>
    <row r="103" spans="1:15" s="37" customFormat="1" ht="35.1" customHeight="1" x14ac:dyDescent="0.25">
      <c r="A103" s="327" t="s">
        <v>167</v>
      </c>
      <c r="B103" s="327"/>
      <c r="C103" s="327"/>
      <c r="D103" s="327"/>
      <c r="E103" s="327"/>
      <c r="F103" s="327"/>
      <c r="G103" s="327"/>
      <c r="H103" s="327"/>
      <c r="I103" s="327"/>
      <c r="J103" s="327"/>
      <c r="K103" s="327"/>
      <c r="L103" s="93"/>
      <c r="M103" s="93"/>
      <c r="N103" s="93"/>
      <c r="O103" s="93"/>
    </row>
  </sheetData>
  <sheetProtection formatCells="0" formatColumns="0" formatRows="0" insertColumns="0" insertRows="0" insertHyperlinks="0" deleteColumns="0" deleteRows="0" sort="0" autoFilter="0" pivotTables="0"/>
  <mergeCells count="9">
    <mergeCell ref="A11:G11"/>
    <mergeCell ref="A40:G40"/>
    <mergeCell ref="A69:G69"/>
    <mergeCell ref="A103:K103"/>
    <mergeCell ref="A1:F1"/>
    <mergeCell ref="B4:C4"/>
    <mergeCell ref="B3:C3"/>
    <mergeCell ref="D3:E3"/>
    <mergeCell ref="D4:E4"/>
  </mergeCells>
  <pageMargins left="0.25" right="0.25" top="0.75" bottom="0.75" header="0.3" footer="0.3"/>
  <pageSetup paperSize="9" scale="34" fitToHeight="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tabColor theme="8" tint="-0.249977111117893"/>
  </sheetPr>
  <dimension ref="A1:AN1014"/>
  <sheetViews>
    <sheetView topLeftCell="L1" zoomScale="55" zoomScaleNormal="55" workbookViewId="0">
      <pane ySplit="1" topLeftCell="A979" activePane="bottomLeft" state="frozen"/>
      <selection activeCell="L131" sqref="L131"/>
      <selection pane="bottomLeft" activeCell="N2" sqref="N2:N1013"/>
    </sheetView>
  </sheetViews>
  <sheetFormatPr defaultColWidth="9.140625" defaultRowHeight="30" customHeight="1" x14ac:dyDescent="0.25"/>
  <cols>
    <col min="1" max="1" width="61.7109375" style="53" customWidth="1"/>
    <col min="2" max="2" width="25.28515625" style="53" customWidth="1"/>
    <col min="3" max="3" width="58" style="53" bestFit="1" customWidth="1"/>
    <col min="4" max="4" width="20.140625" style="53" customWidth="1"/>
    <col min="5" max="5" width="23.5703125" style="53" bestFit="1" customWidth="1"/>
    <col min="6" max="6" width="60.140625" style="53" bestFit="1" customWidth="1"/>
    <col min="7" max="7" width="20.7109375" style="53" bestFit="1" customWidth="1"/>
    <col min="8" max="8" width="29.28515625" style="53" bestFit="1" customWidth="1"/>
    <col min="9" max="9" width="18.85546875" style="53" customWidth="1"/>
    <col min="10" max="10" width="58" style="53" bestFit="1" customWidth="1"/>
    <col min="11" max="11" width="51.5703125" style="53" bestFit="1" customWidth="1"/>
    <col min="12" max="12" width="39.140625" style="53" bestFit="1" customWidth="1"/>
    <col min="13" max="13" width="36.28515625" style="53" bestFit="1" customWidth="1"/>
    <col min="14" max="14" width="51.5703125" style="57" customWidth="1"/>
    <col min="15" max="15" width="24.85546875" style="53" bestFit="1" customWidth="1"/>
    <col min="16" max="16" width="38.85546875" style="53" bestFit="1" customWidth="1"/>
    <col min="17" max="17" width="29.42578125" style="53" bestFit="1" customWidth="1"/>
    <col min="18" max="18" width="43" style="53" bestFit="1" customWidth="1"/>
    <col min="19" max="19" width="26.85546875" style="53" bestFit="1" customWidth="1"/>
    <col min="20" max="20" width="39.85546875" style="53" bestFit="1" customWidth="1"/>
    <col min="21" max="21" width="28" style="53" bestFit="1" customWidth="1"/>
    <col min="22" max="22" width="41.42578125" style="53" bestFit="1" customWidth="1"/>
    <col min="23" max="23" width="35" style="53" bestFit="1" customWidth="1"/>
    <col min="24" max="24" width="48" style="53" bestFit="1" customWidth="1"/>
    <col min="25" max="25" width="35.140625" style="53" bestFit="1" customWidth="1"/>
    <col min="26" max="26" width="47.140625" style="53" bestFit="1" customWidth="1"/>
    <col min="27" max="27" width="34.42578125" style="53" bestFit="1" customWidth="1"/>
    <col min="28" max="28" width="46.42578125" style="53" bestFit="1" customWidth="1"/>
    <col min="29" max="29" width="29.42578125" style="53" bestFit="1" customWidth="1"/>
    <col min="30" max="30" width="43" style="53" bestFit="1" customWidth="1"/>
    <col min="31" max="32" width="37.28515625" style="53" bestFit="1" customWidth="1"/>
    <col min="33" max="33" width="67.140625" style="53" customWidth="1"/>
    <col min="34" max="34" width="22" style="53" customWidth="1"/>
    <col min="35" max="35" width="23.5703125" style="53" bestFit="1" customWidth="1"/>
    <col min="36" max="36" width="25.5703125" style="53" bestFit="1" customWidth="1"/>
    <col min="37" max="37" width="55.42578125" style="53" bestFit="1" customWidth="1"/>
    <col min="38" max="38" width="13.140625" style="10" bestFit="1" customWidth="1"/>
    <col min="39" max="39" width="12.85546875" style="10" bestFit="1" customWidth="1"/>
    <col min="40" max="40" width="13.140625" style="10" bestFit="1" customWidth="1"/>
    <col min="41" max="16384" width="9.140625" style="10"/>
  </cols>
  <sheetData>
    <row r="1" spans="1:40" s="53" customFormat="1" ht="33" customHeight="1" x14ac:dyDescent="0.25">
      <c r="A1" s="224" t="s">
        <v>168</v>
      </c>
      <c r="B1" s="224" t="s">
        <v>169</v>
      </c>
      <c r="C1" s="224" t="s">
        <v>170</v>
      </c>
      <c r="D1" s="224" t="s">
        <v>171</v>
      </c>
      <c r="E1" s="224" t="s">
        <v>172</v>
      </c>
      <c r="F1" s="224" t="s">
        <v>173</v>
      </c>
      <c r="G1" s="224" t="s">
        <v>174</v>
      </c>
      <c r="H1" s="224" t="s">
        <v>175</v>
      </c>
      <c r="I1" s="224" t="s">
        <v>176</v>
      </c>
      <c r="J1" s="224" t="s">
        <v>177</v>
      </c>
      <c r="K1" s="224" t="s">
        <v>178</v>
      </c>
      <c r="L1" s="224" t="s">
        <v>179</v>
      </c>
      <c r="M1" s="224" t="s">
        <v>180</v>
      </c>
      <c r="N1" s="225" t="s">
        <v>55</v>
      </c>
      <c r="O1" s="140" t="s">
        <v>46</v>
      </c>
      <c r="P1" s="140" t="s">
        <v>181</v>
      </c>
      <c r="Q1" s="140" t="s">
        <v>47</v>
      </c>
      <c r="R1" s="140" t="s">
        <v>182</v>
      </c>
      <c r="S1" s="140" t="s">
        <v>48</v>
      </c>
      <c r="T1" s="140" t="s">
        <v>183</v>
      </c>
      <c r="U1" s="140" t="s">
        <v>49</v>
      </c>
      <c r="V1" s="140" t="s">
        <v>184</v>
      </c>
      <c r="W1" s="140" t="s">
        <v>50</v>
      </c>
      <c r="X1" s="140" t="s">
        <v>185</v>
      </c>
      <c r="Y1" s="140" t="s">
        <v>51</v>
      </c>
      <c r="Z1" s="140" t="s">
        <v>186</v>
      </c>
      <c r="AA1" s="140" t="s">
        <v>187</v>
      </c>
      <c r="AB1" s="140" t="s">
        <v>188</v>
      </c>
      <c r="AC1" s="140" t="s">
        <v>53</v>
      </c>
      <c r="AD1" s="33" t="s">
        <v>189</v>
      </c>
      <c r="AE1" s="141" t="s">
        <v>190</v>
      </c>
      <c r="AF1" s="141" t="s">
        <v>191</v>
      </c>
      <c r="AG1" s="140" t="s">
        <v>192</v>
      </c>
      <c r="AH1" s="140" t="s">
        <v>193</v>
      </c>
      <c r="AI1" s="34" t="s">
        <v>194</v>
      </c>
      <c r="AJ1" s="34" t="s">
        <v>195</v>
      </c>
      <c r="AK1" s="34" t="s">
        <v>196</v>
      </c>
    </row>
    <row r="2" spans="1:40" s="53" customFormat="1" ht="30" customHeight="1" x14ac:dyDescent="0.2">
      <c r="A2" s="230" t="s">
        <v>197</v>
      </c>
      <c r="B2" s="231">
        <v>2613586110</v>
      </c>
      <c r="C2" s="231" t="s">
        <v>85</v>
      </c>
      <c r="D2" s="231" t="s">
        <v>76</v>
      </c>
      <c r="E2" s="231" t="s">
        <v>198</v>
      </c>
      <c r="F2" s="231" t="s">
        <v>199</v>
      </c>
      <c r="G2" s="231">
        <v>30</v>
      </c>
      <c r="H2" s="231"/>
      <c r="I2" s="231" t="s">
        <v>200</v>
      </c>
      <c r="J2" s="231" t="s">
        <v>85</v>
      </c>
      <c r="K2" s="238" t="s">
        <v>201</v>
      </c>
      <c r="L2" s="232" t="s">
        <v>202</v>
      </c>
      <c r="M2" s="232">
        <v>46026.609722222223</v>
      </c>
      <c r="N2" s="231" t="s">
        <v>203</v>
      </c>
      <c r="O2" s="184" t="s">
        <v>204</v>
      </c>
      <c r="P2" s="186"/>
      <c r="Q2" s="166" t="s">
        <v>204</v>
      </c>
      <c r="R2" s="186"/>
      <c r="S2" s="166" t="s">
        <v>204</v>
      </c>
      <c r="T2" s="186"/>
      <c r="U2" s="166" t="s">
        <v>204</v>
      </c>
      <c r="V2" s="186"/>
      <c r="W2" s="166" t="s">
        <v>204</v>
      </c>
      <c r="X2" s="186"/>
      <c r="Y2" s="166" t="s">
        <v>204</v>
      </c>
      <c r="Z2" s="186"/>
      <c r="AA2" s="166" t="s">
        <v>204</v>
      </c>
      <c r="AB2" s="186"/>
      <c r="AC2" s="166" t="s">
        <v>204</v>
      </c>
      <c r="AD2" s="189"/>
      <c r="AE2" s="166" t="s">
        <v>204</v>
      </c>
      <c r="AF2" s="187" t="str">
        <f>IF(AND(O2="",Q2="",S2="",U2="",W2="",Y2="",AA2="",AC2=""),"",IF(OR(AND(O2&lt;&gt;"NA",O2&lt;&gt;"C",O2&lt;&gt;"NC",O2&lt;&gt;"SF",O2&lt;&gt;""),AND(Q2&lt;&gt;"NA",Q2&lt;&gt;"C",Q2&lt;&gt;"NC",Q2&lt;&gt;"SF",Q2&lt;&gt;""),AND(S2&lt;&gt;"NA",S2&lt;&gt;"C",S2&lt;&gt;"NC",S2&lt;&gt;"SF",S2&lt;&gt;""),AND(U2&lt;&gt;"NA",U2&lt;&gt;"C",U2&lt;&gt;"NC",U2&lt;&gt;"SF",U2&lt;&gt;""),AND(W2&lt;&gt;"NA",W2&lt;&gt;"C",W2&lt;&gt;"NC",W2&lt;&gt;"SF",W2&lt;&gt;""),AND(Y2&lt;&gt;"NA",Y2&lt;&gt;"C",Y2&lt;&gt;"NC",Y2&lt;&gt;"SF",Y2&lt;&gt;""),AND(AA2&lt;&gt;"NA",AA2&lt;&gt;"C",AA2&lt;&gt;"NC",AA2&lt;&gt;"SF",AA2&lt;&gt;""),AND(AC2&lt;&gt;"NA",AC2&lt;&gt;"C",AC2&lt;&gt;"NC",AC2&lt;&gt;"SF",AC2&lt;&gt;"")),"FALSO",IF(AND(O2="NA",Q2="NA",S2="NA",U2="NA",W2="NA",Y2="NA",AA2="NA",AC2="NA"),"NA",IF(OR(O2="NC",Q2="NC",S2="NC",U2="NC",W2="NC",Y2="NC",AA2="NC",AC2="NC",O2="SF",Q2="SF",S2="SF",U2="SF",W2="SF",Y2="SF",AA2="SF",AC2="SF"),"NC",IF(OR(O2="C",Q2="C",S2="C",U2="C",W2="C",Y2="C",AA2="C",AC2="C"),"C","")))))</f>
        <v>C</v>
      </c>
      <c r="AG2" s="201" t="str">
        <f>IF(AND(AE2="C",AF2="C"),"UTILIZOU O PDA CORRETAMENTE",IF(AND(AE2="C",AF2="NC"),"UTILIZOU O PDA CORRETAMENTE. NÃO HÁ FOTOS DE TODAS AS ETAPAS",IF(AND(AE2="NC",AF2="NC"),"NÃO UTILIZOU O PDA",IF(AND(AE2="NA",AF2="NA"),"NÃO AVALIADO POR FALHA DE SINCRONISMO"))))</f>
        <v>UTILIZOU O PDA CORRETAMENTE</v>
      </c>
      <c r="AH2" s="166" t="s">
        <v>204</v>
      </c>
      <c r="AI2" s="202" t="s">
        <v>6</v>
      </c>
      <c r="AJ2" s="97" t="str">
        <f>E2</f>
        <v>GUARULHOS</v>
      </c>
      <c r="AK2" s="211" t="s">
        <v>39</v>
      </c>
      <c r="AL2" s="53">
        <v>-2.0000000000000001E-4</v>
      </c>
      <c r="AM2" s="53" t="str" cm="1">
        <f t="array" ref="AM2">IF(OR(O2&lt;&gt;"", SUMPRODUCT(($AN$2:$AN$5000=AN2)*($AL$2:$AL$5000&lt;=AL2)) &lt;= (COUNTIF($AN$2:$AN$5000,AN2)*0.5)), "SORTEADO", "-")</f>
        <v>SORTEADO</v>
      </c>
      <c r="AN2" s="232" t="s">
        <v>202</v>
      </c>
    </row>
    <row r="3" spans="1:40" ht="30" customHeight="1" x14ac:dyDescent="0.2">
      <c r="A3" s="231" t="s">
        <v>197</v>
      </c>
      <c r="B3" s="231">
        <v>2613368415</v>
      </c>
      <c r="C3" s="231" t="s">
        <v>94</v>
      </c>
      <c r="D3" s="231" t="s">
        <v>76</v>
      </c>
      <c r="E3" s="231" t="s">
        <v>198</v>
      </c>
      <c r="F3" s="231" t="s">
        <v>205</v>
      </c>
      <c r="G3" s="231">
        <v>419</v>
      </c>
      <c r="H3" s="231" t="s">
        <v>206</v>
      </c>
      <c r="I3" s="231" t="s">
        <v>207</v>
      </c>
      <c r="J3" s="231" t="s">
        <v>94</v>
      </c>
      <c r="K3" s="231" t="s">
        <v>208</v>
      </c>
      <c r="L3" s="232" t="s">
        <v>202</v>
      </c>
      <c r="M3" s="232">
        <v>46026.681250000001</v>
      </c>
      <c r="N3" s="231" t="s">
        <v>209</v>
      </c>
      <c r="O3" s="157" t="s">
        <v>204</v>
      </c>
      <c r="P3" s="143"/>
      <c r="Q3" s="144" t="s">
        <v>204</v>
      </c>
      <c r="R3" s="143"/>
      <c r="S3" s="144" t="s">
        <v>204</v>
      </c>
      <c r="T3" s="143"/>
      <c r="U3" s="144" t="s">
        <v>204</v>
      </c>
      <c r="V3" s="143"/>
      <c r="W3" s="144" t="s">
        <v>204</v>
      </c>
      <c r="X3" s="143"/>
      <c r="Y3" s="144" t="s">
        <v>204</v>
      </c>
      <c r="Z3" s="143"/>
      <c r="AA3" s="144" t="s">
        <v>204</v>
      </c>
      <c r="AB3" s="143"/>
      <c r="AC3" s="144" t="s">
        <v>204</v>
      </c>
      <c r="AD3" s="56"/>
      <c r="AE3" s="144" t="s">
        <v>204</v>
      </c>
      <c r="AF3" s="187" t="str">
        <f t="shared" ref="AF3:AF6" si="0">IF(AND(O3="",Q3="",S3="",U3="",W3="",Y3="",AA3="",AC3=""),"",IF(OR(AND(O3&lt;&gt;"NA",O3&lt;&gt;"C",O3&lt;&gt;"NC",O3&lt;&gt;"SF",O3&lt;&gt;""),AND(Q3&lt;&gt;"NA",Q3&lt;&gt;"C",Q3&lt;&gt;"NC",Q3&lt;&gt;"SF",Q3&lt;&gt;""),AND(S3&lt;&gt;"NA",S3&lt;&gt;"C",S3&lt;&gt;"NC",S3&lt;&gt;"SF",S3&lt;&gt;""),AND(U3&lt;&gt;"NA",U3&lt;&gt;"C",U3&lt;&gt;"NC",U3&lt;&gt;"SF",U3&lt;&gt;""),AND(W3&lt;&gt;"NA",W3&lt;&gt;"C",W3&lt;&gt;"NC",W3&lt;&gt;"SF",W3&lt;&gt;""),AND(Y3&lt;&gt;"NA",Y3&lt;&gt;"C",Y3&lt;&gt;"NC",Y3&lt;&gt;"SF",Y3&lt;&gt;""),AND(AA3&lt;&gt;"NA",AA3&lt;&gt;"C",AA3&lt;&gt;"NC",AA3&lt;&gt;"SF",AA3&lt;&gt;""),AND(AC3&lt;&gt;"NA",AC3&lt;&gt;"C",AC3&lt;&gt;"NC",AC3&lt;&gt;"SF",AC3&lt;&gt;"")),"FALSO",IF(AND(O3="NA",Q3="NA",S3="NA",U3="NA",W3="NA",Y3="NA",AA3="NA",AC3="NA"),"NA",IF(OR(O3="NC",Q3="NC",S3="NC",U3="NC",W3="NC",Y3="NC",AA3="NC",AC3="NC",O3="SF",Q3="SF",S3="SF",U3="SF",W3="SF",Y3="SF",AA3="SF",AC3="SF"),"NC",IF(OR(O3="C",Q3="C",S3="C",U3="C",W3="C",Y3="C",AA3="C",AC3="C"),"C","")))))</f>
        <v>C</v>
      </c>
      <c r="AG3" s="54" t="str">
        <f t="shared" ref="AG3:AG6" si="1">IF(AND(AE3="C",AF3="C"),"UTILIZOU O PDA CORRETAMENTE",IF(AND(AE3="C",AF3="NC"),"UTILIZOU O PDA CORRETAMENTE. NÃO HÁ FOTOS DE TODAS AS ETAPAS",IF(AND(AE3="NC",AF3="NC"),"NÃO UTILIZOU O PDA",IF(AND(AE3="NA",AF3="NA"),"NÃO AVALIADO POR FALHA DE SINCRONISMO"))))</f>
        <v>UTILIZOU O PDA CORRETAMENTE</v>
      </c>
      <c r="AH3" s="144" t="s">
        <v>742</v>
      </c>
      <c r="AI3" s="95" t="s">
        <v>6</v>
      </c>
      <c r="AJ3" s="97" t="str">
        <f t="shared" ref="AJ3:AJ6" si="2">E3</f>
        <v>GUARULHOS</v>
      </c>
      <c r="AK3" s="212" t="s">
        <v>39</v>
      </c>
      <c r="AL3" s="53">
        <v>-4.0000000000000002E-4</v>
      </c>
      <c r="AM3" s="53" t="str" cm="1">
        <f t="array" ref="AM3">IF(OR(O3&lt;&gt;"", SUMPRODUCT(($AN$2:$AN$5000=AN3)*($AL$2:$AL$5000&lt;=AL3)) &lt;= (COUNTIF($AN$2:$AN$5000,AN3)*0.5)), "SORTEADO", "-")</f>
        <v>SORTEADO</v>
      </c>
      <c r="AN3" s="232" t="s">
        <v>202</v>
      </c>
    </row>
    <row r="4" spans="1:40" ht="30" customHeight="1" x14ac:dyDescent="0.2">
      <c r="A4" s="231" t="s">
        <v>197</v>
      </c>
      <c r="B4" s="231">
        <v>2613368455</v>
      </c>
      <c r="C4" s="231" t="s">
        <v>96</v>
      </c>
      <c r="D4" s="231" t="s">
        <v>76</v>
      </c>
      <c r="E4" s="231" t="s">
        <v>198</v>
      </c>
      <c r="F4" s="231" t="s">
        <v>205</v>
      </c>
      <c r="G4" s="231">
        <v>419</v>
      </c>
      <c r="H4" s="231" t="s">
        <v>211</v>
      </c>
      <c r="I4" s="231" t="s">
        <v>207</v>
      </c>
      <c r="J4" s="231" t="s">
        <v>96</v>
      </c>
      <c r="K4" s="231">
        <v>2613368415</v>
      </c>
      <c r="L4" s="232" t="s">
        <v>202</v>
      </c>
      <c r="M4" s="232">
        <v>46026.68472222222</v>
      </c>
      <c r="N4" s="231" t="s">
        <v>209</v>
      </c>
      <c r="O4" s="157" t="s">
        <v>204</v>
      </c>
      <c r="P4" s="143"/>
      <c r="Q4" s="144" t="s">
        <v>204</v>
      </c>
      <c r="R4" s="143"/>
      <c r="S4" s="144" t="s">
        <v>204</v>
      </c>
      <c r="T4" s="143"/>
      <c r="U4" s="144" t="s">
        <v>204</v>
      </c>
      <c r="V4" s="143"/>
      <c r="W4" s="144" t="s">
        <v>204</v>
      </c>
      <c r="X4" s="143"/>
      <c r="Y4" s="144" t="s">
        <v>204</v>
      </c>
      <c r="Z4" s="143"/>
      <c r="AA4" s="144" t="s">
        <v>204</v>
      </c>
      <c r="AB4" s="143"/>
      <c r="AC4" s="144" t="s">
        <v>204</v>
      </c>
      <c r="AD4" s="56"/>
      <c r="AE4" s="144" t="s">
        <v>204</v>
      </c>
      <c r="AF4" s="187" t="str">
        <f t="shared" si="0"/>
        <v>C</v>
      </c>
      <c r="AG4" s="54" t="str">
        <f t="shared" si="1"/>
        <v>UTILIZOU O PDA CORRETAMENTE</v>
      </c>
      <c r="AH4" s="144" t="s">
        <v>204</v>
      </c>
      <c r="AI4" s="95" t="s">
        <v>6</v>
      </c>
      <c r="AJ4" s="97" t="str">
        <f t="shared" si="2"/>
        <v>GUARULHOS</v>
      </c>
      <c r="AK4" s="212" t="s">
        <v>39</v>
      </c>
      <c r="AL4" s="53">
        <v>0.18823599663210377</v>
      </c>
      <c r="AM4" s="53" t="str" cm="1">
        <f t="array" ref="AM4">IF(OR(O4&lt;&gt;"", SUMPRODUCT(($AN$2:$AN$5000=AN4)*($AL$2:$AL$5000&lt;=AL4)) &lt;= (COUNTIF($AN$2:$AN$5000,AN4)*0.5)), "SORTEADO", "-")</f>
        <v>SORTEADO</v>
      </c>
      <c r="AN4" s="232" t="s">
        <v>202</v>
      </c>
    </row>
    <row r="5" spans="1:40" ht="30" customHeight="1" x14ac:dyDescent="0.2">
      <c r="A5" s="231" t="s">
        <v>197</v>
      </c>
      <c r="B5" s="231">
        <v>2613597228</v>
      </c>
      <c r="C5" s="231" t="s">
        <v>85</v>
      </c>
      <c r="D5" s="231" t="s">
        <v>76</v>
      </c>
      <c r="E5" s="231" t="s">
        <v>198</v>
      </c>
      <c r="F5" s="231" t="s">
        <v>212</v>
      </c>
      <c r="G5" s="231">
        <v>12</v>
      </c>
      <c r="H5" s="231" t="s">
        <v>213</v>
      </c>
      <c r="I5" s="231" t="s">
        <v>214</v>
      </c>
      <c r="J5" s="231" t="s">
        <v>85</v>
      </c>
      <c r="K5" s="231" t="s">
        <v>213</v>
      </c>
      <c r="L5" s="232" t="s">
        <v>202</v>
      </c>
      <c r="M5" s="232">
        <v>46026.543749999997</v>
      </c>
      <c r="N5" s="231" t="s">
        <v>215</v>
      </c>
      <c r="O5" s="157" t="s">
        <v>204</v>
      </c>
      <c r="P5" s="143"/>
      <c r="Q5" s="144" t="s">
        <v>204</v>
      </c>
      <c r="R5" s="143"/>
      <c r="S5" s="144" t="s">
        <v>204</v>
      </c>
      <c r="T5" s="143"/>
      <c r="U5" s="144" t="s">
        <v>204</v>
      </c>
      <c r="V5" s="143"/>
      <c r="W5" s="144" t="s">
        <v>204</v>
      </c>
      <c r="X5" s="143"/>
      <c r="Y5" s="144" t="s">
        <v>204</v>
      </c>
      <c r="Z5" s="143"/>
      <c r="AA5" s="144" t="s">
        <v>204</v>
      </c>
      <c r="AB5" s="143"/>
      <c r="AC5" s="144" t="s">
        <v>204</v>
      </c>
      <c r="AD5" s="56"/>
      <c r="AE5" s="144" t="s">
        <v>204</v>
      </c>
      <c r="AF5" s="187" t="str">
        <f t="shared" si="0"/>
        <v>C</v>
      </c>
      <c r="AG5" s="54" t="str">
        <f t="shared" si="1"/>
        <v>UTILIZOU O PDA CORRETAMENTE</v>
      </c>
      <c r="AH5" s="144" t="s">
        <v>204</v>
      </c>
      <c r="AI5" s="95" t="s">
        <v>6</v>
      </c>
      <c r="AJ5" s="97" t="str">
        <f t="shared" si="2"/>
        <v>GUARULHOS</v>
      </c>
      <c r="AK5" s="212" t="s">
        <v>39</v>
      </c>
      <c r="AL5" s="53">
        <v>-8.0000000000000004E-4</v>
      </c>
      <c r="AM5" s="53" t="str" cm="1">
        <f t="array" ref="AM5">IF(OR(O5&lt;&gt;"", SUMPRODUCT(($AN$2:$AN$5000=AN5)*($AL$2:$AL$5000&lt;=AL5)) &lt;= (COUNTIF($AN$2:$AN$5000,AN5)*0.5)), "SORTEADO", "-")</f>
        <v>SORTEADO</v>
      </c>
      <c r="AN5" s="232" t="s">
        <v>202</v>
      </c>
    </row>
    <row r="6" spans="1:40" ht="30" customHeight="1" x14ac:dyDescent="0.2">
      <c r="A6" s="231" t="s">
        <v>197</v>
      </c>
      <c r="B6" s="231">
        <v>2613572128</v>
      </c>
      <c r="C6" s="231" t="s">
        <v>83</v>
      </c>
      <c r="D6" s="231" t="s">
        <v>76</v>
      </c>
      <c r="E6" s="231" t="s">
        <v>198</v>
      </c>
      <c r="F6" s="231" t="s">
        <v>216</v>
      </c>
      <c r="G6" s="231">
        <v>147</v>
      </c>
      <c r="H6" s="231" t="s">
        <v>217</v>
      </c>
      <c r="I6" s="231" t="s">
        <v>218</v>
      </c>
      <c r="J6" s="231" t="s">
        <v>219</v>
      </c>
      <c r="K6" s="231" t="s">
        <v>220</v>
      </c>
      <c r="L6" s="232" t="s">
        <v>202</v>
      </c>
      <c r="M6" s="232">
        <v>46026.627083333333</v>
      </c>
      <c r="N6" s="231" t="s">
        <v>215</v>
      </c>
      <c r="O6" s="158" t="s">
        <v>204</v>
      </c>
      <c r="P6" s="92"/>
      <c r="Q6" s="146" t="s">
        <v>204</v>
      </c>
      <c r="R6" s="92"/>
      <c r="S6" s="146" t="s">
        <v>204</v>
      </c>
      <c r="T6" s="92"/>
      <c r="U6" s="146" t="s">
        <v>204</v>
      </c>
      <c r="V6" s="92"/>
      <c r="W6" s="146" t="s">
        <v>204</v>
      </c>
      <c r="X6" s="92"/>
      <c r="Y6" s="146" t="s">
        <v>61</v>
      </c>
      <c r="Z6" s="92"/>
      <c r="AA6" s="146" t="s">
        <v>204</v>
      </c>
      <c r="AB6" s="92"/>
      <c r="AC6" s="146" t="s">
        <v>204</v>
      </c>
      <c r="AD6" s="92"/>
      <c r="AE6" s="146" t="s">
        <v>204</v>
      </c>
      <c r="AF6" s="187" t="str">
        <f t="shared" si="0"/>
        <v>C</v>
      </c>
      <c r="AG6" s="54" t="str">
        <f t="shared" si="1"/>
        <v>UTILIZOU O PDA CORRETAMENTE</v>
      </c>
      <c r="AH6" s="144" t="s">
        <v>204</v>
      </c>
      <c r="AI6" s="95" t="s">
        <v>6</v>
      </c>
      <c r="AJ6" s="97" t="str">
        <f t="shared" si="2"/>
        <v>GUARULHOS</v>
      </c>
      <c r="AK6" s="212" t="s">
        <v>39</v>
      </c>
      <c r="AL6" s="53">
        <v>-1E-3</v>
      </c>
      <c r="AM6" s="53" t="str" cm="1">
        <f t="array" ref="AM6">IF(OR(O6&lt;&gt;"", SUMPRODUCT(($AN$2:$AN$5000=AN6)*($AL$2:$AL$5000&lt;=AL6)) &lt;= (COUNTIF($AN$2:$AN$5000,AN6)*0.5)), "SORTEADO", "-")</f>
        <v>SORTEADO</v>
      </c>
      <c r="AN6" s="232" t="s">
        <v>202</v>
      </c>
    </row>
    <row r="7" spans="1:40" ht="30" customHeight="1" x14ac:dyDescent="0.2">
      <c r="A7" s="231" t="s">
        <v>197</v>
      </c>
      <c r="B7" s="231">
        <v>2613596117</v>
      </c>
      <c r="C7" s="231" t="s">
        <v>93</v>
      </c>
      <c r="D7" s="231" t="s">
        <v>76</v>
      </c>
      <c r="E7" s="231" t="s">
        <v>198</v>
      </c>
      <c r="F7" s="231" t="s">
        <v>221</v>
      </c>
      <c r="G7" s="231">
        <v>293</v>
      </c>
      <c r="H7" s="231" t="s">
        <v>222</v>
      </c>
      <c r="I7" s="231" t="s">
        <v>223</v>
      </c>
      <c r="J7" s="231" t="s">
        <v>93</v>
      </c>
      <c r="K7" s="231" t="s">
        <v>213</v>
      </c>
      <c r="L7" s="232" t="s">
        <v>202</v>
      </c>
      <c r="M7" s="232">
        <v>46026.703472222223</v>
      </c>
      <c r="N7" s="231" t="s">
        <v>215</v>
      </c>
      <c r="O7" s="157" t="s">
        <v>204</v>
      </c>
      <c r="P7" s="143"/>
      <c r="Q7" s="144" t="s">
        <v>204</v>
      </c>
      <c r="R7" s="143"/>
      <c r="S7" s="144" t="s">
        <v>204</v>
      </c>
      <c r="T7" s="143"/>
      <c r="U7" s="144" t="s">
        <v>204</v>
      </c>
      <c r="V7" s="143"/>
      <c r="W7" s="144" t="s">
        <v>204</v>
      </c>
      <c r="X7" s="143"/>
      <c r="Y7" s="144" t="s">
        <v>61</v>
      </c>
      <c r="Z7" s="143"/>
      <c r="AA7" s="144" t="s">
        <v>204</v>
      </c>
      <c r="AB7" s="143"/>
      <c r="AC7" s="144" t="s">
        <v>204</v>
      </c>
      <c r="AD7" s="56"/>
      <c r="AE7" s="144" t="s">
        <v>204</v>
      </c>
      <c r="AF7" s="187" t="str">
        <f t="shared" ref="AF7:AF70" si="3">IF(AND(O7="",Q7="",S7="",U7="",W7="",Y7="",AA7="",AC7=""),"",IF(OR(AND(O7&lt;&gt;"NA",O7&lt;&gt;"C",O7&lt;&gt;"NC",O7&lt;&gt;"SF",O7&lt;&gt;""),AND(Q7&lt;&gt;"NA",Q7&lt;&gt;"C",Q7&lt;&gt;"NC",Q7&lt;&gt;"SF",Q7&lt;&gt;""),AND(S7&lt;&gt;"NA",S7&lt;&gt;"C",S7&lt;&gt;"NC",S7&lt;&gt;"SF",S7&lt;&gt;""),AND(U7&lt;&gt;"NA",U7&lt;&gt;"C",U7&lt;&gt;"NC",U7&lt;&gt;"SF",U7&lt;&gt;""),AND(W7&lt;&gt;"NA",W7&lt;&gt;"C",W7&lt;&gt;"NC",W7&lt;&gt;"SF",W7&lt;&gt;""),AND(Y7&lt;&gt;"NA",Y7&lt;&gt;"C",Y7&lt;&gt;"NC",Y7&lt;&gt;"SF",Y7&lt;&gt;""),AND(AA7&lt;&gt;"NA",AA7&lt;&gt;"C",AA7&lt;&gt;"NC",AA7&lt;&gt;"SF",AA7&lt;&gt;""),AND(AC7&lt;&gt;"NA",AC7&lt;&gt;"C",AC7&lt;&gt;"NC",AC7&lt;&gt;"SF",AC7&lt;&gt;"")),"FALSO",IF(AND(O7="NA",Q7="NA",S7="NA",U7="NA",W7="NA",Y7="NA",AA7="NA",AC7="NA"),"NA",IF(OR(O7="NC",Q7="NC",S7="NC",U7="NC",W7="NC",Y7="NC",AA7="NC",AC7="NC",O7="SF",Q7="SF",S7="SF",U7="SF",W7="SF",Y7="SF",AA7="SF",AC7="SF"),"NC",IF(OR(O7="C",Q7="C",S7="C",U7="C",W7="C",Y7="C",AA7="C",AC7="C"),"C","")))))</f>
        <v>C</v>
      </c>
      <c r="AG7" s="54" t="str">
        <f t="shared" ref="AG7:AG28" si="4">IF(AND(AE7="C",AF7="C"),"UTILIZOU O PDA CORRETAMENTE",IF(AND(AE7="C",AF7="NC"),"UTILIZOU O PDA CORRETAMENTE. NÃO HÁ FOTOS DE TODAS AS ETAPAS",IF(AND(AE7="NC",AF7="NC"),"NÃO UTILIZOU O PDA",IF(AND(AE7="NA",AF7="NA"),"NÃO AVALIADO POR FALHA DE SINCRONISMO"))))</f>
        <v>UTILIZOU O PDA CORRETAMENTE</v>
      </c>
      <c r="AH7" s="144" t="s">
        <v>204</v>
      </c>
      <c r="AI7" s="95" t="s">
        <v>6</v>
      </c>
      <c r="AJ7" s="97" t="str">
        <f t="shared" ref="AJ7:AJ70" si="5">E7</f>
        <v>GUARULHOS</v>
      </c>
      <c r="AK7" s="212" t="s">
        <v>39</v>
      </c>
      <c r="AL7" s="53">
        <v>-1.1999999999999999E-3</v>
      </c>
      <c r="AM7" s="53" t="str" cm="1">
        <f t="array" ref="AM7">IF(OR(O7&lt;&gt;"", SUMPRODUCT(($AN$2:$AN$5000=AN7)*($AL$2:$AL$5000&lt;=AL7)) &lt;= (COUNTIF($AN$2:$AN$5000,AN7)*0.5)), "SORTEADO", "-")</f>
        <v>SORTEADO</v>
      </c>
      <c r="AN7" s="232" t="s">
        <v>202</v>
      </c>
    </row>
    <row r="8" spans="1:40" ht="30" hidden="1" customHeight="1" x14ac:dyDescent="0.2">
      <c r="A8" s="231" t="s">
        <v>197</v>
      </c>
      <c r="B8" s="231">
        <v>2613698364</v>
      </c>
      <c r="C8" s="231" t="s">
        <v>105</v>
      </c>
      <c r="D8" s="231" t="s">
        <v>80</v>
      </c>
      <c r="E8" s="231" t="s">
        <v>198</v>
      </c>
      <c r="F8" s="231" t="s">
        <v>224</v>
      </c>
      <c r="G8" s="231">
        <v>313</v>
      </c>
      <c r="H8" s="231"/>
      <c r="I8" s="231" t="s">
        <v>225</v>
      </c>
      <c r="J8" s="231" t="s">
        <v>226</v>
      </c>
      <c r="K8" s="231" t="s">
        <v>227</v>
      </c>
      <c r="L8" s="232" t="s">
        <v>202</v>
      </c>
      <c r="M8" s="232">
        <v>46026.604166666664</v>
      </c>
      <c r="N8" s="231" t="s">
        <v>228</v>
      </c>
      <c r="O8" s="157"/>
      <c r="P8" s="143"/>
      <c r="Q8" s="144"/>
      <c r="R8" s="143"/>
      <c r="S8" s="144"/>
      <c r="T8" s="143"/>
      <c r="U8" s="144"/>
      <c r="V8" s="143"/>
      <c r="W8" s="144"/>
      <c r="X8" s="143"/>
      <c r="Y8" s="144"/>
      <c r="Z8" s="143"/>
      <c r="AA8" s="144"/>
      <c r="AB8" s="143"/>
      <c r="AC8" s="144"/>
      <c r="AD8" s="56"/>
      <c r="AE8" s="144"/>
      <c r="AF8" s="187" t="str">
        <f t="shared" si="3"/>
        <v/>
      </c>
      <c r="AG8" s="54" t="b">
        <f t="shared" si="4"/>
        <v>0</v>
      </c>
      <c r="AH8" s="144"/>
      <c r="AI8" s="95" t="s">
        <v>6</v>
      </c>
      <c r="AJ8" s="97" t="str">
        <f t="shared" si="5"/>
        <v>GUARULHOS</v>
      </c>
      <c r="AK8" s="212" t="s">
        <v>39</v>
      </c>
      <c r="AL8" s="53">
        <v>0.71543241002399927</v>
      </c>
      <c r="AM8" s="53" t="str" cm="1">
        <f t="array" ref="AM8">IF(OR(O8&lt;&gt;"", SUMPRODUCT(($AN$2:$AN$5000=AN8)*($AL$2:$AL$5000&lt;=AL8)) &lt;= (COUNTIF($AN$2:$AN$5000,AN8)*0.5)), "SORTEADO", "-")</f>
        <v>-</v>
      </c>
      <c r="AN8" s="232" t="s">
        <v>202</v>
      </c>
    </row>
    <row r="9" spans="1:40" ht="30" customHeight="1" x14ac:dyDescent="0.2">
      <c r="A9" s="231" t="s">
        <v>197</v>
      </c>
      <c r="B9" s="231">
        <v>2613700387</v>
      </c>
      <c r="C9" s="231" t="s">
        <v>229</v>
      </c>
      <c r="D9" s="231" t="s">
        <v>76</v>
      </c>
      <c r="E9" s="231" t="s">
        <v>198</v>
      </c>
      <c r="F9" s="231" t="s">
        <v>230</v>
      </c>
      <c r="G9" s="231">
        <v>11</v>
      </c>
      <c r="H9" s="231" t="s">
        <v>211</v>
      </c>
      <c r="I9" s="231" t="s">
        <v>231</v>
      </c>
      <c r="J9" s="231" t="s">
        <v>232</v>
      </c>
      <c r="K9" s="231">
        <v>2613700313</v>
      </c>
      <c r="L9" s="232" t="s">
        <v>202</v>
      </c>
      <c r="M9" s="232">
        <v>46026.706250000003</v>
      </c>
      <c r="N9" s="231" t="s">
        <v>209</v>
      </c>
      <c r="O9" s="157" t="s">
        <v>204</v>
      </c>
      <c r="P9" s="143"/>
      <c r="Q9" s="144" t="s">
        <v>204</v>
      </c>
      <c r="R9" s="143"/>
      <c r="S9" s="144" t="s">
        <v>204</v>
      </c>
      <c r="T9" s="143"/>
      <c r="U9" s="144" t="s">
        <v>204</v>
      </c>
      <c r="V9" s="143"/>
      <c r="W9" s="144" t="s">
        <v>204</v>
      </c>
      <c r="X9" s="143"/>
      <c r="Y9" s="144" t="s">
        <v>204</v>
      </c>
      <c r="Z9" s="143"/>
      <c r="AA9" s="144" t="s">
        <v>204</v>
      </c>
      <c r="AB9" s="143"/>
      <c r="AC9" s="144" t="s">
        <v>204</v>
      </c>
      <c r="AD9" s="56"/>
      <c r="AE9" s="144" t="s">
        <v>204</v>
      </c>
      <c r="AF9" s="187" t="str">
        <f t="shared" si="3"/>
        <v>C</v>
      </c>
      <c r="AG9" s="54" t="str">
        <f t="shared" si="4"/>
        <v>UTILIZOU O PDA CORRETAMENTE</v>
      </c>
      <c r="AH9" s="144" t="s">
        <v>204</v>
      </c>
      <c r="AI9" s="95" t="s">
        <v>6</v>
      </c>
      <c r="AJ9" s="97" t="str">
        <f t="shared" si="5"/>
        <v>GUARULHOS</v>
      </c>
      <c r="AK9" s="212" t="s">
        <v>39</v>
      </c>
      <c r="AL9" s="53">
        <v>-1.6000000000000001E-3</v>
      </c>
      <c r="AM9" s="53" t="str" cm="1">
        <f t="array" ref="AM9">IF(OR(O9&lt;&gt;"", SUMPRODUCT(($AN$2:$AN$5000=AN9)*($AL$2:$AL$5000&lt;=AL9)) &lt;= (COUNTIF($AN$2:$AN$5000,AN9)*0.5)), "SORTEADO", "-")</f>
        <v>SORTEADO</v>
      </c>
      <c r="AN9" s="232" t="s">
        <v>202</v>
      </c>
    </row>
    <row r="10" spans="1:40" ht="30" customHeight="1" x14ac:dyDescent="0.2">
      <c r="A10" s="231" t="s">
        <v>197</v>
      </c>
      <c r="B10" s="231">
        <v>2613700313</v>
      </c>
      <c r="C10" s="231" t="s">
        <v>229</v>
      </c>
      <c r="D10" s="231" t="s">
        <v>76</v>
      </c>
      <c r="E10" s="231" t="s">
        <v>198</v>
      </c>
      <c r="F10" s="231" t="s">
        <v>230</v>
      </c>
      <c r="G10" s="231">
        <v>11</v>
      </c>
      <c r="H10" s="231" t="s">
        <v>206</v>
      </c>
      <c r="I10" s="231" t="s">
        <v>231</v>
      </c>
      <c r="J10" s="231" t="s">
        <v>232</v>
      </c>
      <c r="K10" s="231" t="s">
        <v>233</v>
      </c>
      <c r="L10" s="232" t="s">
        <v>202</v>
      </c>
      <c r="M10" s="232">
        <v>46026.706250000003</v>
      </c>
      <c r="N10" s="231" t="s">
        <v>209</v>
      </c>
      <c r="O10" s="157" t="s">
        <v>204</v>
      </c>
      <c r="P10" s="143"/>
      <c r="Q10" s="144" t="s">
        <v>204</v>
      </c>
      <c r="R10" s="143"/>
      <c r="S10" s="144" t="s">
        <v>204</v>
      </c>
      <c r="T10" s="143"/>
      <c r="U10" s="144" t="s">
        <v>204</v>
      </c>
      <c r="V10" s="143"/>
      <c r="W10" s="144" t="s">
        <v>204</v>
      </c>
      <c r="X10" s="143"/>
      <c r="Y10" s="144" t="s">
        <v>204</v>
      </c>
      <c r="Z10" s="143"/>
      <c r="AA10" s="144" t="s">
        <v>204</v>
      </c>
      <c r="AB10" s="143"/>
      <c r="AC10" s="144" t="s">
        <v>204</v>
      </c>
      <c r="AD10" s="56"/>
      <c r="AE10" s="144" t="s">
        <v>204</v>
      </c>
      <c r="AF10" s="187" t="str">
        <f t="shared" si="3"/>
        <v>C</v>
      </c>
      <c r="AG10" s="54" t="str">
        <f t="shared" si="4"/>
        <v>UTILIZOU O PDA CORRETAMENTE</v>
      </c>
      <c r="AH10" s="144" t="s">
        <v>204</v>
      </c>
      <c r="AI10" s="95" t="s">
        <v>6</v>
      </c>
      <c r="AJ10" s="97" t="str">
        <f t="shared" si="5"/>
        <v>GUARULHOS</v>
      </c>
      <c r="AK10" s="212" t="s">
        <v>39</v>
      </c>
      <c r="AL10" s="53">
        <v>-1.8E-3</v>
      </c>
      <c r="AM10" s="53" t="str" cm="1">
        <f t="array" ref="AM10">IF(OR(O10&lt;&gt;"", SUMPRODUCT(($AN$2:$AN$5000=AN10)*($AL$2:$AL$5000&lt;=AL10)) &lt;= (COUNTIF($AN$2:$AN$5000,AN10)*0.5)), "SORTEADO", "-")</f>
        <v>SORTEADO</v>
      </c>
      <c r="AN10" s="232" t="s">
        <v>202</v>
      </c>
    </row>
    <row r="11" spans="1:40" ht="30" hidden="1" customHeight="1" x14ac:dyDescent="0.2">
      <c r="A11" s="231" t="s">
        <v>197</v>
      </c>
      <c r="B11" s="231">
        <v>2613726127</v>
      </c>
      <c r="C11" s="231" t="s">
        <v>105</v>
      </c>
      <c r="D11" s="231" t="s">
        <v>80</v>
      </c>
      <c r="E11" s="231" t="s">
        <v>198</v>
      </c>
      <c r="F11" s="231" t="s">
        <v>234</v>
      </c>
      <c r="G11" s="231">
        <v>417</v>
      </c>
      <c r="H11" s="231" t="s">
        <v>235</v>
      </c>
      <c r="I11" s="231" t="s">
        <v>236</v>
      </c>
      <c r="J11" s="231" t="s">
        <v>226</v>
      </c>
      <c r="K11" s="231" t="s">
        <v>213</v>
      </c>
      <c r="L11" s="232" t="s">
        <v>202</v>
      </c>
      <c r="M11" s="232">
        <v>46026.412499999999</v>
      </c>
      <c r="N11" s="231" t="s">
        <v>237</v>
      </c>
      <c r="O11" s="157"/>
      <c r="P11" s="143"/>
      <c r="Q11" s="144"/>
      <c r="R11" s="143"/>
      <c r="S11" s="144"/>
      <c r="T11" s="143"/>
      <c r="U11" s="144"/>
      <c r="V11" s="143"/>
      <c r="W11" s="144"/>
      <c r="X11" s="143"/>
      <c r="Y11" s="144"/>
      <c r="Z11" s="143"/>
      <c r="AA11" s="144"/>
      <c r="AB11" s="143"/>
      <c r="AC11" s="144"/>
      <c r="AD11" s="56"/>
      <c r="AE11" s="144"/>
      <c r="AF11" s="187" t="str">
        <f t="shared" si="3"/>
        <v/>
      </c>
      <c r="AG11" s="54" t="b">
        <f t="shared" si="4"/>
        <v>0</v>
      </c>
      <c r="AH11" s="144"/>
      <c r="AI11" s="95" t="s">
        <v>6</v>
      </c>
      <c r="AJ11" s="97" t="str">
        <f t="shared" si="5"/>
        <v>GUARULHOS</v>
      </c>
      <c r="AK11" s="212" t="s">
        <v>39</v>
      </c>
      <c r="AL11" s="53">
        <v>0.96952517462365073</v>
      </c>
      <c r="AM11" s="53" t="str" cm="1">
        <f t="array" ref="AM11">IF(OR(O11&lt;&gt;"", SUMPRODUCT(($AN$2:$AN$5000=AN11)*($AL$2:$AL$5000&lt;=AL11)) &lt;= (COUNTIF($AN$2:$AN$5000,AN11)*0.5)), "SORTEADO", "-")</f>
        <v>-</v>
      </c>
      <c r="AN11" s="232" t="s">
        <v>202</v>
      </c>
    </row>
    <row r="12" spans="1:40" ht="30" hidden="1" customHeight="1" x14ac:dyDescent="0.2">
      <c r="A12" s="231" t="s">
        <v>197</v>
      </c>
      <c r="B12" s="231">
        <v>2613740920</v>
      </c>
      <c r="C12" s="231" t="s">
        <v>105</v>
      </c>
      <c r="D12" s="231" t="s">
        <v>80</v>
      </c>
      <c r="E12" s="231" t="s">
        <v>198</v>
      </c>
      <c r="F12" s="231" t="s">
        <v>238</v>
      </c>
      <c r="G12" s="231">
        <v>432</v>
      </c>
      <c r="H12" s="231" t="s">
        <v>239</v>
      </c>
      <c r="I12" s="231" t="s">
        <v>240</v>
      </c>
      <c r="J12" s="231" t="s">
        <v>226</v>
      </c>
      <c r="K12" s="231"/>
      <c r="L12" s="232" t="s">
        <v>202</v>
      </c>
      <c r="M12" s="232">
        <v>46026.668055555558</v>
      </c>
      <c r="N12" s="231" t="s">
        <v>241</v>
      </c>
      <c r="O12" s="157"/>
      <c r="P12" s="143"/>
      <c r="Q12" s="144"/>
      <c r="R12" s="143"/>
      <c r="S12" s="144"/>
      <c r="T12" s="143"/>
      <c r="U12" s="144"/>
      <c r="V12" s="143"/>
      <c r="W12" s="144"/>
      <c r="X12" s="143"/>
      <c r="Y12" s="144"/>
      <c r="Z12" s="143"/>
      <c r="AA12" s="144"/>
      <c r="AB12" s="143"/>
      <c r="AC12" s="144"/>
      <c r="AD12" s="56"/>
      <c r="AE12" s="144"/>
      <c r="AF12" s="187" t="str">
        <f t="shared" si="3"/>
        <v/>
      </c>
      <c r="AG12" s="54" t="b">
        <f t="shared" si="4"/>
        <v>0</v>
      </c>
      <c r="AH12" s="144"/>
      <c r="AI12" s="95" t="s">
        <v>6</v>
      </c>
      <c r="AJ12" s="97" t="str">
        <f t="shared" si="5"/>
        <v>GUARULHOS</v>
      </c>
      <c r="AK12" s="212" t="s">
        <v>39</v>
      </c>
      <c r="AL12" s="53">
        <v>0.4518034554478223</v>
      </c>
      <c r="AM12" s="53" t="str" cm="1">
        <f t="array" ref="AM12">IF(OR(O12&lt;&gt;"", SUMPRODUCT(($AN$2:$AN$5000=AN12)*($AL$2:$AL$5000&lt;=AL12)) &lt;= (COUNTIF($AN$2:$AN$5000,AN12)*0.5)), "SORTEADO", "-")</f>
        <v>-</v>
      </c>
      <c r="AN12" s="232" t="s">
        <v>202</v>
      </c>
    </row>
    <row r="13" spans="1:40" ht="30" hidden="1" customHeight="1" x14ac:dyDescent="0.2">
      <c r="A13" s="231" t="s">
        <v>197</v>
      </c>
      <c r="B13" s="231">
        <v>2613726216</v>
      </c>
      <c r="C13" s="231" t="s">
        <v>105</v>
      </c>
      <c r="D13" s="231" t="s">
        <v>80</v>
      </c>
      <c r="E13" s="231" t="s">
        <v>198</v>
      </c>
      <c r="F13" s="231" t="s">
        <v>242</v>
      </c>
      <c r="G13" s="231">
        <v>158</v>
      </c>
      <c r="H13" s="231" t="s">
        <v>213</v>
      </c>
      <c r="I13" s="231" t="s">
        <v>243</v>
      </c>
      <c r="J13" s="231" t="s">
        <v>226</v>
      </c>
      <c r="K13" s="231" t="s">
        <v>213</v>
      </c>
      <c r="L13" s="232" t="s">
        <v>202</v>
      </c>
      <c r="M13" s="232">
        <v>46026.595833333333</v>
      </c>
      <c r="N13" s="231" t="s">
        <v>244</v>
      </c>
      <c r="O13" s="157"/>
      <c r="P13" s="143"/>
      <c r="Q13" s="144"/>
      <c r="R13" s="143"/>
      <c r="S13" s="144"/>
      <c r="T13" s="143"/>
      <c r="U13" s="144"/>
      <c r="V13" s="143"/>
      <c r="W13" s="144"/>
      <c r="X13" s="143"/>
      <c r="Y13" s="144"/>
      <c r="Z13" s="143"/>
      <c r="AA13" s="144"/>
      <c r="AB13" s="143"/>
      <c r="AC13" s="144"/>
      <c r="AD13" s="56"/>
      <c r="AE13" s="144"/>
      <c r="AF13" s="187" t="str">
        <f t="shared" si="3"/>
        <v/>
      </c>
      <c r="AG13" s="54" t="b">
        <f t="shared" si="4"/>
        <v>0</v>
      </c>
      <c r="AH13" s="144"/>
      <c r="AI13" s="95" t="s">
        <v>6</v>
      </c>
      <c r="AJ13" s="97" t="str">
        <f t="shared" si="5"/>
        <v>GUARULHOS</v>
      </c>
      <c r="AK13" s="212" t="s">
        <v>39</v>
      </c>
      <c r="AL13" s="53">
        <v>0.49334933308626816</v>
      </c>
      <c r="AM13" s="53" t="str" cm="1">
        <f t="array" ref="AM13">IF(OR(O13&lt;&gt;"", SUMPRODUCT(($AN$2:$AN$5000=AN13)*($AL$2:$AL$5000&lt;=AL13)) &lt;= (COUNTIF($AN$2:$AN$5000,AN13)*0.5)), "SORTEADO", "-")</f>
        <v>-</v>
      </c>
      <c r="AN13" s="232" t="s">
        <v>202</v>
      </c>
    </row>
    <row r="14" spans="1:40" ht="30" hidden="1" customHeight="1" x14ac:dyDescent="0.2">
      <c r="A14" s="231" t="s">
        <v>197</v>
      </c>
      <c r="B14" s="231">
        <v>2613767287</v>
      </c>
      <c r="C14" s="231" t="s">
        <v>100</v>
      </c>
      <c r="D14" s="231" t="s">
        <v>78</v>
      </c>
      <c r="E14" s="231" t="s">
        <v>198</v>
      </c>
      <c r="F14" s="231" t="s">
        <v>245</v>
      </c>
      <c r="G14" s="231">
        <v>223</v>
      </c>
      <c r="H14" s="231" t="s">
        <v>246</v>
      </c>
      <c r="I14" s="231" t="s">
        <v>247</v>
      </c>
      <c r="J14" s="231" t="s">
        <v>248</v>
      </c>
      <c r="K14" s="231" t="s">
        <v>249</v>
      </c>
      <c r="L14" s="232" t="s">
        <v>202</v>
      </c>
      <c r="M14" s="232">
        <v>46026.615972222222</v>
      </c>
      <c r="N14" s="231" t="s">
        <v>250</v>
      </c>
      <c r="O14" s="157"/>
      <c r="P14" s="143"/>
      <c r="Q14" s="144"/>
      <c r="R14" s="143"/>
      <c r="S14" s="144"/>
      <c r="T14" s="143"/>
      <c r="U14" s="144"/>
      <c r="V14" s="143"/>
      <c r="W14" s="144"/>
      <c r="X14" s="143"/>
      <c r="Y14" s="144"/>
      <c r="Z14" s="143"/>
      <c r="AA14" s="144"/>
      <c r="AB14" s="143"/>
      <c r="AC14" s="144"/>
      <c r="AD14" s="56"/>
      <c r="AE14" s="144"/>
      <c r="AF14" s="187" t="str">
        <f t="shared" si="3"/>
        <v/>
      </c>
      <c r="AG14" s="54" t="b">
        <f t="shared" si="4"/>
        <v>0</v>
      </c>
      <c r="AH14" s="144"/>
      <c r="AI14" s="95" t="s">
        <v>6</v>
      </c>
      <c r="AJ14" s="97" t="str">
        <f t="shared" si="5"/>
        <v>GUARULHOS</v>
      </c>
      <c r="AK14" s="212" t="s">
        <v>39</v>
      </c>
      <c r="AL14" s="53">
        <v>0.56816255982118846</v>
      </c>
      <c r="AM14" s="53" t="str" cm="1">
        <f t="array" ref="AM14">IF(OR(O14&lt;&gt;"", SUMPRODUCT(($AN$2:$AN$5000=AN14)*($AL$2:$AL$5000&lt;=AL14)) &lt;= (COUNTIF($AN$2:$AN$5000,AN14)*0.5)), "SORTEADO", "-")</f>
        <v>-</v>
      </c>
      <c r="AN14" s="232" t="s">
        <v>202</v>
      </c>
    </row>
    <row r="15" spans="1:40" ht="30" hidden="1" customHeight="1" x14ac:dyDescent="0.2">
      <c r="A15" s="231" t="s">
        <v>197</v>
      </c>
      <c r="B15" s="231">
        <v>2613767096</v>
      </c>
      <c r="C15" s="231" t="s">
        <v>105</v>
      </c>
      <c r="D15" s="231" t="s">
        <v>80</v>
      </c>
      <c r="E15" s="231" t="s">
        <v>198</v>
      </c>
      <c r="F15" s="231" t="s">
        <v>251</v>
      </c>
      <c r="G15" s="231">
        <v>5</v>
      </c>
      <c r="H15" s="231" t="s">
        <v>252</v>
      </c>
      <c r="I15" s="231" t="s">
        <v>253</v>
      </c>
      <c r="J15" s="231" t="s">
        <v>254</v>
      </c>
      <c r="K15" s="231" t="s">
        <v>255</v>
      </c>
      <c r="L15" s="232" t="s">
        <v>202</v>
      </c>
      <c r="M15" s="232">
        <v>46026.673611111109</v>
      </c>
      <c r="N15" s="231" t="s">
        <v>250</v>
      </c>
      <c r="O15" s="157"/>
      <c r="P15" s="143"/>
      <c r="Q15" s="144"/>
      <c r="R15" s="143"/>
      <c r="S15" s="144"/>
      <c r="T15" s="143"/>
      <c r="U15" s="144"/>
      <c r="V15" s="143"/>
      <c r="W15" s="144"/>
      <c r="X15" s="143"/>
      <c r="Y15" s="144"/>
      <c r="Z15" s="143"/>
      <c r="AA15" s="144"/>
      <c r="AB15" s="143"/>
      <c r="AC15" s="144"/>
      <c r="AD15" s="56"/>
      <c r="AE15" s="144"/>
      <c r="AF15" s="187" t="str">
        <f t="shared" si="3"/>
        <v/>
      </c>
      <c r="AG15" s="54" t="b">
        <f t="shared" si="4"/>
        <v>0</v>
      </c>
      <c r="AH15" s="144"/>
      <c r="AI15" s="95" t="s">
        <v>6</v>
      </c>
      <c r="AJ15" s="97" t="str">
        <f t="shared" si="5"/>
        <v>GUARULHOS</v>
      </c>
      <c r="AK15" s="212" t="s">
        <v>39</v>
      </c>
      <c r="AL15" s="53">
        <v>0.49981207155577756</v>
      </c>
      <c r="AM15" s="53" t="str" cm="1">
        <f t="array" ref="AM15">IF(OR(O15&lt;&gt;"", SUMPRODUCT(($AN$2:$AN$5000=AN15)*($AL$2:$AL$5000&lt;=AL15)) &lt;= (COUNTIF($AN$2:$AN$5000,AN15)*0.5)), "SORTEADO", "-")</f>
        <v>-</v>
      </c>
      <c r="AN15" s="232" t="s">
        <v>202</v>
      </c>
    </row>
    <row r="16" spans="1:40" ht="30" hidden="1" customHeight="1" x14ac:dyDescent="0.2">
      <c r="A16" s="231" t="s">
        <v>197</v>
      </c>
      <c r="B16" s="231">
        <v>2613728020</v>
      </c>
      <c r="C16" s="231" t="s">
        <v>106</v>
      </c>
      <c r="D16" s="231" t="s">
        <v>80</v>
      </c>
      <c r="E16" s="231" t="s">
        <v>198</v>
      </c>
      <c r="F16" s="231" t="s">
        <v>256</v>
      </c>
      <c r="G16" s="231">
        <v>26</v>
      </c>
      <c r="H16" s="231" t="s">
        <v>257</v>
      </c>
      <c r="I16" s="231" t="s">
        <v>258</v>
      </c>
      <c r="J16" s="231" t="s">
        <v>259</v>
      </c>
      <c r="K16" s="231"/>
      <c r="L16" s="232" t="s">
        <v>202</v>
      </c>
      <c r="M16" s="232">
        <v>46026.383333333331</v>
      </c>
      <c r="N16" s="231" t="s">
        <v>260</v>
      </c>
      <c r="O16" s="157"/>
      <c r="P16" s="143"/>
      <c r="Q16" s="144"/>
      <c r="R16" s="143"/>
      <c r="S16" s="144"/>
      <c r="T16" s="143"/>
      <c r="U16" s="144"/>
      <c r="V16" s="143"/>
      <c r="W16" s="144"/>
      <c r="X16" s="143"/>
      <c r="Y16" s="144"/>
      <c r="Z16" s="143"/>
      <c r="AA16" s="144"/>
      <c r="AB16" s="143"/>
      <c r="AC16" s="144"/>
      <c r="AD16" s="56"/>
      <c r="AE16" s="144"/>
      <c r="AF16" s="187" t="str">
        <f t="shared" si="3"/>
        <v/>
      </c>
      <c r="AG16" s="54" t="b">
        <f t="shared" si="4"/>
        <v>0</v>
      </c>
      <c r="AH16" s="144"/>
      <c r="AI16" s="95" t="s">
        <v>6</v>
      </c>
      <c r="AJ16" s="97" t="str">
        <f t="shared" si="5"/>
        <v>GUARULHOS</v>
      </c>
      <c r="AK16" s="212" t="s">
        <v>39</v>
      </c>
      <c r="AL16" s="53">
        <v>0.75813073304370993</v>
      </c>
      <c r="AM16" s="53" t="str" cm="1">
        <f t="array" ref="AM16">IF(OR(O16&lt;&gt;"", SUMPRODUCT(($AN$2:$AN$5000=AN16)*($AL$2:$AL$5000&lt;=AL16)) &lt;= (COUNTIF($AN$2:$AN$5000,AN16)*0.5)), "SORTEADO", "-")</f>
        <v>-</v>
      </c>
      <c r="AN16" s="232" t="s">
        <v>202</v>
      </c>
    </row>
    <row r="17" spans="1:40" ht="30" customHeight="1" x14ac:dyDescent="0.2">
      <c r="A17" s="231" t="s">
        <v>197</v>
      </c>
      <c r="B17" s="231">
        <v>2613754890</v>
      </c>
      <c r="C17" s="231" t="s">
        <v>100</v>
      </c>
      <c r="D17" s="231" t="s">
        <v>78</v>
      </c>
      <c r="E17" s="231" t="s">
        <v>198</v>
      </c>
      <c r="F17" s="231" t="s">
        <v>261</v>
      </c>
      <c r="G17" s="231">
        <v>182</v>
      </c>
      <c r="H17" s="231" t="s">
        <v>213</v>
      </c>
      <c r="I17" s="231" t="s">
        <v>262</v>
      </c>
      <c r="J17" s="231" t="s">
        <v>248</v>
      </c>
      <c r="K17" s="231" t="s">
        <v>213</v>
      </c>
      <c r="L17" s="232" t="s">
        <v>202</v>
      </c>
      <c r="M17" s="232">
        <v>46026.457638888889</v>
      </c>
      <c r="N17" s="231" t="s">
        <v>263</v>
      </c>
      <c r="O17" s="157" t="s">
        <v>204</v>
      </c>
      <c r="P17" s="143"/>
      <c r="Q17" s="144" t="s">
        <v>204</v>
      </c>
      <c r="R17" s="143"/>
      <c r="S17" s="144" t="s">
        <v>204</v>
      </c>
      <c r="T17" s="143"/>
      <c r="U17" s="144" t="s">
        <v>204</v>
      </c>
      <c r="V17" s="143"/>
      <c r="W17" s="144" t="s">
        <v>204</v>
      </c>
      <c r="X17" s="143"/>
      <c r="Y17" s="144" t="s">
        <v>204</v>
      </c>
      <c r="Z17" s="143"/>
      <c r="AA17" s="144" t="s">
        <v>204</v>
      </c>
      <c r="AB17" s="143"/>
      <c r="AC17" s="144" t="s">
        <v>210</v>
      </c>
      <c r="AD17" s="56" t="s">
        <v>264</v>
      </c>
      <c r="AE17" s="144" t="s">
        <v>204</v>
      </c>
      <c r="AF17" s="187" t="str">
        <f t="shared" si="3"/>
        <v>NC</v>
      </c>
      <c r="AG17" s="54" t="str">
        <f t="shared" si="4"/>
        <v>UTILIZOU O PDA CORRETAMENTE. NÃO HÁ FOTOS DE TODAS AS ETAPAS</v>
      </c>
      <c r="AH17" s="144" t="s">
        <v>204</v>
      </c>
      <c r="AI17" s="95" t="s">
        <v>6</v>
      </c>
      <c r="AJ17" s="97" t="str">
        <f t="shared" si="5"/>
        <v>GUARULHOS</v>
      </c>
      <c r="AK17" s="212" t="s">
        <v>39</v>
      </c>
      <c r="AL17" s="53">
        <v>-3.2000000000000002E-3</v>
      </c>
      <c r="AM17" s="53" t="str" cm="1">
        <f t="array" ref="AM17">IF(OR(O17&lt;&gt;"", SUMPRODUCT(($AN$2:$AN$5000=AN17)*($AL$2:$AL$5000&lt;=AL17)) &lt;= (COUNTIF($AN$2:$AN$5000,AN17)*0.5)), "SORTEADO", "-")</f>
        <v>SORTEADO</v>
      </c>
      <c r="AN17" s="232" t="s">
        <v>202</v>
      </c>
    </row>
    <row r="18" spans="1:40" ht="30" customHeight="1" x14ac:dyDescent="0.2">
      <c r="A18" s="231" t="s">
        <v>197</v>
      </c>
      <c r="B18" s="231">
        <v>2613754423</v>
      </c>
      <c r="C18" s="231" t="s">
        <v>100</v>
      </c>
      <c r="D18" s="231" t="s">
        <v>78</v>
      </c>
      <c r="E18" s="231" t="s">
        <v>198</v>
      </c>
      <c r="F18" s="231" t="s">
        <v>261</v>
      </c>
      <c r="G18" s="231">
        <v>186</v>
      </c>
      <c r="H18" s="231" t="s">
        <v>265</v>
      </c>
      <c r="I18" s="231" t="s">
        <v>262</v>
      </c>
      <c r="J18" s="231" t="s">
        <v>248</v>
      </c>
      <c r="K18" s="231" t="s">
        <v>266</v>
      </c>
      <c r="L18" s="232" t="s">
        <v>202</v>
      </c>
      <c r="M18" s="232">
        <v>46026.64166666667</v>
      </c>
      <c r="N18" s="231" t="s">
        <v>263</v>
      </c>
      <c r="O18" s="157" t="s">
        <v>204</v>
      </c>
      <c r="P18" s="143"/>
      <c r="Q18" s="144" t="s">
        <v>204</v>
      </c>
      <c r="R18" s="143"/>
      <c r="S18" s="144" t="s">
        <v>204</v>
      </c>
      <c r="T18" s="143"/>
      <c r="U18" s="144" t="s">
        <v>204</v>
      </c>
      <c r="V18" s="143"/>
      <c r="W18" s="144" t="s">
        <v>204</v>
      </c>
      <c r="X18" s="143"/>
      <c r="Y18" s="144" t="s">
        <v>204</v>
      </c>
      <c r="Z18" s="143"/>
      <c r="AA18" s="144" t="s">
        <v>204</v>
      </c>
      <c r="AB18" s="143"/>
      <c r="AC18" s="144" t="s">
        <v>210</v>
      </c>
      <c r="AD18" s="56" t="s">
        <v>264</v>
      </c>
      <c r="AE18" s="144" t="s">
        <v>204</v>
      </c>
      <c r="AF18" s="187" t="str">
        <f t="shared" si="3"/>
        <v>NC</v>
      </c>
      <c r="AG18" s="54" t="str">
        <f t="shared" si="4"/>
        <v>UTILIZOU O PDA CORRETAMENTE. NÃO HÁ FOTOS DE TODAS AS ETAPAS</v>
      </c>
      <c r="AH18" s="144" t="s">
        <v>204</v>
      </c>
      <c r="AI18" s="95" t="s">
        <v>6</v>
      </c>
      <c r="AJ18" s="97" t="str">
        <f t="shared" si="5"/>
        <v>GUARULHOS</v>
      </c>
      <c r="AK18" s="212" t="s">
        <v>39</v>
      </c>
      <c r="AL18" s="53">
        <v>-3.3999999999999998E-3</v>
      </c>
      <c r="AM18" s="53" t="str" cm="1">
        <f t="array" ref="AM18">IF(OR(O18&lt;&gt;"", SUMPRODUCT(($AN$2:$AN$5000=AN18)*($AL$2:$AL$5000&lt;=AL18)) &lt;= (COUNTIF($AN$2:$AN$5000,AN18)*0.5)), "SORTEADO", "-")</f>
        <v>SORTEADO</v>
      </c>
      <c r="AN18" s="232" t="s">
        <v>202</v>
      </c>
    </row>
    <row r="19" spans="1:40" ht="30" customHeight="1" x14ac:dyDescent="0.2">
      <c r="A19" s="231" t="s">
        <v>197</v>
      </c>
      <c r="B19" s="231">
        <v>2689310773</v>
      </c>
      <c r="C19" s="231" t="s">
        <v>106</v>
      </c>
      <c r="D19" s="231" t="s">
        <v>80</v>
      </c>
      <c r="E19" s="231" t="s">
        <v>198</v>
      </c>
      <c r="F19" s="231" t="s">
        <v>267</v>
      </c>
      <c r="G19" s="231">
        <v>210</v>
      </c>
      <c r="H19" s="231" t="s">
        <v>268</v>
      </c>
      <c r="I19" s="231" t="s">
        <v>269</v>
      </c>
      <c r="J19" s="231" t="s">
        <v>270</v>
      </c>
      <c r="K19" s="231" t="s">
        <v>213</v>
      </c>
      <c r="L19" s="232" t="s">
        <v>202</v>
      </c>
      <c r="M19" s="232">
        <v>46026.414583333331</v>
      </c>
      <c r="N19" s="231" t="s">
        <v>271</v>
      </c>
      <c r="O19" s="158" t="s">
        <v>204</v>
      </c>
      <c r="P19" s="92"/>
      <c r="Q19" s="146" t="s">
        <v>204</v>
      </c>
      <c r="R19" s="92"/>
      <c r="S19" s="146" t="s">
        <v>204</v>
      </c>
      <c r="T19" s="92"/>
      <c r="U19" s="146" t="s">
        <v>204</v>
      </c>
      <c r="V19" s="92"/>
      <c r="W19" s="146" t="s">
        <v>204</v>
      </c>
      <c r="X19" s="92"/>
      <c r="Y19" s="146" t="s">
        <v>61</v>
      </c>
      <c r="Z19" s="92"/>
      <c r="AA19" s="146" t="s">
        <v>204</v>
      </c>
      <c r="AB19" s="92"/>
      <c r="AC19" s="146" t="s">
        <v>204</v>
      </c>
      <c r="AD19" s="92"/>
      <c r="AE19" s="146" t="s">
        <v>204</v>
      </c>
      <c r="AF19" s="187" t="str">
        <f t="shared" si="3"/>
        <v>C</v>
      </c>
      <c r="AG19" s="54" t="str">
        <f t="shared" si="4"/>
        <v>UTILIZOU O PDA CORRETAMENTE</v>
      </c>
      <c r="AH19" s="144" t="s">
        <v>204</v>
      </c>
      <c r="AI19" s="95" t="s">
        <v>6</v>
      </c>
      <c r="AJ19" s="97" t="str">
        <f t="shared" si="5"/>
        <v>GUARULHOS</v>
      </c>
      <c r="AK19" s="212" t="s">
        <v>39</v>
      </c>
      <c r="AL19" s="53">
        <v>0.15534461966089463</v>
      </c>
      <c r="AM19" s="53" t="str" cm="1">
        <f t="array" ref="AM19">IF(OR(O19&lt;&gt;"", SUMPRODUCT(($AN$2:$AN$5000=AN19)*($AL$2:$AL$5000&lt;=AL19)) &lt;= (COUNTIF($AN$2:$AN$5000,AN19)*0.5)), "SORTEADO", "-")</f>
        <v>SORTEADO</v>
      </c>
      <c r="AN19" s="232" t="s">
        <v>202</v>
      </c>
    </row>
    <row r="20" spans="1:40" ht="30" hidden="1" customHeight="1" x14ac:dyDescent="0.2">
      <c r="A20" s="231" t="s">
        <v>197</v>
      </c>
      <c r="B20" s="231">
        <v>2689382014</v>
      </c>
      <c r="C20" s="231" t="s">
        <v>106</v>
      </c>
      <c r="D20" s="231" t="s">
        <v>80</v>
      </c>
      <c r="E20" s="231" t="s">
        <v>198</v>
      </c>
      <c r="F20" s="231" t="s">
        <v>267</v>
      </c>
      <c r="G20" s="231">
        <v>210</v>
      </c>
      <c r="H20" s="231" t="s">
        <v>272</v>
      </c>
      <c r="I20" s="231" t="s">
        <v>269</v>
      </c>
      <c r="J20" s="231" t="s">
        <v>259</v>
      </c>
      <c r="K20" s="231" t="s">
        <v>273</v>
      </c>
      <c r="L20" s="232" t="s">
        <v>202</v>
      </c>
      <c r="M20" s="232">
        <v>46026.495138888888</v>
      </c>
      <c r="N20" s="231" t="s">
        <v>271</v>
      </c>
      <c r="O20" s="157"/>
      <c r="P20" s="143"/>
      <c r="Q20" s="144"/>
      <c r="R20" s="143"/>
      <c r="S20" s="144"/>
      <c r="T20" s="143"/>
      <c r="U20" s="144"/>
      <c r="V20" s="143"/>
      <c r="W20" s="144"/>
      <c r="X20" s="143"/>
      <c r="Y20" s="144"/>
      <c r="Z20" s="143"/>
      <c r="AA20" s="144"/>
      <c r="AB20" s="143"/>
      <c r="AC20" s="144"/>
      <c r="AD20" s="56"/>
      <c r="AE20" s="144"/>
      <c r="AF20" s="187" t="str">
        <f t="shared" si="3"/>
        <v/>
      </c>
      <c r="AG20" s="54" t="b">
        <f t="shared" si="4"/>
        <v>0</v>
      </c>
      <c r="AH20" s="144"/>
      <c r="AI20" s="95" t="s">
        <v>6</v>
      </c>
      <c r="AJ20" s="97" t="str">
        <f t="shared" si="5"/>
        <v>GUARULHOS</v>
      </c>
      <c r="AK20" s="212" t="s">
        <v>39</v>
      </c>
      <c r="AL20" s="53">
        <v>0.92273796293572197</v>
      </c>
      <c r="AM20" s="53" t="str" cm="1">
        <f t="array" ref="AM20">IF(OR(O20&lt;&gt;"", SUMPRODUCT(($AN$2:$AN$5000=AN20)*($AL$2:$AL$5000&lt;=AL20)) &lt;= (COUNTIF($AN$2:$AN$5000,AN20)*0.5)), "SORTEADO", "-")</f>
        <v>-</v>
      </c>
      <c r="AN20" s="232" t="s">
        <v>202</v>
      </c>
    </row>
    <row r="21" spans="1:40" ht="30" customHeight="1" x14ac:dyDescent="0.2">
      <c r="A21" s="231" t="s">
        <v>197</v>
      </c>
      <c r="B21" s="231">
        <v>2613840742</v>
      </c>
      <c r="C21" s="231" t="s">
        <v>105</v>
      </c>
      <c r="D21" s="231" t="s">
        <v>80</v>
      </c>
      <c r="E21" s="231" t="s">
        <v>198</v>
      </c>
      <c r="F21" s="231" t="s">
        <v>234</v>
      </c>
      <c r="G21" s="231">
        <v>405</v>
      </c>
      <c r="H21" s="231" t="s">
        <v>213</v>
      </c>
      <c r="I21" s="231" t="s">
        <v>236</v>
      </c>
      <c r="J21" s="231" t="s">
        <v>226</v>
      </c>
      <c r="K21" s="231" t="s">
        <v>274</v>
      </c>
      <c r="L21" s="232" t="s">
        <v>202</v>
      </c>
      <c r="M21" s="232">
        <v>46026.447222222225</v>
      </c>
      <c r="N21" s="231" t="s">
        <v>237</v>
      </c>
      <c r="O21" s="158" t="s">
        <v>204</v>
      </c>
      <c r="P21" s="92"/>
      <c r="Q21" s="146" t="s">
        <v>204</v>
      </c>
      <c r="R21" s="92"/>
      <c r="S21" s="146" t="s">
        <v>204</v>
      </c>
      <c r="T21" s="92"/>
      <c r="U21" s="146" t="s">
        <v>204</v>
      </c>
      <c r="V21" s="92"/>
      <c r="W21" s="146" t="s">
        <v>204</v>
      </c>
      <c r="X21" s="92"/>
      <c r="Y21" s="146" t="s">
        <v>61</v>
      </c>
      <c r="Z21" s="92"/>
      <c r="AA21" s="146" t="s">
        <v>204</v>
      </c>
      <c r="AB21" s="92"/>
      <c r="AC21" s="146" t="s">
        <v>204</v>
      </c>
      <c r="AD21" s="92"/>
      <c r="AE21" s="146" t="s">
        <v>204</v>
      </c>
      <c r="AF21" s="187" t="str">
        <f t="shared" si="3"/>
        <v>C</v>
      </c>
      <c r="AG21" s="54" t="str">
        <f t="shared" si="4"/>
        <v>UTILIZOU O PDA CORRETAMENTE</v>
      </c>
      <c r="AH21" s="144" t="s">
        <v>204</v>
      </c>
      <c r="AI21" s="95" t="s">
        <v>6</v>
      </c>
      <c r="AJ21" s="97" t="str">
        <f t="shared" si="5"/>
        <v>GUARULHOS</v>
      </c>
      <c r="AK21" s="212" t="s">
        <v>39</v>
      </c>
      <c r="AL21" s="53">
        <v>0.25695335562456068</v>
      </c>
      <c r="AM21" s="53" t="str" cm="1">
        <f t="array" ref="AM21">IF(OR(O21&lt;&gt;"", SUMPRODUCT(($AN$2:$AN$5000=AN21)*($AL$2:$AL$5000&lt;=AL21)) &lt;= (COUNTIF($AN$2:$AN$5000,AN21)*0.5)), "SORTEADO", "-")</f>
        <v>SORTEADO</v>
      </c>
      <c r="AN21" s="232" t="s">
        <v>202</v>
      </c>
    </row>
    <row r="22" spans="1:40" ht="30" hidden="1" customHeight="1" x14ac:dyDescent="0.2">
      <c r="A22" s="231" t="s">
        <v>197</v>
      </c>
      <c r="B22" s="231">
        <v>2613859002</v>
      </c>
      <c r="C22" s="231" t="s">
        <v>105</v>
      </c>
      <c r="D22" s="231" t="s">
        <v>80</v>
      </c>
      <c r="E22" s="231" t="s">
        <v>198</v>
      </c>
      <c r="F22" s="231" t="s">
        <v>275</v>
      </c>
      <c r="G22" s="231">
        <v>221</v>
      </c>
      <c r="H22" s="231" t="s">
        <v>276</v>
      </c>
      <c r="I22" s="231" t="s">
        <v>277</v>
      </c>
      <c r="J22" s="231" t="s">
        <v>278</v>
      </c>
      <c r="K22" s="231" t="s">
        <v>213</v>
      </c>
      <c r="L22" s="232" t="s">
        <v>202</v>
      </c>
      <c r="M22" s="232">
        <v>46026.652777777781</v>
      </c>
      <c r="N22" s="231" t="s">
        <v>237</v>
      </c>
      <c r="O22" s="157"/>
      <c r="P22" s="143"/>
      <c r="Q22" s="144"/>
      <c r="R22" s="143"/>
      <c r="S22" s="144"/>
      <c r="T22" s="143"/>
      <c r="U22" s="144"/>
      <c r="V22" s="143"/>
      <c r="W22" s="144"/>
      <c r="X22" s="143"/>
      <c r="Y22" s="144"/>
      <c r="Z22" s="143"/>
      <c r="AA22" s="144"/>
      <c r="AB22" s="143"/>
      <c r="AC22" s="144"/>
      <c r="AD22" s="56"/>
      <c r="AE22" s="144"/>
      <c r="AF22" s="187" t="str">
        <f t="shared" si="3"/>
        <v/>
      </c>
      <c r="AG22" s="54" t="b">
        <f t="shared" si="4"/>
        <v>0</v>
      </c>
      <c r="AH22" s="144"/>
      <c r="AI22" s="95" t="s">
        <v>6</v>
      </c>
      <c r="AJ22" s="97" t="str">
        <f t="shared" si="5"/>
        <v>GUARULHOS</v>
      </c>
      <c r="AK22" s="212" t="s">
        <v>39</v>
      </c>
      <c r="AL22" s="53">
        <v>0.60916211989276192</v>
      </c>
      <c r="AM22" s="53" t="str" cm="1">
        <f t="array" ref="AM22">IF(OR(O22&lt;&gt;"", SUMPRODUCT(($AN$2:$AN$5000=AN22)*($AL$2:$AL$5000&lt;=AL22)) &lt;= (COUNTIF($AN$2:$AN$5000,AN22)*0.5)), "SORTEADO", "-")</f>
        <v>-</v>
      </c>
      <c r="AN22" s="232" t="s">
        <v>202</v>
      </c>
    </row>
    <row r="23" spans="1:40" ht="30" hidden="1" customHeight="1" x14ac:dyDescent="0.2">
      <c r="A23" s="231" t="s">
        <v>197</v>
      </c>
      <c r="B23" s="231">
        <v>2613863178</v>
      </c>
      <c r="C23" s="231" t="s">
        <v>103</v>
      </c>
      <c r="D23" s="231" t="s">
        <v>80</v>
      </c>
      <c r="E23" s="231" t="s">
        <v>198</v>
      </c>
      <c r="F23" s="231" t="s">
        <v>279</v>
      </c>
      <c r="G23" s="231">
        <v>579</v>
      </c>
      <c r="H23" s="231" t="s">
        <v>280</v>
      </c>
      <c r="I23" s="231" t="s">
        <v>281</v>
      </c>
      <c r="J23" s="231" t="s">
        <v>270</v>
      </c>
      <c r="K23" s="231" t="s">
        <v>282</v>
      </c>
      <c r="L23" s="232" t="s">
        <v>202</v>
      </c>
      <c r="M23" s="232">
        <v>46026.645833333336</v>
      </c>
      <c r="N23" s="231" t="s">
        <v>260</v>
      </c>
      <c r="O23" s="157"/>
      <c r="P23" s="143"/>
      <c r="Q23" s="144"/>
      <c r="R23" s="143"/>
      <c r="S23" s="144"/>
      <c r="T23" s="143"/>
      <c r="U23" s="144"/>
      <c r="V23" s="143"/>
      <c r="W23" s="144"/>
      <c r="X23" s="143"/>
      <c r="Y23" s="144"/>
      <c r="Z23" s="143"/>
      <c r="AA23" s="144"/>
      <c r="AB23" s="143"/>
      <c r="AC23" s="144"/>
      <c r="AD23" s="56"/>
      <c r="AE23" s="144"/>
      <c r="AF23" s="187" t="str">
        <f t="shared" si="3"/>
        <v/>
      </c>
      <c r="AG23" s="54" t="b">
        <f t="shared" si="4"/>
        <v>0</v>
      </c>
      <c r="AH23" s="144"/>
      <c r="AI23" s="95" t="s">
        <v>6</v>
      </c>
      <c r="AJ23" s="97" t="str">
        <f t="shared" si="5"/>
        <v>GUARULHOS</v>
      </c>
      <c r="AK23" s="212" t="s">
        <v>39</v>
      </c>
      <c r="AL23" s="53">
        <v>0.87909278893821985</v>
      </c>
      <c r="AM23" s="53" t="str" cm="1">
        <f t="array" ref="AM23">IF(OR(O23&lt;&gt;"", SUMPRODUCT(($AN$2:$AN$5000=AN23)*($AL$2:$AL$5000&lt;=AL23)) &lt;= (COUNTIF($AN$2:$AN$5000,AN23)*0.5)), "SORTEADO", "-")</f>
        <v>-</v>
      </c>
      <c r="AN23" s="232" t="s">
        <v>202</v>
      </c>
    </row>
    <row r="24" spans="1:40" ht="30" hidden="1" customHeight="1" x14ac:dyDescent="0.2">
      <c r="A24" s="231" t="s">
        <v>197</v>
      </c>
      <c r="B24" s="231">
        <v>2613866326</v>
      </c>
      <c r="C24" s="231" t="s">
        <v>100</v>
      </c>
      <c r="D24" s="231" t="s">
        <v>78</v>
      </c>
      <c r="E24" s="231" t="s">
        <v>198</v>
      </c>
      <c r="F24" s="231" t="s">
        <v>283</v>
      </c>
      <c r="G24" s="231">
        <v>34</v>
      </c>
      <c r="H24" s="231" t="s">
        <v>284</v>
      </c>
      <c r="I24" s="231" t="s">
        <v>285</v>
      </c>
      <c r="J24" s="231" t="s">
        <v>248</v>
      </c>
      <c r="K24" s="231" t="s">
        <v>286</v>
      </c>
      <c r="L24" s="232" t="s">
        <v>202</v>
      </c>
      <c r="M24" s="232">
        <v>46026.541666666664</v>
      </c>
      <c r="N24" s="231" t="s">
        <v>287</v>
      </c>
      <c r="O24" s="157"/>
      <c r="P24" s="143"/>
      <c r="Q24" s="144"/>
      <c r="R24" s="143"/>
      <c r="S24" s="144"/>
      <c r="T24" s="143"/>
      <c r="U24" s="144"/>
      <c r="V24" s="143"/>
      <c r="W24" s="144"/>
      <c r="X24" s="143"/>
      <c r="Y24" s="144"/>
      <c r="Z24" s="143"/>
      <c r="AA24" s="144"/>
      <c r="AB24" s="143"/>
      <c r="AC24" s="144"/>
      <c r="AD24" s="56"/>
      <c r="AE24" s="144"/>
      <c r="AF24" s="187" t="str">
        <f t="shared" si="3"/>
        <v/>
      </c>
      <c r="AG24" s="54" t="b">
        <f t="shared" si="4"/>
        <v>0</v>
      </c>
      <c r="AH24" s="144"/>
      <c r="AI24" s="95" t="s">
        <v>6</v>
      </c>
      <c r="AJ24" s="97" t="str">
        <f t="shared" si="5"/>
        <v>GUARULHOS</v>
      </c>
      <c r="AK24" s="212" t="s">
        <v>39</v>
      </c>
      <c r="AL24" s="53">
        <v>0.45038989463467971</v>
      </c>
      <c r="AM24" s="53" t="str" cm="1">
        <f t="array" ref="AM24">IF(OR(O24&lt;&gt;"", SUMPRODUCT(($AN$2:$AN$5000=AN24)*($AL$2:$AL$5000&lt;=AL24)) &lt;= (COUNTIF($AN$2:$AN$5000,AN24)*0.5)), "SORTEADO", "-")</f>
        <v>-</v>
      </c>
      <c r="AN24" s="232" t="s">
        <v>202</v>
      </c>
    </row>
    <row r="25" spans="1:40" ht="30" hidden="1" customHeight="1" x14ac:dyDescent="0.2">
      <c r="A25" s="231" t="s">
        <v>197</v>
      </c>
      <c r="B25" s="231">
        <v>2613866966</v>
      </c>
      <c r="C25" s="231" t="s">
        <v>100</v>
      </c>
      <c r="D25" s="231" t="s">
        <v>78</v>
      </c>
      <c r="E25" s="231" t="s">
        <v>198</v>
      </c>
      <c r="F25" s="231" t="s">
        <v>283</v>
      </c>
      <c r="G25" s="231">
        <v>42</v>
      </c>
      <c r="H25" s="231" t="s">
        <v>288</v>
      </c>
      <c r="I25" s="231" t="s">
        <v>285</v>
      </c>
      <c r="J25" s="231" t="s">
        <v>248</v>
      </c>
      <c r="K25" s="231" t="s">
        <v>289</v>
      </c>
      <c r="L25" s="232" t="s">
        <v>202</v>
      </c>
      <c r="M25" s="232">
        <v>46026.539583333331</v>
      </c>
      <c r="N25" s="231" t="s">
        <v>287</v>
      </c>
      <c r="O25" s="157" t="s">
        <v>61</v>
      </c>
      <c r="P25" s="143"/>
      <c r="Q25" s="144" t="s">
        <v>61</v>
      </c>
      <c r="R25" s="143"/>
      <c r="S25" s="144" t="s">
        <v>61</v>
      </c>
      <c r="T25" s="143"/>
      <c r="U25" s="144" t="s">
        <v>61</v>
      </c>
      <c r="V25" s="143"/>
      <c r="W25" s="144" t="s">
        <v>61</v>
      </c>
      <c r="X25" s="143"/>
      <c r="Y25" s="144" t="s">
        <v>61</v>
      </c>
      <c r="Z25" s="143"/>
      <c r="AA25" s="144" t="s">
        <v>61</v>
      </c>
      <c r="AB25" s="143"/>
      <c r="AC25" s="144" t="s">
        <v>61</v>
      </c>
      <c r="AD25" s="56"/>
      <c r="AE25" s="144" t="s">
        <v>61</v>
      </c>
      <c r="AF25" s="187" t="str">
        <f t="shared" si="3"/>
        <v>NA</v>
      </c>
      <c r="AG25" s="54" t="str">
        <f t="shared" si="4"/>
        <v>NÃO AVALIADO POR FALHA DE SINCRONISMO</v>
      </c>
      <c r="AH25" s="144" t="s">
        <v>204</v>
      </c>
      <c r="AI25" s="95" t="s">
        <v>6</v>
      </c>
      <c r="AJ25" s="97" t="str">
        <f t="shared" si="5"/>
        <v>GUARULHOS</v>
      </c>
      <c r="AK25" s="212" t="s">
        <v>39</v>
      </c>
      <c r="AL25" s="53">
        <v>0.12234832004439822</v>
      </c>
      <c r="AM25" s="53" t="str" cm="1">
        <f t="array" ref="AM25">IF(OR(O25&lt;&gt;"", SUMPRODUCT(($AN$2:$AN$5000=AN25)*($AL$2:$AL$5000&lt;=AL25)) &lt;= (COUNTIF($AN$2:$AN$5000,AN25)*0.5)), "SORTEADO", "-")</f>
        <v>SORTEADO</v>
      </c>
      <c r="AN25" s="232" t="s">
        <v>202</v>
      </c>
    </row>
    <row r="26" spans="1:40" ht="30" hidden="1" customHeight="1" x14ac:dyDescent="0.2">
      <c r="A26" s="231" t="s">
        <v>197</v>
      </c>
      <c r="B26" s="231">
        <v>2613870340</v>
      </c>
      <c r="C26" s="231" t="s">
        <v>92</v>
      </c>
      <c r="D26" s="231" t="s">
        <v>77</v>
      </c>
      <c r="E26" s="231" t="s">
        <v>198</v>
      </c>
      <c r="F26" s="231" t="s">
        <v>290</v>
      </c>
      <c r="G26" s="231">
        <v>402</v>
      </c>
      <c r="H26" s="231" t="s">
        <v>213</v>
      </c>
      <c r="I26" s="231" t="s">
        <v>291</v>
      </c>
      <c r="J26" s="231" t="s">
        <v>292</v>
      </c>
      <c r="K26" s="231" t="s">
        <v>293</v>
      </c>
      <c r="L26" s="232" t="s">
        <v>202</v>
      </c>
      <c r="M26" s="232">
        <v>46026.527083333334</v>
      </c>
      <c r="N26" s="231" t="s">
        <v>294</v>
      </c>
      <c r="O26" s="157"/>
      <c r="P26" s="143"/>
      <c r="Q26" s="144"/>
      <c r="R26" s="143"/>
      <c r="S26" s="144"/>
      <c r="T26" s="143"/>
      <c r="U26" s="144"/>
      <c r="V26" s="143"/>
      <c r="W26" s="144"/>
      <c r="X26" s="143"/>
      <c r="Y26" s="144"/>
      <c r="Z26" s="143"/>
      <c r="AA26" s="144"/>
      <c r="AB26" s="143"/>
      <c r="AC26" s="144"/>
      <c r="AD26" s="56"/>
      <c r="AE26" s="144"/>
      <c r="AF26" s="187" t="str">
        <f t="shared" si="3"/>
        <v/>
      </c>
      <c r="AG26" s="54" t="b">
        <f t="shared" si="4"/>
        <v>0</v>
      </c>
      <c r="AH26" s="144"/>
      <c r="AI26" s="95" t="s">
        <v>6</v>
      </c>
      <c r="AJ26" s="97" t="str">
        <f t="shared" si="5"/>
        <v>GUARULHOS</v>
      </c>
      <c r="AK26" s="212" t="s">
        <v>39</v>
      </c>
      <c r="AL26" s="53">
        <v>0.62306271602791741</v>
      </c>
      <c r="AM26" s="53" t="str" cm="1">
        <f t="array" ref="AM26">IF(OR(O26&lt;&gt;"", SUMPRODUCT(($AN$2:$AN$5000=AN26)*($AL$2:$AL$5000&lt;=AL26)) &lt;= (COUNTIF($AN$2:$AN$5000,AN26)*0.5)), "SORTEADO", "-")</f>
        <v>-</v>
      </c>
      <c r="AN26" s="232" t="s">
        <v>202</v>
      </c>
    </row>
    <row r="27" spans="1:40" ht="30" hidden="1" customHeight="1" x14ac:dyDescent="0.2">
      <c r="A27" s="231" t="s">
        <v>197</v>
      </c>
      <c r="B27" s="231">
        <v>2689271856</v>
      </c>
      <c r="C27" s="231" t="s">
        <v>98</v>
      </c>
      <c r="D27" s="231" t="s">
        <v>80</v>
      </c>
      <c r="E27" s="231" t="s">
        <v>198</v>
      </c>
      <c r="F27" s="231" t="s">
        <v>295</v>
      </c>
      <c r="G27" s="231">
        <v>28</v>
      </c>
      <c r="H27" s="231" t="s">
        <v>296</v>
      </c>
      <c r="I27" s="231" t="s">
        <v>281</v>
      </c>
      <c r="J27" s="231" t="s">
        <v>297</v>
      </c>
      <c r="K27" s="231" t="s">
        <v>298</v>
      </c>
      <c r="L27" s="232" t="s">
        <v>202</v>
      </c>
      <c r="M27" s="232">
        <v>46026.511805555558</v>
      </c>
      <c r="N27" s="231" t="s">
        <v>241</v>
      </c>
      <c r="O27" s="157"/>
      <c r="P27" s="143"/>
      <c r="Q27" s="144"/>
      <c r="R27" s="143"/>
      <c r="S27" s="144"/>
      <c r="T27" s="143"/>
      <c r="U27" s="144"/>
      <c r="V27" s="143"/>
      <c r="W27" s="144"/>
      <c r="X27" s="143"/>
      <c r="Y27" s="144"/>
      <c r="Z27" s="143"/>
      <c r="AA27" s="144"/>
      <c r="AB27" s="143"/>
      <c r="AC27" s="144"/>
      <c r="AD27" s="56"/>
      <c r="AE27" s="144"/>
      <c r="AF27" s="187" t="str">
        <f t="shared" si="3"/>
        <v/>
      </c>
      <c r="AG27" s="54" t="b">
        <f t="shared" si="4"/>
        <v>0</v>
      </c>
      <c r="AH27" s="144"/>
      <c r="AI27" s="95" t="s">
        <v>6</v>
      </c>
      <c r="AJ27" s="97" t="str">
        <f t="shared" si="5"/>
        <v>GUARULHOS</v>
      </c>
      <c r="AK27" s="212" t="s">
        <v>39</v>
      </c>
      <c r="AL27" s="53">
        <v>0.70743787445003614</v>
      </c>
      <c r="AM27" s="53" t="str" cm="1">
        <f t="array" ref="AM27">IF(OR(O27&lt;&gt;"", SUMPRODUCT(($AN$2:$AN$5000=AN27)*($AL$2:$AL$5000&lt;=AL27)) &lt;= (COUNTIF($AN$2:$AN$5000,AN27)*0.5)), "SORTEADO", "-")</f>
        <v>-</v>
      </c>
      <c r="AN27" s="232" t="s">
        <v>202</v>
      </c>
    </row>
    <row r="28" spans="1:40" ht="30" hidden="1" customHeight="1" x14ac:dyDescent="0.2">
      <c r="A28" s="231" t="s">
        <v>197</v>
      </c>
      <c r="B28" s="231">
        <v>2613872040</v>
      </c>
      <c r="C28" s="231" t="s">
        <v>105</v>
      </c>
      <c r="D28" s="231" t="s">
        <v>80</v>
      </c>
      <c r="E28" s="231" t="s">
        <v>198</v>
      </c>
      <c r="F28" s="231" t="s">
        <v>299</v>
      </c>
      <c r="G28" s="231">
        <v>125</v>
      </c>
      <c r="H28" s="231" t="s">
        <v>300</v>
      </c>
      <c r="I28" s="231" t="s">
        <v>301</v>
      </c>
      <c r="J28" s="231" t="s">
        <v>226</v>
      </c>
      <c r="K28" s="231" t="s">
        <v>302</v>
      </c>
      <c r="L28" s="232" t="s">
        <v>202</v>
      </c>
      <c r="M28" s="232">
        <v>46026.676388888889</v>
      </c>
      <c r="N28" s="231" t="s">
        <v>303</v>
      </c>
      <c r="O28" s="157"/>
      <c r="P28" s="143"/>
      <c r="Q28" s="144"/>
      <c r="R28" s="143"/>
      <c r="S28" s="144"/>
      <c r="T28" s="143"/>
      <c r="U28" s="144"/>
      <c r="V28" s="143"/>
      <c r="W28" s="144"/>
      <c r="X28" s="143"/>
      <c r="Y28" s="144"/>
      <c r="Z28" s="143"/>
      <c r="AA28" s="144"/>
      <c r="AB28" s="143"/>
      <c r="AC28" s="144"/>
      <c r="AD28" s="56"/>
      <c r="AE28" s="144"/>
      <c r="AF28" s="187" t="str">
        <f t="shared" si="3"/>
        <v/>
      </c>
      <c r="AG28" s="54" t="b">
        <f t="shared" si="4"/>
        <v>0</v>
      </c>
      <c r="AH28" s="144"/>
      <c r="AI28" s="95" t="s">
        <v>6</v>
      </c>
      <c r="AJ28" s="97" t="str">
        <f t="shared" si="5"/>
        <v>GUARULHOS</v>
      </c>
      <c r="AK28" s="212" t="s">
        <v>39</v>
      </c>
      <c r="AL28" s="53">
        <v>0.49141178295177823</v>
      </c>
      <c r="AM28" s="53" t="str" cm="1">
        <f t="array" ref="AM28">IF(OR(O28&lt;&gt;"", SUMPRODUCT(($AN$2:$AN$5000=AN28)*($AL$2:$AL$5000&lt;=AL28)) &lt;= (COUNTIF($AN$2:$AN$5000,AN28)*0.5)), "SORTEADO", "-")</f>
        <v>-</v>
      </c>
      <c r="AN28" s="232" t="s">
        <v>202</v>
      </c>
    </row>
    <row r="29" spans="1:40" ht="30" hidden="1" customHeight="1" x14ac:dyDescent="0.2">
      <c r="A29" s="231" t="s">
        <v>197</v>
      </c>
      <c r="B29" s="231">
        <v>2613872051</v>
      </c>
      <c r="C29" s="231" t="s">
        <v>99</v>
      </c>
      <c r="D29" s="231" t="s">
        <v>80</v>
      </c>
      <c r="E29" s="231" t="s">
        <v>198</v>
      </c>
      <c r="F29" s="231" t="s">
        <v>261</v>
      </c>
      <c r="G29" s="231">
        <v>174</v>
      </c>
      <c r="H29" s="231" t="s">
        <v>304</v>
      </c>
      <c r="I29" s="231" t="s">
        <v>262</v>
      </c>
      <c r="J29" s="231" t="s">
        <v>305</v>
      </c>
      <c r="K29" s="238" t="s">
        <v>306</v>
      </c>
      <c r="L29" s="232" t="s">
        <v>202</v>
      </c>
      <c r="M29" s="232">
        <v>46026.674305555556</v>
      </c>
      <c r="N29" s="231" t="s">
        <v>263</v>
      </c>
      <c r="O29" s="157" t="s">
        <v>61</v>
      </c>
      <c r="P29" s="56"/>
      <c r="Q29" s="144" t="s">
        <v>61</v>
      </c>
      <c r="R29" s="56"/>
      <c r="S29" s="144" t="s">
        <v>61</v>
      </c>
      <c r="T29" s="56"/>
      <c r="U29" s="144" t="s">
        <v>61</v>
      </c>
      <c r="V29" s="56"/>
      <c r="W29" s="144" t="s">
        <v>61</v>
      </c>
      <c r="X29" s="56"/>
      <c r="Y29" s="144" t="s">
        <v>61</v>
      </c>
      <c r="Z29" s="56"/>
      <c r="AA29" s="144" t="s">
        <v>61</v>
      </c>
      <c r="AB29" s="56"/>
      <c r="AC29" s="144" t="s">
        <v>61</v>
      </c>
      <c r="AD29" s="56"/>
      <c r="AE29" s="144" t="s">
        <v>61</v>
      </c>
      <c r="AF29" s="187" t="str">
        <f t="shared" si="3"/>
        <v>NA</v>
      </c>
      <c r="AG29" s="54" t="s">
        <v>307</v>
      </c>
      <c r="AH29" s="144" t="s">
        <v>204</v>
      </c>
      <c r="AI29" s="95" t="s">
        <v>6</v>
      </c>
      <c r="AJ29" s="97" t="str">
        <f t="shared" si="5"/>
        <v>GUARULHOS</v>
      </c>
      <c r="AK29" s="212" t="s">
        <v>39</v>
      </c>
      <c r="AL29" s="53">
        <v>-5.5999999999999999E-3</v>
      </c>
      <c r="AM29" s="53" t="str" cm="1">
        <f t="array" ref="AM29">IF(OR(O29&lt;&gt;"", SUMPRODUCT(($AN$2:$AN$5000=AN29)*($AL$2:$AL$5000&lt;=AL29)) &lt;= (COUNTIF($AN$2:$AN$5000,AN29)*0.5)), "SORTEADO", "-")</f>
        <v>SORTEADO</v>
      </c>
      <c r="AN29" s="232" t="s">
        <v>202</v>
      </c>
    </row>
    <row r="30" spans="1:40" ht="30" hidden="1" customHeight="1" x14ac:dyDescent="0.2">
      <c r="A30" s="231" t="s">
        <v>197</v>
      </c>
      <c r="B30" s="231">
        <v>2613878731</v>
      </c>
      <c r="C30" s="231" t="s">
        <v>105</v>
      </c>
      <c r="D30" s="231" t="s">
        <v>80</v>
      </c>
      <c r="E30" s="231" t="s">
        <v>198</v>
      </c>
      <c r="F30" s="231" t="s">
        <v>308</v>
      </c>
      <c r="G30" s="231">
        <v>426</v>
      </c>
      <c r="H30" s="231" t="s">
        <v>309</v>
      </c>
      <c r="I30" s="231" t="s">
        <v>262</v>
      </c>
      <c r="J30" s="231" t="s">
        <v>226</v>
      </c>
      <c r="K30" s="231" t="s">
        <v>310</v>
      </c>
      <c r="L30" s="232" t="s">
        <v>202</v>
      </c>
      <c r="M30" s="232">
        <v>46026.604861111111</v>
      </c>
      <c r="N30" s="231" t="s">
        <v>241</v>
      </c>
      <c r="O30" s="157" t="s">
        <v>61</v>
      </c>
      <c r="P30" s="56"/>
      <c r="Q30" s="144" t="s">
        <v>61</v>
      </c>
      <c r="R30" s="56"/>
      <c r="S30" s="144" t="s">
        <v>61</v>
      </c>
      <c r="T30" s="56"/>
      <c r="U30" s="144" t="s">
        <v>61</v>
      </c>
      <c r="V30" s="56"/>
      <c r="W30" s="144" t="s">
        <v>61</v>
      </c>
      <c r="X30" s="56"/>
      <c r="Y30" s="144" t="s">
        <v>61</v>
      </c>
      <c r="Z30" s="56"/>
      <c r="AA30" s="144" t="s">
        <v>61</v>
      </c>
      <c r="AB30" s="56"/>
      <c r="AC30" s="144" t="s">
        <v>61</v>
      </c>
      <c r="AD30" s="56"/>
      <c r="AE30" s="144" t="s">
        <v>61</v>
      </c>
      <c r="AF30" s="187" t="str">
        <f t="shared" si="3"/>
        <v>NA</v>
      </c>
      <c r="AG30" s="54" t="s">
        <v>311</v>
      </c>
      <c r="AH30" s="144" t="s">
        <v>204</v>
      </c>
      <c r="AI30" s="95" t="s">
        <v>6</v>
      </c>
      <c r="AJ30" s="97" t="str">
        <f t="shared" si="5"/>
        <v>GUARULHOS</v>
      </c>
      <c r="AK30" s="212" t="s">
        <v>39</v>
      </c>
      <c r="AL30" s="53">
        <v>-5.7999999999999996E-3</v>
      </c>
      <c r="AM30" s="53" t="str" cm="1">
        <f t="array" ref="AM30">IF(OR(O30&lt;&gt;"", SUMPRODUCT(($AN$2:$AN$5000=AN30)*($AL$2:$AL$5000&lt;=AL30)) &lt;= (COUNTIF($AN$2:$AN$5000,AN30)*0.5)), "SORTEADO", "-")</f>
        <v>SORTEADO</v>
      </c>
      <c r="AN30" s="232" t="s">
        <v>202</v>
      </c>
    </row>
    <row r="31" spans="1:40" ht="30" hidden="1" customHeight="1" x14ac:dyDescent="0.2">
      <c r="A31" s="231" t="s">
        <v>197</v>
      </c>
      <c r="B31" s="231">
        <v>2613879704</v>
      </c>
      <c r="C31" s="231" t="s">
        <v>100</v>
      </c>
      <c r="D31" s="231" t="s">
        <v>78</v>
      </c>
      <c r="E31" s="231" t="s">
        <v>198</v>
      </c>
      <c r="F31" s="231" t="s">
        <v>308</v>
      </c>
      <c r="G31" s="231">
        <v>429</v>
      </c>
      <c r="H31" s="231" t="s">
        <v>213</v>
      </c>
      <c r="I31" s="231" t="s">
        <v>262</v>
      </c>
      <c r="J31" s="231" t="s">
        <v>248</v>
      </c>
      <c r="K31" s="231" t="s">
        <v>312</v>
      </c>
      <c r="L31" s="232" t="s">
        <v>202</v>
      </c>
      <c r="M31" s="232">
        <v>46026.603472222225</v>
      </c>
      <c r="N31" s="231" t="s">
        <v>241</v>
      </c>
      <c r="O31" s="157" t="s">
        <v>61</v>
      </c>
      <c r="P31" s="56"/>
      <c r="Q31" s="144" t="s">
        <v>61</v>
      </c>
      <c r="R31" s="56"/>
      <c r="S31" s="144" t="s">
        <v>61</v>
      </c>
      <c r="T31" s="56"/>
      <c r="U31" s="144" t="s">
        <v>61</v>
      </c>
      <c r="V31" s="56"/>
      <c r="W31" s="144" t="s">
        <v>61</v>
      </c>
      <c r="X31" s="56"/>
      <c r="Y31" s="144" t="s">
        <v>61</v>
      </c>
      <c r="Z31" s="56"/>
      <c r="AA31" s="144" t="s">
        <v>61</v>
      </c>
      <c r="AB31" s="56"/>
      <c r="AC31" s="144" t="s">
        <v>61</v>
      </c>
      <c r="AD31" s="56"/>
      <c r="AE31" s="144" t="s">
        <v>61</v>
      </c>
      <c r="AF31" s="187" t="str">
        <f t="shared" si="3"/>
        <v>NA</v>
      </c>
      <c r="AG31" s="54" t="s">
        <v>311</v>
      </c>
      <c r="AH31" s="144" t="s">
        <v>204</v>
      </c>
      <c r="AI31" s="95" t="s">
        <v>6</v>
      </c>
      <c r="AJ31" s="97" t="str">
        <f t="shared" si="5"/>
        <v>GUARULHOS</v>
      </c>
      <c r="AK31" s="212" t="s">
        <v>39</v>
      </c>
      <c r="AL31" s="53">
        <v>-6.0000000000000001E-3</v>
      </c>
      <c r="AM31" s="53" t="str" cm="1">
        <f t="array" ref="AM31">IF(OR(O31&lt;&gt;"", SUMPRODUCT(($AN$2:$AN$5000=AN31)*($AL$2:$AL$5000&lt;=AL31)) &lt;= (COUNTIF($AN$2:$AN$5000,AN31)*0.5)), "SORTEADO", "-")</f>
        <v>SORTEADO</v>
      </c>
      <c r="AN31" s="232" t="s">
        <v>202</v>
      </c>
    </row>
    <row r="32" spans="1:40" ht="30" hidden="1" customHeight="1" x14ac:dyDescent="0.2">
      <c r="A32" s="231" t="s">
        <v>197</v>
      </c>
      <c r="B32" s="231">
        <v>2689282000</v>
      </c>
      <c r="C32" s="231" t="s">
        <v>102</v>
      </c>
      <c r="D32" s="231" t="s">
        <v>80</v>
      </c>
      <c r="E32" s="231" t="s">
        <v>198</v>
      </c>
      <c r="F32" s="231" t="s">
        <v>313</v>
      </c>
      <c r="G32" s="231">
        <v>238</v>
      </c>
      <c r="H32" s="231" t="s">
        <v>314</v>
      </c>
      <c r="I32" s="231" t="s">
        <v>315</v>
      </c>
      <c r="J32" s="231" t="s">
        <v>270</v>
      </c>
      <c r="K32" s="238" t="s">
        <v>316</v>
      </c>
      <c r="L32" s="232" t="s">
        <v>202</v>
      </c>
      <c r="M32" s="232">
        <v>46026.606944444444</v>
      </c>
      <c r="N32" s="231" t="s">
        <v>317</v>
      </c>
      <c r="O32" s="157"/>
      <c r="P32" s="56"/>
      <c r="Q32" s="144"/>
      <c r="R32" s="56"/>
      <c r="S32" s="144"/>
      <c r="T32" s="56"/>
      <c r="U32" s="144"/>
      <c r="V32" s="56"/>
      <c r="W32" s="144"/>
      <c r="X32" s="56"/>
      <c r="Y32" s="144"/>
      <c r="Z32" s="56"/>
      <c r="AA32" s="144"/>
      <c r="AB32" s="56"/>
      <c r="AC32" s="144"/>
      <c r="AD32" s="56"/>
      <c r="AE32" s="144"/>
      <c r="AF32" s="187" t="str">
        <f t="shared" si="3"/>
        <v/>
      </c>
      <c r="AG32" s="54" t="b">
        <f t="shared" ref="AG32:AG71" si="6">IF(AND(AE32="C",AF32="C"),"UTILIZOU O PDA CORRETAMENTE",IF(AND(AE32="C",AF32="NC"),"UTILIZOU O PDA CORRETAMENTE. NÃO HÁ FOTOS DE TODAS AS ETAPAS",IF(AND(AE32="NC",AF32="NC"),"NÃO UTILIZOU O PDA",IF(AND(AE32="NA",AF32="NA"),"NÃO AVALIADO POR FALHA DE SINCRONISMO"))))</f>
        <v>0</v>
      </c>
      <c r="AH32" s="144"/>
      <c r="AI32" s="95" t="s">
        <v>6</v>
      </c>
      <c r="AJ32" s="97" t="str">
        <f t="shared" si="5"/>
        <v>GUARULHOS</v>
      </c>
      <c r="AK32" s="212" t="s">
        <v>39</v>
      </c>
      <c r="AL32" s="53">
        <v>0.87371311332881996</v>
      </c>
      <c r="AM32" s="53" t="str" cm="1">
        <f t="array" ref="AM32">IF(OR(O32&lt;&gt;"", SUMPRODUCT(($AN$2:$AN$5000=AN32)*($AL$2:$AL$5000&lt;=AL32)) &lt;= (COUNTIF($AN$2:$AN$5000,AN32)*0.5)), "SORTEADO", "-")</f>
        <v>-</v>
      </c>
      <c r="AN32" s="232" t="s">
        <v>202</v>
      </c>
    </row>
    <row r="33" spans="1:40" ht="30" hidden="1" customHeight="1" x14ac:dyDescent="0.2">
      <c r="A33" s="231" t="s">
        <v>197</v>
      </c>
      <c r="B33" s="231">
        <v>2613885198</v>
      </c>
      <c r="C33" s="231" t="s">
        <v>98</v>
      </c>
      <c r="D33" s="231" t="s">
        <v>80</v>
      </c>
      <c r="E33" s="231" t="s">
        <v>198</v>
      </c>
      <c r="F33" s="231" t="s">
        <v>295</v>
      </c>
      <c r="G33" s="231">
        <v>32</v>
      </c>
      <c r="H33" s="231" t="s">
        <v>213</v>
      </c>
      <c r="I33" s="231" t="s">
        <v>281</v>
      </c>
      <c r="J33" s="231" t="s">
        <v>297</v>
      </c>
      <c r="K33" s="231" t="s">
        <v>318</v>
      </c>
      <c r="L33" s="232" t="s">
        <v>202</v>
      </c>
      <c r="M33" s="232">
        <v>46026.602083333331</v>
      </c>
      <c r="N33" s="231" t="s">
        <v>241</v>
      </c>
      <c r="O33" s="157"/>
      <c r="P33" s="56"/>
      <c r="Q33" s="144"/>
      <c r="R33" s="56"/>
      <c r="S33" s="144"/>
      <c r="T33" s="56"/>
      <c r="U33" s="144"/>
      <c r="V33" s="56"/>
      <c r="W33" s="144"/>
      <c r="X33" s="56"/>
      <c r="Y33" s="144"/>
      <c r="Z33" s="56"/>
      <c r="AA33" s="144"/>
      <c r="AB33" s="56"/>
      <c r="AC33" s="144"/>
      <c r="AD33" s="56"/>
      <c r="AE33" s="144"/>
      <c r="AF33" s="187" t="str">
        <f t="shared" si="3"/>
        <v/>
      </c>
      <c r="AG33" s="54" t="b">
        <f t="shared" si="6"/>
        <v>0</v>
      </c>
      <c r="AH33" s="144"/>
      <c r="AI33" s="95" t="s">
        <v>6</v>
      </c>
      <c r="AJ33" s="97" t="str">
        <f t="shared" si="5"/>
        <v>GUARULHOS</v>
      </c>
      <c r="AK33" s="212" t="s">
        <v>39</v>
      </c>
      <c r="AL33" s="53">
        <v>0.49800798101610122</v>
      </c>
      <c r="AM33" s="53" t="str" cm="1">
        <f t="array" ref="AM33">IF(OR(O33&lt;&gt;"", SUMPRODUCT(($AN$2:$AN$5000=AN33)*($AL$2:$AL$5000&lt;=AL33)) &lt;= (COUNTIF($AN$2:$AN$5000,AN33)*0.5)), "SORTEADO", "-")</f>
        <v>-</v>
      </c>
      <c r="AN33" s="232" t="s">
        <v>202</v>
      </c>
    </row>
    <row r="34" spans="1:40" ht="30" hidden="1" customHeight="1" x14ac:dyDescent="0.2">
      <c r="A34" s="231" t="s">
        <v>197</v>
      </c>
      <c r="B34" s="231">
        <v>2689425926</v>
      </c>
      <c r="C34" s="231" t="s">
        <v>98</v>
      </c>
      <c r="D34" s="231" t="s">
        <v>80</v>
      </c>
      <c r="E34" s="231" t="s">
        <v>198</v>
      </c>
      <c r="F34" s="231" t="s">
        <v>319</v>
      </c>
      <c r="G34" s="231">
        <v>60</v>
      </c>
      <c r="H34" s="231" t="s">
        <v>206</v>
      </c>
      <c r="I34" s="231" t="s">
        <v>320</v>
      </c>
      <c r="J34" s="231" t="s">
        <v>297</v>
      </c>
      <c r="K34" s="231" t="s">
        <v>321</v>
      </c>
      <c r="L34" s="232" t="s">
        <v>202</v>
      </c>
      <c r="M34" s="232">
        <v>46026.679861111108</v>
      </c>
      <c r="N34" s="231" t="s">
        <v>322</v>
      </c>
      <c r="O34" s="157"/>
      <c r="P34" s="56"/>
      <c r="Q34" s="144"/>
      <c r="R34" s="56"/>
      <c r="S34" s="144"/>
      <c r="T34" s="56"/>
      <c r="U34" s="144"/>
      <c r="V34" s="56"/>
      <c r="W34" s="144"/>
      <c r="X34" s="56"/>
      <c r="Y34" s="144"/>
      <c r="Z34" s="56"/>
      <c r="AA34" s="144"/>
      <c r="AB34" s="56"/>
      <c r="AC34" s="144"/>
      <c r="AD34" s="56"/>
      <c r="AE34" s="144"/>
      <c r="AF34" s="187" t="str">
        <f t="shared" si="3"/>
        <v/>
      </c>
      <c r="AG34" s="54" t="b">
        <f t="shared" si="6"/>
        <v>0</v>
      </c>
      <c r="AH34" s="144"/>
      <c r="AI34" s="95" t="s">
        <v>6</v>
      </c>
      <c r="AJ34" s="97" t="str">
        <f t="shared" si="5"/>
        <v>GUARULHOS</v>
      </c>
      <c r="AK34" s="212" t="s">
        <v>39</v>
      </c>
      <c r="AL34" s="53">
        <v>0.26710525841162414</v>
      </c>
      <c r="AM34" s="53" t="str" cm="1">
        <f t="array" ref="AM34">IF(OR(O34&lt;&gt;"", SUMPRODUCT(($AN$2:$AN$5000=AN34)*($AL$2:$AL$5000&lt;=AL34)) &lt;= (COUNTIF($AN$2:$AN$5000,AN34)*0.5)), "SORTEADO", "-")</f>
        <v>-</v>
      </c>
      <c r="AN34" s="232" t="s">
        <v>202</v>
      </c>
    </row>
    <row r="35" spans="1:40" ht="30" hidden="1" customHeight="1" x14ac:dyDescent="0.2">
      <c r="A35" s="231" t="s">
        <v>197</v>
      </c>
      <c r="B35" s="231">
        <v>2613892109</v>
      </c>
      <c r="C35" s="231" t="s">
        <v>100</v>
      </c>
      <c r="D35" s="231" t="s">
        <v>78</v>
      </c>
      <c r="E35" s="231" t="s">
        <v>198</v>
      </c>
      <c r="F35" s="231" t="s">
        <v>242</v>
      </c>
      <c r="G35" s="231">
        <v>158</v>
      </c>
      <c r="H35" s="231" t="s">
        <v>213</v>
      </c>
      <c r="I35" s="231" t="s">
        <v>243</v>
      </c>
      <c r="J35" s="231" t="s">
        <v>248</v>
      </c>
      <c r="K35" s="231" t="s">
        <v>323</v>
      </c>
      <c r="L35" s="232" t="s">
        <v>202</v>
      </c>
      <c r="M35" s="232">
        <v>46026.758333333331</v>
      </c>
      <c r="N35" s="231" t="s">
        <v>244</v>
      </c>
      <c r="O35" s="157"/>
      <c r="P35" s="56"/>
      <c r="Q35" s="144"/>
      <c r="R35" s="56"/>
      <c r="S35" s="144"/>
      <c r="T35" s="56"/>
      <c r="U35" s="144"/>
      <c r="V35" s="56"/>
      <c r="W35" s="144"/>
      <c r="X35" s="56"/>
      <c r="Y35" s="144"/>
      <c r="Z35" s="56"/>
      <c r="AA35" s="144"/>
      <c r="AB35" s="56"/>
      <c r="AC35" s="144"/>
      <c r="AD35" s="56"/>
      <c r="AE35" s="144"/>
      <c r="AF35" s="187" t="str">
        <f t="shared" si="3"/>
        <v/>
      </c>
      <c r="AG35" s="54" t="b">
        <f t="shared" si="6"/>
        <v>0</v>
      </c>
      <c r="AH35" s="144"/>
      <c r="AI35" s="95" t="s">
        <v>6</v>
      </c>
      <c r="AJ35" s="97" t="str">
        <f t="shared" si="5"/>
        <v>GUARULHOS</v>
      </c>
      <c r="AK35" s="212" t="s">
        <v>39</v>
      </c>
      <c r="AL35" s="53">
        <v>0.65162416903268694</v>
      </c>
      <c r="AM35" s="53" t="str" cm="1">
        <f t="array" ref="AM35">IF(OR(O35&lt;&gt;"", SUMPRODUCT(($AN$2:$AN$5000=AN35)*($AL$2:$AL$5000&lt;=AL35)) &lt;= (COUNTIF($AN$2:$AN$5000,AN35)*0.5)), "SORTEADO", "-")</f>
        <v>-</v>
      </c>
      <c r="AN35" s="232" t="s">
        <v>202</v>
      </c>
    </row>
    <row r="36" spans="1:40" ht="30" customHeight="1" x14ac:dyDescent="0.2">
      <c r="A36" s="231" t="s">
        <v>197</v>
      </c>
      <c r="B36" s="231">
        <v>2613596154</v>
      </c>
      <c r="C36" s="231" t="s">
        <v>95</v>
      </c>
      <c r="D36" s="231" t="s">
        <v>76</v>
      </c>
      <c r="E36" s="231" t="s">
        <v>198</v>
      </c>
      <c r="F36" s="231" t="s">
        <v>221</v>
      </c>
      <c r="G36" s="231">
        <v>293</v>
      </c>
      <c r="H36" s="231" t="s">
        <v>324</v>
      </c>
      <c r="I36" s="231" t="s">
        <v>223</v>
      </c>
      <c r="J36" s="231" t="s">
        <v>95</v>
      </c>
      <c r="K36" s="231" t="s">
        <v>220</v>
      </c>
      <c r="L36" s="232" t="s">
        <v>202</v>
      </c>
      <c r="M36" s="232">
        <v>46026.702777777777</v>
      </c>
      <c r="N36" s="231" t="s">
        <v>215</v>
      </c>
      <c r="O36" s="157" t="s">
        <v>204</v>
      </c>
      <c r="P36" s="56"/>
      <c r="Q36" s="144" t="s">
        <v>204</v>
      </c>
      <c r="R36" s="56"/>
      <c r="S36" s="144" t="s">
        <v>204</v>
      </c>
      <c r="T36" s="56"/>
      <c r="U36" s="144" t="s">
        <v>204</v>
      </c>
      <c r="V36" s="56"/>
      <c r="W36" s="144" t="s">
        <v>204</v>
      </c>
      <c r="X36" s="56"/>
      <c r="Y36" s="144" t="s">
        <v>61</v>
      </c>
      <c r="Z36" s="56"/>
      <c r="AA36" s="144" t="s">
        <v>204</v>
      </c>
      <c r="AB36" s="56"/>
      <c r="AC36" s="144" t="s">
        <v>204</v>
      </c>
      <c r="AD36" s="56"/>
      <c r="AE36" s="144" t="s">
        <v>204</v>
      </c>
      <c r="AF36" s="187" t="str">
        <f t="shared" si="3"/>
        <v>C</v>
      </c>
      <c r="AG36" s="54" t="str">
        <f t="shared" si="6"/>
        <v>UTILIZOU O PDA CORRETAMENTE</v>
      </c>
      <c r="AH36" s="144" t="s">
        <v>204</v>
      </c>
      <c r="AI36" s="95" t="s">
        <v>6</v>
      </c>
      <c r="AJ36" s="97" t="str">
        <f t="shared" si="5"/>
        <v>GUARULHOS</v>
      </c>
      <c r="AK36" s="212" t="s">
        <v>39</v>
      </c>
      <c r="AL36" s="53">
        <v>-7.0000000000000001E-3</v>
      </c>
      <c r="AM36" s="53" t="str" cm="1">
        <f t="array" ref="AM36">IF(OR(O36&lt;&gt;"", SUMPRODUCT(($AN$2:$AN$5000=AN36)*($AL$2:$AL$5000&lt;=AL36)) &lt;= (COUNTIF($AN$2:$AN$5000,AN36)*0.5)), "SORTEADO", "-")</f>
        <v>SORTEADO</v>
      </c>
      <c r="AN36" s="232" t="s">
        <v>202</v>
      </c>
    </row>
    <row r="37" spans="1:40" ht="30" customHeight="1" x14ac:dyDescent="0.2">
      <c r="A37" s="231" t="s">
        <v>197</v>
      </c>
      <c r="B37" s="231">
        <v>2613868634</v>
      </c>
      <c r="C37" s="231" t="s">
        <v>98</v>
      </c>
      <c r="D37" s="231" t="s">
        <v>80</v>
      </c>
      <c r="E37" s="231" t="s">
        <v>198</v>
      </c>
      <c r="F37" s="231" t="s">
        <v>325</v>
      </c>
      <c r="G37" s="231">
        <v>69</v>
      </c>
      <c r="H37" s="231"/>
      <c r="I37" s="231" t="s">
        <v>326</v>
      </c>
      <c r="J37" s="231" t="s">
        <v>297</v>
      </c>
      <c r="K37" s="231" t="s">
        <v>327</v>
      </c>
      <c r="L37" s="232" t="s">
        <v>202</v>
      </c>
      <c r="M37" s="232">
        <v>46026.663194444445</v>
      </c>
      <c r="N37" s="231" t="s">
        <v>271</v>
      </c>
      <c r="O37" s="157" t="s">
        <v>328</v>
      </c>
      <c r="P37" s="143"/>
      <c r="Q37" s="144" t="s">
        <v>328</v>
      </c>
      <c r="R37" s="143"/>
      <c r="S37" s="144" t="s">
        <v>328</v>
      </c>
      <c r="T37" s="143"/>
      <c r="U37" s="144" t="s">
        <v>328</v>
      </c>
      <c r="V37" s="143"/>
      <c r="W37" s="144" t="s">
        <v>328</v>
      </c>
      <c r="X37" s="143"/>
      <c r="Y37" s="144" t="s">
        <v>328</v>
      </c>
      <c r="Z37" s="143"/>
      <c r="AA37" s="144" t="s">
        <v>328</v>
      </c>
      <c r="AB37" s="143"/>
      <c r="AC37" s="144" t="s">
        <v>328</v>
      </c>
      <c r="AD37" s="56"/>
      <c r="AE37" s="144" t="s">
        <v>210</v>
      </c>
      <c r="AF37" s="187" t="str">
        <f t="shared" si="3"/>
        <v>NC</v>
      </c>
      <c r="AG37" s="54" t="str">
        <f t="shared" si="6"/>
        <v>NÃO UTILIZOU O PDA</v>
      </c>
      <c r="AH37" s="144" t="s">
        <v>204</v>
      </c>
      <c r="AI37" s="95" t="s">
        <v>6</v>
      </c>
      <c r="AJ37" s="97" t="str">
        <f t="shared" si="5"/>
        <v>GUARULHOS</v>
      </c>
      <c r="AK37" s="212" t="s">
        <v>39</v>
      </c>
      <c r="AL37" s="53">
        <v>0.14320572156825384</v>
      </c>
      <c r="AM37" s="53" t="str" cm="1">
        <f t="array" ref="AM37">IF(OR(O37&lt;&gt;"", SUMPRODUCT(($AN$2:$AN$5000=AN37)*($AL$2:$AL$5000&lt;=AL37)) &lt;= (COUNTIF($AN$2:$AN$5000,AN37)*0.5)), "SORTEADO", "-")</f>
        <v>SORTEADO</v>
      </c>
      <c r="AN37" s="232" t="s">
        <v>202</v>
      </c>
    </row>
    <row r="38" spans="1:40" ht="30" hidden="1" customHeight="1" x14ac:dyDescent="0.2">
      <c r="A38" s="231" t="s">
        <v>197</v>
      </c>
      <c r="B38" s="231">
        <v>2689442209</v>
      </c>
      <c r="C38" s="231" t="s">
        <v>106</v>
      </c>
      <c r="D38" s="231" t="s">
        <v>80</v>
      </c>
      <c r="E38" s="231" t="s">
        <v>198</v>
      </c>
      <c r="F38" s="231" t="s">
        <v>329</v>
      </c>
      <c r="G38" s="231">
        <v>121</v>
      </c>
      <c r="H38" s="231" t="s">
        <v>330</v>
      </c>
      <c r="I38" s="231" t="s">
        <v>331</v>
      </c>
      <c r="J38" s="231" t="s">
        <v>259</v>
      </c>
      <c r="K38" s="231" t="s">
        <v>213</v>
      </c>
      <c r="L38" s="232" t="s">
        <v>332</v>
      </c>
      <c r="M38" s="232">
        <v>46057.472222222219</v>
      </c>
      <c r="N38" s="231" t="s">
        <v>241</v>
      </c>
      <c r="O38" s="157"/>
      <c r="P38" s="56"/>
      <c r="Q38" s="144"/>
      <c r="R38" s="56"/>
      <c r="S38" s="144"/>
      <c r="T38" s="56"/>
      <c r="U38" s="144"/>
      <c r="V38" s="56"/>
      <c r="W38" s="144"/>
      <c r="X38" s="56"/>
      <c r="Y38" s="144"/>
      <c r="Z38" s="56"/>
      <c r="AA38" s="144"/>
      <c r="AB38" s="56"/>
      <c r="AC38" s="144"/>
      <c r="AD38" s="56"/>
      <c r="AE38" s="144"/>
      <c r="AF38" s="187" t="str">
        <f t="shared" si="3"/>
        <v/>
      </c>
      <c r="AG38" s="54" t="b">
        <f t="shared" si="6"/>
        <v>0</v>
      </c>
      <c r="AH38" s="144"/>
      <c r="AI38" s="95" t="s">
        <v>6</v>
      </c>
      <c r="AJ38" s="97" t="str">
        <f t="shared" si="5"/>
        <v>GUARULHOS</v>
      </c>
      <c r="AK38" s="212" t="s">
        <v>39</v>
      </c>
      <c r="AL38" s="53">
        <v>0.59080309243669582</v>
      </c>
      <c r="AM38" s="53" t="str" cm="1">
        <f t="array" ref="AM38">IF(OR(O38&lt;&gt;"", SUMPRODUCT(($AN$2:$AN$5000=AN38)*($AL$2:$AL$5000&lt;=AL38)) &lt;= (COUNTIF($AN$2:$AN$5000,AN38)*0.5)), "SORTEADO", "-")</f>
        <v>-</v>
      </c>
      <c r="AN38" s="232" t="s">
        <v>332</v>
      </c>
    </row>
    <row r="39" spans="1:40" ht="30" hidden="1" customHeight="1" x14ac:dyDescent="0.2">
      <c r="A39" s="231" t="s">
        <v>197</v>
      </c>
      <c r="B39" s="231">
        <v>2613597177</v>
      </c>
      <c r="C39" s="231" t="s">
        <v>229</v>
      </c>
      <c r="D39" s="231" t="s">
        <v>76</v>
      </c>
      <c r="E39" s="231" t="s">
        <v>198</v>
      </c>
      <c r="F39" s="231" t="s">
        <v>333</v>
      </c>
      <c r="G39" s="231">
        <v>100</v>
      </c>
      <c r="H39" s="231" t="s">
        <v>334</v>
      </c>
      <c r="I39" s="231" t="s">
        <v>335</v>
      </c>
      <c r="J39" s="231" t="s">
        <v>232</v>
      </c>
      <c r="K39" s="238" t="s">
        <v>336</v>
      </c>
      <c r="L39" s="232" t="s">
        <v>332</v>
      </c>
      <c r="M39" s="232">
        <v>46057.292361111111</v>
      </c>
      <c r="N39" s="231" t="s">
        <v>203</v>
      </c>
      <c r="O39" s="157" t="s">
        <v>61</v>
      </c>
      <c r="P39" s="56"/>
      <c r="Q39" s="144" t="s">
        <v>61</v>
      </c>
      <c r="R39" s="56"/>
      <c r="S39" s="144" t="s">
        <v>61</v>
      </c>
      <c r="T39" s="56"/>
      <c r="U39" s="144" t="s">
        <v>61</v>
      </c>
      <c r="V39" s="56"/>
      <c r="W39" s="144" t="s">
        <v>61</v>
      </c>
      <c r="X39" s="56"/>
      <c r="Y39" s="144" t="s">
        <v>61</v>
      </c>
      <c r="Z39" s="56"/>
      <c r="AA39" s="144" t="s">
        <v>61</v>
      </c>
      <c r="AB39" s="56"/>
      <c r="AC39" s="144" t="s">
        <v>61</v>
      </c>
      <c r="AD39" s="56"/>
      <c r="AE39" s="144" t="s">
        <v>61</v>
      </c>
      <c r="AF39" s="187" t="str">
        <f t="shared" si="3"/>
        <v>NA</v>
      </c>
      <c r="AG39" s="54" t="str">
        <f t="shared" si="6"/>
        <v>NÃO AVALIADO POR FALHA DE SINCRONISMO</v>
      </c>
      <c r="AH39" s="144" t="s">
        <v>204</v>
      </c>
      <c r="AI39" s="95" t="s">
        <v>6</v>
      </c>
      <c r="AJ39" s="97" t="str">
        <f t="shared" si="5"/>
        <v>GUARULHOS</v>
      </c>
      <c r="AK39" s="212" t="s">
        <v>39</v>
      </c>
      <c r="AL39" s="53">
        <v>-7.6E-3</v>
      </c>
      <c r="AM39" s="53" t="str" cm="1">
        <f t="array" ref="AM39">IF(OR(O39&lt;&gt;"", SUMPRODUCT(($AN$2:$AN$5000=AN39)*($AL$2:$AL$5000&lt;=AL39)) &lt;= (COUNTIF($AN$2:$AN$5000,AN39)*0.5)), "SORTEADO", "-")</f>
        <v>SORTEADO</v>
      </c>
      <c r="AN39" s="232" t="s">
        <v>332</v>
      </c>
    </row>
    <row r="40" spans="1:40" ht="30" hidden="1" customHeight="1" x14ac:dyDescent="0.2">
      <c r="A40" s="231" t="s">
        <v>197</v>
      </c>
      <c r="B40" s="231">
        <v>2613597155</v>
      </c>
      <c r="C40" s="231" t="s">
        <v>229</v>
      </c>
      <c r="D40" s="231" t="s">
        <v>76</v>
      </c>
      <c r="E40" s="231" t="s">
        <v>198</v>
      </c>
      <c r="F40" s="231" t="s">
        <v>333</v>
      </c>
      <c r="G40" s="231">
        <v>100</v>
      </c>
      <c r="H40" s="231" t="s">
        <v>337</v>
      </c>
      <c r="I40" s="231" t="s">
        <v>335</v>
      </c>
      <c r="J40" s="231" t="s">
        <v>232</v>
      </c>
      <c r="K40" s="238" t="s">
        <v>336</v>
      </c>
      <c r="L40" s="232" t="s">
        <v>332</v>
      </c>
      <c r="M40" s="232">
        <v>46057.292361111111</v>
      </c>
      <c r="N40" s="231" t="s">
        <v>203</v>
      </c>
      <c r="O40" s="157" t="s">
        <v>61</v>
      </c>
      <c r="P40" s="56"/>
      <c r="Q40" s="144" t="s">
        <v>61</v>
      </c>
      <c r="R40" s="56"/>
      <c r="S40" s="144" t="s">
        <v>61</v>
      </c>
      <c r="T40" s="56"/>
      <c r="U40" s="144" t="s">
        <v>61</v>
      </c>
      <c r="V40" s="56"/>
      <c r="W40" s="144" t="s">
        <v>61</v>
      </c>
      <c r="X40" s="56"/>
      <c r="Y40" s="144" t="s">
        <v>61</v>
      </c>
      <c r="Z40" s="56"/>
      <c r="AA40" s="144" t="s">
        <v>61</v>
      </c>
      <c r="AB40" s="56"/>
      <c r="AC40" s="144" t="s">
        <v>61</v>
      </c>
      <c r="AD40" s="56"/>
      <c r="AE40" s="144" t="s">
        <v>61</v>
      </c>
      <c r="AF40" s="187" t="str">
        <f t="shared" si="3"/>
        <v>NA</v>
      </c>
      <c r="AG40" s="54" t="str">
        <f t="shared" si="6"/>
        <v>NÃO AVALIADO POR FALHA DE SINCRONISMO</v>
      </c>
      <c r="AH40" s="144" t="s">
        <v>204</v>
      </c>
      <c r="AI40" s="95" t="s">
        <v>6</v>
      </c>
      <c r="AJ40" s="97" t="str">
        <f t="shared" si="5"/>
        <v>GUARULHOS</v>
      </c>
      <c r="AK40" s="212" t="s">
        <v>39</v>
      </c>
      <c r="AL40" s="53">
        <v>-7.7999999999999996E-3</v>
      </c>
      <c r="AM40" s="53" t="str" cm="1">
        <f t="array" ref="AM40">IF(OR(O40&lt;&gt;"", SUMPRODUCT(($AN$2:$AN$5000=AN40)*($AL$2:$AL$5000&lt;=AL40)) &lt;= (COUNTIF($AN$2:$AN$5000,AN40)*0.5)), "SORTEADO", "-")</f>
        <v>SORTEADO</v>
      </c>
      <c r="AN40" s="232" t="s">
        <v>332</v>
      </c>
    </row>
    <row r="41" spans="1:40" ht="30" hidden="1" customHeight="1" x14ac:dyDescent="0.2">
      <c r="A41" s="231" t="s">
        <v>197</v>
      </c>
      <c r="B41" s="231">
        <v>2613597181</v>
      </c>
      <c r="C41" s="231" t="s">
        <v>229</v>
      </c>
      <c r="D41" s="231" t="s">
        <v>76</v>
      </c>
      <c r="E41" s="231" t="s">
        <v>198</v>
      </c>
      <c r="F41" s="231" t="s">
        <v>333</v>
      </c>
      <c r="G41" s="231">
        <v>100</v>
      </c>
      <c r="H41" s="231" t="s">
        <v>338</v>
      </c>
      <c r="I41" s="231" t="s">
        <v>335</v>
      </c>
      <c r="J41" s="231" t="s">
        <v>232</v>
      </c>
      <c r="K41" s="238" t="s">
        <v>336</v>
      </c>
      <c r="L41" s="232" t="s">
        <v>332</v>
      </c>
      <c r="M41" s="232">
        <v>46057.292361111111</v>
      </c>
      <c r="N41" s="231" t="s">
        <v>203</v>
      </c>
      <c r="O41" s="157" t="s">
        <v>61</v>
      </c>
      <c r="P41" s="56"/>
      <c r="Q41" s="144" t="s">
        <v>61</v>
      </c>
      <c r="R41" s="56"/>
      <c r="S41" s="144" t="s">
        <v>61</v>
      </c>
      <c r="T41" s="56"/>
      <c r="U41" s="144" t="s">
        <v>61</v>
      </c>
      <c r="V41" s="56"/>
      <c r="W41" s="144" t="s">
        <v>61</v>
      </c>
      <c r="X41" s="56"/>
      <c r="Y41" s="144" t="s">
        <v>61</v>
      </c>
      <c r="Z41" s="56"/>
      <c r="AA41" s="144" t="s">
        <v>61</v>
      </c>
      <c r="AB41" s="56"/>
      <c r="AC41" s="144" t="s">
        <v>61</v>
      </c>
      <c r="AD41" s="56"/>
      <c r="AE41" s="144" t="s">
        <v>61</v>
      </c>
      <c r="AF41" s="187" t="str">
        <f t="shared" si="3"/>
        <v>NA</v>
      </c>
      <c r="AG41" s="54" t="str">
        <f t="shared" si="6"/>
        <v>NÃO AVALIADO POR FALHA DE SINCRONISMO</v>
      </c>
      <c r="AH41" s="144" t="s">
        <v>204</v>
      </c>
      <c r="AI41" s="95" t="s">
        <v>6</v>
      </c>
      <c r="AJ41" s="97" t="str">
        <f t="shared" si="5"/>
        <v>GUARULHOS</v>
      </c>
      <c r="AK41" s="212" t="s">
        <v>39</v>
      </c>
      <c r="AL41" s="53">
        <v>-8.0000000000000002E-3</v>
      </c>
      <c r="AM41" s="53" t="str" cm="1">
        <f t="array" ref="AM41">IF(OR(O41&lt;&gt;"", SUMPRODUCT(($AN$2:$AN$5000=AN41)*($AL$2:$AL$5000&lt;=AL41)) &lt;= (COUNTIF($AN$2:$AN$5000,AN41)*0.5)), "SORTEADO", "-")</f>
        <v>SORTEADO</v>
      </c>
      <c r="AN41" s="232" t="s">
        <v>332</v>
      </c>
    </row>
    <row r="42" spans="1:40" ht="30" customHeight="1" x14ac:dyDescent="0.2">
      <c r="A42" s="231" t="s">
        <v>197</v>
      </c>
      <c r="B42" s="231">
        <v>2613599104</v>
      </c>
      <c r="C42" s="231" t="s">
        <v>85</v>
      </c>
      <c r="D42" s="231" t="s">
        <v>76</v>
      </c>
      <c r="E42" s="231" t="s">
        <v>198</v>
      </c>
      <c r="F42" s="231" t="s">
        <v>339</v>
      </c>
      <c r="G42" s="231">
        <v>148</v>
      </c>
      <c r="H42" s="231" t="s">
        <v>213</v>
      </c>
      <c r="I42" s="231" t="s">
        <v>326</v>
      </c>
      <c r="J42" s="231" t="s">
        <v>85</v>
      </c>
      <c r="K42" s="231" t="s">
        <v>340</v>
      </c>
      <c r="L42" s="232" t="s">
        <v>332</v>
      </c>
      <c r="M42" s="232">
        <v>46057.5</v>
      </c>
      <c r="N42" s="231" t="s">
        <v>209</v>
      </c>
      <c r="O42" s="157" t="s">
        <v>204</v>
      </c>
      <c r="P42" s="56"/>
      <c r="Q42" s="144" t="s">
        <v>204</v>
      </c>
      <c r="R42" s="56"/>
      <c r="S42" s="144" t="s">
        <v>204</v>
      </c>
      <c r="T42" s="56"/>
      <c r="U42" s="144" t="s">
        <v>204</v>
      </c>
      <c r="V42" s="56"/>
      <c r="W42" s="144" t="s">
        <v>204</v>
      </c>
      <c r="X42" s="56"/>
      <c r="Y42" s="144" t="s">
        <v>204</v>
      </c>
      <c r="Z42" s="56"/>
      <c r="AA42" s="144" t="s">
        <v>204</v>
      </c>
      <c r="AB42" s="56"/>
      <c r="AC42" s="144" t="s">
        <v>204</v>
      </c>
      <c r="AD42" s="56"/>
      <c r="AE42" s="144" t="s">
        <v>204</v>
      </c>
      <c r="AF42" s="187" t="str">
        <f t="shared" si="3"/>
        <v>C</v>
      </c>
      <c r="AG42" s="54" t="str">
        <f t="shared" si="6"/>
        <v>UTILIZOU O PDA CORRETAMENTE</v>
      </c>
      <c r="AH42" s="144" t="s">
        <v>204</v>
      </c>
      <c r="AI42" s="95" t="s">
        <v>6</v>
      </c>
      <c r="AJ42" s="97" t="str">
        <f t="shared" si="5"/>
        <v>GUARULHOS</v>
      </c>
      <c r="AK42" s="212" t="s">
        <v>39</v>
      </c>
      <c r="AL42" s="53">
        <v>-8.2000000000000007E-3</v>
      </c>
      <c r="AM42" s="53" t="str" cm="1">
        <f t="array" ref="AM42">IF(OR(O42&lt;&gt;"", SUMPRODUCT(($AN$2:$AN$5000=AN42)*($AL$2:$AL$5000&lt;=AL42)) &lt;= (COUNTIF($AN$2:$AN$5000,AN42)*0.5)), "SORTEADO", "-")</f>
        <v>SORTEADO</v>
      </c>
      <c r="AN42" s="232" t="s">
        <v>332</v>
      </c>
    </row>
    <row r="43" spans="1:40" ht="30" customHeight="1" x14ac:dyDescent="0.2">
      <c r="A43" s="231" t="s">
        <v>197</v>
      </c>
      <c r="B43" s="231">
        <v>2613681820</v>
      </c>
      <c r="C43" s="231" t="s">
        <v>85</v>
      </c>
      <c r="D43" s="231" t="s">
        <v>76</v>
      </c>
      <c r="E43" s="231" t="s">
        <v>198</v>
      </c>
      <c r="F43" s="231" t="s">
        <v>341</v>
      </c>
      <c r="G43" s="231">
        <v>44</v>
      </c>
      <c r="H43" s="231"/>
      <c r="I43" s="231" t="s">
        <v>236</v>
      </c>
      <c r="J43" s="231" t="s">
        <v>85</v>
      </c>
      <c r="K43" s="231" t="s">
        <v>342</v>
      </c>
      <c r="L43" s="232" t="s">
        <v>332</v>
      </c>
      <c r="M43" s="232">
        <v>46057.723611111112</v>
      </c>
      <c r="N43" s="231" t="s">
        <v>209</v>
      </c>
      <c r="O43" s="157" t="s">
        <v>204</v>
      </c>
      <c r="P43" s="56"/>
      <c r="Q43" s="144" t="s">
        <v>204</v>
      </c>
      <c r="R43" s="56"/>
      <c r="S43" s="144" t="s">
        <v>204</v>
      </c>
      <c r="T43" s="56"/>
      <c r="U43" s="144" t="s">
        <v>204</v>
      </c>
      <c r="V43" s="56"/>
      <c r="W43" s="144" t="s">
        <v>204</v>
      </c>
      <c r="X43" s="56"/>
      <c r="Y43" s="144" t="s">
        <v>204</v>
      </c>
      <c r="Z43" s="56"/>
      <c r="AA43" s="144" t="s">
        <v>204</v>
      </c>
      <c r="AB43" s="56"/>
      <c r="AC43" s="144" t="s">
        <v>204</v>
      </c>
      <c r="AD43" s="56"/>
      <c r="AE43" s="144" t="s">
        <v>204</v>
      </c>
      <c r="AF43" s="187" t="str">
        <f t="shared" si="3"/>
        <v>C</v>
      </c>
      <c r="AG43" s="54" t="str">
        <f t="shared" si="6"/>
        <v>UTILIZOU O PDA CORRETAMENTE</v>
      </c>
      <c r="AH43" s="144" t="s">
        <v>204</v>
      </c>
      <c r="AI43" s="95" t="s">
        <v>6</v>
      </c>
      <c r="AJ43" s="97" t="str">
        <f t="shared" si="5"/>
        <v>GUARULHOS</v>
      </c>
      <c r="AK43" s="212" t="s">
        <v>39</v>
      </c>
      <c r="AL43" s="53">
        <v>-8.3999999999999995E-3</v>
      </c>
      <c r="AM43" s="53" t="str" cm="1">
        <f t="array" ref="AM43">IF(OR(O43&lt;&gt;"", SUMPRODUCT(($AN$2:$AN$5000=AN43)*($AL$2:$AL$5000&lt;=AL43)) &lt;= (COUNTIF($AN$2:$AN$5000,AN43)*0.5)), "SORTEADO", "-")</f>
        <v>SORTEADO</v>
      </c>
      <c r="AN43" s="232" t="s">
        <v>332</v>
      </c>
    </row>
    <row r="44" spans="1:40" ht="30" hidden="1" customHeight="1" x14ac:dyDescent="0.2">
      <c r="A44" s="231" t="s">
        <v>197</v>
      </c>
      <c r="B44" s="231">
        <v>2613885376</v>
      </c>
      <c r="C44" s="231" t="s">
        <v>89</v>
      </c>
      <c r="D44" s="231" t="s">
        <v>77</v>
      </c>
      <c r="E44" s="231" t="s">
        <v>198</v>
      </c>
      <c r="F44" s="231" t="s">
        <v>343</v>
      </c>
      <c r="G44" s="231">
        <v>551</v>
      </c>
      <c r="H44" s="231" t="s">
        <v>344</v>
      </c>
      <c r="I44" s="231" t="s">
        <v>345</v>
      </c>
      <c r="J44" s="231" t="s">
        <v>346</v>
      </c>
      <c r="K44" s="231" t="s">
        <v>347</v>
      </c>
      <c r="L44" s="232" t="s">
        <v>332</v>
      </c>
      <c r="M44" s="232">
        <v>46057.318749999999</v>
      </c>
      <c r="N44" s="231" t="s">
        <v>348</v>
      </c>
      <c r="O44" s="157"/>
      <c r="P44" s="56"/>
      <c r="Q44" s="144"/>
      <c r="R44" s="56"/>
      <c r="S44" s="144"/>
      <c r="T44" s="56"/>
      <c r="U44" s="144"/>
      <c r="V44" s="56"/>
      <c r="W44" s="144"/>
      <c r="X44" s="56"/>
      <c r="Y44" s="144"/>
      <c r="Z44" s="56"/>
      <c r="AA44" s="144"/>
      <c r="AB44" s="56"/>
      <c r="AC44" s="144"/>
      <c r="AD44" s="56"/>
      <c r="AE44" s="144"/>
      <c r="AF44" s="187" t="str">
        <f t="shared" si="3"/>
        <v/>
      </c>
      <c r="AG44" s="54" t="b">
        <f t="shared" si="6"/>
        <v>0</v>
      </c>
      <c r="AH44" s="144"/>
      <c r="AI44" s="95" t="s">
        <v>6</v>
      </c>
      <c r="AJ44" s="97" t="str">
        <f t="shared" si="5"/>
        <v>GUARULHOS</v>
      </c>
      <c r="AK44" s="212" t="s">
        <v>39</v>
      </c>
      <c r="AL44" s="53">
        <v>0.48687535378132696</v>
      </c>
      <c r="AM44" s="53" t="str" cm="1">
        <f t="array" ref="AM44">IF(OR(O44&lt;&gt;"", SUMPRODUCT(($AN$2:$AN$5000=AN44)*($AL$2:$AL$5000&lt;=AL44)) &lt;= (COUNTIF($AN$2:$AN$5000,AN44)*0.5)), "SORTEADO", "-")</f>
        <v>-</v>
      </c>
      <c r="AN44" s="232" t="s">
        <v>332</v>
      </c>
    </row>
    <row r="45" spans="1:40" ht="30" hidden="1" customHeight="1" x14ac:dyDescent="0.2">
      <c r="A45" s="231" t="s">
        <v>197</v>
      </c>
      <c r="B45" s="231">
        <v>2613942909</v>
      </c>
      <c r="C45" s="231" t="s">
        <v>89</v>
      </c>
      <c r="D45" s="231" t="s">
        <v>77</v>
      </c>
      <c r="E45" s="231" t="s">
        <v>198</v>
      </c>
      <c r="F45" s="231" t="s">
        <v>343</v>
      </c>
      <c r="G45" s="231">
        <v>478</v>
      </c>
      <c r="H45" s="231" t="s">
        <v>276</v>
      </c>
      <c r="I45" s="231" t="s">
        <v>345</v>
      </c>
      <c r="J45" s="231" t="s">
        <v>346</v>
      </c>
      <c r="K45" s="231" t="s">
        <v>349</v>
      </c>
      <c r="L45" s="232" t="s">
        <v>332</v>
      </c>
      <c r="M45" s="232">
        <v>46057.642361111109</v>
      </c>
      <c r="N45" s="231" t="s">
        <v>348</v>
      </c>
      <c r="O45" s="157"/>
      <c r="P45" s="56"/>
      <c r="Q45" s="144"/>
      <c r="R45" s="56"/>
      <c r="S45" s="144"/>
      <c r="T45" s="56"/>
      <c r="U45" s="144"/>
      <c r="V45" s="56"/>
      <c r="W45" s="144"/>
      <c r="X45" s="56"/>
      <c r="Y45" s="144"/>
      <c r="Z45" s="56"/>
      <c r="AA45" s="144"/>
      <c r="AB45" s="56"/>
      <c r="AC45" s="144"/>
      <c r="AD45" s="56"/>
      <c r="AE45" s="144"/>
      <c r="AF45" s="187" t="str">
        <f t="shared" si="3"/>
        <v/>
      </c>
      <c r="AG45" s="54" t="b">
        <f t="shared" si="6"/>
        <v>0</v>
      </c>
      <c r="AH45" s="144"/>
      <c r="AI45" s="95" t="s">
        <v>6</v>
      </c>
      <c r="AJ45" s="97" t="str">
        <f t="shared" si="5"/>
        <v>GUARULHOS</v>
      </c>
      <c r="AK45" s="212" t="s">
        <v>39</v>
      </c>
      <c r="AL45" s="53">
        <v>0.83451317689151805</v>
      </c>
      <c r="AM45" s="53" t="str" cm="1">
        <f t="array" ref="AM45">IF(OR(O45&lt;&gt;"", SUMPRODUCT(($AN$2:$AN$5000=AN45)*($AL$2:$AL$5000&lt;=AL45)) &lt;= (COUNTIF($AN$2:$AN$5000,AN45)*0.5)), "SORTEADO", "-")</f>
        <v>-</v>
      </c>
      <c r="AN45" s="232" t="s">
        <v>332</v>
      </c>
    </row>
    <row r="46" spans="1:40" ht="30" hidden="1" customHeight="1" x14ac:dyDescent="0.2">
      <c r="A46" s="231" t="s">
        <v>197</v>
      </c>
      <c r="B46" s="231">
        <v>2613907612</v>
      </c>
      <c r="C46" s="231" t="s">
        <v>105</v>
      </c>
      <c r="D46" s="231" t="s">
        <v>80</v>
      </c>
      <c r="E46" s="231" t="s">
        <v>198</v>
      </c>
      <c r="F46" s="231" t="s">
        <v>343</v>
      </c>
      <c r="G46" s="231">
        <v>559</v>
      </c>
      <c r="H46" s="231" t="s">
        <v>350</v>
      </c>
      <c r="I46" s="231" t="s">
        <v>345</v>
      </c>
      <c r="J46" s="231" t="s">
        <v>226</v>
      </c>
      <c r="K46" s="238" t="s">
        <v>351</v>
      </c>
      <c r="L46" s="232" t="s">
        <v>332</v>
      </c>
      <c r="M46" s="232">
        <v>46057.952777777777</v>
      </c>
      <c r="N46" s="231" t="s">
        <v>348</v>
      </c>
      <c r="O46" s="157"/>
      <c r="P46" s="56"/>
      <c r="Q46" s="144"/>
      <c r="R46" s="56"/>
      <c r="S46" s="144"/>
      <c r="T46" s="56"/>
      <c r="U46" s="144"/>
      <c r="V46" s="56"/>
      <c r="W46" s="144"/>
      <c r="X46" s="56"/>
      <c r="Y46" s="144"/>
      <c r="Z46" s="56"/>
      <c r="AA46" s="144"/>
      <c r="AB46" s="56"/>
      <c r="AC46" s="144"/>
      <c r="AD46" s="56"/>
      <c r="AE46" s="144"/>
      <c r="AF46" s="187" t="str">
        <f t="shared" si="3"/>
        <v/>
      </c>
      <c r="AG46" s="54" t="b">
        <f t="shared" si="6"/>
        <v>0</v>
      </c>
      <c r="AH46" s="144"/>
      <c r="AI46" s="95" t="s">
        <v>6</v>
      </c>
      <c r="AJ46" s="97" t="str">
        <f t="shared" si="5"/>
        <v>GUARULHOS</v>
      </c>
      <c r="AK46" s="212" t="s">
        <v>39</v>
      </c>
      <c r="AL46" s="53">
        <v>0.83851375056719502</v>
      </c>
      <c r="AM46" s="53" t="str" cm="1">
        <f t="array" ref="AM46">IF(OR(O46&lt;&gt;"", SUMPRODUCT(($AN$2:$AN$5000=AN46)*($AL$2:$AL$5000&lt;=AL46)) &lt;= (COUNTIF($AN$2:$AN$5000,AN46)*0.5)), "SORTEADO", "-")</f>
        <v>-</v>
      </c>
      <c r="AN46" s="232" t="s">
        <v>332</v>
      </c>
    </row>
    <row r="47" spans="1:40" ht="30" customHeight="1" x14ac:dyDescent="0.2">
      <c r="A47" s="231" t="s">
        <v>197</v>
      </c>
      <c r="B47" s="231">
        <v>2613899889</v>
      </c>
      <c r="C47" s="231" t="s">
        <v>102</v>
      </c>
      <c r="D47" s="231" t="s">
        <v>80</v>
      </c>
      <c r="E47" s="231" t="s">
        <v>198</v>
      </c>
      <c r="F47" s="231" t="s">
        <v>352</v>
      </c>
      <c r="G47" s="231">
        <v>99</v>
      </c>
      <c r="H47" s="231"/>
      <c r="I47" s="231" t="s">
        <v>200</v>
      </c>
      <c r="J47" s="231" t="s">
        <v>270</v>
      </c>
      <c r="K47" s="231"/>
      <c r="L47" s="232" t="s">
        <v>332</v>
      </c>
      <c r="M47" s="232">
        <v>46057.539583333331</v>
      </c>
      <c r="N47" s="231" t="s">
        <v>244</v>
      </c>
      <c r="O47" s="158" t="s">
        <v>204</v>
      </c>
      <c r="P47" s="92"/>
      <c r="Q47" s="146" t="s">
        <v>204</v>
      </c>
      <c r="R47" s="92"/>
      <c r="S47" s="146" t="s">
        <v>204</v>
      </c>
      <c r="T47" s="92"/>
      <c r="U47" s="146" t="s">
        <v>204</v>
      </c>
      <c r="V47" s="92"/>
      <c r="W47" s="146" t="s">
        <v>204</v>
      </c>
      <c r="X47" s="92"/>
      <c r="Y47" s="146" t="s">
        <v>61</v>
      </c>
      <c r="Z47" s="92"/>
      <c r="AA47" s="146" t="s">
        <v>204</v>
      </c>
      <c r="AB47" s="92"/>
      <c r="AC47" s="146" t="s">
        <v>204</v>
      </c>
      <c r="AD47" s="92"/>
      <c r="AE47" s="146" t="s">
        <v>204</v>
      </c>
      <c r="AF47" s="187" t="str">
        <f t="shared" si="3"/>
        <v>C</v>
      </c>
      <c r="AG47" s="54" t="str">
        <f t="shared" si="6"/>
        <v>UTILIZOU O PDA CORRETAMENTE</v>
      </c>
      <c r="AH47" s="144" t="s">
        <v>204</v>
      </c>
      <c r="AI47" s="95" t="s">
        <v>6</v>
      </c>
      <c r="AJ47" s="97" t="str">
        <f t="shared" si="5"/>
        <v>GUARULHOS</v>
      </c>
      <c r="AK47" s="212" t="s">
        <v>39</v>
      </c>
      <c r="AL47" s="53">
        <v>0.22195017521481319</v>
      </c>
      <c r="AM47" s="53" t="str" cm="1">
        <f t="array" ref="AM47">IF(OR(O47&lt;&gt;"", SUMPRODUCT(($AN$2:$AN$5000=AN47)*($AL$2:$AL$5000&lt;=AL47)) &lt;= (COUNTIF($AN$2:$AN$5000,AN47)*0.5)), "SORTEADO", "-")</f>
        <v>SORTEADO</v>
      </c>
      <c r="AN47" s="232" t="s">
        <v>332</v>
      </c>
    </row>
    <row r="48" spans="1:40" ht="30" customHeight="1" x14ac:dyDescent="0.2">
      <c r="A48" s="231" t="s">
        <v>197</v>
      </c>
      <c r="B48" s="231">
        <v>2613903810</v>
      </c>
      <c r="C48" s="231" t="s">
        <v>105</v>
      </c>
      <c r="D48" s="231" t="s">
        <v>80</v>
      </c>
      <c r="E48" s="231" t="s">
        <v>198</v>
      </c>
      <c r="F48" s="231" t="s">
        <v>256</v>
      </c>
      <c r="G48" s="231">
        <v>791</v>
      </c>
      <c r="H48" s="231" t="s">
        <v>353</v>
      </c>
      <c r="I48" s="231" t="s">
        <v>258</v>
      </c>
      <c r="J48" s="231" t="s">
        <v>226</v>
      </c>
      <c r="K48" s="231" t="s">
        <v>354</v>
      </c>
      <c r="L48" s="232" t="s">
        <v>332</v>
      </c>
      <c r="M48" s="232">
        <v>46057.423611111109</v>
      </c>
      <c r="N48" s="231" t="s">
        <v>271</v>
      </c>
      <c r="O48" s="158" t="s">
        <v>204</v>
      </c>
      <c r="P48" s="92"/>
      <c r="Q48" s="146" t="s">
        <v>204</v>
      </c>
      <c r="R48" s="92"/>
      <c r="S48" s="146" t="s">
        <v>204</v>
      </c>
      <c r="T48" s="92"/>
      <c r="U48" s="146" t="s">
        <v>204</v>
      </c>
      <c r="V48" s="92"/>
      <c r="W48" s="146" t="s">
        <v>204</v>
      </c>
      <c r="X48" s="92"/>
      <c r="Y48" s="146" t="s">
        <v>61</v>
      </c>
      <c r="Z48" s="92"/>
      <c r="AA48" s="146" t="s">
        <v>204</v>
      </c>
      <c r="AB48" s="92"/>
      <c r="AC48" s="146" t="s">
        <v>204</v>
      </c>
      <c r="AD48" s="92"/>
      <c r="AE48" s="146" t="s">
        <v>204</v>
      </c>
      <c r="AF48" s="187" t="str">
        <f t="shared" si="3"/>
        <v>C</v>
      </c>
      <c r="AG48" s="54" t="str">
        <f t="shared" si="6"/>
        <v>UTILIZOU O PDA CORRETAMENTE</v>
      </c>
      <c r="AH48" s="144" t="s">
        <v>204</v>
      </c>
      <c r="AI48" s="95" t="s">
        <v>6</v>
      </c>
      <c r="AJ48" s="97" t="str">
        <f t="shared" si="5"/>
        <v>GUARULHOS</v>
      </c>
      <c r="AK48" s="212" t="s">
        <v>39</v>
      </c>
      <c r="AL48" s="53">
        <v>0.35424415086246819</v>
      </c>
      <c r="AM48" s="53" t="str" cm="1">
        <f t="array" ref="AM48">IF(OR(O48&lt;&gt;"", SUMPRODUCT(($AN$2:$AN$5000=AN48)*($AL$2:$AL$5000&lt;=AL48)) &lt;= (COUNTIF($AN$2:$AN$5000,AN48)*0.5)), "SORTEADO", "-")</f>
        <v>SORTEADO</v>
      </c>
      <c r="AN48" s="232" t="s">
        <v>332</v>
      </c>
    </row>
    <row r="49" spans="1:40" ht="30" hidden="1" customHeight="1" x14ac:dyDescent="0.2">
      <c r="A49" s="231" t="s">
        <v>197</v>
      </c>
      <c r="B49" s="231">
        <v>2613867309</v>
      </c>
      <c r="C49" s="231" t="s">
        <v>100</v>
      </c>
      <c r="D49" s="231" t="s">
        <v>78</v>
      </c>
      <c r="E49" s="231" t="s">
        <v>198</v>
      </c>
      <c r="F49" s="231" t="s">
        <v>355</v>
      </c>
      <c r="G49" s="231">
        <v>153</v>
      </c>
      <c r="H49" s="231"/>
      <c r="I49" s="231" t="s">
        <v>356</v>
      </c>
      <c r="J49" s="231" t="s">
        <v>248</v>
      </c>
      <c r="K49" s="231" t="s">
        <v>357</v>
      </c>
      <c r="L49" s="232" t="s">
        <v>332</v>
      </c>
      <c r="M49" s="232">
        <v>46057.622916666667</v>
      </c>
      <c r="N49" s="231" t="s">
        <v>303</v>
      </c>
      <c r="O49" s="157"/>
      <c r="P49" s="56"/>
      <c r="Q49" s="144"/>
      <c r="R49" s="56"/>
      <c r="S49" s="144"/>
      <c r="T49" s="56"/>
      <c r="U49" s="144"/>
      <c r="V49" s="56"/>
      <c r="W49" s="144"/>
      <c r="X49" s="56"/>
      <c r="Y49" s="144"/>
      <c r="Z49" s="56"/>
      <c r="AA49" s="144"/>
      <c r="AB49" s="56"/>
      <c r="AC49" s="144"/>
      <c r="AD49" s="56"/>
      <c r="AE49" s="144"/>
      <c r="AF49" s="187" t="str">
        <f t="shared" si="3"/>
        <v/>
      </c>
      <c r="AG49" s="54" t="b">
        <f t="shared" si="6"/>
        <v>0</v>
      </c>
      <c r="AH49" s="144"/>
      <c r="AI49" s="95" t="s">
        <v>6</v>
      </c>
      <c r="AJ49" s="97" t="str">
        <f t="shared" si="5"/>
        <v>GUARULHOS</v>
      </c>
      <c r="AK49" s="212" t="s">
        <v>39</v>
      </c>
      <c r="AL49" s="53">
        <v>0.73296846173091468</v>
      </c>
      <c r="AM49" s="53" t="str" cm="1">
        <f t="array" ref="AM49">IF(OR(O49&lt;&gt;"", SUMPRODUCT(($AN$2:$AN$5000=AN49)*($AL$2:$AL$5000&lt;=AL49)) &lt;= (COUNTIF($AN$2:$AN$5000,AN49)*0.5)), "SORTEADO", "-")</f>
        <v>-</v>
      </c>
      <c r="AN49" s="232" t="s">
        <v>332</v>
      </c>
    </row>
    <row r="50" spans="1:40" ht="30" hidden="1" customHeight="1" x14ac:dyDescent="0.2">
      <c r="A50" s="231" t="s">
        <v>197</v>
      </c>
      <c r="B50" s="231">
        <v>2613876929</v>
      </c>
      <c r="C50" s="231" t="s">
        <v>102</v>
      </c>
      <c r="D50" s="231" t="s">
        <v>80</v>
      </c>
      <c r="E50" s="231" t="s">
        <v>198</v>
      </c>
      <c r="F50" s="231" t="s">
        <v>358</v>
      </c>
      <c r="G50" s="231">
        <v>1244</v>
      </c>
      <c r="H50" s="231" t="s">
        <v>359</v>
      </c>
      <c r="I50" s="231" t="s">
        <v>262</v>
      </c>
      <c r="J50" s="231" t="s">
        <v>270</v>
      </c>
      <c r="K50" s="231" t="s">
        <v>360</v>
      </c>
      <c r="L50" s="232" t="s">
        <v>332</v>
      </c>
      <c r="M50" s="232">
        <v>46057.434027777781</v>
      </c>
      <c r="N50" s="231" t="s">
        <v>263</v>
      </c>
      <c r="O50" s="157"/>
      <c r="P50" s="56"/>
      <c r="Q50" s="144"/>
      <c r="R50" s="56"/>
      <c r="S50" s="144"/>
      <c r="T50" s="56"/>
      <c r="U50" s="144"/>
      <c r="V50" s="56"/>
      <c r="W50" s="144"/>
      <c r="X50" s="56"/>
      <c r="Y50" s="144"/>
      <c r="Z50" s="56"/>
      <c r="AA50" s="144"/>
      <c r="AB50" s="56"/>
      <c r="AC50" s="144"/>
      <c r="AD50" s="56"/>
      <c r="AE50" s="144"/>
      <c r="AF50" s="187" t="str">
        <f t="shared" si="3"/>
        <v/>
      </c>
      <c r="AG50" s="54" t="b">
        <f t="shared" si="6"/>
        <v>0</v>
      </c>
      <c r="AH50" s="144"/>
      <c r="AI50" s="95" t="s">
        <v>6</v>
      </c>
      <c r="AJ50" s="97" t="str">
        <f t="shared" si="5"/>
        <v>GUARULHOS</v>
      </c>
      <c r="AK50" s="212" t="s">
        <v>39</v>
      </c>
      <c r="AL50" s="53">
        <v>0.87295673640185989</v>
      </c>
      <c r="AM50" s="53" t="str" cm="1">
        <f t="array" ref="AM50">IF(OR(O50&lt;&gt;"", SUMPRODUCT(($AN$2:$AN$5000=AN50)*($AL$2:$AL$5000&lt;=AL50)) &lt;= (COUNTIF($AN$2:$AN$5000,AN50)*0.5)), "SORTEADO", "-")</f>
        <v>-</v>
      </c>
      <c r="AN50" s="232" t="s">
        <v>332</v>
      </c>
    </row>
    <row r="51" spans="1:40" ht="30" customHeight="1" x14ac:dyDescent="0.2">
      <c r="A51" s="231" t="s">
        <v>197</v>
      </c>
      <c r="B51" s="231">
        <v>2613563442</v>
      </c>
      <c r="C51" s="231" t="s">
        <v>85</v>
      </c>
      <c r="D51" s="231" t="s">
        <v>76</v>
      </c>
      <c r="E51" s="231" t="s">
        <v>198</v>
      </c>
      <c r="F51" s="231" t="s">
        <v>361</v>
      </c>
      <c r="G51" s="231">
        <v>36</v>
      </c>
      <c r="H51" s="231" t="s">
        <v>362</v>
      </c>
      <c r="I51" s="231" t="s">
        <v>363</v>
      </c>
      <c r="J51" s="231" t="s">
        <v>85</v>
      </c>
      <c r="K51" s="238" t="s">
        <v>364</v>
      </c>
      <c r="L51" s="232" t="s">
        <v>332</v>
      </c>
      <c r="M51" s="232">
        <v>46057.292361111111</v>
      </c>
      <c r="N51" s="231" t="s">
        <v>203</v>
      </c>
      <c r="O51" s="157" t="s">
        <v>204</v>
      </c>
      <c r="P51" s="56"/>
      <c r="Q51" s="144" t="s">
        <v>204</v>
      </c>
      <c r="R51" s="56"/>
      <c r="S51" s="144" t="s">
        <v>204</v>
      </c>
      <c r="T51" s="56"/>
      <c r="U51" s="144" t="s">
        <v>204</v>
      </c>
      <c r="V51" s="56"/>
      <c r="W51" s="144" t="s">
        <v>204</v>
      </c>
      <c r="X51" s="56"/>
      <c r="Y51" s="144" t="s">
        <v>204</v>
      </c>
      <c r="Z51" s="56"/>
      <c r="AA51" s="144" t="s">
        <v>204</v>
      </c>
      <c r="AB51" s="56"/>
      <c r="AC51" s="144" t="s">
        <v>204</v>
      </c>
      <c r="AD51" s="56"/>
      <c r="AE51" s="144" t="s">
        <v>204</v>
      </c>
      <c r="AF51" s="187" t="str">
        <f t="shared" si="3"/>
        <v>C</v>
      </c>
      <c r="AG51" s="54" t="str">
        <f t="shared" si="6"/>
        <v>UTILIZOU O PDA CORRETAMENTE</v>
      </c>
      <c r="AH51" s="144" t="s">
        <v>204</v>
      </c>
      <c r="AI51" s="95" t="s">
        <v>6</v>
      </c>
      <c r="AJ51" s="97" t="str">
        <f t="shared" si="5"/>
        <v>GUARULHOS</v>
      </c>
      <c r="AK51" s="212" t="s">
        <v>39</v>
      </c>
      <c r="AL51" s="53">
        <v>-0.01</v>
      </c>
      <c r="AM51" s="53" t="str" cm="1">
        <f t="array" ref="AM51">IF(OR(O51&lt;&gt;"", SUMPRODUCT(($AN$2:$AN$5000=AN51)*($AL$2:$AL$5000&lt;=AL51)) &lt;= (COUNTIF($AN$2:$AN$5000,AN51)*0.5)), "SORTEADO", "-")</f>
        <v>SORTEADO</v>
      </c>
      <c r="AN51" s="232" t="s">
        <v>332</v>
      </c>
    </row>
    <row r="52" spans="1:40" ht="30" customHeight="1" x14ac:dyDescent="0.2">
      <c r="A52" s="231" t="s">
        <v>197</v>
      </c>
      <c r="B52" s="231">
        <v>2613905393</v>
      </c>
      <c r="C52" s="231" t="s">
        <v>102</v>
      </c>
      <c r="D52" s="231" t="s">
        <v>80</v>
      </c>
      <c r="E52" s="231" t="s">
        <v>198</v>
      </c>
      <c r="F52" s="231" t="s">
        <v>365</v>
      </c>
      <c r="G52" s="231">
        <v>185</v>
      </c>
      <c r="H52" s="231" t="s">
        <v>276</v>
      </c>
      <c r="I52" s="231" t="s">
        <v>366</v>
      </c>
      <c r="J52" s="231" t="s">
        <v>270</v>
      </c>
      <c r="K52" s="231" t="s">
        <v>213</v>
      </c>
      <c r="L52" s="232" t="s">
        <v>332</v>
      </c>
      <c r="M52" s="232">
        <v>46057.515277777777</v>
      </c>
      <c r="N52" s="231" t="s">
        <v>287</v>
      </c>
      <c r="O52" s="158" t="s">
        <v>204</v>
      </c>
      <c r="P52" s="92"/>
      <c r="Q52" s="146" t="s">
        <v>204</v>
      </c>
      <c r="R52" s="92"/>
      <c r="S52" s="146" t="s">
        <v>204</v>
      </c>
      <c r="T52" s="92"/>
      <c r="U52" s="146" t="s">
        <v>204</v>
      </c>
      <c r="V52" s="92"/>
      <c r="W52" s="146" t="s">
        <v>204</v>
      </c>
      <c r="X52" s="92"/>
      <c r="Y52" s="146" t="s">
        <v>61</v>
      </c>
      <c r="Z52" s="92"/>
      <c r="AA52" s="146" t="s">
        <v>204</v>
      </c>
      <c r="AB52" s="92"/>
      <c r="AC52" s="146" t="s">
        <v>204</v>
      </c>
      <c r="AD52" s="92"/>
      <c r="AE52" s="146" t="s">
        <v>204</v>
      </c>
      <c r="AF52" s="187" t="str">
        <f t="shared" si="3"/>
        <v>C</v>
      </c>
      <c r="AG52" s="54" t="str">
        <f t="shared" si="6"/>
        <v>UTILIZOU O PDA CORRETAMENTE</v>
      </c>
      <c r="AH52" s="144" t="s">
        <v>204</v>
      </c>
      <c r="AI52" s="95" t="s">
        <v>6</v>
      </c>
      <c r="AJ52" s="97" t="str">
        <f t="shared" si="5"/>
        <v>GUARULHOS</v>
      </c>
      <c r="AK52" s="212" t="s">
        <v>39</v>
      </c>
      <c r="AL52" s="53">
        <v>0.18659470555413304</v>
      </c>
      <c r="AM52" s="53" t="str" cm="1">
        <f t="array" ref="AM52">IF(OR(O52&lt;&gt;"", SUMPRODUCT(($AN$2:$AN$5000=AN52)*($AL$2:$AL$5000&lt;=AL52)) &lt;= (COUNTIF($AN$2:$AN$5000,AN52)*0.5)), "SORTEADO", "-")</f>
        <v>SORTEADO</v>
      </c>
      <c r="AN52" s="232" t="s">
        <v>332</v>
      </c>
    </row>
    <row r="53" spans="1:40" ht="30" hidden="1" customHeight="1" x14ac:dyDescent="0.2">
      <c r="A53" s="231" t="s">
        <v>197</v>
      </c>
      <c r="B53" s="231">
        <v>2689494667</v>
      </c>
      <c r="C53" s="231" t="s">
        <v>102</v>
      </c>
      <c r="D53" s="231" t="s">
        <v>80</v>
      </c>
      <c r="E53" s="231" t="s">
        <v>198</v>
      </c>
      <c r="F53" s="231" t="s">
        <v>367</v>
      </c>
      <c r="G53" s="231">
        <v>155</v>
      </c>
      <c r="H53" s="231"/>
      <c r="I53" s="231" t="s">
        <v>368</v>
      </c>
      <c r="J53" s="231" t="s">
        <v>270</v>
      </c>
      <c r="K53" s="231"/>
      <c r="L53" s="232" t="s">
        <v>332</v>
      </c>
      <c r="M53" s="232">
        <v>46057.497916666667</v>
      </c>
      <c r="N53" s="231" t="s">
        <v>237</v>
      </c>
      <c r="O53" s="157"/>
      <c r="P53" s="56"/>
      <c r="Q53" s="144"/>
      <c r="R53" s="56"/>
      <c r="S53" s="144"/>
      <c r="T53" s="56"/>
      <c r="U53" s="144"/>
      <c r="V53" s="56"/>
      <c r="W53" s="144"/>
      <c r="X53" s="56"/>
      <c r="Y53" s="144"/>
      <c r="Z53" s="56"/>
      <c r="AA53" s="144"/>
      <c r="AB53" s="56"/>
      <c r="AC53" s="144"/>
      <c r="AD53" s="56"/>
      <c r="AE53" s="144"/>
      <c r="AF53" s="187" t="str">
        <f t="shared" si="3"/>
        <v/>
      </c>
      <c r="AG53" s="54" t="b">
        <f t="shared" si="6"/>
        <v>0</v>
      </c>
      <c r="AH53" s="144"/>
      <c r="AI53" s="95" t="s">
        <v>6</v>
      </c>
      <c r="AJ53" s="97" t="str">
        <f t="shared" si="5"/>
        <v>GUARULHOS</v>
      </c>
      <c r="AK53" s="212" t="s">
        <v>39</v>
      </c>
      <c r="AL53" s="53">
        <v>0.77618416826078851</v>
      </c>
      <c r="AM53" s="53" t="str" cm="1">
        <f t="array" ref="AM53">IF(OR(O53&lt;&gt;"", SUMPRODUCT(($AN$2:$AN$5000=AN53)*($AL$2:$AL$5000&lt;=AL53)) &lt;= (COUNTIF($AN$2:$AN$5000,AN53)*0.5)), "SORTEADO", "-")</f>
        <v>-</v>
      </c>
      <c r="AN53" s="232" t="s">
        <v>332</v>
      </c>
    </row>
    <row r="54" spans="1:40" ht="30" customHeight="1" x14ac:dyDescent="0.2">
      <c r="A54" s="231" t="s">
        <v>197</v>
      </c>
      <c r="B54" s="231">
        <v>2689499149</v>
      </c>
      <c r="C54" s="231" t="s">
        <v>103</v>
      </c>
      <c r="D54" s="231" t="s">
        <v>80</v>
      </c>
      <c r="E54" s="231" t="s">
        <v>198</v>
      </c>
      <c r="F54" s="231" t="s">
        <v>369</v>
      </c>
      <c r="G54" s="231">
        <v>116</v>
      </c>
      <c r="H54" s="231" t="s">
        <v>213</v>
      </c>
      <c r="I54" s="231" t="s">
        <v>200</v>
      </c>
      <c r="J54" s="231" t="s">
        <v>270</v>
      </c>
      <c r="K54" s="238" t="s">
        <v>370</v>
      </c>
      <c r="L54" s="232" t="s">
        <v>332</v>
      </c>
      <c r="M54" s="232">
        <v>46057.693749999999</v>
      </c>
      <c r="N54" s="231" t="s">
        <v>244</v>
      </c>
      <c r="O54" s="158" t="s">
        <v>204</v>
      </c>
      <c r="P54" s="92"/>
      <c r="Q54" s="146" t="s">
        <v>204</v>
      </c>
      <c r="R54" s="92"/>
      <c r="S54" s="146" t="s">
        <v>204</v>
      </c>
      <c r="T54" s="92"/>
      <c r="U54" s="146" t="s">
        <v>204</v>
      </c>
      <c r="V54" s="92"/>
      <c r="W54" s="146" t="s">
        <v>204</v>
      </c>
      <c r="X54" s="92"/>
      <c r="Y54" s="146" t="s">
        <v>61</v>
      </c>
      <c r="Z54" s="92"/>
      <c r="AA54" s="146" t="s">
        <v>204</v>
      </c>
      <c r="AB54" s="92"/>
      <c r="AC54" s="146" t="s">
        <v>204</v>
      </c>
      <c r="AD54" s="92"/>
      <c r="AE54" s="146" t="s">
        <v>204</v>
      </c>
      <c r="AF54" s="187" t="str">
        <f t="shared" si="3"/>
        <v>C</v>
      </c>
      <c r="AG54" s="54" t="str">
        <f t="shared" si="6"/>
        <v>UTILIZOU O PDA CORRETAMENTE</v>
      </c>
      <c r="AH54" s="144" t="s">
        <v>204</v>
      </c>
      <c r="AI54" s="95" t="s">
        <v>6</v>
      </c>
      <c r="AJ54" s="97" t="str">
        <f t="shared" si="5"/>
        <v>GUARULHOS</v>
      </c>
      <c r="AK54" s="212" t="s">
        <v>39</v>
      </c>
      <c r="AL54" s="53">
        <v>0.13316876401954025</v>
      </c>
      <c r="AM54" s="53" t="str" cm="1">
        <f t="array" ref="AM54">IF(OR(O54&lt;&gt;"", SUMPRODUCT(($AN$2:$AN$5000=AN54)*($AL$2:$AL$5000&lt;=AL54)) &lt;= (COUNTIF($AN$2:$AN$5000,AN54)*0.5)), "SORTEADO", "-")</f>
        <v>SORTEADO</v>
      </c>
      <c r="AN54" s="232" t="s">
        <v>332</v>
      </c>
    </row>
    <row r="55" spans="1:40" ht="30" hidden="1" customHeight="1" x14ac:dyDescent="0.2">
      <c r="A55" s="231" t="s">
        <v>197</v>
      </c>
      <c r="B55" s="231">
        <v>2613852814</v>
      </c>
      <c r="C55" s="231" t="s">
        <v>99</v>
      </c>
      <c r="D55" s="231" t="s">
        <v>80</v>
      </c>
      <c r="E55" s="231" t="s">
        <v>198</v>
      </c>
      <c r="F55" s="231" t="s">
        <v>371</v>
      </c>
      <c r="G55" s="231">
        <v>42</v>
      </c>
      <c r="H55" s="231" t="s">
        <v>372</v>
      </c>
      <c r="I55" s="231" t="s">
        <v>253</v>
      </c>
      <c r="J55" s="231" t="s">
        <v>305</v>
      </c>
      <c r="K55" s="231" t="s">
        <v>373</v>
      </c>
      <c r="L55" s="232" t="s">
        <v>332</v>
      </c>
      <c r="M55" s="232">
        <v>46057.439583333333</v>
      </c>
      <c r="N55" s="231" t="s">
        <v>250</v>
      </c>
      <c r="O55" s="157"/>
      <c r="P55" s="56"/>
      <c r="Q55" s="144"/>
      <c r="R55" s="56"/>
      <c r="S55" s="144"/>
      <c r="T55" s="56"/>
      <c r="U55" s="144"/>
      <c r="V55" s="56"/>
      <c r="W55" s="144"/>
      <c r="X55" s="56"/>
      <c r="Y55" s="144"/>
      <c r="Z55" s="56"/>
      <c r="AA55" s="144"/>
      <c r="AB55" s="56"/>
      <c r="AC55" s="144"/>
      <c r="AD55" s="56"/>
      <c r="AE55" s="144"/>
      <c r="AF55" s="187" t="str">
        <f t="shared" si="3"/>
        <v/>
      </c>
      <c r="AG55" s="54" t="b">
        <f t="shared" si="6"/>
        <v>0</v>
      </c>
      <c r="AH55" s="144"/>
      <c r="AI55" s="95" t="s">
        <v>6</v>
      </c>
      <c r="AJ55" s="97" t="str">
        <f t="shared" si="5"/>
        <v>GUARULHOS</v>
      </c>
      <c r="AK55" s="212" t="s">
        <v>39</v>
      </c>
      <c r="AL55" s="53">
        <v>0.70866139603711786</v>
      </c>
      <c r="AM55" s="53" t="str" cm="1">
        <f t="array" ref="AM55">IF(OR(O55&lt;&gt;"", SUMPRODUCT(($AN$2:$AN$5000=AN55)*($AL$2:$AL$5000&lt;=AL55)) &lt;= (COUNTIF($AN$2:$AN$5000,AN55)*0.5)), "SORTEADO", "-")</f>
        <v>-</v>
      </c>
      <c r="AN55" s="232" t="s">
        <v>332</v>
      </c>
    </row>
    <row r="56" spans="1:40" ht="30" hidden="1" customHeight="1" x14ac:dyDescent="0.2">
      <c r="A56" s="231" t="s">
        <v>197</v>
      </c>
      <c r="B56" s="231">
        <v>2614124300</v>
      </c>
      <c r="C56" s="231" t="s">
        <v>105</v>
      </c>
      <c r="D56" s="231" t="s">
        <v>80</v>
      </c>
      <c r="E56" s="231" t="s">
        <v>198</v>
      </c>
      <c r="F56" s="231" t="s">
        <v>374</v>
      </c>
      <c r="G56" s="231">
        <v>1046</v>
      </c>
      <c r="H56" s="231" t="s">
        <v>375</v>
      </c>
      <c r="I56" s="231" t="s">
        <v>200</v>
      </c>
      <c r="J56" s="231" t="s">
        <v>278</v>
      </c>
      <c r="K56" s="231" t="s">
        <v>376</v>
      </c>
      <c r="L56" s="232" t="s">
        <v>332</v>
      </c>
      <c r="M56" s="232">
        <v>46057.747916666667</v>
      </c>
      <c r="N56" s="231" t="s">
        <v>250</v>
      </c>
      <c r="O56" s="157"/>
      <c r="P56" s="56"/>
      <c r="Q56" s="144"/>
      <c r="R56" s="56"/>
      <c r="S56" s="144"/>
      <c r="T56" s="56"/>
      <c r="U56" s="144"/>
      <c r="V56" s="56"/>
      <c r="W56" s="144"/>
      <c r="X56" s="56"/>
      <c r="Y56" s="144"/>
      <c r="Z56" s="56"/>
      <c r="AA56" s="144"/>
      <c r="AB56" s="56"/>
      <c r="AC56" s="144"/>
      <c r="AD56" s="56"/>
      <c r="AE56" s="144"/>
      <c r="AF56" s="187" t="str">
        <f t="shared" si="3"/>
        <v/>
      </c>
      <c r="AG56" s="54" t="b">
        <f t="shared" si="6"/>
        <v>0</v>
      </c>
      <c r="AH56" s="144"/>
      <c r="AI56" s="95" t="s">
        <v>6</v>
      </c>
      <c r="AJ56" s="97" t="str">
        <f t="shared" si="5"/>
        <v>GUARULHOS</v>
      </c>
      <c r="AK56" s="212" t="s">
        <v>39</v>
      </c>
      <c r="AL56" s="53">
        <v>0.93010822731805654</v>
      </c>
      <c r="AM56" s="53" t="str" cm="1">
        <f t="array" ref="AM56">IF(OR(O56&lt;&gt;"", SUMPRODUCT(($AN$2:$AN$5000=AN56)*($AL$2:$AL$5000&lt;=AL56)) &lt;= (COUNTIF($AN$2:$AN$5000,AN56)*0.5)), "SORTEADO", "-")</f>
        <v>-</v>
      </c>
      <c r="AN56" s="232" t="s">
        <v>332</v>
      </c>
    </row>
    <row r="57" spans="1:40" ht="30" hidden="1" customHeight="1" x14ac:dyDescent="0.2">
      <c r="A57" s="231" t="s">
        <v>197</v>
      </c>
      <c r="B57" s="231">
        <v>2614128186</v>
      </c>
      <c r="C57" s="231" t="s">
        <v>105</v>
      </c>
      <c r="D57" s="231" t="s">
        <v>80</v>
      </c>
      <c r="E57" s="231" t="s">
        <v>198</v>
      </c>
      <c r="F57" s="231" t="s">
        <v>377</v>
      </c>
      <c r="G57" s="231">
        <v>286</v>
      </c>
      <c r="H57" s="231" t="s">
        <v>378</v>
      </c>
      <c r="I57" s="231" t="s">
        <v>379</v>
      </c>
      <c r="J57" s="231" t="s">
        <v>226</v>
      </c>
      <c r="K57" s="231" t="s">
        <v>380</v>
      </c>
      <c r="L57" s="232" t="s">
        <v>332</v>
      </c>
      <c r="M57" s="232">
        <v>46057.698611111111</v>
      </c>
      <c r="N57" s="231" t="s">
        <v>381</v>
      </c>
      <c r="O57" s="157"/>
      <c r="P57" s="56"/>
      <c r="Q57" s="144"/>
      <c r="R57" s="56"/>
      <c r="S57" s="144"/>
      <c r="T57" s="56"/>
      <c r="U57" s="144"/>
      <c r="V57" s="56"/>
      <c r="W57" s="144"/>
      <c r="X57" s="56"/>
      <c r="Y57" s="144"/>
      <c r="Z57" s="56"/>
      <c r="AA57" s="144"/>
      <c r="AB57" s="56"/>
      <c r="AC57" s="144"/>
      <c r="AD57" s="56"/>
      <c r="AE57" s="144"/>
      <c r="AF57" s="187" t="str">
        <f t="shared" si="3"/>
        <v/>
      </c>
      <c r="AG57" s="54" t="b">
        <f t="shared" si="6"/>
        <v>0</v>
      </c>
      <c r="AH57" s="144"/>
      <c r="AI57" s="95" t="s">
        <v>6</v>
      </c>
      <c r="AJ57" s="97" t="str">
        <f t="shared" si="5"/>
        <v>GUARULHOS</v>
      </c>
      <c r="AK57" s="212" t="s">
        <v>39</v>
      </c>
      <c r="AL57" s="53">
        <v>0.37964922096440434</v>
      </c>
      <c r="AM57" s="53" t="str" cm="1">
        <f t="array" ref="AM57">IF(OR(O57&lt;&gt;"", SUMPRODUCT(($AN$2:$AN$5000=AN57)*($AL$2:$AL$5000&lt;=AL57)) &lt;= (COUNTIF($AN$2:$AN$5000,AN57)*0.5)), "SORTEADO", "-")</f>
        <v>-</v>
      </c>
      <c r="AN57" s="232" t="s">
        <v>332</v>
      </c>
    </row>
    <row r="58" spans="1:40" ht="30" hidden="1" customHeight="1" x14ac:dyDescent="0.2">
      <c r="A58" s="231" t="s">
        <v>197</v>
      </c>
      <c r="B58" s="231">
        <v>2613815123</v>
      </c>
      <c r="C58" s="231" t="s">
        <v>382</v>
      </c>
      <c r="D58" s="231" t="s">
        <v>79</v>
      </c>
      <c r="E58" s="231" t="s">
        <v>198</v>
      </c>
      <c r="F58" s="231" t="s">
        <v>383</v>
      </c>
      <c r="G58" s="231">
        <v>4746</v>
      </c>
      <c r="H58" s="231" t="s">
        <v>206</v>
      </c>
      <c r="I58" s="231" t="s">
        <v>243</v>
      </c>
      <c r="J58" s="231" t="s">
        <v>384</v>
      </c>
      <c r="K58" s="231" t="s">
        <v>385</v>
      </c>
      <c r="L58" s="232" t="s">
        <v>332</v>
      </c>
      <c r="M58" s="232">
        <v>46057.488888888889</v>
      </c>
      <c r="N58" s="231" t="s">
        <v>317</v>
      </c>
      <c r="O58" s="157"/>
      <c r="P58" s="56"/>
      <c r="Q58" s="144"/>
      <c r="R58" s="56"/>
      <c r="S58" s="144"/>
      <c r="T58" s="56"/>
      <c r="U58" s="144"/>
      <c r="V58" s="56"/>
      <c r="W58" s="144"/>
      <c r="X58" s="56"/>
      <c r="Y58" s="144"/>
      <c r="Z58" s="56"/>
      <c r="AA58" s="144"/>
      <c r="AB58" s="56"/>
      <c r="AC58" s="144"/>
      <c r="AD58" s="56"/>
      <c r="AE58" s="144"/>
      <c r="AF58" s="187" t="str">
        <f t="shared" si="3"/>
        <v/>
      </c>
      <c r="AG58" s="54" t="b">
        <f t="shared" si="6"/>
        <v>0</v>
      </c>
      <c r="AH58" s="144"/>
      <c r="AI58" s="95" t="s">
        <v>6</v>
      </c>
      <c r="AJ58" s="97" t="str">
        <f t="shared" si="5"/>
        <v>GUARULHOS</v>
      </c>
      <c r="AK58" s="212" t="s">
        <v>39</v>
      </c>
      <c r="AL58" s="53">
        <v>0.73176949794826718</v>
      </c>
      <c r="AM58" s="53" t="str" cm="1">
        <f t="array" ref="AM58">IF(OR(O58&lt;&gt;"", SUMPRODUCT(($AN$2:$AN$5000=AN58)*($AL$2:$AL$5000&lt;=AL58)) &lt;= (COUNTIF($AN$2:$AN$5000,AN58)*0.5)), "SORTEADO", "-")</f>
        <v>-</v>
      </c>
      <c r="AN58" s="232" t="s">
        <v>332</v>
      </c>
    </row>
    <row r="59" spans="1:40" ht="30" hidden="1" customHeight="1" x14ac:dyDescent="0.2">
      <c r="A59" s="231" t="s">
        <v>197</v>
      </c>
      <c r="B59" s="231">
        <v>2614123710</v>
      </c>
      <c r="C59" s="231" t="s">
        <v>105</v>
      </c>
      <c r="D59" s="231" t="s">
        <v>80</v>
      </c>
      <c r="E59" s="231" t="s">
        <v>198</v>
      </c>
      <c r="F59" s="231" t="s">
        <v>386</v>
      </c>
      <c r="G59" s="231">
        <v>109</v>
      </c>
      <c r="H59" s="231" t="s">
        <v>387</v>
      </c>
      <c r="I59" s="231" t="s">
        <v>262</v>
      </c>
      <c r="J59" s="231" t="s">
        <v>226</v>
      </c>
      <c r="K59" s="231" t="s">
        <v>388</v>
      </c>
      <c r="L59" s="232" t="s">
        <v>332</v>
      </c>
      <c r="M59" s="232">
        <v>46057.618750000001</v>
      </c>
      <c r="N59" s="231" t="s">
        <v>322</v>
      </c>
      <c r="O59" s="157"/>
      <c r="P59" s="56"/>
      <c r="Q59" s="144"/>
      <c r="R59" s="56"/>
      <c r="S59" s="144"/>
      <c r="T59" s="56"/>
      <c r="U59" s="144"/>
      <c r="V59" s="56"/>
      <c r="W59" s="144"/>
      <c r="X59" s="56"/>
      <c r="Y59" s="144"/>
      <c r="Z59" s="56"/>
      <c r="AA59" s="144"/>
      <c r="AB59" s="56"/>
      <c r="AC59" s="144"/>
      <c r="AD59" s="56"/>
      <c r="AE59" s="144"/>
      <c r="AF59" s="187" t="str">
        <f t="shared" si="3"/>
        <v/>
      </c>
      <c r="AG59" s="54" t="b">
        <f t="shared" si="6"/>
        <v>0</v>
      </c>
      <c r="AH59" s="144"/>
      <c r="AI59" s="95" t="s">
        <v>6</v>
      </c>
      <c r="AJ59" s="97" t="str">
        <f t="shared" si="5"/>
        <v>GUARULHOS</v>
      </c>
      <c r="AK59" s="212" t="s">
        <v>39</v>
      </c>
      <c r="AL59" s="53">
        <v>0.89927263233399846</v>
      </c>
      <c r="AM59" s="53" t="str" cm="1">
        <f t="array" ref="AM59">IF(OR(O59&lt;&gt;"", SUMPRODUCT(($AN$2:$AN$5000=AN59)*($AL$2:$AL$5000&lt;=AL59)) &lt;= (COUNTIF($AN$2:$AN$5000,AN59)*0.5)), "SORTEADO", "-")</f>
        <v>-</v>
      </c>
      <c r="AN59" s="232" t="s">
        <v>332</v>
      </c>
    </row>
    <row r="60" spans="1:40" ht="30" customHeight="1" x14ac:dyDescent="0.2">
      <c r="A60" s="231" t="s">
        <v>197</v>
      </c>
      <c r="B60" s="231">
        <v>2689511296</v>
      </c>
      <c r="C60" s="231" t="s">
        <v>102</v>
      </c>
      <c r="D60" s="231" t="s">
        <v>80</v>
      </c>
      <c r="E60" s="231" t="s">
        <v>198</v>
      </c>
      <c r="F60" s="231" t="s">
        <v>389</v>
      </c>
      <c r="G60" s="231">
        <v>233</v>
      </c>
      <c r="H60" s="231" t="s">
        <v>390</v>
      </c>
      <c r="I60" s="231" t="s">
        <v>391</v>
      </c>
      <c r="J60" s="231" t="s">
        <v>270</v>
      </c>
      <c r="K60" s="231"/>
      <c r="L60" s="232" t="s">
        <v>332</v>
      </c>
      <c r="M60" s="232">
        <v>46057.604166666664</v>
      </c>
      <c r="N60" s="231" t="s">
        <v>260</v>
      </c>
      <c r="O60" s="158" t="s">
        <v>204</v>
      </c>
      <c r="P60" s="92"/>
      <c r="Q60" s="146" t="s">
        <v>204</v>
      </c>
      <c r="R60" s="92"/>
      <c r="S60" s="146" t="s">
        <v>204</v>
      </c>
      <c r="T60" s="92"/>
      <c r="U60" s="146" t="s">
        <v>204</v>
      </c>
      <c r="V60" s="92"/>
      <c r="W60" s="146" t="s">
        <v>204</v>
      </c>
      <c r="X60" s="92"/>
      <c r="Y60" s="146" t="s">
        <v>61</v>
      </c>
      <c r="Z60" s="92"/>
      <c r="AA60" s="146" t="s">
        <v>204</v>
      </c>
      <c r="AB60" s="92"/>
      <c r="AC60" s="146" t="s">
        <v>204</v>
      </c>
      <c r="AD60" s="92"/>
      <c r="AE60" s="146" t="s">
        <v>204</v>
      </c>
      <c r="AF60" s="187" t="str">
        <f t="shared" si="3"/>
        <v>C</v>
      </c>
      <c r="AG60" s="54" t="str">
        <f t="shared" si="6"/>
        <v>UTILIZOU O PDA CORRETAMENTE</v>
      </c>
      <c r="AH60" s="144" t="s">
        <v>204</v>
      </c>
      <c r="AI60" s="95" t="s">
        <v>6</v>
      </c>
      <c r="AJ60" s="97" t="str">
        <f t="shared" si="5"/>
        <v>GUARULHOS</v>
      </c>
      <c r="AK60" s="212" t="s">
        <v>39</v>
      </c>
      <c r="AL60" s="53">
        <v>2.1407803407830772E-2</v>
      </c>
      <c r="AM60" s="53" t="str" cm="1">
        <f t="array" ref="AM60">IF(OR(O60&lt;&gt;"", SUMPRODUCT(($AN$2:$AN$5000=AN60)*($AL$2:$AL$5000&lt;=AL60)) &lt;= (COUNTIF($AN$2:$AN$5000,AN60)*0.5)), "SORTEADO", "-")</f>
        <v>SORTEADO</v>
      </c>
      <c r="AN60" s="232" t="s">
        <v>332</v>
      </c>
    </row>
    <row r="61" spans="1:40" ht="30" hidden="1" customHeight="1" x14ac:dyDescent="0.2">
      <c r="A61" s="231" t="s">
        <v>197</v>
      </c>
      <c r="B61" s="231">
        <v>2614147108</v>
      </c>
      <c r="C61" s="231" t="s">
        <v>84</v>
      </c>
      <c r="D61" s="231" t="s">
        <v>79</v>
      </c>
      <c r="E61" s="231" t="s">
        <v>198</v>
      </c>
      <c r="F61" s="231" t="s">
        <v>383</v>
      </c>
      <c r="G61" s="231">
        <v>4746</v>
      </c>
      <c r="H61" s="231" t="s">
        <v>206</v>
      </c>
      <c r="I61" s="231" t="s">
        <v>243</v>
      </c>
      <c r="J61" s="231" t="s">
        <v>392</v>
      </c>
      <c r="K61" s="238" t="s">
        <v>393</v>
      </c>
      <c r="L61" s="232" t="s">
        <v>332</v>
      </c>
      <c r="M61" s="232">
        <v>46057.588194444441</v>
      </c>
      <c r="N61" s="231" t="s">
        <v>317</v>
      </c>
      <c r="O61" s="157" t="s">
        <v>61</v>
      </c>
      <c r="P61" s="56"/>
      <c r="Q61" s="144" t="s">
        <v>61</v>
      </c>
      <c r="R61" s="56"/>
      <c r="S61" s="144" t="s">
        <v>61</v>
      </c>
      <c r="T61" s="56"/>
      <c r="U61" s="144" t="s">
        <v>61</v>
      </c>
      <c r="V61" s="56"/>
      <c r="W61" s="144" t="s">
        <v>61</v>
      </c>
      <c r="X61" s="56"/>
      <c r="Y61" s="144" t="s">
        <v>61</v>
      </c>
      <c r="Z61" s="56"/>
      <c r="AA61" s="144" t="s">
        <v>61</v>
      </c>
      <c r="AB61" s="56"/>
      <c r="AC61" s="144" t="s">
        <v>61</v>
      </c>
      <c r="AD61" s="56"/>
      <c r="AE61" s="144" t="s">
        <v>61</v>
      </c>
      <c r="AF61" s="187" t="str">
        <f t="shared" si="3"/>
        <v>NA</v>
      </c>
      <c r="AG61" s="54" t="str">
        <f t="shared" si="6"/>
        <v>NÃO AVALIADO POR FALHA DE SINCRONISMO</v>
      </c>
      <c r="AH61" s="144" t="s">
        <v>204</v>
      </c>
      <c r="AI61" s="95" t="s">
        <v>6</v>
      </c>
      <c r="AJ61" s="97" t="str">
        <f t="shared" si="5"/>
        <v>GUARULHOS</v>
      </c>
      <c r="AK61" s="212" t="s">
        <v>39</v>
      </c>
      <c r="AL61" s="53">
        <v>-1.2E-2</v>
      </c>
      <c r="AM61" s="53" t="str" cm="1">
        <f t="array" ref="AM61">IF(OR(O61&lt;&gt;"", SUMPRODUCT(($AN$2:$AN$5000=AN61)*($AL$2:$AL$5000&lt;=AL61)) &lt;= (COUNTIF($AN$2:$AN$5000,AN61)*0.5)), "SORTEADO", "-")</f>
        <v>SORTEADO</v>
      </c>
      <c r="AN61" s="232" t="s">
        <v>332</v>
      </c>
    </row>
    <row r="62" spans="1:40" ht="30" hidden="1" customHeight="1" x14ac:dyDescent="0.2">
      <c r="A62" s="231" t="s">
        <v>197</v>
      </c>
      <c r="B62" s="231">
        <v>2614146219</v>
      </c>
      <c r="C62" s="231" t="s">
        <v>84</v>
      </c>
      <c r="D62" s="231" t="s">
        <v>79</v>
      </c>
      <c r="E62" s="231" t="s">
        <v>198</v>
      </c>
      <c r="F62" s="231" t="s">
        <v>383</v>
      </c>
      <c r="G62" s="231">
        <v>4752</v>
      </c>
      <c r="H62" s="231"/>
      <c r="I62" s="231" t="s">
        <v>394</v>
      </c>
      <c r="J62" s="231" t="s">
        <v>392</v>
      </c>
      <c r="K62" s="238" t="s">
        <v>395</v>
      </c>
      <c r="L62" s="232" t="s">
        <v>332</v>
      </c>
      <c r="M62" s="232">
        <v>46057.595833333333</v>
      </c>
      <c r="N62" s="231" t="s">
        <v>317</v>
      </c>
      <c r="O62" s="157" t="s">
        <v>61</v>
      </c>
      <c r="P62" s="56"/>
      <c r="Q62" s="144" t="s">
        <v>61</v>
      </c>
      <c r="R62" s="56"/>
      <c r="S62" s="144" t="s">
        <v>61</v>
      </c>
      <c r="T62" s="56"/>
      <c r="U62" s="144" t="s">
        <v>61</v>
      </c>
      <c r="V62" s="56"/>
      <c r="W62" s="144" t="s">
        <v>61</v>
      </c>
      <c r="X62" s="56"/>
      <c r="Y62" s="144" t="s">
        <v>61</v>
      </c>
      <c r="Z62" s="56"/>
      <c r="AA62" s="144" t="s">
        <v>61</v>
      </c>
      <c r="AB62" s="56"/>
      <c r="AC62" s="144" t="s">
        <v>61</v>
      </c>
      <c r="AD62" s="56"/>
      <c r="AE62" s="144" t="s">
        <v>61</v>
      </c>
      <c r="AF62" s="187" t="str">
        <f t="shared" si="3"/>
        <v>NA</v>
      </c>
      <c r="AG62" s="54" t="str">
        <f t="shared" si="6"/>
        <v>NÃO AVALIADO POR FALHA DE SINCRONISMO</v>
      </c>
      <c r="AH62" s="144" t="s">
        <v>204</v>
      </c>
      <c r="AI62" s="95" t="s">
        <v>6</v>
      </c>
      <c r="AJ62" s="97" t="str">
        <f t="shared" si="5"/>
        <v>GUARULHOS</v>
      </c>
      <c r="AK62" s="212" t="s">
        <v>39</v>
      </c>
      <c r="AL62" s="53">
        <v>-1.2200000000000001E-2</v>
      </c>
      <c r="AM62" s="53" t="str" cm="1">
        <f t="array" ref="AM62">IF(OR(O62&lt;&gt;"", SUMPRODUCT(($AN$2:$AN$5000=AN62)*($AL$2:$AL$5000&lt;=AL62)) &lt;= (COUNTIF($AN$2:$AN$5000,AN62)*0.5)), "SORTEADO", "-")</f>
        <v>SORTEADO</v>
      </c>
      <c r="AN62" s="232" t="s">
        <v>332</v>
      </c>
    </row>
    <row r="63" spans="1:40" ht="30" hidden="1" customHeight="1" x14ac:dyDescent="0.2">
      <c r="A63" s="231" t="s">
        <v>197</v>
      </c>
      <c r="B63" s="231">
        <v>2614142018</v>
      </c>
      <c r="C63" s="231" t="s">
        <v>100</v>
      </c>
      <c r="D63" s="231" t="s">
        <v>78</v>
      </c>
      <c r="E63" s="231" t="s">
        <v>198</v>
      </c>
      <c r="F63" s="231" t="s">
        <v>352</v>
      </c>
      <c r="G63" s="231">
        <v>109</v>
      </c>
      <c r="H63" s="231" t="s">
        <v>217</v>
      </c>
      <c r="I63" s="231" t="s">
        <v>200</v>
      </c>
      <c r="J63" s="231" t="s">
        <v>248</v>
      </c>
      <c r="K63" s="231" t="s">
        <v>396</v>
      </c>
      <c r="L63" s="232" t="s">
        <v>332</v>
      </c>
      <c r="M63" s="232">
        <v>46057.70208333333</v>
      </c>
      <c r="N63" s="231" t="s">
        <v>244</v>
      </c>
      <c r="O63" s="157"/>
      <c r="P63" s="56"/>
      <c r="Q63" s="144"/>
      <c r="R63" s="56"/>
      <c r="S63" s="144"/>
      <c r="T63" s="56"/>
      <c r="U63" s="144"/>
      <c r="V63" s="56"/>
      <c r="W63" s="144"/>
      <c r="X63" s="56"/>
      <c r="Y63" s="144"/>
      <c r="Z63" s="56"/>
      <c r="AA63" s="144"/>
      <c r="AB63" s="56"/>
      <c r="AC63" s="144"/>
      <c r="AD63" s="56"/>
      <c r="AE63" s="144"/>
      <c r="AF63" s="187" t="str">
        <f t="shared" si="3"/>
        <v/>
      </c>
      <c r="AG63" s="54" t="b">
        <f t="shared" si="6"/>
        <v>0</v>
      </c>
      <c r="AH63" s="144"/>
      <c r="AI63" s="95" t="s">
        <v>6</v>
      </c>
      <c r="AJ63" s="97" t="str">
        <f t="shared" si="5"/>
        <v>GUARULHOS</v>
      </c>
      <c r="AK63" s="212" t="s">
        <v>39</v>
      </c>
      <c r="AL63" s="53">
        <v>0.88319261677145644</v>
      </c>
      <c r="AM63" s="53" t="str" cm="1">
        <f t="array" ref="AM63">IF(OR(O63&lt;&gt;"", SUMPRODUCT(($AN$2:$AN$5000=AN63)*($AL$2:$AL$5000&lt;=AL63)) &lt;= (COUNTIF($AN$2:$AN$5000,AN63)*0.5)), "SORTEADO", "-")</f>
        <v>-</v>
      </c>
      <c r="AN63" s="232" t="s">
        <v>332</v>
      </c>
    </row>
    <row r="64" spans="1:40" ht="30" customHeight="1" x14ac:dyDescent="0.2">
      <c r="A64" s="231" t="s">
        <v>197</v>
      </c>
      <c r="B64" s="231">
        <v>2689519302</v>
      </c>
      <c r="C64" s="231" t="s">
        <v>106</v>
      </c>
      <c r="D64" s="231" t="s">
        <v>80</v>
      </c>
      <c r="E64" s="231" t="s">
        <v>198</v>
      </c>
      <c r="F64" s="231" t="s">
        <v>397</v>
      </c>
      <c r="G64" s="231">
        <v>220</v>
      </c>
      <c r="H64" s="231"/>
      <c r="I64" s="231" t="s">
        <v>398</v>
      </c>
      <c r="J64" s="231" t="s">
        <v>259</v>
      </c>
      <c r="K64" s="231"/>
      <c r="L64" s="232" t="s">
        <v>332</v>
      </c>
      <c r="M64" s="232">
        <v>46057.658333333333</v>
      </c>
      <c r="N64" s="231" t="s">
        <v>322</v>
      </c>
      <c r="O64" s="158" t="s">
        <v>204</v>
      </c>
      <c r="P64" s="92"/>
      <c r="Q64" s="146" t="s">
        <v>204</v>
      </c>
      <c r="R64" s="92"/>
      <c r="S64" s="146" t="s">
        <v>204</v>
      </c>
      <c r="T64" s="92"/>
      <c r="U64" s="146" t="s">
        <v>204</v>
      </c>
      <c r="V64" s="92"/>
      <c r="W64" s="146" t="s">
        <v>204</v>
      </c>
      <c r="X64" s="92"/>
      <c r="Y64" s="146" t="s">
        <v>61</v>
      </c>
      <c r="Z64" s="92"/>
      <c r="AA64" s="146" t="s">
        <v>204</v>
      </c>
      <c r="AB64" s="92"/>
      <c r="AC64" s="146" t="s">
        <v>204</v>
      </c>
      <c r="AD64" s="92"/>
      <c r="AE64" s="146" t="s">
        <v>204</v>
      </c>
      <c r="AF64" s="187" t="str">
        <f t="shared" si="3"/>
        <v>C</v>
      </c>
      <c r="AG64" s="54" t="str">
        <f t="shared" si="6"/>
        <v>UTILIZOU O PDA CORRETAMENTE</v>
      </c>
      <c r="AH64" s="144" t="s">
        <v>204</v>
      </c>
      <c r="AI64" s="95" t="s">
        <v>6</v>
      </c>
      <c r="AJ64" s="97" t="str">
        <f t="shared" si="5"/>
        <v>GUARULHOS</v>
      </c>
      <c r="AK64" s="212" t="s">
        <v>39</v>
      </c>
      <c r="AL64" s="53">
        <v>0.35704761566029408</v>
      </c>
      <c r="AM64" s="53" t="str" cm="1">
        <f t="array" ref="AM64">IF(OR(O64&lt;&gt;"", SUMPRODUCT(($AN$2:$AN$5000=AN64)*($AL$2:$AL$5000&lt;=AL64)) &lt;= (COUNTIF($AN$2:$AN$5000,AN64)*0.5)), "SORTEADO", "-")</f>
        <v>SORTEADO</v>
      </c>
      <c r="AN64" s="232" t="s">
        <v>332</v>
      </c>
    </row>
    <row r="65" spans="1:40" ht="30" hidden="1" customHeight="1" x14ac:dyDescent="0.2">
      <c r="A65" s="231" t="s">
        <v>197</v>
      </c>
      <c r="B65" s="231">
        <v>2614159770</v>
      </c>
      <c r="C65" s="231" t="s">
        <v>105</v>
      </c>
      <c r="D65" s="231" t="s">
        <v>80</v>
      </c>
      <c r="E65" s="231" t="s">
        <v>198</v>
      </c>
      <c r="F65" s="231" t="s">
        <v>399</v>
      </c>
      <c r="G65" s="231">
        <v>415</v>
      </c>
      <c r="H65" s="231"/>
      <c r="I65" s="231" t="s">
        <v>394</v>
      </c>
      <c r="J65" s="231" t="s">
        <v>226</v>
      </c>
      <c r="K65" s="231" t="s">
        <v>400</v>
      </c>
      <c r="L65" s="232" t="s">
        <v>332</v>
      </c>
      <c r="M65" s="232">
        <v>46057.6875</v>
      </c>
      <c r="N65" s="231" t="s">
        <v>287</v>
      </c>
      <c r="O65" s="157"/>
      <c r="P65" s="56"/>
      <c r="Q65" s="144"/>
      <c r="R65" s="56"/>
      <c r="S65" s="144"/>
      <c r="T65" s="56"/>
      <c r="U65" s="144"/>
      <c r="V65" s="56"/>
      <c r="W65" s="144"/>
      <c r="X65" s="56"/>
      <c r="Y65" s="144"/>
      <c r="Z65" s="56"/>
      <c r="AA65" s="144"/>
      <c r="AB65" s="56"/>
      <c r="AC65" s="144"/>
      <c r="AD65" s="56"/>
      <c r="AE65" s="144"/>
      <c r="AF65" s="187" t="str">
        <f t="shared" si="3"/>
        <v/>
      </c>
      <c r="AG65" s="54" t="b">
        <f t="shared" si="6"/>
        <v>0</v>
      </c>
      <c r="AH65" s="144"/>
      <c r="AI65" s="95" t="s">
        <v>6</v>
      </c>
      <c r="AJ65" s="97" t="str">
        <f t="shared" si="5"/>
        <v>GUARULHOS</v>
      </c>
      <c r="AK65" s="212" t="s">
        <v>39</v>
      </c>
      <c r="AL65" s="53">
        <v>0.84991896356346064</v>
      </c>
      <c r="AM65" s="53" t="str" cm="1">
        <f t="array" ref="AM65">IF(OR(O65&lt;&gt;"", SUMPRODUCT(($AN$2:$AN$5000=AN65)*($AL$2:$AL$5000&lt;=AL65)) &lt;= (COUNTIF($AN$2:$AN$5000,AN65)*0.5)), "SORTEADO", "-")</f>
        <v>-</v>
      </c>
      <c r="AN65" s="232" t="s">
        <v>332</v>
      </c>
    </row>
    <row r="66" spans="1:40" ht="30" hidden="1" customHeight="1" x14ac:dyDescent="0.2">
      <c r="A66" s="231" t="s">
        <v>197</v>
      </c>
      <c r="B66" s="231">
        <v>2689519302</v>
      </c>
      <c r="C66" s="231" t="s">
        <v>88</v>
      </c>
      <c r="D66" s="231" t="s">
        <v>77</v>
      </c>
      <c r="E66" s="231" t="s">
        <v>198</v>
      </c>
      <c r="F66" s="231" t="s">
        <v>397</v>
      </c>
      <c r="G66" s="231">
        <v>220</v>
      </c>
      <c r="H66" s="231" t="s">
        <v>213</v>
      </c>
      <c r="I66" s="231" t="s">
        <v>398</v>
      </c>
      <c r="J66" s="231" t="s">
        <v>401</v>
      </c>
      <c r="K66" s="231" t="s">
        <v>213</v>
      </c>
      <c r="L66" s="232" t="s">
        <v>332</v>
      </c>
      <c r="M66" s="232">
        <v>46057.685416666667</v>
      </c>
      <c r="N66" s="231" t="s">
        <v>322</v>
      </c>
      <c r="O66" s="157"/>
      <c r="P66" s="56"/>
      <c r="Q66" s="144"/>
      <c r="R66" s="56"/>
      <c r="S66" s="144"/>
      <c r="T66" s="56"/>
      <c r="U66" s="144"/>
      <c r="V66" s="56"/>
      <c r="W66" s="144"/>
      <c r="X66" s="56"/>
      <c r="Y66" s="144"/>
      <c r="Z66" s="56"/>
      <c r="AA66" s="144"/>
      <c r="AB66" s="56"/>
      <c r="AC66" s="144"/>
      <c r="AD66" s="56"/>
      <c r="AE66" s="144"/>
      <c r="AF66" s="187" t="str">
        <f t="shared" si="3"/>
        <v/>
      </c>
      <c r="AG66" s="54" t="b">
        <f t="shared" si="6"/>
        <v>0</v>
      </c>
      <c r="AH66" s="144"/>
      <c r="AI66" s="95" t="s">
        <v>6</v>
      </c>
      <c r="AJ66" s="97" t="str">
        <f t="shared" si="5"/>
        <v>GUARULHOS</v>
      </c>
      <c r="AK66" s="212" t="s">
        <v>39</v>
      </c>
      <c r="AL66" s="53">
        <v>0.37420220473202137</v>
      </c>
      <c r="AM66" s="53" t="str" cm="1">
        <f t="array" ref="AM66">IF(OR(O66&lt;&gt;"", SUMPRODUCT(($AN$2:$AN$5000=AN66)*($AL$2:$AL$5000&lt;=AL66)) &lt;= (COUNTIF($AN$2:$AN$5000,AN66)*0.5)), "SORTEADO", "-")</f>
        <v>-</v>
      </c>
      <c r="AN66" s="232" t="s">
        <v>332</v>
      </c>
    </row>
    <row r="67" spans="1:40" ht="30" customHeight="1" x14ac:dyDescent="0.2">
      <c r="A67" s="231" t="s">
        <v>197</v>
      </c>
      <c r="B67" s="231">
        <v>2689494720</v>
      </c>
      <c r="C67" s="231" t="s">
        <v>98</v>
      </c>
      <c r="D67" s="231" t="s">
        <v>80</v>
      </c>
      <c r="E67" s="231" t="s">
        <v>198</v>
      </c>
      <c r="F67" s="231" t="s">
        <v>402</v>
      </c>
      <c r="G67" s="231">
        <v>456</v>
      </c>
      <c r="H67" s="231"/>
      <c r="I67" s="231" t="s">
        <v>368</v>
      </c>
      <c r="J67" s="231" t="s">
        <v>297</v>
      </c>
      <c r="K67" s="231" t="s">
        <v>403</v>
      </c>
      <c r="L67" s="232" t="s">
        <v>332</v>
      </c>
      <c r="M67" s="232">
        <v>46057.567361111112</v>
      </c>
      <c r="N67" s="231" t="s">
        <v>241</v>
      </c>
      <c r="O67" s="157" t="s">
        <v>328</v>
      </c>
      <c r="P67" s="143"/>
      <c r="Q67" s="144" t="s">
        <v>328</v>
      </c>
      <c r="R67" s="143"/>
      <c r="S67" s="144" t="s">
        <v>328</v>
      </c>
      <c r="T67" s="143"/>
      <c r="U67" s="144" t="s">
        <v>328</v>
      </c>
      <c r="V67" s="143"/>
      <c r="W67" s="144" t="s">
        <v>328</v>
      </c>
      <c r="X67" s="143"/>
      <c r="Y67" s="144" t="s">
        <v>328</v>
      </c>
      <c r="Z67" s="143"/>
      <c r="AA67" s="144" t="s">
        <v>328</v>
      </c>
      <c r="AB67" s="143"/>
      <c r="AC67" s="144" t="s">
        <v>328</v>
      </c>
      <c r="AD67" s="56"/>
      <c r="AE67" s="144" t="s">
        <v>210</v>
      </c>
      <c r="AF67" s="187" t="str">
        <f t="shared" si="3"/>
        <v>NC</v>
      </c>
      <c r="AG67" s="54" t="str">
        <f t="shared" si="6"/>
        <v>NÃO UTILIZOU O PDA</v>
      </c>
      <c r="AH67" s="144" t="s">
        <v>204</v>
      </c>
      <c r="AI67" s="95" t="s">
        <v>6</v>
      </c>
      <c r="AJ67" s="97" t="str">
        <f t="shared" si="5"/>
        <v>GUARULHOS</v>
      </c>
      <c r="AK67" s="212" t="s">
        <v>39</v>
      </c>
      <c r="AL67" s="53">
        <v>0.11434143933048191</v>
      </c>
      <c r="AM67" s="53" t="str" cm="1">
        <f t="array" ref="AM67">IF(OR(O67&lt;&gt;"", SUMPRODUCT(($AN$2:$AN$5000=AN67)*($AL$2:$AL$5000&lt;=AL67)) &lt;= (COUNTIF($AN$2:$AN$5000,AN67)*0.5)), "SORTEADO", "-")</f>
        <v>SORTEADO</v>
      </c>
      <c r="AN67" s="232" t="s">
        <v>332</v>
      </c>
    </row>
    <row r="68" spans="1:40" ht="30" hidden="1" customHeight="1" x14ac:dyDescent="0.2">
      <c r="A68" s="231" t="s">
        <v>197</v>
      </c>
      <c r="B68" s="231">
        <v>2614173410</v>
      </c>
      <c r="C68" s="231" t="s">
        <v>100</v>
      </c>
      <c r="D68" s="231" t="s">
        <v>78</v>
      </c>
      <c r="E68" s="231" t="s">
        <v>198</v>
      </c>
      <c r="F68" s="231" t="s">
        <v>404</v>
      </c>
      <c r="G68" s="231">
        <v>154</v>
      </c>
      <c r="H68" s="231" t="s">
        <v>405</v>
      </c>
      <c r="I68" s="231" t="s">
        <v>262</v>
      </c>
      <c r="J68" s="231" t="s">
        <v>248</v>
      </c>
      <c r="K68" s="231" t="s">
        <v>406</v>
      </c>
      <c r="L68" s="232" t="s">
        <v>407</v>
      </c>
      <c r="M68" s="232">
        <v>46085.425000000003</v>
      </c>
      <c r="N68" s="231" t="s">
        <v>408</v>
      </c>
      <c r="O68" s="157"/>
      <c r="P68" s="56"/>
      <c r="Q68" s="144"/>
      <c r="R68" s="56"/>
      <c r="S68" s="144"/>
      <c r="T68" s="56"/>
      <c r="U68" s="144"/>
      <c r="V68" s="56"/>
      <c r="W68" s="144"/>
      <c r="X68" s="56"/>
      <c r="Y68" s="144"/>
      <c r="Z68" s="56"/>
      <c r="AA68" s="144"/>
      <c r="AB68" s="56"/>
      <c r="AC68" s="144"/>
      <c r="AD68" s="56"/>
      <c r="AE68" s="144"/>
      <c r="AF68" s="187" t="str">
        <f t="shared" si="3"/>
        <v/>
      </c>
      <c r="AG68" s="54" t="b">
        <f t="shared" si="6"/>
        <v>0</v>
      </c>
      <c r="AH68" s="144"/>
      <c r="AI68" s="95" t="s">
        <v>6</v>
      </c>
      <c r="AJ68" s="97" t="str">
        <f t="shared" si="5"/>
        <v>GUARULHOS</v>
      </c>
      <c r="AK68" s="212" t="s">
        <v>39</v>
      </c>
      <c r="AL68" s="53">
        <v>0.95878190773264649</v>
      </c>
      <c r="AM68" s="53" t="str" cm="1">
        <f t="array" ref="AM68">IF(OR(O68&lt;&gt;"", SUMPRODUCT(($AN$2:$AN$5000=AN68)*($AL$2:$AL$5000&lt;=AL68)) &lt;= (COUNTIF($AN$2:$AN$5000,AN68)*0.5)), "SORTEADO", "-")</f>
        <v>-</v>
      </c>
      <c r="AN68" s="232" t="s">
        <v>407</v>
      </c>
    </row>
    <row r="69" spans="1:40" ht="30" hidden="1" customHeight="1" x14ac:dyDescent="0.2">
      <c r="A69" s="231" t="s">
        <v>197</v>
      </c>
      <c r="B69" s="231">
        <v>2614128186</v>
      </c>
      <c r="C69" s="231" t="s">
        <v>104</v>
      </c>
      <c r="D69" s="231" t="s">
        <v>80</v>
      </c>
      <c r="E69" s="231" t="s">
        <v>198</v>
      </c>
      <c r="F69" s="231" t="s">
        <v>377</v>
      </c>
      <c r="G69" s="231">
        <v>286</v>
      </c>
      <c r="H69" s="231" t="s">
        <v>378</v>
      </c>
      <c r="I69" s="231" t="s">
        <v>379</v>
      </c>
      <c r="J69" s="231" t="s">
        <v>278</v>
      </c>
      <c r="K69" s="231" t="s">
        <v>380</v>
      </c>
      <c r="L69" s="232" t="s">
        <v>332</v>
      </c>
      <c r="M69" s="232">
        <v>46057.70416666667</v>
      </c>
      <c r="N69" s="231" t="s">
        <v>381</v>
      </c>
      <c r="O69" s="157"/>
      <c r="P69" s="56"/>
      <c r="Q69" s="144"/>
      <c r="R69" s="56"/>
      <c r="S69" s="144"/>
      <c r="T69" s="56"/>
      <c r="U69" s="144"/>
      <c r="V69" s="56"/>
      <c r="W69" s="144"/>
      <c r="X69" s="56"/>
      <c r="Y69" s="144"/>
      <c r="Z69" s="56"/>
      <c r="AA69" s="144"/>
      <c r="AB69" s="56"/>
      <c r="AC69" s="144"/>
      <c r="AD69" s="56"/>
      <c r="AE69" s="144"/>
      <c r="AF69" s="187" t="str">
        <f t="shared" si="3"/>
        <v/>
      </c>
      <c r="AG69" s="54" t="b">
        <f t="shared" si="6"/>
        <v>0</v>
      </c>
      <c r="AH69" s="144"/>
      <c r="AI69" s="95" t="s">
        <v>6</v>
      </c>
      <c r="AJ69" s="97" t="str">
        <f t="shared" si="5"/>
        <v>GUARULHOS</v>
      </c>
      <c r="AK69" s="212" t="s">
        <v>39</v>
      </c>
      <c r="AL69" s="53">
        <v>0.69102078006773804</v>
      </c>
      <c r="AM69" s="53" t="str" cm="1">
        <f t="array" ref="AM69">IF(OR(O69&lt;&gt;"", SUMPRODUCT(($AN$2:$AN$5000=AN69)*($AL$2:$AL$5000&lt;=AL69)) &lt;= (COUNTIF($AN$2:$AN$5000,AN69)*0.5)), "SORTEADO", "-")</f>
        <v>-</v>
      </c>
      <c r="AN69" s="232" t="s">
        <v>332</v>
      </c>
    </row>
    <row r="70" spans="1:40" ht="30" customHeight="1" x14ac:dyDescent="0.2">
      <c r="A70" s="231" t="s">
        <v>197</v>
      </c>
      <c r="B70" s="231">
        <v>2614128186</v>
      </c>
      <c r="C70" s="231" t="s">
        <v>89</v>
      </c>
      <c r="D70" s="231" t="s">
        <v>77</v>
      </c>
      <c r="E70" s="231" t="s">
        <v>198</v>
      </c>
      <c r="F70" s="231" t="s">
        <v>377</v>
      </c>
      <c r="G70" s="231">
        <v>286</v>
      </c>
      <c r="H70" s="231" t="s">
        <v>378</v>
      </c>
      <c r="I70" s="231" t="s">
        <v>379</v>
      </c>
      <c r="J70" s="231" t="s">
        <v>346</v>
      </c>
      <c r="K70" s="231" t="s">
        <v>409</v>
      </c>
      <c r="L70" s="232" t="s">
        <v>332</v>
      </c>
      <c r="M70" s="232">
        <v>46057.709027777775</v>
      </c>
      <c r="N70" s="231" t="s">
        <v>381</v>
      </c>
      <c r="O70" s="157" t="s">
        <v>204</v>
      </c>
      <c r="P70" s="56"/>
      <c r="Q70" s="144" t="s">
        <v>204</v>
      </c>
      <c r="R70" s="56"/>
      <c r="S70" s="144" t="s">
        <v>204</v>
      </c>
      <c r="T70" s="56"/>
      <c r="U70" s="144" t="s">
        <v>204</v>
      </c>
      <c r="V70" s="56"/>
      <c r="W70" s="144" t="s">
        <v>204</v>
      </c>
      <c r="X70" s="56"/>
      <c r="Y70" s="144" t="s">
        <v>61</v>
      </c>
      <c r="Z70" s="56"/>
      <c r="AA70" s="144" t="s">
        <v>204</v>
      </c>
      <c r="AB70" s="56"/>
      <c r="AC70" s="144" t="s">
        <v>204</v>
      </c>
      <c r="AD70" s="56"/>
      <c r="AE70" s="144" t="s">
        <v>204</v>
      </c>
      <c r="AF70" s="187" t="str">
        <f t="shared" si="3"/>
        <v>C</v>
      </c>
      <c r="AG70" s="54" t="str">
        <f t="shared" si="6"/>
        <v>UTILIZOU O PDA CORRETAMENTE</v>
      </c>
      <c r="AH70" s="144" t="s">
        <v>204</v>
      </c>
      <c r="AI70" s="95" t="s">
        <v>6</v>
      </c>
      <c r="AJ70" s="97" t="str">
        <f t="shared" si="5"/>
        <v>GUARULHOS</v>
      </c>
      <c r="AK70" s="212" t="s">
        <v>39</v>
      </c>
      <c r="AL70" s="53">
        <v>0.20084178768669692</v>
      </c>
      <c r="AM70" s="53" t="str" cm="1">
        <f t="array" ref="AM70">IF(OR(O70&lt;&gt;"", SUMPRODUCT(($AN$2:$AN$5000=AN70)*($AL$2:$AL$5000&lt;=AL70)) &lt;= (COUNTIF($AN$2:$AN$5000,AN70)*0.5)), "SORTEADO", "-")</f>
        <v>SORTEADO</v>
      </c>
      <c r="AN70" s="232" t="s">
        <v>332</v>
      </c>
    </row>
    <row r="71" spans="1:40" ht="30" hidden="1" customHeight="1" x14ac:dyDescent="0.2">
      <c r="A71" s="231" t="s">
        <v>197</v>
      </c>
      <c r="B71" s="231">
        <v>2689535121</v>
      </c>
      <c r="C71" s="231" t="s">
        <v>106</v>
      </c>
      <c r="D71" s="231" t="s">
        <v>80</v>
      </c>
      <c r="E71" s="231" t="s">
        <v>198</v>
      </c>
      <c r="F71" s="231" t="s">
        <v>410</v>
      </c>
      <c r="G71" s="231">
        <v>18</v>
      </c>
      <c r="H71" s="231"/>
      <c r="I71" s="231" t="s">
        <v>411</v>
      </c>
      <c r="J71" s="231" t="s">
        <v>259</v>
      </c>
      <c r="K71" s="231"/>
      <c r="L71" s="232" t="s">
        <v>407</v>
      </c>
      <c r="M71" s="232">
        <v>46085.375694444447</v>
      </c>
      <c r="N71" s="231" t="s">
        <v>287</v>
      </c>
      <c r="O71" s="157"/>
      <c r="P71" s="56"/>
      <c r="Q71" s="144"/>
      <c r="R71" s="56"/>
      <c r="S71" s="144"/>
      <c r="T71" s="56"/>
      <c r="U71" s="144"/>
      <c r="V71" s="56"/>
      <c r="W71" s="144"/>
      <c r="X71" s="56"/>
      <c r="Y71" s="144"/>
      <c r="Z71" s="56"/>
      <c r="AA71" s="144"/>
      <c r="AB71" s="56"/>
      <c r="AC71" s="144"/>
      <c r="AD71" s="56"/>
      <c r="AE71" s="144"/>
      <c r="AF71" s="187" t="str">
        <f t="shared" ref="AF71:AF134" si="7">IF(AND(O71="",Q71="",S71="",U71="",W71="",Y71="",AA71="",AC71=""),"",IF(OR(AND(O71&lt;&gt;"NA",O71&lt;&gt;"C",O71&lt;&gt;"NC",O71&lt;&gt;"SF",O71&lt;&gt;""),AND(Q71&lt;&gt;"NA",Q71&lt;&gt;"C",Q71&lt;&gt;"NC",Q71&lt;&gt;"SF",Q71&lt;&gt;""),AND(S71&lt;&gt;"NA",S71&lt;&gt;"C",S71&lt;&gt;"NC",S71&lt;&gt;"SF",S71&lt;&gt;""),AND(U71&lt;&gt;"NA",U71&lt;&gt;"C",U71&lt;&gt;"NC",U71&lt;&gt;"SF",U71&lt;&gt;""),AND(W71&lt;&gt;"NA",W71&lt;&gt;"C",W71&lt;&gt;"NC",W71&lt;&gt;"SF",W71&lt;&gt;""),AND(Y71&lt;&gt;"NA",Y71&lt;&gt;"C",Y71&lt;&gt;"NC",Y71&lt;&gt;"SF",Y71&lt;&gt;""),AND(AA71&lt;&gt;"NA",AA71&lt;&gt;"C",AA71&lt;&gt;"NC",AA71&lt;&gt;"SF",AA71&lt;&gt;""),AND(AC71&lt;&gt;"NA",AC71&lt;&gt;"C",AC71&lt;&gt;"NC",AC71&lt;&gt;"SF",AC71&lt;&gt;"")),"FALSO",IF(AND(O71="NA",Q71="NA",S71="NA",U71="NA",W71="NA",Y71="NA",AA71="NA",AC71="NA"),"NA",IF(OR(O71="NC",Q71="NC",S71="NC",U71="NC",W71="NC",Y71="NC",AA71="NC",AC71="NC",O71="SF",Q71="SF",S71="SF",U71="SF",W71="SF",Y71="SF",AA71="SF",AC71="SF"),"NC",IF(OR(O71="C",Q71="C",S71="C",U71="C",W71="C",Y71="C",AA71="C",AC71="C"),"C","")))))</f>
        <v/>
      </c>
      <c r="AG71" s="54" t="b">
        <f t="shared" si="6"/>
        <v>0</v>
      </c>
      <c r="AH71" s="144"/>
      <c r="AI71" s="95" t="s">
        <v>6</v>
      </c>
      <c r="AJ71" s="97" t="str">
        <f t="shared" ref="AJ71:AJ134" si="8">E71</f>
        <v>GUARULHOS</v>
      </c>
      <c r="AK71" s="212" t="s">
        <v>39</v>
      </c>
      <c r="AL71" s="53">
        <v>0.99616346265024946</v>
      </c>
      <c r="AM71" s="53" t="str" cm="1">
        <f t="array" ref="AM71">IF(OR(O71&lt;&gt;"", SUMPRODUCT(($AN$2:$AN$5000=AN71)*($AL$2:$AL$5000&lt;=AL71)) &lt;= (COUNTIF($AN$2:$AN$5000,AN71)*0.5)), "SORTEADO", "-")</f>
        <v>-</v>
      </c>
      <c r="AN71" s="232" t="s">
        <v>407</v>
      </c>
    </row>
    <row r="72" spans="1:40" ht="30" customHeight="1" x14ac:dyDescent="0.2">
      <c r="A72" s="231" t="s">
        <v>197</v>
      </c>
      <c r="B72" s="231">
        <v>2614194300</v>
      </c>
      <c r="C72" s="231" t="s">
        <v>100</v>
      </c>
      <c r="D72" s="231" t="s">
        <v>78</v>
      </c>
      <c r="E72" s="231" t="s">
        <v>198</v>
      </c>
      <c r="F72" s="231" t="s">
        <v>386</v>
      </c>
      <c r="G72" s="231">
        <v>100</v>
      </c>
      <c r="H72" s="231" t="s">
        <v>412</v>
      </c>
      <c r="I72" s="231" t="s">
        <v>262</v>
      </c>
      <c r="J72" s="231" t="s">
        <v>248</v>
      </c>
      <c r="K72" s="231" t="s">
        <v>213</v>
      </c>
      <c r="L72" s="232" t="s">
        <v>407</v>
      </c>
      <c r="M72" s="232">
        <v>46085.500694444447</v>
      </c>
      <c r="N72" s="231" t="s">
        <v>322</v>
      </c>
      <c r="O72" s="157" t="s">
        <v>210</v>
      </c>
      <c r="P72" s="143"/>
      <c r="Q72" s="144" t="s">
        <v>210</v>
      </c>
      <c r="R72" s="143"/>
      <c r="S72" s="144" t="s">
        <v>210</v>
      </c>
      <c r="T72" s="143"/>
      <c r="U72" s="144" t="s">
        <v>210</v>
      </c>
      <c r="V72" s="143"/>
      <c r="W72" s="144" t="s">
        <v>210</v>
      </c>
      <c r="X72" s="143"/>
      <c r="Y72" s="144" t="s">
        <v>210</v>
      </c>
      <c r="Z72" s="143"/>
      <c r="AA72" s="144" t="s">
        <v>210</v>
      </c>
      <c r="AB72" s="143"/>
      <c r="AC72" s="144" t="s">
        <v>210</v>
      </c>
      <c r="AD72" s="56"/>
      <c r="AE72" s="144" t="s">
        <v>210</v>
      </c>
      <c r="AF72" s="187" t="str">
        <f t="shared" si="7"/>
        <v>NC</v>
      </c>
      <c r="AG72" s="54" t="s">
        <v>413</v>
      </c>
      <c r="AH72" s="144" t="s">
        <v>204</v>
      </c>
      <c r="AI72" s="95" t="s">
        <v>6</v>
      </c>
      <c r="AJ72" s="97" t="str">
        <f t="shared" si="8"/>
        <v>GUARULHOS</v>
      </c>
      <c r="AK72" s="212" t="s">
        <v>39</v>
      </c>
      <c r="AL72" s="53">
        <v>0.19619410550223892</v>
      </c>
      <c r="AM72" s="53" t="str" cm="1">
        <f t="array" ref="AM72">IF(OR(O72&lt;&gt;"", SUMPRODUCT(($AN$2:$AN$5000=AN72)*($AL$2:$AL$5000&lt;=AL72)) &lt;= (COUNTIF($AN$2:$AN$5000,AN72)*0.5)), "SORTEADO", "-")</f>
        <v>SORTEADO</v>
      </c>
      <c r="AN72" s="232" t="s">
        <v>407</v>
      </c>
    </row>
    <row r="73" spans="1:40" ht="30" hidden="1" customHeight="1" x14ac:dyDescent="0.2">
      <c r="A73" s="231" t="s">
        <v>197</v>
      </c>
      <c r="B73" s="231">
        <v>2613894467</v>
      </c>
      <c r="C73" s="231" t="s">
        <v>105</v>
      </c>
      <c r="D73" s="231" t="s">
        <v>80</v>
      </c>
      <c r="E73" s="231" t="s">
        <v>198</v>
      </c>
      <c r="F73" s="231" t="s">
        <v>414</v>
      </c>
      <c r="G73" s="231">
        <v>82</v>
      </c>
      <c r="H73" s="231" t="s">
        <v>415</v>
      </c>
      <c r="I73" s="231" t="s">
        <v>416</v>
      </c>
      <c r="J73" s="231" t="s">
        <v>278</v>
      </c>
      <c r="K73" s="231"/>
      <c r="L73" s="232" t="s">
        <v>407</v>
      </c>
      <c r="M73" s="232">
        <v>46085.552083333336</v>
      </c>
      <c r="N73" s="231" t="s">
        <v>317</v>
      </c>
      <c r="O73" s="157"/>
      <c r="P73" s="56"/>
      <c r="Q73" s="144"/>
      <c r="R73" s="56"/>
      <c r="S73" s="144"/>
      <c r="T73" s="56"/>
      <c r="U73" s="144"/>
      <c r="V73" s="56"/>
      <c r="W73" s="144"/>
      <c r="X73" s="56"/>
      <c r="Y73" s="144"/>
      <c r="Z73" s="56"/>
      <c r="AA73" s="144"/>
      <c r="AB73" s="56"/>
      <c r="AC73" s="144"/>
      <c r="AD73" s="56"/>
      <c r="AE73" s="144"/>
      <c r="AF73" s="187" t="str">
        <f t="shared" si="7"/>
        <v/>
      </c>
      <c r="AG73" s="54" t="b">
        <f t="shared" ref="AG73:AG104" si="9">IF(AND(AE73="C",AF73="C"),"UTILIZOU O PDA CORRETAMENTE",IF(AND(AE73="C",AF73="NC"),"UTILIZOU O PDA CORRETAMENTE. NÃO HÁ FOTOS DE TODAS AS ETAPAS",IF(AND(AE73="NC",AF73="NC"),"NÃO UTILIZOU O PDA",IF(AND(AE73="NA",AF73="NA"),"NÃO AVALIADO POR FALHA DE SINCRONISMO"))))</f>
        <v>0</v>
      </c>
      <c r="AH73" s="144"/>
      <c r="AI73" s="95" t="s">
        <v>6</v>
      </c>
      <c r="AJ73" s="97" t="str">
        <f t="shared" si="8"/>
        <v>GUARULHOS</v>
      </c>
      <c r="AK73" s="212" t="s">
        <v>39</v>
      </c>
      <c r="AL73" s="53">
        <v>0.74875018820267769</v>
      </c>
      <c r="AM73" s="53" t="str" cm="1">
        <f t="array" ref="AM73">IF(OR(O73&lt;&gt;"", SUMPRODUCT(($AN$2:$AN$5000=AN73)*($AL$2:$AL$5000&lt;=AL73)) &lt;= (COUNTIF($AN$2:$AN$5000,AN73)*0.5)), "SORTEADO", "-")</f>
        <v>-</v>
      </c>
      <c r="AN73" s="232" t="s">
        <v>407</v>
      </c>
    </row>
    <row r="74" spans="1:40" ht="30" hidden="1" customHeight="1" x14ac:dyDescent="0.2">
      <c r="A74" s="231" t="s">
        <v>197</v>
      </c>
      <c r="B74" s="231">
        <v>2613764387</v>
      </c>
      <c r="C74" s="231" t="s">
        <v>93</v>
      </c>
      <c r="D74" s="231" t="s">
        <v>76</v>
      </c>
      <c r="E74" s="231" t="s">
        <v>198</v>
      </c>
      <c r="F74" s="231" t="s">
        <v>417</v>
      </c>
      <c r="G74" s="231">
        <v>387</v>
      </c>
      <c r="H74" s="231" t="s">
        <v>418</v>
      </c>
      <c r="I74" s="231" t="s">
        <v>200</v>
      </c>
      <c r="J74" s="231" t="s">
        <v>93</v>
      </c>
      <c r="K74" s="238" t="s">
        <v>419</v>
      </c>
      <c r="L74" s="232" t="s">
        <v>407</v>
      </c>
      <c r="M74" s="232">
        <v>46085.292361111111</v>
      </c>
      <c r="N74" s="231" t="s">
        <v>203</v>
      </c>
      <c r="O74" s="157" t="s">
        <v>61</v>
      </c>
      <c r="P74" s="56"/>
      <c r="Q74" s="144" t="s">
        <v>61</v>
      </c>
      <c r="R74" s="56"/>
      <c r="S74" s="144" t="s">
        <v>61</v>
      </c>
      <c r="T74" s="56"/>
      <c r="U74" s="144" t="s">
        <v>61</v>
      </c>
      <c r="V74" s="56"/>
      <c r="W74" s="144" t="s">
        <v>61</v>
      </c>
      <c r="X74" s="56"/>
      <c r="Y74" s="144" t="s">
        <v>61</v>
      </c>
      <c r="Z74" s="56"/>
      <c r="AA74" s="144" t="s">
        <v>61</v>
      </c>
      <c r="AB74" s="56"/>
      <c r="AC74" s="144" t="s">
        <v>61</v>
      </c>
      <c r="AD74" s="56"/>
      <c r="AE74" s="144" t="s">
        <v>61</v>
      </c>
      <c r="AF74" s="187" t="str">
        <f t="shared" si="7"/>
        <v>NA</v>
      </c>
      <c r="AG74" s="54" t="str">
        <f t="shared" si="9"/>
        <v>NÃO AVALIADO POR FALHA DE SINCRONISMO</v>
      </c>
      <c r="AH74" s="144" t="s">
        <v>204</v>
      </c>
      <c r="AI74" s="95" t="s">
        <v>6</v>
      </c>
      <c r="AJ74" s="97" t="str">
        <f t="shared" si="8"/>
        <v>GUARULHOS</v>
      </c>
      <c r="AK74" s="212" t="s">
        <v>39</v>
      </c>
      <c r="AL74" s="53">
        <v>-1.46E-2</v>
      </c>
      <c r="AM74" s="53" t="str" cm="1">
        <f t="array" ref="AM74">IF(OR(O74&lt;&gt;"", SUMPRODUCT(($AN$2:$AN$5000=AN74)*($AL$2:$AL$5000&lt;=AL74)) &lt;= (COUNTIF($AN$2:$AN$5000,AN74)*0.5)), "SORTEADO", "-")</f>
        <v>SORTEADO</v>
      </c>
      <c r="AN74" s="232" t="s">
        <v>407</v>
      </c>
    </row>
    <row r="75" spans="1:40" ht="30" hidden="1" customHeight="1" x14ac:dyDescent="0.2">
      <c r="A75" s="231" t="s">
        <v>197</v>
      </c>
      <c r="B75" s="231">
        <v>2613764428</v>
      </c>
      <c r="C75" s="231" t="s">
        <v>95</v>
      </c>
      <c r="D75" s="231" t="s">
        <v>76</v>
      </c>
      <c r="E75" s="231" t="s">
        <v>198</v>
      </c>
      <c r="F75" s="231" t="s">
        <v>417</v>
      </c>
      <c r="G75" s="231">
        <v>387</v>
      </c>
      <c r="H75" s="231" t="s">
        <v>420</v>
      </c>
      <c r="I75" s="231" t="s">
        <v>200</v>
      </c>
      <c r="J75" s="231" t="s">
        <v>95</v>
      </c>
      <c r="K75" s="231" t="s">
        <v>421</v>
      </c>
      <c r="L75" s="232" t="s">
        <v>407</v>
      </c>
      <c r="M75" s="232">
        <v>46085.292361111111</v>
      </c>
      <c r="N75" s="231" t="s">
        <v>203</v>
      </c>
      <c r="O75" s="157" t="s">
        <v>61</v>
      </c>
      <c r="P75" s="56"/>
      <c r="Q75" s="144" t="s">
        <v>61</v>
      </c>
      <c r="R75" s="56"/>
      <c r="S75" s="144" t="s">
        <v>61</v>
      </c>
      <c r="T75" s="56"/>
      <c r="U75" s="144" t="s">
        <v>61</v>
      </c>
      <c r="V75" s="56"/>
      <c r="W75" s="144" t="s">
        <v>61</v>
      </c>
      <c r="X75" s="56"/>
      <c r="Y75" s="144" t="s">
        <v>61</v>
      </c>
      <c r="Z75" s="56"/>
      <c r="AA75" s="144" t="s">
        <v>61</v>
      </c>
      <c r="AB75" s="56"/>
      <c r="AC75" s="144" t="s">
        <v>61</v>
      </c>
      <c r="AD75" s="56"/>
      <c r="AE75" s="144" t="s">
        <v>61</v>
      </c>
      <c r="AF75" s="187" t="str">
        <f t="shared" si="7"/>
        <v>NA</v>
      </c>
      <c r="AG75" s="54" t="str">
        <f t="shared" si="9"/>
        <v>NÃO AVALIADO POR FALHA DE SINCRONISMO</v>
      </c>
      <c r="AH75" s="144" t="s">
        <v>204</v>
      </c>
      <c r="AI75" s="95" t="s">
        <v>6</v>
      </c>
      <c r="AJ75" s="97" t="str">
        <f t="shared" si="8"/>
        <v>GUARULHOS</v>
      </c>
      <c r="AK75" s="212" t="s">
        <v>39</v>
      </c>
      <c r="AL75" s="53">
        <v>-1.4800000000000001E-2</v>
      </c>
      <c r="AM75" s="53" t="str" cm="1">
        <f t="array" ref="AM75">IF(OR(O75&lt;&gt;"", SUMPRODUCT(($AN$2:$AN$5000=AN75)*($AL$2:$AL$5000&lt;=AL75)) &lt;= (COUNTIF($AN$2:$AN$5000,AN75)*0.5)), "SORTEADO", "-")</f>
        <v>SORTEADO</v>
      </c>
      <c r="AN75" s="232" t="s">
        <v>407</v>
      </c>
    </row>
    <row r="76" spans="1:40" ht="30" hidden="1" customHeight="1" x14ac:dyDescent="0.2">
      <c r="A76" s="231" t="s">
        <v>197</v>
      </c>
      <c r="B76" s="231">
        <v>2613764423</v>
      </c>
      <c r="C76" s="231" t="s">
        <v>95</v>
      </c>
      <c r="D76" s="231" t="s">
        <v>76</v>
      </c>
      <c r="E76" s="231" t="s">
        <v>198</v>
      </c>
      <c r="F76" s="231" t="s">
        <v>417</v>
      </c>
      <c r="G76" s="231">
        <v>387</v>
      </c>
      <c r="H76" s="231" t="s">
        <v>422</v>
      </c>
      <c r="I76" s="231" t="s">
        <v>200</v>
      </c>
      <c r="J76" s="231" t="s">
        <v>95</v>
      </c>
      <c r="K76" s="231" t="s">
        <v>421</v>
      </c>
      <c r="L76" s="232" t="s">
        <v>407</v>
      </c>
      <c r="M76" s="232">
        <v>46085.292361111111</v>
      </c>
      <c r="N76" s="231" t="s">
        <v>203</v>
      </c>
      <c r="O76" s="157" t="s">
        <v>61</v>
      </c>
      <c r="P76" s="56"/>
      <c r="Q76" s="144" t="s">
        <v>61</v>
      </c>
      <c r="R76" s="56"/>
      <c r="S76" s="144" t="s">
        <v>61</v>
      </c>
      <c r="T76" s="56"/>
      <c r="U76" s="144" t="s">
        <v>61</v>
      </c>
      <c r="V76" s="56"/>
      <c r="W76" s="144" t="s">
        <v>61</v>
      </c>
      <c r="X76" s="56"/>
      <c r="Y76" s="144" t="s">
        <v>61</v>
      </c>
      <c r="Z76" s="56"/>
      <c r="AA76" s="144" t="s">
        <v>61</v>
      </c>
      <c r="AB76" s="56"/>
      <c r="AC76" s="144" t="s">
        <v>61</v>
      </c>
      <c r="AD76" s="56"/>
      <c r="AE76" s="144" t="s">
        <v>61</v>
      </c>
      <c r="AF76" s="187" t="str">
        <f t="shared" si="7"/>
        <v>NA</v>
      </c>
      <c r="AG76" s="54" t="str">
        <f t="shared" si="9"/>
        <v>NÃO AVALIADO POR FALHA DE SINCRONISMO</v>
      </c>
      <c r="AH76" s="144" t="s">
        <v>204</v>
      </c>
      <c r="AI76" s="95" t="s">
        <v>6</v>
      </c>
      <c r="AJ76" s="97" t="str">
        <f t="shared" si="8"/>
        <v>GUARULHOS</v>
      </c>
      <c r="AK76" s="212" t="s">
        <v>39</v>
      </c>
      <c r="AL76" s="53">
        <v>-1.4999999999999999E-2</v>
      </c>
      <c r="AM76" s="53" t="str" cm="1">
        <f t="array" ref="AM76">IF(OR(O76&lt;&gt;"", SUMPRODUCT(($AN$2:$AN$5000=AN76)*($AL$2:$AL$5000&lt;=AL76)) &lt;= (COUNTIF($AN$2:$AN$5000,AN76)*0.5)), "SORTEADO", "-")</f>
        <v>SORTEADO</v>
      </c>
      <c r="AN76" s="232" t="s">
        <v>407</v>
      </c>
    </row>
    <row r="77" spans="1:40" ht="30" hidden="1" customHeight="1" x14ac:dyDescent="0.2">
      <c r="A77" s="231" t="s">
        <v>197</v>
      </c>
      <c r="B77" s="231">
        <v>2614220563</v>
      </c>
      <c r="C77" s="231" t="s">
        <v>105</v>
      </c>
      <c r="D77" s="231" t="s">
        <v>80</v>
      </c>
      <c r="E77" s="231" t="s">
        <v>198</v>
      </c>
      <c r="F77" s="231" t="s">
        <v>313</v>
      </c>
      <c r="G77" s="231">
        <v>112</v>
      </c>
      <c r="H77" s="231"/>
      <c r="I77" s="231" t="s">
        <v>315</v>
      </c>
      <c r="J77" s="231" t="s">
        <v>278</v>
      </c>
      <c r="K77" s="231"/>
      <c r="L77" s="232" t="s">
        <v>407</v>
      </c>
      <c r="M77" s="232">
        <v>46085.413888888892</v>
      </c>
      <c r="N77" s="231" t="s">
        <v>317</v>
      </c>
      <c r="O77" s="157"/>
      <c r="P77" s="56"/>
      <c r="Q77" s="144"/>
      <c r="R77" s="56"/>
      <c r="S77" s="144"/>
      <c r="T77" s="56"/>
      <c r="U77" s="144"/>
      <c r="V77" s="56"/>
      <c r="W77" s="144"/>
      <c r="X77" s="56"/>
      <c r="Y77" s="144"/>
      <c r="Z77" s="56"/>
      <c r="AA77" s="144"/>
      <c r="AB77" s="56"/>
      <c r="AC77" s="144"/>
      <c r="AD77" s="56"/>
      <c r="AE77" s="144"/>
      <c r="AF77" s="187" t="str">
        <f t="shared" si="7"/>
        <v/>
      </c>
      <c r="AG77" s="54" t="b">
        <f t="shared" si="9"/>
        <v>0</v>
      </c>
      <c r="AH77" s="144"/>
      <c r="AI77" s="95" t="s">
        <v>6</v>
      </c>
      <c r="AJ77" s="97" t="str">
        <f t="shared" si="8"/>
        <v>GUARULHOS</v>
      </c>
      <c r="AK77" s="212" t="s">
        <v>39</v>
      </c>
      <c r="AL77" s="53">
        <v>0.58666446051293708</v>
      </c>
      <c r="AM77" s="53" t="str" cm="1">
        <f t="array" ref="AM77">IF(OR(O77&lt;&gt;"", SUMPRODUCT(($AN$2:$AN$5000=AN77)*($AL$2:$AL$5000&lt;=AL77)) &lt;= (COUNTIF($AN$2:$AN$5000,AN77)*0.5)), "SORTEADO", "-")</f>
        <v>-</v>
      </c>
      <c r="AN77" s="232" t="s">
        <v>407</v>
      </c>
    </row>
    <row r="78" spans="1:40" ht="30" customHeight="1" x14ac:dyDescent="0.2">
      <c r="A78" s="231" t="s">
        <v>197</v>
      </c>
      <c r="B78" s="231">
        <v>2689567475</v>
      </c>
      <c r="C78" s="231" t="s">
        <v>106</v>
      </c>
      <c r="D78" s="231" t="s">
        <v>80</v>
      </c>
      <c r="E78" s="231" t="s">
        <v>198</v>
      </c>
      <c r="F78" s="231" t="s">
        <v>423</v>
      </c>
      <c r="G78" s="231">
        <v>208</v>
      </c>
      <c r="H78" s="231" t="s">
        <v>424</v>
      </c>
      <c r="I78" s="231" t="s">
        <v>425</v>
      </c>
      <c r="J78" s="231" t="s">
        <v>259</v>
      </c>
      <c r="K78" s="231" t="s">
        <v>426</v>
      </c>
      <c r="L78" s="232" t="s">
        <v>407</v>
      </c>
      <c r="M78" s="232">
        <v>46085.456944444442</v>
      </c>
      <c r="N78" s="231" t="s">
        <v>287</v>
      </c>
      <c r="O78" s="158" t="s">
        <v>204</v>
      </c>
      <c r="P78" s="92"/>
      <c r="Q78" s="146" t="s">
        <v>204</v>
      </c>
      <c r="R78" s="92"/>
      <c r="S78" s="146" t="s">
        <v>204</v>
      </c>
      <c r="T78" s="92"/>
      <c r="U78" s="146" t="s">
        <v>204</v>
      </c>
      <c r="V78" s="92"/>
      <c r="W78" s="146" t="s">
        <v>204</v>
      </c>
      <c r="X78" s="92"/>
      <c r="Y78" s="146" t="s">
        <v>61</v>
      </c>
      <c r="Z78" s="92"/>
      <c r="AA78" s="146" t="s">
        <v>204</v>
      </c>
      <c r="AB78" s="92"/>
      <c r="AC78" s="146" t="s">
        <v>204</v>
      </c>
      <c r="AD78" s="92"/>
      <c r="AE78" s="146" t="s">
        <v>204</v>
      </c>
      <c r="AF78" s="187" t="str">
        <f t="shared" si="7"/>
        <v>C</v>
      </c>
      <c r="AG78" s="54" t="str">
        <f t="shared" si="9"/>
        <v>UTILIZOU O PDA CORRETAMENTE</v>
      </c>
      <c r="AH78" s="144" t="s">
        <v>204</v>
      </c>
      <c r="AI78" s="95" t="s">
        <v>6</v>
      </c>
      <c r="AJ78" s="97" t="str">
        <f t="shared" si="8"/>
        <v>GUARULHOS</v>
      </c>
      <c r="AK78" s="212" t="s">
        <v>39</v>
      </c>
      <c r="AL78" s="53">
        <v>0.19134887710347681</v>
      </c>
      <c r="AM78" s="53" t="str" cm="1">
        <f t="array" ref="AM78">IF(OR(O78&lt;&gt;"", SUMPRODUCT(($AN$2:$AN$5000=AN78)*($AL$2:$AL$5000&lt;=AL78)) &lt;= (COUNTIF($AN$2:$AN$5000,AN78)*0.5)), "SORTEADO", "-")</f>
        <v>SORTEADO</v>
      </c>
      <c r="AN78" s="232" t="s">
        <v>407</v>
      </c>
    </row>
    <row r="79" spans="1:40" ht="30" customHeight="1" x14ac:dyDescent="0.2">
      <c r="A79" s="231" t="s">
        <v>197</v>
      </c>
      <c r="B79" s="231">
        <v>2614223573</v>
      </c>
      <c r="C79" s="231" t="s">
        <v>105</v>
      </c>
      <c r="D79" s="231" t="s">
        <v>80</v>
      </c>
      <c r="E79" s="231" t="s">
        <v>198</v>
      </c>
      <c r="F79" s="231" t="s">
        <v>427</v>
      </c>
      <c r="G79" s="231">
        <v>466</v>
      </c>
      <c r="H79" s="231" t="s">
        <v>428</v>
      </c>
      <c r="I79" s="231" t="s">
        <v>253</v>
      </c>
      <c r="J79" s="231" t="s">
        <v>226</v>
      </c>
      <c r="K79" s="231"/>
      <c r="L79" s="232" t="s">
        <v>407</v>
      </c>
      <c r="M79" s="232">
        <v>46085.57708333333</v>
      </c>
      <c r="N79" s="231" t="s">
        <v>287</v>
      </c>
      <c r="O79" s="158" t="s">
        <v>204</v>
      </c>
      <c r="P79" s="92"/>
      <c r="Q79" s="146" t="s">
        <v>204</v>
      </c>
      <c r="R79" s="92"/>
      <c r="S79" s="146" t="s">
        <v>204</v>
      </c>
      <c r="T79" s="92"/>
      <c r="U79" s="146" t="s">
        <v>204</v>
      </c>
      <c r="V79" s="92"/>
      <c r="W79" s="146" t="s">
        <v>204</v>
      </c>
      <c r="X79" s="92"/>
      <c r="Y79" s="146" t="s">
        <v>61</v>
      </c>
      <c r="Z79" s="92"/>
      <c r="AA79" s="146" t="s">
        <v>204</v>
      </c>
      <c r="AB79" s="92"/>
      <c r="AC79" s="146" t="s">
        <v>204</v>
      </c>
      <c r="AD79" s="92"/>
      <c r="AE79" s="146" t="s">
        <v>204</v>
      </c>
      <c r="AF79" s="187" t="str">
        <f t="shared" si="7"/>
        <v>C</v>
      </c>
      <c r="AG79" s="54" t="str">
        <f t="shared" si="9"/>
        <v>UTILIZOU O PDA CORRETAMENTE</v>
      </c>
      <c r="AH79" s="144" t="s">
        <v>204</v>
      </c>
      <c r="AI79" s="95" t="s">
        <v>6</v>
      </c>
      <c r="AJ79" s="97" t="str">
        <f t="shared" si="8"/>
        <v>GUARULHOS</v>
      </c>
      <c r="AK79" s="212" t="s">
        <v>39</v>
      </c>
      <c r="AL79" s="53">
        <v>0.53807621066763267</v>
      </c>
      <c r="AM79" s="53" t="str" cm="1">
        <f t="array" ref="AM79">IF(OR(O79&lt;&gt;"", SUMPRODUCT(($AN$2:$AN$5000=AN79)*($AL$2:$AL$5000&lt;=AL79)) &lt;= (COUNTIF($AN$2:$AN$5000,AN79)*0.5)), "SORTEADO", "-")</f>
        <v>SORTEADO</v>
      </c>
      <c r="AN79" s="232" t="s">
        <v>407</v>
      </c>
    </row>
    <row r="80" spans="1:40" ht="30" hidden="1" customHeight="1" x14ac:dyDescent="0.2">
      <c r="A80" s="231" t="s">
        <v>197</v>
      </c>
      <c r="B80" s="231">
        <v>2614223758</v>
      </c>
      <c r="C80" s="231" t="s">
        <v>105</v>
      </c>
      <c r="D80" s="231" t="s">
        <v>80</v>
      </c>
      <c r="E80" s="231" t="s">
        <v>198</v>
      </c>
      <c r="F80" s="231" t="s">
        <v>429</v>
      </c>
      <c r="G80" s="231">
        <v>77</v>
      </c>
      <c r="H80" s="231" t="s">
        <v>213</v>
      </c>
      <c r="I80" s="231" t="s">
        <v>430</v>
      </c>
      <c r="J80" s="231" t="s">
        <v>226</v>
      </c>
      <c r="K80" s="231" t="s">
        <v>431</v>
      </c>
      <c r="L80" s="232" t="s">
        <v>407</v>
      </c>
      <c r="M80" s="232">
        <v>46085.603472222225</v>
      </c>
      <c r="N80" s="231" t="s">
        <v>432</v>
      </c>
      <c r="O80" s="157"/>
      <c r="P80" s="56"/>
      <c r="Q80" s="144"/>
      <c r="R80" s="56"/>
      <c r="S80" s="144"/>
      <c r="T80" s="56"/>
      <c r="U80" s="144"/>
      <c r="V80" s="56"/>
      <c r="W80" s="144"/>
      <c r="X80" s="56"/>
      <c r="Y80" s="144"/>
      <c r="Z80" s="56"/>
      <c r="AA80" s="144"/>
      <c r="AB80" s="56"/>
      <c r="AC80" s="144"/>
      <c r="AD80" s="56"/>
      <c r="AE80" s="144"/>
      <c r="AF80" s="187" t="str">
        <f t="shared" si="7"/>
        <v/>
      </c>
      <c r="AG80" s="54" t="b">
        <f t="shared" si="9"/>
        <v>0</v>
      </c>
      <c r="AH80" s="144"/>
      <c r="AI80" s="95" t="s">
        <v>6</v>
      </c>
      <c r="AJ80" s="97" t="str">
        <f t="shared" si="8"/>
        <v>GUARULHOS</v>
      </c>
      <c r="AK80" s="212" t="s">
        <v>39</v>
      </c>
      <c r="AL80" s="53">
        <v>0.69422602809905298</v>
      </c>
      <c r="AM80" s="53" t="str" cm="1">
        <f t="array" ref="AM80">IF(OR(O80&lt;&gt;"", SUMPRODUCT(($AN$2:$AN$5000=AN80)*($AL$2:$AL$5000&lt;=AL80)) &lt;= (COUNTIF($AN$2:$AN$5000,AN80)*0.5)), "SORTEADO", "-")</f>
        <v>-</v>
      </c>
      <c r="AN80" s="232" t="s">
        <v>407</v>
      </c>
    </row>
    <row r="81" spans="1:40" ht="30" hidden="1" customHeight="1" x14ac:dyDescent="0.2">
      <c r="A81" s="231" t="s">
        <v>197</v>
      </c>
      <c r="B81" s="231">
        <v>2689572533</v>
      </c>
      <c r="C81" s="231" t="s">
        <v>106</v>
      </c>
      <c r="D81" s="231" t="s">
        <v>80</v>
      </c>
      <c r="E81" s="231" t="s">
        <v>198</v>
      </c>
      <c r="F81" s="231" t="s">
        <v>433</v>
      </c>
      <c r="G81" s="231">
        <v>229</v>
      </c>
      <c r="H81" s="231"/>
      <c r="I81" s="231" t="s">
        <v>315</v>
      </c>
      <c r="J81" s="231" t="s">
        <v>270</v>
      </c>
      <c r="K81" s="231"/>
      <c r="L81" s="232" t="s">
        <v>407</v>
      </c>
      <c r="M81" s="232">
        <v>46085.527083333334</v>
      </c>
      <c r="N81" s="231" t="s">
        <v>241</v>
      </c>
      <c r="O81" s="157"/>
      <c r="P81" s="56"/>
      <c r="Q81" s="144"/>
      <c r="R81" s="56"/>
      <c r="S81" s="144"/>
      <c r="T81" s="56"/>
      <c r="U81" s="144"/>
      <c r="V81" s="56"/>
      <c r="W81" s="144"/>
      <c r="X81" s="56"/>
      <c r="Y81" s="144"/>
      <c r="Z81" s="56"/>
      <c r="AA81" s="144"/>
      <c r="AB81" s="56"/>
      <c r="AC81" s="144"/>
      <c r="AD81" s="56"/>
      <c r="AE81" s="144"/>
      <c r="AF81" s="187" t="str">
        <f t="shared" si="7"/>
        <v/>
      </c>
      <c r="AG81" s="54" t="b">
        <f t="shared" si="9"/>
        <v>0</v>
      </c>
      <c r="AH81" s="144"/>
      <c r="AI81" s="95" t="s">
        <v>6</v>
      </c>
      <c r="AJ81" s="97" t="str">
        <f t="shared" si="8"/>
        <v>GUARULHOS</v>
      </c>
      <c r="AK81" s="212" t="s">
        <v>39</v>
      </c>
      <c r="AL81" s="53">
        <v>0.97404186481015753</v>
      </c>
      <c r="AM81" s="53" t="str" cm="1">
        <f t="array" ref="AM81">IF(OR(O81&lt;&gt;"", SUMPRODUCT(($AN$2:$AN$5000=AN81)*($AL$2:$AL$5000&lt;=AL81)) &lt;= (COUNTIF($AN$2:$AN$5000,AN81)*0.5)), "SORTEADO", "-")</f>
        <v>-</v>
      </c>
      <c r="AN81" s="232" t="s">
        <v>407</v>
      </c>
    </row>
    <row r="82" spans="1:40" ht="30" customHeight="1" x14ac:dyDescent="0.2">
      <c r="A82" s="231" t="s">
        <v>197</v>
      </c>
      <c r="B82" s="231">
        <v>2689550040</v>
      </c>
      <c r="C82" s="231" t="s">
        <v>98</v>
      </c>
      <c r="D82" s="231" t="s">
        <v>80</v>
      </c>
      <c r="E82" s="231" t="s">
        <v>198</v>
      </c>
      <c r="F82" s="231" t="s">
        <v>434</v>
      </c>
      <c r="G82" s="231">
        <v>543</v>
      </c>
      <c r="H82" s="231" t="s">
        <v>435</v>
      </c>
      <c r="I82" s="231" t="s">
        <v>436</v>
      </c>
      <c r="J82" s="231" t="s">
        <v>297</v>
      </c>
      <c r="K82" s="231" t="s">
        <v>437</v>
      </c>
      <c r="L82" s="232" t="s">
        <v>407</v>
      </c>
      <c r="M82" s="232">
        <v>46085.432638888888</v>
      </c>
      <c r="N82" s="231" t="s">
        <v>432</v>
      </c>
      <c r="O82" s="157" t="s">
        <v>204</v>
      </c>
      <c r="P82" s="143"/>
      <c r="Q82" s="144" t="s">
        <v>204</v>
      </c>
      <c r="R82" s="143"/>
      <c r="S82" s="144" t="s">
        <v>204</v>
      </c>
      <c r="T82" s="143"/>
      <c r="U82" s="144" t="s">
        <v>204</v>
      </c>
      <c r="V82" s="143"/>
      <c r="W82" s="144" t="s">
        <v>204</v>
      </c>
      <c r="X82" s="143"/>
      <c r="Y82" s="144" t="s">
        <v>61</v>
      </c>
      <c r="Z82" s="143" t="s">
        <v>438</v>
      </c>
      <c r="AA82" s="144" t="s">
        <v>204</v>
      </c>
      <c r="AB82" s="143"/>
      <c r="AC82" s="144" t="s">
        <v>204</v>
      </c>
      <c r="AD82" s="56"/>
      <c r="AE82" s="144" t="s">
        <v>204</v>
      </c>
      <c r="AF82" s="187" t="str">
        <f t="shared" si="7"/>
        <v>C</v>
      </c>
      <c r="AG82" s="54" t="str">
        <f t="shared" si="9"/>
        <v>UTILIZOU O PDA CORRETAMENTE</v>
      </c>
      <c r="AH82" s="144" t="s">
        <v>204</v>
      </c>
      <c r="AI82" s="95" t="s">
        <v>6</v>
      </c>
      <c r="AJ82" s="97" t="str">
        <f t="shared" si="8"/>
        <v>GUARULHOS</v>
      </c>
      <c r="AK82" s="212" t="s">
        <v>39</v>
      </c>
      <c r="AL82" s="53">
        <v>5.782466854384527E-2</v>
      </c>
      <c r="AM82" s="53" t="str" cm="1">
        <f t="array" ref="AM82">IF(OR(O82&lt;&gt;"", SUMPRODUCT(($AN$2:$AN$5000=AN82)*($AL$2:$AL$5000&lt;=AL82)) &lt;= (COUNTIF($AN$2:$AN$5000,AN82)*0.5)), "SORTEADO", "-")</f>
        <v>SORTEADO</v>
      </c>
      <c r="AN82" s="232" t="s">
        <v>407</v>
      </c>
    </row>
    <row r="83" spans="1:40" ht="30" customHeight="1" x14ac:dyDescent="0.2">
      <c r="A83" s="231" t="s">
        <v>197</v>
      </c>
      <c r="B83" s="231">
        <v>2689576697</v>
      </c>
      <c r="C83" s="231" t="s">
        <v>101</v>
      </c>
      <c r="D83" s="231" t="s">
        <v>80</v>
      </c>
      <c r="E83" s="231" t="s">
        <v>198</v>
      </c>
      <c r="F83" s="231" t="s">
        <v>439</v>
      </c>
      <c r="G83" s="231">
        <v>200</v>
      </c>
      <c r="H83" s="231" t="s">
        <v>440</v>
      </c>
      <c r="I83" s="231" t="s">
        <v>214</v>
      </c>
      <c r="J83" s="231" t="s">
        <v>259</v>
      </c>
      <c r="K83" s="231" t="s">
        <v>441</v>
      </c>
      <c r="L83" s="232" t="s">
        <v>407</v>
      </c>
      <c r="M83" s="232">
        <v>46085.682638888888</v>
      </c>
      <c r="N83" s="231" t="s">
        <v>287</v>
      </c>
      <c r="O83" s="158" t="s">
        <v>204</v>
      </c>
      <c r="P83" s="92"/>
      <c r="Q83" s="146" t="s">
        <v>204</v>
      </c>
      <c r="R83" s="92"/>
      <c r="S83" s="146" t="s">
        <v>204</v>
      </c>
      <c r="T83" s="92"/>
      <c r="U83" s="146" t="s">
        <v>204</v>
      </c>
      <c r="V83" s="92"/>
      <c r="W83" s="146" t="s">
        <v>204</v>
      </c>
      <c r="X83" s="92"/>
      <c r="Y83" s="146" t="s">
        <v>61</v>
      </c>
      <c r="Z83" s="92"/>
      <c r="AA83" s="146" t="s">
        <v>204</v>
      </c>
      <c r="AB83" s="92"/>
      <c r="AC83" s="146" t="s">
        <v>204</v>
      </c>
      <c r="AD83" s="92"/>
      <c r="AE83" s="146" t="s">
        <v>204</v>
      </c>
      <c r="AF83" s="187" t="str">
        <f t="shared" si="7"/>
        <v>C</v>
      </c>
      <c r="AG83" s="54" t="str">
        <f t="shared" si="9"/>
        <v>UTILIZOU O PDA CORRETAMENTE</v>
      </c>
      <c r="AH83" s="144" t="s">
        <v>204</v>
      </c>
      <c r="AI83" s="95" t="s">
        <v>6</v>
      </c>
      <c r="AJ83" s="97" t="str">
        <f t="shared" si="8"/>
        <v>GUARULHOS</v>
      </c>
      <c r="AK83" s="212" t="s">
        <v>39</v>
      </c>
      <c r="AL83" s="53">
        <v>0.11440492365789745</v>
      </c>
      <c r="AM83" s="53" t="str" cm="1">
        <f t="array" ref="AM83">IF(OR(O83&lt;&gt;"", SUMPRODUCT(($AN$2:$AN$5000=AN83)*($AL$2:$AL$5000&lt;=AL83)) &lt;= (COUNTIF($AN$2:$AN$5000,AN83)*0.5)), "SORTEADO", "-")</f>
        <v>SORTEADO</v>
      </c>
      <c r="AN83" s="232" t="s">
        <v>407</v>
      </c>
    </row>
    <row r="84" spans="1:40" ht="30" hidden="1" customHeight="1" x14ac:dyDescent="0.2">
      <c r="A84" s="231" t="s">
        <v>197</v>
      </c>
      <c r="B84" s="231">
        <v>2614226595</v>
      </c>
      <c r="C84" s="231" t="s">
        <v>100</v>
      </c>
      <c r="D84" s="231" t="s">
        <v>78</v>
      </c>
      <c r="E84" s="231" t="s">
        <v>198</v>
      </c>
      <c r="F84" s="231" t="s">
        <v>386</v>
      </c>
      <c r="G84" s="231">
        <v>104</v>
      </c>
      <c r="H84" s="231" t="s">
        <v>213</v>
      </c>
      <c r="I84" s="231" t="s">
        <v>262</v>
      </c>
      <c r="J84" s="231" t="s">
        <v>248</v>
      </c>
      <c r="K84" s="231" t="s">
        <v>442</v>
      </c>
      <c r="L84" s="232" t="s">
        <v>407</v>
      </c>
      <c r="M84" s="232">
        <v>46085.606249999997</v>
      </c>
      <c r="N84" s="231" t="s">
        <v>322</v>
      </c>
      <c r="O84" s="157"/>
      <c r="P84" s="56"/>
      <c r="Q84" s="144"/>
      <c r="R84" s="56"/>
      <c r="S84" s="144"/>
      <c r="T84" s="56"/>
      <c r="U84" s="144"/>
      <c r="V84" s="56"/>
      <c r="W84" s="144"/>
      <c r="X84" s="56"/>
      <c r="Y84" s="144"/>
      <c r="Z84" s="56"/>
      <c r="AA84" s="144"/>
      <c r="AB84" s="56"/>
      <c r="AC84" s="144"/>
      <c r="AD84" s="56"/>
      <c r="AE84" s="144"/>
      <c r="AF84" s="187" t="str">
        <f t="shared" si="7"/>
        <v/>
      </c>
      <c r="AG84" s="54" t="b">
        <f t="shared" si="9"/>
        <v>0</v>
      </c>
      <c r="AH84" s="144"/>
      <c r="AI84" s="95" t="s">
        <v>6</v>
      </c>
      <c r="AJ84" s="97" t="str">
        <f t="shared" si="8"/>
        <v>GUARULHOS</v>
      </c>
      <c r="AK84" s="212" t="s">
        <v>39</v>
      </c>
      <c r="AL84" s="53">
        <v>0.764536338004844</v>
      </c>
      <c r="AM84" s="53" t="str" cm="1">
        <f t="array" ref="AM84">IF(OR(O84&lt;&gt;"", SUMPRODUCT(($AN$2:$AN$5000=AN84)*($AL$2:$AL$5000&lt;=AL84)) &lt;= (COUNTIF($AN$2:$AN$5000,AN84)*0.5)), "SORTEADO", "-")</f>
        <v>-</v>
      </c>
      <c r="AN84" s="232" t="s">
        <v>407</v>
      </c>
    </row>
    <row r="85" spans="1:40" ht="30" hidden="1" customHeight="1" x14ac:dyDescent="0.2">
      <c r="A85" s="231" t="s">
        <v>197</v>
      </c>
      <c r="B85" s="231">
        <v>2689578004</v>
      </c>
      <c r="C85" s="231" t="s">
        <v>106</v>
      </c>
      <c r="D85" s="231" t="s">
        <v>80</v>
      </c>
      <c r="E85" s="231" t="s">
        <v>198</v>
      </c>
      <c r="F85" s="231" t="s">
        <v>443</v>
      </c>
      <c r="G85" s="231">
        <v>258</v>
      </c>
      <c r="H85" s="231" t="s">
        <v>444</v>
      </c>
      <c r="I85" s="231" t="s">
        <v>445</v>
      </c>
      <c r="J85" s="231" t="s">
        <v>259</v>
      </c>
      <c r="K85" s="231"/>
      <c r="L85" s="232" t="s">
        <v>407</v>
      </c>
      <c r="M85" s="232">
        <v>46085.670138888891</v>
      </c>
      <c r="N85" s="231" t="s">
        <v>348</v>
      </c>
      <c r="O85" s="157"/>
      <c r="P85" s="56"/>
      <c r="Q85" s="144"/>
      <c r="R85" s="56"/>
      <c r="S85" s="144"/>
      <c r="T85" s="56"/>
      <c r="U85" s="144"/>
      <c r="V85" s="56"/>
      <c r="W85" s="144"/>
      <c r="X85" s="56"/>
      <c r="Y85" s="144"/>
      <c r="Z85" s="56"/>
      <c r="AA85" s="144"/>
      <c r="AB85" s="56"/>
      <c r="AC85" s="144"/>
      <c r="AD85" s="56"/>
      <c r="AE85" s="144"/>
      <c r="AF85" s="187" t="str">
        <f t="shared" si="7"/>
        <v/>
      </c>
      <c r="AG85" s="54" t="b">
        <f t="shared" si="9"/>
        <v>0</v>
      </c>
      <c r="AH85" s="144"/>
      <c r="AI85" s="95" t="s">
        <v>6</v>
      </c>
      <c r="AJ85" s="97" t="str">
        <f t="shared" si="8"/>
        <v>GUARULHOS</v>
      </c>
      <c r="AK85" s="212" t="s">
        <v>39</v>
      </c>
      <c r="AL85" s="53">
        <v>0.56824764680008599</v>
      </c>
      <c r="AM85" s="53" t="str" cm="1">
        <f t="array" ref="AM85">IF(OR(O85&lt;&gt;"", SUMPRODUCT(($AN$2:$AN$5000=AN85)*($AL$2:$AL$5000&lt;=AL85)) &lt;= (COUNTIF($AN$2:$AN$5000,AN85)*0.5)), "SORTEADO", "-")</f>
        <v>-</v>
      </c>
      <c r="AN85" s="232" t="s">
        <v>407</v>
      </c>
    </row>
    <row r="86" spans="1:40" ht="30" hidden="1" customHeight="1" x14ac:dyDescent="0.2">
      <c r="A86" s="231" t="s">
        <v>197</v>
      </c>
      <c r="B86" s="231">
        <v>2613624063</v>
      </c>
      <c r="C86" s="231" t="s">
        <v>91</v>
      </c>
      <c r="D86" s="231" t="s">
        <v>76</v>
      </c>
      <c r="E86" s="231" t="s">
        <v>198</v>
      </c>
      <c r="F86" s="231" t="s">
        <v>446</v>
      </c>
      <c r="G86" s="231">
        <v>235</v>
      </c>
      <c r="H86" s="231" t="s">
        <v>213</v>
      </c>
      <c r="I86" s="231" t="s">
        <v>447</v>
      </c>
      <c r="J86" s="231" t="s">
        <v>448</v>
      </c>
      <c r="K86" s="231" t="s">
        <v>213</v>
      </c>
      <c r="L86" s="232" t="s">
        <v>449</v>
      </c>
      <c r="M86" s="232">
        <v>46116.462500000001</v>
      </c>
      <c r="N86" s="231" t="s">
        <v>408</v>
      </c>
      <c r="O86" s="157"/>
      <c r="P86" s="56"/>
      <c r="Q86" s="144"/>
      <c r="R86" s="56"/>
      <c r="S86" s="144"/>
      <c r="T86" s="56"/>
      <c r="U86" s="144"/>
      <c r="V86" s="56"/>
      <c r="W86" s="144"/>
      <c r="X86" s="56"/>
      <c r="Y86" s="144"/>
      <c r="Z86" s="56"/>
      <c r="AA86" s="144"/>
      <c r="AB86" s="56"/>
      <c r="AC86" s="144"/>
      <c r="AD86" s="56"/>
      <c r="AE86" s="144"/>
      <c r="AF86" s="187" t="str">
        <f t="shared" si="7"/>
        <v/>
      </c>
      <c r="AG86" s="54" t="b">
        <f t="shared" si="9"/>
        <v>0</v>
      </c>
      <c r="AH86" s="144"/>
      <c r="AI86" s="95" t="s">
        <v>6</v>
      </c>
      <c r="AJ86" s="97" t="str">
        <f t="shared" si="8"/>
        <v>GUARULHOS</v>
      </c>
      <c r="AK86" s="212" t="s">
        <v>39</v>
      </c>
      <c r="AL86" s="53">
        <v>0.77338272404477626</v>
      </c>
      <c r="AM86" s="53" t="str" cm="1">
        <f t="array" ref="AM86">IF(OR(O86&lt;&gt;"", SUMPRODUCT(($AN$2:$AN$5000=AN86)*($AL$2:$AL$5000&lt;=AL86)) &lt;= (COUNTIF($AN$2:$AN$5000,AN86)*0.5)), "SORTEADO", "-")</f>
        <v>-</v>
      </c>
      <c r="AN86" s="232" t="s">
        <v>449</v>
      </c>
    </row>
    <row r="87" spans="1:40" ht="30" customHeight="1" x14ac:dyDescent="0.2">
      <c r="A87" s="231" t="s">
        <v>197</v>
      </c>
      <c r="B87" s="231">
        <v>2613629112</v>
      </c>
      <c r="C87" s="231" t="s">
        <v>85</v>
      </c>
      <c r="D87" s="231" t="s">
        <v>76</v>
      </c>
      <c r="E87" s="231" t="s">
        <v>198</v>
      </c>
      <c r="F87" s="231" t="s">
        <v>450</v>
      </c>
      <c r="G87" s="231">
        <v>125</v>
      </c>
      <c r="H87" s="231"/>
      <c r="I87" s="231" t="s">
        <v>315</v>
      </c>
      <c r="J87" s="231" t="s">
        <v>85</v>
      </c>
      <c r="K87" s="231" t="s">
        <v>451</v>
      </c>
      <c r="L87" s="232" t="s">
        <v>449</v>
      </c>
      <c r="M87" s="232">
        <v>46116.628472222219</v>
      </c>
      <c r="N87" s="231" t="s">
        <v>408</v>
      </c>
      <c r="O87" s="157" t="s">
        <v>204</v>
      </c>
      <c r="P87" s="56"/>
      <c r="Q87" s="144" t="s">
        <v>204</v>
      </c>
      <c r="R87" s="56"/>
      <c r="S87" s="144" t="s">
        <v>204</v>
      </c>
      <c r="T87" s="56"/>
      <c r="U87" s="144" t="s">
        <v>204</v>
      </c>
      <c r="V87" s="56"/>
      <c r="W87" s="144" t="s">
        <v>204</v>
      </c>
      <c r="X87" s="56"/>
      <c r="Y87" s="144" t="s">
        <v>204</v>
      </c>
      <c r="Z87" s="56"/>
      <c r="AA87" s="144" t="s">
        <v>204</v>
      </c>
      <c r="AB87" s="56"/>
      <c r="AC87" s="144" t="s">
        <v>204</v>
      </c>
      <c r="AD87" s="56"/>
      <c r="AE87" s="144" t="s">
        <v>204</v>
      </c>
      <c r="AF87" s="187" t="str">
        <f t="shared" si="7"/>
        <v>C</v>
      </c>
      <c r="AG87" s="54" t="str">
        <f t="shared" si="9"/>
        <v>UTILIZOU O PDA CORRETAMENTE</v>
      </c>
      <c r="AH87" s="144" t="s">
        <v>204</v>
      </c>
      <c r="AI87" s="95" t="s">
        <v>6</v>
      </c>
      <c r="AJ87" s="97" t="str">
        <f t="shared" si="8"/>
        <v>GUARULHOS</v>
      </c>
      <c r="AK87" s="212" t="s">
        <v>39</v>
      </c>
      <c r="AL87" s="53">
        <v>-1.72E-2</v>
      </c>
      <c r="AM87" s="53" t="str" cm="1">
        <f t="array" ref="AM87">IF(OR(O87&lt;&gt;"", SUMPRODUCT(($AN$2:$AN$5000=AN87)*($AL$2:$AL$5000&lt;=AL87)) &lt;= (COUNTIF($AN$2:$AN$5000,AN87)*0.5)), "SORTEADO", "-")</f>
        <v>SORTEADO</v>
      </c>
      <c r="AN87" s="232" t="s">
        <v>449</v>
      </c>
    </row>
    <row r="88" spans="1:40" ht="30" customHeight="1" x14ac:dyDescent="0.2">
      <c r="A88" s="231" t="s">
        <v>197</v>
      </c>
      <c r="B88" s="231">
        <v>2613858773</v>
      </c>
      <c r="C88" s="231" t="s">
        <v>93</v>
      </c>
      <c r="D88" s="231" t="s">
        <v>76</v>
      </c>
      <c r="E88" s="231" t="s">
        <v>198</v>
      </c>
      <c r="F88" s="231" t="s">
        <v>452</v>
      </c>
      <c r="G88" s="231">
        <v>313</v>
      </c>
      <c r="H88" s="231" t="s">
        <v>206</v>
      </c>
      <c r="I88" s="231" t="s">
        <v>453</v>
      </c>
      <c r="J88" s="231" t="s">
        <v>93</v>
      </c>
      <c r="K88" s="231" t="s">
        <v>454</v>
      </c>
      <c r="L88" s="232" t="s">
        <v>455</v>
      </c>
      <c r="M88" s="232">
        <v>46146.480555555558</v>
      </c>
      <c r="N88" s="231" t="s">
        <v>408</v>
      </c>
      <c r="O88" s="157" t="s">
        <v>204</v>
      </c>
      <c r="P88" s="56"/>
      <c r="Q88" s="144" t="s">
        <v>204</v>
      </c>
      <c r="R88" s="56"/>
      <c r="S88" s="144" t="s">
        <v>204</v>
      </c>
      <c r="T88" s="56"/>
      <c r="U88" s="144" t="s">
        <v>204</v>
      </c>
      <c r="V88" s="56"/>
      <c r="W88" s="144" t="s">
        <v>204</v>
      </c>
      <c r="X88" s="56"/>
      <c r="Y88" s="144" t="s">
        <v>210</v>
      </c>
      <c r="Z88" s="56" t="s">
        <v>456</v>
      </c>
      <c r="AA88" s="144" t="s">
        <v>204</v>
      </c>
      <c r="AB88" s="56"/>
      <c r="AC88" s="144" t="s">
        <v>204</v>
      </c>
      <c r="AD88" s="56"/>
      <c r="AE88" s="144" t="s">
        <v>204</v>
      </c>
      <c r="AF88" s="187" t="str">
        <f t="shared" si="7"/>
        <v>NC</v>
      </c>
      <c r="AG88" s="54" t="str">
        <f t="shared" si="9"/>
        <v>UTILIZOU O PDA CORRETAMENTE. NÃO HÁ FOTOS DE TODAS AS ETAPAS</v>
      </c>
      <c r="AH88" s="144" t="s">
        <v>204</v>
      </c>
      <c r="AI88" s="95" t="s">
        <v>6</v>
      </c>
      <c r="AJ88" s="97" t="str">
        <f t="shared" si="8"/>
        <v>GUARULHOS</v>
      </c>
      <c r="AK88" s="212" t="s">
        <v>39</v>
      </c>
      <c r="AL88" s="53">
        <v>-1.7399999999999999E-2</v>
      </c>
      <c r="AM88" s="53" t="str" cm="1">
        <f t="array" ref="AM88">IF(OR(O88&lt;&gt;"", SUMPRODUCT(($AN$2:$AN$5000=AN88)*($AL$2:$AL$5000&lt;=AL88)) &lt;= (COUNTIF($AN$2:$AN$5000,AN88)*0.5)), "SORTEADO", "-")</f>
        <v>SORTEADO</v>
      </c>
      <c r="AN88" s="232" t="s">
        <v>455</v>
      </c>
    </row>
    <row r="89" spans="1:40" ht="30" customHeight="1" x14ac:dyDescent="0.2">
      <c r="A89" s="231" t="s">
        <v>197</v>
      </c>
      <c r="B89" s="231">
        <v>2613858852</v>
      </c>
      <c r="C89" s="231" t="s">
        <v>95</v>
      </c>
      <c r="D89" s="231" t="s">
        <v>76</v>
      </c>
      <c r="E89" s="231" t="s">
        <v>198</v>
      </c>
      <c r="F89" s="231" t="s">
        <v>452</v>
      </c>
      <c r="G89" s="231">
        <v>313</v>
      </c>
      <c r="H89" s="231" t="s">
        <v>457</v>
      </c>
      <c r="I89" s="231" t="s">
        <v>453</v>
      </c>
      <c r="J89" s="231" t="s">
        <v>95</v>
      </c>
      <c r="K89" s="231" t="s">
        <v>458</v>
      </c>
      <c r="L89" s="232" t="s">
        <v>455</v>
      </c>
      <c r="M89" s="232">
        <v>46146.496527777781</v>
      </c>
      <c r="N89" s="231" t="s">
        <v>408</v>
      </c>
      <c r="O89" s="157" t="s">
        <v>204</v>
      </c>
      <c r="P89" s="56"/>
      <c r="Q89" s="144" t="s">
        <v>204</v>
      </c>
      <c r="R89" s="56"/>
      <c r="S89" s="144" t="s">
        <v>204</v>
      </c>
      <c r="T89" s="56"/>
      <c r="U89" s="144" t="s">
        <v>204</v>
      </c>
      <c r="V89" s="56"/>
      <c r="W89" s="144" t="s">
        <v>204</v>
      </c>
      <c r="X89" s="56"/>
      <c r="Y89" s="144" t="s">
        <v>210</v>
      </c>
      <c r="Z89" s="56" t="s">
        <v>456</v>
      </c>
      <c r="AA89" s="144" t="s">
        <v>204</v>
      </c>
      <c r="AB89" s="56"/>
      <c r="AC89" s="144" t="s">
        <v>204</v>
      </c>
      <c r="AD89" s="56" t="s">
        <v>204</v>
      </c>
      <c r="AE89" s="144" t="s">
        <v>204</v>
      </c>
      <c r="AF89" s="187" t="str">
        <f t="shared" si="7"/>
        <v>NC</v>
      </c>
      <c r="AG89" s="54" t="str">
        <f t="shared" si="9"/>
        <v>UTILIZOU O PDA CORRETAMENTE. NÃO HÁ FOTOS DE TODAS AS ETAPAS</v>
      </c>
      <c r="AH89" s="144" t="s">
        <v>204</v>
      </c>
      <c r="AI89" s="95" t="s">
        <v>6</v>
      </c>
      <c r="AJ89" s="97" t="str">
        <f t="shared" si="8"/>
        <v>GUARULHOS</v>
      </c>
      <c r="AK89" s="212" t="s">
        <v>39</v>
      </c>
      <c r="AL89" s="53">
        <v>-1.7600000000000001E-2</v>
      </c>
      <c r="AM89" s="53" t="str" cm="1">
        <f t="array" ref="AM89">IF(OR(O89&lt;&gt;"", SUMPRODUCT(($AN$2:$AN$5000=AN89)*($AL$2:$AL$5000&lt;=AL89)) &lt;= (COUNTIF($AN$2:$AN$5000,AN89)*0.5)), "SORTEADO", "-")</f>
        <v>SORTEADO</v>
      </c>
      <c r="AN89" s="232" t="s">
        <v>455</v>
      </c>
    </row>
    <row r="90" spans="1:40" ht="30" customHeight="1" x14ac:dyDescent="0.2">
      <c r="A90" s="231" t="s">
        <v>197</v>
      </c>
      <c r="B90" s="231">
        <v>2613858851</v>
      </c>
      <c r="C90" s="231" t="s">
        <v>95</v>
      </c>
      <c r="D90" s="231" t="s">
        <v>76</v>
      </c>
      <c r="E90" s="231" t="s">
        <v>198</v>
      </c>
      <c r="F90" s="231" t="s">
        <v>452</v>
      </c>
      <c r="G90" s="231">
        <v>313</v>
      </c>
      <c r="H90" s="231" t="s">
        <v>459</v>
      </c>
      <c r="I90" s="231" t="s">
        <v>453</v>
      </c>
      <c r="J90" s="231" t="s">
        <v>95</v>
      </c>
      <c r="K90" s="231" t="s">
        <v>458</v>
      </c>
      <c r="L90" s="232" t="s">
        <v>455</v>
      </c>
      <c r="M90" s="232">
        <v>46146.494444444441</v>
      </c>
      <c r="N90" s="231" t="s">
        <v>408</v>
      </c>
      <c r="O90" s="157" t="s">
        <v>204</v>
      </c>
      <c r="P90" s="56"/>
      <c r="Q90" s="144" t="s">
        <v>204</v>
      </c>
      <c r="R90" s="56"/>
      <c r="S90" s="144" t="s">
        <v>204</v>
      </c>
      <c r="T90" s="56"/>
      <c r="U90" s="144" t="s">
        <v>204</v>
      </c>
      <c r="V90" s="56"/>
      <c r="W90" s="144" t="s">
        <v>204</v>
      </c>
      <c r="X90" s="56"/>
      <c r="Y90" s="144" t="s">
        <v>210</v>
      </c>
      <c r="Z90" s="56" t="s">
        <v>456</v>
      </c>
      <c r="AA90" s="144" t="s">
        <v>204</v>
      </c>
      <c r="AB90" s="56"/>
      <c r="AC90" s="144" t="s">
        <v>204</v>
      </c>
      <c r="AD90" s="56" t="s">
        <v>204</v>
      </c>
      <c r="AE90" s="144" t="s">
        <v>204</v>
      </c>
      <c r="AF90" s="187" t="str">
        <f t="shared" si="7"/>
        <v>NC</v>
      </c>
      <c r="AG90" s="54" t="str">
        <f t="shared" si="9"/>
        <v>UTILIZOU O PDA CORRETAMENTE. NÃO HÁ FOTOS DE TODAS AS ETAPAS</v>
      </c>
      <c r="AH90" s="144" t="s">
        <v>204</v>
      </c>
      <c r="AI90" s="95" t="s">
        <v>6</v>
      </c>
      <c r="AJ90" s="97" t="str">
        <f t="shared" si="8"/>
        <v>GUARULHOS</v>
      </c>
      <c r="AK90" s="212" t="s">
        <v>39</v>
      </c>
      <c r="AL90" s="53">
        <v>-1.78E-2</v>
      </c>
      <c r="AM90" s="53" t="str" cm="1">
        <f t="array" ref="AM90">IF(OR(O90&lt;&gt;"", SUMPRODUCT(($AN$2:$AN$5000=AN90)*($AL$2:$AL$5000&lt;=AL90)) &lt;= (COUNTIF($AN$2:$AN$5000,AN90)*0.5)), "SORTEADO", "-")</f>
        <v>SORTEADO</v>
      </c>
      <c r="AN90" s="232" t="s">
        <v>455</v>
      </c>
    </row>
    <row r="91" spans="1:40" ht="30" customHeight="1" x14ac:dyDescent="0.2">
      <c r="A91" s="231" t="s">
        <v>197</v>
      </c>
      <c r="B91" s="231">
        <v>2613858849</v>
      </c>
      <c r="C91" s="231" t="s">
        <v>95</v>
      </c>
      <c r="D91" s="231" t="s">
        <v>76</v>
      </c>
      <c r="E91" s="231" t="s">
        <v>198</v>
      </c>
      <c r="F91" s="231" t="s">
        <v>452</v>
      </c>
      <c r="G91" s="231">
        <v>313</v>
      </c>
      <c r="H91" s="231" t="s">
        <v>460</v>
      </c>
      <c r="I91" s="231" t="s">
        <v>453</v>
      </c>
      <c r="J91" s="231" t="s">
        <v>95</v>
      </c>
      <c r="K91" s="231" t="s">
        <v>458</v>
      </c>
      <c r="L91" s="232" t="s">
        <v>455</v>
      </c>
      <c r="M91" s="232">
        <v>46146.492361111108</v>
      </c>
      <c r="N91" s="231" t="s">
        <v>408</v>
      </c>
      <c r="O91" s="157" t="s">
        <v>204</v>
      </c>
      <c r="P91" s="56"/>
      <c r="Q91" s="144" t="s">
        <v>204</v>
      </c>
      <c r="R91" s="56"/>
      <c r="S91" s="144" t="s">
        <v>204</v>
      </c>
      <c r="T91" s="56"/>
      <c r="U91" s="144" t="s">
        <v>204</v>
      </c>
      <c r="V91" s="56"/>
      <c r="W91" s="144" t="s">
        <v>204</v>
      </c>
      <c r="X91" s="56"/>
      <c r="Y91" s="144" t="s">
        <v>210</v>
      </c>
      <c r="Z91" s="56" t="s">
        <v>456</v>
      </c>
      <c r="AA91" s="144" t="s">
        <v>204</v>
      </c>
      <c r="AB91" s="56"/>
      <c r="AC91" s="144" t="s">
        <v>204</v>
      </c>
      <c r="AD91" s="56" t="s">
        <v>204</v>
      </c>
      <c r="AE91" s="144" t="s">
        <v>204</v>
      </c>
      <c r="AF91" s="187" t="str">
        <f t="shared" si="7"/>
        <v>NC</v>
      </c>
      <c r="AG91" s="54" t="str">
        <f t="shared" si="9"/>
        <v>UTILIZOU O PDA CORRETAMENTE. NÃO HÁ FOTOS DE TODAS AS ETAPAS</v>
      </c>
      <c r="AH91" s="144" t="s">
        <v>204</v>
      </c>
      <c r="AI91" s="95" t="s">
        <v>6</v>
      </c>
      <c r="AJ91" s="97" t="str">
        <f t="shared" si="8"/>
        <v>GUARULHOS</v>
      </c>
      <c r="AK91" s="212" t="s">
        <v>39</v>
      </c>
      <c r="AL91" s="53">
        <v>-1.7999999999999999E-2</v>
      </c>
      <c r="AM91" s="53" t="str" cm="1">
        <f t="array" ref="AM91">IF(OR(O91&lt;&gt;"", SUMPRODUCT(($AN$2:$AN$5000=AN91)*($AL$2:$AL$5000&lt;=AL91)) &lt;= (COUNTIF($AN$2:$AN$5000,AN91)*0.5)), "SORTEADO", "-")</f>
        <v>SORTEADO</v>
      </c>
      <c r="AN91" s="232" t="s">
        <v>455</v>
      </c>
    </row>
    <row r="92" spans="1:40" ht="30" customHeight="1" x14ac:dyDescent="0.2">
      <c r="A92" s="231" t="s">
        <v>197</v>
      </c>
      <c r="B92" s="231">
        <v>2613858828</v>
      </c>
      <c r="C92" s="231" t="s">
        <v>95</v>
      </c>
      <c r="D92" s="231" t="s">
        <v>76</v>
      </c>
      <c r="E92" s="231" t="s">
        <v>198</v>
      </c>
      <c r="F92" s="231" t="s">
        <v>452</v>
      </c>
      <c r="G92" s="231">
        <v>313</v>
      </c>
      <c r="H92" s="231" t="s">
        <v>217</v>
      </c>
      <c r="I92" s="231" t="s">
        <v>453</v>
      </c>
      <c r="J92" s="231" t="s">
        <v>95</v>
      </c>
      <c r="K92" s="231" t="s">
        <v>458</v>
      </c>
      <c r="L92" s="232" t="s">
        <v>455</v>
      </c>
      <c r="M92" s="232">
        <v>46146.486805555556</v>
      </c>
      <c r="N92" s="231" t="s">
        <v>408</v>
      </c>
      <c r="O92" s="157" t="s">
        <v>204</v>
      </c>
      <c r="P92" s="56"/>
      <c r="Q92" s="144" t="s">
        <v>204</v>
      </c>
      <c r="R92" s="56"/>
      <c r="S92" s="144" t="s">
        <v>204</v>
      </c>
      <c r="T92" s="56"/>
      <c r="U92" s="144" t="s">
        <v>204</v>
      </c>
      <c r="V92" s="56"/>
      <c r="W92" s="144" t="s">
        <v>204</v>
      </c>
      <c r="X92" s="56"/>
      <c r="Y92" s="144" t="s">
        <v>210</v>
      </c>
      <c r="Z92" s="56" t="s">
        <v>456</v>
      </c>
      <c r="AA92" s="144" t="s">
        <v>204</v>
      </c>
      <c r="AB92" s="56"/>
      <c r="AC92" s="144" t="s">
        <v>204</v>
      </c>
      <c r="AD92" s="56" t="s">
        <v>204</v>
      </c>
      <c r="AE92" s="144" t="s">
        <v>204</v>
      </c>
      <c r="AF92" s="187" t="str">
        <f t="shared" si="7"/>
        <v>NC</v>
      </c>
      <c r="AG92" s="54" t="str">
        <f t="shared" si="9"/>
        <v>UTILIZOU O PDA CORRETAMENTE. NÃO HÁ FOTOS DE TODAS AS ETAPAS</v>
      </c>
      <c r="AH92" s="144" t="s">
        <v>204</v>
      </c>
      <c r="AI92" s="95" t="s">
        <v>6</v>
      </c>
      <c r="AJ92" s="97" t="str">
        <f t="shared" si="8"/>
        <v>GUARULHOS</v>
      </c>
      <c r="AK92" s="212" t="s">
        <v>39</v>
      </c>
      <c r="AL92" s="53">
        <v>-1.8200000000000001E-2</v>
      </c>
      <c r="AM92" s="53" t="str" cm="1">
        <f t="array" ref="AM92">IF(OR(O92&lt;&gt;"", SUMPRODUCT(($AN$2:$AN$5000=AN92)*($AL$2:$AL$5000&lt;=AL92)) &lt;= (COUNTIF($AN$2:$AN$5000,AN92)*0.5)), "SORTEADO", "-")</f>
        <v>SORTEADO</v>
      </c>
      <c r="AN92" s="232" t="s">
        <v>455</v>
      </c>
    </row>
    <row r="93" spans="1:40" ht="30" customHeight="1" x14ac:dyDescent="0.2">
      <c r="A93" s="231" t="s">
        <v>197</v>
      </c>
      <c r="B93" s="231">
        <v>2613858835</v>
      </c>
      <c r="C93" s="231" t="s">
        <v>95</v>
      </c>
      <c r="D93" s="231" t="s">
        <v>76</v>
      </c>
      <c r="E93" s="231" t="s">
        <v>198</v>
      </c>
      <c r="F93" s="231" t="s">
        <v>452</v>
      </c>
      <c r="G93" s="231">
        <v>313</v>
      </c>
      <c r="H93" s="231" t="s">
        <v>461</v>
      </c>
      <c r="I93" s="231" t="s">
        <v>453</v>
      </c>
      <c r="J93" s="231" t="s">
        <v>95</v>
      </c>
      <c r="K93" s="231" t="s">
        <v>458</v>
      </c>
      <c r="L93" s="232" t="s">
        <v>455</v>
      </c>
      <c r="M93" s="232">
        <v>46146.488888888889</v>
      </c>
      <c r="N93" s="231" t="s">
        <v>408</v>
      </c>
      <c r="O93" s="157" t="s">
        <v>204</v>
      </c>
      <c r="P93" s="56"/>
      <c r="Q93" s="144" t="s">
        <v>204</v>
      </c>
      <c r="R93" s="56"/>
      <c r="S93" s="144" t="s">
        <v>204</v>
      </c>
      <c r="T93" s="56"/>
      <c r="U93" s="144" t="s">
        <v>204</v>
      </c>
      <c r="V93" s="56"/>
      <c r="W93" s="144" t="s">
        <v>204</v>
      </c>
      <c r="X93" s="56"/>
      <c r="Y93" s="144" t="s">
        <v>210</v>
      </c>
      <c r="Z93" s="56" t="s">
        <v>456</v>
      </c>
      <c r="AA93" s="144" t="s">
        <v>204</v>
      </c>
      <c r="AB93" s="56"/>
      <c r="AC93" s="144" t="s">
        <v>204</v>
      </c>
      <c r="AD93" s="56" t="s">
        <v>204</v>
      </c>
      <c r="AE93" s="144" t="s">
        <v>204</v>
      </c>
      <c r="AF93" s="187" t="str">
        <f t="shared" si="7"/>
        <v>NC</v>
      </c>
      <c r="AG93" s="54" t="str">
        <f t="shared" si="9"/>
        <v>UTILIZOU O PDA CORRETAMENTE. NÃO HÁ FOTOS DE TODAS AS ETAPAS</v>
      </c>
      <c r="AH93" s="144" t="s">
        <v>204</v>
      </c>
      <c r="AI93" s="95" t="s">
        <v>6</v>
      </c>
      <c r="AJ93" s="97" t="str">
        <f t="shared" si="8"/>
        <v>GUARULHOS</v>
      </c>
      <c r="AK93" s="212" t="s">
        <v>39</v>
      </c>
      <c r="AL93" s="53">
        <v>-1.84E-2</v>
      </c>
      <c r="AM93" s="53" t="str" cm="1">
        <f t="array" ref="AM93">IF(OR(O93&lt;&gt;"", SUMPRODUCT(($AN$2:$AN$5000=AN93)*($AL$2:$AL$5000&lt;=AL93)) &lt;= (COUNTIF($AN$2:$AN$5000,AN93)*0.5)), "SORTEADO", "-")</f>
        <v>SORTEADO</v>
      </c>
      <c r="AN93" s="232" t="s">
        <v>455</v>
      </c>
    </row>
    <row r="94" spans="1:40" ht="30" customHeight="1" x14ac:dyDescent="0.2">
      <c r="A94" s="231" t="s">
        <v>197</v>
      </c>
      <c r="B94" s="231">
        <v>2613858784</v>
      </c>
      <c r="C94" s="231" t="s">
        <v>95</v>
      </c>
      <c r="D94" s="231" t="s">
        <v>76</v>
      </c>
      <c r="E94" s="231" t="s">
        <v>198</v>
      </c>
      <c r="F94" s="231" t="s">
        <v>452</v>
      </c>
      <c r="G94" s="231">
        <v>313</v>
      </c>
      <c r="H94" s="231" t="s">
        <v>211</v>
      </c>
      <c r="I94" s="231" t="s">
        <v>453</v>
      </c>
      <c r="J94" s="231" t="s">
        <v>95</v>
      </c>
      <c r="K94" s="231" t="s">
        <v>458</v>
      </c>
      <c r="L94" s="232" t="s">
        <v>455</v>
      </c>
      <c r="M94" s="232">
        <v>46146.48541666667</v>
      </c>
      <c r="N94" s="231" t="s">
        <v>408</v>
      </c>
      <c r="O94" s="157" t="s">
        <v>204</v>
      </c>
      <c r="P94" s="56"/>
      <c r="Q94" s="144" t="s">
        <v>204</v>
      </c>
      <c r="R94" s="56"/>
      <c r="S94" s="144" t="s">
        <v>204</v>
      </c>
      <c r="T94" s="56"/>
      <c r="U94" s="144" t="s">
        <v>204</v>
      </c>
      <c r="V94" s="56"/>
      <c r="W94" s="144" t="s">
        <v>204</v>
      </c>
      <c r="X94" s="56"/>
      <c r="Y94" s="144" t="s">
        <v>210</v>
      </c>
      <c r="Z94" s="56" t="s">
        <v>456</v>
      </c>
      <c r="AA94" s="144" t="s">
        <v>204</v>
      </c>
      <c r="AB94" s="56"/>
      <c r="AC94" s="144" t="s">
        <v>204</v>
      </c>
      <c r="AD94" s="56" t="s">
        <v>204</v>
      </c>
      <c r="AE94" s="144" t="s">
        <v>204</v>
      </c>
      <c r="AF94" s="187" t="str">
        <f t="shared" si="7"/>
        <v>NC</v>
      </c>
      <c r="AG94" s="54" t="str">
        <f t="shared" si="9"/>
        <v>UTILIZOU O PDA CORRETAMENTE. NÃO HÁ FOTOS DE TODAS AS ETAPAS</v>
      </c>
      <c r="AH94" s="144" t="s">
        <v>204</v>
      </c>
      <c r="AI94" s="95" t="s">
        <v>6</v>
      </c>
      <c r="AJ94" s="97" t="str">
        <f t="shared" si="8"/>
        <v>GUARULHOS</v>
      </c>
      <c r="AK94" s="212" t="s">
        <v>39</v>
      </c>
      <c r="AL94" s="53">
        <v>-1.8599999999999998E-2</v>
      </c>
      <c r="AM94" s="53" t="str" cm="1">
        <f t="array" ref="AM94">IF(OR(O94&lt;&gt;"", SUMPRODUCT(($AN$2:$AN$5000=AN94)*($AL$2:$AL$5000&lt;=AL94)) &lt;= (COUNTIF($AN$2:$AN$5000,AN94)*0.5)), "SORTEADO", "-")</f>
        <v>SORTEADO</v>
      </c>
      <c r="AN94" s="232" t="s">
        <v>455</v>
      </c>
    </row>
    <row r="95" spans="1:40" ht="30" customHeight="1" x14ac:dyDescent="0.2">
      <c r="A95" s="231" t="s">
        <v>197</v>
      </c>
      <c r="B95" s="231">
        <v>2613698148</v>
      </c>
      <c r="C95" s="231" t="s">
        <v>100</v>
      </c>
      <c r="D95" s="231" t="s">
        <v>78</v>
      </c>
      <c r="E95" s="231" t="s">
        <v>198</v>
      </c>
      <c r="F95" s="231" t="s">
        <v>308</v>
      </c>
      <c r="G95" s="231">
        <v>426</v>
      </c>
      <c r="H95" s="231" t="s">
        <v>309</v>
      </c>
      <c r="I95" s="231" t="s">
        <v>262</v>
      </c>
      <c r="J95" s="231" t="s">
        <v>248</v>
      </c>
      <c r="K95" s="238" t="s">
        <v>462</v>
      </c>
      <c r="L95" s="232" t="s">
        <v>449</v>
      </c>
      <c r="M95" s="232">
        <v>46116.449305555558</v>
      </c>
      <c r="N95" s="231" t="s">
        <v>381</v>
      </c>
      <c r="O95" s="157" t="s">
        <v>204</v>
      </c>
      <c r="P95" s="56"/>
      <c r="Q95" s="144" t="s">
        <v>204</v>
      </c>
      <c r="R95" s="56"/>
      <c r="S95" s="144" t="s">
        <v>204</v>
      </c>
      <c r="T95" s="56"/>
      <c r="U95" s="144" t="s">
        <v>204</v>
      </c>
      <c r="V95" s="56"/>
      <c r="W95" s="144" t="s">
        <v>204</v>
      </c>
      <c r="X95" s="56"/>
      <c r="Y95" s="144" t="s">
        <v>204</v>
      </c>
      <c r="Z95" s="56"/>
      <c r="AA95" s="144" t="s">
        <v>204</v>
      </c>
      <c r="AB95" s="56"/>
      <c r="AC95" s="144" t="s">
        <v>210</v>
      </c>
      <c r="AD95" s="56" t="s">
        <v>463</v>
      </c>
      <c r="AE95" s="144" t="s">
        <v>204</v>
      </c>
      <c r="AF95" s="187" t="str">
        <f t="shared" si="7"/>
        <v>NC</v>
      </c>
      <c r="AG95" s="54" t="str">
        <f t="shared" si="9"/>
        <v>UTILIZOU O PDA CORRETAMENTE. NÃO HÁ FOTOS DE TODAS AS ETAPAS</v>
      </c>
      <c r="AH95" s="144" t="s">
        <v>204</v>
      </c>
      <c r="AI95" s="95" t="s">
        <v>6</v>
      </c>
      <c r="AJ95" s="97" t="str">
        <f t="shared" si="8"/>
        <v>GUARULHOS</v>
      </c>
      <c r="AK95" s="212" t="s">
        <v>39</v>
      </c>
      <c r="AL95" s="53">
        <v>-1.8800000000000001E-2</v>
      </c>
      <c r="AM95" s="53" t="str" cm="1">
        <f t="array" ref="AM95">IF(OR(O95&lt;&gt;"", SUMPRODUCT(($AN$2:$AN$5000=AN95)*($AL$2:$AL$5000&lt;=AL95)) &lt;= (COUNTIF($AN$2:$AN$5000,AN95)*0.5)), "SORTEADO", "-")</f>
        <v>SORTEADO</v>
      </c>
      <c r="AN95" s="232" t="s">
        <v>449</v>
      </c>
    </row>
    <row r="96" spans="1:40" ht="30" customHeight="1" x14ac:dyDescent="0.2">
      <c r="A96" s="231" t="s">
        <v>197</v>
      </c>
      <c r="B96" s="231">
        <v>2613870525</v>
      </c>
      <c r="C96" s="231" t="s">
        <v>105</v>
      </c>
      <c r="D96" s="231" t="s">
        <v>80</v>
      </c>
      <c r="E96" s="231" t="s">
        <v>198</v>
      </c>
      <c r="F96" s="231" t="s">
        <v>464</v>
      </c>
      <c r="G96" s="231">
        <v>993</v>
      </c>
      <c r="H96" s="231" t="s">
        <v>465</v>
      </c>
      <c r="I96" s="231" t="s">
        <v>466</v>
      </c>
      <c r="J96" s="231" t="s">
        <v>467</v>
      </c>
      <c r="K96" s="231" t="s">
        <v>213</v>
      </c>
      <c r="L96" s="232" t="s">
        <v>449</v>
      </c>
      <c r="M96" s="232">
        <v>46116.517361111109</v>
      </c>
      <c r="N96" s="231" t="s">
        <v>348</v>
      </c>
      <c r="O96" s="158" t="s">
        <v>204</v>
      </c>
      <c r="P96" s="92"/>
      <c r="Q96" s="146" t="s">
        <v>204</v>
      </c>
      <c r="R96" s="92"/>
      <c r="S96" s="146" t="s">
        <v>204</v>
      </c>
      <c r="T96" s="92"/>
      <c r="U96" s="146" t="s">
        <v>204</v>
      </c>
      <c r="V96" s="92"/>
      <c r="W96" s="146" t="s">
        <v>204</v>
      </c>
      <c r="X96" s="92"/>
      <c r="Y96" s="146" t="s">
        <v>61</v>
      </c>
      <c r="Z96" s="92"/>
      <c r="AA96" s="146" t="s">
        <v>204</v>
      </c>
      <c r="AB96" s="92"/>
      <c r="AC96" s="146" t="s">
        <v>204</v>
      </c>
      <c r="AD96" s="92"/>
      <c r="AE96" s="146" t="s">
        <v>204</v>
      </c>
      <c r="AF96" s="187" t="str">
        <f t="shared" si="7"/>
        <v>C</v>
      </c>
      <c r="AG96" s="54" t="str">
        <f t="shared" si="9"/>
        <v>UTILIZOU O PDA CORRETAMENTE</v>
      </c>
      <c r="AH96" s="144" t="s">
        <v>204</v>
      </c>
      <c r="AI96" s="95" t="s">
        <v>6</v>
      </c>
      <c r="AJ96" s="97" t="str">
        <f t="shared" si="8"/>
        <v>GUARULHOS</v>
      </c>
      <c r="AK96" s="212" t="s">
        <v>39</v>
      </c>
      <c r="AL96" s="53">
        <v>0.15242064982468118</v>
      </c>
      <c r="AM96" s="53" t="str" cm="1">
        <f t="array" ref="AM96">IF(OR(O96&lt;&gt;"", SUMPRODUCT(($AN$2:$AN$5000=AN96)*($AL$2:$AL$5000&lt;=AL96)) &lt;= (COUNTIF($AN$2:$AN$5000,AN96)*0.5)), "SORTEADO", "-")</f>
        <v>SORTEADO</v>
      </c>
      <c r="AN96" s="232" t="s">
        <v>449</v>
      </c>
    </row>
    <row r="97" spans="1:40" ht="30" hidden="1" customHeight="1" x14ac:dyDescent="0.2">
      <c r="A97" s="231" t="s">
        <v>197</v>
      </c>
      <c r="B97" s="231">
        <v>2614229327</v>
      </c>
      <c r="C97" s="231" t="s">
        <v>105</v>
      </c>
      <c r="D97" s="231" t="s">
        <v>80</v>
      </c>
      <c r="E97" s="231" t="s">
        <v>198</v>
      </c>
      <c r="F97" s="231" t="s">
        <v>468</v>
      </c>
      <c r="G97" s="231">
        <v>112</v>
      </c>
      <c r="H97" s="231" t="s">
        <v>276</v>
      </c>
      <c r="I97" s="231" t="s">
        <v>214</v>
      </c>
      <c r="J97" s="231" t="s">
        <v>226</v>
      </c>
      <c r="K97" s="231"/>
      <c r="L97" s="232" t="s">
        <v>449</v>
      </c>
      <c r="M97" s="232">
        <v>46116.42083333333</v>
      </c>
      <c r="N97" s="231" t="s">
        <v>317</v>
      </c>
      <c r="O97" s="157"/>
      <c r="P97" s="56"/>
      <c r="Q97" s="144"/>
      <c r="R97" s="56"/>
      <c r="S97" s="144"/>
      <c r="T97" s="56"/>
      <c r="U97" s="144"/>
      <c r="V97" s="56"/>
      <c r="W97" s="144"/>
      <c r="X97" s="56"/>
      <c r="Y97" s="144"/>
      <c r="Z97" s="56"/>
      <c r="AA97" s="144"/>
      <c r="AB97" s="56"/>
      <c r="AC97" s="144"/>
      <c r="AD97" s="56"/>
      <c r="AE97" s="144"/>
      <c r="AF97" s="187" t="str">
        <f t="shared" si="7"/>
        <v/>
      </c>
      <c r="AG97" s="54" t="b">
        <f t="shared" si="9"/>
        <v>0</v>
      </c>
      <c r="AH97" s="144"/>
      <c r="AI97" s="95" t="s">
        <v>6</v>
      </c>
      <c r="AJ97" s="97" t="str">
        <f t="shared" si="8"/>
        <v>GUARULHOS</v>
      </c>
      <c r="AK97" s="212" t="s">
        <v>39</v>
      </c>
      <c r="AL97" s="53">
        <v>0.76236981202759979</v>
      </c>
      <c r="AM97" s="53" t="str" cm="1">
        <f t="array" ref="AM97">IF(OR(O97&lt;&gt;"", SUMPRODUCT(($AN$2:$AN$5000=AN97)*($AL$2:$AL$5000&lt;=AL97)) &lt;= (COUNTIF($AN$2:$AN$5000,AN97)*0.5)), "SORTEADO", "-")</f>
        <v>-</v>
      </c>
      <c r="AN97" s="232" t="s">
        <v>449</v>
      </c>
    </row>
    <row r="98" spans="1:40" ht="30" hidden="1" customHeight="1" x14ac:dyDescent="0.2">
      <c r="A98" s="231" t="s">
        <v>197</v>
      </c>
      <c r="B98" s="231">
        <v>2614228430</v>
      </c>
      <c r="C98" s="231" t="s">
        <v>98</v>
      </c>
      <c r="D98" s="231" t="s">
        <v>80</v>
      </c>
      <c r="E98" s="231" t="s">
        <v>198</v>
      </c>
      <c r="F98" s="231" t="s">
        <v>469</v>
      </c>
      <c r="G98" s="231">
        <v>100</v>
      </c>
      <c r="H98" s="231" t="s">
        <v>470</v>
      </c>
      <c r="I98" s="231" t="s">
        <v>368</v>
      </c>
      <c r="J98" s="231" t="s">
        <v>297</v>
      </c>
      <c r="K98" s="231" t="s">
        <v>213</v>
      </c>
      <c r="L98" s="232" t="s">
        <v>449</v>
      </c>
      <c r="M98" s="232">
        <v>46116.49722222222</v>
      </c>
      <c r="N98" s="231" t="s">
        <v>287</v>
      </c>
      <c r="O98" s="157"/>
      <c r="P98" s="59"/>
      <c r="Q98" s="144"/>
      <c r="R98" s="59"/>
      <c r="S98" s="144"/>
      <c r="T98" s="59"/>
      <c r="U98" s="144"/>
      <c r="V98" s="59"/>
      <c r="W98" s="144"/>
      <c r="X98" s="59"/>
      <c r="Y98" s="144"/>
      <c r="Z98" s="59"/>
      <c r="AA98" s="144"/>
      <c r="AB98" s="59"/>
      <c r="AC98" s="144"/>
      <c r="AD98" s="59"/>
      <c r="AE98" s="144"/>
      <c r="AF98" s="187" t="str">
        <f t="shared" si="7"/>
        <v/>
      </c>
      <c r="AG98" s="54" t="b">
        <f t="shared" si="9"/>
        <v>0</v>
      </c>
      <c r="AH98" s="144"/>
      <c r="AI98" s="95" t="s">
        <v>6</v>
      </c>
      <c r="AJ98" s="97" t="str">
        <f t="shared" si="8"/>
        <v>GUARULHOS</v>
      </c>
      <c r="AK98" s="212" t="s">
        <v>39</v>
      </c>
      <c r="AL98" s="53">
        <v>0.6601409745600707</v>
      </c>
      <c r="AM98" s="53" t="str" cm="1">
        <f t="array" ref="AM98">IF(OR(O98&lt;&gt;"", SUMPRODUCT(($AN$2:$AN$5000=AN98)*($AL$2:$AL$5000&lt;=AL98)) &lt;= (COUNTIF($AN$2:$AN$5000,AN98)*0.5)), "SORTEADO", "-")</f>
        <v>-</v>
      </c>
      <c r="AN98" s="232" t="s">
        <v>449</v>
      </c>
    </row>
    <row r="99" spans="1:40" ht="30" hidden="1" customHeight="1" x14ac:dyDescent="0.2">
      <c r="A99" s="231" t="s">
        <v>197</v>
      </c>
      <c r="B99" s="231">
        <v>2689585954</v>
      </c>
      <c r="C99" s="231" t="s">
        <v>102</v>
      </c>
      <c r="D99" s="231" t="s">
        <v>80</v>
      </c>
      <c r="E99" s="231" t="s">
        <v>198</v>
      </c>
      <c r="F99" s="231" t="s">
        <v>471</v>
      </c>
      <c r="G99" s="231">
        <v>117</v>
      </c>
      <c r="H99" s="231" t="s">
        <v>472</v>
      </c>
      <c r="I99" s="231" t="s">
        <v>394</v>
      </c>
      <c r="J99" s="231" t="s">
        <v>270</v>
      </c>
      <c r="K99" s="231"/>
      <c r="L99" s="232" t="s">
        <v>449</v>
      </c>
      <c r="M99" s="232">
        <v>46116.617361111108</v>
      </c>
      <c r="N99" s="231" t="s">
        <v>287</v>
      </c>
      <c r="O99" s="157"/>
      <c r="P99" s="92"/>
      <c r="Q99" s="144"/>
      <c r="R99" s="92"/>
      <c r="S99" s="144"/>
      <c r="T99" s="92"/>
      <c r="U99" s="144"/>
      <c r="V99" s="92"/>
      <c r="W99" s="144"/>
      <c r="X99" s="92"/>
      <c r="Y99" s="144"/>
      <c r="Z99" s="92"/>
      <c r="AA99" s="144"/>
      <c r="AB99" s="92"/>
      <c r="AC99" s="144"/>
      <c r="AD99" s="92"/>
      <c r="AE99" s="144"/>
      <c r="AF99" s="187" t="str">
        <f t="shared" si="7"/>
        <v/>
      </c>
      <c r="AG99" s="54" t="b">
        <f t="shared" si="9"/>
        <v>0</v>
      </c>
      <c r="AH99" s="144"/>
      <c r="AI99" s="210" t="s">
        <v>6</v>
      </c>
      <c r="AJ99" s="97" t="str">
        <f t="shared" si="8"/>
        <v>GUARULHOS</v>
      </c>
      <c r="AK99" s="213" t="s">
        <v>39</v>
      </c>
      <c r="AL99" s="53">
        <v>0.53805110212336327</v>
      </c>
      <c r="AM99" s="53" t="str" cm="1">
        <f t="array" ref="AM99">IF(OR(O99&lt;&gt;"", SUMPRODUCT(($AN$2:$AN$5000=AN99)*($AL$2:$AL$5000&lt;=AL99)) &lt;= (COUNTIF($AN$2:$AN$5000,AN99)*0.5)), "SORTEADO", "-")</f>
        <v>-</v>
      </c>
      <c r="AN99" s="232" t="s">
        <v>449</v>
      </c>
    </row>
    <row r="100" spans="1:40" ht="30" customHeight="1" x14ac:dyDescent="0.2">
      <c r="A100" s="231" t="s">
        <v>197</v>
      </c>
      <c r="B100" s="231">
        <v>2689605905</v>
      </c>
      <c r="C100" s="231" t="s">
        <v>102</v>
      </c>
      <c r="D100" s="231" t="s">
        <v>80</v>
      </c>
      <c r="E100" s="231" t="s">
        <v>198</v>
      </c>
      <c r="F100" s="231" t="s">
        <v>473</v>
      </c>
      <c r="G100" s="231">
        <v>94</v>
      </c>
      <c r="H100" s="231" t="s">
        <v>474</v>
      </c>
      <c r="I100" s="231" t="s">
        <v>214</v>
      </c>
      <c r="J100" s="231" t="s">
        <v>270</v>
      </c>
      <c r="K100" s="231" t="s">
        <v>213</v>
      </c>
      <c r="L100" s="232" t="s">
        <v>449</v>
      </c>
      <c r="M100" s="232">
        <v>46116.654861111114</v>
      </c>
      <c r="N100" s="231" t="s">
        <v>381</v>
      </c>
      <c r="O100" s="158" t="s">
        <v>204</v>
      </c>
      <c r="P100" s="92"/>
      <c r="Q100" s="146" t="s">
        <v>204</v>
      </c>
      <c r="R100" s="92"/>
      <c r="S100" s="146" t="s">
        <v>204</v>
      </c>
      <c r="T100" s="92"/>
      <c r="U100" s="146" t="s">
        <v>204</v>
      </c>
      <c r="V100" s="92"/>
      <c r="W100" s="146" t="s">
        <v>204</v>
      </c>
      <c r="X100" s="92"/>
      <c r="Y100" s="146" t="s">
        <v>61</v>
      </c>
      <c r="Z100" s="92"/>
      <c r="AA100" s="146" t="s">
        <v>204</v>
      </c>
      <c r="AB100" s="92"/>
      <c r="AC100" s="146" t="s">
        <v>204</v>
      </c>
      <c r="AD100" s="92"/>
      <c r="AE100" s="146" t="s">
        <v>204</v>
      </c>
      <c r="AF100" s="187" t="str">
        <f t="shared" si="7"/>
        <v>C</v>
      </c>
      <c r="AG100" s="54" t="str">
        <f t="shared" si="9"/>
        <v>UTILIZOU O PDA CORRETAMENTE</v>
      </c>
      <c r="AH100" s="144" t="s">
        <v>204</v>
      </c>
      <c r="AI100" s="210" t="s">
        <v>6</v>
      </c>
      <c r="AJ100" s="97" t="str">
        <f t="shared" si="8"/>
        <v>GUARULHOS</v>
      </c>
      <c r="AK100" s="213" t="s">
        <v>39</v>
      </c>
      <c r="AL100" s="53">
        <v>0.34038307535635737</v>
      </c>
      <c r="AM100" s="53" t="str" cm="1">
        <f t="array" ref="AM100">IF(OR(O100&lt;&gt;"", SUMPRODUCT(($AN$2:$AN$5000=AN100)*($AL$2:$AL$5000&lt;=AL100)) &lt;= (COUNTIF($AN$2:$AN$5000,AN100)*0.5)), "SORTEADO", "-")</f>
        <v>SORTEADO</v>
      </c>
      <c r="AN100" s="232" t="s">
        <v>449</v>
      </c>
    </row>
    <row r="101" spans="1:40" ht="30" hidden="1" customHeight="1" x14ac:dyDescent="0.2">
      <c r="A101" s="231" t="s">
        <v>197</v>
      </c>
      <c r="B101" s="231">
        <v>2689604192</v>
      </c>
      <c r="C101" s="231" t="s">
        <v>102</v>
      </c>
      <c r="D101" s="231" t="s">
        <v>80</v>
      </c>
      <c r="E101" s="231" t="s">
        <v>198</v>
      </c>
      <c r="F101" s="231" t="s">
        <v>475</v>
      </c>
      <c r="G101" s="231">
        <v>281</v>
      </c>
      <c r="H101" s="231"/>
      <c r="I101" s="231" t="s">
        <v>476</v>
      </c>
      <c r="J101" s="231" t="s">
        <v>259</v>
      </c>
      <c r="K101" s="231" t="s">
        <v>477</v>
      </c>
      <c r="L101" s="232" t="s">
        <v>449</v>
      </c>
      <c r="M101" s="232">
        <v>46116.741666666669</v>
      </c>
      <c r="N101" s="231" t="s">
        <v>348</v>
      </c>
      <c r="O101" s="157"/>
      <c r="P101" s="92"/>
      <c r="Q101" s="144"/>
      <c r="R101" s="92"/>
      <c r="S101" s="144"/>
      <c r="T101" s="92"/>
      <c r="U101" s="144"/>
      <c r="V101" s="92"/>
      <c r="W101" s="144"/>
      <c r="X101" s="92"/>
      <c r="Y101" s="144"/>
      <c r="Z101" s="92"/>
      <c r="AA101" s="144"/>
      <c r="AB101" s="92"/>
      <c r="AC101" s="144"/>
      <c r="AD101" s="92"/>
      <c r="AE101" s="144"/>
      <c r="AF101" s="187" t="str">
        <f t="shared" si="7"/>
        <v/>
      </c>
      <c r="AG101" s="54" t="b">
        <f t="shared" si="9"/>
        <v>0</v>
      </c>
      <c r="AH101" s="144"/>
      <c r="AI101" s="210" t="s">
        <v>6</v>
      </c>
      <c r="AJ101" s="97" t="str">
        <f t="shared" si="8"/>
        <v>GUARULHOS</v>
      </c>
      <c r="AK101" s="213" t="s">
        <v>39</v>
      </c>
      <c r="AL101" s="53">
        <v>0.56536312588540505</v>
      </c>
      <c r="AM101" s="53" t="str" cm="1">
        <f t="array" ref="AM101">IF(OR(O101&lt;&gt;"", SUMPRODUCT(($AN$2:$AN$5000=AN101)*($AL$2:$AL$5000&lt;=AL101)) &lt;= (COUNTIF($AN$2:$AN$5000,AN101)*0.5)), "SORTEADO", "-")</f>
        <v>-</v>
      </c>
      <c r="AN101" s="232" t="s">
        <v>449</v>
      </c>
    </row>
    <row r="102" spans="1:40" ht="30" customHeight="1" x14ac:dyDescent="0.2">
      <c r="A102" s="231" t="s">
        <v>197</v>
      </c>
      <c r="B102" s="231">
        <v>2689585267</v>
      </c>
      <c r="C102" s="231" t="s">
        <v>98</v>
      </c>
      <c r="D102" s="231" t="s">
        <v>80</v>
      </c>
      <c r="E102" s="231" t="s">
        <v>198</v>
      </c>
      <c r="F102" s="231" t="s">
        <v>478</v>
      </c>
      <c r="G102" s="231">
        <v>10</v>
      </c>
      <c r="H102" s="231" t="s">
        <v>479</v>
      </c>
      <c r="I102" s="231" t="s">
        <v>480</v>
      </c>
      <c r="J102" s="231" t="s">
        <v>297</v>
      </c>
      <c r="K102" s="231" t="s">
        <v>481</v>
      </c>
      <c r="L102" s="232" t="s">
        <v>449</v>
      </c>
      <c r="M102" s="232">
        <v>46116.614583333336</v>
      </c>
      <c r="N102" s="231" t="s">
        <v>241</v>
      </c>
      <c r="O102" s="157" t="s">
        <v>204</v>
      </c>
      <c r="P102" s="143"/>
      <c r="Q102" s="144" t="s">
        <v>204</v>
      </c>
      <c r="R102" s="143"/>
      <c r="S102" s="144" t="s">
        <v>204</v>
      </c>
      <c r="T102" s="143"/>
      <c r="U102" s="144" t="s">
        <v>204</v>
      </c>
      <c r="V102" s="143"/>
      <c r="W102" s="144" t="s">
        <v>204</v>
      </c>
      <c r="X102" s="143"/>
      <c r="Y102" s="144" t="s">
        <v>204</v>
      </c>
      <c r="Z102" s="143"/>
      <c r="AA102" s="144" t="s">
        <v>204</v>
      </c>
      <c r="AB102" s="143"/>
      <c r="AC102" s="144" t="s">
        <v>204</v>
      </c>
      <c r="AD102" s="56"/>
      <c r="AE102" s="144" t="s">
        <v>204</v>
      </c>
      <c r="AF102" s="187" t="str">
        <f t="shared" si="7"/>
        <v>C</v>
      </c>
      <c r="AG102" s="54" t="str">
        <f t="shared" si="9"/>
        <v>UTILIZOU O PDA CORRETAMENTE</v>
      </c>
      <c r="AH102" s="144" t="s">
        <v>204</v>
      </c>
      <c r="AI102" s="210" t="s">
        <v>6</v>
      </c>
      <c r="AJ102" s="97" t="str">
        <f t="shared" si="8"/>
        <v>GUARULHOS</v>
      </c>
      <c r="AK102" s="213" t="s">
        <v>39</v>
      </c>
      <c r="AL102" s="53">
        <v>8.3618205606808438E-2</v>
      </c>
      <c r="AM102" s="53" t="str" cm="1">
        <f t="array" ref="AM102">IF(OR(O102&lt;&gt;"", SUMPRODUCT(($AN$2:$AN$5000=AN102)*($AL$2:$AL$5000&lt;=AL102)) &lt;= (COUNTIF($AN$2:$AN$5000,AN102)*0.5)), "SORTEADO", "-")</f>
        <v>SORTEADO</v>
      </c>
      <c r="AN102" s="232" t="s">
        <v>449</v>
      </c>
    </row>
    <row r="103" spans="1:40" ht="30" hidden="1" customHeight="1" x14ac:dyDescent="0.2">
      <c r="A103" s="231" t="s">
        <v>197</v>
      </c>
      <c r="B103" s="231">
        <v>2689600138</v>
      </c>
      <c r="C103" s="231" t="s">
        <v>98</v>
      </c>
      <c r="D103" s="231" t="s">
        <v>80</v>
      </c>
      <c r="E103" s="231" t="s">
        <v>198</v>
      </c>
      <c r="F103" s="231" t="s">
        <v>482</v>
      </c>
      <c r="G103" s="231">
        <v>167</v>
      </c>
      <c r="H103" s="231"/>
      <c r="I103" s="231" t="s">
        <v>483</v>
      </c>
      <c r="J103" s="231" t="s">
        <v>297</v>
      </c>
      <c r="K103" s="231"/>
      <c r="L103" s="232" t="s">
        <v>449</v>
      </c>
      <c r="M103" s="232">
        <v>46146.279861111114</v>
      </c>
      <c r="N103" s="231" t="s">
        <v>322</v>
      </c>
      <c r="O103" s="157"/>
      <c r="P103" s="92"/>
      <c r="Q103" s="144"/>
      <c r="R103" s="92"/>
      <c r="S103" s="144"/>
      <c r="T103" s="92"/>
      <c r="U103" s="144"/>
      <c r="V103" s="92"/>
      <c r="W103" s="144"/>
      <c r="X103" s="92"/>
      <c r="Y103" s="144"/>
      <c r="Z103" s="92"/>
      <c r="AA103" s="144"/>
      <c r="AB103" s="92"/>
      <c r="AC103" s="144"/>
      <c r="AD103" s="92"/>
      <c r="AE103" s="144"/>
      <c r="AF103" s="187" t="str">
        <f t="shared" si="7"/>
        <v/>
      </c>
      <c r="AG103" s="54" t="b">
        <f t="shared" si="9"/>
        <v>0</v>
      </c>
      <c r="AH103" s="144"/>
      <c r="AI103" s="210" t="s">
        <v>6</v>
      </c>
      <c r="AJ103" s="97" t="str">
        <f t="shared" si="8"/>
        <v>GUARULHOS</v>
      </c>
      <c r="AK103" s="213" t="s">
        <v>39</v>
      </c>
      <c r="AL103" s="53">
        <v>0.34598644763687525</v>
      </c>
      <c r="AM103" s="53" t="str" cm="1">
        <f t="array" ref="AM103">IF(OR(O103&lt;&gt;"", SUMPRODUCT(($AN$2:$AN$5000=AN103)*($AL$2:$AL$5000&lt;=AL103)) &lt;= (COUNTIF($AN$2:$AN$5000,AN103)*0.5)), "SORTEADO", "-")</f>
        <v>-</v>
      </c>
      <c r="AN103" s="232" t="s">
        <v>449</v>
      </c>
    </row>
    <row r="104" spans="1:40" ht="30" hidden="1" customHeight="1" x14ac:dyDescent="0.2">
      <c r="A104" s="231" t="s">
        <v>197</v>
      </c>
      <c r="B104" s="231">
        <v>2689608468</v>
      </c>
      <c r="C104" s="231" t="s">
        <v>98</v>
      </c>
      <c r="D104" s="231" t="s">
        <v>80</v>
      </c>
      <c r="E104" s="231" t="s">
        <v>198</v>
      </c>
      <c r="F104" s="231" t="s">
        <v>484</v>
      </c>
      <c r="G104" s="231">
        <v>263</v>
      </c>
      <c r="H104" s="231" t="s">
        <v>213</v>
      </c>
      <c r="I104" s="231" t="s">
        <v>485</v>
      </c>
      <c r="J104" s="231" t="s">
        <v>297</v>
      </c>
      <c r="K104" s="231" t="s">
        <v>486</v>
      </c>
      <c r="L104" s="232" t="s">
        <v>449</v>
      </c>
      <c r="M104" s="232">
        <v>46116.740972222222</v>
      </c>
      <c r="N104" s="231" t="s">
        <v>348</v>
      </c>
      <c r="O104" s="157" t="s">
        <v>61</v>
      </c>
      <c r="P104" s="143"/>
      <c r="Q104" s="144" t="s">
        <v>61</v>
      </c>
      <c r="R104" s="143"/>
      <c r="S104" s="144" t="s">
        <v>61</v>
      </c>
      <c r="T104" s="143"/>
      <c r="U104" s="144" t="s">
        <v>61</v>
      </c>
      <c r="V104" s="143"/>
      <c r="W104" s="144" t="s">
        <v>61</v>
      </c>
      <c r="X104" s="143"/>
      <c r="Y104" s="144" t="s">
        <v>61</v>
      </c>
      <c r="Z104" s="143"/>
      <c r="AA104" s="144" t="s">
        <v>61</v>
      </c>
      <c r="AB104" s="143"/>
      <c r="AC104" s="144" t="s">
        <v>61</v>
      </c>
      <c r="AD104" s="56"/>
      <c r="AE104" s="144" t="s">
        <v>61</v>
      </c>
      <c r="AF104" s="187" t="str">
        <f t="shared" si="7"/>
        <v>NA</v>
      </c>
      <c r="AG104" s="54" t="str">
        <f t="shared" si="9"/>
        <v>NÃO AVALIADO POR FALHA DE SINCRONISMO</v>
      </c>
      <c r="AH104" s="144" t="s">
        <v>204</v>
      </c>
      <c r="AI104" s="210" t="s">
        <v>6</v>
      </c>
      <c r="AJ104" s="97" t="str">
        <f t="shared" si="8"/>
        <v>GUARULHOS</v>
      </c>
      <c r="AK104" s="213" t="s">
        <v>39</v>
      </c>
      <c r="AL104" s="53">
        <v>0.3230063648397915</v>
      </c>
      <c r="AM104" s="53" t="str" cm="1">
        <f t="array" ref="AM104">IF(OR(O104&lt;&gt;"", SUMPRODUCT(($AN$2:$AN$5000=AN104)*($AL$2:$AL$5000&lt;=AL104)) &lt;= (COUNTIF($AN$2:$AN$5000,AN104)*0.5)), "SORTEADO", "-")</f>
        <v>SORTEADO</v>
      </c>
      <c r="AN104" s="232" t="s">
        <v>449</v>
      </c>
    </row>
    <row r="105" spans="1:40" ht="30" hidden="1" customHeight="1" x14ac:dyDescent="0.2">
      <c r="A105" s="231" t="s">
        <v>197</v>
      </c>
      <c r="B105" s="231">
        <v>2614308730</v>
      </c>
      <c r="C105" s="231" t="s">
        <v>100</v>
      </c>
      <c r="D105" s="231" t="s">
        <v>78</v>
      </c>
      <c r="E105" s="231" t="s">
        <v>198</v>
      </c>
      <c r="F105" s="231" t="s">
        <v>487</v>
      </c>
      <c r="G105" s="231">
        <v>140</v>
      </c>
      <c r="H105" s="231" t="s">
        <v>488</v>
      </c>
      <c r="I105" s="231" t="s">
        <v>489</v>
      </c>
      <c r="J105" s="231" t="s">
        <v>248</v>
      </c>
      <c r="K105" s="231"/>
      <c r="L105" s="232" t="s">
        <v>455</v>
      </c>
      <c r="M105" s="232">
        <v>46146.426388888889</v>
      </c>
      <c r="N105" s="231" t="s">
        <v>287</v>
      </c>
      <c r="O105" s="158"/>
      <c r="P105" s="92"/>
      <c r="Q105" s="146"/>
      <c r="R105" s="92"/>
      <c r="S105" s="146"/>
      <c r="T105" s="92"/>
      <c r="U105" s="146"/>
      <c r="V105" s="92"/>
      <c r="W105" s="146"/>
      <c r="X105" s="92"/>
      <c r="Y105" s="146"/>
      <c r="Z105" s="92"/>
      <c r="AA105" s="146"/>
      <c r="AB105" s="92"/>
      <c r="AC105" s="146"/>
      <c r="AD105" s="92"/>
      <c r="AE105" s="146"/>
      <c r="AF105" s="187" t="str">
        <f t="shared" si="7"/>
        <v/>
      </c>
      <c r="AG105" s="54" t="b">
        <f t="shared" ref="AG105:AG136" si="10">IF(AND(AE105="C",AF105="C"),"UTILIZOU O PDA CORRETAMENTE",IF(AND(AE105="C",AF105="NC"),"UTILIZOU O PDA CORRETAMENTE. NÃO HÁ FOTOS DE TODAS AS ETAPAS",IF(AND(AE105="NC",AF105="NC"),"NÃO UTILIZOU O PDA",IF(AND(AE105="NA",AF105="NA"),"NÃO AVALIADO POR FALHA DE SINCRONISMO"))))</f>
        <v>0</v>
      </c>
      <c r="AH105" s="146"/>
      <c r="AI105" s="210" t="s">
        <v>6</v>
      </c>
      <c r="AJ105" s="97" t="str">
        <f t="shared" si="8"/>
        <v>GUARULHOS</v>
      </c>
      <c r="AK105" s="213" t="s">
        <v>39</v>
      </c>
      <c r="AL105" s="53">
        <v>0.28344074624041204</v>
      </c>
      <c r="AM105" s="53" t="str" cm="1">
        <f t="array" ref="AM105">IF(OR(O105&lt;&gt;"", SUMPRODUCT(($AN$2:$AN$5000=AN105)*($AL$2:$AL$5000&lt;=AL105)) &lt;= (COUNTIF($AN$2:$AN$5000,AN105)*0.5)), "SORTEADO", "-")</f>
        <v>-</v>
      </c>
      <c r="AN105" s="232" t="s">
        <v>455</v>
      </c>
    </row>
    <row r="106" spans="1:40" ht="30" hidden="1" customHeight="1" x14ac:dyDescent="0.2">
      <c r="A106" s="231" t="s">
        <v>197</v>
      </c>
      <c r="B106" s="231">
        <v>2614316501</v>
      </c>
      <c r="C106" s="231" t="s">
        <v>98</v>
      </c>
      <c r="D106" s="231" t="s">
        <v>80</v>
      </c>
      <c r="E106" s="231" t="s">
        <v>198</v>
      </c>
      <c r="F106" s="231" t="s">
        <v>490</v>
      </c>
      <c r="G106" s="231">
        <v>1203</v>
      </c>
      <c r="H106" s="231" t="s">
        <v>491</v>
      </c>
      <c r="I106" s="231" t="s">
        <v>492</v>
      </c>
      <c r="J106" s="231" t="s">
        <v>297</v>
      </c>
      <c r="K106" s="231" t="s">
        <v>213</v>
      </c>
      <c r="L106" s="232" t="s">
        <v>455</v>
      </c>
      <c r="M106" s="232">
        <v>46146.547222222223</v>
      </c>
      <c r="N106" s="231" t="s">
        <v>287</v>
      </c>
      <c r="O106" s="158"/>
      <c r="P106" s="92"/>
      <c r="Q106" s="146"/>
      <c r="R106" s="92"/>
      <c r="S106" s="146"/>
      <c r="T106" s="92"/>
      <c r="U106" s="146"/>
      <c r="V106" s="92"/>
      <c r="W106" s="146"/>
      <c r="X106" s="92"/>
      <c r="Y106" s="146"/>
      <c r="Z106" s="92"/>
      <c r="AA106" s="146"/>
      <c r="AB106" s="92"/>
      <c r="AC106" s="146"/>
      <c r="AD106" s="92"/>
      <c r="AE106" s="146"/>
      <c r="AF106" s="187" t="str">
        <f t="shared" si="7"/>
        <v/>
      </c>
      <c r="AG106" s="54" t="b">
        <f t="shared" si="10"/>
        <v>0</v>
      </c>
      <c r="AH106" s="146"/>
      <c r="AI106" s="210" t="s">
        <v>6</v>
      </c>
      <c r="AJ106" s="97" t="str">
        <f t="shared" si="8"/>
        <v>GUARULHOS</v>
      </c>
      <c r="AK106" s="213" t="s">
        <v>39</v>
      </c>
      <c r="AL106" s="53">
        <v>8.9804754852446989E-2</v>
      </c>
      <c r="AM106" s="53" t="str" cm="1">
        <f t="array" ref="AM106">IF(OR(O106&lt;&gt;"", SUMPRODUCT(($AN$2:$AN$5000=AN106)*($AL$2:$AL$5000&lt;=AL106)) &lt;= (COUNTIF($AN$2:$AN$5000,AN106)*0.5)), "SORTEADO", "-")</f>
        <v>-</v>
      </c>
      <c r="AN106" s="232" t="s">
        <v>455</v>
      </c>
    </row>
    <row r="107" spans="1:40" ht="30" hidden="1" customHeight="1" x14ac:dyDescent="0.2">
      <c r="A107" s="231" t="s">
        <v>197</v>
      </c>
      <c r="B107" s="231">
        <v>2689611293</v>
      </c>
      <c r="C107" s="231" t="s">
        <v>106</v>
      </c>
      <c r="D107" s="231" t="s">
        <v>80</v>
      </c>
      <c r="E107" s="231" t="s">
        <v>198</v>
      </c>
      <c r="F107" s="231" t="s">
        <v>493</v>
      </c>
      <c r="G107" s="231">
        <v>217</v>
      </c>
      <c r="H107" s="231"/>
      <c r="I107" s="231" t="s">
        <v>494</v>
      </c>
      <c r="J107" s="231" t="s">
        <v>270</v>
      </c>
      <c r="K107" s="231"/>
      <c r="L107" s="232" t="s">
        <v>455</v>
      </c>
      <c r="M107" s="232">
        <v>46146.522916666669</v>
      </c>
      <c r="N107" s="231" t="s">
        <v>381</v>
      </c>
      <c r="O107" s="158"/>
      <c r="P107" s="92"/>
      <c r="Q107" s="146"/>
      <c r="R107" s="92"/>
      <c r="S107" s="146"/>
      <c r="T107" s="92"/>
      <c r="U107" s="146"/>
      <c r="V107" s="92"/>
      <c r="W107" s="146"/>
      <c r="X107" s="92"/>
      <c r="Y107" s="146"/>
      <c r="Z107" s="92"/>
      <c r="AA107" s="146"/>
      <c r="AB107" s="92"/>
      <c r="AC107" s="146"/>
      <c r="AD107" s="92"/>
      <c r="AE107" s="146"/>
      <c r="AF107" s="187" t="str">
        <f t="shared" si="7"/>
        <v/>
      </c>
      <c r="AG107" s="54" t="b">
        <f t="shared" si="10"/>
        <v>0</v>
      </c>
      <c r="AH107" s="146"/>
      <c r="AI107" s="210" t="s">
        <v>6</v>
      </c>
      <c r="AJ107" s="97" t="str">
        <f t="shared" si="8"/>
        <v>GUARULHOS</v>
      </c>
      <c r="AK107" s="213" t="s">
        <v>39</v>
      </c>
      <c r="AL107" s="53">
        <v>0.1679619980615954</v>
      </c>
      <c r="AM107" s="53" t="str" cm="1">
        <f t="array" ref="AM107">IF(OR(O107&lt;&gt;"", SUMPRODUCT(($AN$2:$AN$5000=AN107)*($AL$2:$AL$5000&lt;=AL107)) &lt;= (COUNTIF($AN$2:$AN$5000,AN107)*0.5)), "SORTEADO", "-")</f>
        <v>-</v>
      </c>
      <c r="AN107" s="232" t="s">
        <v>455</v>
      </c>
    </row>
    <row r="108" spans="1:40" ht="30" customHeight="1" x14ac:dyDescent="0.2">
      <c r="A108" s="231" t="s">
        <v>197</v>
      </c>
      <c r="B108" s="231">
        <v>2614130666</v>
      </c>
      <c r="C108" s="231" t="s">
        <v>93</v>
      </c>
      <c r="D108" s="231" t="s">
        <v>76</v>
      </c>
      <c r="E108" s="231" t="s">
        <v>198</v>
      </c>
      <c r="F108" s="231" t="s">
        <v>495</v>
      </c>
      <c r="G108" s="231">
        <v>242</v>
      </c>
      <c r="H108" s="231" t="s">
        <v>496</v>
      </c>
      <c r="I108" s="231" t="s">
        <v>368</v>
      </c>
      <c r="J108" s="231" t="s">
        <v>93</v>
      </c>
      <c r="K108" s="231" t="s">
        <v>497</v>
      </c>
      <c r="L108" s="232" t="s">
        <v>455</v>
      </c>
      <c r="M108" s="232">
        <v>46146.616666666669</v>
      </c>
      <c r="N108" s="231" t="s">
        <v>408</v>
      </c>
      <c r="O108" s="158" t="s">
        <v>204</v>
      </c>
      <c r="P108" s="92"/>
      <c r="Q108" s="146" t="s">
        <v>204</v>
      </c>
      <c r="R108" s="92"/>
      <c r="S108" s="146" t="s">
        <v>204</v>
      </c>
      <c r="T108" s="92"/>
      <c r="U108" s="146" t="s">
        <v>204</v>
      </c>
      <c r="V108" s="92"/>
      <c r="W108" s="146" t="s">
        <v>204</v>
      </c>
      <c r="X108" s="92"/>
      <c r="Y108" s="146" t="s">
        <v>204</v>
      </c>
      <c r="Z108" s="92"/>
      <c r="AA108" s="146" t="s">
        <v>204</v>
      </c>
      <c r="AB108" s="92"/>
      <c r="AC108" s="146" t="s">
        <v>204</v>
      </c>
      <c r="AD108" s="92"/>
      <c r="AE108" s="146" t="s">
        <v>204</v>
      </c>
      <c r="AF108" s="187" t="str">
        <f t="shared" si="7"/>
        <v>C</v>
      </c>
      <c r="AG108" s="54" t="str">
        <f t="shared" si="10"/>
        <v>UTILIZOU O PDA CORRETAMENTE</v>
      </c>
      <c r="AH108" s="146" t="s">
        <v>204</v>
      </c>
      <c r="AI108" s="210" t="s">
        <v>6</v>
      </c>
      <c r="AJ108" s="97" t="str">
        <f t="shared" si="8"/>
        <v>GUARULHOS</v>
      </c>
      <c r="AK108" s="213" t="s">
        <v>39</v>
      </c>
      <c r="AL108" s="53">
        <v>-2.1399999999999999E-2</v>
      </c>
      <c r="AM108" s="53" t="str" cm="1">
        <f t="array" ref="AM108">IF(OR(O108&lt;&gt;"", SUMPRODUCT(($AN$2:$AN$5000=AN108)*($AL$2:$AL$5000&lt;=AL108)) &lt;= (COUNTIF($AN$2:$AN$5000,AN108)*0.5)), "SORTEADO", "-")</f>
        <v>SORTEADO</v>
      </c>
      <c r="AN108" s="232" t="s">
        <v>455</v>
      </c>
    </row>
    <row r="109" spans="1:40" ht="30" customHeight="1" x14ac:dyDescent="0.2">
      <c r="A109" s="231" t="s">
        <v>197</v>
      </c>
      <c r="B109" s="231">
        <v>2614130669</v>
      </c>
      <c r="C109" s="231" t="s">
        <v>95</v>
      </c>
      <c r="D109" s="231" t="s">
        <v>76</v>
      </c>
      <c r="E109" s="231" t="s">
        <v>198</v>
      </c>
      <c r="F109" s="231" t="s">
        <v>495</v>
      </c>
      <c r="G109" s="231">
        <v>242</v>
      </c>
      <c r="H109" s="231" t="s">
        <v>498</v>
      </c>
      <c r="I109" s="231" t="s">
        <v>368</v>
      </c>
      <c r="J109" s="231" t="s">
        <v>95</v>
      </c>
      <c r="K109" s="231" t="s">
        <v>499</v>
      </c>
      <c r="L109" s="232" t="s">
        <v>455</v>
      </c>
      <c r="M109" s="232">
        <v>46146.618055555555</v>
      </c>
      <c r="N109" s="231" t="s">
        <v>408</v>
      </c>
      <c r="O109" s="158" t="s">
        <v>204</v>
      </c>
      <c r="P109" s="92"/>
      <c r="Q109" s="146" t="s">
        <v>204</v>
      </c>
      <c r="R109" s="92"/>
      <c r="S109" s="146" t="s">
        <v>204</v>
      </c>
      <c r="T109" s="92"/>
      <c r="U109" s="146" t="s">
        <v>204</v>
      </c>
      <c r="V109" s="92"/>
      <c r="W109" s="146" t="s">
        <v>204</v>
      </c>
      <c r="X109" s="92"/>
      <c r="Y109" s="146" t="s">
        <v>204</v>
      </c>
      <c r="Z109" s="92"/>
      <c r="AA109" s="146" t="s">
        <v>204</v>
      </c>
      <c r="AB109" s="92"/>
      <c r="AC109" s="146" t="s">
        <v>204</v>
      </c>
      <c r="AD109" s="92"/>
      <c r="AE109" s="146" t="s">
        <v>204</v>
      </c>
      <c r="AF109" s="187" t="str">
        <f t="shared" si="7"/>
        <v>C</v>
      </c>
      <c r="AG109" s="54" t="str">
        <f t="shared" si="10"/>
        <v>UTILIZOU O PDA CORRETAMENTE</v>
      </c>
      <c r="AH109" s="146" t="s">
        <v>204</v>
      </c>
      <c r="AI109" s="210" t="s">
        <v>6</v>
      </c>
      <c r="AJ109" s="97" t="str">
        <f t="shared" si="8"/>
        <v>GUARULHOS</v>
      </c>
      <c r="AK109" s="213" t="s">
        <v>39</v>
      </c>
      <c r="AL109" s="53">
        <v>-2.1600000000000001E-2</v>
      </c>
      <c r="AM109" s="53" t="str" cm="1">
        <f t="array" ref="AM109">IF(OR(O109&lt;&gt;"", SUMPRODUCT(($AN$2:$AN$5000=AN109)*($AL$2:$AL$5000&lt;=AL109)) &lt;= (COUNTIF($AN$2:$AN$5000,AN109)*0.5)), "SORTEADO", "-")</f>
        <v>SORTEADO</v>
      </c>
      <c r="AN109" s="232" t="s">
        <v>455</v>
      </c>
    </row>
    <row r="110" spans="1:40" ht="30" customHeight="1" x14ac:dyDescent="0.2">
      <c r="A110" s="231" t="s">
        <v>197</v>
      </c>
      <c r="B110" s="231">
        <v>2614130667</v>
      </c>
      <c r="C110" s="231" t="s">
        <v>95</v>
      </c>
      <c r="D110" s="231" t="s">
        <v>76</v>
      </c>
      <c r="E110" s="231" t="s">
        <v>198</v>
      </c>
      <c r="F110" s="231" t="s">
        <v>495</v>
      </c>
      <c r="G110" s="231">
        <v>242</v>
      </c>
      <c r="H110" s="231" t="s">
        <v>500</v>
      </c>
      <c r="I110" s="231" t="s">
        <v>368</v>
      </c>
      <c r="J110" s="231" t="s">
        <v>95</v>
      </c>
      <c r="K110" s="231" t="s">
        <v>499</v>
      </c>
      <c r="L110" s="232" t="s">
        <v>455</v>
      </c>
      <c r="M110" s="232">
        <v>46146.620138888888</v>
      </c>
      <c r="N110" s="231" t="s">
        <v>408</v>
      </c>
      <c r="O110" s="158" t="s">
        <v>204</v>
      </c>
      <c r="P110" s="92"/>
      <c r="Q110" s="146" t="s">
        <v>204</v>
      </c>
      <c r="R110" s="92"/>
      <c r="S110" s="146" t="s">
        <v>204</v>
      </c>
      <c r="T110" s="92"/>
      <c r="U110" s="146" t="s">
        <v>204</v>
      </c>
      <c r="V110" s="92"/>
      <c r="W110" s="146" t="s">
        <v>204</v>
      </c>
      <c r="X110" s="92"/>
      <c r="Y110" s="146" t="s">
        <v>204</v>
      </c>
      <c r="Z110" s="92"/>
      <c r="AA110" s="146" t="s">
        <v>204</v>
      </c>
      <c r="AB110" s="92"/>
      <c r="AC110" s="146" t="s">
        <v>204</v>
      </c>
      <c r="AD110" s="92"/>
      <c r="AE110" s="146" t="s">
        <v>204</v>
      </c>
      <c r="AF110" s="187" t="str">
        <f t="shared" si="7"/>
        <v>C</v>
      </c>
      <c r="AG110" s="54" t="str">
        <f t="shared" si="10"/>
        <v>UTILIZOU O PDA CORRETAMENTE</v>
      </c>
      <c r="AH110" s="146" t="s">
        <v>204</v>
      </c>
      <c r="AI110" s="210" t="s">
        <v>6</v>
      </c>
      <c r="AJ110" s="97" t="str">
        <f t="shared" si="8"/>
        <v>GUARULHOS</v>
      </c>
      <c r="AK110" s="213" t="s">
        <v>39</v>
      </c>
      <c r="AL110" s="53">
        <v>-2.18E-2</v>
      </c>
      <c r="AM110" s="53" t="str" cm="1">
        <f t="array" ref="AM110">IF(OR(O110&lt;&gt;"", SUMPRODUCT(($AN$2:$AN$5000=AN110)*($AL$2:$AL$5000&lt;=AL110)) &lt;= (COUNTIF($AN$2:$AN$5000,AN110)*0.5)), "SORTEADO", "-")</f>
        <v>SORTEADO</v>
      </c>
      <c r="AN110" s="232" t="s">
        <v>455</v>
      </c>
    </row>
    <row r="111" spans="1:40" ht="30" customHeight="1" x14ac:dyDescent="0.2">
      <c r="A111" s="231" t="s">
        <v>197</v>
      </c>
      <c r="B111" s="231">
        <v>2614162798</v>
      </c>
      <c r="C111" s="231" t="s">
        <v>93</v>
      </c>
      <c r="D111" s="231" t="s">
        <v>76</v>
      </c>
      <c r="E111" s="231" t="s">
        <v>198</v>
      </c>
      <c r="F111" s="231" t="s">
        <v>501</v>
      </c>
      <c r="G111" s="231">
        <v>129</v>
      </c>
      <c r="H111" s="231" t="s">
        <v>502</v>
      </c>
      <c r="I111" s="231" t="s">
        <v>503</v>
      </c>
      <c r="J111" s="231" t="s">
        <v>93</v>
      </c>
      <c r="K111" s="231" t="s">
        <v>504</v>
      </c>
      <c r="L111" s="232" t="s">
        <v>455</v>
      </c>
      <c r="M111" s="232">
        <v>46146.663888888892</v>
      </c>
      <c r="N111" s="231" t="s">
        <v>408</v>
      </c>
      <c r="O111" s="158" t="s">
        <v>204</v>
      </c>
      <c r="P111" s="92"/>
      <c r="Q111" s="146" t="s">
        <v>204</v>
      </c>
      <c r="R111" s="92"/>
      <c r="S111" s="146" t="s">
        <v>61</v>
      </c>
      <c r="T111" s="92"/>
      <c r="U111" s="146" t="s">
        <v>61</v>
      </c>
      <c r="V111" s="92"/>
      <c r="W111" s="146" t="s">
        <v>61</v>
      </c>
      <c r="X111" s="92"/>
      <c r="Y111" s="146" t="s">
        <v>61</v>
      </c>
      <c r="Z111" s="92"/>
      <c r="AA111" s="146" t="s">
        <v>61</v>
      </c>
      <c r="AB111" s="92"/>
      <c r="AC111" s="146" t="s">
        <v>204</v>
      </c>
      <c r="AD111" s="92"/>
      <c r="AE111" s="146" t="s">
        <v>204</v>
      </c>
      <c r="AF111" s="187" t="str">
        <f t="shared" si="7"/>
        <v>C</v>
      </c>
      <c r="AG111" s="54" t="str">
        <f t="shared" si="10"/>
        <v>UTILIZOU O PDA CORRETAMENTE</v>
      </c>
      <c r="AH111" s="146" t="s">
        <v>204</v>
      </c>
      <c r="AI111" s="210" t="s">
        <v>6</v>
      </c>
      <c r="AJ111" s="97" t="str">
        <f t="shared" si="8"/>
        <v>GUARULHOS</v>
      </c>
      <c r="AK111" s="213" t="s">
        <v>39</v>
      </c>
      <c r="AL111" s="53">
        <v>-2.1999999999999999E-2</v>
      </c>
      <c r="AM111" s="53" t="str" cm="1">
        <f t="array" ref="AM111">IF(OR(O111&lt;&gt;"", SUMPRODUCT(($AN$2:$AN$5000=AN111)*($AL$2:$AL$5000&lt;=AL111)) &lt;= (COUNTIF($AN$2:$AN$5000,AN111)*0.5)), "SORTEADO", "-")</f>
        <v>SORTEADO</v>
      </c>
      <c r="AN111" s="232" t="s">
        <v>455</v>
      </c>
    </row>
    <row r="112" spans="1:40" ht="30" customHeight="1" x14ac:dyDescent="0.2">
      <c r="A112" s="231" t="s">
        <v>197</v>
      </c>
      <c r="B112" s="231">
        <v>2614162824</v>
      </c>
      <c r="C112" s="231" t="s">
        <v>95</v>
      </c>
      <c r="D112" s="231" t="s">
        <v>76</v>
      </c>
      <c r="E112" s="231" t="s">
        <v>198</v>
      </c>
      <c r="F112" s="231" t="s">
        <v>501</v>
      </c>
      <c r="G112" s="231">
        <v>129</v>
      </c>
      <c r="H112" s="231" t="s">
        <v>505</v>
      </c>
      <c r="I112" s="231" t="s">
        <v>503</v>
      </c>
      <c r="J112" s="231" t="s">
        <v>95</v>
      </c>
      <c r="K112" s="231" t="s">
        <v>506</v>
      </c>
      <c r="L112" s="232" t="s">
        <v>455</v>
      </c>
      <c r="M112" s="232">
        <v>46146.665277777778</v>
      </c>
      <c r="N112" s="231" t="s">
        <v>408</v>
      </c>
      <c r="O112" s="158" t="s">
        <v>204</v>
      </c>
      <c r="P112" s="92"/>
      <c r="Q112" s="146" t="s">
        <v>204</v>
      </c>
      <c r="R112" s="92"/>
      <c r="S112" s="146" t="s">
        <v>61</v>
      </c>
      <c r="T112" s="92"/>
      <c r="U112" s="146" t="s">
        <v>61</v>
      </c>
      <c r="V112" s="92"/>
      <c r="W112" s="146" t="s">
        <v>61</v>
      </c>
      <c r="X112" s="92"/>
      <c r="Y112" s="146" t="s">
        <v>61</v>
      </c>
      <c r="Z112" s="92"/>
      <c r="AA112" s="146" t="s">
        <v>61</v>
      </c>
      <c r="AB112" s="92"/>
      <c r="AC112" s="146" t="s">
        <v>204</v>
      </c>
      <c r="AD112" s="92"/>
      <c r="AE112" s="146" t="s">
        <v>204</v>
      </c>
      <c r="AF112" s="187" t="str">
        <f t="shared" si="7"/>
        <v>C</v>
      </c>
      <c r="AG112" s="54" t="str">
        <f t="shared" si="10"/>
        <v>UTILIZOU O PDA CORRETAMENTE</v>
      </c>
      <c r="AH112" s="146" t="s">
        <v>204</v>
      </c>
      <c r="AI112" s="210" t="s">
        <v>6</v>
      </c>
      <c r="AJ112" s="97" t="str">
        <f t="shared" si="8"/>
        <v>GUARULHOS</v>
      </c>
      <c r="AK112" s="213" t="s">
        <v>39</v>
      </c>
      <c r="AL112" s="53">
        <v>-2.2200000000000001E-2</v>
      </c>
      <c r="AM112" s="53" t="str" cm="1">
        <f t="array" ref="AM112">IF(OR(O112&lt;&gt;"", SUMPRODUCT(($AN$2:$AN$5000=AN112)*($AL$2:$AL$5000&lt;=AL112)) &lt;= (COUNTIF($AN$2:$AN$5000,AN112)*0.5)), "SORTEADO", "-")</f>
        <v>SORTEADO</v>
      </c>
      <c r="AN112" s="232" t="s">
        <v>455</v>
      </c>
    </row>
    <row r="113" spans="1:40" ht="30" hidden="1" customHeight="1" x14ac:dyDescent="0.2">
      <c r="A113" s="231" t="s">
        <v>197</v>
      </c>
      <c r="B113" s="231">
        <v>2614318855</v>
      </c>
      <c r="C113" s="231" t="s">
        <v>86</v>
      </c>
      <c r="D113" s="231" t="s">
        <v>79</v>
      </c>
      <c r="E113" s="231" t="s">
        <v>198</v>
      </c>
      <c r="F113" s="231" t="s">
        <v>507</v>
      </c>
      <c r="G113" s="231">
        <v>14</v>
      </c>
      <c r="H113" s="231" t="s">
        <v>508</v>
      </c>
      <c r="I113" s="231" t="s">
        <v>509</v>
      </c>
      <c r="J113" s="231" t="s">
        <v>510</v>
      </c>
      <c r="K113" s="238" t="s">
        <v>511</v>
      </c>
      <c r="L113" s="232" t="s">
        <v>455</v>
      </c>
      <c r="M113" s="232">
        <v>46146.643055555556</v>
      </c>
      <c r="N113" s="231" t="s">
        <v>317</v>
      </c>
      <c r="O113" s="158"/>
      <c r="P113" s="92"/>
      <c r="Q113" s="146"/>
      <c r="R113" s="92"/>
      <c r="S113" s="146"/>
      <c r="T113" s="92"/>
      <c r="U113" s="146"/>
      <c r="V113" s="92"/>
      <c r="W113" s="146"/>
      <c r="X113" s="92"/>
      <c r="Y113" s="146"/>
      <c r="Z113" s="92"/>
      <c r="AA113" s="146"/>
      <c r="AB113" s="92"/>
      <c r="AC113" s="146"/>
      <c r="AD113" s="92"/>
      <c r="AE113" s="146"/>
      <c r="AF113" s="187" t="str">
        <f t="shared" si="7"/>
        <v/>
      </c>
      <c r="AG113" s="54" t="b">
        <f t="shared" si="10"/>
        <v>0</v>
      </c>
      <c r="AH113" s="146"/>
      <c r="AI113" s="210" t="s">
        <v>6</v>
      </c>
      <c r="AJ113" s="97" t="str">
        <f t="shared" si="8"/>
        <v>GUARULHOS</v>
      </c>
      <c r="AK113" s="213" t="s">
        <v>39</v>
      </c>
      <c r="AL113" s="53">
        <v>0.12778221855625616</v>
      </c>
      <c r="AM113" s="53" t="str" cm="1">
        <f t="array" ref="AM113">IF(OR(O113&lt;&gt;"", SUMPRODUCT(($AN$2:$AN$5000=AN113)*($AL$2:$AL$5000&lt;=AL113)) &lt;= (COUNTIF($AN$2:$AN$5000,AN113)*0.5)), "SORTEADO", "-")</f>
        <v>-</v>
      </c>
      <c r="AN113" s="232" t="s">
        <v>455</v>
      </c>
    </row>
    <row r="114" spans="1:40" ht="30" hidden="1" customHeight="1" x14ac:dyDescent="0.2">
      <c r="A114" s="231" t="s">
        <v>197</v>
      </c>
      <c r="B114" s="231">
        <v>2689610340</v>
      </c>
      <c r="C114" s="231" t="s">
        <v>98</v>
      </c>
      <c r="D114" s="231" t="s">
        <v>80</v>
      </c>
      <c r="E114" s="231" t="s">
        <v>198</v>
      </c>
      <c r="F114" s="231" t="s">
        <v>512</v>
      </c>
      <c r="G114" s="231">
        <v>25</v>
      </c>
      <c r="H114" s="231" t="s">
        <v>213</v>
      </c>
      <c r="I114" s="231" t="s">
        <v>513</v>
      </c>
      <c r="J114" s="231" t="s">
        <v>297</v>
      </c>
      <c r="K114" s="231" t="s">
        <v>514</v>
      </c>
      <c r="L114" s="232" t="s">
        <v>455</v>
      </c>
      <c r="M114" s="232">
        <v>46146.388194444444</v>
      </c>
      <c r="N114" s="231" t="s">
        <v>241</v>
      </c>
      <c r="O114" s="158"/>
      <c r="P114" s="92"/>
      <c r="Q114" s="146"/>
      <c r="R114" s="92"/>
      <c r="S114" s="146"/>
      <c r="T114" s="92"/>
      <c r="U114" s="146"/>
      <c r="V114" s="92"/>
      <c r="W114" s="146"/>
      <c r="X114" s="92"/>
      <c r="Y114" s="146"/>
      <c r="Z114" s="92"/>
      <c r="AA114" s="146"/>
      <c r="AB114" s="92"/>
      <c r="AC114" s="146"/>
      <c r="AD114" s="92"/>
      <c r="AE114" s="146"/>
      <c r="AF114" s="187" t="str">
        <f t="shared" si="7"/>
        <v/>
      </c>
      <c r="AG114" s="54" t="b">
        <f t="shared" si="10"/>
        <v>0</v>
      </c>
      <c r="AH114" s="146"/>
      <c r="AI114" s="210" t="s">
        <v>6</v>
      </c>
      <c r="AJ114" s="97" t="str">
        <f t="shared" si="8"/>
        <v>GUARULHOS</v>
      </c>
      <c r="AK114" s="213" t="s">
        <v>39</v>
      </c>
      <c r="AL114" s="53">
        <v>0.66032342522873111</v>
      </c>
      <c r="AM114" s="53" t="str" cm="1">
        <f t="array" ref="AM114">IF(OR(O114&lt;&gt;"", SUMPRODUCT(($AN$2:$AN$5000=AN114)*($AL$2:$AL$5000&lt;=AL114)) &lt;= (COUNTIF($AN$2:$AN$5000,AN114)*0.5)), "SORTEADO", "-")</f>
        <v>-</v>
      </c>
      <c r="AN114" s="232" t="s">
        <v>455</v>
      </c>
    </row>
    <row r="115" spans="1:40" ht="30" hidden="1" customHeight="1" x14ac:dyDescent="0.2">
      <c r="A115" s="231" t="s">
        <v>197</v>
      </c>
      <c r="B115" s="231">
        <v>2689630523</v>
      </c>
      <c r="C115" s="231" t="s">
        <v>106</v>
      </c>
      <c r="D115" s="231" t="s">
        <v>80</v>
      </c>
      <c r="E115" s="231" t="s">
        <v>198</v>
      </c>
      <c r="F115" s="231" t="s">
        <v>515</v>
      </c>
      <c r="G115" s="231">
        <v>185</v>
      </c>
      <c r="H115" s="231" t="s">
        <v>516</v>
      </c>
      <c r="I115" s="231" t="s">
        <v>269</v>
      </c>
      <c r="J115" s="231" t="s">
        <v>259</v>
      </c>
      <c r="K115" s="231"/>
      <c r="L115" s="232" t="s">
        <v>455</v>
      </c>
      <c r="M115" s="232">
        <v>46146.646527777775</v>
      </c>
      <c r="N115" s="231" t="s">
        <v>381</v>
      </c>
      <c r="O115" s="158"/>
      <c r="P115" s="92"/>
      <c r="Q115" s="146"/>
      <c r="R115" s="92"/>
      <c r="S115" s="146"/>
      <c r="T115" s="92"/>
      <c r="U115" s="146"/>
      <c r="V115" s="92"/>
      <c r="W115" s="146"/>
      <c r="X115" s="92"/>
      <c r="Y115" s="146"/>
      <c r="Z115" s="92"/>
      <c r="AA115" s="146"/>
      <c r="AB115" s="92"/>
      <c r="AC115" s="146"/>
      <c r="AD115" s="92"/>
      <c r="AE115" s="146"/>
      <c r="AF115" s="187" t="str">
        <f t="shared" si="7"/>
        <v/>
      </c>
      <c r="AG115" s="54" t="b">
        <f t="shared" si="10"/>
        <v>0</v>
      </c>
      <c r="AH115" s="146"/>
      <c r="AI115" s="210" t="s">
        <v>6</v>
      </c>
      <c r="AJ115" s="97" t="str">
        <f t="shared" si="8"/>
        <v>GUARULHOS</v>
      </c>
      <c r="AK115" s="213" t="s">
        <v>39</v>
      </c>
      <c r="AL115" s="53">
        <v>0.61570199388198976</v>
      </c>
      <c r="AM115" s="53" t="str" cm="1">
        <f t="array" ref="AM115">IF(OR(O115&lt;&gt;"", SUMPRODUCT(($AN$2:$AN$5000=AN115)*($AL$2:$AL$5000&lt;=AL115)) &lt;= (COUNTIF($AN$2:$AN$5000,AN115)*0.5)), "SORTEADO", "-")</f>
        <v>-</v>
      </c>
      <c r="AN115" s="232" t="s">
        <v>455</v>
      </c>
    </row>
    <row r="116" spans="1:40" ht="30" hidden="1" customHeight="1" x14ac:dyDescent="0.2">
      <c r="A116" s="231" t="s">
        <v>197</v>
      </c>
      <c r="B116" s="231">
        <v>2614395552</v>
      </c>
      <c r="C116" s="231" t="s">
        <v>89</v>
      </c>
      <c r="D116" s="231" t="s">
        <v>77</v>
      </c>
      <c r="E116" s="231" t="s">
        <v>198</v>
      </c>
      <c r="F116" s="231" t="s">
        <v>517</v>
      </c>
      <c r="G116" s="231">
        <v>216</v>
      </c>
      <c r="H116" s="231" t="s">
        <v>213</v>
      </c>
      <c r="I116" s="231" t="s">
        <v>480</v>
      </c>
      <c r="J116" s="231" t="s">
        <v>346</v>
      </c>
      <c r="K116" s="231" t="s">
        <v>518</v>
      </c>
      <c r="L116" s="232" t="s">
        <v>455</v>
      </c>
      <c r="M116" s="232">
        <v>46146.586805555555</v>
      </c>
      <c r="N116" s="231" t="s">
        <v>317</v>
      </c>
      <c r="O116" s="158"/>
      <c r="P116" s="92"/>
      <c r="Q116" s="146"/>
      <c r="R116" s="92"/>
      <c r="S116" s="146"/>
      <c r="T116" s="92"/>
      <c r="U116" s="146"/>
      <c r="V116" s="92"/>
      <c r="W116" s="146"/>
      <c r="X116" s="92"/>
      <c r="Y116" s="146"/>
      <c r="Z116" s="92"/>
      <c r="AA116" s="146"/>
      <c r="AB116" s="92"/>
      <c r="AC116" s="146"/>
      <c r="AD116" s="92"/>
      <c r="AE116" s="146"/>
      <c r="AF116" s="187" t="str">
        <f t="shared" si="7"/>
        <v/>
      </c>
      <c r="AG116" s="54" t="b">
        <f t="shared" si="10"/>
        <v>0</v>
      </c>
      <c r="AH116" s="146"/>
      <c r="AI116" s="210" t="s">
        <v>6</v>
      </c>
      <c r="AJ116" s="97" t="str">
        <f t="shared" si="8"/>
        <v>GUARULHOS</v>
      </c>
      <c r="AK116" s="213" t="s">
        <v>39</v>
      </c>
      <c r="AL116" s="53">
        <v>0.43207440983626233</v>
      </c>
      <c r="AM116" s="53" t="str" cm="1">
        <f t="array" ref="AM116">IF(OR(O116&lt;&gt;"", SUMPRODUCT(($AN$2:$AN$5000=AN116)*($AL$2:$AL$5000&lt;=AL116)) &lt;= (COUNTIF($AN$2:$AN$5000,AN116)*0.5)), "SORTEADO", "-")</f>
        <v>-</v>
      </c>
      <c r="AN116" s="232" t="s">
        <v>455</v>
      </c>
    </row>
    <row r="117" spans="1:40" ht="30" hidden="1" customHeight="1" x14ac:dyDescent="0.2">
      <c r="A117" s="231" t="s">
        <v>197</v>
      </c>
      <c r="B117" s="231">
        <v>2614312644</v>
      </c>
      <c r="C117" s="231" t="s">
        <v>98</v>
      </c>
      <c r="D117" s="231" t="s">
        <v>80</v>
      </c>
      <c r="E117" s="231" t="s">
        <v>198</v>
      </c>
      <c r="F117" s="231" t="s">
        <v>517</v>
      </c>
      <c r="G117" s="231">
        <v>216</v>
      </c>
      <c r="H117" s="231"/>
      <c r="I117" s="231" t="s">
        <v>480</v>
      </c>
      <c r="J117" s="231" t="s">
        <v>297</v>
      </c>
      <c r="K117" s="238" t="s">
        <v>519</v>
      </c>
      <c r="L117" s="232" t="s">
        <v>455</v>
      </c>
      <c r="M117" s="232">
        <v>46146.544444444444</v>
      </c>
      <c r="N117" s="231" t="s">
        <v>317</v>
      </c>
      <c r="O117" s="158"/>
      <c r="P117" s="92"/>
      <c r="Q117" s="146"/>
      <c r="R117" s="92"/>
      <c r="S117" s="146"/>
      <c r="T117" s="92"/>
      <c r="U117" s="146"/>
      <c r="V117" s="92"/>
      <c r="W117" s="146"/>
      <c r="X117" s="92"/>
      <c r="Y117" s="146"/>
      <c r="Z117" s="92"/>
      <c r="AA117" s="146"/>
      <c r="AB117" s="92"/>
      <c r="AC117" s="146"/>
      <c r="AD117" s="92"/>
      <c r="AE117" s="146"/>
      <c r="AF117" s="187" t="str">
        <f t="shared" si="7"/>
        <v/>
      </c>
      <c r="AG117" s="54" t="b">
        <f t="shared" si="10"/>
        <v>0</v>
      </c>
      <c r="AH117" s="146"/>
      <c r="AI117" s="210" t="s">
        <v>6</v>
      </c>
      <c r="AJ117" s="97" t="str">
        <f t="shared" si="8"/>
        <v>GUARULHOS</v>
      </c>
      <c r="AK117" s="213" t="s">
        <v>39</v>
      </c>
      <c r="AL117" s="53">
        <v>0.15136713568490423</v>
      </c>
      <c r="AM117" s="53" t="str" cm="1">
        <f t="array" ref="AM117">IF(OR(O117&lt;&gt;"", SUMPRODUCT(($AN$2:$AN$5000=AN117)*($AL$2:$AL$5000&lt;=AL117)) &lt;= (COUNTIF($AN$2:$AN$5000,AN117)*0.5)), "SORTEADO", "-")</f>
        <v>-</v>
      </c>
      <c r="AN117" s="232" t="s">
        <v>455</v>
      </c>
    </row>
    <row r="118" spans="1:40" ht="30" hidden="1" customHeight="1" x14ac:dyDescent="0.2">
      <c r="A118" s="231" t="s">
        <v>197</v>
      </c>
      <c r="B118" s="231">
        <v>2689630457</v>
      </c>
      <c r="C118" s="231" t="s">
        <v>88</v>
      </c>
      <c r="D118" s="231" t="s">
        <v>77</v>
      </c>
      <c r="E118" s="231" t="s">
        <v>198</v>
      </c>
      <c r="F118" s="231" t="s">
        <v>520</v>
      </c>
      <c r="G118" s="231">
        <v>176</v>
      </c>
      <c r="H118" s="231" t="s">
        <v>235</v>
      </c>
      <c r="I118" s="231" t="s">
        <v>521</v>
      </c>
      <c r="J118" s="231" t="s">
        <v>401</v>
      </c>
      <c r="K118" s="231" t="s">
        <v>522</v>
      </c>
      <c r="L118" s="232" t="s">
        <v>455</v>
      </c>
      <c r="M118" s="232">
        <v>46146.595138888886</v>
      </c>
      <c r="N118" s="231" t="s">
        <v>241</v>
      </c>
      <c r="O118" s="158"/>
      <c r="P118" s="92"/>
      <c r="Q118" s="146"/>
      <c r="R118" s="92"/>
      <c r="S118" s="146"/>
      <c r="T118" s="92"/>
      <c r="U118" s="146"/>
      <c r="V118" s="92"/>
      <c r="W118" s="146"/>
      <c r="X118" s="92"/>
      <c r="Y118" s="146"/>
      <c r="Z118" s="92"/>
      <c r="AA118" s="146"/>
      <c r="AB118" s="92"/>
      <c r="AC118" s="146"/>
      <c r="AD118" s="92"/>
      <c r="AE118" s="146"/>
      <c r="AF118" s="187" t="str">
        <f t="shared" si="7"/>
        <v/>
      </c>
      <c r="AG118" s="54" t="b">
        <f t="shared" si="10"/>
        <v>0</v>
      </c>
      <c r="AH118" s="146"/>
      <c r="AI118" s="210" t="s">
        <v>6</v>
      </c>
      <c r="AJ118" s="97" t="str">
        <f t="shared" si="8"/>
        <v>GUARULHOS</v>
      </c>
      <c r="AK118" s="213" t="s">
        <v>39</v>
      </c>
      <c r="AL118" s="53">
        <v>0.93772035272582954</v>
      </c>
      <c r="AM118" s="53" t="str" cm="1">
        <f t="array" ref="AM118">IF(OR(O118&lt;&gt;"", SUMPRODUCT(($AN$2:$AN$5000=AN118)*($AL$2:$AL$5000&lt;=AL118)) &lt;= (COUNTIF($AN$2:$AN$5000,AN118)*0.5)), "SORTEADO", "-")</f>
        <v>-</v>
      </c>
      <c r="AN118" s="232" t="s">
        <v>455</v>
      </c>
    </row>
    <row r="119" spans="1:40" ht="30" customHeight="1" x14ac:dyDescent="0.2">
      <c r="A119" s="231" t="s">
        <v>197</v>
      </c>
      <c r="B119" s="231">
        <v>2614169265</v>
      </c>
      <c r="C119" s="231" t="s">
        <v>523</v>
      </c>
      <c r="D119" s="231" t="s">
        <v>79</v>
      </c>
      <c r="E119" s="231" t="s">
        <v>198</v>
      </c>
      <c r="F119" s="231" t="s">
        <v>343</v>
      </c>
      <c r="G119" s="231">
        <v>438</v>
      </c>
      <c r="H119" s="231" t="s">
        <v>206</v>
      </c>
      <c r="I119" s="231" t="s">
        <v>345</v>
      </c>
      <c r="J119" s="231" t="s">
        <v>524</v>
      </c>
      <c r="K119" s="231"/>
      <c r="L119" s="232" t="s">
        <v>525</v>
      </c>
      <c r="M119" s="232">
        <v>46177.364583333336</v>
      </c>
      <c r="N119" s="231" t="s">
        <v>348</v>
      </c>
      <c r="O119" s="158" t="s">
        <v>204</v>
      </c>
      <c r="P119" s="92"/>
      <c r="Q119" s="146" t="s">
        <v>204</v>
      </c>
      <c r="R119" s="92"/>
      <c r="S119" s="146" t="s">
        <v>61</v>
      </c>
      <c r="T119" s="92"/>
      <c r="U119" s="146" t="s">
        <v>61</v>
      </c>
      <c r="V119" s="92"/>
      <c r="W119" s="146" t="s">
        <v>61</v>
      </c>
      <c r="X119" s="92"/>
      <c r="Y119" s="146" t="s">
        <v>61</v>
      </c>
      <c r="Z119" s="92"/>
      <c r="AA119" s="146" t="s">
        <v>61</v>
      </c>
      <c r="AB119" s="92"/>
      <c r="AC119" s="146" t="s">
        <v>204</v>
      </c>
      <c r="AD119" s="92"/>
      <c r="AE119" s="146" t="s">
        <v>204</v>
      </c>
      <c r="AF119" s="187" t="str">
        <f t="shared" si="7"/>
        <v>C</v>
      </c>
      <c r="AG119" s="54" t="str">
        <f t="shared" si="10"/>
        <v>UTILIZOU O PDA CORRETAMENTE</v>
      </c>
      <c r="AH119" s="146" t="s">
        <v>204</v>
      </c>
      <c r="AI119" s="210" t="s">
        <v>6</v>
      </c>
      <c r="AJ119" s="97" t="str">
        <f t="shared" si="8"/>
        <v>GUARULHOS</v>
      </c>
      <c r="AK119" s="213" t="s">
        <v>39</v>
      </c>
      <c r="AL119" s="53">
        <v>-2.3599999999999999E-2</v>
      </c>
      <c r="AM119" s="53" t="str" cm="1">
        <f t="array" ref="AM119">IF(OR(O119&lt;&gt;"", SUMPRODUCT(($AN$2:$AN$5000=AN119)*($AL$2:$AL$5000&lt;=AL119)) &lt;= (COUNTIF($AN$2:$AN$5000,AN119)*0.5)), "SORTEADO", "-")</f>
        <v>SORTEADO</v>
      </c>
      <c r="AN119" s="232" t="s">
        <v>525</v>
      </c>
    </row>
    <row r="120" spans="1:40" ht="30" hidden="1" customHeight="1" x14ac:dyDescent="0.2">
      <c r="A120" s="231" t="s">
        <v>197</v>
      </c>
      <c r="B120" s="231">
        <v>2614395879</v>
      </c>
      <c r="C120" s="231" t="s">
        <v>102</v>
      </c>
      <c r="D120" s="231" t="s">
        <v>80</v>
      </c>
      <c r="E120" s="231" t="s">
        <v>198</v>
      </c>
      <c r="F120" s="231" t="s">
        <v>526</v>
      </c>
      <c r="G120" s="231">
        <v>167</v>
      </c>
      <c r="H120" s="231" t="s">
        <v>527</v>
      </c>
      <c r="I120" s="231" t="s">
        <v>331</v>
      </c>
      <c r="J120" s="231" t="s">
        <v>259</v>
      </c>
      <c r="K120" s="231" t="s">
        <v>528</v>
      </c>
      <c r="L120" s="232" t="s">
        <v>525</v>
      </c>
      <c r="M120" s="232">
        <v>46177.490972222222</v>
      </c>
      <c r="N120" s="231" t="s">
        <v>348</v>
      </c>
      <c r="O120" s="158"/>
      <c r="P120" s="92"/>
      <c r="Q120" s="146"/>
      <c r="R120" s="92"/>
      <c r="S120" s="146"/>
      <c r="T120" s="92"/>
      <c r="U120" s="146"/>
      <c r="V120" s="92"/>
      <c r="W120" s="146"/>
      <c r="X120" s="92"/>
      <c r="Y120" s="146"/>
      <c r="Z120" s="92"/>
      <c r="AA120" s="146"/>
      <c r="AB120" s="92"/>
      <c r="AC120" s="146"/>
      <c r="AD120" s="92"/>
      <c r="AE120" s="146"/>
      <c r="AF120" s="187" t="str">
        <f t="shared" si="7"/>
        <v/>
      </c>
      <c r="AG120" s="54" t="b">
        <f t="shared" si="10"/>
        <v>0</v>
      </c>
      <c r="AH120" s="146"/>
      <c r="AI120" s="210" t="s">
        <v>6</v>
      </c>
      <c r="AJ120" s="97" t="str">
        <f t="shared" si="8"/>
        <v>GUARULHOS</v>
      </c>
      <c r="AK120" s="213" t="s">
        <v>39</v>
      </c>
      <c r="AL120" s="53">
        <v>0.3854565861423439</v>
      </c>
      <c r="AM120" s="53" t="str" cm="1">
        <f t="array" ref="AM120">IF(OR(O120&lt;&gt;"", SUMPRODUCT(($AN$2:$AN$5000=AN120)*($AL$2:$AL$5000&lt;=AL120)) &lt;= (COUNTIF($AN$2:$AN$5000,AN120)*0.5)), "SORTEADO", "-")</f>
        <v>-</v>
      </c>
      <c r="AN120" s="232" t="s">
        <v>525</v>
      </c>
    </row>
    <row r="121" spans="1:40" ht="30" hidden="1" customHeight="1" x14ac:dyDescent="0.2">
      <c r="A121" s="231" t="s">
        <v>197</v>
      </c>
      <c r="B121" s="231">
        <v>2689639070</v>
      </c>
      <c r="C121" s="231" t="s">
        <v>102</v>
      </c>
      <c r="D121" s="231" t="s">
        <v>80</v>
      </c>
      <c r="E121" s="231" t="s">
        <v>198</v>
      </c>
      <c r="F121" s="231" t="s">
        <v>529</v>
      </c>
      <c r="G121" s="231">
        <v>263</v>
      </c>
      <c r="H121" s="231" t="s">
        <v>530</v>
      </c>
      <c r="I121" s="231" t="s">
        <v>531</v>
      </c>
      <c r="J121" s="231" t="s">
        <v>270</v>
      </c>
      <c r="K121" s="231" t="s">
        <v>532</v>
      </c>
      <c r="L121" s="232" t="s">
        <v>525</v>
      </c>
      <c r="M121" s="232">
        <v>46177.491666666669</v>
      </c>
      <c r="N121" s="231" t="s">
        <v>432</v>
      </c>
      <c r="O121" s="158"/>
      <c r="P121" s="92"/>
      <c r="Q121" s="146"/>
      <c r="R121" s="92"/>
      <c r="S121" s="146"/>
      <c r="T121" s="92"/>
      <c r="U121" s="146"/>
      <c r="V121" s="92"/>
      <c r="W121" s="146"/>
      <c r="X121" s="92"/>
      <c r="Y121" s="146"/>
      <c r="Z121" s="92"/>
      <c r="AA121" s="146"/>
      <c r="AB121" s="92"/>
      <c r="AC121" s="146"/>
      <c r="AD121" s="92"/>
      <c r="AE121" s="146"/>
      <c r="AF121" s="187" t="str">
        <f t="shared" si="7"/>
        <v/>
      </c>
      <c r="AG121" s="54" t="b">
        <f t="shared" si="10"/>
        <v>0</v>
      </c>
      <c r="AH121" s="146"/>
      <c r="AI121" s="210" t="s">
        <v>6</v>
      </c>
      <c r="AJ121" s="97" t="str">
        <f t="shared" si="8"/>
        <v>GUARULHOS</v>
      </c>
      <c r="AK121" s="213" t="s">
        <v>39</v>
      </c>
      <c r="AL121" s="53">
        <v>0.93008135391270241</v>
      </c>
      <c r="AM121" s="53" t="str" cm="1">
        <f t="array" ref="AM121">IF(OR(O121&lt;&gt;"", SUMPRODUCT(($AN$2:$AN$5000=AN121)*($AL$2:$AL$5000&lt;=AL121)) &lt;= (COUNTIF($AN$2:$AN$5000,AN121)*0.5)), "SORTEADO", "-")</f>
        <v>-</v>
      </c>
      <c r="AN121" s="232" t="s">
        <v>525</v>
      </c>
    </row>
    <row r="122" spans="1:40" ht="30" customHeight="1" x14ac:dyDescent="0.2">
      <c r="A122" s="231" t="s">
        <v>197</v>
      </c>
      <c r="B122" s="231">
        <v>2613751438</v>
      </c>
      <c r="C122" s="231" t="s">
        <v>91</v>
      </c>
      <c r="D122" s="231" t="s">
        <v>76</v>
      </c>
      <c r="E122" s="231" t="s">
        <v>198</v>
      </c>
      <c r="F122" s="231" t="s">
        <v>533</v>
      </c>
      <c r="G122" s="231">
        <v>298</v>
      </c>
      <c r="H122" s="231" t="s">
        <v>534</v>
      </c>
      <c r="I122" s="231" t="s">
        <v>214</v>
      </c>
      <c r="J122" s="231" t="s">
        <v>448</v>
      </c>
      <c r="K122" s="238" t="s">
        <v>535</v>
      </c>
      <c r="L122" s="232" t="s">
        <v>525</v>
      </c>
      <c r="M122" s="232">
        <v>46177.584027777775</v>
      </c>
      <c r="N122" s="231" t="s">
        <v>215</v>
      </c>
      <c r="O122" s="158" t="s">
        <v>204</v>
      </c>
      <c r="P122" s="92"/>
      <c r="Q122" s="146" t="s">
        <v>204</v>
      </c>
      <c r="R122" s="92"/>
      <c r="S122" s="146" t="s">
        <v>204</v>
      </c>
      <c r="T122" s="92"/>
      <c r="U122" s="146" t="s">
        <v>328</v>
      </c>
      <c r="V122" s="92"/>
      <c r="W122" s="146" t="s">
        <v>328</v>
      </c>
      <c r="X122" s="92"/>
      <c r="Y122" s="146" t="s">
        <v>328</v>
      </c>
      <c r="Z122" s="92"/>
      <c r="AA122" s="146" t="s">
        <v>328</v>
      </c>
      <c r="AB122" s="92"/>
      <c r="AC122" s="146" t="s">
        <v>328</v>
      </c>
      <c r="AD122" s="92"/>
      <c r="AE122" s="146" t="s">
        <v>204</v>
      </c>
      <c r="AF122" s="187" t="str">
        <f t="shared" si="7"/>
        <v>NC</v>
      </c>
      <c r="AG122" s="54" t="str">
        <f t="shared" si="10"/>
        <v>UTILIZOU O PDA CORRETAMENTE. NÃO HÁ FOTOS DE TODAS AS ETAPAS</v>
      </c>
      <c r="AH122" s="146" t="s">
        <v>204</v>
      </c>
      <c r="AI122" s="210" t="s">
        <v>6</v>
      </c>
      <c r="AJ122" s="97" t="str">
        <f t="shared" si="8"/>
        <v>GUARULHOS</v>
      </c>
      <c r="AK122" s="213" t="s">
        <v>39</v>
      </c>
      <c r="AL122" s="53">
        <v>-2.4199999999999999E-2</v>
      </c>
      <c r="AM122" s="53" t="str" cm="1">
        <f t="array" ref="AM122">IF(OR(O122&lt;&gt;"", SUMPRODUCT(($AN$2:$AN$5000=AN122)*($AL$2:$AL$5000&lt;=AL122)) &lt;= (COUNTIF($AN$2:$AN$5000,AN122)*0.5)), "SORTEADO", "-")</f>
        <v>SORTEADO</v>
      </c>
      <c r="AN122" s="232" t="s">
        <v>525</v>
      </c>
    </row>
    <row r="123" spans="1:40" ht="30" hidden="1" customHeight="1" x14ac:dyDescent="0.2">
      <c r="A123" s="231" t="s">
        <v>197</v>
      </c>
      <c r="B123" s="231">
        <v>2614397494</v>
      </c>
      <c r="C123" s="231" t="s">
        <v>105</v>
      </c>
      <c r="D123" s="231" t="s">
        <v>80</v>
      </c>
      <c r="E123" s="231" t="s">
        <v>198</v>
      </c>
      <c r="F123" s="231" t="s">
        <v>536</v>
      </c>
      <c r="G123" s="231">
        <v>412</v>
      </c>
      <c r="H123" s="231" t="s">
        <v>537</v>
      </c>
      <c r="I123" s="231" t="s">
        <v>538</v>
      </c>
      <c r="J123" s="231" t="s">
        <v>226</v>
      </c>
      <c r="K123" s="231"/>
      <c r="L123" s="232" t="s">
        <v>525</v>
      </c>
      <c r="M123" s="232">
        <v>46177.53402777778</v>
      </c>
      <c r="N123" s="231" t="s">
        <v>241</v>
      </c>
      <c r="O123" s="158"/>
      <c r="P123" s="92"/>
      <c r="Q123" s="146"/>
      <c r="R123" s="92"/>
      <c r="S123" s="146"/>
      <c r="T123" s="92"/>
      <c r="U123" s="146"/>
      <c r="V123" s="92"/>
      <c r="W123" s="146"/>
      <c r="X123" s="92"/>
      <c r="Y123" s="146"/>
      <c r="Z123" s="92"/>
      <c r="AA123" s="146"/>
      <c r="AB123" s="92"/>
      <c r="AC123" s="146"/>
      <c r="AD123" s="92"/>
      <c r="AE123" s="146"/>
      <c r="AF123" s="187" t="str">
        <f t="shared" si="7"/>
        <v/>
      </c>
      <c r="AG123" s="54" t="b">
        <f t="shared" si="10"/>
        <v>0</v>
      </c>
      <c r="AH123" s="146"/>
      <c r="AI123" s="210" t="s">
        <v>6</v>
      </c>
      <c r="AJ123" s="97" t="str">
        <f t="shared" si="8"/>
        <v>GUARULHOS</v>
      </c>
      <c r="AK123" s="213" t="s">
        <v>39</v>
      </c>
      <c r="AL123" s="53">
        <v>0.80215288037653698</v>
      </c>
      <c r="AM123" s="53" t="str" cm="1">
        <f t="array" ref="AM123">IF(OR(O123&lt;&gt;"", SUMPRODUCT(($AN$2:$AN$5000=AN123)*($AL$2:$AL$5000&lt;=AL123)) &lt;= (COUNTIF($AN$2:$AN$5000,AN123)*0.5)), "SORTEADO", "-")</f>
        <v>-</v>
      </c>
      <c r="AN123" s="232" t="s">
        <v>525</v>
      </c>
    </row>
    <row r="124" spans="1:40" ht="30" customHeight="1" x14ac:dyDescent="0.2">
      <c r="A124" s="231" t="s">
        <v>197</v>
      </c>
      <c r="B124" s="231">
        <v>2613762762</v>
      </c>
      <c r="C124" s="231" t="s">
        <v>83</v>
      </c>
      <c r="D124" s="231" t="s">
        <v>76</v>
      </c>
      <c r="E124" s="231" t="s">
        <v>198</v>
      </c>
      <c r="F124" s="231" t="s">
        <v>533</v>
      </c>
      <c r="G124" s="231">
        <v>298</v>
      </c>
      <c r="H124" s="231" t="s">
        <v>459</v>
      </c>
      <c r="I124" s="231" t="s">
        <v>214</v>
      </c>
      <c r="J124" s="231" t="s">
        <v>219</v>
      </c>
      <c r="K124" s="238" t="s">
        <v>539</v>
      </c>
      <c r="L124" s="232" t="s">
        <v>455</v>
      </c>
      <c r="M124" s="232">
        <v>46146.709027777775</v>
      </c>
      <c r="N124" s="231" t="s">
        <v>215</v>
      </c>
      <c r="O124" s="158" t="s">
        <v>204</v>
      </c>
      <c r="P124" s="92"/>
      <c r="Q124" s="146" t="s">
        <v>204</v>
      </c>
      <c r="R124" s="92"/>
      <c r="S124" s="146" t="s">
        <v>204</v>
      </c>
      <c r="T124" s="92"/>
      <c r="U124" s="146" t="s">
        <v>328</v>
      </c>
      <c r="V124" s="92"/>
      <c r="W124" s="146" t="s">
        <v>328</v>
      </c>
      <c r="X124" s="92"/>
      <c r="Y124" s="146" t="s">
        <v>328</v>
      </c>
      <c r="Z124" s="92"/>
      <c r="AA124" s="146" t="s">
        <v>328</v>
      </c>
      <c r="AB124" s="92"/>
      <c r="AC124" s="146" t="s">
        <v>328</v>
      </c>
      <c r="AD124" s="92"/>
      <c r="AE124" s="146" t="s">
        <v>204</v>
      </c>
      <c r="AF124" s="187" t="str">
        <f t="shared" si="7"/>
        <v>NC</v>
      </c>
      <c r="AG124" s="54" t="str">
        <f t="shared" si="10"/>
        <v>UTILIZOU O PDA CORRETAMENTE. NÃO HÁ FOTOS DE TODAS AS ETAPAS</v>
      </c>
      <c r="AH124" s="146" t="s">
        <v>204</v>
      </c>
      <c r="AI124" s="210" t="s">
        <v>6</v>
      </c>
      <c r="AJ124" s="97" t="str">
        <f t="shared" si="8"/>
        <v>GUARULHOS</v>
      </c>
      <c r="AK124" s="213" t="s">
        <v>39</v>
      </c>
      <c r="AL124" s="53">
        <v>-2.46E-2</v>
      </c>
      <c r="AM124" s="53" t="str" cm="1">
        <f t="array" ref="AM124">IF(OR(O124&lt;&gt;"", SUMPRODUCT(($AN$2:$AN$5000=AN124)*($AL$2:$AL$5000&lt;=AL124)) &lt;= (COUNTIF($AN$2:$AN$5000,AN124)*0.5)), "SORTEADO", "-")</f>
        <v>SORTEADO</v>
      </c>
      <c r="AN124" s="232" t="s">
        <v>455</v>
      </c>
    </row>
    <row r="125" spans="1:40" ht="30" customHeight="1" x14ac:dyDescent="0.2">
      <c r="A125" s="231" t="s">
        <v>197</v>
      </c>
      <c r="B125" s="231">
        <v>2613761609</v>
      </c>
      <c r="C125" s="231" t="s">
        <v>83</v>
      </c>
      <c r="D125" s="231" t="s">
        <v>76</v>
      </c>
      <c r="E125" s="231" t="s">
        <v>198</v>
      </c>
      <c r="F125" s="231" t="s">
        <v>533</v>
      </c>
      <c r="G125" s="231">
        <v>298</v>
      </c>
      <c r="H125" s="231" t="s">
        <v>460</v>
      </c>
      <c r="I125" s="231" t="s">
        <v>214</v>
      </c>
      <c r="J125" s="231" t="s">
        <v>219</v>
      </c>
      <c r="K125" s="238" t="s">
        <v>540</v>
      </c>
      <c r="L125" s="232" t="s">
        <v>455</v>
      </c>
      <c r="M125" s="232">
        <v>46146.709027777775</v>
      </c>
      <c r="N125" s="231" t="s">
        <v>215</v>
      </c>
      <c r="O125" s="158" t="s">
        <v>204</v>
      </c>
      <c r="P125" s="92"/>
      <c r="Q125" s="146" t="s">
        <v>204</v>
      </c>
      <c r="R125" s="92"/>
      <c r="S125" s="146" t="s">
        <v>204</v>
      </c>
      <c r="T125" s="92"/>
      <c r="U125" s="146" t="s">
        <v>328</v>
      </c>
      <c r="V125" s="92"/>
      <c r="W125" s="146" t="s">
        <v>328</v>
      </c>
      <c r="X125" s="92"/>
      <c r="Y125" s="146" t="s">
        <v>328</v>
      </c>
      <c r="Z125" s="92"/>
      <c r="AA125" s="146" t="s">
        <v>328</v>
      </c>
      <c r="AB125" s="92"/>
      <c r="AC125" s="146" t="s">
        <v>328</v>
      </c>
      <c r="AD125" s="92"/>
      <c r="AE125" s="146" t="s">
        <v>204</v>
      </c>
      <c r="AF125" s="187" t="str">
        <f t="shared" si="7"/>
        <v>NC</v>
      </c>
      <c r="AG125" s="54" t="str">
        <f t="shared" si="10"/>
        <v>UTILIZOU O PDA CORRETAMENTE. NÃO HÁ FOTOS DE TODAS AS ETAPAS</v>
      </c>
      <c r="AH125" s="146" t="s">
        <v>204</v>
      </c>
      <c r="AI125" s="210" t="s">
        <v>6</v>
      </c>
      <c r="AJ125" s="97" t="str">
        <f t="shared" si="8"/>
        <v>GUARULHOS</v>
      </c>
      <c r="AK125" s="213" t="s">
        <v>39</v>
      </c>
      <c r="AL125" s="53">
        <v>-2.4799999999999999E-2</v>
      </c>
      <c r="AM125" s="53" t="str" cm="1">
        <f t="array" ref="AM125">IF(OR(O125&lt;&gt;"", SUMPRODUCT(($AN$2:$AN$5000=AN125)*($AL$2:$AL$5000&lt;=AL125)) &lt;= (COUNTIF($AN$2:$AN$5000,AN125)*0.5)), "SORTEADO", "-")</f>
        <v>SORTEADO</v>
      </c>
      <c r="AN125" s="232" t="s">
        <v>455</v>
      </c>
    </row>
    <row r="126" spans="1:40" ht="30" customHeight="1" x14ac:dyDescent="0.2">
      <c r="A126" s="231" t="s">
        <v>197</v>
      </c>
      <c r="B126" s="231">
        <v>2613760503</v>
      </c>
      <c r="C126" s="231" t="s">
        <v>83</v>
      </c>
      <c r="D126" s="231" t="s">
        <v>76</v>
      </c>
      <c r="E126" s="231" t="s">
        <v>198</v>
      </c>
      <c r="F126" s="231" t="s">
        <v>533</v>
      </c>
      <c r="G126" s="231">
        <v>298</v>
      </c>
      <c r="H126" s="231" t="s">
        <v>461</v>
      </c>
      <c r="I126" s="231" t="s">
        <v>214</v>
      </c>
      <c r="J126" s="231" t="s">
        <v>219</v>
      </c>
      <c r="K126" s="238" t="s">
        <v>535</v>
      </c>
      <c r="L126" s="232" t="s">
        <v>455</v>
      </c>
      <c r="M126" s="232">
        <v>46146.709027777775</v>
      </c>
      <c r="N126" s="231" t="s">
        <v>215</v>
      </c>
      <c r="O126" s="158" t="s">
        <v>204</v>
      </c>
      <c r="P126" s="92"/>
      <c r="Q126" s="146" t="s">
        <v>204</v>
      </c>
      <c r="R126" s="92"/>
      <c r="S126" s="146" t="s">
        <v>204</v>
      </c>
      <c r="T126" s="92"/>
      <c r="U126" s="146" t="s">
        <v>328</v>
      </c>
      <c r="V126" s="92"/>
      <c r="W126" s="146" t="s">
        <v>328</v>
      </c>
      <c r="X126" s="92"/>
      <c r="Y126" s="146" t="s">
        <v>328</v>
      </c>
      <c r="Z126" s="92"/>
      <c r="AA126" s="146" t="s">
        <v>328</v>
      </c>
      <c r="AB126" s="92"/>
      <c r="AC126" s="146" t="s">
        <v>328</v>
      </c>
      <c r="AD126" s="92"/>
      <c r="AE126" s="146" t="s">
        <v>204</v>
      </c>
      <c r="AF126" s="187" t="str">
        <f t="shared" si="7"/>
        <v>NC</v>
      </c>
      <c r="AG126" s="54" t="str">
        <f t="shared" si="10"/>
        <v>UTILIZOU O PDA CORRETAMENTE. NÃO HÁ FOTOS DE TODAS AS ETAPAS</v>
      </c>
      <c r="AH126" s="146" t="s">
        <v>204</v>
      </c>
      <c r="AI126" s="210" t="s">
        <v>6</v>
      </c>
      <c r="AJ126" s="97" t="str">
        <f t="shared" si="8"/>
        <v>GUARULHOS</v>
      </c>
      <c r="AK126" s="213" t="s">
        <v>39</v>
      </c>
      <c r="AL126" s="53">
        <v>-2.5000000000000001E-2</v>
      </c>
      <c r="AM126" s="53" t="str" cm="1">
        <f t="array" ref="AM126">IF(OR(O126&lt;&gt;"", SUMPRODUCT(($AN$2:$AN$5000=AN126)*($AL$2:$AL$5000&lt;=AL126)) &lt;= (COUNTIF($AN$2:$AN$5000,AN126)*0.5)), "SORTEADO", "-")</f>
        <v>SORTEADO</v>
      </c>
      <c r="AN126" s="232" t="s">
        <v>455</v>
      </c>
    </row>
    <row r="127" spans="1:40" ht="30" customHeight="1" x14ac:dyDescent="0.2">
      <c r="A127" s="231" t="s">
        <v>197</v>
      </c>
      <c r="B127" s="231">
        <v>2614166839</v>
      </c>
      <c r="C127" s="231" t="s">
        <v>100</v>
      </c>
      <c r="D127" s="231" t="s">
        <v>78</v>
      </c>
      <c r="E127" s="231" t="s">
        <v>198</v>
      </c>
      <c r="F127" s="231" t="s">
        <v>261</v>
      </c>
      <c r="G127" s="231">
        <v>200</v>
      </c>
      <c r="H127" s="231" t="s">
        <v>541</v>
      </c>
      <c r="I127" s="231" t="s">
        <v>262</v>
      </c>
      <c r="J127" s="231" t="s">
        <v>248</v>
      </c>
      <c r="K127" s="231"/>
      <c r="L127" s="232" t="s">
        <v>525</v>
      </c>
      <c r="M127" s="232">
        <v>46177.479861111111</v>
      </c>
      <c r="N127" s="231" t="s">
        <v>263</v>
      </c>
      <c r="O127" s="158" t="s">
        <v>204</v>
      </c>
      <c r="P127" s="92"/>
      <c r="Q127" s="146" t="s">
        <v>204</v>
      </c>
      <c r="R127" s="92"/>
      <c r="S127" s="146" t="s">
        <v>204</v>
      </c>
      <c r="T127" s="92"/>
      <c r="U127" s="146" t="s">
        <v>204</v>
      </c>
      <c r="V127" s="92"/>
      <c r="W127" s="146" t="s">
        <v>204</v>
      </c>
      <c r="X127" s="92"/>
      <c r="Y127" s="146" t="s">
        <v>61</v>
      </c>
      <c r="Z127" s="92"/>
      <c r="AA127" s="146" t="s">
        <v>204</v>
      </c>
      <c r="AB127" s="92"/>
      <c r="AC127" s="146" t="s">
        <v>204</v>
      </c>
      <c r="AD127" s="92"/>
      <c r="AE127" s="146" t="s">
        <v>204</v>
      </c>
      <c r="AF127" s="187" t="str">
        <f t="shared" si="7"/>
        <v>C</v>
      </c>
      <c r="AG127" s="54" t="str">
        <f t="shared" si="10"/>
        <v>UTILIZOU O PDA CORRETAMENTE</v>
      </c>
      <c r="AH127" s="146" t="s">
        <v>204</v>
      </c>
      <c r="AI127" s="210" t="s">
        <v>6</v>
      </c>
      <c r="AJ127" s="97" t="str">
        <f t="shared" si="8"/>
        <v>GUARULHOS</v>
      </c>
      <c r="AK127" s="213" t="s">
        <v>39</v>
      </c>
      <c r="AL127" s="53">
        <v>-2.52E-2</v>
      </c>
      <c r="AM127" s="53" t="str" cm="1">
        <f t="array" ref="AM127">IF(OR(O127&lt;&gt;"", SUMPRODUCT(($AN$2:$AN$5000=AN127)*($AL$2:$AL$5000&lt;=AL127)) &lt;= (COUNTIF($AN$2:$AN$5000,AN127)*0.5)), "SORTEADO", "-")</f>
        <v>SORTEADO</v>
      </c>
      <c r="AN127" s="232" t="s">
        <v>525</v>
      </c>
    </row>
    <row r="128" spans="1:40" ht="30" customHeight="1" x14ac:dyDescent="0.2">
      <c r="A128" s="231" t="s">
        <v>197</v>
      </c>
      <c r="B128" s="231">
        <v>2613688151</v>
      </c>
      <c r="C128" s="231" t="s">
        <v>94</v>
      </c>
      <c r="D128" s="231" t="s">
        <v>76</v>
      </c>
      <c r="E128" s="231" t="s">
        <v>198</v>
      </c>
      <c r="F128" s="231" t="s">
        <v>542</v>
      </c>
      <c r="G128" s="231">
        <v>34</v>
      </c>
      <c r="H128" s="231" t="s">
        <v>213</v>
      </c>
      <c r="I128" s="231" t="s">
        <v>335</v>
      </c>
      <c r="J128" s="231" t="s">
        <v>94</v>
      </c>
      <c r="K128" s="231" t="s">
        <v>543</v>
      </c>
      <c r="L128" s="232" t="s">
        <v>525</v>
      </c>
      <c r="M128" s="232">
        <v>46177.689583333333</v>
      </c>
      <c r="N128" s="231" t="s">
        <v>203</v>
      </c>
      <c r="O128" s="158" t="s">
        <v>204</v>
      </c>
      <c r="P128" s="92"/>
      <c r="Q128" s="146" t="s">
        <v>204</v>
      </c>
      <c r="R128" s="92"/>
      <c r="S128" s="146" t="s">
        <v>204</v>
      </c>
      <c r="T128" s="92"/>
      <c r="U128" s="146" t="s">
        <v>204</v>
      </c>
      <c r="V128" s="92"/>
      <c r="W128" s="146" t="s">
        <v>204</v>
      </c>
      <c r="X128" s="92"/>
      <c r="Y128" s="146" t="s">
        <v>204</v>
      </c>
      <c r="Z128" s="92"/>
      <c r="AA128" s="146" t="s">
        <v>204</v>
      </c>
      <c r="AB128" s="92"/>
      <c r="AC128" s="146" t="s">
        <v>204</v>
      </c>
      <c r="AD128" s="92"/>
      <c r="AE128" s="146" t="s">
        <v>204</v>
      </c>
      <c r="AF128" s="187" t="str">
        <f t="shared" si="7"/>
        <v>C</v>
      </c>
      <c r="AG128" s="54" t="str">
        <f t="shared" si="10"/>
        <v>UTILIZOU O PDA CORRETAMENTE</v>
      </c>
      <c r="AH128" s="146" t="s">
        <v>204</v>
      </c>
      <c r="AI128" s="210" t="s">
        <v>6</v>
      </c>
      <c r="AJ128" s="97" t="str">
        <f t="shared" si="8"/>
        <v>GUARULHOS</v>
      </c>
      <c r="AK128" s="213" t="s">
        <v>39</v>
      </c>
      <c r="AL128" s="53">
        <v>-2.5399999999999999E-2</v>
      </c>
      <c r="AM128" s="53" t="str" cm="1">
        <f t="array" ref="AM128">IF(OR(O128&lt;&gt;"", SUMPRODUCT(($AN$2:$AN$5000=AN128)*($AL$2:$AL$5000&lt;=AL128)) &lt;= (COUNTIF($AN$2:$AN$5000,AN128)*0.5)), "SORTEADO", "-")</f>
        <v>SORTEADO</v>
      </c>
      <c r="AN128" s="232" t="s">
        <v>525</v>
      </c>
    </row>
    <row r="129" spans="1:40" ht="30" customHeight="1" x14ac:dyDescent="0.2">
      <c r="A129" s="231" t="s">
        <v>197</v>
      </c>
      <c r="B129" s="231">
        <v>2613688156</v>
      </c>
      <c r="C129" s="231" t="s">
        <v>96</v>
      </c>
      <c r="D129" s="231" t="s">
        <v>76</v>
      </c>
      <c r="E129" s="231" t="s">
        <v>198</v>
      </c>
      <c r="F129" s="231" t="s">
        <v>542</v>
      </c>
      <c r="G129" s="231">
        <v>34</v>
      </c>
      <c r="H129" s="231" t="s">
        <v>211</v>
      </c>
      <c r="I129" s="231" t="s">
        <v>335</v>
      </c>
      <c r="J129" s="231" t="s">
        <v>96</v>
      </c>
      <c r="K129" s="231"/>
      <c r="L129" s="232" t="s">
        <v>525</v>
      </c>
      <c r="M129" s="232">
        <v>46177.679166666669</v>
      </c>
      <c r="N129" s="231" t="s">
        <v>203</v>
      </c>
      <c r="O129" s="158" t="s">
        <v>204</v>
      </c>
      <c r="P129" s="92"/>
      <c r="Q129" s="146" t="s">
        <v>204</v>
      </c>
      <c r="R129" s="92"/>
      <c r="S129" s="146" t="s">
        <v>204</v>
      </c>
      <c r="T129" s="92"/>
      <c r="U129" s="146" t="s">
        <v>204</v>
      </c>
      <c r="V129" s="92"/>
      <c r="W129" s="146" t="s">
        <v>204</v>
      </c>
      <c r="X129" s="92"/>
      <c r="Y129" s="146" t="s">
        <v>204</v>
      </c>
      <c r="Z129" s="92"/>
      <c r="AA129" s="146" t="s">
        <v>204</v>
      </c>
      <c r="AB129" s="92"/>
      <c r="AC129" s="146" t="s">
        <v>204</v>
      </c>
      <c r="AD129" s="92"/>
      <c r="AE129" s="146" t="s">
        <v>204</v>
      </c>
      <c r="AF129" s="187" t="str">
        <f t="shared" si="7"/>
        <v>C</v>
      </c>
      <c r="AG129" s="54" t="str">
        <f t="shared" si="10"/>
        <v>UTILIZOU O PDA CORRETAMENTE</v>
      </c>
      <c r="AH129" s="146" t="s">
        <v>204</v>
      </c>
      <c r="AI129" s="210" t="s">
        <v>6</v>
      </c>
      <c r="AJ129" s="97" t="str">
        <f t="shared" si="8"/>
        <v>GUARULHOS</v>
      </c>
      <c r="AK129" s="213" t="s">
        <v>39</v>
      </c>
      <c r="AL129" s="53">
        <v>-2.5600000000000001E-2</v>
      </c>
      <c r="AM129" s="53" t="str" cm="1">
        <f t="array" ref="AM129">IF(OR(O129&lt;&gt;"", SUMPRODUCT(($AN$2:$AN$5000=AN129)*($AL$2:$AL$5000&lt;=AL129)) &lt;= (COUNTIF($AN$2:$AN$5000,AN129)*0.5)), "SORTEADO", "-")</f>
        <v>SORTEADO</v>
      </c>
      <c r="AN129" s="232" t="s">
        <v>525</v>
      </c>
    </row>
    <row r="130" spans="1:40" ht="30" customHeight="1" x14ac:dyDescent="0.2">
      <c r="A130" s="231" t="s">
        <v>197</v>
      </c>
      <c r="B130" s="231">
        <v>2614132681</v>
      </c>
      <c r="C130" s="231" t="s">
        <v>93</v>
      </c>
      <c r="D130" s="231" t="s">
        <v>76</v>
      </c>
      <c r="E130" s="231" t="s">
        <v>198</v>
      </c>
      <c r="F130" s="231" t="s">
        <v>544</v>
      </c>
      <c r="G130" s="231">
        <v>73</v>
      </c>
      <c r="H130" s="231" t="s">
        <v>206</v>
      </c>
      <c r="I130" s="231" t="s">
        <v>253</v>
      </c>
      <c r="J130" s="231" t="s">
        <v>93</v>
      </c>
      <c r="K130" s="231" t="s">
        <v>545</v>
      </c>
      <c r="L130" s="232" t="s">
        <v>525</v>
      </c>
      <c r="M130" s="232">
        <v>46177.736111111109</v>
      </c>
      <c r="N130" s="231" t="s">
        <v>203</v>
      </c>
      <c r="O130" s="158" t="s">
        <v>204</v>
      </c>
      <c r="P130" s="92"/>
      <c r="Q130" s="146" t="s">
        <v>204</v>
      </c>
      <c r="R130" s="92"/>
      <c r="S130" s="146" t="s">
        <v>204</v>
      </c>
      <c r="T130" s="92"/>
      <c r="U130" s="146" t="s">
        <v>204</v>
      </c>
      <c r="V130" s="92"/>
      <c r="W130" s="146" t="s">
        <v>204</v>
      </c>
      <c r="X130" s="92"/>
      <c r="Y130" s="146" t="s">
        <v>61</v>
      </c>
      <c r="Z130" s="92"/>
      <c r="AA130" s="146" t="s">
        <v>204</v>
      </c>
      <c r="AB130" s="92"/>
      <c r="AC130" s="146" t="s">
        <v>204</v>
      </c>
      <c r="AD130" s="92"/>
      <c r="AE130" s="146" t="s">
        <v>204</v>
      </c>
      <c r="AF130" s="187" t="str">
        <f t="shared" si="7"/>
        <v>C</v>
      </c>
      <c r="AG130" s="54" t="str">
        <f t="shared" si="10"/>
        <v>UTILIZOU O PDA CORRETAMENTE</v>
      </c>
      <c r="AH130" s="146" t="s">
        <v>204</v>
      </c>
      <c r="AI130" s="210" t="s">
        <v>6</v>
      </c>
      <c r="AJ130" s="97" t="str">
        <f t="shared" si="8"/>
        <v>GUARULHOS</v>
      </c>
      <c r="AK130" s="213" t="s">
        <v>39</v>
      </c>
      <c r="AL130" s="53">
        <v>-2.58E-2</v>
      </c>
      <c r="AM130" s="53" t="str" cm="1">
        <f t="array" ref="AM130">IF(OR(O130&lt;&gt;"", SUMPRODUCT(($AN$2:$AN$5000=AN130)*($AL$2:$AL$5000&lt;=AL130)) &lt;= (COUNTIF($AN$2:$AN$5000,AN130)*0.5)), "SORTEADO", "-")</f>
        <v>SORTEADO</v>
      </c>
      <c r="AN130" s="232" t="s">
        <v>525</v>
      </c>
    </row>
    <row r="131" spans="1:40" ht="30" customHeight="1" x14ac:dyDescent="0.2">
      <c r="A131" s="231" t="s">
        <v>197</v>
      </c>
      <c r="B131" s="231">
        <v>2614132769</v>
      </c>
      <c r="C131" s="231" t="s">
        <v>95</v>
      </c>
      <c r="D131" s="231" t="s">
        <v>76</v>
      </c>
      <c r="E131" s="231" t="s">
        <v>198</v>
      </c>
      <c r="F131" s="231" t="s">
        <v>544</v>
      </c>
      <c r="G131" s="231">
        <v>73</v>
      </c>
      <c r="H131" s="231" t="s">
        <v>211</v>
      </c>
      <c r="I131" s="231" t="s">
        <v>253</v>
      </c>
      <c r="J131" s="231" t="s">
        <v>95</v>
      </c>
      <c r="K131" s="231"/>
      <c r="L131" s="232" t="s">
        <v>525</v>
      </c>
      <c r="M131" s="232">
        <v>46177.738194444442</v>
      </c>
      <c r="N131" s="231" t="s">
        <v>203</v>
      </c>
      <c r="O131" s="158" t="s">
        <v>204</v>
      </c>
      <c r="P131" s="92"/>
      <c r="Q131" s="146" t="s">
        <v>204</v>
      </c>
      <c r="R131" s="92"/>
      <c r="S131" s="146" t="s">
        <v>204</v>
      </c>
      <c r="T131" s="92"/>
      <c r="U131" s="146" t="s">
        <v>204</v>
      </c>
      <c r="V131" s="92"/>
      <c r="W131" s="146" t="s">
        <v>204</v>
      </c>
      <c r="X131" s="92"/>
      <c r="Y131" s="146" t="s">
        <v>61</v>
      </c>
      <c r="Z131" s="92"/>
      <c r="AA131" s="146" t="s">
        <v>204</v>
      </c>
      <c r="AB131" s="92"/>
      <c r="AC131" s="146" t="s">
        <v>204</v>
      </c>
      <c r="AD131" s="92"/>
      <c r="AE131" s="146" t="s">
        <v>204</v>
      </c>
      <c r="AF131" s="187" t="str">
        <f t="shared" si="7"/>
        <v>C</v>
      </c>
      <c r="AG131" s="54" t="str">
        <f t="shared" si="10"/>
        <v>UTILIZOU O PDA CORRETAMENTE</v>
      </c>
      <c r="AH131" s="146" t="s">
        <v>204</v>
      </c>
      <c r="AI131" s="210" t="s">
        <v>6</v>
      </c>
      <c r="AJ131" s="97" t="str">
        <f t="shared" si="8"/>
        <v>GUARULHOS</v>
      </c>
      <c r="AK131" s="213" t="s">
        <v>39</v>
      </c>
      <c r="AL131" s="53">
        <v>-2.5999999999999999E-2</v>
      </c>
      <c r="AM131" s="53" t="str" cm="1">
        <f t="array" ref="AM131">IF(OR(O131&lt;&gt;"", SUMPRODUCT(($AN$2:$AN$5000=AN131)*($AL$2:$AL$5000&lt;=AL131)) &lt;= (COUNTIF($AN$2:$AN$5000,AN131)*0.5)), "SORTEADO", "-")</f>
        <v>SORTEADO</v>
      </c>
      <c r="AN131" s="232" t="s">
        <v>525</v>
      </c>
    </row>
    <row r="132" spans="1:40" ht="30" hidden="1" customHeight="1" x14ac:dyDescent="0.2">
      <c r="A132" s="231" t="s">
        <v>197</v>
      </c>
      <c r="B132" s="231">
        <v>2614446851</v>
      </c>
      <c r="C132" s="231" t="s">
        <v>105</v>
      </c>
      <c r="D132" s="231" t="s">
        <v>80</v>
      </c>
      <c r="E132" s="231" t="s">
        <v>198</v>
      </c>
      <c r="F132" s="231" t="s">
        <v>546</v>
      </c>
      <c r="G132" s="231">
        <v>39</v>
      </c>
      <c r="H132" s="231"/>
      <c r="I132" s="231" t="s">
        <v>416</v>
      </c>
      <c r="J132" s="231" t="s">
        <v>226</v>
      </c>
      <c r="K132" s="238" t="s">
        <v>547</v>
      </c>
      <c r="L132" s="232" t="s">
        <v>525</v>
      </c>
      <c r="M132" s="232">
        <v>46177.681944444441</v>
      </c>
      <c r="N132" s="231" t="s">
        <v>244</v>
      </c>
      <c r="O132" s="158"/>
      <c r="P132" s="92"/>
      <c r="Q132" s="146"/>
      <c r="R132" s="92"/>
      <c r="S132" s="146"/>
      <c r="T132" s="92"/>
      <c r="U132" s="146"/>
      <c r="V132" s="92"/>
      <c r="W132" s="146"/>
      <c r="X132" s="92"/>
      <c r="Y132" s="146"/>
      <c r="Z132" s="92"/>
      <c r="AA132" s="146"/>
      <c r="AB132" s="92"/>
      <c r="AC132" s="146"/>
      <c r="AD132" s="92"/>
      <c r="AE132" s="146"/>
      <c r="AF132" s="187" t="str">
        <f t="shared" si="7"/>
        <v/>
      </c>
      <c r="AG132" s="54" t="b">
        <f t="shared" si="10"/>
        <v>0</v>
      </c>
      <c r="AH132" s="146"/>
      <c r="AI132" s="210" t="s">
        <v>6</v>
      </c>
      <c r="AJ132" s="97" t="str">
        <f t="shared" si="8"/>
        <v>GUARULHOS</v>
      </c>
      <c r="AK132" s="213" t="s">
        <v>39</v>
      </c>
      <c r="AL132" s="53">
        <v>0.83743180623786306</v>
      </c>
      <c r="AM132" s="53" t="str" cm="1">
        <f t="array" ref="AM132">IF(OR(O132&lt;&gt;"", SUMPRODUCT(($AN$2:$AN$5000=AN132)*($AL$2:$AL$5000&lt;=AL132)) &lt;= (COUNTIF($AN$2:$AN$5000,AN132)*0.5)), "SORTEADO", "-")</f>
        <v>-</v>
      </c>
      <c r="AN132" s="232" t="s">
        <v>525</v>
      </c>
    </row>
    <row r="133" spans="1:40" ht="30" customHeight="1" x14ac:dyDescent="0.2">
      <c r="A133" s="231" t="s">
        <v>197</v>
      </c>
      <c r="B133" s="231">
        <v>2614451014</v>
      </c>
      <c r="C133" s="231" t="s">
        <v>100</v>
      </c>
      <c r="D133" s="231" t="s">
        <v>78</v>
      </c>
      <c r="E133" s="231" t="s">
        <v>198</v>
      </c>
      <c r="F133" s="231" t="s">
        <v>308</v>
      </c>
      <c r="G133" s="231">
        <v>540</v>
      </c>
      <c r="H133" s="231" t="s">
        <v>213</v>
      </c>
      <c r="I133" s="231" t="s">
        <v>262</v>
      </c>
      <c r="J133" s="231" t="s">
        <v>248</v>
      </c>
      <c r="K133" s="231" t="s">
        <v>548</v>
      </c>
      <c r="L133" s="232" t="s">
        <v>525</v>
      </c>
      <c r="M133" s="232">
        <v>46177.663888888892</v>
      </c>
      <c r="N133" s="231" t="s">
        <v>260</v>
      </c>
      <c r="O133" s="158" t="s">
        <v>204</v>
      </c>
      <c r="P133" s="92"/>
      <c r="Q133" s="146" t="s">
        <v>204</v>
      </c>
      <c r="R133" s="92"/>
      <c r="S133" s="146" t="s">
        <v>204</v>
      </c>
      <c r="T133" s="92"/>
      <c r="U133" s="146" t="s">
        <v>204</v>
      </c>
      <c r="V133" s="92"/>
      <c r="W133" s="146" t="s">
        <v>204</v>
      </c>
      <c r="X133" s="92"/>
      <c r="Y133" s="146" t="s">
        <v>204</v>
      </c>
      <c r="Z133" s="92"/>
      <c r="AA133" s="146" t="s">
        <v>204</v>
      </c>
      <c r="AB133" s="92"/>
      <c r="AC133" s="146" t="s">
        <v>210</v>
      </c>
      <c r="AD133" s="92" t="s">
        <v>264</v>
      </c>
      <c r="AE133" s="146" t="s">
        <v>204</v>
      </c>
      <c r="AF133" s="187" t="str">
        <f t="shared" si="7"/>
        <v>NC</v>
      </c>
      <c r="AG133" s="54" t="str">
        <f t="shared" si="10"/>
        <v>UTILIZOU O PDA CORRETAMENTE. NÃO HÁ FOTOS DE TODAS AS ETAPAS</v>
      </c>
      <c r="AH133" s="146" t="s">
        <v>204</v>
      </c>
      <c r="AI133" s="210" t="s">
        <v>6</v>
      </c>
      <c r="AJ133" s="97" t="str">
        <f t="shared" si="8"/>
        <v>GUARULHOS</v>
      </c>
      <c r="AK133" s="213" t="s">
        <v>39</v>
      </c>
      <c r="AL133" s="53">
        <v>-2.64E-2</v>
      </c>
      <c r="AM133" s="53" t="str" cm="1">
        <f t="array" ref="AM133">IF(OR(O133&lt;&gt;"", SUMPRODUCT(($AN$2:$AN$5000=AN133)*($AL$2:$AL$5000&lt;=AL133)) &lt;= (COUNTIF($AN$2:$AN$5000,AN133)*0.5)), "SORTEADO", "-")</f>
        <v>SORTEADO</v>
      </c>
      <c r="AN133" s="232" t="s">
        <v>525</v>
      </c>
    </row>
    <row r="134" spans="1:40" ht="30" customHeight="1" x14ac:dyDescent="0.2">
      <c r="A134" s="231" t="s">
        <v>197</v>
      </c>
      <c r="B134" s="231">
        <v>2614451472</v>
      </c>
      <c r="C134" s="231" t="s">
        <v>100</v>
      </c>
      <c r="D134" s="231" t="s">
        <v>78</v>
      </c>
      <c r="E134" s="231" t="s">
        <v>198</v>
      </c>
      <c r="F134" s="231" t="s">
        <v>308</v>
      </c>
      <c r="G134" s="231">
        <v>544</v>
      </c>
      <c r="H134" s="231"/>
      <c r="I134" s="231" t="s">
        <v>262</v>
      </c>
      <c r="J134" s="231" t="s">
        <v>248</v>
      </c>
      <c r="K134" s="231" t="s">
        <v>549</v>
      </c>
      <c r="L134" s="232" t="s">
        <v>525</v>
      </c>
      <c r="M134" s="232">
        <v>46177.668749999997</v>
      </c>
      <c r="N134" s="231" t="s">
        <v>260</v>
      </c>
      <c r="O134" s="158" t="s">
        <v>204</v>
      </c>
      <c r="P134" s="92"/>
      <c r="Q134" s="146" t="s">
        <v>204</v>
      </c>
      <c r="R134" s="92"/>
      <c r="S134" s="146" t="s">
        <v>204</v>
      </c>
      <c r="T134" s="92"/>
      <c r="U134" s="146" t="s">
        <v>204</v>
      </c>
      <c r="V134" s="92"/>
      <c r="W134" s="146" t="s">
        <v>204</v>
      </c>
      <c r="X134" s="92"/>
      <c r="Y134" s="146" t="s">
        <v>204</v>
      </c>
      <c r="Z134" s="92"/>
      <c r="AA134" s="146" t="s">
        <v>204</v>
      </c>
      <c r="AB134" s="92"/>
      <c r="AC134" s="146" t="s">
        <v>210</v>
      </c>
      <c r="AD134" s="92" t="s">
        <v>264</v>
      </c>
      <c r="AE134" s="146" t="s">
        <v>204</v>
      </c>
      <c r="AF134" s="187" t="str">
        <f t="shared" si="7"/>
        <v>NC</v>
      </c>
      <c r="AG134" s="54" t="str">
        <f t="shared" si="10"/>
        <v>UTILIZOU O PDA CORRETAMENTE. NÃO HÁ FOTOS DE TODAS AS ETAPAS</v>
      </c>
      <c r="AH134" s="146" t="s">
        <v>204</v>
      </c>
      <c r="AI134" s="210" t="s">
        <v>6</v>
      </c>
      <c r="AJ134" s="97" t="str">
        <f t="shared" si="8"/>
        <v>GUARULHOS</v>
      </c>
      <c r="AK134" s="213" t="s">
        <v>39</v>
      </c>
      <c r="AL134" s="53">
        <v>-2.6599999999999999E-2</v>
      </c>
      <c r="AM134" s="53" t="str" cm="1">
        <f t="array" ref="AM134">IF(OR(O134&lt;&gt;"", SUMPRODUCT(($AN$2:$AN$5000=AN134)*($AL$2:$AL$5000&lt;=AL134)) &lt;= (COUNTIF($AN$2:$AN$5000,AN134)*0.5)), "SORTEADO", "-")</f>
        <v>SORTEADO</v>
      </c>
      <c r="AN134" s="232" t="s">
        <v>525</v>
      </c>
    </row>
    <row r="135" spans="1:40" ht="30" hidden="1" customHeight="1" x14ac:dyDescent="0.2">
      <c r="A135" s="231" t="s">
        <v>197</v>
      </c>
      <c r="B135" s="231">
        <v>2689647737</v>
      </c>
      <c r="C135" s="231" t="s">
        <v>102</v>
      </c>
      <c r="D135" s="231" t="s">
        <v>80</v>
      </c>
      <c r="E135" s="231" t="s">
        <v>198</v>
      </c>
      <c r="F135" s="231" t="s">
        <v>550</v>
      </c>
      <c r="G135" s="231">
        <v>892</v>
      </c>
      <c r="H135" s="231" t="s">
        <v>551</v>
      </c>
      <c r="I135" s="231" t="s">
        <v>368</v>
      </c>
      <c r="J135" s="231" t="s">
        <v>259</v>
      </c>
      <c r="K135" s="231" t="s">
        <v>213</v>
      </c>
      <c r="L135" s="232" t="s">
        <v>525</v>
      </c>
      <c r="M135" s="232">
        <v>46177.500694444447</v>
      </c>
      <c r="N135" s="231" t="s">
        <v>237</v>
      </c>
      <c r="O135" s="158"/>
      <c r="P135" s="92"/>
      <c r="Q135" s="146"/>
      <c r="R135" s="92"/>
      <c r="S135" s="146"/>
      <c r="T135" s="92"/>
      <c r="U135" s="146"/>
      <c r="V135" s="92"/>
      <c r="W135" s="146"/>
      <c r="X135" s="92"/>
      <c r="Y135" s="146"/>
      <c r="Z135" s="92"/>
      <c r="AA135" s="146"/>
      <c r="AB135" s="92"/>
      <c r="AC135" s="146"/>
      <c r="AD135" s="92"/>
      <c r="AE135" s="146"/>
      <c r="AF135" s="187" t="str">
        <f t="shared" ref="AF135:AF198" si="11">IF(AND(O135="",Q135="",S135="",U135="",W135="",Y135="",AA135="",AC135=""),"",IF(OR(AND(O135&lt;&gt;"NA",O135&lt;&gt;"C",O135&lt;&gt;"NC",O135&lt;&gt;"SF",O135&lt;&gt;""),AND(Q135&lt;&gt;"NA",Q135&lt;&gt;"C",Q135&lt;&gt;"NC",Q135&lt;&gt;"SF",Q135&lt;&gt;""),AND(S135&lt;&gt;"NA",S135&lt;&gt;"C",S135&lt;&gt;"NC",S135&lt;&gt;"SF",S135&lt;&gt;""),AND(U135&lt;&gt;"NA",U135&lt;&gt;"C",U135&lt;&gt;"NC",U135&lt;&gt;"SF",U135&lt;&gt;""),AND(W135&lt;&gt;"NA",W135&lt;&gt;"C",W135&lt;&gt;"NC",W135&lt;&gt;"SF",W135&lt;&gt;""),AND(Y135&lt;&gt;"NA",Y135&lt;&gt;"C",Y135&lt;&gt;"NC",Y135&lt;&gt;"SF",Y135&lt;&gt;""),AND(AA135&lt;&gt;"NA",AA135&lt;&gt;"C",AA135&lt;&gt;"NC",AA135&lt;&gt;"SF",AA135&lt;&gt;""),AND(AC135&lt;&gt;"NA",AC135&lt;&gt;"C",AC135&lt;&gt;"NC",AC135&lt;&gt;"SF",AC135&lt;&gt;"")),"FALSO",IF(AND(O135="NA",Q135="NA",S135="NA",U135="NA",W135="NA",Y135="NA",AA135="NA",AC135="NA"),"NA",IF(OR(O135="NC",Q135="NC",S135="NC",U135="NC",W135="NC",Y135="NC",AA135="NC",AC135="NC",O135="SF",Q135="SF",S135="SF",U135="SF",W135="SF",Y135="SF",AA135="SF",AC135="SF"),"NC",IF(OR(O135="C",Q135="C",S135="C",U135="C",W135="C",Y135="C",AA135="C",AC135="C"),"C","")))))</f>
        <v/>
      </c>
      <c r="AG135" s="54" t="b">
        <f t="shared" si="10"/>
        <v>0</v>
      </c>
      <c r="AH135" s="146"/>
      <c r="AI135" s="210" t="s">
        <v>6</v>
      </c>
      <c r="AJ135" s="97" t="str">
        <f t="shared" ref="AJ135:AJ198" si="12">E135</f>
        <v>GUARULHOS</v>
      </c>
      <c r="AK135" s="213" t="s">
        <v>39</v>
      </c>
      <c r="AL135" s="53">
        <v>0.97018334489068192</v>
      </c>
      <c r="AM135" s="53" t="str" cm="1">
        <f t="array" ref="AM135">IF(OR(O135&lt;&gt;"", SUMPRODUCT(($AN$2:$AN$5000=AN135)*($AL$2:$AL$5000&lt;=AL135)) &lt;= (COUNTIF($AN$2:$AN$5000,AN135)*0.5)), "SORTEADO", "-")</f>
        <v>-</v>
      </c>
      <c r="AN135" s="232" t="s">
        <v>525</v>
      </c>
    </row>
    <row r="136" spans="1:40" ht="30" hidden="1" customHeight="1" x14ac:dyDescent="0.2">
      <c r="A136" s="231" t="s">
        <v>197</v>
      </c>
      <c r="B136" s="231">
        <v>2689633352</v>
      </c>
      <c r="C136" s="231" t="s">
        <v>102</v>
      </c>
      <c r="D136" s="231" t="s">
        <v>80</v>
      </c>
      <c r="E136" s="231" t="s">
        <v>198</v>
      </c>
      <c r="F136" s="231" t="s">
        <v>495</v>
      </c>
      <c r="G136" s="231">
        <v>200</v>
      </c>
      <c r="H136" s="231" t="s">
        <v>552</v>
      </c>
      <c r="I136" s="231" t="s">
        <v>368</v>
      </c>
      <c r="J136" s="231" t="s">
        <v>270</v>
      </c>
      <c r="K136" s="231"/>
      <c r="L136" s="232" t="s">
        <v>525</v>
      </c>
      <c r="M136" s="232">
        <v>46177.453472222223</v>
      </c>
      <c r="N136" s="231" t="s">
        <v>237</v>
      </c>
      <c r="O136" s="158"/>
      <c r="P136" s="92"/>
      <c r="Q136" s="146"/>
      <c r="R136" s="92"/>
      <c r="S136" s="146"/>
      <c r="T136" s="92"/>
      <c r="U136" s="146"/>
      <c r="V136" s="92"/>
      <c r="W136" s="146"/>
      <c r="X136" s="92"/>
      <c r="Y136" s="146"/>
      <c r="Z136" s="92"/>
      <c r="AA136" s="146"/>
      <c r="AB136" s="92"/>
      <c r="AC136" s="146"/>
      <c r="AD136" s="92"/>
      <c r="AE136" s="146"/>
      <c r="AF136" s="187" t="str">
        <f t="shared" si="11"/>
        <v/>
      </c>
      <c r="AG136" s="54" t="b">
        <f t="shared" si="10"/>
        <v>0</v>
      </c>
      <c r="AH136" s="146"/>
      <c r="AI136" s="210" t="s">
        <v>6</v>
      </c>
      <c r="AJ136" s="97" t="str">
        <f t="shared" si="12"/>
        <v>GUARULHOS</v>
      </c>
      <c r="AK136" s="213" t="s">
        <v>39</v>
      </c>
      <c r="AL136" s="53">
        <v>0.76855715554767112</v>
      </c>
      <c r="AM136" s="53" t="str" cm="1">
        <f t="array" ref="AM136">IF(OR(O136&lt;&gt;"", SUMPRODUCT(($AN$2:$AN$5000=AN136)*($AL$2:$AL$5000&lt;=AL136)) &lt;= (COUNTIF($AN$2:$AN$5000,AN136)*0.5)), "SORTEADO", "-")</f>
        <v>-</v>
      </c>
      <c r="AN136" s="232" t="s">
        <v>525</v>
      </c>
    </row>
    <row r="137" spans="1:40" ht="30" hidden="1" customHeight="1" x14ac:dyDescent="0.2">
      <c r="A137" s="231" t="s">
        <v>197</v>
      </c>
      <c r="B137" s="231">
        <v>2614452666</v>
      </c>
      <c r="C137" s="231" t="s">
        <v>105</v>
      </c>
      <c r="D137" s="231" t="s">
        <v>80</v>
      </c>
      <c r="E137" s="231" t="s">
        <v>198</v>
      </c>
      <c r="F137" s="231" t="s">
        <v>553</v>
      </c>
      <c r="G137" s="231">
        <v>184</v>
      </c>
      <c r="H137" s="231" t="s">
        <v>276</v>
      </c>
      <c r="I137" s="231" t="s">
        <v>554</v>
      </c>
      <c r="J137" s="231" t="s">
        <v>226</v>
      </c>
      <c r="K137" s="231" t="s">
        <v>213</v>
      </c>
      <c r="L137" s="232" t="s">
        <v>525</v>
      </c>
      <c r="M137" s="232">
        <v>46177.692361111112</v>
      </c>
      <c r="N137" s="231" t="s">
        <v>317</v>
      </c>
      <c r="O137" s="158"/>
      <c r="P137" s="92"/>
      <c r="Q137" s="146"/>
      <c r="R137" s="92"/>
      <c r="S137" s="146"/>
      <c r="T137" s="92"/>
      <c r="U137" s="146"/>
      <c r="V137" s="92"/>
      <c r="W137" s="146"/>
      <c r="X137" s="92"/>
      <c r="Y137" s="146"/>
      <c r="Z137" s="92"/>
      <c r="AA137" s="146"/>
      <c r="AB137" s="92"/>
      <c r="AC137" s="146"/>
      <c r="AD137" s="92"/>
      <c r="AE137" s="146"/>
      <c r="AF137" s="187" t="str">
        <f t="shared" si="11"/>
        <v/>
      </c>
      <c r="AG137" s="54" t="b">
        <f t="shared" ref="AG137:AG168" si="13">IF(AND(AE137="C",AF137="C"),"UTILIZOU O PDA CORRETAMENTE",IF(AND(AE137="C",AF137="NC"),"UTILIZOU O PDA CORRETAMENTE. NÃO HÁ FOTOS DE TODAS AS ETAPAS",IF(AND(AE137="NC",AF137="NC"),"NÃO UTILIZOU O PDA",IF(AND(AE137="NA",AF137="NA"),"NÃO AVALIADO POR FALHA DE SINCRONISMO"))))</f>
        <v>0</v>
      </c>
      <c r="AH137" s="146"/>
      <c r="AI137" s="210" t="s">
        <v>6</v>
      </c>
      <c r="AJ137" s="97" t="str">
        <f t="shared" si="12"/>
        <v>GUARULHOS</v>
      </c>
      <c r="AK137" s="213" t="s">
        <v>39</v>
      </c>
      <c r="AL137" s="53">
        <v>0.62844356979344118</v>
      </c>
      <c r="AM137" s="53" t="str" cm="1">
        <f t="array" ref="AM137">IF(OR(O137&lt;&gt;"", SUMPRODUCT(($AN$2:$AN$5000=AN137)*($AL$2:$AL$5000&lt;=AL137)) &lt;= (COUNTIF($AN$2:$AN$5000,AN137)*0.5)), "SORTEADO", "-")</f>
        <v>-</v>
      </c>
      <c r="AN137" s="232" t="s">
        <v>525</v>
      </c>
    </row>
    <row r="138" spans="1:40" ht="30" customHeight="1" x14ac:dyDescent="0.2">
      <c r="A138" s="231" t="s">
        <v>197</v>
      </c>
      <c r="B138" s="231">
        <v>2614463350</v>
      </c>
      <c r="C138" s="231" t="s">
        <v>105</v>
      </c>
      <c r="D138" s="231" t="s">
        <v>80</v>
      </c>
      <c r="E138" s="231" t="s">
        <v>198</v>
      </c>
      <c r="F138" s="231" t="s">
        <v>275</v>
      </c>
      <c r="G138" s="231">
        <v>10</v>
      </c>
      <c r="H138" s="231" t="s">
        <v>555</v>
      </c>
      <c r="I138" s="231" t="s">
        <v>277</v>
      </c>
      <c r="J138" s="231" t="s">
        <v>226</v>
      </c>
      <c r="K138" s="231"/>
      <c r="L138" s="232" t="s">
        <v>525</v>
      </c>
      <c r="M138" s="232">
        <v>46177.691666666666</v>
      </c>
      <c r="N138" s="231" t="s">
        <v>322</v>
      </c>
      <c r="O138" s="158" t="s">
        <v>204</v>
      </c>
      <c r="P138" s="92"/>
      <c r="Q138" s="146" t="s">
        <v>204</v>
      </c>
      <c r="R138" s="92"/>
      <c r="S138" s="146" t="s">
        <v>204</v>
      </c>
      <c r="T138" s="92"/>
      <c r="U138" s="146" t="s">
        <v>204</v>
      </c>
      <c r="V138" s="92"/>
      <c r="W138" s="146" t="s">
        <v>204</v>
      </c>
      <c r="X138" s="92"/>
      <c r="Y138" s="146" t="s">
        <v>61</v>
      </c>
      <c r="Z138" s="92"/>
      <c r="AA138" s="146" t="s">
        <v>204</v>
      </c>
      <c r="AB138" s="92"/>
      <c r="AC138" s="146" t="s">
        <v>204</v>
      </c>
      <c r="AD138" s="92"/>
      <c r="AE138" s="146" t="s">
        <v>204</v>
      </c>
      <c r="AF138" s="187" t="str">
        <f t="shared" si="11"/>
        <v>C</v>
      </c>
      <c r="AG138" s="54" t="str">
        <f t="shared" si="13"/>
        <v>UTILIZOU O PDA CORRETAMENTE</v>
      </c>
      <c r="AH138" s="144" t="s">
        <v>204</v>
      </c>
      <c r="AI138" s="210" t="s">
        <v>6</v>
      </c>
      <c r="AJ138" s="97" t="str">
        <f t="shared" si="12"/>
        <v>GUARULHOS</v>
      </c>
      <c r="AK138" s="213" t="s">
        <v>39</v>
      </c>
      <c r="AL138" s="53">
        <v>0.13883799640159256</v>
      </c>
      <c r="AM138" s="53" t="str" cm="1">
        <f t="array" ref="AM138">IF(OR(O138&lt;&gt;"", SUMPRODUCT(($AN$2:$AN$5000=AN138)*($AL$2:$AL$5000&lt;=AL138)) &lt;= (COUNTIF($AN$2:$AN$5000,AN138)*0.5)), "SORTEADO", "-")</f>
        <v>SORTEADO</v>
      </c>
      <c r="AN138" s="232" t="s">
        <v>525</v>
      </c>
    </row>
    <row r="139" spans="1:40" ht="30" hidden="1" customHeight="1" x14ac:dyDescent="0.2">
      <c r="A139" s="231" t="s">
        <v>197</v>
      </c>
      <c r="B139" s="231">
        <v>2689677695</v>
      </c>
      <c r="C139" s="231" t="s">
        <v>102</v>
      </c>
      <c r="D139" s="231" t="s">
        <v>80</v>
      </c>
      <c r="E139" s="231" t="s">
        <v>198</v>
      </c>
      <c r="F139" s="231" t="s">
        <v>556</v>
      </c>
      <c r="G139" s="231">
        <v>195</v>
      </c>
      <c r="H139" s="231"/>
      <c r="I139" s="231" t="s">
        <v>557</v>
      </c>
      <c r="J139" s="231" t="s">
        <v>270</v>
      </c>
      <c r="K139" s="231"/>
      <c r="L139" s="232" t="s">
        <v>525</v>
      </c>
      <c r="M139" s="232">
        <v>46177.572222222225</v>
      </c>
      <c r="N139" s="231" t="s">
        <v>228</v>
      </c>
      <c r="O139" s="158"/>
      <c r="P139" s="92"/>
      <c r="Q139" s="146"/>
      <c r="R139" s="92"/>
      <c r="S139" s="146"/>
      <c r="T139" s="92"/>
      <c r="U139" s="146"/>
      <c r="V139" s="92"/>
      <c r="W139" s="146"/>
      <c r="X139" s="92"/>
      <c r="Y139" s="146"/>
      <c r="Z139" s="92"/>
      <c r="AA139" s="146"/>
      <c r="AB139" s="92"/>
      <c r="AC139" s="146"/>
      <c r="AD139" s="92"/>
      <c r="AE139" s="146"/>
      <c r="AF139" s="187" t="str">
        <f t="shared" si="11"/>
        <v/>
      </c>
      <c r="AG139" s="54" t="b">
        <f t="shared" si="13"/>
        <v>0</v>
      </c>
      <c r="AH139" s="146"/>
      <c r="AI139" s="210" t="s">
        <v>6</v>
      </c>
      <c r="AJ139" s="97" t="str">
        <f t="shared" si="12"/>
        <v>GUARULHOS</v>
      </c>
      <c r="AK139" s="213" t="s">
        <v>39</v>
      </c>
      <c r="AL139" s="53">
        <v>0.48188134945965388</v>
      </c>
      <c r="AM139" s="53" t="str" cm="1">
        <f t="array" ref="AM139">IF(OR(O139&lt;&gt;"", SUMPRODUCT(($AN$2:$AN$5000=AN139)*($AL$2:$AL$5000&lt;=AL139)) &lt;= (COUNTIF($AN$2:$AN$5000,AN139)*0.5)), "SORTEADO", "-")</f>
        <v>-</v>
      </c>
      <c r="AN139" s="232" t="s">
        <v>525</v>
      </c>
    </row>
    <row r="140" spans="1:40" ht="30" hidden="1" customHeight="1" x14ac:dyDescent="0.2">
      <c r="A140" s="231" t="s">
        <v>197</v>
      </c>
      <c r="B140" s="231">
        <v>2689642727</v>
      </c>
      <c r="C140" s="231" t="s">
        <v>88</v>
      </c>
      <c r="D140" s="231" t="s">
        <v>77</v>
      </c>
      <c r="E140" s="231" t="s">
        <v>198</v>
      </c>
      <c r="F140" s="231" t="s">
        <v>558</v>
      </c>
      <c r="G140" s="231">
        <v>250</v>
      </c>
      <c r="H140" s="231" t="s">
        <v>488</v>
      </c>
      <c r="I140" s="231" t="s">
        <v>559</v>
      </c>
      <c r="J140" s="231" t="s">
        <v>401</v>
      </c>
      <c r="K140" s="231" t="s">
        <v>560</v>
      </c>
      <c r="L140" s="232" t="s">
        <v>525</v>
      </c>
      <c r="M140" s="232">
        <v>46177.529166666667</v>
      </c>
      <c r="N140" s="231" t="s">
        <v>303</v>
      </c>
      <c r="O140" s="158"/>
      <c r="P140" s="92"/>
      <c r="Q140" s="146"/>
      <c r="R140" s="92"/>
      <c r="S140" s="146"/>
      <c r="T140" s="92"/>
      <c r="U140" s="146"/>
      <c r="V140" s="92"/>
      <c r="W140" s="146"/>
      <c r="X140" s="92"/>
      <c r="Y140" s="146"/>
      <c r="Z140" s="92"/>
      <c r="AA140" s="146"/>
      <c r="AB140" s="92"/>
      <c r="AC140" s="146"/>
      <c r="AD140" s="92"/>
      <c r="AE140" s="146"/>
      <c r="AF140" s="187" t="str">
        <f t="shared" si="11"/>
        <v/>
      </c>
      <c r="AG140" s="54" t="b">
        <f t="shared" si="13"/>
        <v>0</v>
      </c>
      <c r="AH140" s="146"/>
      <c r="AI140" s="210" t="s">
        <v>6</v>
      </c>
      <c r="AJ140" s="97" t="str">
        <f t="shared" si="12"/>
        <v>GUARULHOS</v>
      </c>
      <c r="AK140" s="213" t="s">
        <v>39</v>
      </c>
      <c r="AL140" s="53">
        <v>0.31724879985623677</v>
      </c>
      <c r="AM140" s="53" t="str" cm="1">
        <f t="array" ref="AM140">IF(OR(O140&lt;&gt;"", SUMPRODUCT(($AN$2:$AN$5000=AN140)*($AL$2:$AL$5000&lt;=AL140)) &lt;= (COUNTIF($AN$2:$AN$5000,AN140)*0.5)), "SORTEADO", "-")</f>
        <v>-</v>
      </c>
      <c r="AN140" s="232" t="s">
        <v>525</v>
      </c>
    </row>
    <row r="141" spans="1:40" ht="30" hidden="1" customHeight="1" x14ac:dyDescent="0.2">
      <c r="A141" s="231" t="s">
        <v>197</v>
      </c>
      <c r="B141" s="231">
        <v>2614485002</v>
      </c>
      <c r="C141" s="231" t="s">
        <v>102</v>
      </c>
      <c r="D141" s="231" t="s">
        <v>80</v>
      </c>
      <c r="E141" s="231" t="s">
        <v>198</v>
      </c>
      <c r="F141" s="231" t="s">
        <v>561</v>
      </c>
      <c r="G141" s="231">
        <v>308</v>
      </c>
      <c r="H141" s="231" t="s">
        <v>562</v>
      </c>
      <c r="I141" s="231" t="s">
        <v>485</v>
      </c>
      <c r="J141" s="231" t="s">
        <v>270</v>
      </c>
      <c r="K141" s="231" t="s">
        <v>213</v>
      </c>
      <c r="L141" s="232" t="s">
        <v>525</v>
      </c>
      <c r="M141" s="232">
        <v>46177.711111111108</v>
      </c>
      <c r="N141" s="231" t="s">
        <v>381</v>
      </c>
      <c r="O141" s="158"/>
      <c r="P141" s="92"/>
      <c r="Q141" s="146"/>
      <c r="R141" s="92"/>
      <c r="S141" s="146"/>
      <c r="T141" s="92"/>
      <c r="U141" s="146"/>
      <c r="V141" s="92"/>
      <c r="W141" s="146"/>
      <c r="X141" s="92"/>
      <c r="Y141" s="146"/>
      <c r="Z141" s="92"/>
      <c r="AA141" s="146"/>
      <c r="AB141" s="92"/>
      <c r="AC141" s="146"/>
      <c r="AD141" s="92"/>
      <c r="AE141" s="146"/>
      <c r="AF141" s="187" t="str">
        <f t="shared" si="11"/>
        <v/>
      </c>
      <c r="AG141" s="54" t="b">
        <f t="shared" si="13"/>
        <v>0</v>
      </c>
      <c r="AH141" s="146"/>
      <c r="AI141" s="210" t="s">
        <v>6</v>
      </c>
      <c r="AJ141" s="97" t="str">
        <f t="shared" si="12"/>
        <v>GUARULHOS</v>
      </c>
      <c r="AK141" s="213" t="s">
        <v>39</v>
      </c>
      <c r="AL141" s="53">
        <v>0.88782249381720513</v>
      </c>
      <c r="AM141" s="53" t="str" cm="1">
        <f t="array" ref="AM141">IF(OR(O141&lt;&gt;"", SUMPRODUCT(($AN$2:$AN$5000=AN141)*($AL$2:$AL$5000&lt;=AL141)) &lt;= (COUNTIF($AN$2:$AN$5000,AN141)*0.5)), "SORTEADO", "-")</f>
        <v>-</v>
      </c>
      <c r="AN141" s="232" t="s">
        <v>525</v>
      </c>
    </row>
    <row r="142" spans="1:40" ht="30" customHeight="1" x14ac:dyDescent="0.2">
      <c r="A142" s="231" t="s">
        <v>197</v>
      </c>
      <c r="B142" s="231">
        <v>2614497781</v>
      </c>
      <c r="C142" s="231" t="s">
        <v>100</v>
      </c>
      <c r="D142" s="231" t="s">
        <v>78</v>
      </c>
      <c r="E142" s="231" t="s">
        <v>198</v>
      </c>
      <c r="F142" s="231" t="s">
        <v>275</v>
      </c>
      <c r="G142" s="231">
        <v>10</v>
      </c>
      <c r="H142" s="231" t="s">
        <v>555</v>
      </c>
      <c r="I142" s="231" t="s">
        <v>277</v>
      </c>
      <c r="J142" s="231" t="s">
        <v>248</v>
      </c>
      <c r="K142" s="231" t="s">
        <v>321</v>
      </c>
      <c r="L142" s="232" t="s">
        <v>525</v>
      </c>
      <c r="M142" s="232">
        <v>46177.695138888892</v>
      </c>
      <c r="N142" s="231" t="s">
        <v>322</v>
      </c>
      <c r="O142" s="157" t="s">
        <v>328</v>
      </c>
      <c r="P142" s="143"/>
      <c r="Q142" s="144" t="s">
        <v>328</v>
      </c>
      <c r="R142" s="143"/>
      <c r="S142" s="144" t="s">
        <v>328</v>
      </c>
      <c r="T142" s="143"/>
      <c r="U142" s="144" t="s">
        <v>328</v>
      </c>
      <c r="V142" s="143"/>
      <c r="W142" s="144" t="s">
        <v>328</v>
      </c>
      <c r="X142" s="143"/>
      <c r="Y142" s="144" t="s">
        <v>328</v>
      </c>
      <c r="Z142" s="143"/>
      <c r="AA142" s="144" t="s">
        <v>328</v>
      </c>
      <c r="AB142" s="143"/>
      <c r="AC142" s="144" t="s">
        <v>328</v>
      </c>
      <c r="AD142" s="56"/>
      <c r="AE142" s="144" t="s">
        <v>210</v>
      </c>
      <c r="AF142" s="187" t="str">
        <f t="shared" si="11"/>
        <v>NC</v>
      </c>
      <c r="AG142" s="54" t="str">
        <f t="shared" si="13"/>
        <v>NÃO UTILIZOU O PDA</v>
      </c>
      <c r="AH142" s="144" t="s">
        <v>204</v>
      </c>
      <c r="AI142" s="210" t="s">
        <v>6</v>
      </c>
      <c r="AJ142" s="97" t="str">
        <f t="shared" si="12"/>
        <v>GUARULHOS</v>
      </c>
      <c r="AK142" s="213" t="s">
        <v>39</v>
      </c>
      <c r="AL142" s="53">
        <v>0.24320177437305468</v>
      </c>
      <c r="AM142" s="53" t="str" cm="1">
        <f t="array" ref="AM142">IF(OR(O142&lt;&gt;"", SUMPRODUCT(($AN$2:$AN$5000=AN142)*($AL$2:$AL$5000&lt;=AL142)) &lt;= (COUNTIF($AN$2:$AN$5000,AN142)*0.5)), "SORTEADO", "-")</f>
        <v>SORTEADO</v>
      </c>
      <c r="AN142" s="232" t="s">
        <v>525</v>
      </c>
    </row>
    <row r="143" spans="1:40" ht="30" hidden="1" customHeight="1" x14ac:dyDescent="0.2">
      <c r="A143" s="231" t="s">
        <v>197</v>
      </c>
      <c r="B143" s="231">
        <v>2614498395</v>
      </c>
      <c r="C143" s="231" t="s">
        <v>105</v>
      </c>
      <c r="D143" s="231" t="s">
        <v>80</v>
      </c>
      <c r="E143" s="231" t="s">
        <v>198</v>
      </c>
      <c r="F143" s="231" t="s">
        <v>563</v>
      </c>
      <c r="G143" s="231">
        <v>82</v>
      </c>
      <c r="H143" s="231" t="s">
        <v>564</v>
      </c>
      <c r="I143" s="231" t="s">
        <v>565</v>
      </c>
      <c r="J143" s="231" t="s">
        <v>226</v>
      </c>
      <c r="K143" s="231" t="s">
        <v>566</v>
      </c>
      <c r="L143" s="232" t="s">
        <v>525</v>
      </c>
      <c r="M143" s="232">
        <v>46177.716666666667</v>
      </c>
      <c r="N143" s="231" t="s">
        <v>303</v>
      </c>
      <c r="O143" s="158"/>
      <c r="P143" s="92"/>
      <c r="Q143" s="146"/>
      <c r="R143" s="92"/>
      <c r="S143" s="146"/>
      <c r="T143" s="92"/>
      <c r="U143" s="146"/>
      <c r="V143" s="92"/>
      <c r="W143" s="146"/>
      <c r="X143" s="92"/>
      <c r="Y143" s="146"/>
      <c r="Z143" s="92"/>
      <c r="AA143" s="146"/>
      <c r="AB143" s="92"/>
      <c r="AC143" s="146"/>
      <c r="AD143" s="92"/>
      <c r="AE143" s="146"/>
      <c r="AF143" s="187" t="str">
        <f t="shared" si="11"/>
        <v/>
      </c>
      <c r="AG143" s="54" t="b">
        <f t="shared" si="13"/>
        <v>0</v>
      </c>
      <c r="AH143" s="146"/>
      <c r="AI143" s="210" t="s">
        <v>6</v>
      </c>
      <c r="AJ143" s="97" t="str">
        <f t="shared" si="12"/>
        <v>GUARULHOS</v>
      </c>
      <c r="AK143" s="213" t="s">
        <v>39</v>
      </c>
      <c r="AL143" s="53">
        <v>0.87124126702316584</v>
      </c>
      <c r="AM143" s="53" t="str" cm="1">
        <f t="array" ref="AM143">IF(OR(O143&lt;&gt;"", SUMPRODUCT(($AN$2:$AN$5000=AN143)*($AL$2:$AL$5000&lt;=AL143)) &lt;= (COUNTIF($AN$2:$AN$5000,AN143)*0.5)), "SORTEADO", "-")</f>
        <v>-</v>
      </c>
      <c r="AN143" s="232" t="s">
        <v>525</v>
      </c>
    </row>
    <row r="144" spans="1:40" ht="30" customHeight="1" x14ac:dyDescent="0.2">
      <c r="A144" s="231" t="s">
        <v>197</v>
      </c>
      <c r="B144" s="231">
        <v>2614498700</v>
      </c>
      <c r="C144" s="231" t="s">
        <v>105</v>
      </c>
      <c r="D144" s="231" t="s">
        <v>80</v>
      </c>
      <c r="E144" s="231" t="s">
        <v>198</v>
      </c>
      <c r="F144" s="231" t="s">
        <v>567</v>
      </c>
      <c r="G144" s="231">
        <v>3133</v>
      </c>
      <c r="H144" s="231" t="s">
        <v>568</v>
      </c>
      <c r="I144" s="231" t="s">
        <v>281</v>
      </c>
      <c r="J144" s="231" t="s">
        <v>226</v>
      </c>
      <c r="K144" s="238" t="s">
        <v>569</v>
      </c>
      <c r="L144" s="232" t="s">
        <v>525</v>
      </c>
      <c r="M144" s="232">
        <v>46177.680555555555</v>
      </c>
      <c r="N144" s="231" t="s">
        <v>271</v>
      </c>
      <c r="O144" s="158" t="s">
        <v>204</v>
      </c>
      <c r="P144" s="92"/>
      <c r="Q144" s="146" t="s">
        <v>204</v>
      </c>
      <c r="R144" s="92"/>
      <c r="S144" s="146" t="s">
        <v>204</v>
      </c>
      <c r="T144" s="92"/>
      <c r="U144" s="146" t="s">
        <v>204</v>
      </c>
      <c r="V144" s="92"/>
      <c r="W144" s="146" t="s">
        <v>204</v>
      </c>
      <c r="X144" s="92"/>
      <c r="Y144" s="146" t="s">
        <v>61</v>
      </c>
      <c r="Z144" s="92"/>
      <c r="AA144" s="146" t="s">
        <v>204</v>
      </c>
      <c r="AB144" s="92"/>
      <c r="AC144" s="146" t="s">
        <v>204</v>
      </c>
      <c r="AD144" s="92"/>
      <c r="AE144" s="146" t="s">
        <v>204</v>
      </c>
      <c r="AF144" s="187" t="str">
        <f t="shared" si="11"/>
        <v>C</v>
      </c>
      <c r="AG144" s="54" t="str">
        <f t="shared" si="13"/>
        <v>UTILIZOU O PDA CORRETAMENTE</v>
      </c>
      <c r="AH144" s="144" t="s">
        <v>204</v>
      </c>
      <c r="AI144" s="210" t="s">
        <v>6</v>
      </c>
      <c r="AJ144" s="97" t="str">
        <f t="shared" si="12"/>
        <v>GUARULHOS</v>
      </c>
      <c r="AK144" s="213" t="s">
        <v>39</v>
      </c>
      <c r="AL144" s="53">
        <v>0.24692852120689657</v>
      </c>
      <c r="AM144" s="53" t="str" cm="1">
        <f t="array" ref="AM144">IF(OR(O144&lt;&gt;"", SUMPRODUCT(($AN$2:$AN$5000=AN144)*($AL$2:$AL$5000&lt;=AL144)) &lt;= (COUNTIF($AN$2:$AN$5000,AN144)*0.5)), "SORTEADO", "-")</f>
        <v>SORTEADO</v>
      </c>
      <c r="AN144" s="232" t="s">
        <v>525</v>
      </c>
    </row>
    <row r="145" spans="1:40" ht="30" hidden="1" customHeight="1" x14ac:dyDescent="0.2">
      <c r="A145" s="231" t="s">
        <v>197</v>
      </c>
      <c r="B145" s="231">
        <v>2614437468</v>
      </c>
      <c r="C145" s="231" t="s">
        <v>98</v>
      </c>
      <c r="D145" s="231" t="s">
        <v>80</v>
      </c>
      <c r="E145" s="231" t="s">
        <v>198</v>
      </c>
      <c r="F145" s="231" t="s">
        <v>570</v>
      </c>
      <c r="G145" s="231">
        <v>353</v>
      </c>
      <c r="H145" s="231" t="s">
        <v>571</v>
      </c>
      <c r="I145" s="231" t="s">
        <v>572</v>
      </c>
      <c r="J145" s="231" t="s">
        <v>297</v>
      </c>
      <c r="K145" s="231" t="s">
        <v>213</v>
      </c>
      <c r="L145" s="232" t="s">
        <v>525</v>
      </c>
      <c r="M145" s="232">
        <v>46177.655555555553</v>
      </c>
      <c r="N145" s="231" t="s">
        <v>263</v>
      </c>
      <c r="O145" s="158"/>
      <c r="P145" s="92"/>
      <c r="Q145" s="146"/>
      <c r="R145" s="92"/>
      <c r="S145" s="146"/>
      <c r="T145" s="92"/>
      <c r="U145" s="146"/>
      <c r="V145" s="92"/>
      <c r="W145" s="146"/>
      <c r="X145" s="92"/>
      <c r="Y145" s="146"/>
      <c r="Z145" s="92"/>
      <c r="AA145" s="146"/>
      <c r="AB145" s="92"/>
      <c r="AC145" s="146"/>
      <c r="AD145" s="92"/>
      <c r="AE145" s="146"/>
      <c r="AF145" s="187" t="str">
        <f t="shared" si="11"/>
        <v/>
      </c>
      <c r="AG145" s="54" t="b">
        <f t="shared" si="13"/>
        <v>0</v>
      </c>
      <c r="AH145" s="146"/>
      <c r="AI145" s="210" t="s">
        <v>6</v>
      </c>
      <c r="AJ145" s="97" t="str">
        <f t="shared" si="12"/>
        <v>GUARULHOS</v>
      </c>
      <c r="AK145" s="213" t="s">
        <v>39</v>
      </c>
      <c r="AL145" s="53">
        <v>0.63996155505584928</v>
      </c>
      <c r="AM145" s="53" t="str" cm="1">
        <f t="array" ref="AM145">IF(OR(O145&lt;&gt;"", SUMPRODUCT(($AN$2:$AN$5000=AN145)*($AL$2:$AL$5000&lt;=AL145)) &lt;= (COUNTIF($AN$2:$AN$5000,AN145)*0.5)), "SORTEADO", "-")</f>
        <v>-</v>
      </c>
      <c r="AN145" s="232" t="s">
        <v>525</v>
      </c>
    </row>
    <row r="146" spans="1:40" ht="30" customHeight="1" x14ac:dyDescent="0.2">
      <c r="A146" s="231" t="s">
        <v>197</v>
      </c>
      <c r="B146" s="231">
        <v>2614504003</v>
      </c>
      <c r="C146" s="231" t="s">
        <v>100</v>
      </c>
      <c r="D146" s="231" t="s">
        <v>78</v>
      </c>
      <c r="E146" s="231" t="s">
        <v>198</v>
      </c>
      <c r="F146" s="231" t="s">
        <v>533</v>
      </c>
      <c r="G146" s="231">
        <v>298</v>
      </c>
      <c r="H146" s="231" t="s">
        <v>460</v>
      </c>
      <c r="I146" s="231" t="s">
        <v>214</v>
      </c>
      <c r="J146" s="231" t="s">
        <v>248</v>
      </c>
      <c r="K146" s="238" t="s">
        <v>573</v>
      </c>
      <c r="L146" s="232" t="s">
        <v>525</v>
      </c>
      <c r="M146" s="232">
        <v>46177.670138888891</v>
      </c>
      <c r="N146" s="231" t="s">
        <v>215</v>
      </c>
      <c r="O146" s="158" t="s">
        <v>204</v>
      </c>
      <c r="P146" s="92"/>
      <c r="Q146" s="146" t="s">
        <v>204</v>
      </c>
      <c r="R146" s="92"/>
      <c r="S146" s="146" t="s">
        <v>204</v>
      </c>
      <c r="T146" s="92"/>
      <c r="U146" s="146" t="s">
        <v>328</v>
      </c>
      <c r="V146" s="92"/>
      <c r="W146" s="146" t="s">
        <v>328</v>
      </c>
      <c r="X146" s="92"/>
      <c r="Y146" s="146" t="s">
        <v>328</v>
      </c>
      <c r="Z146" s="92"/>
      <c r="AA146" s="146" t="s">
        <v>328</v>
      </c>
      <c r="AB146" s="92"/>
      <c r="AC146" s="146" t="s">
        <v>328</v>
      </c>
      <c r="AD146" s="92"/>
      <c r="AE146" s="146" t="s">
        <v>204</v>
      </c>
      <c r="AF146" s="187" t="str">
        <f t="shared" si="11"/>
        <v>NC</v>
      </c>
      <c r="AG146" s="54" t="str">
        <f t="shared" si="13"/>
        <v>UTILIZOU O PDA CORRETAMENTE. NÃO HÁ FOTOS DE TODAS AS ETAPAS</v>
      </c>
      <c r="AH146" s="146" t="s">
        <v>204</v>
      </c>
      <c r="AI146" s="210" t="s">
        <v>6</v>
      </c>
      <c r="AJ146" s="97" t="str">
        <f t="shared" si="12"/>
        <v>GUARULHOS</v>
      </c>
      <c r="AK146" s="213" t="s">
        <v>39</v>
      </c>
      <c r="AL146" s="53">
        <v>-2.9000000000000001E-2</v>
      </c>
      <c r="AM146" s="53" t="str" cm="1">
        <f t="array" ref="AM146">IF(OR(O146&lt;&gt;"", SUMPRODUCT(($AN$2:$AN$5000=AN146)*($AL$2:$AL$5000&lt;=AL146)) &lt;= (COUNTIF($AN$2:$AN$5000,AN146)*0.5)), "SORTEADO", "-")</f>
        <v>SORTEADO</v>
      </c>
      <c r="AN146" s="232" t="s">
        <v>525</v>
      </c>
    </row>
    <row r="147" spans="1:40" ht="30" hidden="1" customHeight="1" x14ac:dyDescent="0.2">
      <c r="A147" s="231" t="s">
        <v>197</v>
      </c>
      <c r="B147" s="231">
        <v>2689666861</v>
      </c>
      <c r="C147" s="231" t="s">
        <v>88</v>
      </c>
      <c r="D147" s="231" t="s">
        <v>77</v>
      </c>
      <c r="E147" s="231" t="s">
        <v>198</v>
      </c>
      <c r="F147" s="231" t="s">
        <v>574</v>
      </c>
      <c r="G147" s="231">
        <v>98</v>
      </c>
      <c r="H147" s="231" t="s">
        <v>575</v>
      </c>
      <c r="I147" s="231" t="s">
        <v>425</v>
      </c>
      <c r="J147" s="231" t="s">
        <v>401</v>
      </c>
      <c r="K147" s="231" t="s">
        <v>576</v>
      </c>
      <c r="L147" s="232" t="s">
        <v>525</v>
      </c>
      <c r="M147" s="232">
        <v>46177.738194444442</v>
      </c>
      <c r="N147" s="231" t="s">
        <v>241</v>
      </c>
      <c r="O147" s="158"/>
      <c r="P147" s="92"/>
      <c r="Q147" s="146"/>
      <c r="R147" s="92"/>
      <c r="S147" s="146"/>
      <c r="T147" s="92"/>
      <c r="U147" s="146"/>
      <c r="V147" s="92"/>
      <c r="W147" s="146"/>
      <c r="X147" s="92"/>
      <c r="Y147" s="146"/>
      <c r="Z147" s="92"/>
      <c r="AA147" s="146"/>
      <c r="AB147" s="92"/>
      <c r="AC147" s="146"/>
      <c r="AD147" s="92"/>
      <c r="AE147" s="146"/>
      <c r="AF147" s="187" t="str">
        <f t="shared" si="11"/>
        <v/>
      </c>
      <c r="AG147" s="54" t="b">
        <f t="shared" si="13"/>
        <v>0</v>
      </c>
      <c r="AH147" s="146"/>
      <c r="AI147" s="210" t="s">
        <v>6</v>
      </c>
      <c r="AJ147" s="97" t="str">
        <f t="shared" si="12"/>
        <v>GUARULHOS</v>
      </c>
      <c r="AK147" s="213" t="s">
        <v>39</v>
      </c>
      <c r="AL147" s="53">
        <v>0.56665845840275453</v>
      </c>
      <c r="AM147" s="53" t="str" cm="1">
        <f t="array" ref="AM147">IF(OR(O147&lt;&gt;"", SUMPRODUCT(($AN$2:$AN$5000=AN147)*($AL$2:$AL$5000&lt;=AL147)) &lt;= (COUNTIF($AN$2:$AN$5000,AN147)*0.5)), "SORTEADO", "-")</f>
        <v>-</v>
      </c>
      <c r="AN147" s="232" t="s">
        <v>525</v>
      </c>
    </row>
    <row r="148" spans="1:40" ht="30" hidden="1" customHeight="1" x14ac:dyDescent="0.2">
      <c r="A148" s="231" t="s">
        <v>197</v>
      </c>
      <c r="B148" s="231">
        <v>2614516947</v>
      </c>
      <c r="C148" s="231" t="s">
        <v>105</v>
      </c>
      <c r="D148" s="231" t="s">
        <v>80</v>
      </c>
      <c r="E148" s="231" t="s">
        <v>198</v>
      </c>
      <c r="F148" s="231" t="s">
        <v>577</v>
      </c>
      <c r="G148" s="231">
        <v>136</v>
      </c>
      <c r="H148" s="231" t="s">
        <v>578</v>
      </c>
      <c r="I148" s="231" t="s">
        <v>379</v>
      </c>
      <c r="J148" s="231" t="s">
        <v>226</v>
      </c>
      <c r="K148" s="231" t="s">
        <v>579</v>
      </c>
      <c r="L148" s="232" t="s">
        <v>580</v>
      </c>
      <c r="M148" s="232">
        <v>46207.39166666667</v>
      </c>
      <c r="N148" s="231" t="s">
        <v>237</v>
      </c>
      <c r="O148" s="158"/>
      <c r="P148" s="92"/>
      <c r="Q148" s="146"/>
      <c r="R148" s="92"/>
      <c r="S148" s="146"/>
      <c r="T148" s="92"/>
      <c r="U148" s="146"/>
      <c r="V148" s="92"/>
      <c r="W148" s="146"/>
      <c r="X148" s="92"/>
      <c r="Y148" s="146"/>
      <c r="Z148" s="92"/>
      <c r="AA148" s="146"/>
      <c r="AB148" s="92"/>
      <c r="AC148" s="146"/>
      <c r="AD148" s="92"/>
      <c r="AE148" s="146"/>
      <c r="AF148" s="187" t="str">
        <f t="shared" si="11"/>
        <v/>
      </c>
      <c r="AG148" s="54" t="b">
        <f t="shared" si="13"/>
        <v>0</v>
      </c>
      <c r="AH148" s="146"/>
      <c r="AI148" s="210" t="s">
        <v>6</v>
      </c>
      <c r="AJ148" s="97" t="str">
        <f t="shared" si="12"/>
        <v>GUARULHOS</v>
      </c>
      <c r="AK148" s="213" t="s">
        <v>39</v>
      </c>
      <c r="AL148" s="53">
        <v>0.41445113241295728</v>
      </c>
      <c r="AM148" s="53" t="str" cm="1">
        <f t="array" ref="AM148">IF(OR(O148&lt;&gt;"", SUMPRODUCT(($AN$2:$AN$5000=AN148)*($AL$2:$AL$5000&lt;=AL148)) &lt;= (COUNTIF($AN$2:$AN$5000,AN148)*0.5)), "SORTEADO", "-")</f>
        <v>-</v>
      </c>
      <c r="AN148" s="232" t="s">
        <v>580</v>
      </c>
    </row>
    <row r="149" spans="1:40" ht="30" customHeight="1" x14ac:dyDescent="0.2">
      <c r="A149" s="231" t="s">
        <v>197</v>
      </c>
      <c r="B149" s="231">
        <v>2614168969</v>
      </c>
      <c r="C149" s="231" t="s">
        <v>83</v>
      </c>
      <c r="D149" s="231" t="s">
        <v>76</v>
      </c>
      <c r="E149" s="231" t="s">
        <v>198</v>
      </c>
      <c r="F149" s="231" t="s">
        <v>581</v>
      </c>
      <c r="G149" s="231">
        <v>132</v>
      </c>
      <c r="H149" s="231" t="s">
        <v>459</v>
      </c>
      <c r="I149" s="231" t="s">
        <v>582</v>
      </c>
      <c r="J149" s="231" t="s">
        <v>219</v>
      </c>
      <c r="K149" s="231" t="s">
        <v>213</v>
      </c>
      <c r="L149" s="232" t="s">
        <v>580</v>
      </c>
      <c r="M149" s="232">
        <v>46207.40625</v>
      </c>
      <c r="N149" s="231" t="s">
        <v>203</v>
      </c>
      <c r="O149" s="158" t="s">
        <v>204</v>
      </c>
      <c r="P149" s="92"/>
      <c r="Q149" s="146" t="s">
        <v>204</v>
      </c>
      <c r="R149" s="92"/>
      <c r="S149" s="146" t="s">
        <v>204</v>
      </c>
      <c r="T149" s="92"/>
      <c r="U149" s="146" t="s">
        <v>204</v>
      </c>
      <c r="V149" s="92"/>
      <c r="W149" s="146" t="s">
        <v>204</v>
      </c>
      <c r="X149" s="92"/>
      <c r="Y149" s="146" t="s">
        <v>61</v>
      </c>
      <c r="Z149" s="92"/>
      <c r="AA149" s="146" t="s">
        <v>204</v>
      </c>
      <c r="AB149" s="92"/>
      <c r="AC149" s="146" t="s">
        <v>204</v>
      </c>
      <c r="AD149" s="92"/>
      <c r="AE149" s="146" t="s">
        <v>204</v>
      </c>
      <c r="AF149" s="187" t="str">
        <f t="shared" si="11"/>
        <v>C</v>
      </c>
      <c r="AG149" s="54" t="str">
        <f t="shared" si="13"/>
        <v>UTILIZOU O PDA CORRETAMENTE</v>
      </c>
      <c r="AH149" s="146" t="s">
        <v>204</v>
      </c>
      <c r="AI149" s="210" t="s">
        <v>6</v>
      </c>
      <c r="AJ149" s="97" t="str">
        <f t="shared" si="12"/>
        <v>GUARULHOS</v>
      </c>
      <c r="AK149" s="213" t="s">
        <v>39</v>
      </c>
      <c r="AL149" s="53">
        <v>-2.9600000000000001E-2</v>
      </c>
      <c r="AM149" s="53" t="str" cm="1">
        <f t="array" ref="AM149">IF(OR(O149&lt;&gt;"", SUMPRODUCT(($AN$2:$AN$5000=AN149)*($AL$2:$AL$5000&lt;=AL149)) &lt;= (COUNTIF($AN$2:$AN$5000,AN149)*0.5)), "SORTEADO", "-")</f>
        <v>SORTEADO</v>
      </c>
      <c r="AN149" s="232" t="s">
        <v>580</v>
      </c>
    </row>
    <row r="150" spans="1:40" ht="30" customHeight="1" x14ac:dyDescent="0.2">
      <c r="A150" s="231" t="s">
        <v>197</v>
      </c>
      <c r="B150" s="231">
        <v>2614160147</v>
      </c>
      <c r="C150" s="231" t="s">
        <v>93</v>
      </c>
      <c r="D150" s="231" t="s">
        <v>76</v>
      </c>
      <c r="E150" s="231" t="s">
        <v>198</v>
      </c>
      <c r="F150" s="231" t="s">
        <v>583</v>
      </c>
      <c r="G150" s="231">
        <v>207</v>
      </c>
      <c r="H150" s="231" t="s">
        <v>206</v>
      </c>
      <c r="I150" s="231" t="s">
        <v>584</v>
      </c>
      <c r="J150" s="231" t="s">
        <v>93</v>
      </c>
      <c r="K150" s="231"/>
      <c r="L150" s="232" t="s">
        <v>580</v>
      </c>
      <c r="M150" s="232">
        <v>46207.42083333333</v>
      </c>
      <c r="N150" s="231" t="s">
        <v>215</v>
      </c>
      <c r="O150" s="158" t="s">
        <v>204</v>
      </c>
      <c r="P150" s="92"/>
      <c r="Q150" s="146" t="s">
        <v>204</v>
      </c>
      <c r="R150" s="92"/>
      <c r="S150" s="146" t="s">
        <v>204</v>
      </c>
      <c r="T150" s="92"/>
      <c r="U150" s="146" t="s">
        <v>204</v>
      </c>
      <c r="V150" s="92"/>
      <c r="W150" s="146" t="s">
        <v>204</v>
      </c>
      <c r="X150" s="92"/>
      <c r="Y150" s="146" t="s">
        <v>61</v>
      </c>
      <c r="Z150" s="92"/>
      <c r="AA150" s="146" t="s">
        <v>204</v>
      </c>
      <c r="AB150" s="92"/>
      <c r="AC150" s="146" t="s">
        <v>204</v>
      </c>
      <c r="AD150" s="92"/>
      <c r="AE150" s="146" t="s">
        <v>204</v>
      </c>
      <c r="AF150" s="187" t="str">
        <f t="shared" si="11"/>
        <v>C</v>
      </c>
      <c r="AG150" s="54" t="str">
        <f t="shared" si="13"/>
        <v>UTILIZOU O PDA CORRETAMENTE</v>
      </c>
      <c r="AH150" s="146" t="s">
        <v>204</v>
      </c>
      <c r="AI150" s="210" t="s">
        <v>6</v>
      </c>
      <c r="AJ150" s="97" t="str">
        <f t="shared" si="12"/>
        <v>GUARULHOS</v>
      </c>
      <c r="AK150" s="213" t="s">
        <v>39</v>
      </c>
      <c r="AL150" s="53">
        <v>-2.98E-2</v>
      </c>
      <c r="AM150" s="53" t="str" cm="1">
        <f t="array" ref="AM150">IF(OR(O150&lt;&gt;"", SUMPRODUCT(($AN$2:$AN$5000=AN150)*($AL$2:$AL$5000&lt;=AL150)) &lt;= (COUNTIF($AN$2:$AN$5000,AN150)*0.5)), "SORTEADO", "-")</f>
        <v>SORTEADO</v>
      </c>
      <c r="AN150" s="232" t="s">
        <v>580</v>
      </c>
    </row>
    <row r="151" spans="1:40" ht="30" customHeight="1" x14ac:dyDescent="0.2">
      <c r="A151" s="231" t="s">
        <v>197</v>
      </c>
      <c r="B151" s="231">
        <v>2614160149</v>
      </c>
      <c r="C151" s="231" t="s">
        <v>95</v>
      </c>
      <c r="D151" s="231" t="s">
        <v>76</v>
      </c>
      <c r="E151" s="231" t="s">
        <v>198</v>
      </c>
      <c r="F151" s="231" t="s">
        <v>583</v>
      </c>
      <c r="G151" s="231">
        <v>207</v>
      </c>
      <c r="H151" s="231" t="s">
        <v>211</v>
      </c>
      <c r="I151" s="231" t="s">
        <v>584</v>
      </c>
      <c r="J151" s="231" t="s">
        <v>95</v>
      </c>
      <c r="K151" s="231" t="s">
        <v>213</v>
      </c>
      <c r="L151" s="232" t="s">
        <v>580</v>
      </c>
      <c r="M151" s="232">
        <v>46207.415972222225</v>
      </c>
      <c r="N151" s="231" t="s">
        <v>215</v>
      </c>
      <c r="O151" s="158" t="s">
        <v>204</v>
      </c>
      <c r="P151" s="92"/>
      <c r="Q151" s="146" t="s">
        <v>204</v>
      </c>
      <c r="R151" s="92"/>
      <c r="S151" s="146" t="s">
        <v>204</v>
      </c>
      <c r="T151" s="92"/>
      <c r="U151" s="146" t="s">
        <v>204</v>
      </c>
      <c r="V151" s="92"/>
      <c r="W151" s="146" t="s">
        <v>204</v>
      </c>
      <c r="X151" s="92"/>
      <c r="Y151" s="146" t="s">
        <v>61</v>
      </c>
      <c r="Z151" s="92"/>
      <c r="AA151" s="146" t="s">
        <v>204</v>
      </c>
      <c r="AB151" s="92"/>
      <c r="AC151" s="146" t="s">
        <v>204</v>
      </c>
      <c r="AD151" s="92"/>
      <c r="AE151" s="146" t="s">
        <v>204</v>
      </c>
      <c r="AF151" s="187" t="str">
        <f t="shared" si="11"/>
        <v>C</v>
      </c>
      <c r="AG151" s="54" t="str">
        <f t="shared" si="13"/>
        <v>UTILIZOU O PDA CORRETAMENTE</v>
      </c>
      <c r="AH151" s="146" t="s">
        <v>204</v>
      </c>
      <c r="AI151" s="210" t="s">
        <v>6</v>
      </c>
      <c r="AJ151" s="97" t="str">
        <f t="shared" si="12"/>
        <v>GUARULHOS</v>
      </c>
      <c r="AK151" s="213" t="s">
        <v>39</v>
      </c>
      <c r="AL151" s="53">
        <v>-0.03</v>
      </c>
      <c r="AM151" s="53" t="str" cm="1">
        <f t="array" ref="AM151">IF(OR(O151&lt;&gt;"", SUMPRODUCT(($AN$2:$AN$5000=AN151)*($AL$2:$AL$5000&lt;=AL151)) &lt;= (COUNTIF($AN$2:$AN$5000,AN151)*0.5)), "SORTEADO", "-")</f>
        <v>SORTEADO</v>
      </c>
      <c r="AN151" s="232" t="s">
        <v>580</v>
      </c>
    </row>
    <row r="152" spans="1:40" ht="30" customHeight="1" x14ac:dyDescent="0.2">
      <c r="A152" s="231" t="s">
        <v>197</v>
      </c>
      <c r="B152" s="231">
        <v>2614114878</v>
      </c>
      <c r="C152" s="231" t="s">
        <v>85</v>
      </c>
      <c r="D152" s="231" t="s">
        <v>76</v>
      </c>
      <c r="E152" s="231" t="s">
        <v>198</v>
      </c>
      <c r="F152" s="231" t="s">
        <v>585</v>
      </c>
      <c r="G152" s="231">
        <v>2152</v>
      </c>
      <c r="H152" s="231"/>
      <c r="I152" s="231" t="s">
        <v>584</v>
      </c>
      <c r="J152" s="231" t="s">
        <v>85</v>
      </c>
      <c r="K152" s="231" t="s">
        <v>586</v>
      </c>
      <c r="L152" s="232" t="s">
        <v>580</v>
      </c>
      <c r="M152" s="232">
        <v>46207.484722222223</v>
      </c>
      <c r="N152" s="231" t="s">
        <v>215</v>
      </c>
      <c r="O152" s="158" t="s">
        <v>204</v>
      </c>
      <c r="P152" s="92"/>
      <c r="Q152" s="146" t="s">
        <v>204</v>
      </c>
      <c r="R152" s="92"/>
      <c r="S152" s="146" t="s">
        <v>204</v>
      </c>
      <c r="T152" s="92"/>
      <c r="U152" s="146" t="s">
        <v>204</v>
      </c>
      <c r="V152" s="92"/>
      <c r="W152" s="146" t="s">
        <v>204</v>
      </c>
      <c r="X152" s="92"/>
      <c r="Y152" s="146" t="s">
        <v>204</v>
      </c>
      <c r="Z152" s="92"/>
      <c r="AA152" s="146" t="s">
        <v>204</v>
      </c>
      <c r="AB152" s="92"/>
      <c r="AC152" s="146" t="s">
        <v>204</v>
      </c>
      <c r="AD152" s="92"/>
      <c r="AE152" s="146" t="s">
        <v>204</v>
      </c>
      <c r="AF152" s="187" t="str">
        <f t="shared" si="11"/>
        <v>C</v>
      </c>
      <c r="AG152" s="54" t="str">
        <f t="shared" si="13"/>
        <v>UTILIZOU O PDA CORRETAMENTE</v>
      </c>
      <c r="AH152" s="146" t="s">
        <v>204</v>
      </c>
      <c r="AI152" s="210" t="s">
        <v>6</v>
      </c>
      <c r="AJ152" s="97" t="str">
        <f t="shared" si="12"/>
        <v>GUARULHOS</v>
      </c>
      <c r="AK152" s="213" t="s">
        <v>39</v>
      </c>
      <c r="AL152" s="53">
        <v>-3.0200000000000001E-2</v>
      </c>
      <c r="AM152" s="53" t="str" cm="1">
        <f t="array" ref="AM152">IF(OR(O152&lt;&gt;"", SUMPRODUCT(($AN$2:$AN$5000=AN152)*($AL$2:$AL$5000&lt;=AL152)) &lt;= (COUNTIF($AN$2:$AN$5000,AN152)*0.5)), "SORTEADO", "-")</f>
        <v>SORTEADO</v>
      </c>
      <c r="AN152" s="232" t="s">
        <v>580</v>
      </c>
    </row>
    <row r="153" spans="1:40" ht="30" customHeight="1" x14ac:dyDescent="0.2">
      <c r="A153" s="231" t="s">
        <v>197</v>
      </c>
      <c r="B153" s="231">
        <v>2614106528</v>
      </c>
      <c r="C153" s="231" t="s">
        <v>85</v>
      </c>
      <c r="D153" s="231" t="s">
        <v>76</v>
      </c>
      <c r="E153" s="231" t="s">
        <v>198</v>
      </c>
      <c r="F153" s="231" t="s">
        <v>587</v>
      </c>
      <c r="G153" s="231">
        <v>14</v>
      </c>
      <c r="H153" s="231" t="s">
        <v>213</v>
      </c>
      <c r="I153" s="231" t="s">
        <v>588</v>
      </c>
      <c r="J153" s="231" t="s">
        <v>85</v>
      </c>
      <c r="K153" s="231" t="s">
        <v>589</v>
      </c>
      <c r="L153" s="232" t="s">
        <v>580</v>
      </c>
      <c r="M153" s="232">
        <v>46207.682638888888</v>
      </c>
      <c r="N153" s="231" t="s">
        <v>203</v>
      </c>
      <c r="O153" s="158" t="s">
        <v>204</v>
      </c>
      <c r="P153" s="92"/>
      <c r="Q153" s="146" t="s">
        <v>204</v>
      </c>
      <c r="R153" s="92"/>
      <c r="S153" s="146" t="s">
        <v>204</v>
      </c>
      <c r="T153" s="92"/>
      <c r="U153" s="146" t="s">
        <v>204</v>
      </c>
      <c r="V153" s="92"/>
      <c r="W153" s="146" t="s">
        <v>204</v>
      </c>
      <c r="X153" s="92"/>
      <c r="Y153" s="146" t="s">
        <v>204</v>
      </c>
      <c r="Z153" s="92"/>
      <c r="AA153" s="146" t="s">
        <v>204</v>
      </c>
      <c r="AB153" s="92"/>
      <c r="AC153" s="146" t="s">
        <v>204</v>
      </c>
      <c r="AD153" s="92"/>
      <c r="AE153" s="146" t="s">
        <v>204</v>
      </c>
      <c r="AF153" s="187" t="str">
        <f t="shared" si="11"/>
        <v>C</v>
      </c>
      <c r="AG153" s="54" t="str">
        <f t="shared" si="13"/>
        <v>UTILIZOU O PDA CORRETAMENTE</v>
      </c>
      <c r="AH153" s="146" t="s">
        <v>204</v>
      </c>
      <c r="AI153" s="210" t="s">
        <v>6</v>
      </c>
      <c r="AJ153" s="97" t="str">
        <f t="shared" si="12"/>
        <v>GUARULHOS</v>
      </c>
      <c r="AK153" s="213" t="s">
        <v>39</v>
      </c>
      <c r="AL153" s="53">
        <v>-3.04E-2</v>
      </c>
      <c r="AM153" s="53" t="str" cm="1">
        <f t="array" ref="AM153">IF(OR(O153&lt;&gt;"", SUMPRODUCT(($AN$2:$AN$5000=AN153)*($AL$2:$AL$5000&lt;=AL153)) &lt;= (COUNTIF($AN$2:$AN$5000,AN153)*0.5)), "SORTEADO", "-")</f>
        <v>SORTEADO</v>
      </c>
      <c r="AN153" s="232" t="s">
        <v>580</v>
      </c>
    </row>
    <row r="154" spans="1:40" ht="30" customHeight="1" x14ac:dyDescent="0.2">
      <c r="A154" s="231" t="s">
        <v>197</v>
      </c>
      <c r="B154" s="231">
        <v>2613829776</v>
      </c>
      <c r="C154" s="231" t="s">
        <v>229</v>
      </c>
      <c r="D154" s="231" t="s">
        <v>76</v>
      </c>
      <c r="E154" s="231" t="s">
        <v>198</v>
      </c>
      <c r="F154" s="231" t="s">
        <v>590</v>
      </c>
      <c r="G154" s="231">
        <v>42</v>
      </c>
      <c r="H154" s="231" t="s">
        <v>211</v>
      </c>
      <c r="I154" s="231" t="s">
        <v>591</v>
      </c>
      <c r="J154" s="231" t="s">
        <v>232</v>
      </c>
      <c r="K154" s="231" t="s">
        <v>592</v>
      </c>
      <c r="L154" s="232" t="s">
        <v>580</v>
      </c>
      <c r="M154" s="232">
        <v>46207.594444444447</v>
      </c>
      <c r="N154" s="231" t="s">
        <v>408</v>
      </c>
      <c r="O154" s="158" t="s">
        <v>204</v>
      </c>
      <c r="P154" s="92"/>
      <c r="Q154" s="146" t="s">
        <v>204</v>
      </c>
      <c r="R154" s="92"/>
      <c r="S154" s="146" t="s">
        <v>204</v>
      </c>
      <c r="T154" s="92"/>
      <c r="U154" s="146" t="s">
        <v>204</v>
      </c>
      <c r="V154" s="92"/>
      <c r="W154" s="146" t="s">
        <v>204</v>
      </c>
      <c r="X154" s="92"/>
      <c r="Y154" s="146" t="s">
        <v>61</v>
      </c>
      <c r="Z154" s="92"/>
      <c r="AA154" s="146" t="s">
        <v>204</v>
      </c>
      <c r="AB154" s="92"/>
      <c r="AC154" s="146" t="s">
        <v>204</v>
      </c>
      <c r="AD154" s="92"/>
      <c r="AE154" s="146" t="s">
        <v>204</v>
      </c>
      <c r="AF154" s="187" t="str">
        <f t="shared" si="11"/>
        <v>C</v>
      </c>
      <c r="AG154" s="54" t="str">
        <f t="shared" si="13"/>
        <v>UTILIZOU O PDA CORRETAMENTE</v>
      </c>
      <c r="AH154" s="146" t="s">
        <v>204</v>
      </c>
      <c r="AI154" s="210" t="s">
        <v>6</v>
      </c>
      <c r="AJ154" s="97" t="str">
        <f t="shared" si="12"/>
        <v>GUARULHOS</v>
      </c>
      <c r="AK154" s="213" t="s">
        <v>39</v>
      </c>
      <c r="AL154" s="53">
        <v>-3.0599999999999999E-2</v>
      </c>
      <c r="AM154" s="53" t="str" cm="1">
        <f t="array" ref="AM154">IF(OR(O154&lt;&gt;"", SUMPRODUCT(($AN$2:$AN$5000=AN154)*($AL$2:$AL$5000&lt;=AL154)) &lt;= (COUNTIF($AN$2:$AN$5000,AN154)*0.5)), "SORTEADO", "-")</f>
        <v>SORTEADO</v>
      </c>
      <c r="AN154" s="232" t="s">
        <v>580</v>
      </c>
    </row>
    <row r="155" spans="1:40" ht="30" customHeight="1" x14ac:dyDescent="0.2">
      <c r="A155" s="231" t="s">
        <v>197</v>
      </c>
      <c r="B155" s="231">
        <v>2613740858</v>
      </c>
      <c r="C155" s="231" t="s">
        <v>85</v>
      </c>
      <c r="D155" s="231" t="s">
        <v>76</v>
      </c>
      <c r="E155" s="231" t="s">
        <v>198</v>
      </c>
      <c r="F155" s="231" t="s">
        <v>593</v>
      </c>
      <c r="G155" s="231">
        <v>1212</v>
      </c>
      <c r="H155" s="231" t="s">
        <v>213</v>
      </c>
      <c r="I155" s="231" t="s">
        <v>253</v>
      </c>
      <c r="J155" s="231" t="s">
        <v>85</v>
      </c>
      <c r="K155" s="231" t="s">
        <v>213</v>
      </c>
      <c r="L155" s="232" t="s">
        <v>580</v>
      </c>
      <c r="M155" s="232">
        <v>46207.537499999999</v>
      </c>
      <c r="N155" s="231" t="s">
        <v>203</v>
      </c>
      <c r="O155" s="158" t="s">
        <v>204</v>
      </c>
      <c r="P155" s="92"/>
      <c r="Q155" s="146" t="s">
        <v>204</v>
      </c>
      <c r="R155" s="92"/>
      <c r="S155" s="146" t="s">
        <v>204</v>
      </c>
      <c r="T155" s="92"/>
      <c r="U155" s="146" t="s">
        <v>204</v>
      </c>
      <c r="V155" s="92"/>
      <c r="W155" s="146" t="s">
        <v>204</v>
      </c>
      <c r="X155" s="92"/>
      <c r="Y155" s="146" t="s">
        <v>204</v>
      </c>
      <c r="Z155" s="92"/>
      <c r="AA155" s="146" t="s">
        <v>204</v>
      </c>
      <c r="AB155" s="92"/>
      <c r="AC155" s="146" t="s">
        <v>204</v>
      </c>
      <c r="AD155" s="92"/>
      <c r="AE155" s="146" t="s">
        <v>204</v>
      </c>
      <c r="AF155" s="187" t="str">
        <f t="shared" si="11"/>
        <v>C</v>
      </c>
      <c r="AG155" s="54" t="str">
        <f t="shared" si="13"/>
        <v>UTILIZOU O PDA CORRETAMENTE</v>
      </c>
      <c r="AH155" s="146" t="s">
        <v>204</v>
      </c>
      <c r="AI155" s="210" t="s">
        <v>6</v>
      </c>
      <c r="AJ155" s="97" t="str">
        <f t="shared" si="12"/>
        <v>GUARULHOS</v>
      </c>
      <c r="AK155" s="213" t="s">
        <v>39</v>
      </c>
      <c r="AL155" s="53">
        <v>-3.0800000000000001E-2</v>
      </c>
      <c r="AM155" s="53" t="str" cm="1">
        <f t="array" ref="AM155">IF(OR(O155&lt;&gt;"", SUMPRODUCT(($AN$2:$AN$5000=AN155)*($AL$2:$AL$5000&lt;=AL155)) &lt;= (COUNTIF($AN$2:$AN$5000,AN155)*0.5)), "SORTEADO", "-")</f>
        <v>SORTEADO</v>
      </c>
      <c r="AN155" s="232" t="s">
        <v>580</v>
      </c>
    </row>
    <row r="156" spans="1:40" ht="30" hidden="1" customHeight="1" x14ac:dyDescent="0.2">
      <c r="A156" s="231" t="s">
        <v>197</v>
      </c>
      <c r="B156" s="231">
        <v>2689728829</v>
      </c>
      <c r="C156" s="231" t="s">
        <v>106</v>
      </c>
      <c r="D156" s="231" t="s">
        <v>80</v>
      </c>
      <c r="E156" s="231" t="s">
        <v>198</v>
      </c>
      <c r="F156" s="231" t="s">
        <v>594</v>
      </c>
      <c r="G156" s="231">
        <v>1</v>
      </c>
      <c r="H156" s="231" t="s">
        <v>595</v>
      </c>
      <c r="I156" s="231" t="s">
        <v>521</v>
      </c>
      <c r="J156" s="231" t="s">
        <v>270</v>
      </c>
      <c r="K156" s="231" t="s">
        <v>532</v>
      </c>
      <c r="L156" s="232" t="s">
        <v>580</v>
      </c>
      <c r="M156" s="232">
        <v>46207.557638888888</v>
      </c>
      <c r="N156" s="231" t="s">
        <v>432</v>
      </c>
      <c r="O156" s="158"/>
      <c r="P156" s="92"/>
      <c r="Q156" s="146"/>
      <c r="R156" s="92"/>
      <c r="S156" s="146"/>
      <c r="T156" s="92"/>
      <c r="U156" s="146"/>
      <c r="V156" s="92"/>
      <c r="W156" s="146"/>
      <c r="X156" s="92"/>
      <c r="Y156" s="146"/>
      <c r="Z156" s="92"/>
      <c r="AA156" s="146"/>
      <c r="AB156" s="92"/>
      <c r="AC156" s="146"/>
      <c r="AD156" s="92"/>
      <c r="AE156" s="146"/>
      <c r="AF156" s="187" t="str">
        <f t="shared" si="11"/>
        <v/>
      </c>
      <c r="AG156" s="54" t="b">
        <f t="shared" si="13"/>
        <v>0</v>
      </c>
      <c r="AH156" s="146"/>
      <c r="AI156" s="210" t="s">
        <v>6</v>
      </c>
      <c r="AJ156" s="97" t="str">
        <f t="shared" si="12"/>
        <v>GUARULHOS</v>
      </c>
      <c r="AK156" s="213" t="s">
        <v>39</v>
      </c>
      <c r="AL156" s="53">
        <v>0.47012307871262149</v>
      </c>
      <c r="AM156" s="53" t="str" cm="1">
        <f t="array" ref="AM156">IF(OR(O156&lt;&gt;"", SUMPRODUCT(($AN$2:$AN$5000=AN156)*($AL$2:$AL$5000&lt;=AL156)) &lt;= (COUNTIF($AN$2:$AN$5000,AN156)*0.5)), "SORTEADO", "-")</f>
        <v>-</v>
      </c>
      <c r="AN156" s="232" t="s">
        <v>580</v>
      </c>
    </row>
    <row r="157" spans="1:40" ht="30" customHeight="1" x14ac:dyDescent="0.2">
      <c r="A157" s="231" t="s">
        <v>197</v>
      </c>
      <c r="B157" s="231">
        <v>2614166953</v>
      </c>
      <c r="C157" s="231" t="s">
        <v>93</v>
      </c>
      <c r="D157" s="231" t="s">
        <v>76</v>
      </c>
      <c r="E157" s="231" t="s">
        <v>198</v>
      </c>
      <c r="F157" s="231" t="s">
        <v>596</v>
      </c>
      <c r="G157" s="231">
        <v>138</v>
      </c>
      <c r="H157" s="231" t="s">
        <v>597</v>
      </c>
      <c r="I157" s="231" t="s">
        <v>598</v>
      </c>
      <c r="J157" s="231" t="s">
        <v>93</v>
      </c>
      <c r="K157" s="231" t="s">
        <v>599</v>
      </c>
      <c r="L157" s="232" t="s">
        <v>580</v>
      </c>
      <c r="M157" s="232">
        <v>46207.507638888892</v>
      </c>
      <c r="N157" s="231" t="s">
        <v>408</v>
      </c>
      <c r="O157" s="158" t="s">
        <v>204</v>
      </c>
      <c r="P157" s="92"/>
      <c r="Q157" s="146" t="s">
        <v>204</v>
      </c>
      <c r="R157" s="92"/>
      <c r="S157" s="146" t="s">
        <v>61</v>
      </c>
      <c r="T157" s="92"/>
      <c r="U157" s="146" t="s">
        <v>61</v>
      </c>
      <c r="V157" s="92"/>
      <c r="W157" s="146" t="s">
        <v>61</v>
      </c>
      <c r="X157" s="92"/>
      <c r="Y157" s="146" t="s">
        <v>61</v>
      </c>
      <c r="Z157" s="92"/>
      <c r="AA157" s="146" t="s">
        <v>61</v>
      </c>
      <c r="AB157" s="92"/>
      <c r="AC157" s="146" t="s">
        <v>204</v>
      </c>
      <c r="AD157" s="92"/>
      <c r="AE157" s="146" t="s">
        <v>204</v>
      </c>
      <c r="AF157" s="187" t="str">
        <f t="shared" si="11"/>
        <v>C</v>
      </c>
      <c r="AG157" s="54" t="str">
        <f t="shared" si="13"/>
        <v>UTILIZOU O PDA CORRETAMENTE</v>
      </c>
      <c r="AH157" s="146" t="s">
        <v>204</v>
      </c>
      <c r="AI157" s="210" t="s">
        <v>6</v>
      </c>
      <c r="AJ157" s="97" t="str">
        <f t="shared" si="12"/>
        <v>GUARULHOS</v>
      </c>
      <c r="AK157" s="213" t="s">
        <v>39</v>
      </c>
      <c r="AL157" s="53">
        <v>-3.1199999999999999E-2</v>
      </c>
      <c r="AM157" s="53" t="str" cm="1">
        <f t="array" ref="AM157">IF(OR(O157&lt;&gt;"", SUMPRODUCT(($AN$2:$AN$5000=AN157)*($AL$2:$AL$5000&lt;=AL157)) &lt;= (COUNTIF($AN$2:$AN$5000,AN157)*0.5)), "SORTEADO", "-")</f>
        <v>SORTEADO</v>
      </c>
      <c r="AN157" s="232" t="s">
        <v>580</v>
      </c>
    </row>
    <row r="158" spans="1:40" ht="30" hidden="1" customHeight="1" x14ac:dyDescent="0.2">
      <c r="A158" s="231" t="s">
        <v>197</v>
      </c>
      <c r="B158" s="231">
        <v>2614459866</v>
      </c>
      <c r="C158" s="231" t="s">
        <v>105</v>
      </c>
      <c r="D158" s="231" t="s">
        <v>80</v>
      </c>
      <c r="E158" s="231" t="s">
        <v>198</v>
      </c>
      <c r="F158" s="231" t="s">
        <v>600</v>
      </c>
      <c r="G158" s="231">
        <v>86</v>
      </c>
      <c r="H158" s="231"/>
      <c r="I158" s="231" t="s">
        <v>285</v>
      </c>
      <c r="J158" s="231" t="s">
        <v>226</v>
      </c>
      <c r="K158" s="231" t="s">
        <v>601</v>
      </c>
      <c r="L158" s="232" t="s">
        <v>580</v>
      </c>
      <c r="M158" s="232">
        <v>46207.6875</v>
      </c>
      <c r="N158" s="231" t="s">
        <v>260</v>
      </c>
      <c r="O158" s="158"/>
      <c r="P158" s="92"/>
      <c r="Q158" s="146"/>
      <c r="R158" s="92"/>
      <c r="S158" s="146"/>
      <c r="T158" s="92"/>
      <c r="U158" s="146"/>
      <c r="V158" s="92"/>
      <c r="W158" s="146"/>
      <c r="X158" s="92"/>
      <c r="Y158" s="146"/>
      <c r="Z158" s="92"/>
      <c r="AA158" s="146"/>
      <c r="AB158" s="92"/>
      <c r="AC158" s="146"/>
      <c r="AD158" s="92"/>
      <c r="AE158" s="146"/>
      <c r="AF158" s="187" t="str">
        <f t="shared" si="11"/>
        <v/>
      </c>
      <c r="AG158" s="54" t="b">
        <f t="shared" si="13"/>
        <v>0</v>
      </c>
      <c r="AH158" s="146"/>
      <c r="AI158" s="210" t="s">
        <v>6</v>
      </c>
      <c r="AJ158" s="97" t="str">
        <f t="shared" si="12"/>
        <v>GUARULHOS</v>
      </c>
      <c r="AK158" s="213" t="s">
        <v>39</v>
      </c>
      <c r="AL158" s="53">
        <v>0.98082317720194734</v>
      </c>
      <c r="AM158" s="53" t="str" cm="1">
        <f t="array" ref="AM158">IF(OR(O158&lt;&gt;"", SUMPRODUCT(($AN$2:$AN$5000=AN158)*($AL$2:$AL$5000&lt;=AL158)) &lt;= (COUNTIF($AN$2:$AN$5000,AN158)*0.5)), "SORTEADO", "-")</f>
        <v>-</v>
      </c>
      <c r="AN158" s="232" t="s">
        <v>580</v>
      </c>
    </row>
    <row r="159" spans="1:40" ht="30" customHeight="1" x14ac:dyDescent="0.2">
      <c r="A159" s="231" t="s">
        <v>197</v>
      </c>
      <c r="B159" s="231">
        <v>2614135155</v>
      </c>
      <c r="C159" s="231" t="s">
        <v>93</v>
      </c>
      <c r="D159" s="231" t="s">
        <v>76</v>
      </c>
      <c r="E159" s="231" t="s">
        <v>198</v>
      </c>
      <c r="F159" s="231" t="s">
        <v>602</v>
      </c>
      <c r="G159" s="231">
        <v>752</v>
      </c>
      <c r="H159" s="231" t="s">
        <v>603</v>
      </c>
      <c r="I159" s="231" t="s">
        <v>531</v>
      </c>
      <c r="J159" s="231" t="s">
        <v>93</v>
      </c>
      <c r="K159" s="231" t="s">
        <v>213</v>
      </c>
      <c r="L159" s="232" t="s">
        <v>580</v>
      </c>
      <c r="M159" s="232">
        <v>46207.458333333336</v>
      </c>
      <c r="N159" s="231" t="s">
        <v>408</v>
      </c>
      <c r="O159" s="158" t="s">
        <v>204</v>
      </c>
      <c r="P159" s="92"/>
      <c r="Q159" s="146" t="s">
        <v>204</v>
      </c>
      <c r="R159" s="92"/>
      <c r="S159" s="146" t="s">
        <v>204</v>
      </c>
      <c r="T159" s="92"/>
      <c r="U159" s="146" t="s">
        <v>204</v>
      </c>
      <c r="V159" s="92"/>
      <c r="W159" s="146" t="s">
        <v>204</v>
      </c>
      <c r="X159" s="92"/>
      <c r="Y159" s="146" t="s">
        <v>61</v>
      </c>
      <c r="Z159" s="92"/>
      <c r="AA159" s="146" t="s">
        <v>204</v>
      </c>
      <c r="AB159" s="92"/>
      <c r="AC159" s="146" t="s">
        <v>210</v>
      </c>
      <c r="AD159" s="92" t="s">
        <v>604</v>
      </c>
      <c r="AE159" s="146" t="s">
        <v>204</v>
      </c>
      <c r="AF159" s="187" t="str">
        <f t="shared" si="11"/>
        <v>NC</v>
      </c>
      <c r="AG159" s="54" t="str">
        <f t="shared" si="13"/>
        <v>UTILIZOU O PDA CORRETAMENTE. NÃO HÁ FOTOS DE TODAS AS ETAPAS</v>
      </c>
      <c r="AH159" s="146" t="s">
        <v>204</v>
      </c>
      <c r="AI159" s="210" t="s">
        <v>6</v>
      </c>
      <c r="AJ159" s="97" t="str">
        <f t="shared" si="12"/>
        <v>GUARULHOS</v>
      </c>
      <c r="AK159" s="213" t="s">
        <v>39</v>
      </c>
      <c r="AL159" s="53">
        <v>-3.1600000000000003E-2</v>
      </c>
      <c r="AM159" s="53" t="str" cm="1">
        <f t="array" ref="AM159">IF(OR(O159&lt;&gt;"", SUMPRODUCT(($AN$2:$AN$5000=AN159)*($AL$2:$AL$5000&lt;=AL159)) &lt;= (COUNTIF($AN$2:$AN$5000,AN159)*0.5)), "SORTEADO", "-")</f>
        <v>SORTEADO</v>
      </c>
      <c r="AN159" s="232" t="s">
        <v>580</v>
      </c>
    </row>
    <row r="160" spans="1:40" ht="30" customHeight="1" x14ac:dyDescent="0.2">
      <c r="A160" s="231" t="s">
        <v>197</v>
      </c>
      <c r="B160" s="231">
        <v>2614166963</v>
      </c>
      <c r="C160" s="231" t="s">
        <v>95</v>
      </c>
      <c r="D160" s="231" t="s">
        <v>76</v>
      </c>
      <c r="E160" s="231" t="s">
        <v>198</v>
      </c>
      <c r="F160" s="231" t="s">
        <v>596</v>
      </c>
      <c r="G160" s="231">
        <v>138</v>
      </c>
      <c r="H160" s="231" t="s">
        <v>605</v>
      </c>
      <c r="I160" s="231" t="s">
        <v>598</v>
      </c>
      <c r="J160" s="231" t="s">
        <v>95</v>
      </c>
      <c r="K160" s="231" t="s">
        <v>606</v>
      </c>
      <c r="L160" s="232" t="s">
        <v>580</v>
      </c>
      <c r="M160" s="232">
        <v>46207.510416666664</v>
      </c>
      <c r="N160" s="231" t="s">
        <v>408</v>
      </c>
      <c r="O160" s="158" t="s">
        <v>204</v>
      </c>
      <c r="P160" s="92"/>
      <c r="Q160" s="146" t="s">
        <v>204</v>
      </c>
      <c r="R160" s="92"/>
      <c r="S160" s="146" t="s">
        <v>61</v>
      </c>
      <c r="T160" s="92"/>
      <c r="U160" s="146" t="s">
        <v>61</v>
      </c>
      <c r="V160" s="92"/>
      <c r="W160" s="146" t="s">
        <v>61</v>
      </c>
      <c r="X160" s="92"/>
      <c r="Y160" s="146" t="s">
        <v>61</v>
      </c>
      <c r="Z160" s="92"/>
      <c r="AA160" s="146" t="s">
        <v>204</v>
      </c>
      <c r="AB160" s="92"/>
      <c r="AC160" s="146" t="s">
        <v>204</v>
      </c>
      <c r="AD160" s="92"/>
      <c r="AE160" s="146" t="s">
        <v>204</v>
      </c>
      <c r="AF160" s="187" t="str">
        <f t="shared" si="11"/>
        <v>C</v>
      </c>
      <c r="AG160" s="54" t="str">
        <f t="shared" si="13"/>
        <v>UTILIZOU O PDA CORRETAMENTE</v>
      </c>
      <c r="AH160" s="146" t="s">
        <v>204</v>
      </c>
      <c r="AI160" s="210" t="s">
        <v>6</v>
      </c>
      <c r="AJ160" s="97" t="str">
        <f t="shared" si="12"/>
        <v>GUARULHOS</v>
      </c>
      <c r="AK160" s="213" t="s">
        <v>39</v>
      </c>
      <c r="AL160" s="53">
        <v>-3.1800000000000002E-2</v>
      </c>
      <c r="AM160" s="53" t="str" cm="1">
        <f t="array" ref="AM160">IF(OR(O160&lt;&gt;"", SUMPRODUCT(($AN$2:$AN$5000=AN160)*($AL$2:$AL$5000&lt;=AL160)) &lt;= (COUNTIF($AN$2:$AN$5000,AN160)*0.5)), "SORTEADO", "-")</f>
        <v>SORTEADO</v>
      </c>
      <c r="AN160" s="232" t="s">
        <v>580</v>
      </c>
    </row>
    <row r="161" spans="1:40" ht="30" customHeight="1" x14ac:dyDescent="0.2">
      <c r="A161" s="231" t="s">
        <v>197</v>
      </c>
      <c r="B161" s="231">
        <v>2613829768</v>
      </c>
      <c r="C161" s="231" t="s">
        <v>229</v>
      </c>
      <c r="D161" s="231" t="s">
        <v>76</v>
      </c>
      <c r="E161" s="231" t="s">
        <v>198</v>
      </c>
      <c r="F161" s="231" t="s">
        <v>590</v>
      </c>
      <c r="G161" s="231">
        <v>42</v>
      </c>
      <c r="H161" s="231" t="s">
        <v>206</v>
      </c>
      <c r="I161" s="231" t="s">
        <v>591</v>
      </c>
      <c r="J161" s="231" t="s">
        <v>232</v>
      </c>
      <c r="K161" s="231" t="s">
        <v>213</v>
      </c>
      <c r="L161" s="232" t="s">
        <v>580</v>
      </c>
      <c r="M161" s="232">
        <v>46207.591666666667</v>
      </c>
      <c r="N161" s="231" t="s">
        <v>408</v>
      </c>
      <c r="O161" s="158" t="s">
        <v>204</v>
      </c>
      <c r="P161" s="92"/>
      <c r="Q161" s="146" t="s">
        <v>204</v>
      </c>
      <c r="R161" s="92"/>
      <c r="S161" s="146" t="s">
        <v>204</v>
      </c>
      <c r="T161" s="92"/>
      <c r="U161" s="146" t="s">
        <v>204</v>
      </c>
      <c r="V161" s="92"/>
      <c r="W161" s="146" t="s">
        <v>204</v>
      </c>
      <c r="X161" s="92"/>
      <c r="Y161" s="146" t="s">
        <v>61</v>
      </c>
      <c r="Z161" s="92"/>
      <c r="AA161" s="146" t="s">
        <v>204</v>
      </c>
      <c r="AB161" s="92"/>
      <c r="AC161" s="146" t="s">
        <v>204</v>
      </c>
      <c r="AD161" s="92"/>
      <c r="AE161" s="146" t="s">
        <v>204</v>
      </c>
      <c r="AF161" s="187" t="str">
        <f t="shared" si="11"/>
        <v>C</v>
      </c>
      <c r="AG161" s="54" t="str">
        <f t="shared" si="13"/>
        <v>UTILIZOU O PDA CORRETAMENTE</v>
      </c>
      <c r="AH161" s="146" t="s">
        <v>204</v>
      </c>
      <c r="AI161" s="210" t="s">
        <v>6</v>
      </c>
      <c r="AJ161" s="97" t="str">
        <f t="shared" si="12"/>
        <v>GUARULHOS</v>
      </c>
      <c r="AK161" s="213" t="s">
        <v>39</v>
      </c>
      <c r="AL161" s="53">
        <v>-3.2000000000000001E-2</v>
      </c>
      <c r="AM161" s="53" t="str" cm="1">
        <f t="array" ref="AM161">IF(OR(O161&lt;&gt;"", SUMPRODUCT(($AN$2:$AN$5000=AN161)*($AL$2:$AL$5000&lt;=AL161)) &lt;= (COUNTIF($AN$2:$AN$5000,AN161)*0.5)), "SORTEADO", "-")</f>
        <v>SORTEADO</v>
      </c>
      <c r="AN161" s="232" t="s">
        <v>580</v>
      </c>
    </row>
    <row r="162" spans="1:40" ht="30" customHeight="1" x14ac:dyDescent="0.2">
      <c r="A162" s="231" t="s">
        <v>197</v>
      </c>
      <c r="B162" s="231">
        <v>2614135171</v>
      </c>
      <c r="C162" s="231" t="s">
        <v>95</v>
      </c>
      <c r="D162" s="231" t="s">
        <v>76</v>
      </c>
      <c r="E162" s="231" t="s">
        <v>198</v>
      </c>
      <c r="F162" s="231" t="s">
        <v>602</v>
      </c>
      <c r="G162" s="231">
        <v>752</v>
      </c>
      <c r="H162" s="231" t="s">
        <v>607</v>
      </c>
      <c r="I162" s="231" t="s">
        <v>531</v>
      </c>
      <c r="J162" s="231" t="s">
        <v>95</v>
      </c>
      <c r="K162" s="231" t="s">
        <v>608</v>
      </c>
      <c r="L162" s="232" t="s">
        <v>580</v>
      </c>
      <c r="M162" s="232">
        <v>46207.461805555555</v>
      </c>
      <c r="N162" s="231" t="s">
        <v>408</v>
      </c>
      <c r="O162" s="158" t="s">
        <v>204</v>
      </c>
      <c r="P162" s="92"/>
      <c r="Q162" s="146" t="s">
        <v>204</v>
      </c>
      <c r="R162" s="92"/>
      <c r="S162" s="146" t="s">
        <v>204</v>
      </c>
      <c r="T162" s="92"/>
      <c r="U162" s="146" t="s">
        <v>204</v>
      </c>
      <c r="V162" s="92"/>
      <c r="W162" s="146" t="s">
        <v>204</v>
      </c>
      <c r="X162" s="92"/>
      <c r="Y162" s="146" t="s">
        <v>61</v>
      </c>
      <c r="Z162" s="92"/>
      <c r="AA162" s="146" t="s">
        <v>204</v>
      </c>
      <c r="AB162" s="92"/>
      <c r="AC162" s="146" t="s">
        <v>204</v>
      </c>
      <c r="AD162" s="92"/>
      <c r="AE162" s="146" t="s">
        <v>204</v>
      </c>
      <c r="AF162" s="187" t="str">
        <f t="shared" si="11"/>
        <v>C</v>
      </c>
      <c r="AG162" s="54" t="str">
        <f t="shared" si="13"/>
        <v>UTILIZOU O PDA CORRETAMENTE</v>
      </c>
      <c r="AH162" s="146" t="s">
        <v>204</v>
      </c>
      <c r="AI162" s="210" t="s">
        <v>6</v>
      </c>
      <c r="AJ162" s="97" t="str">
        <f t="shared" si="12"/>
        <v>GUARULHOS</v>
      </c>
      <c r="AK162" s="213" t="s">
        <v>39</v>
      </c>
      <c r="AL162" s="53">
        <v>-3.2199999999999999E-2</v>
      </c>
      <c r="AM162" s="53" t="str" cm="1">
        <f t="array" ref="AM162">IF(OR(O162&lt;&gt;"", SUMPRODUCT(($AN$2:$AN$5000=AN162)*($AL$2:$AL$5000&lt;=AL162)) &lt;= (COUNTIF($AN$2:$AN$5000,AN162)*0.5)), "SORTEADO", "-")</f>
        <v>SORTEADO</v>
      </c>
      <c r="AN162" s="232" t="s">
        <v>580</v>
      </c>
    </row>
    <row r="163" spans="1:40" ht="30" hidden="1" customHeight="1" x14ac:dyDescent="0.2">
      <c r="A163" s="231" t="s">
        <v>197</v>
      </c>
      <c r="B163" s="231">
        <v>2614521982</v>
      </c>
      <c r="C163" s="231" t="s">
        <v>102</v>
      </c>
      <c r="D163" s="231" t="s">
        <v>80</v>
      </c>
      <c r="E163" s="231" t="s">
        <v>198</v>
      </c>
      <c r="F163" s="231" t="s">
        <v>609</v>
      </c>
      <c r="G163" s="231">
        <v>227</v>
      </c>
      <c r="H163" s="231" t="s">
        <v>610</v>
      </c>
      <c r="I163" s="231" t="s">
        <v>611</v>
      </c>
      <c r="J163" s="231" t="s">
        <v>270</v>
      </c>
      <c r="K163" s="231" t="s">
        <v>213</v>
      </c>
      <c r="L163" s="232" t="s">
        <v>580</v>
      </c>
      <c r="M163" s="232">
        <v>46207.546527777777</v>
      </c>
      <c r="N163" s="231" t="s">
        <v>228</v>
      </c>
      <c r="O163" s="158"/>
      <c r="P163" s="92"/>
      <c r="Q163" s="146"/>
      <c r="R163" s="92"/>
      <c r="S163" s="146"/>
      <c r="T163" s="92"/>
      <c r="U163" s="146"/>
      <c r="V163" s="92"/>
      <c r="W163" s="146"/>
      <c r="X163" s="92"/>
      <c r="Y163" s="146"/>
      <c r="Z163" s="92"/>
      <c r="AA163" s="146"/>
      <c r="AB163" s="92"/>
      <c r="AC163" s="146"/>
      <c r="AD163" s="92"/>
      <c r="AE163" s="146"/>
      <c r="AF163" s="187" t="str">
        <f t="shared" si="11"/>
        <v/>
      </c>
      <c r="AG163" s="54" t="b">
        <f t="shared" si="13"/>
        <v>0</v>
      </c>
      <c r="AH163" s="146"/>
      <c r="AI163" s="210" t="s">
        <v>6</v>
      </c>
      <c r="AJ163" s="97" t="str">
        <f t="shared" si="12"/>
        <v>GUARULHOS</v>
      </c>
      <c r="AK163" s="213" t="s">
        <v>39</v>
      </c>
      <c r="AL163" s="53">
        <v>0.83980303164112846</v>
      </c>
      <c r="AM163" s="53" t="str" cm="1">
        <f t="array" ref="AM163">IF(OR(O163&lt;&gt;"", SUMPRODUCT(($AN$2:$AN$5000=AN163)*($AL$2:$AL$5000&lt;=AL163)) &lt;= (COUNTIF($AN$2:$AN$5000,AN163)*0.5)), "SORTEADO", "-")</f>
        <v>-</v>
      </c>
      <c r="AN163" s="232" t="s">
        <v>580</v>
      </c>
    </row>
    <row r="164" spans="1:40" ht="30" hidden="1" customHeight="1" x14ac:dyDescent="0.2">
      <c r="A164" s="231" t="s">
        <v>197</v>
      </c>
      <c r="B164" s="231">
        <v>2614474573</v>
      </c>
      <c r="C164" s="231" t="s">
        <v>105</v>
      </c>
      <c r="D164" s="231" t="s">
        <v>80</v>
      </c>
      <c r="E164" s="231" t="s">
        <v>198</v>
      </c>
      <c r="F164" s="231" t="s">
        <v>612</v>
      </c>
      <c r="G164" s="231">
        <v>552</v>
      </c>
      <c r="H164" s="231" t="s">
        <v>613</v>
      </c>
      <c r="I164" s="231" t="s">
        <v>394</v>
      </c>
      <c r="J164" s="231" t="s">
        <v>226</v>
      </c>
      <c r="K164" s="231" t="s">
        <v>614</v>
      </c>
      <c r="L164" s="232" t="s">
        <v>580</v>
      </c>
      <c r="M164" s="232">
        <v>46207.540277777778</v>
      </c>
      <c r="N164" s="231" t="s">
        <v>615</v>
      </c>
      <c r="O164" s="158"/>
      <c r="P164" s="92"/>
      <c r="Q164" s="146"/>
      <c r="R164" s="92"/>
      <c r="S164" s="146"/>
      <c r="T164" s="92"/>
      <c r="U164" s="146"/>
      <c r="V164" s="92"/>
      <c r="W164" s="146"/>
      <c r="X164" s="92"/>
      <c r="Y164" s="146"/>
      <c r="Z164" s="92"/>
      <c r="AA164" s="146"/>
      <c r="AB164" s="92"/>
      <c r="AC164" s="146"/>
      <c r="AD164" s="92"/>
      <c r="AE164" s="146"/>
      <c r="AF164" s="187" t="str">
        <f t="shared" si="11"/>
        <v/>
      </c>
      <c r="AG164" s="54" t="b">
        <f t="shared" si="13"/>
        <v>0</v>
      </c>
      <c r="AH164" s="146"/>
      <c r="AI164" s="210" t="s">
        <v>6</v>
      </c>
      <c r="AJ164" s="97" t="str">
        <f t="shared" si="12"/>
        <v>GUARULHOS</v>
      </c>
      <c r="AK164" s="213" t="s">
        <v>39</v>
      </c>
      <c r="AL164" s="53">
        <v>0.79539759215821815</v>
      </c>
      <c r="AM164" s="53" t="str" cm="1">
        <f t="array" ref="AM164">IF(OR(O164&lt;&gt;"", SUMPRODUCT(($AN$2:$AN$5000=AN164)*($AL$2:$AL$5000&lt;=AL164)) &lt;= (COUNTIF($AN$2:$AN$5000,AN164)*0.5)), "SORTEADO", "-")</f>
        <v>-</v>
      </c>
      <c r="AN164" s="232" t="s">
        <v>580</v>
      </c>
    </row>
    <row r="165" spans="1:40" ht="30" customHeight="1" x14ac:dyDescent="0.2">
      <c r="A165" s="231" t="s">
        <v>197</v>
      </c>
      <c r="B165" s="231">
        <v>2614489305</v>
      </c>
      <c r="C165" s="231" t="s">
        <v>100</v>
      </c>
      <c r="D165" s="231" t="s">
        <v>78</v>
      </c>
      <c r="E165" s="231" t="s">
        <v>198</v>
      </c>
      <c r="F165" s="231" t="s">
        <v>308</v>
      </c>
      <c r="G165" s="231">
        <v>558</v>
      </c>
      <c r="H165" s="231" t="s">
        <v>616</v>
      </c>
      <c r="I165" s="231" t="s">
        <v>262</v>
      </c>
      <c r="J165" s="231" t="s">
        <v>248</v>
      </c>
      <c r="K165" s="231" t="s">
        <v>617</v>
      </c>
      <c r="L165" s="232" t="s">
        <v>580</v>
      </c>
      <c r="M165" s="232">
        <v>46207.634027777778</v>
      </c>
      <c r="N165" s="231" t="s">
        <v>263</v>
      </c>
      <c r="O165" s="158" t="s">
        <v>204</v>
      </c>
      <c r="P165" s="92"/>
      <c r="Q165" s="146" t="s">
        <v>204</v>
      </c>
      <c r="R165" s="92"/>
      <c r="S165" s="146" t="s">
        <v>204</v>
      </c>
      <c r="T165" s="92"/>
      <c r="U165" s="146" t="s">
        <v>204</v>
      </c>
      <c r="V165" s="92"/>
      <c r="W165" s="146" t="s">
        <v>204</v>
      </c>
      <c r="X165" s="92"/>
      <c r="Y165" s="146" t="s">
        <v>204</v>
      </c>
      <c r="Z165" s="92"/>
      <c r="AA165" s="146" t="s">
        <v>210</v>
      </c>
      <c r="AB165" s="92" t="s">
        <v>618</v>
      </c>
      <c r="AC165" s="146" t="s">
        <v>204</v>
      </c>
      <c r="AD165" s="92"/>
      <c r="AE165" s="146" t="s">
        <v>204</v>
      </c>
      <c r="AF165" s="187" t="str">
        <f t="shared" si="11"/>
        <v>NC</v>
      </c>
      <c r="AG165" s="54" t="str">
        <f t="shared" si="13"/>
        <v>UTILIZOU O PDA CORRETAMENTE. NÃO HÁ FOTOS DE TODAS AS ETAPAS</v>
      </c>
      <c r="AH165" s="146" t="s">
        <v>204</v>
      </c>
      <c r="AI165" s="210" t="s">
        <v>6</v>
      </c>
      <c r="AJ165" s="97" t="str">
        <f t="shared" si="12"/>
        <v>GUARULHOS</v>
      </c>
      <c r="AK165" s="213" t="s">
        <v>39</v>
      </c>
      <c r="AL165" s="53">
        <v>-3.2800000000000003E-2</v>
      </c>
      <c r="AM165" s="53" t="str" cm="1">
        <f t="array" ref="AM165">IF(OR(O165&lt;&gt;"", SUMPRODUCT(($AN$2:$AN$5000=AN165)*($AL$2:$AL$5000&lt;=AL165)) &lt;= (COUNTIF($AN$2:$AN$5000,AN165)*0.5)), "SORTEADO", "-")</f>
        <v>SORTEADO</v>
      </c>
      <c r="AN165" s="232" t="s">
        <v>580</v>
      </c>
    </row>
    <row r="166" spans="1:40" ht="30" customHeight="1" x14ac:dyDescent="0.2">
      <c r="A166" s="231" t="s">
        <v>197</v>
      </c>
      <c r="B166" s="231">
        <v>2614489977</v>
      </c>
      <c r="C166" s="231" t="s">
        <v>100</v>
      </c>
      <c r="D166" s="231" t="s">
        <v>78</v>
      </c>
      <c r="E166" s="231" t="s">
        <v>198</v>
      </c>
      <c r="F166" s="231" t="s">
        <v>308</v>
      </c>
      <c r="G166" s="231">
        <v>554</v>
      </c>
      <c r="H166" s="231" t="s">
        <v>619</v>
      </c>
      <c r="I166" s="231" t="s">
        <v>262</v>
      </c>
      <c r="J166" s="231" t="s">
        <v>248</v>
      </c>
      <c r="K166" s="238" t="s">
        <v>620</v>
      </c>
      <c r="L166" s="232" t="s">
        <v>580</v>
      </c>
      <c r="M166" s="232">
        <v>46207.506249999999</v>
      </c>
      <c r="N166" s="231" t="s">
        <v>263</v>
      </c>
      <c r="O166" s="158" t="s">
        <v>204</v>
      </c>
      <c r="P166" s="92"/>
      <c r="Q166" s="146" t="s">
        <v>204</v>
      </c>
      <c r="R166" s="92"/>
      <c r="S166" s="146" t="s">
        <v>204</v>
      </c>
      <c r="T166" s="92"/>
      <c r="U166" s="146" t="s">
        <v>204</v>
      </c>
      <c r="V166" s="92"/>
      <c r="W166" s="146" t="s">
        <v>204</v>
      </c>
      <c r="X166" s="92"/>
      <c r="Y166" s="146" t="s">
        <v>204</v>
      </c>
      <c r="Z166" s="92"/>
      <c r="AA166" s="146" t="s">
        <v>210</v>
      </c>
      <c r="AB166" s="92" t="s">
        <v>618</v>
      </c>
      <c r="AC166" s="146" t="s">
        <v>204</v>
      </c>
      <c r="AD166" s="92"/>
      <c r="AE166" s="146" t="s">
        <v>204</v>
      </c>
      <c r="AF166" s="187" t="str">
        <f t="shared" si="11"/>
        <v>NC</v>
      </c>
      <c r="AG166" s="54" t="str">
        <f t="shared" si="13"/>
        <v>UTILIZOU O PDA CORRETAMENTE. NÃO HÁ FOTOS DE TODAS AS ETAPAS</v>
      </c>
      <c r="AH166" s="146" t="s">
        <v>204</v>
      </c>
      <c r="AI166" s="210" t="s">
        <v>6</v>
      </c>
      <c r="AJ166" s="97" t="str">
        <f t="shared" si="12"/>
        <v>GUARULHOS</v>
      </c>
      <c r="AK166" s="213" t="s">
        <v>39</v>
      </c>
      <c r="AL166" s="53">
        <v>-3.3000000000000002E-2</v>
      </c>
      <c r="AM166" s="53" t="str" cm="1">
        <f t="array" ref="AM166">IF(OR(O166&lt;&gt;"", SUMPRODUCT(($AN$2:$AN$5000=AN166)*($AL$2:$AL$5000&lt;=AL166)) &lt;= (COUNTIF($AN$2:$AN$5000,AN166)*0.5)), "SORTEADO", "-")</f>
        <v>SORTEADO</v>
      </c>
      <c r="AN166" s="232" t="s">
        <v>580</v>
      </c>
    </row>
    <row r="167" spans="1:40" ht="30" customHeight="1" x14ac:dyDescent="0.2">
      <c r="A167" s="231" t="s">
        <v>197</v>
      </c>
      <c r="B167" s="231">
        <v>2614505873</v>
      </c>
      <c r="C167" s="231" t="s">
        <v>523</v>
      </c>
      <c r="D167" s="231" t="s">
        <v>79</v>
      </c>
      <c r="E167" s="231" t="s">
        <v>198</v>
      </c>
      <c r="F167" s="231" t="s">
        <v>275</v>
      </c>
      <c r="G167" s="231">
        <v>10</v>
      </c>
      <c r="H167" s="231" t="s">
        <v>555</v>
      </c>
      <c r="I167" s="231" t="s">
        <v>277</v>
      </c>
      <c r="J167" s="231" t="s">
        <v>524</v>
      </c>
      <c r="K167" s="231" t="s">
        <v>213</v>
      </c>
      <c r="L167" s="232" t="s">
        <v>580</v>
      </c>
      <c r="M167" s="232">
        <v>46207.501388888886</v>
      </c>
      <c r="N167" s="231" t="s">
        <v>322</v>
      </c>
      <c r="O167" s="158" t="s">
        <v>328</v>
      </c>
      <c r="P167" s="92"/>
      <c r="Q167" s="146" t="s">
        <v>328</v>
      </c>
      <c r="R167" s="92"/>
      <c r="S167" s="146" t="s">
        <v>328</v>
      </c>
      <c r="T167" s="92"/>
      <c r="U167" s="146" t="s">
        <v>328</v>
      </c>
      <c r="V167" s="92"/>
      <c r="W167" s="146" t="s">
        <v>328</v>
      </c>
      <c r="X167" s="92"/>
      <c r="Y167" s="146" t="s">
        <v>328</v>
      </c>
      <c r="Z167" s="92"/>
      <c r="AA167" s="146" t="s">
        <v>328</v>
      </c>
      <c r="AB167" s="92"/>
      <c r="AC167" s="146" t="s">
        <v>328</v>
      </c>
      <c r="AD167" s="92"/>
      <c r="AE167" s="146" t="s">
        <v>210</v>
      </c>
      <c r="AF167" s="187" t="str">
        <f t="shared" si="11"/>
        <v>NC</v>
      </c>
      <c r="AG167" s="54" t="str">
        <f t="shared" si="13"/>
        <v>NÃO UTILIZOU O PDA</v>
      </c>
      <c r="AH167" s="146" t="s">
        <v>204</v>
      </c>
      <c r="AI167" s="210" t="s">
        <v>6</v>
      </c>
      <c r="AJ167" s="97" t="str">
        <f t="shared" si="12"/>
        <v>GUARULHOS</v>
      </c>
      <c r="AK167" s="213" t="s">
        <v>39</v>
      </c>
      <c r="AL167" s="53">
        <v>-3.32E-2</v>
      </c>
      <c r="AM167" s="53" t="str" cm="1">
        <f t="array" ref="AM167">IF(OR(O167&lt;&gt;"", SUMPRODUCT(($AN$2:$AN$5000=AN167)*($AL$2:$AL$5000&lt;=AL167)) &lt;= (COUNTIF($AN$2:$AN$5000,AN167)*0.5)), "SORTEADO", "-")</f>
        <v>SORTEADO</v>
      </c>
      <c r="AN167" s="232" t="s">
        <v>580</v>
      </c>
    </row>
    <row r="168" spans="1:40" ht="30" hidden="1" customHeight="1" x14ac:dyDescent="0.2">
      <c r="A168" s="231" t="s">
        <v>197</v>
      </c>
      <c r="B168" s="231">
        <v>2614604735</v>
      </c>
      <c r="C168" s="231" t="s">
        <v>105</v>
      </c>
      <c r="D168" s="231" t="s">
        <v>80</v>
      </c>
      <c r="E168" s="231" t="s">
        <v>198</v>
      </c>
      <c r="F168" s="231" t="s">
        <v>621</v>
      </c>
      <c r="G168" s="231">
        <v>64</v>
      </c>
      <c r="H168" s="231" t="s">
        <v>206</v>
      </c>
      <c r="I168" s="231" t="s">
        <v>622</v>
      </c>
      <c r="J168" s="231" t="s">
        <v>254</v>
      </c>
      <c r="K168" s="231" t="s">
        <v>623</v>
      </c>
      <c r="L168" s="232" t="s">
        <v>580</v>
      </c>
      <c r="M168" s="232">
        <v>46207.634027777778</v>
      </c>
      <c r="N168" s="231" t="s">
        <v>241</v>
      </c>
      <c r="O168" s="158"/>
      <c r="P168" s="92"/>
      <c r="Q168" s="146"/>
      <c r="R168" s="92"/>
      <c r="S168" s="146"/>
      <c r="T168" s="92"/>
      <c r="U168" s="146"/>
      <c r="V168" s="92"/>
      <c r="W168" s="146"/>
      <c r="X168" s="92"/>
      <c r="Y168" s="146"/>
      <c r="Z168" s="92"/>
      <c r="AA168" s="146"/>
      <c r="AB168" s="92"/>
      <c r="AC168" s="146"/>
      <c r="AD168" s="92"/>
      <c r="AE168" s="146"/>
      <c r="AF168" s="187" t="str">
        <f t="shared" si="11"/>
        <v/>
      </c>
      <c r="AG168" s="54" t="b">
        <f t="shared" si="13"/>
        <v>0</v>
      </c>
      <c r="AH168" s="146"/>
      <c r="AI168" s="210" t="s">
        <v>6</v>
      </c>
      <c r="AJ168" s="97" t="str">
        <f t="shared" si="12"/>
        <v>GUARULHOS</v>
      </c>
      <c r="AK168" s="213" t="s">
        <v>39</v>
      </c>
      <c r="AL168" s="53">
        <v>0.31348014450657646</v>
      </c>
      <c r="AM168" s="53" t="str" cm="1">
        <f t="array" ref="AM168">IF(OR(O168&lt;&gt;"", SUMPRODUCT(($AN$2:$AN$5000=AN168)*($AL$2:$AL$5000&lt;=AL168)) &lt;= (COUNTIF($AN$2:$AN$5000,AN168)*0.5)), "SORTEADO", "-")</f>
        <v>-</v>
      </c>
      <c r="AN168" s="232" t="s">
        <v>580</v>
      </c>
    </row>
    <row r="169" spans="1:40" ht="30" hidden="1" customHeight="1" x14ac:dyDescent="0.2">
      <c r="A169" s="231" t="s">
        <v>197</v>
      </c>
      <c r="B169" s="231">
        <v>2614604608</v>
      </c>
      <c r="C169" s="231" t="s">
        <v>100</v>
      </c>
      <c r="D169" s="231" t="s">
        <v>78</v>
      </c>
      <c r="E169" s="231" t="s">
        <v>198</v>
      </c>
      <c r="F169" s="231" t="s">
        <v>624</v>
      </c>
      <c r="G169" s="231">
        <v>7</v>
      </c>
      <c r="H169" s="231" t="s">
        <v>625</v>
      </c>
      <c r="I169" s="231" t="s">
        <v>200</v>
      </c>
      <c r="J169" s="231" t="s">
        <v>248</v>
      </c>
      <c r="K169" s="238" t="s">
        <v>626</v>
      </c>
      <c r="L169" s="232" t="s">
        <v>580</v>
      </c>
      <c r="M169" s="232">
        <v>46207.375694444447</v>
      </c>
      <c r="N169" s="231" t="s">
        <v>209</v>
      </c>
      <c r="O169" s="158"/>
      <c r="P169" s="92"/>
      <c r="Q169" s="146"/>
      <c r="R169" s="92"/>
      <c r="S169" s="146"/>
      <c r="T169" s="92"/>
      <c r="U169" s="146"/>
      <c r="V169" s="92"/>
      <c r="W169" s="146"/>
      <c r="X169" s="92"/>
      <c r="Y169" s="146"/>
      <c r="Z169" s="92"/>
      <c r="AA169" s="146"/>
      <c r="AB169" s="92"/>
      <c r="AC169" s="146"/>
      <c r="AD169" s="92"/>
      <c r="AE169" s="146"/>
      <c r="AF169" s="187" t="str">
        <f t="shared" si="11"/>
        <v/>
      </c>
      <c r="AG169" s="54" t="b">
        <f t="shared" ref="AG169:AG193" si="14">IF(AND(AE169="C",AF169="C"),"UTILIZOU O PDA CORRETAMENTE",IF(AND(AE169="C",AF169="NC"),"UTILIZOU O PDA CORRETAMENTE. NÃO HÁ FOTOS DE TODAS AS ETAPAS",IF(AND(AE169="NC",AF169="NC"),"NÃO UTILIZOU O PDA",IF(AND(AE169="NA",AF169="NA"),"NÃO AVALIADO POR FALHA DE SINCRONISMO"))))</f>
        <v>0</v>
      </c>
      <c r="AH169" s="146"/>
      <c r="AI169" s="210" t="s">
        <v>6</v>
      </c>
      <c r="AJ169" s="97" t="str">
        <f t="shared" si="12"/>
        <v>GUARULHOS</v>
      </c>
      <c r="AK169" s="213" t="s">
        <v>39</v>
      </c>
      <c r="AL169" s="53">
        <v>0.55168003978524593</v>
      </c>
      <c r="AM169" s="53" t="str" cm="1">
        <f t="array" ref="AM169">IF(OR(O169&lt;&gt;"", SUMPRODUCT(($AN$2:$AN$5000=AN169)*($AL$2:$AL$5000&lt;=AL169)) &lt;= (COUNTIF($AN$2:$AN$5000,AN169)*0.5)), "SORTEADO", "-")</f>
        <v>-</v>
      </c>
      <c r="AN169" s="232" t="s">
        <v>580</v>
      </c>
    </row>
    <row r="170" spans="1:40" ht="30" hidden="1" customHeight="1" x14ac:dyDescent="0.2">
      <c r="A170" s="231" t="s">
        <v>197</v>
      </c>
      <c r="B170" s="231">
        <v>2614608241</v>
      </c>
      <c r="C170" s="231" t="s">
        <v>106</v>
      </c>
      <c r="D170" s="231" t="s">
        <v>80</v>
      </c>
      <c r="E170" s="231" t="s">
        <v>198</v>
      </c>
      <c r="F170" s="231" t="s">
        <v>627</v>
      </c>
      <c r="G170" s="231">
        <v>1635</v>
      </c>
      <c r="H170" s="231" t="s">
        <v>628</v>
      </c>
      <c r="I170" s="231" t="s">
        <v>285</v>
      </c>
      <c r="J170" s="231" t="s">
        <v>259</v>
      </c>
      <c r="K170" s="231" t="s">
        <v>629</v>
      </c>
      <c r="L170" s="232" t="s">
        <v>580</v>
      </c>
      <c r="M170" s="232">
        <v>46207.455555555556</v>
      </c>
      <c r="N170" s="231" t="s">
        <v>287</v>
      </c>
      <c r="O170" s="158"/>
      <c r="P170" s="92"/>
      <c r="Q170" s="146"/>
      <c r="R170" s="92"/>
      <c r="S170" s="146"/>
      <c r="T170" s="92"/>
      <c r="U170" s="146"/>
      <c r="V170" s="92"/>
      <c r="W170" s="146"/>
      <c r="X170" s="92"/>
      <c r="Y170" s="146"/>
      <c r="Z170" s="92"/>
      <c r="AA170" s="146"/>
      <c r="AB170" s="92"/>
      <c r="AC170" s="146"/>
      <c r="AD170" s="92"/>
      <c r="AE170" s="146"/>
      <c r="AF170" s="187" t="str">
        <f t="shared" si="11"/>
        <v/>
      </c>
      <c r="AG170" s="54" t="b">
        <f t="shared" si="14"/>
        <v>0</v>
      </c>
      <c r="AH170" s="146"/>
      <c r="AI170" s="210" t="s">
        <v>6</v>
      </c>
      <c r="AJ170" s="97" t="str">
        <f t="shared" si="12"/>
        <v>GUARULHOS</v>
      </c>
      <c r="AK170" s="213" t="s">
        <v>39</v>
      </c>
      <c r="AL170" s="53">
        <v>0.35544164466019956</v>
      </c>
      <c r="AM170" s="53" t="str" cm="1">
        <f t="array" ref="AM170">IF(OR(O170&lt;&gt;"", SUMPRODUCT(($AN$2:$AN$5000=AN170)*($AL$2:$AL$5000&lt;=AL170)) &lt;= (COUNTIF($AN$2:$AN$5000,AN170)*0.5)), "SORTEADO", "-")</f>
        <v>-</v>
      </c>
      <c r="AN170" s="232" t="s">
        <v>580</v>
      </c>
    </row>
    <row r="171" spans="1:40" ht="30" customHeight="1" x14ac:dyDescent="0.2">
      <c r="A171" s="231" t="s">
        <v>197</v>
      </c>
      <c r="B171" s="231">
        <v>2614625214</v>
      </c>
      <c r="C171" s="231" t="s">
        <v>105</v>
      </c>
      <c r="D171" s="231" t="s">
        <v>80</v>
      </c>
      <c r="E171" s="231" t="s">
        <v>198</v>
      </c>
      <c r="F171" s="231" t="s">
        <v>308</v>
      </c>
      <c r="G171" s="231">
        <v>513</v>
      </c>
      <c r="H171" s="231" t="s">
        <v>213</v>
      </c>
      <c r="I171" s="231" t="s">
        <v>262</v>
      </c>
      <c r="J171" s="231" t="s">
        <v>226</v>
      </c>
      <c r="K171" s="231" t="s">
        <v>630</v>
      </c>
      <c r="L171" s="232" t="s">
        <v>580</v>
      </c>
      <c r="M171" s="232">
        <v>46207.552083333336</v>
      </c>
      <c r="N171" s="231" t="s">
        <v>615</v>
      </c>
      <c r="O171" s="158" t="s">
        <v>204</v>
      </c>
      <c r="P171" s="92"/>
      <c r="Q171" s="146" t="s">
        <v>204</v>
      </c>
      <c r="R171" s="92"/>
      <c r="S171" s="146" t="s">
        <v>204</v>
      </c>
      <c r="T171" s="92"/>
      <c r="U171" s="146" t="s">
        <v>204</v>
      </c>
      <c r="V171" s="92"/>
      <c r="W171" s="146" t="s">
        <v>204</v>
      </c>
      <c r="X171" s="92"/>
      <c r="Y171" s="146" t="s">
        <v>204</v>
      </c>
      <c r="Z171" s="92"/>
      <c r="AA171" s="146" t="s">
        <v>210</v>
      </c>
      <c r="AB171" s="92" t="s">
        <v>618</v>
      </c>
      <c r="AC171" s="146" t="s">
        <v>204</v>
      </c>
      <c r="AD171" s="92"/>
      <c r="AE171" s="146" t="s">
        <v>204</v>
      </c>
      <c r="AF171" s="187" t="str">
        <f t="shared" si="11"/>
        <v>NC</v>
      </c>
      <c r="AG171" s="54" t="str">
        <f t="shared" si="14"/>
        <v>UTILIZOU O PDA CORRETAMENTE. NÃO HÁ FOTOS DE TODAS AS ETAPAS</v>
      </c>
      <c r="AH171" s="146" t="s">
        <v>204</v>
      </c>
      <c r="AI171" s="210" t="s">
        <v>6</v>
      </c>
      <c r="AJ171" s="97" t="str">
        <f t="shared" si="12"/>
        <v>GUARULHOS</v>
      </c>
      <c r="AK171" s="213" t="s">
        <v>39</v>
      </c>
      <c r="AL171" s="53">
        <v>-3.4000000000000002E-2</v>
      </c>
      <c r="AM171" s="53" t="str" cm="1">
        <f t="array" ref="AM171">IF(OR(O171&lt;&gt;"", SUMPRODUCT(($AN$2:$AN$5000=AN171)*($AL$2:$AL$5000&lt;=AL171)) &lt;= (COUNTIF($AN$2:$AN$5000,AN171)*0.5)), "SORTEADO", "-")</f>
        <v>SORTEADO</v>
      </c>
      <c r="AN171" s="232" t="s">
        <v>580</v>
      </c>
    </row>
    <row r="172" spans="1:40" ht="30" hidden="1" customHeight="1" x14ac:dyDescent="0.2">
      <c r="A172" s="231" t="s">
        <v>197</v>
      </c>
      <c r="B172" s="231">
        <v>2614624846</v>
      </c>
      <c r="C172" s="231" t="s">
        <v>105</v>
      </c>
      <c r="D172" s="231" t="s">
        <v>80</v>
      </c>
      <c r="E172" s="231" t="s">
        <v>198</v>
      </c>
      <c r="F172" s="231" t="s">
        <v>631</v>
      </c>
      <c r="G172" s="231">
        <v>103</v>
      </c>
      <c r="H172" s="231" t="s">
        <v>206</v>
      </c>
      <c r="I172" s="231" t="s">
        <v>301</v>
      </c>
      <c r="J172" s="231" t="s">
        <v>226</v>
      </c>
      <c r="K172" s="231" t="s">
        <v>630</v>
      </c>
      <c r="L172" s="232" t="s">
        <v>580</v>
      </c>
      <c r="M172" s="232">
        <v>46207.55</v>
      </c>
      <c r="N172" s="231" t="s">
        <v>615</v>
      </c>
      <c r="O172" s="158"/>
      <c r="P172" s="92"/>
      <c r="Q172" s="146"/>
      <c r="R172" s="92"/>
      <c r="S172" s="146"/>
      <c r="T172" s="92"/>
      <c r="U172" s="146"/>
      <c r="V172" s="92"/>
      <c r="W172" s="146"/>
      <c r="X172" s="92"/>
      <c r="Y172" s="146"/>
      <c r="Z172" s="92"/>
      <c r="AA172" s="146"/>
      <c r="AB172" s="92"/>
      <c r="AC172" s="146"/>
      <c r="AD172" s="92"/>
      <c r="AE172" s="146"/>
      <c r="AF172" s="187" t="str">
        <f t="shared" si="11"/>
        <v/>
      </c>
      <c r="AG172" s="54" t="b">
        <f t="shared" si="14"/>
        <v>0</v>
      </c>
      <c r="AH172" s="146"/>
      <c r="AI172" s="210" t="s">
        <v>6</v>
      </c>
      <c r="AJ172" s="97" t="str">
        <f t="shared" si="12"/>
        <v>GUARULHOS</v>
      </c>
      <c r="AK172" s="213" t="s">
        <v>39</v>
      </c>
      <c r="AL172" s="53">
        <v>7.2474565324302964E-2</v>
      </c>
      <c r="AM172" s="53" t="str" cm="1">
        <f t="array" ref="AM172">IF(OR(O172&lt;&gt;"", SUMPRODUCT(($AN$2:$AN$5000=AN172)*($AL$2:$AL$5000&lt;=AL172)) &lt;= (COUNTIF($AN$2:$AN$5000,AN172)*0.5)), "SORTEADO", "-")</f>
        <v>-</v>
      </c>
      <c r="AN172" s="232" t="s">
        <v>580</v>
      </c>
    </row>
    <row r="173" spans="1:40" ht="30" hidden="1" customHeight="1" x14ac:dyDescent="0.2">
      <c r="A173" s="231" t="s">
        <v>197</v>
      </c>
      <c r="B173" s="231">
        <v>2614623665</v>
      </c>
      <c r="C173" s="231" t="s">
        <v>100</v>
      </c>
      <c r="D173" s="231" t="s">
        <v>78</v>
      </c>
      <c r="E173" s="231" t="s">
        <v>198</v>
      </c>
      <c r="F173" s="231" t="s">
        <v>632</v>
      </c>
      <c r="G173" s="231">
        <v>136</v>
      </c>
      <c r="H173" s="231" t="s">
        <v>633</v>
      </c>
      <c r="I173" s="231" t="s">
        <v>301</v>
      </c>
      <c r="J173" s="231" t="s">
        <v>248</v>
      </c>
      <c r="K173" s="231" t="s">
        <v>634</v>
      </c>
      <c r="L173" s="232" t="s">
        <v>580</v>
      </c>
      <c r="M173" s="232">
        <v>46207.538194444445</v>
      </c>
      <c r="N173" s="231" t="s">
        <v>381</v>
      </c>
      <c r="O173" s="158"/>
      <c r="P173" s="92"/>
      <c r="Q173" s="146"/>
      <c r="R173" s="92"/>
      <c r="S173" s="146"/>
      <c r="T173" s="92"/>
      <c r="U173" s="146"/>
      <c r="V173" s="92"/>
      <c r="W173" s="146"/>
      <c r="X173" s="92"/>
      <c r="Y173" s="146"/>
      <c r="Z173" s="92"/>
      <c r="AA173" s="146"/>
      <c r="AB173" s="92"/>
      <c r="AC173" s="146"/>
      <c r="AD173" s="92"/>
      <c r="AE173" s="146"/>
      <c r="AF173" s="187" t="str">
        <f t="shared" si="11"/>
        <v/>
      </c>
      <c r="AG173" s="54" t="b">
        <f t="shared" si="14"/>
        <v>0</v>
      </c>
      <c r="AH173" s="146"/>
      <c r="AI173" s="210" t="s">
        <v>6</v>
      </c>
      <c r="AJ173" s="97" t="str">
        <f t="shared" si="12"/>
        <v>GUARULHOS</v>
      </c>
      <c r="AK173" s="213" t="s">
        <v>39</v>
      </c>
      <c r="AL173" s="53">
        <v>5.0129839376042207E-2</v>
      </c>
      <c r="AM173" s="53" t="str" cm="1">
        <f t="array" ref="AM173">IF(OR(O173&lt;&gt;"", SUMPRODUCT(($AN$2:$AN$5000=AN173)*($AL$2:$AL$5000&lt;=AL173)) &lt;= (COUNTIF($AN$2:$AN$5000,AN173)*0.5)), "SORTEADO", "-")</f>
        <v>-</v>
      </c>
      <c r="AN173" s="232" t="s">
        <v>580</v>
      </c>
    </row>
    <row r="174" spans="1:40" ht="30" hidden="1" customHeight="1" x14ac:dyDescent="0.2">
      <c r="A174" s="231" t="s">
        <v>197</v>
      </c>
      <c r="B174" s="231">
        <v>2614623992</v>
      </c>
      <c r="C174" s="231" t="s">
        <v>105</v>
      </c>
      <c r="D174" s="231" t="s">
        <v>80</v>
      </c>
      <c r="E174" s="231" t="s">
        <v>198</v>
      </c>
      <c r="F174" s="231" t="s">
        <v>635</v>
      </c>
      <c r="G174" s="231">
        <v>46</v>
      </c>
      <c r="H174" s="231"/>
      <c r="I174" s="231" t="s">
        <v>622</v>
      </c>
      <c r="J174" s="231" t="s">
        <v>226</v>
      </c>
      <c r="K174" s="231"/>
      <c r="L174" s="232" t="s">
        <v>580</v>
      </c>
      <c r="M174" s="232">
        <v>46207.59097222222</v>
      </c>
      <c r="N174" s="231" t="s">
        <v>244</v>
      </c>
      <c r="O174" s="158"/>
      <c r="P174" s="92"/>
      <c r="Q174" s="146"/>
      <c r="R174" s="92"/>
      <c r="S174" s="146"/>
      <c r="T174" s="92"/>
      <c r="U174" s="146"/>
      <c r="V174" s="92"/>
      <c r="W174" s="146"/>
      <c r="X174" s="92"/>
      <c r="Y174" s="146"/>
      <c r="Z174" s="92"/>
      <c r="AA174" s="146"/>
      <c r="AB174" s="92"/>
      <c r="AC174" s="146"/>
      <c r="AD174" s="92"/>
      <c r="AE174" s="146"/>
      <c r="AF174" s="187" t="str">
        <f t="shared" si="11"/>
        <v/>
      </c>
      <c r="AG174" s="54" t="b">
        <f t="shared" si="14"/>
        <v>0</v>
      </c>
      <c r="AH174" s="146"/>
      <c r="AI174" s="210" t="s">
        <v>6</v>
      </c>
      <c r="AJ174" s="97" t="str">
        <f t="shared" si="12"/>
        <v>GUARULHOS</v>
      </c>
      <c r="AK174" s="213" t="s">
        <v>39</v>
      </c>
      <c r="AL174" s="53">
        <v>0.21799349033056992</v>
      </c>
      <c r="AM174" s="53" t="str" cm="1">
        <f t="array" ref="AM174">IF(OR(O174&lt;&gt;"", SUMPRODUCT(($AN$2:$AN$5000=AN174)*($AL$2:$AL$5000&lt;=AL174)) &lt;= (COUNTIF($AN$2:$AN$5000,AN174)*0.5)), "SORTEADO", "-")</f>
        <v>-</v>
      </c>
      <c r="AN174" s="232" t="s">
        <v>580</v>
      </c>
    </row>
    <row r="175" spans="1:40" ht="30" hidden="1" customHeight="1" x14ac:dyDescent="0.2">
      <c r="A175" s="231" t="s">
        <v>197</v>
      </c>
      <c r="B175" s="231">
        <v>2689790511</v>
      </c>
      <c r="C175" s="231" t="s">
        <v>106</v>
      </c>
      <c r="D175" s="231" t="s">
        <v>80</v>
      </c>
      <c r="E175" s="231" t="s">
        <v>198</v>
      </c>
      <c r="F175" s="231" t="s">
        <v>216</v>
      </c>
      <c r="G175" s="231">
        <v>101</v>
      </c>
      <c r="H175" s="231" t="s">
        <v>213</v>
      </c>
      <c r="I175" s="231" t="s">
        <v>247</v>
      </c>
      <c r="J175" s="231" t="s">
        <v>270</v>
      </c>
      <c r="K175" s="231" t="s">
        <v>636</v>
      </c>
      <c r="L175" s="232" t="s">
        <v>580</v>
      </c>
      <c r="M175" s="232">
        <v>46207.62777777778</v>
      </c>
      <c r="N175" s="231" t="s">
        <v>228</v>
      </c>
      <c r="O175" s="158"/>
      <c r="P175" s="92"/>
      <c r="Q175" s="146"/>
      <c r="R175" s="92"/>
      <c r="S175" s="146"/>
      <c r="T175" s="92"/>
      <c r="U175" s="146"/>
      <c r="V175" s="92"/>
      <c r="W175" s="146"/>
      <c r="X175" s="92"/>
      <c r="Y175" s="146"/>
      <c r="Z175" s="92"/>
      <c r="AA175" s="146"/>
      <c r="AB175" s="92"/>
      <c r="AC175" s="146"/>
      <c r="AD175" s="92"/>
      <c r="AE175" s="146"/>
      <c r="AF175" s="187" t="str">
        <f t="shared" si="11"/>
        <v/>
      </c>
      <c r="AG175" s="54" t="b">
        <f t="shared" si="14"/>
        <v>0</v>
      </c>
      <c r="AH175" s="146"/>
      <c r="AI175" s="210" t="s">
        <v>6</v>
      </c>
      <c r="AJ175" s="97" t="str">
        <f t="shared" si="12"/>
        <v>GUARULHOS</v>
      </c>
      <c r="AK175" s="213" t="s">
        <v>39</v>
      </c>
      <c r="AL175" s="53">
        <v>0.45642248208998093</v>
      </c>
      <c r="AM175" s="53" t="str" cm="1">
        <f t="array" ref="AM175">IF(OR(O175&lt;&gt;"", SUMPRODUCT(($AN$2:$AN$5000=AN175)*($AL$2:$AL$5000&lt;=AL175)) &lt;= (COUNTIF($AN$2:$AN$5000,AN175)*0.5)), "SORTEADO", "-")</f>
        <v>-</v>
      </c>
      <c r="AN175" s="232" t="s">
        <v>580</v>
      </c>
    </row>
    <row r="176" spans="1:40" ht="30" hidden="1" customHeight="1" x14ac:dyDescent="0.2">
      <c r="A176" s="231" t="s">
        <v>197</v>
      </c>
      <c r="B176" s="231">
        <v>2689777113</v>
      </c>
      <c r="C176" s="231" t="s">
        <v>106</v>
      </c>
      <c r="D176" s="231" t="s">
        <v>80</v>
      </c>
      <c r="E176" s="231" t="s">
        <v>198</v>
      </c>
      <c r="F176" s="231" t="s">
        <v>637</v>
      </c>
      <c r="G176" s="231">
        <v>85</v>
      </c>
      <c r="H176" s="231"/>
      <c r="I176" s="231" t="s">
        <v>253</v>
      </c>
      <c r="J176" s="231" t="s">
        <v>259</v>
      </c>
      <c r="K176" s="231" t="s">
        <v>638</v>
      </c>
      <c r="L176" s="232" t="s">
        <v>580</v>
      </c>
      <c r="M176" s="232">
        <v>46207.673611111109</v>
      </c>
      <c r="N176" s="231" t="s">
        <v>287</v>
      </c>
      <c r="O176" s="158"/>
      <c r="P176" s="92"/>
      <c r="Q176" s="146"/>
      <c r="R176" s="92"/>
      <c r="S176" s="146"/>
      <c r="T176" s="92"/>
      <c r="U176" s="146"/>
      <c r="V176" s="92"/>
      <c r="W176" s="146"/>
      <c r="X176" s="92"/>
      <c r="Y176" s="146"/>
      <c r="Z176" s="92"/>
      <c r="AA176" s="146"/>
      <c r="AB176" s="92"/>
      <c r="AC176" s="146"/>
      <c r="AD176" s="92"/>
      <c r="AE176" s="146"/>
      <c r="AF176" s="187" t="str">
        <f t="shared" si="11"/>
        <v/>
      </c>
      <c r="AG176" s="54" t="b">
        <f t="shared" si="14"/>
        <v>0</v>
      </c>
      <c r="AH176" s="146"/>
      <c r="AI176" s="210" t="s">
        <v>6</v>
      </c>
      <c r="AJ176" s="97" t="str">
        <f t="shared" si="12"/>
        <v>GUARULHOS</v>
      </c>
      <c r="AK176" s="213" t="s">
        <v>39</v>
      </c>
      <c r="AL176" s="53">
        <v>0.93628812319516141</v>
      </c>
      <c r="AM176" s="53" t="str" cm="1">
        <f t="array" ref="AM176">IF(OR(O176&lt;&gt;"", SUMPRODUCT(($AN$2:$AN$5000=AN176)*($AL$2:$AL$5000&lt;=AL176)) &lt;= (COUNTIF($AN$2:$AN$5000,AN176)*0.5)), "SORTEADO", "-")</f>
        <v>-</v>
      </c>
      <c r="AN176" s="232" t="s">
        <v>580</v>
      </c>
    </row>
    <row r="177" spans="1:40" ht="30" hidden="1" customHeight="1" x14ac:dyDescent="0.2">
      <c r="A177" s="231" t="s">
        <v>197</v>
      </c>
      <c r="B177" s="231">
        <v>2614505812</v>
      </c>
      <c r="C177" s="231" t="s">
        <v>102</v>
      </c>
      <c r="D177" s="231" t="s">
        <v>80</v>
      </c>
      <c r="E177" s="231" t="s">
        <v>198</v>
      </c>
      <c r="F177" s="231" t="s">
        <v>639</v>
      </c>
      <c r="G177" s="231">
        <v>83</v>
      </c>
      <c r="H177" s="231" t="s">
        <v>213</v>
      </c>
      <c r="I177" s="231" t="s">
        <v>253</v>
      </c>
      <c r="J177" s="231" t="s">
        <v>270</v>
      </c>
      <c r="K177" s="231" t="s">
        <v>640</v>
      </c>
      <c r="L177" s="232" t="s">
        <v>580</v>
      </c>
      <c r="M177" s="232">
        <v>46207.638888888891</v>
      </c>
      <c r="N177" s="231" t="s">
        <v>287</v>
      </c>
      <c r="O177" s="158"/>
      <c r="P177" s="92"/>
      <c r="Q177" s="146"/>
      <c r="R177" s="92"/>
      <c r="S177" s="146"/>
      <c r="T177" s="92"/>
      <c r="U177" s="146"/>
      <c r="V177" s="92"/>
      <c r="W177" s="146"/>
      <c r="X177" s="92"/>
      <c r="Y177" s="146"/>
      <c r="Z177" s="92"/>
      <c r="AA177" s="146"/>
      <c r="AB177" s="92"/>
      <c r="AC177" s="146"/>
      <c r="AD177" s="92"/>
      <c r="AE177" s="146"/>
      <c r="AF177" s="187" t="str">
        <f t="shared" si="11"/>
        <v/>
      </c>
      <c r="AG177" s="54" t="b">
        <f t="shared" si="14"/>
        <v>0</v>
      </c>
      <c r="AH177" s="146"/>
      <c r="AI177" s="210" t="s">
        <v>6</v>
      </c>
      <c r="AJ177" s="97" t="str">
        <f t="shared" si="12"/>
        <v>GUARULHOS</v>
      </c>
      <c r="AK177" s="213" t="s">
        <v>39</v>
      </c>
      <c r="AL177" s="53">
        <v>2.14983957391226E-2</v>
      </c>
      <c r="AM177" s="53" t="str" cm="1">
        <f t="array" ref="AM177">IF(OR(O177&lt;&gt;"", SUMPRODUCT(($AN$2:$AN$5000=AN177)*($AL$2:$AL$5000&lt;=AL177)) &lt;= (COUNTIF($AN$2:$AN$5000,AN177)*0.5)), "SORTEADO", "-")</f>
        <v>-</v>
      </c>
      <c r="AN177" s="232" t="s">
        <v>580</v>
      </c>
    </row>
    <row r="178" spans="1:40" ht="30" hidden="1" customHeight="1" x14ac:dyDescent="0.2">
      <c r="A178" s="231" t="s">
        <v>197</v>
      </c>
      <c r="B178" s="231">
        <v>2689811597</v>
      </c>
      <c r="C178" s="231" t="s">
        <v>102</v>
      </c>
      <c r="D178" s="231" t="s">
        <v>80</v>
      </c>
      <c r="E178" s="231" t="s">
        <v>198</v>
      </c>
      <c r="F178" s="231" t="s">
        <v>641</v>
      </c>
      <c r="G178" s="231">
        <v>153</v>
      </c>
      <c r="H178" s="231" t="s">
        <v>642</v>
      </c>
      <c r="I178" s="231" t="s">
        <v>643</v>
      </c>
      <c r="J178" s="231" t="s">
        <v>259</v>
      </c>
      <c r="K178" s="231"/>
      <c r="L178" s="232" t="s">
        <v>580</v>
      </c>
      <c r="M178" s="232">
        <v>46207.627083333333</v>
      </c>
      <c r="N178" s="231" t="s">
        <v>237</v>
      </c>
      <c r="O178" s="158"/>
      <c r="P178" s="92"/>
      <c r="Q178" s="146"/>
      <c r="R178" s="92"/>
      <c r="S178" s="146"/>
      <c r="T178" s="92"/>
      <c r="U178" s="146"/>
      <c r="V178" s="92"/>
      <c r="W178" s="146"/>
      <c r="X178" s="92"/>
      <c r="Y178" s="146"/>
      <c r="Z178" s="92"/>
      <c r="AA178" s="146"/>
      <c r="AB178" s="92"/>
      <c r="AC178" s="146"/>
      <c r="AD178" s="92"/>
      <c r="AE178" s="146"/>
      <c r="AF178" s="187" t="str">
        <f t="shared" si="11"/>
        <v/>
      </c>
      <c r="AG178" s="54" t="b">
        <f t="shared" si="14"/>
        <v>0</v>
      </c>
      <c r="AH178" s="146"/>
      <c r="AI178" s="210" t="s">
        <v>6</v>
      </c>
      <c r="AJ178" s="97" t="str">
        <f t="shared" si="12"/>
        <v>GUARULHOS</v>
      </c>
      <c r="AK178" s="213" t="s">
        <v>39</v>
      </c>
      <c r="AL178" s="53">
        <v>0.41218882021554071</v>
      </c>
      <c r="AM178" s="53" t="str" cm="1">
        <f t="array" ref="AM178">IF(OR(O178&lt;&gt;"", SUMPRODUCT(($AN$2:$AN$5000=AN178)*($AL$2:$AL$5000&lt;=AL178)) &lt;= (COUNTIF($AN$2:$AN$5000,AN178)*0.5)), "SORTEADO", "-")</f>
        <v>-</v>
      </c>
      <c r="AN178" s="232" t="s">
        <v>580</v>
      </c>
    </row>
    <row r="179" spans="1:40" ht="30" customHeight="1" x14ac:dyDescent="0.2">
      <c r="A179" s="231" t="s">
        <v>197</v>
      </c>
      <c r="B179" s="231">
        <v>2614646231</v>
      </c>
      <c r="C179" s="231" t="s">
        <v>100</v>
      </c>
      <c r="D179" s="231" t="s">
        <v>78</v>
      </c>
      <c r="E179" s="231" t="s">
        <v>198</v>
      </c>
      <c r="F179" s="231" t="s">
        <v>308</v>
      </c>
      <c r="G179" s="231">
        <v>550</v>
      </c>
      <c r="H179" s="239" t="s">
        <v>644</v>
      </c>
      <c r="I179" s="231" t="s">
        <v>262</v>
      </c>
      <c r="J179" s="231" t="s">
        <v>248</v>
      </c>
      <c r="K179" s="238" t="s">
        <v>645</v>
      </c>
      <c r="L179" s="232" t="s">
        <v>580</v>
      </c>
      <c r="M179" s="232">
        <v>46207.654861111114</v>
      </c>
      <c r="N179" s="231" t="s">
        <v>263</v>
      </c>
      <c r="O179" s="158" t="s">
        <v>204</v>
      </c>
      <c r="P179" s="92"/>
      <c r="Q179" s="146" t="s">
        <v>204</v>
      </c>
      <c r="R179" s="92"/>
      <c r="S179" s="146" t="s">
        <v>204</v>
      </c>
      <c r="T179" s="92"/>
      <c r="U179" s="146" t="s">
        <v>204</v>
      </c>
      <c r="V179" s="92"/>
      <c r="W179" s="146" t="s">
        <v>204</v>
      </c>
      <c r="X179" s="92"/>
      <c r="Y179" s="146" t="s">
        <v>204</v>
      </c>
      <c r="Z179" s="92"/>
      <c r="AA179" s="146" t="s">
        <v>210</v>
      </c>
      <c r="AB179" s="92" t="s">
        <v>618</v>
      </c>
      <c r="AC179" s="146" t="s">
        <v>204</v>
      </c>
      <c r="AD179" s="92"/>
      <c r="AE179" s="146" t="s">
        <v>204</v>
      </c>
      <c r="AF179" s="187" t="str">
        <f t="shared" si="11"/>
        <v>NC</v>
      </c>
      <c r="AG179" s="54" t="str">
        <f t="shared" si="14"/>
        <v>UTILIZOU O PDA CORRETAMENTE. NÃO HÁ FOTOS DE TODAS AS ETAPAS</v>
      </c>
      <c r="AH179" s="146" t="s">
        <v>204</v>
      </c>
      <c r="AI179" s="210" t="s">
        <v>6</v>
      </c>
      <c r="AJ179" s="97" t="str">
        <f t="shared" si="12"/>
        <v>GUARULHOS</v>
      </c>
      <c r="AK179" s="213" t="s">
        <v>39</v>
      </c>
      <c r="AL179" s="53">
        <v>-3.56E-2</v>
      </c>
      <c r="AM179" s="53" t="str" cm="1">
        <f t="array" ref="AM179">IF(OR(O179&lt;&gt;"", SUMPRODUCT(($AN$2:$AN$5000=AN179)*($AL$2:$AL$5000&lt;=AL179)) &lt;= (COUNTIF($AN$2:$AN$5000,AN179)*0.5)), "SORTEADO", "-")</f>
        <v>SORTEADO</v>
      </c>
      <c r="AN179" s="232" t="s">
        <v>580</v>
      </c>
    </row>
    <row r="180" spans="1:40" ht="30" hidden="1" customHeight="1" x14ac:dyDescent="0.2">
      <c r="A180" s="231" t="s">
        <v>197</v>
      </c>
      <c r="B180" s="231">
        <v>2614645951</v>
      </c>
      <c r="C180" s="231" t="s">
        <v>100</v>
      </c>
      <c r="D180" s="231" t="s">
        <v>78</v>
      </c>
      <c r="E180" s="231" t="s">
        <v>198</v>
      </c>
      <c r="F180" s="231" t="s">
        <v>635</v>
      </c>
      <c r="G180" s="231">
        <v>46</v>
      </c>
      <c r="H180" s="231"/>
      <c r="I180" s="231" t="s">
        <v>622</v>
      </c>
      <c r="J180" s="231" t="s">
        <v>248</v>
      </c>
      <c r="K180" s="231"/>
      <c r="L180" s="232" t="s">
        <v>580</v>
      </c>
      <c r="M180" s="232">
        <v>46207.603472222225</v>
      </c>
      <c r="N180" s="231" t="s">
        <v>244</v>
      </c>
      <c r="O180" s="158"/>
      <c r="P180" s="92"/>
      <c r="Q180" s="146"/>
      <c r="R180" s="92"/>
      <c r="S180" s="146"/>
      <c r="T180" s="92"/>
      <c r="U180" s="146"/>
      <c r="V180" s="92"/>
      <c r="W180" s="146"/>
      <c r="X180" s="92"/>
      <c r="Y180" s="146"/>
      <c r="Z180" s="92"/>
      <c r="AA180" s="146"/>
      <c r="AB180" s="92"/>
      <c r="AC180" s="146"/>
      <c r="AD180" s="92"/>
      <c r="AE180" s="146"/>
      <c r="AF180" s="187" t="str">
        <f t="shared" si="11"/>
        <v/>
      </c>
      <c r="AG180" s="54" t="b">
        <f t="shared" si="14"/>
        <v>0</v>
      </c>
      <c r="AH180" s="146"/>
      <c r="AI180" s="210" t="s">
        <v>6</v>
      </c>
      <c r="AJ180" s="97" t="str">
        <f t="shared" si="12"/>
        <v>GUARULHOS</v>
      </c>
      <c r="AK180" s="213" t="s">
        <v>39</v>
      </c>
      <c r="AL180" s="53">
        <v>0.91778970141654526</v>
      </c>
      <c r="AM180" s="53" t="str" cm="1">
        <f t="array" ref="AM180">IF(OR(O180&lt;&gt;"", SUMPRODUCT(($AN$2:$AN$5000=AN180)*($AL$2:$AL$5000&lt;=AL180)) &lt;= (COUNTIF($AN$2:$AN$5000,AN180)*0.5)), "SORTEADO", "-")</f>
        <v>-</v>
      </c>
      <c r="AN180" s="232" t="s">
        <v>580</v>
      </c>
    </row>
    <row r="181" spans="1:40" ht="30" customHeight="1" x14ac:dyDescent="0.2">
      <c r="A181" s="231" t="s">
        <v>197</v>
      </c>
      <c r="B181" s="231">
        <v>2614646463</v>
      </c>
      <c r="C181" s="231" t="s">
        <v>100</v>
      </c>
      <c r="D181" s="231" t="s">
        <v>78</v>
      </c>
      <c r="E181" s="231" t="s">
        <v>198</v>
      </c>
      <c r="F181" s="231" t="s">
        <v>308</v>
      </c>
      <c r="G181" s="231">
        <v>551</v>
      </c>
      <c r="H181" s="231" t="s">
        <v>646</v>
      </c>
      <c r="I181" s="231" t="s">
        <v>262</v>
      </c>
      <c r="J181" s="231" t="s">
        <v>248</v>
      </c>
      <c r="K181" s="231" t="s">
        <v>213</v>
      </c>
      <c r="L181" s="232" t="s">
        <v>580</v>
      </c>
      <c r="M181" s="232">
        <v>46207.65902777778</v>
      </c>
      <c r="N181" s="231" t="s">
        <v>263</v>
      </c>
      <c r="O181" s="158" t="s">
        <v>204</v>
      </c>
      <c r="P181" s="92"/>
      <c r="Q181" s="146" t="s">
        <v>204</v>
      </c>
      <c r="R181" s="92"/>
      <c r="S181" s="146" t="s">
        <v>204</v>
      </c>
      <c r="T181" s="92"/>
      <c r="U181" s="146" t="s">
        <v>204</v>
      </c>
      <c r="V181" s="92"/>
      <c r="W181" s="146" t="s">
        <v>204</v>
      </c>
      <c r="X181" s="92"/>
      <c r="Y181" s="146" t="s">
        <v>204</v>
      </c>
      <c r="Z181" s="92"/>
      <c r="AA181" s="146" t="s">
        <v>210</v>
      </c>
      <c r="AB181" s="92" t="s">
        <v>618</v>
      </c>
      <c r="AC181" s="146" t="s">
        <v>204</v>
      </c>
      <c r="AD181" s="92"/>
      <c r="AE181" s="146" t="s">
        <v>204</v>
      </c>
      <c r="AF181" s="187" t="str">
        <f t="shared" si="11"/>
        <v>NC</v>
      </c>
      <c r="AG181" s="54" t="str">
        <f t="shared" si="14"/>
        <v>UTILIZOU O PDA CORRETAMENTE. NÃO HÁ FOTOS DE TODAS AS ETAPAS</v>
      </c>
      <c r="AH181" s="146" t="s">
        <v>204</v>
      </c>
      <c r="AI181" s="210" t="s">
        <v>6</v>
      </c>
      <c r="AJ181" s="97" t="str">
        <f t="shared" si="12"/>
        <v>GUARULHOS</v>
      </c>
      <c r="AK181" s="213" t="s">
        <v>39</v>
      </c>
      <c r="AL181" s="53">
        <v>-3.5999999999999997E-2</v>
      </c>
      <c r="AM181" s="53" t="str" cm="1">
        <f t="array" ref="AM181">IF(OR(O181&lt;&gt;"", SUMPRODUCT(($AN$2:$AN$5000=AN181)*($AL$2:$AL$5000&lt;=AL181)) &lt;= (COUNTIF($AN$2:$AN$5000,AN181)*0.5)), "SORTEADO", "-")</f>
        <v>SORTEADO</v>
      </c>
      <c r="AN181" s="232" t="s">
        <v>580</v>
      </c>
    </row>
    <row r="182" spans="1:40" ht="30" hidden="1" customHeight="1" x14ac:dyDescent="0.2">
      <c r="A182" s="231" t="s">
        <v>197</v>
      </c>
      <c r="B182" s="231">
        <v>2689704024</v>
      </c>
      <c r="C182" s="231" t="s">
        <v>98</v>
      </c>
      <c r="D182" s="231" t="s">
        <v>80</v>
      </c>
      <c r="E182" s="231" t="s">
        <v>198</v>
      </c>
      <c r="F182" s="231" t="s">
        <v>647</v>
      </c>
      <c r="G182" s="231">
        <v>173</v>
      </c>
      <c r="H182" s="231"/>
      <c r="I182" s="231" t="s">
        <v>291</v>
      </c>
      <c r="J182" s="231" t="s">
        <v>297</v>
      </c>
      <c r="K182" s="238" t="s">
        <v>648</v>
      </c>
      <c r="L182" s="232" t="s">
        <v>580</v>
      </c>
      <c r="M182" s="232">
        <v>46207.53125</v>
      </c>
      <c r="N182" s="231" t="s">
        <v>271</v>
      </c>
      <c r="O182" s="158"/>
      <c r="P182" s="92"/>
      <c r="Q182" s="146"/>
      <c r="R182" s="92"/>
      <c r="S182" s="146"/>
      <c r="T182" s="92"/>
      <c r="U182" s="146"/>
      <c r="V182" s="92"/>
      <c r="W182" s="146"/>
      <c r="X182" s="92"/>
      <c r="Y182" s="146"/>
      <c r="Z182" s="92"/>
      <c r="AA182" s="146"/>
      <c r="AB182" s="92"/>
      <c r="AC182" s="146"/>
      <c r="AD182" s="92"/>
      <c r="AE182" s="146"/>
      <c r="AF182" s="187" t="str">
        <f t="shared" si="11"/>
        <v/>
      </c>
      <c r="AG182" s="54" t="b">
        <f t="shared" si="14"/>
        <v>0</v>
      </c>
      <c r="AH182" s="146"/>
      <c r="AI182" s="210" t="s">
        <v>6</v>
      </c>
      <c r="AJ182" s="97" t="str">
        <f t="shared" si="12"/>
        <v>GUARULHOS</v>
      </c>
      <c r="AK182" s="213" t="s">
        <v>39</v>
      </c>
      <c r="AL182" s="53">
        <v>0.70431288224408239</v>
      </c>
      <c r="AM182" s="53" t="str" cm="1">
        <f t="array" ref="AM182">IF(OR(O182&lt;&gt;"", SUMPRODUCT(($AN$2:$AN$5000=AN182)*($AL$2:$AL$5000&lt;=AL182)) &lt;= (COUNTIF($AN$2:$AN$5000,AN182)*0.5)), "SORTEADO", "-")</f>
        <v>-</v>
      </c>
      <c r="AN182" s="232" t="s">
        <v>580</v>
      </c>
    </row>
    <row r="183" spans="1:40" ht="30" customHeight="1" x14ac:dyDescent="0.2">
      <c r="A183" s="231" t="s">
        <v>197</v>
      </c>
      <c r="B183" s="231">
        <v>2614101946</v>
      </c>
      <c r="C183" s="231" t="s">
        <v>85</v>
      </c>
      <c r="D183" s="231" t="s">
        <v>76</v>
      </c>
      <c r="E183" s="231" t="s">
        <v>198</v>
      </c>
      <c r="F183" s="231" t="s">
        <v>649</v>
      </c>
      <c r="G183" s="231">
        <v>67</v>
      </c>
      <c r="H183" s="231" t="s">
        <v>213</v>
      </c>
      <c r="I183" s="231" t="s">
        <v>650</v>
      </c>
      <c r="J183" s="231" t="s">
        <v>85</v>
      </c>
      <c r="K183" s="231" t="s">
        <v>651</v>
      </c>
      <c r="L183" s="232" t="s">
        <v>580</v>
      </c>
      <c r="M183" s="232">
        <v>46207.683333333334</v>
      </c>
      <c r="N183" s="231" t="s">
        <v>215</v>
      </c>
      <c r="O183" s="158" t="s">
        <v>204</v>
      </c>
      <c r="P183" s="92"/>
      <c r="Q183" s="146" t="s">
        <v>210</v>
      </c>
      <c r="R183" s="92" t="s">
        <v>652</v>
      </c>
      <c r="S183" s="146" t="s">
        <v>204</v>
      </c>
      <c r="T183" s="92"/>
      <c r="U183" s="146" t="s">
        <v>204</v>
      </c>
      <c r="V183" s="92"/>
      <c r="W183" s="146" t="s">
        <v>204</v>
      </c>
      <c r="X183" s="92"/>
      <c r="Y183" s="146" t="s">
        <v>204</v>
      </c>
      <c r="Z183" s="92"/>
      <c r="AA183" s="146" t="s">
        <v>204</v>
      </c>
      <c r="AB183" s="92"/>
      <c r="AC183" s="146" t="s">
        <v>204</v>
      </c>
      <c r="AD183" s="92"/>
      <c r="AE183" s="146" t="s">
        <v>204</v>
      </c>
      <c r="AF183" s="187" t="str">
        <f t="shared" si="11"/>
        <v>NC</v>
      </c>
      <c r="AG183" s="54" t="str">
        <f t="shared" si="14"/>
        <v>UTILIZOU O PDA CORRETAMENTE. NÃO HÁ FOTOS DE TODAS AS ETAPAS</v>
      </c>
      <c r="AH183" s="146" t="s">
        <v>204</v>
      </c>
      <c r="AI183" s="210" t="s">
        <v>6</v>
      </c>
      <c r="AJ183" s="97" t="str">
        <f t="shared" si="12"/>
        <v>GUARULHOS</v>
      </c>
      <c r="AK183" s="213" t="s">
        <v>39</v>
      </c>
      <c r="AL183" s="53">
        <v>-3.6400000000000002E-2</v>
      </c>
      <c r="AM183" s="53" t="str" cm="1">
        <f t="array" ref="AM183">IF(OR(O183&lt;&gt;"", SUMPRODUCT(($AN$2:$AN$5000=AN183)*($AL$2:$AL$5000&lt;=AL183)) &lt;= (COUNTIF($AN$2:$AN$5000,AN183)*0.5)), "SORTEADO", "-")</f>
        <v>SORTEADO</v>
      </c>
      <c r="AN183" s="232" t="s">
        <v>580</v>
      </c>
    </row>
    <row r="184" spans="1:40" ht="30" hidden="1" customHeight="1" x14ac:dyDescent="0.2">
      <c r="A184" s="231" t="s">
        <v>197</v>
      </c>
      <c r="B184" s="231">
        <v>2689696727</v>
      </c>
      <c r="C184" s="231" t="s">
        <v>89</v>
      </c>
      <c r="D184" s="231" t="s">
        <v>77</v>
      </c>
      <c r="E184" s="231" t="s">
        <v>198</v>
      </c>
      <c r="F184" s="231" t="s">
        <v>653</v>
      </c>
      <c r="G184" s="231">
        <v>378</v>
      </c>
      <c r="H184" s="231" t="s">
        <v>213</v>
      </c>
      <c r="I184" s="231" t="s">
        <v>654</v>
      </c>
      <c r="J184" s="231" t="s">
        <v>346</v>
      </c>
      <c r="K184" s="231" t="s">
        <v>655</v>
      </c>
      <c r="L184" s="232" t="s">
        <v>580</v>
      </c>
      <c r="M184" s="232">
        <v>46207.42083333333</v>
      </c>
      <c r="N184" s="231" t="s">
        <v>432</v>
      </c>
      <c r="O184" s="158"/>
      <c r="P184" s="92"/>
      <c r="Q184" s="146"/>
      <c r="R184" s="92"/>
      <c r="S184" s="146"/>
      <c r="T184" s="92"/>
      <c r="U184" s="146"/>
      <c r="V184" s="92"/>
      <c r="W184" s="146"/>
      <c r="X184" s="92"/>
      <c r="Y184" s="146"/>
      <c r="Z184" s="92"/>
      <c r="AA184" s="146"/>
      <c r="AB184" s="92"/>
      <c r="AC184" s="146"/>
      <c r="AD184" s="92"/>
      <c r="AE184" s="146"/>
      <c r="AF184" s="187" t="str">
        <f t="shared" si="11"/>
        <v/>
      </c>
      <c r="AG184" s="54" t="b">
        <f t="shared" si="14"/>
        <v>0</v>
      </c>
      <c r="AH184" s="146"/>
      <c r="AI184" s="210" t="s">
        <v>6</v>
      </c>
      <c r="AJ184" s="97" t="str">
        <f t="shared" si="12"/>
        <v>GUARULHOS</v>
      </c>
      <c r="AK184" s="213" t="s">
        <v>39</v>
      </c>
      <c r="AL184" s="53">
        <v>8.0510424977994766E-2</v>
      </c>
      <c r="AM184" s="53" t="str" cm="1">
        <f t="array" ref="AM184">IF(OR(O184&lt;&gt;"", SUMPRODUCT(($AN$2:$AN$5000=AN184)*($AL$2:$AL$5000&lt;=AL184)) &lt;= (COUNTIF($AN$2:$AN$5000,AN184)*0.5)), "SORTEADO", "-")</f>
        <v>-</v>
      </c>
      <c r="AN184" s="232" t="s">
        <v>580</v>
      </c>
    </row>
    <row r="185" spans="1:40" ht="30" hidden="1" customHeight="1" x14ac:dyDescent="0.2">
      <c r="A185" s="231" t="s">
        <v>197</v>
      </c>
      <c r="B185" s="231">
        <v>2689729487</v>
      </c>
      <c r="C185" s="231" t="s">
        <v>98</v>
      </c>
      <c r="D185" s="231" t="s">
        <v>80</v>
      </c>
      <c r="E185" s="231" t="s">
        <v>198</v>
      </c>
      <c r="F185" s="231" t="s">
        <v>656</v>
      </c>
      <c r="G185" s="231">
        <v>56</v>
      </c>
      <c r="H185" s="231" t="s">
        <v>206</v>
      </c>
      <c r="I185" s="231" t="s">
        <v>416</v>
      </c>
      <c r="J185" s="231" t="s">
        <v>297</v>
      </c>
      <c r="K185" s="231" t="s">
        <v>657</v>
      </c>
      <c r="L185" s="232" t="s">
        <v>580</v>
      </c>
      <c r="M185" s="232">
        <v>46207.600694444445</v>
      </c>
      <c r="N185" s="231" t="s">
        <v>250</v>
      </c>
      <c r="O185" s="158"/>
      <c r="P185" s="92"/>
      <c r="Q185" s="146"/>
      <c r="R185" s="92"/>
      <c r="S185" s="146"/>
      <c r="T185" s="92"/>
      <c r="U185" s="146"/>
      <c r="V185" s="92"/>
      <c r="W185" s="146"/>
      <c r="X185" s="92"/>
      <c r="Y185" s="146"/>
      <c r="Z185" s="92"/>
      <c r="AA185" s="146"/>
      <c r="AB185" s="92"/>
      <c r="AC185" s="146"/>
      <c r="AD185" s="92"/>
      <c r="AE185" s="146"/>
      <c r="AF185" s="187" t="str">
        <f t="shared" si="11"/>
        <v/>
      </c>
      <c r="AG185" s="54" t="b">
        <f t="shared" si="14"/>
        <v>0</v>
      </c>
      <c r="AH185" s="146"/>
      <c r="AI185" s="210" t="s">
        <v>6</v>
      </c>
      <c r="AJ185" s="97" t="str">
        <f t="shared" si="12"/>
        <v>GUARULHOS</v>
      </c>
      <c r="AK185" s="213" t="s">
        <v>39</v>
      </c>
      <c r="AL185" s="53">
        <v>0.31199950256915421</v>
      </c>
      <c r="AM185" s="53" t="str" cm="1">
        <f t="array" ref="AM185">IF(OR(O185&lt;&gt;"", SUMPRODUCT(($AN$2:$AN$5000=AN185)*($AL$2:$AL$5000&lt;=AL185)) &lt;= (COUNTIF($AN$2:$AN$5000,AN185)*0.5)), "SORTEADO", "-")</f>
        <v>-</v>
      </c>
      <c r="AN185" s="232" t="s">
        <v>580</v>
      </c>
    </row>
    <row r="186" spans="1:40" ht="30" customHeight="1" x14ac:dyDescent="0.2">
      <c r="A186" s="231" t="s">
        <v>197</v>
      </c>
      <c r="B186" s="231">
        <v>2614469579</v>
      </c>
      <c r="C186" s="231" t="s">
        <v>105</v>
      </c>
      <c r="D186" s="231" t="s">
        <v>80</v>
      </c>
      <c r="E186" s="231" t="s">
        <v>198</v>
      </c>
      <c r="F186" s="231" t="s">
        <v>658</v>
      </c>
      <c r="G186" s="231">
        <v>282</v>
      </c>
      <c r="H186" s="231" t="s">
        <v>659</v>
      </c>
      <c r="I186" s="231" t="s">
        <v>660</v>
      </c>
      <c r="J186" s="231" t="s">
        <v>226</v>
      </c>
      <c r="K186" s="231" t="s">
        <v>213</v>
      </c>
      <c r="L186" s="232" t="s">
        <v>661</v>
      </c>
      <c r="M186" s="232">
        <v>46238.427777777775</v>
      </c>
      <c r="N186" s="231" t="s">
        <v>237</v>
      </c>
      <c r="O186" s="158" t="s">
        <v>204</v>
      </c>
      <c r="P186" s="92"/>
      <c r="Q186" s="146" t="s">
        <v>204</v>
      </c>
      <c r="R186" s="92"/>
      <c r="S186" s="146" t="s">
        <v>204</v>
      </c>
      <c r="T186" s="92"/>
      <c r="U186" s="146" t="s">
        <v>204</v>
      </c>
      <c r="V186" s="92"/>
      <c r="W186" s="146" t="s">
        <v>204</v>
      </c>
      <c r="X186" s="92"/>
      <c r="Y186" s="146" t="s">
        <v>61</v>
      </c>
      <c r="Z186" s="92"/>
      <c r="AA186" s="146" t="s">
        <v>204</v>
      </c>
      <c r="AB186" s="92"/>
      <c r="AC186" s="146" t="s">
        <v>204</v>
      </c>
      <c r="AD186" s="92"/>
      <c r="AE186" s="146" t="s">
        <v>204</v>
      </c>
      <c r="AF186" s="187" t="str">
        <f t="shared" si="11"/>
        <v>C</v>
      </c>
      <c r="AG186" s="54" t="str">
        <f t="shared" si="14"/>
        <v>UTILIZOU O PDA CORRETAMENTE</v>
      </c>
      <c r="AH186" s="144" t="s">
        <v>204</v>
      </c>
      <c r="AI186" s="210" t="s">
        <v>6</v>
      </c>
      <c r="AJ186" s="97" t="str">
        <f t="shared" si="12"/>
        <v>GUARULHOS</v>
      </c>
      <c r="AK186" s="213" t="s">
        <v>39</v>
      </c>
      <c r="AL186" s="53">
        <v>2.1195849810926481E-2</v>
      </c>
      <c r="AM186" s="53" t="str" cm="1">
        <f t="array" ref="AM186">IF(OR(O186&lt;&gt;"", SUMPRODUCT(($AN$2:$AN$5000=AN186)*($AL$2:$AL$5000&lt;=AL186)) &lt;= (COUNTIF($AN$2:$AN$5000,AN186)*0.5)), "SORTEADO", "-")</f>
        <v>SORTEADO</v>
      </c>
      <c r="AN186" s="232" t="s">
        <v>661</v>
      </c>
    </row>
    <row r="187" spans="1:40" ht="30" customHeight="1" x14ac:dyDescent="0.2">
      <c r="A187" s="231" t="s">
        <v>197</v>
      </c>
      <c r="B187" s="231">
        <v>2614667474</v>
      </c>
      <c r="C187" s="231" t="s">
        <v>105</v>
      </c>
      <c r="D187" s="231" t="s">
        <v>80</v>
      </c>
      <c r="E187" s="231" t="s">
        <v>198</v>
      </c>
      <c r="F187" s="231" t="s">
        <v>662</v>
      </c>
      <c r="G187" s="231">
        <v>539</v>
      </c>
      <c r="H187" s="231" t="s">
        <v>663</v>
      </c>
      <c r="I187" s="231" t="s">
        <v>664</v>
      </c>
      <c r="J187" s="231" t="s">
        <v>226</v>
      </c>
      <c r="K187" s="231"/>
      <c r="L187" s="232" t="s">
        <v>661</v>
      </c>
      <c r="M187" s="232">
        <v>46238.461805555555</v>
      </c>
      <c r="N187" s="231" t="s">
        <v>250</v>
      </c>
      <c r="O187" s="158" t="s">
        <v>204</v>
      </c>
      <c r="P187" s="92"/>
      <c r="Q187" s="146" t="s">
        <v>204</v>
      </c>
      <c r="R187" s="92"/>
      <c r="S187" s="146" t="s">
        <v>204</v>
      </c>
      <c r="T187" s="92"/>
      <c r="U187" s="146" t="s">
        <v>204</v>
      </c>
      <c r="V187" s="92"/>
      <c r="W187" s="146" t="s">
        <v>204</v>
      </c>
      <c r="X187" s="92"/>
      <c r="Y187" s="146" t="s">
        <v>61</v>
      </c>
      <c r="Z187" s="92"/>
      <c r="AA187" s="146" t="s">
        <v>204</v>
      </c>
      <c r="AB187" s="92"/>
      <c r="AC187" s="146" t="s">
        <v>204</v>
      </c>
      <c r="AD187" s="92"/>
      <c r="AE187" s="146" t="s">
        <v>204</v>
      </c>
      <c r="AF187" s="187" t="str">
        <f t="shared" si="11"/>
        <v>C</v>
      </c>
      <c r="AG187" s="54" t="str">
        <f t="shared" si="14"/>
        <v>UTILIZOU O PDA CORRETAMENTE</v>
      </c>
      <c r="AH187" s="144" t="s">
        <v>204</v>
      </c>
      <c r="AI187" s="210" t="s">
        <v>6</v>
      </c>
      <c r="AJ187" s="97" t="str">
        <f t="shared" si="12"/>
        <v>GUARULHOS</v>
      </c>
      <c r="AK187" s="213" t="s">
        <v>39</v>
      </c>
      <c r="AL187" s="53">
        <v>0.12801369945567798</v>
      </c>
      <c r="AM187" s="53" t="str" cm="1">
        <f t="array" ref="AM187">IF(OR(O187&lt;&gt;"", SUMPRODUCT(($AN$2:$AN$5000=AN187)*($AL$2:$AL$5000&lt;=AL187)) &lt;= (COUNTIF($AN$2:$AN$5000,AN187)*0.5)), "SORTEADO", "-")</f>
        <v>SORTEADO</v>
      </c>
      <c r="AN187" s="232" t="s">
        <v>661</v>
      </c>
    </row>
    <row r="188" spans="1:40" ht="30" hidden="1" customHeight="1" x14ac:dyDescent="0.2">
      <c r="A188" s="231" t="s">
        <v>197</v>
      </c>
      <c r="B188" s="231">
        <v>2689829983</v>
      </c>
      <c r="C188" s="231" t="s">
        <v>102</v>
      </c>
      <c r="D188" s="231" t="s">
        <v>80</v>
      </c>
      <c r="E188" s="231" t="s">
        <v>198</v>
      </c>
      <c r="F188" s="231" t="s">
        <v>665</v>
      </c>
      <c r="G188" s="231">
        <v>944</v>
      </c>
      <c r="H188" s="231" t="s">
        <v>666</v>
      </c>
      <c r="I188" s="231" t="s">
        <v>667</v>
      </c>
      <c r="J188" s="231" t="s">
        <v>270</v>
      </c>
      <c r="K188" s="231" t="s">
        <v>532</v>
      </c>
      <c r="L188" s="232" t="s">
        <v>661</v>
      </c>
      <c r="M188" s="232">
        <v>46238.436111111114</v>
      </c>
      <c r="N188" s="231" t="s">
        <v>432</v>
      </c>
      <c r="O188" s="158"/>
      <c r="P188" s="92"/>
      <c r="Q188" s="146"/>
      <c r="R188" s="92"/>
      <c r="S188" s="146"/>
      <c r="T188" s="92"/>
      <c r="U188" s="146"/>
      <c r="V188" s="92"/>
      <c r="W188" s="146"/>
      <c r="X188" s="92"/>
      <c r="Y188" s="146"/>
      <c r="Z188" s="92"/>
      <c r="AA188" s="146"/>
      <c r="AB188" s="92"/>
      <c r="AC188" s="146"/>
      <c r="AD188" s="92"/>
      <c r="AE188" s="146"/>
      <c r="AF188" s="187" t="str">
        <f t="shared" si="11"/>
        <v/>
      </c>
      <c r="AG188" s="54" t="b">
        <f t="shared" si="14"/>
        <v>0</v>
      </c>
      <c r="AH188" s="146"/>
      <c r="AI188" s="210" t="s">
        <v>6</v>
      </c>
      <c r="AJ188" s="97" t="str">
        <f t="shared" si="12"/>
        <v>GUARULHOS</v>
      </c>
      <c r="AK188" s="213" t="s">
        <v>39</v>
      </c>
      <c r="AL188" s="53">
        <v>0.59628210053474495</v>
      </c>
      <c r="AM188" s="53" t="str" cm="1">
        <f t="array" ref="AM188">IF(OR(O188&lt;&gt;"", SUMPRODUCT(($AN$2:$AN$5000=AN188)*($AL$2:$AL$5000&lt;=AL188)) &lt;= (COUNTIF($AN$2:$AN$5000,AN188)*0.5)), "SORTEADO", "-")</f>
        <v>-</v>
      </c>
      <c r="AN188" s="232" t="s">
        <v>661</v>
      </c>
    </row>
    <row r="189" spans="1:40" ht="30" hidden="1" customHeight="1" x14ac:dyDescent="0.2">
      <c r="A189" s="231" t="s">
        <v>197</v>
      </c>
      <c r="B189" s="231">
        <v>2614680977</v>
      </c>
      <c r="C189" s="231" t="s">
        <v>106</v>
      </c>
      <c r="D189" s="231" t="s">
        <v>80</v>
      </c>
      <c r="E189" s="231" t="s">
        <v>198</v>
      </c>
      <c r="F189" s="231" t="s">
        <v>668</v>
      </c>
      <c r="G189" s="231">
        <v>99</v>
      </c>
      <c r="H189" s="231"/>
      <c r="I189" s="231" t="s">
        <v>281</v>
      </c>
      <c r="J189" s="231" t="s">
        <v>270</v>
      </c>
      <c r="K189" s="231" t="s">
        <v>669</v>
      </c>
      <c r="L189" s="232" t="s">
        <v>661</v>
      </c>
      <c r="M189" s="232">
        <v>46238.50277777778</v>
      </c>
      <c r="N189" s="231" t="s">
        <v>271</v>
      </c>
      <c r="O189" s="158"/>
      <c r="P189" s="92"/>
      <c r="Q189" s="146"/>
      <c r="R189" s="92"/>
      <c r="S189" s="146"/>
      <c r="T189" s="92"/>
      <c r="U189" s="146"/>
      <c r="V189" s="92"/>
      <c r="W189" s="146"/>
      <c r="X189" s="92"/>
      <c r="Y189" s="146"/>
      <c r="Z189" s="92"/>
      <c r="AA189" s="146"/>
      <c r="AB189" s="92"/>
      <c r="AC189" s="146"/>
      <c r="AD189" s="92"/>
      <c r="AE189" s="146"/>
      <c r="AF189" s="187" t="str">
        <f t="shared" si="11"/>
        <v/>
      </c>
      <c r="AG189" s="54" t="b">
        <f t="shared" si="14"/>
        <v>0</v>
      </c>
      <c r="AH189" s="146"/>
      <c r="AI189" s="210" t="s">
        <v>6</v>
      </c>
      <c r="AJ189" s="97" t="str">
        <f t="shared" si="12"/>
        <v>GUARULHOS</v>
      </c>
      <c r="AK189" s="213" t="s">
        <v>39</v>
      </c>
      <c r="AL189" s="53">
        <v>0.56590547904651112</v>
      </c>
      <c r="AM189" s="53" t="str" cm="1">
        <f t="array" ref="AM189">IF(OR(O189&lt;&gt;"", SUMPRODUCT(($AN$2:$AN$5000=AN189)*($AL$2:$AL$5000&lt;=AL189)) &lt;= (COUNTIF($AN$2:$AN$5000,AN189)*0.5)), "SORTEADO", "-")</f>
        <v>-</v>
      </c>
      <c r="AN189" s="232" t="s">
        <v>661</v>
      </c>
    </row>
    <row r="190" spans="1:40" ht="30" hidden="1" customHeight="1" x14ac:dyDescent="0.2">
      <c r="A190" s="231" t="s">
        <v>197</v>
      </c>
      <c r="B190" s="231">
        <v>2614659764</v>
      </c>
      <c r="C190" s="231" t="s">
        <v>102</v>
      </c>
      <c r="D190" s="231" t="s">
        <v>80</v>
      </c>
      <c r="E190" s="231" t="s">
        <v>198</v>
      </c>
      <c r="F190" s="231" t="s">
        <v>670</v>
      </c>
      <c r="G190" s="231">
        <v>48</v>
      </c>
      <c r="H190" s="231" t="s">
        <v>671</v>
      </c>
      <c r="I190" s="231" t="s">
        <v>485</v>
      </c>
      <c r="J190" s="231" t="s">
        <v>270</v>
      </c>
      <c r="K190" s="231" t="s">
        <v>213</v>
      </c>
      <c r="L190" s="232" t="s">
        <v>661</v>
      </c>
      <c r="M190" s="232">
        <v>46238.474999999999</v>
      </c>
      <c r="N190" s="231" t="s">
        <v>287</v>
      </c>
      <c r="O190" s="158"/>
      <c r="P190" s="92"/>
      <c r="Q190" s="146"/>
      <c r="R190" s="92"/>
      <c r="S190" s="146"/>
      <c r="T190" s="92"/>
      <c r="U190" s="146"/>
      <c r="V190" s="92"/>
      <c r="W190" s="146"/>
      <c r="X190" s="92"/>
      <c r="Y190" s="146"/>
      <c r="Z190" s="92"/>
      <c r="AA190" s="146"/>
      <c r="AB190" s="92"/>
      <c r="AC190" s="146"/>
      <c r="AD190" s="92"/>
      <c r="AE190" s="146"/>
      <c r="AF190" s="187" t="str">
        <f t="shared" si="11"/>
        <v/>
      </c>
      <c r="AG190" s="54" t="b">
        <f t="shared" si="14"/>
        <v>0</v>
      </c>
      <c r="AH190" s="146"/>
      <c r="AI190" s="210" t="s">
        <v>6</v>
      </c>
      <c r="AJ190" s="97" t="str">
        <f t="shared" si="12"/>
        <v>GUARULHOS</v>
      </c>
      <c r="AK190" s="213" t="s">
        <v>39</v>
      </c>
      <c r="AL190" s="53">
        <v>0.98949218942357997</v>
      </c>
      <c r="AM190" s="53" t="str" cm="1">
        <f t="array" ref="AM190">IF(OR(O190&lt;&gt;"", SUMPRODUCT(($AN$2:$AN$5000=AN190)*($AL$2:$AL$5000&lt;=AL190)) &lt;= (COUNTIF($AN$2:$AN$5000,AN190)*0.5)), "SORTEADO", "-")</f>
        <v>-</v>
      </c>
      <c r="AN190" s="232" t="s">
        <v>661</v>
      </c>
    </row>
    <row r="191" spans="1:40" ht="30" customHeight="1" x14ac:dyDescent="0.2">
      <c r="A191" s="231" t="s">
        <v>197</v>
      </c>
      <c r="B191" s="231">
        <v>2614120534</v>
      </c>
      <c r="C191" s="231" t="s">
        <v>85</v>
      </c>
      <c r="D191" s="231" t="s">
        <v>76</v>
      </c>
      <c r="E191" s="231" t="s">
        <v>198</v>
      </c>
      <c r="F191" s="231" t="s">
        <v>672</v>
      </c>
      <c r="G191" s="231">
        <v>181</v>
      </c>
      <c r="H191" s="231"/>
      <c r="I191" s="231" t="s">
        <v>509</v>
      </c>
      <c r="J191" s="231" t="s">
        <v>85</v>
      </c>
      <c r="K191" s="231"/>
      <c r="L191" s="232" t="s">
        <v>661</v>
      </c>
      <c r="M191" s="232">
        <v>46238.411111111112</v>
      </c>
      <c r="N191" s="231" t="s">
        <v>408</v>
      </c>
      <c r="O191" s="158" t="s">
        <v>204</v>
      </c>
      <c r="P191" s="92"/>
      <c r="Q191" s="146" t="s">
        <v>204</v>
      </c>
      <c r="R191" s="92"/>
      <c r="S191" s="146" t="s">
        <v>204</v>
      </c>
      <c r="T191" s="92"/>
      <c r="U191" s="146" t="s">
        <v>61</v>
      </c>
      <c r="V191" s="92"/>
      <c r="W191" s="146" t="s">
        <v>61</v>
      </c>
      <c r="X191" s="92"/>
      <c r="Y191" s="146" t="s">
        <v>61</v>
      </c>
      <c r="Z191" s="92"/>
      <c r="AA191" s="146" t="s">
        <v>61</v>
      </c>
      <c r="AB191" s="92"/>
      <c r="AC191" s="146" t="s">
        <v>204</v>
      </c>
      <c r="AD191" s="92"/>
      <c r="AE191" s="146" t="s">
        <v>204</v>
      </c>
      <c r="AF191" s="187" t="str">
        <f t="shared" si="11"/>
        <v>C</v>
      </c>
      <c r="AG191" s="54" t="str">
        <f t="shared" si="14"/>
        <v>UTILIZOU O PDA CORRETAMENTE</v>
      </c>
      <c r="AH191" s="146" t="s">
        <v>204</v>
      </c>
      <c r="AI191" s="210" t="s">
        <v>6</v>
      </c>
      <c r="AJ191" s="97" t="str">
        <f t="shared" si="12"/>
        <v>GUARULHOS</v>
      </c>
      <c r="AK191" s="213" t="s">
        <v>39</v>
      </c>
      <c r="AL191" s="53">
        <v>-3.7999999999999999E-2</v>
      </c>
      <c r="AM191" s="53" t="str" cm="1">
        <f t="array" ref="AM191">IF(OR(O191&lt;&gt;"", SUMPRODUCT(($AN$2:$AN$5000=AN191)*($AL$2:$AL$5000&lt;=AL191)) &lt;= (COUNTIF($AN$2:$AN$5000,AN191)*0.5)), "SORTEADO", "-")</f>
        <v>SORTEADO</v>
      </c>
      <c r="AN191" s="232" t="s">
        <v>661</v>
      </c>
    </row>
    <row r="192" spans="1:40" ht="30" customHeight="1" x14ac:dyDescent="0.2">
      <c r="A192" s="231" t="s">
        <v>197</v>
      </c>
      <c r="B192" s="231">
        <v>2614135529</v>
      </c>
      <c r="C192" s="231" t="s">
        <v>94</v>
      </c>
      <c r="D192" s="231" t="s">
        <v>76</v>
      </c>
      <c r="E192" s="231" t="s">
        <v>198</v>
      </c>
      <c r="F192" s="231" t="s">
        <v>673</v>
      </c>
      <c r="G192" s="231">
        <v>123</v>
      </c>
      <c r="H192" s="231" t="s">
        <v>206</v>
      </c>
      <c r="I192" s="231" t="s">
        <v>611</v>
      </c>
      <c r="J192" s="231" t="s">
        <v>94</v>
      </c>
      <c r="K192" s="231" t="s">
        <v>213</v>
      </c>
      <c r="L192" s="232" t="s">
        <v>661</v>
      </c>
      <c r="M192" s="232">
        <v>46238.538194444445</v>
      </c>
      <c r="N192" s="231" t="s">
        <v>408</v>
      </c>
      <c r="O192" s="158" t="s">
        <v>204</v>
      </c>
      <c r="P192" s="92"/>
      <c r="Q192" s="146" t="s">
        <v>204</v>
      </c>
      <c r="R192" s="92"/>
      <c r="S192" s="146" t="s">
        <v>204</v>
      </c>
      <c r="T192" s="92"/>
      <c r="U192" s="146" t="s">
        <v>204</v>
      </c>
      <c r="V192" s="92"/>
      <c r="W192" s="146" t="s">
        <v>204</v>
      </c>
      <c r="X192" s="92"/>
      <c r="Y192" s="146" t="s">
        <v>61</v>
      </c>
      <c r="Z192" s="92"/>
      <c r="AA192" s="146" t="s">
        <v>210</v>
      </c>
      <c r="AB192" s="92" t="s">
        <v>618</v>
      </c>
      <c r="AC192" s="146" t="s">
        <v>204</v>
      </c>
      <c r="AD192" s="92"/>
      <c r="AE192" s="146" t="s">
        <v>204</v>
      </c>
      <c r="AF192" s="187" t="str">
        <f t="shared" si="11"/>
        <v>NC</v>
      </c>
      <c r="AG192" s="54" t="str">
        <f t="shared" si="14"/>
        <v>UTILIZOU O PDA CORRETAMENTE. NÃO HÁ FOTOS DE TODAS AS ETAPAS</v>
      </c>
      <c r="AH192" s="146" t="s">
        <v>204</v>
      </c>
      <c r="AI192" s="210" t="s">
        <v>6</v>
      </c>
      <c r="AJ192" s="97" t="str">
        <f t="shared" si="12"/>
        <v>GUARULHOS</v>
      </c>
      <c r="AK192" s="213" t="s">
        <v>39</v>
      </c>
      <c r="AL192" s="53">
        <v>-3.8199999999999998E-2</v>
      </c>
      <c r="AM192" s="53" t="str" cm="1">
        <f t="array" ref="AM192">IF(OR(O192&lt;&gt;"", SUMPRODUCT(($AN$2:$AN$5000=AN192)*($AL$2:$AL$5000&lt;=AL192)) &lt;= (COUNTIF($AN$2:$AN$5000,AN192)*0.5)), "SORTEADO", "-")</f>
        <v>SORTEADO</v>
      </c>
      <c r="AN192" s="232" t="s">
        <v>661</v>
      </c>
    </row>
    <row r="193" spans="1:40" ht="30" customHeight="1" x14ac:dyDescent="0.2">
      <c r="A193" s="231" t="s">
        <v>197</v>
      </c>
      <c r="B193" s="231">
        <v>2614135538</v>
      </c>
      <c r="C193" s="231" t="s">
        <v>96</v>
      </c>
      <c r="D193" s="231" t="s">
        <v>76</v>
      </c>
      <c r="E193" s="231" t="s">
        <v>198</v>
      </c>
      <c r="F193" s="231" t="s">
        <v>673</v>
      </c>
      <c r="G193" s="231">
        <v>123</v>
      </c>
      <c r="H193" s="231" t="s">
        <v>211</v>
      </c>
      <c r="I193" s="231" t="s">
        <v>611</v>
      </c>
      <c r="J193" s="231" t="s">
        <v>96</v>
      </c>
      <c r="K193" s="231" t="s">
        <v>674</v>
      </c>
      <c r="L193" s="232" t="s">
        <v>661</v>
      </c>
      <c r="M193" s="232">
        <v>46238.540972222225</v>
      </c>
      <c r="N193" s="231" t="s">
        <v>408</v>
      </c>
      <c r="O193" s="158" t="s">
        <v>204</v>
      </c>
      <c r="P193" s="92"/>
      <c r="Q193" s="146" t="s">
        <v>204</v>
      </c>
      <c r="R193" s="92"/>
      <c r="S193" s="146" t="s">
        <v>204</v>
      </c>
      <c r="T193" s="92"/>
      <c r="U193" s="146" t="s">
        <v>204</v>
      </c>
      <c r="V193" s="92"/>
      <c r="W193" s="146" t="s">
        <v>204</v>
      </c>
      <c r="X193" s="92"/>
      <c r="Y193" s="146" t="s">
        <v>61</v>
      </c>
      <c r="Z193" s="92"/>
      <c r="AA193" s="146" t="s">
        <v>210</v>
      </c>
      <c r="AB193" s="92" t="s">
        <v>618</v>
      </c>
      <c r="AC193" s="146" t="s">
        <v>204</v>
      </c>
      <c r="AD193" s="92"/>
      <c r="AE193" s="146" t="s">
        <v>204</v>
      </c>
      <c r="AF193" s="187" t="str">
        <f t="shared" si="11"/>
        <v>NC</v>
      </c>
      <c r="AG193" s="54" t="str">
        <f t="shared" si="14"/>
        <v>UTILIZOU O PDA CORRETAMENTE. NÃO HÁ FOTOS DE TODAS AS ETAPAS</v>
      </c>
      <c r="AH193" s="146" t="s">
        <v>204</v>
      </c>
      <c r="AI193" s="210" t="s">
        <v>6</v>
      </c>
      <c r="AJ193" s="97" t="str">
        <f t="shared" si="12"/>
        <v>GUARULHOS</v>
      </c>
      <c r="AK193" s="213" t="s">
        <v>39</v>
      </c>
      <c r="AL193" s="53">
        <v>-3.8399999999999997E-2</v>
      </c>
      <c r="AM193" s="53" t="str" cm="1">
        <f t="array" ref="AM193">IF(OR(O193&lt;&gt;"", SUMPRODUCT(($AN$2:$AN$5000=AN193)*($AL$2:$AL$5000&lt;=AL193)) &lt;= (COUNTIF($AN$2:$AN$5000,AN193)*0.5)), "SORTEADO", "-")</f>
        <v>SORTEADO</v>
      </c>
      <c r="AN193" s="232" t="s">
        <v>661</v>
      </c>
    </row>
    <row r="194" spans="1:40" ht="30" hidden="1" customHeight="1" x14ac:dyDescent="0.2">
      <c r="A194" s="231" t="s">
        <v>197</v>
      </c>
      <c r="B194" s="231">
        <v>2614682430</v>
      </c>
      <c r="C194" s="231" t="s">
        <v>105</v>
      </c>
      <c r="D194" s="231" t="s">
        <v>80</v>
      </c>
      <c r="E194" s="231" t="s">
        <v>198</v>
      </c>
      <c r="F194" s="231" t="s">
        <v>261</v>
      </c>
      <c r="G194" s="231">
        <v>419</v>
      </c>
      <c r="H194" s="231" t="s">
        <v>675</v>
      </c>
      <c r="I194" s="231" t="s">
        <v>262</v>
      </c>
      <c r="J194" s="231" t="s">
        <v>226</v>
      </c>
      <c r="K194" s="231" t="s">
        <v>630</v>
      </c>
      <c r="L194" s="232" t="s">
        <v>661</v>
      </c>
      <c r="M194" s="232">
        <v>46238.43472222222</v>
      </c>
      <c r="N194" s="231" t="s">
        <v>615</v>
      </c>
      <c r="O194" s="158" t="s">
        <v>61</v>
      </c>
      <c r="P194" s="92"/>
      <c r="Q194" s="146" t="s">
        <v>61</v>
      </c>
      <c r="R194" s="92"/>
      <c r="S194" s="146" t="s">
        <v>61</v>
      </c>
      <c r="T194" s="92"/>
      <c r="U194" s="146" t="s">
        <v>61</v>
      </c>
      <c r="V194" s="92"/>
      <c r="W194" s="146" t="s">
        <v>61</v>
      </c>
      <c r="X194" s="92"/>
      <c r="Y194" s="146" t="s">
        <v>61</v>
      </c>
      <c r="Z194" s="92"/>
      <c r="AA194" s="146" t="s">
        <v>61</v>
      </c>
      <c r="AB194" s="92"/>
      <c r="AC194" s="146" t="s">
        <v>61</v>
      </c>
      <c r="AD194" s="92"/>
      <c r="AE194" s="146" t="s">
        <v>61</v>
      </c>
      <c r="AF194" s="187" t="str">
        <f t="shared" si="11"/>
        <v>NA</v>
      </c>
      <c r="AG194" s="54" t="s">
        <v>311</v>
      </c>
      <c r="AH194" s="146" t="s">
        <v>204</v>
      </c>
      <c r="AI194" s="210" t="s">
        <v>6</v>
      </c>
      <c r="AJ194" s="97" t="str">
        <f t="shared" si="12"/>
        <v>GUARULHOS</v>
      </c>
      <c r="AK194" s="213" t="s">
        <v>39</v>
      </c>
      <c r="AL194" s="53">
        <v>-3.8600000000000002E-2</v>
      </c>
      <c r="AM194" s="53" t="str" cm="1">
        <f t="array" ref="AM194">IF(OR(O194&lt;&gt;"", SUMPRODUCT(($AN$2:$AN$5000=AN194)*($AL$2:$AL$5000&lt;=AL194)) &lt;= (COUNTIF($AN$2:$AN$5000,AN194)*0.5)), "SORTEADO", "-")</f>
        <v>SORTEADO</v>
      </c>
      <c r="AN194" s="232" t="s">
        <v>661</v>
      </c>
    </row>
    <row r="195" spans="1:40" ht="30" hidden="1" customHeight="1" x14ac:dyDescent="0.2">
      <c r="A195" s="231" t="s">
        <v>197</v>
      </c>
      <c r="B195" s="231">
        <v>2689813068</v>
      </c>
      <c r="C195" s="231" t="s">
        <v>106</v>
      </c>
      <c r="D195" s="231" t="s">
        <v>80</v>
      </c>
      <c r="E195" s="231" t="s">
        <v>198</v>
      </c>
      <c r="F195" s="231" t="s">
        <v>429</v>
      </c>
      <c r="G195" s="231">
        <v>194</v>
      </c>
      <c r="H195" s="231" t="s">
        <v>676</v>
      </c>
      <c r="I195" s="231" t="s">
        <v>430</v>
      </c>
      <c r="J195" s="231" t="s">
        <v>259</v>
      </c>
      <c r="K195" s="231" t="s">
        <v>630</v>
      </c>
      <c r="L195" s="232" t="s">
        <v>661</v>
      </c>
      <c r="M195" s="232">
        <v>46238.431944444441</v>
      </c>
      <c r="N195" s="231" t="s">
        <v>615</v>
      </c>
      <c r="O195" s="158"/>
      <c r="P195" s="92"/>
      <c r="Q195" s="146"/>
      <c r="R195" s="92"/>
      <c r="S195" s="146"/>
      <c r="T195" s="92"/>
      <c r="U195" s="146"/>
      <c r="V195" s="92"/>
      <c r="W195" s="146"/>
      <c r="X195" s="92"/>
      <c r="Y195" s="146"/>
      <c r="Z195" s="92"/>
      <c r="AA195" s="146"/>
      <c r="AB195" s="92"/>
      <c r="AC195" s="146"/>
      <c r="AD195" s="92"/>
      <c r="AE195" s="146"/>
      <c r="AF195" s="187" t="str">
        <f t="shared" si="11"/>
        <v/>
      </c>
      <c r="AG195" s="54" t="b">
        <f t="shared" ref="AG195:AG240" si="15">IF(AND(AE195="C",AF195="C"),"UTILIZOU O PDA CORRETAMENTE",IF(AND(AE195="C",AF195="NC"),"UTILIZOU O PDA CORRETAMENTE. NÃO HÁ FOTOS DE TODAS AS ETAPAS",IF(AND(AE195="NC",AF195="NC"),"NÃO UTILIZOU O PDA",IF(AND(AE195="NA",AF195="NA"),"NÃO AVALIADO POR FALHA DE SINCRONISMO"))))</f>
        <v>0</v>
      </c>
      <c r="AH195" s="146"/>
      <c r="AI195" s="210" t="s">
        <v>6</v>
      </c>
      <c r="AJ195" s="97" t="str">
        <f t="shared" si="12"/>
        <v>GUARULHOS</v>
      </c>
      <c r="AK195" s="213" t="s">
        <v>39</v>
      </c>
      <c r="AL195" s="53">
        <v>0.95678414683684798</v>
      </c>
      <c r="AM195" s="53" t="str" cm="1">
        <f t="array" ref="AM195">IF(OR(O195&lt;&gt;"", SUMPRODUCT(($AN$2:$AN$5000=AN195)*($AL$2:$AL$5000&lt;=AL195)) &lt;= (COUNTIF($AN$2:$AN$5000,AN195)*0.5)), "SORTEADO", "-")</f>
        <v>-</v>
      </c>
      <c r="AN195" s="232" t="s">
        <v>661</v>
      </c>
    </row>
    <row r="196" spans="1:40" ht="30" hidden="1" customHeight="1" x14ac:dyDescent="0.25">
      <c r="A196" s="231" t="s">
        <v>197</v>
      </c>
      <c r="B196" s="231">
        <v>2614460073</v>
      </c>
      <c r="C196" s="231" t="s">
        <v>100</v>
      </c>
      <c r="D196" s="231" t="s">
        <v>78</v>
      </c>
      <c r="E196" s="231" t="s">
        <v>198</v>
      </c>
      <c r="F196" s="231" t="s">
        <v>386</v>
      </c>
      <c r="G196" s="231">
        <v>82</v>
      </c>
      <c r="H196" s="231">
        <v>126</v>
      </c>
      <c r="I196" s="231" t="s">
        <v>262</v>
      </c>
      <c r="J196" s="231" t="s">
        <v>248</v>
      </c>
      <c r="K196" s="231" t="s">
        <v>677</v>
      </c>
      <c r="L196" s="232" t="s">
        <v>661</v>
      </c>
      <c r="M196" s="232">
        <v>46238.513888888891</v>
      </c>
      <c r="N196" s="231" t="s">
        <v>303</v>
      </c>
      <c r="O196" s="158"/>
      <c r="P196" s="203"/>
      <c r="Q196" s="160"/>
      <c r="R196" s="204"/>
      <c r="S196" s="160"/>
      <c r="T196" s="204"/>
      <c r="U196" s="160"/>
      <c r="V196" s="204"/>
      <c r="W196" s="160"/>
      <c r="X196" s="204"/>
      <c r="Y196" s="160"/>
      <c r="Z196" s="204"/>
      <c r="AA196" s="160"/>
      <c r="AB196" s="204"/>
      <c r="AC196" s="160"/>
      <c r="AD196" s="204"/>
      <c r="AE196" s="185"/>
      <c r="AF196" s="187" t="str">
        <f t="shared" si="11"/>
        <v/>
      </c>
      <c r="AG196" s="54" t="b">
        <f t="shared" si="15"/>
        <v>0</v>
      </c>
      <c r="AH196" s="146"/>
      <c r="AI196" s="210" t="s">
        <v>6</v>
      </c>
      <c r="AJ196" s="97" t="str">
        <f t="shared" si="12"/>
        <v>GUARULHOS</v>
      </c>
      <c r="AK196" s="213" t="s">
        <v>39</v>
      </c>
      <c r="AL196" s="53">
        <v>0.57222880340799365</v>
      </c>
      <c r="AM196" s="53" t="str" cm="1">
        <f t="array" ref="AM196">IF(OR(O196&lt;&gt;"", SUMPRODUCT(($AN$2:$AN$5000=AN196)*($AL$2:$AL$5000&lt;=AL196)) &lt;= (COUNTIF($AN$2:$AN$5000,AN196)*0.5)), "SORTEADO", "-")</f>
        <v>-</v>
      </c>
      <c r="AN196" s="232" t="s">
        <v>661</v>
      </c>
    </row>
    <row r="197" spans="1:40" ht="30" customHeight="1" x14ac:dyDescent="0.2">
      <c r="A197" s="231" t="s">
        <v>197</v>
      </c>
      <c r="B197" s="231">
        <v>2614121460</v>
      </c>
      <c r="C197" s="231" t="s">
        <v>83</v>
      </c>
      <c r="D197" s="231" t="s">
        <v>76</v>
      </c>
      <c r="E197" s="231" t="s">
        <v>198</v>
      </c>
      <c r="F197" s="231" t="s">
        <v>678</v>
      </c>
      <c r="G197" s="231">
        <v>268</v>
      </c>
      <c r="H197" s="231" t="s">
        <v>217</v>
      </c>
      <c r="I197" s="231" t="s">
        <v>531</v>
      </c>
      <c r="J197" s="231" t="s">
        <v>219</v>
      </c>
      <c r="K197" s="231"/>
      <c r="L197" s="232" t="s">
        <v>661</v>
      </c>
      <c r="M197" s="232">
        <v>46238.595138888886</v>
      </c>
      <c r="N197" s="231" t="s">
        <v>215</v>
      </c>
      <c r="O197" s="158" t="s">
        <v>204</v>
      </c>
      <c r="P197" s="92"/>
      <c r="Q197" s="146" t="s">
        <v>204</v>
      </c>
      <c r="R197" s="92"/>
      <c r="S197" s="146" t="s">
        <v>204</v>
      </c>
      <c r="T197" s="92"/>
      <c r="U197" s="146" t="s">
        <v>204</v>
      </c>
      <c r="V197" s="92"/>
      <c r="W197" s="146" t="s">
        <v>204</v>
      </c>
      <c r="X197" s="92"/>
      <c r="Y197" s="146" t="s">
        <v>61</v>
      </c>
      <c r="Z197" s="92"/>
      <c r="AA197" s="146" t="s">
        <v>204</v>
      </c>
      <c r="AB197" s="92"/>
      <c r="AC197" s="146" t="s">
        <v>204</v>
      </c>
      <c r="AD197" s="92"/>
      <c r="AE197" s="146" t="s">
        <v>204</v>
      </c>
      <c r="AF197" s="187" t="str">
        <f t="shared" si="11"/>
        <v>C</v>
      </c>
      <c r="AG197" s="54" t="str">
        <f t="shared" si="15"/>
        <v>UTILIZOU O PDA CORRETAMENTE</v>
      </c>
      <c r="AH197" s="146" t="s">
        <v>204</v>
      </c>
      <c r="AI197" s="210" t="s">
        <v>6</v>
      </c>
      <c r="AJ197" s="97" t="str">
        <f t="shared" si="12"/>
        <v>GUARULHOS</v>
      </c>
      <c r="AK197" s="213" t="s">
        <v>39</v>
      </c>
      <c r="AL197" s="53">
        <v>-3.9199999999999999E-2</v>
      </c>
      <c r="AM197" s="53" t="str" cm="1">
        <f t="array" ref="AM197">IF(OR(O197&lt;&gt;"", SUMPRODUCT(($AN$2:$AN$5000=AN197)*($AL$2:$AL$5000&lt;=AL197)) &lt;= (COUNTIF($AN$2:$AN$5000,AN197)*0.5)), "SORTEADO", "-")</f>
        <v>SORTEADO</v>
      </c>
      <c r="AN197" s="232" t="s">
        <v>661</v>
      </c>
    </row>
    <row r="198" spans="1:40" ht="30" customHeight="1" x14ac:dyDescent="0.25">
      <c r="A198" s="231" t="s">
        <v>197</v>
      </c>
      <c r="B198" s="231">
        <v>2614112286</v>
      </c>
      <c r="C198" s="231" t="s">
        <v>85</v>
      </c>
      <c r="D198" s="231" t="s">
        <v>76</v>
      </c>
      <c r="E198" s="231" t="s">
        <v>198</v>
      </c>
      <c r="F198" s="231" t="s">
        <v>679</v>
      </c>
      <c r="G198" s="231">
        <v>586</v>
      </c>
      <c r="H198" s="231" t="s">
        <v>213</v>
      </c>
      <c r="I198" s="231" t="s">
        <v>356</v>
      </c>
      <c r="J198" s="231" t="s">
        <v>85</v>
      </c>
      <c r="K198" s="231" t="s">
        <v>213</v>
      </c>
      <c r="L198" s="232" t="s">
        <v>661</v>
      </c>
      <c r="M198" s="232">
        <v>46238.761805555558</v>
      </c>
      <c r="N198" s="231" t="s">
        <v>203</v>
      </c>
      <c r="O198" s="158" t="s">
        <v>204</v>
      </c>
      <c r="P198" s="205"/>
      <c r="Q198" s="161" t="s">
        <v>204</v>
      </c>
      <c r="R198" s="206"/>
      <c r="S198" s="161" t="s">
        <v>204</v>
      </c>
      <c r="T198" s="206"/>
      <c r="U198" s="161" t="s">
        <v>204</v>
      </c>
      <c r="V198" s="206"/>
      <c r="W198" s="161" t="s">
        <v>204</v>
      </c>
      <c r="X198" s="206"/>
      <c r="Y198" s="161" t="s">
        <v>204</v>
      </c>
      <c r="Z198" s="206"/>
      <c r="AA198" s="161" t="s">
        <v>204</v>
      </c>
      <c r="AB198" s="206"/>
      <c r="AC198" s="161" t="s">
        <v>210</v>
      </c>
      <c r="AD198" s="171" t="s">
        <v>463</v>
      </c>
      <c r="AE198" s="171" t="s">
        <v>204</v>
      </c>
      <c r="AF198" s="187" t="str">
        <f t="shared" si="11"/>
        <v>NC</v>
      </c>
      <c r="AG198" s="54" t="str">
        <f t="shared" si="15"/>
        <v>UTILIZOU O PDA CORRETAMENTE. NÃO HÁ FOTOS DE TODAS AS ETAPAS</v>
      </c>
      <c r="AH198" s="146" t="s">
        <v>204</v>
      </c>
      <c r="AI198" s="210" t="s">
        <v>6</v>
      </c>
      <c r="AJ198" s="97" t="str">
        <f t="shared" si="12"/>
        <v>GUARULHOS</v>
      </c>
      <c r="AK198" s="213" t="s">
        <v>39</v>
      </c>
      <c r="AL198" s="53">
        <v>-3.9399999999999998E-2</v>
      </c>
      <c r="AM198" s="53" t="str" cm="1">
        <f t="array" ref="AM198">IF(OR(O198&lt;&gt;"", SUMPRODUCT(($AN$2:$AN$5000=AN198)*($AL$2:$AL$5000&lt;=AL198)) &lt;= (COUNTIF($AN$2:$AN$5000,AN198)*0.5)), "SORTEADO", "-")</f>
        <v>SORTEADO</v>
      </c>
      <c r="AN198" s="232" t="s">
        <v>661</v>
      </c>
    </row>
    <row r="199" spans="1:40" ht="30" customHeight="1" x14ac:dyDescent="0.25">
      <c r="A199" s="231" t="s">
        <v>197</v>
      </c>
      <c r="B199" s="231">
        <v>2613910307</v>
      </c>
      <c r="C199" s="231" t="s">
        <v>85</v>
      </c>
      <c r="D199" s="231" t="s">
        <v>76</v>
      </c>
      <c r="E199" s="231" t="s">
        <v>198</v>
      </c>
      <c r="F199" s="231" t="s">
        <v>680</v>
      </c>
      <c r="G199" s="231">
        <v>206</v>
      </c>
      <c r="H199" s="231"/>
      <c r="I199" s="231" t="s">
        <v>331</v>
      </c>
      <c r="J199" s="231" t="s">
        <v>85</v>
      </c>
      <c r="K199" s="231" t="s">
        <v>681</v>
      </c>
      <c r="L199" s="232" t="s">
        <v>661</v>
      </c>
      <c r="M199" s="232">
        <v>46238.474999999999</v>
      </c>
      <c r="N199" s="231" t="s">
        <v>215</v>
      </c>
      <c r="O199" s="158" t="s">
        <v>204</v>
      </c>
      <c r="P199" s="205"/>
      <c r="Q199" s="161" t="s">
        <v>204</v>
      </c>
      <c r="R199" s="206"/>
      <c r="S199" s="161" t="s">
        <v>204</v>
      </c>
      <c r="T199" s="206"/>
      <c r="U199" s="161" t="s">
        <v>204</v>
      </c>
      <c r="V199" s="206"/>
      <c r="W199" s="161" t="s">
        <v>204</v>
      </c>
      <c r="X199" s="206"/>
      <c r="Y199" s="161" t="s">
        <v>204</v>
      </c>
      <c r="Z199" s="206"/>
      <c r="AA199" s="161" t="s">
        <v>204</v>
      </c>
      <c r="AB199" s="206"/>
      <c r="AC199" s="161" t="s">
        <v>204</v>
      </c>
      <c r="AD199" s="206"/>
      <c r="AE199" s="171" t="s">
        <v>204</v>
      </c>
      <c r="AF199" s="187" t="str">
        <f t="shared" ref="AF199:AF262" si="16">IF(AND(O199="",Q199="",S199="",U199="",W199="",Y199="",AA199="",AC199=""),"",IF(OR(AND(O199&lt;&gt;"NA",O199&lt;&gt;"C",O199&lt;&gt;"NC",O199&lt;&gt;"SF",O199&lt;&gt;""),AND(Q199&lt;&gt;"NA",Q199&lt;&gt;"C",Q199&lt;&gt;"NC",Q199&lt;&gt;"SF",Q199&lt;&gt;""),AND(S199&lt;&gt;"NA",S199&lt;&gt;"C",S199&lt;&gt;"NC",S199&lt;&gt;"SF",S199&lt;&gt;""),AND(U199&lt;&gt;"NA",U199&lt;&gt;"C",U199&lt;&gt;"NC",U199&lt;&gt;"SF",U199&lt;&gt;""),AND(W199&lt;&gt;"NA",W199&lt;&gt;"C",W199&lt;&gt;"NC",W199&lt;&gt;"SF",W199&lt;&gt;""),AND(Y199&lt;&gt;"NA",Y199&lt;&gt;"C",Y199&lt;&gt;"NC",Y199&lt;&gt;"SF",Y199&lt;&gt;""),AND(AA199&lt;&gt;"NA",AA199&lt;&gt;"C",AA199&lt;&gt;"NC",AA199&lt;&gt;"SF",AA199&lt;&gt;""),AND(AC199&lt;&gt;"NA",AC199&lt;&gt;"C",AC199&lt;&gt;"NC",AC199&lt;&gt;"SF",AC199&lt;&gt;"")),"FALSO",IF(AND(O199="NA",Q199="NA",S199="NA",U199="NA",W199="NA",Y199="NA",AA199="NA",AC199="NA"),"NA",IF(OR(O199="NC",Q199="NC",S199="NC",U199="NC",W199="NC",Y199="NC",AA199="NC",AC199="NC",O199="SF",Q199="SF",S199="SF",U199="SF",W199="SF",Y199="SF",AA199="SF",AC199="SF"),"NC",IF(OR(O199="C",Q199="C",S199="C",U199="C",W199="C",Y199="C",AA199="C",AC199="C"),"C","")))))</f>
        <v>C</v>
      </c>
      <c r="AG199" s="54" t="str">
        <f t="shared" si="15"/>
        <v>UTILIZOU O PDA CORRETAMENTE</v>
      </c>
      <c r="AH199" s="146" t="s">
        <v>204</v>
      </c>
      <c r="AI199" s="210" t="s">
        <v>6</v>
      </c>
      <c r="AJ199" s="97" t="str">
        <f t="shared" ref="AJ199:AJ262" si="17">E199</f>
        <v>GUARULHOS</v>
      </c>
      <c r="AK199" s="213" t="s">
        <v>39</v>
      </c>
      <c r="AL199" s="53">
        <v>-3.9600000000000003E-2</v>
      </c>
      <c r="AM199" s="53" t="str" cm="1">
        <f t="array" ref="AM199">IF(OR(O199&lt;&gt;"", SUMPRODUCT(($AN$2:$AN$5000=AN199)*($AL$2:$AL$5000&lt;=AL199)) &lt;= (COUNTIF($AN$2:$AN$5000,AN199)*0.5)), "SORTEADO", "-")</f>
        <v>SORTEADO</v>
      </c>
      <c r="AN199" s="232" t="s">
        <v>661</v>
      </c>
    </row>
    <row r="200" spans="1:40" ht="30" customHeight="1" x14ac:dyDescent="0.25">
      <c r="A200" s="231" t="s">
        <v>197</v>
      </c>
      <c r="B200" s="231">
        <v>2614116695</v>
      </c>
      <c r="C200" s="231" t="s">
        <v>85</v>
      </c>
      <c r="D200" s="231" t="s">
        <v>76</v>
      </c>
      <c r="E200" s="231" t="s">
        <v>198</v>
      </c>
      <c r="F200" s="231" t="s">
        <v>682</v>
      </c>
      <c r="G200" s="231">
        <v>55</v>
      </c>
      <c r="H200" s="231" t="s">
        <v>213</v>
      </c>
      <c r="I200" s="231" t="s">
        <v>683</v>
      </c>
      <c r="J200" s="231" t="s">
        <v>85</v>
      </c>
      <c r="K200" s="231" t="s">
        <v>213</v>
      </c>
      <c r="L200" s="232" t="s">
        <v>661</v>
      </c>
      <c r="M200" s="232">
        <v>46238.5625</v>
      </c>
      <c r="N200" s="231" t="s">
        <v>215</v>
      </c>
      <c r="O200" s="158" t="s">
        <v>204</v>
      </c>
      <c r="P200" s="205"/>
      <c r="Q200" s="161" t="s">
        <v>204</v>
      </c>
      <c r="R200" s="206"/>
      <c r="S200" s="161" t="s">
        <v>204</v>
      </c>
      <c r="T200" s="206"/>
      <c r="U200" s="161" t="s">
        <v>204</v>
      </c>
      <c r="V200" s="206"/>
      <c r="W200" s="161" t="s">
        <v>204</v>
      </c>
      <c r="X200" s="206"/>
      <c r="Y200" s="161" t="s">
        <v>204</v>
      </c>
      <c r="Z200" s="206"/>
      <c r="AA200" s="161" t="s">
        <v>204</v>
      </c>
      <c r="AB200" s="206"/>
      <c r="AC200" s="161" t="s">
        <v>204</v>
      </c>
      <c r="AD200" s="206"/>
      <c r="AE200" s="171" t="s">
        <v>204</v>
      </c>
      <c r="AF200" s="187" t="str">
        <f t="shared" si="16"/>
        <v>C</v>
      </c>
      <c r="AG200" s="54" t="str">
        <f t="shared" si="15"/>
        <v>UTILIZOU O PDA CORRETAMENTE</v>
      </c>
      <c r="AH200" s="146" t="s">
        <v>204</v>
      </c>
      <c r="AI200" s="210" t="s">
        <v>6</v>
      </c>
      <c r="AJ200" s="97" t="str">
        <f t="shared" si="17"/>
        <v>GUARULHOS</v>
      </c>
      <c r="AK200" s="213" t="s">
        <v>39</v>
      </c>
      <c r="AL200" s="53">
        <v>-3.9800000000000002E-2</v>
      </c>
      <c r="AM200" s="53" t="str" cm="1">
        <f t="array" ref="AM200">IF(OR(O200&lt;&gt;"", SUMPRODUCT(($AN$2:$AN$5000=AN200)*($AL$2:$AL$5000&lt;=AL200)) &lt;= (COUNTIF($AN$2:$AN$5000,AN200)*0.5)), "SORTEADO", "-")</f>
        <v>SORTEADO</v>
      </c>
      <c r="AN200" s="232" t="s">
        <v>661</v>
      </c>
    </row>
    <row r="201" spans="1:40" ht="30" hidden="1" customHeight="1" x14ac:dyDescent="0.25">
      <c r="A201" s="231" t="s">
        <v>197</v>
      </c>
      <c r="B201" s="231">
        <v>2689838298</v>
      </c>
      <c r="C201" s="231" t="s">
        <v>101</v>
      </c>
      <c r="D201" s="231" t="s">
        <v>80</v>
      </c>
      <c r="E201" s="231" t="s">
        <v>198</v>
      </c>
      <c r="F201" s="231" t="s">
        <v>684</v>
      </c>
      <c r="G201" s="231">
        <v>312</v>
      </c>
      <c r="H201" s="231"/>
      <c r="I201" s="231" t="s">
        <v>685</v>
      </c>
      <c r="J201" s="231" t="s">
        <v>259</v>
      </c>
      <c r="K201" s="231"/>
      <c r="L201" s="232" t="s">
        <v>661</v>
      </c>
      <c r="M201" s="232">
        <v>46238.604166666664</v>
      </c>
      <c r="N201" s="231" t="s">
        <v>241</v>
      </c>
      <c r="O201" s="158"/>
      <c r="P201" s="205"/>
      <c r="Q201" s="161"/>
      <c r="R201" s="206"/>
      <c r="S201" s="161"/>
      <c r="T201" s="206"/>
      <c r="U201" s="161"/>
      <c r="V201" s="206"/>
      <c r="W201" s="161"/>
      <c r="X201" s="206"/>
      <c r="Y201" s="161"/>
      <c r="Z201" s="206"/>
      <c r="AA201" s="161"/>
      <c r="AB201" s="206"/>
      <c r="AC201" s="161"/>
      <c r="AD201" s="206"/>
      <c r="AE201" s="171"/>
      <c r="AF201" s="187" t="str">
        <f t="shared" si="16"/>
        <v/>
      </c>
      <c r="AG201" s="54" t="b">
        <f t="shared" si="15"/>
        <v>0</v>
      </c>
      <c r="AH201" s="146"/>
      <c r="AI201" s="210" t="s">
        <v>6</v>
      </c>
      <c r="AJ201" s="97" t="str">
        <f t="shared" si="17"/>
        <v>GUARULHOS</v>
      </c>
      <c r="AK201" s="213" t="s">
        <v>39</v>
      </c>
      <c r="AL201" s="53">
        <v>0.39854563277812738</v>
      </c>
      <c r="AM201" s="53" t="str" cm="1">
        <f t="array" ref="AM201">IF(OR(O201&lt;&gt;"", SUMPRODUCT(($AN$2:$AN$5000=AN201)*($AL$2:$AL$5000&lt;=AL201)) &lt;= (COUNTIF($AN$2:$AN$5000,AN201)*0.5)), "SORTEADO", "-")</f>
        <v>-</v>
      </c>
      <c r="AN201" s="232" t="s">
        <v>661</v>
      </c>
    </row>
    <row r="202" spans="1:40" ht="30" customHeight="1" x14ac:dyDescent="0.2">
      <c r="A202" s="231" t="s">
        <v>197</v>
      </c>
      <c r="B202" s="231">
        <v>2614775943</v>
      </c>
      <c r="C202" s="231" t="s">
        <v>105</v>
      </c>
      <c r="D202" s="231" t="s">
        <v>80</v>
      </c>
      <c r="E202" s="231" t="s">
        <v>198</v>
      </c>
      <c r="F202" s="231" t="s">
        <v>686</v>
      </c>
      <c r="G202" s="231">
        <v>14</v>
      </c>
      <c r="H202" s="231" t="s">
        <v>508</v>
      </c>
      <c r="I202" s="231" t="s">
        <v>480</v>
      </c>
      <c r="J202" s="231" t="s">
        <v>226</v>
      </c>
      <c r="K202" s="231" t="s">
        <v>687</v>
      </c>
      <c r="L202" s="232" t="s">
        <v>661</v>
      </c>
      <c r="M202" s="232">
        <v>46238.474305555559</v>
      </c>
      <c r="N202" s="231" t="s">
        <v>250</v>
      </c>
      <c r="O202" s="158" t="s">
        <v>204</v>
      </c>
      <c r="P202" s="92"/>
      <c r="Q202" s="146" t="s">
        <v>204</v>
      </c>
      <c r="R202" s="92"/>
      <c r="S202" s="146" t="s">
        <v>204</v>
      </c>
      <c r="T202" s="92"/>
      <c r="U202" s="146" t="s">
        <v>204</v>
      </c>
      <c r="V202" s="92"/>
      <c r="W202" s="146" t="s">
        <v>204</v>
      </c>
      <c r="X202" s="92"/>
      <c r="Y202" s="146" t="s">
        <v>61</v>
      </c>
      <c r="Z202" s="92"/>
      <c r="AA202" s="146" t="s">
        <v>204</v>
      </c>
      <c r="AB202" s="92"/>
      <c r="AC202" s="146" t="s">
        <v>204</v>
      </c>
      <c r="AD202" s="92"/>
      <c r="AE202" s="146" t="s">
        <v>204</v>
      </c>
      <c r="AF202" s="187" t="str">
        <f t="shared" si="16"/>
        <v>C</v>
      </c>
      <c r="AG202" s="54" t="str">
        <f t="shared" si="15"/>
        <v>UTILIZOU O PDA CORRETAMENTE</v>
      </c>
      <c r="AH202" s="144" t="s">
        <v>204</v>
      </c>
      <c r="AI202" s="210" t="s">
        <v>6</v>
      </c>
      <c r="AJ202" s="97" t="str">
        <f t="shared" si="17"/>
        <v>GUARULHOS</v>
      </c>
      <c r="AK202" s="213" t="s">
        <v>39</v>
      </c>
      <c r="AL202" s="53">
        <v>0.26195364053414349</v>
      </c>
      <c r="AM202" s="53" t="str" cm="1">
        <f t="array" ref="AM202">IF(OR(O202&lt;&gt;"", SUMPRODUCT(($AN$2:$AN$5000=AN202)*($AL$2:$AL$5000&lt;=AL202)) &lt;= (COUNTIF($AN$2:$AN$5000,AN202)*0.5)), "SORTEADO", "-")</f>
        <v>SORTEADO</v>
      </c>
      <c r="AN202" s="232" t="s">
        <v>661</v>
      </c>
    </row>
    <row r="203" spans="1:40" ht="30" hidden="1" customHeight="1" x14ac:dyDescent="0.25">
      <c r="A203" s="231" t="s">
        <v>197</v>
      </c>
      <c r="B203" s="231">
        <v>2614686675</v>
      </c>
      <c r="C203" s="231" t="s">
        <v>100</v>
      </c>
      <c r="D203" s="231" t="s">
        <v>78</v>
      </c>
      <c r="E203" s="231" t="s">
        <v>198</v>
      </c>
      <c r="F203" s="231" t="s">
        <v>688</v>
      </c>
      <c r="G203" s="231">
        <v>184</v>
      </c>
      <c r="H203" s="231" t="s">
        <v>206</v>
      </c>
      <c r="I203" s="231" t="s">
        <v>356</v>
      </c>
      <c r="J203" s="231" t="s">
        <v>248</v>
      </c>
      <c r="K203" s="231"/>
      <c r="L203" s="232" t="s">
        <v>661</v>
      </c>
      <c r="M203" s="232">
        <v>46238.647916666669</v>
      </c>
      <c r="N203" s="231" t="s">
        <v>263</v>
      </c>
      <c r="O203" s="158"/>
      <c r="P203" s="205"/>
      <c r="Q203" s="161"/>
      <c r="R203" s="206"/>
      <c r="S203" s="161"/>
      <c r="T203" s="206"/>
      <c r="U203" s="206"/>
      <c r="V203" s="206"/>
      <c r="W203" s="206"/>
      <c r="X203" s="206"/>
      <c r="Y203" s="206"/>
      <c r="Z203" s="206"/>
      <c r="AA203" s="206"/>
      <c r="AB203" s="206"/>
      <c r="AC203" s="206"/>
      <c r="AD203" s="206"/>
      <c r="AE203" s="205"/>
      <c r="AF203" s="187" t="str">
        <f t="shared" si="16"/>
        <v/>
      </c>
      <c r="AG203" s="54" t="b">
        <f t="shared" si="15"/>
        <v>0</v>
      </c>
      <c r="AH203" s="146"/>
      <c r="AI203" s="210" t="s">
        <v>6</v>
      </c>
      <c r="AJ203" s="97" t="str">
        <f t="shared" si="17"/>
        <v>GUARULHOS</v>
      </c>
      <c r="AK203" s="213" t="s">
        <v>39</v>
      </c>
      <c r="AL203" s="53">
        <v>0.56442967915780939</v>
      </c>
      <c r="AM203" s="53" t="str" cm="1">
        <f t="array" ref="AM203">IF(OR(O203&lt;&gt;"", SUMPRODUCT(($AN$2:$AN$5000=AN203)*($AL$2:$AL$5000&lt;=AL203)) &lt;= (COUNTIF($AN$2:$AN$5000,AN203)*0.5)), "SORTEADO", "-")</f>
        <v>-</v>
      </c>
      <c r="AN203" s="232" t="s">
        <v>661</v>
      </c>
    </row>
    <row r="204" spans="1:40" ht="30" hidden="1" customHeight="1" x14ac:dyDescent="0.25">
      <c r="A204" s="231" t="s">
        <v>197</v>
      </c>
      <c r="B204" s="231">
        <v>2614687859</v>
      </c>
      <c r="C204" s="231" t="s">
        <v>100</v>
      </c>
      <c r="D204" s="231" t="s">
        <v>78</v>
      </c>
      <c r="E204" s="231" t="s">
        <v>198</v>
      </c>
      <c r="F204" s="231" t="s">
        <v>688</v>
      </c>
      <c r="G204" s="231">
        <v>218</v>
      </c>
      <c r="H204" s="231" t="s">
        <v>689</v>
      </c>
      <c r="I204" s="231" t="s">
        <v>356</v>
      </c>
      <c r="J204" s="231" t="s">
        <v>248</v>
      </c>
      <c r="K204" s="231" t="s">
        <v>213</v>
      </c>
      <c r="L204" s="232" t="s">
        <v>661</v>
      </c>
      <c r="M204" s="232">
        <v>46238.506249999999</v>
      </c>
      <c r="N204" s="231" t="s">
        <v>263</v>
      </c>
      <c r="O204" s="158"/>
      <c r="P204" s="205"/>
      <c r="Q204" s="161"/>
      <c r="R204" s="206"/>
      <c r="S204" s="161"/>
      <c r="T204" s="206"/>
      <c r="U204" s="206"/>
      <c r="V204" s="206"/>
      <c r="W204" s="206"/>
      <c r="X204" s="206"/>
      <c r="Y204" s="206"/>
      <c r="Z204" s="206"/>
      <c r="AA204" s="206"/>
      <c r="AB204" s="206"/>
      <c r="AC204" s="206"/>
      <c r="AD204" s="206"/>
      <c r="AE204" s="205"/>
      <c r="AF204" s="187" t="str">
        <f t="shared" si="16"/>
        <v/>
      </c>
      <c r="AG204" s="54" t="b">
        <f t="shared" si="15"/>
        <v>0</v>
      </c>
      <c r="AH204" s="146"/>
      <c r="AI204" s="210" t="s">
        <v>6</v>
      </c>
      <c r="AJ204" s="97" t="str">
        <f t="shared" si="17"/>
        <v>GUARULHOS</v>
      </c>
      <c r="AK204" s="213" t="s">
        <v>39</v>
      </c>
      <c r="AL204" s="53">
        <v>0.36972296872116461</v>
      </c>
      <c r="AM204" s="53" t="str" cm="1">
        <f t="array" ref="AM204">IF(OR(O204&lt;&gt;"", SUMPRODUCT(($AN$2:$AN$5000=AN204)*($AL$2:$AL$5000&lt;=AL204)) &lt;= (COUNTIF($AN$2:$AN$5000,AN204)*0.5)), "SORTEADO", "-")</f>
        <v>-</v>
      </c>
      <c r="AN204" s="232" t="s">
        <v>661</v>
      </c>
    </row>
    <row r="205" spans="1:40" ht="30" hidden="1" customHeight="1" x14ac:dyDescent="0.25">
      <c r="A205" s="231" t="s">
        <v>197</v>
      </c>
      <c r="B205" s="231">
        <v>2614793649</v>
      </c>
      <c r="C205" s="231" t="s">
        <v>102</v>
      </c>
      <c r="D205" s="231" t="s">
        <v>80</v>
      </c>
      <c r="E205" s="231" t="s">
        <v>198</v>
      </c>
      <c r="F205" s="231" t="s">
        <v>690</v>
      </c>
      <c r="G205" s="231">
        <v>366</v>
      </c>
      <c r="H205" s="231" t="s">
        <v>691</v>
      </c>
      <c r="I205" s="231" t="s">
        <v>692</v>
      </c>
      <c r="J205" s="231" t="s">
        <v>259</v>
      </c>
      <c r="K205" s="231" t="s">
        <v>693</v>
      </c>
      <c r="L205" s="232" t="s">
        <v>661</v>
      </c>
      <c r="M205" s="232">
        <v>46238.595138888886</v>
      </c>
      <c r="N205" s="231" t="s">
        <v>348</v>
      </c>
      <c r="O205" s="158"/>
      <c r="P205" s="205"/>
      <c r="Q205" s="161"/>
      <c r="R205" s="206"/>
      <c r="S205" s="161"/>
      <c r="T205" s="206"/>
      <c r="U205" s="161"/>
      <c r="V205" s="206"/>
      <c r="W205" s="161"/>
      <c r="X205" s="206"/>
      <c r="Y205" s="161"/>
      <c r="Z205" s="206"/>
      <c r="AA205" s="161"/>
      <c r="AB205" s="206"/>
      <c r="AC205" s="161"/>
      <c r="AD205" s="206"/>
      <c r="AE205" s="171"/>
      <c r="AF205" s="187" t="str">
        <f t="shared" si="16"/>
        <v/>
      </c>
      <c r="AG205" s="54" t="b">
        <f t="shared" si="15"/>
        <v>0</v>
      </c>
      <c r="AH205" s="146"/>
      <c r="AI205" s="210" t="s">
        <v>6</v>
      </c>
      <c r="AJ205" s="97" t="str">
        <f t="shared" si="17"/>
        <v>GUARULHOS</v>
      </c>
      <c r="AK205" s="213" t="s">
        <v>39</v>
      </c>
      <c r="AL205" s="53">
        <v>0.83284650079818534</v>
      </c>
      <c r="AM205" s="53" t="str" cm="1">
        <f t="array" ref="AM205">IF(OR(O205&lt;&gt;"", SUMPRODUCT(($AN$2:$AN$5000=AN205)*($AL$2:$AL$5000&lt;=AL205)) &lt;= (COUNTIF($AN$2:$AN$5000,AN205)*0.5)), "SORTEADO", "-")</f>
        <v>-</v>
      </c>
      <c r="AN205" s="232" t="s">
        <v>661</v>
      </c>
    </row>
    <row r="206" spans="1:40" ht="30" customHeight="1" x14ac:dyDescent="0.2">
      <c r="A206" s="231" t="s">
        <v>197</v>
      </c>
      <c r="B206" s="231">
        <v>2614788070</v>
      </c>
      <c r="C206" s="231" t="s">
        <v>102</v>
      </c>
      <c r="D206" s="231" t="s">
        <v>80</v>
      </c>
      <c r="E206" s="231" t="s">
        <v>198</v>
      </c>
      <c r="F206" s="231" t="s">
        <v>694</v>
      </c>
      <c r="G206" s="231">
        <v>83</v>
      </c>
      <c r="H206" s="231" t="s">
        <v>695</v>
      </c>
      <c r="I206" s="231" t="s">
        <v>436</v>
      </c>
      <c r="J206" s="231" t="s">
        <v>270</v>
      </c>
      <c r="K206" s="231" t="s">
        <v>213</v>
      </c>
      <c r="L206" s="232" t="s">
        <v>661</v>
      </c>
      <c r="M206" s="232">
        <v>46238.65902777778</v>
      </c>
      <c r="N206" s="231" t="s">
        <v>287</v>
      </c>
      <c r="O206" s="158" t="s">
        <v>204</v>
      </c>
      <c r="P206" s="92"/>
      <c r="Q206" s="146" t="s">
        <v>204</v>
      </c>
      <c r="R206" s="92"/>
      <c r="S206" s="146" t="s">
        <v>204</v>
      </c>
      <c r="T206" s="92"/>
      <c r="U206" s="146" t="s">
        <v>204</v>
      </c>
      <c r="V206" s="92"/>
      <c r="W206" s="146" t="s">
        <v>204</v>
      </c>
      <c r="X206" s="92"/>
      <c r="Y206" s="146" t="s">
        <v>61</v>
      </c>
      <c r="Z206" s="92"/>
      <c r="AA206" s="146" t="s">
        <v>204</v>
      </c>
      <c r="AB206" s="92"/>
      <c r="AC206" s="146" t="s">
        <v>204</v>
      </c>
      <c r="AD206" s="92"/>
      <c r="AE206" s="146" t="s">
        <v>204</v>
      </c>
      <c r="AF206" s="187" t="str">
        <f t="shared" si="16"/>
        <v>C</v>
      </c>
      <c r="AG206" s="54" t="str">
        <f t="shared" si="15"/>
        <v>UTILIZOU O PDA CORRETAMENTE</v>
      </c>
      <c r="AH206" s="144" t="s">
        <v>204</v>
      </c>
      <c r="AI206" s="210" t="s">
        <v>6</v>
      </c>
      <c r="AJ206" s="97" t="str">
        <f t="shared" si="17"/>
        <v>GUARULHOS</v>
      </c>
      <c r="AK206" s="213" t="s">
        <v>39</v>
      </c>
      <c r="AL206" s="53">
        <v>0.14868782245105994</v>
      </c>
      <c r="AM206" s="53" t="str" cm="1">
        <f t="array" ref="AM206">IF(OR(O206&lt;&gt;"", SUMPRODUCT(($AN$2:$AN$5000=AN206)*($AL$2:$AL$5000&lt;=AL206)) &lt;= (COUNTIF($AN$2:$AN$5000,AN206)*0.5)), "SORTEADO", "-")</f>
        <v>SORTEADO</v>
      </c>
      <c r="AN206" s="232" t="s">
        <v>661</v>
      </c>
    </row>
    <row r="207" spans="1:40" ht="30" hidden="1" customHeight="1" x14ac:dyDescent="0.25">
      <c r="A207" s="231" t="s">
        <v>197</v>
      </c>
      <c r="B207" s="231">
        <v>2614800624</v>
      </c>
      <c r="C207" s="231" t="s">
        <v>696</v>
      </c>
      <c r="D207" s="231" t="s">
        <v>79</v>
      </c>
      <c r="E207" s="231" t="s">
        <v>198</v>
      </c>
      <c r="F207" s="231" t="s">
        <v>697</v>
      </c>
      <c r="G207" s="231">
        <v>349</v>
      </c>
      <c r="H207" s="231" t="s">
        <v>235</v>
      </c>
      <c r="I207" s="231" t="s">
        <v>262</v>
      </c>
      <c r="J207" s="231" t="s">
        <v>698</v>
      </c>
      <c r="K207" s="231" t="s">
        <v>699</v>
      </c>
      <c r="L207" s="232" t="s">
        <v>661</v>
      </c>
      <c r="M207" s="232">
        <v>46238.542361111111</v>
      </c>
      <c r="N207" s="231" t="s">
        <v>615</v>
      </c>
      <c r="O207" s="158" t="s">
        <v>61</v>
      </c>
      <c r="P207" s="205"/>
      <c r="Q207" s="161" t="s">
        <v>61</v>
      </c>
      <c r="R207" s="161"/>
      <c r="S207" s="161" t="s">
        <v>61</v>
      </c>
      <c r="T207" s="206"/>
      <c r="U207" s="161" t="s">
        <v>61</v>
      </c>
      <c r="V207" s="161"/>
      <c r="W207" s="161" t="s">
        <v>61</v>
      </c>
      <c r="X207" s="206"/>
      <c r="Y207" s="161" t="s">
        <v>61</v>
      </c>
      <c r="Z207" s="206"/>
      <c r="AA207" s="161" t="s">
        <v>61</v>
      </c>
      <c r="AB207" s="206"/>
      <c r="AC207" s="206" t="s">
        <v>61</v>
      </c>
      <c r="AD207" s="206"/>
      <c r="AE207" s="205" t="s">
        <v>61</v>
      </c>
      <c r="AF207" s="187" t="str">
        <f t="shared" si="16"/>
        <v>NA</v>
      </c>
      <c r="AG207" s="54" t="str">
        <f t="shared" si="15"/>
        <v>NÃO AVALIADO POR FALHA DE SINCRONISMO</v>
      </c>
      <c r="AH207" s="146" t="s">
        <v>204</v>
      </c>
      <c r="AI207" s="210" t="s">
        <v>6</v>
      </c>
      <c r="AJ207" s="97" t="str">
        <f t="shared" si="17"/>
        <v>GUARULHOS</v>
      </c>
      <c r="AK207" s="213" t="s">
        <v>39</v>
      </c>
      <c r="AL207" s="53">
        <v>-4.1200000000000001E-2</v>
      </c>
      <c r="AM207" s="53" t="str" cm="1">
        <f t="array" ref="AM207">IF(OR(O207&lt;&gt;"", SUMPRODUCT(($AN$2:$AN$5000=AN207)*($AL$2:$AL$5000&lt;=AL207)) &lt;= (COUNTIF($AN$2:$AN$5000,AN207)*0.5)), "SORTEADO", "-")</f>
        <v>SORTEADO</v>
      </c>
      <c r="AN207" s="232" t="s">
        <v>661</v>
      </c>
    </row>
    <row r="208" spans="1:40" ht="30" hidden="1" customHeight="1" x14ac:dyDescent="0.25">
      <c r="A208" s="231" t="s">
        <v>197</v>
      </c>
      <c r="B208" s="231">
        <v>2614803311</v>
      </c>
      <c r="C208" s="231" t="s">
        <v>100</v>
      </c>
      <c r="D208" s="231" t="s">
        <v>78</v>
      </c>
      <c r="E208" s="231" t="s">
        <v>198</v>
      </c>
      <c r="F208" s="231" t="s">
        <v>688</v>
      </c>
      <c r="G208" s="231">
        <v>277</v>
      </c>
      <c r="H208" s="231" t="s">
        <v>700</v>
      </c>
      <c r="I208" s="231" t="s">
        <v>356</v>
      </c>
      <c r="J208" s="231" t="s">
        <v>248</v>
      </c>
      <c r="K208" s="238" t="s">
        <v>701</v>
      </c>
      <c r="L208" s="232" t="s">
        <v>661</v>
      </c>
      <c r="M208" s="232">
        <v>46238.59375</v>
      </c>
      <c r="N208" s="231" t="s">
        <v>263</v>
      </c>
      <c r="O208" s="158"/>
      <c r="P208" s="205"/>
      <c r="Q208" s="161"/>
      <c r="R208" s="206"/>
      <c r="S208" s="161"/>
      <c r="T208" s="206"/>
      <c r="U208" s="161"/>
      <c r="V208" s="206"/>
      <c r="W208" s="161"/>
      <c r="X208" s="206"/>
      <c r="Y208" s="161"/>
      <c r="Z208" s="206"/>
      <c r="AA208" s="161"/>
      <c r="AB208" s="206"/>
      <c r="AC208" s="161"/>
      <c r="AD208" s="206"/>
      <c r="AE208" s="171"/>
      <c r="AF208" s="187" t="str">
        <f t="shared" si="16"/>
        <v/>
      </c>
      <c r="AG208" s="54" t="b">
        <f t="shared" si="15"/>
        <v>0</v>
      </c>
      <c r="AH208" s="146"/>
      <c r="AI208" s="210" t="s">
        <v>6</v>
      </c>
      <c r="AJ208" s="97" t="str">
        <f t="shared" si="17"/>
        <v>GUARULHOS</v>
      </c>
      <c r="AK208" s="213" t="s">
        <v>39</v>
      </c>
      <c r="AL208" s="53">
        <v>0.29784918297374774</v>
      </c>
      <c r="AM208" s="53" t="str" cm="1">
        <f t="array" ref="AM208">IF(OR(O208&lt;&gt;"", SUMPRODUCT(($AN$2:$AN$5000=AN208)*($AL$2:$AL$5000&lt;=AL208)) &lt;= (COUNTIF($AN$2:$AN$5000,AN208)*0.5)), "SORTEADO", "-")</f>
        <v>-</v>
      </c>
      <c r="AN208" s="232" t="s">
        <v>661</v>
      </c>
    </row>
    <row r="209" spans="1:40" ht="30" hidden="1" customHeight="1" x14ac:dyDescent="0.25">
      <c r="A209" s="231" t="s">
        <v>197</v>
      </c>
      <c r="B209" s="231">
        <v>2614802123</v>
      </c>
      <c r="C209" s="231" t="s">
        <v>105</v>
      </c>
      <c r="D209" s="231" t="s">
        <v>80</v>
      </c>
      <c r="E209" s="231" t="s">
        <v>198</v>
      </c>
      <c r="F209" s="231" t="s">
        <v>702</v>
      </c>
      <c r="G209" s="231">
        <v>627</v>
      </c>
      <c r="H209" s="231" t="s">
        <v>213</v>
      </c>
      <c r="I209" s="231" t="s">
        <v>436</v>
      </c>
      <c r="J209" s="231" t="s">
        <v>226</v>
      </c>
      <c r="K209" s="231" t="s">
        <v>703</v>
      </c>
      <c r="L209" s="232" t="s">
        <v>661</v>
      </c>
      <c r="M209" s="232">
        <v>46238.521527777775</v>
      </c>
      <c r="N209" s="231" t="s">
        <v>228</v>
      </c>
      <c r="O209" s="158"/>
      <c r="P209" s="205"/>
      <c r="Q209" s="161"/>
      <c r="R209" s="161"/>
      <c r="S209" s="161"/>
      <c r="T209" s="206"/>
      <c r="U209" s="161"/>
      <c r="V209" s="206"/>
      <c r="W209" s="161"/>
      <c r="X209" s="206"/>
      <c r="Y209" s="206"/>
      <c r="Z209" s="206"/>
      <c r="AA209" s="206"/>
      <c r="AB209" s="206"/>
      <c r="AC209" s="206"/>
      <c r="AD209" s="206"/>
      <c r="AE209" s="205"/>
      <c r="AF209" s="187" t="str">
        <f t="shared" si="16"/>
        <v/>
      </c>
      <c r="AG209" s="54" t="b">
        <f t="shared" si="15"/>
        <v>0</v>
      </c>
      <c r="AH209" s="146"/>
      <c r="AI209" s="210" t="s">
        <v>6</v>
      </c>
      <c r="AJ209" s="97" t="str">
        <f t="shared" si="17"/>
        <v>GUARULHOS</v>
      </c>
      <c r="AK209" s="213" t="s">
        <v>39</v>
      </c>
      <c r="AL209" s="53">
        <v>0.67054512010343958</v>
      </c>
      <c r="AM209" s="53" t="str" cm="1">
        <f t="array" ref="AM209">IF(OR(O209&lt;&gt;"", SUMPRODUCT(($AN$2:$AN$5000=AN209)*($AL$2:$AL$5000&lt;=AL209)) &lt;= (COUNTIF($AN$2:$AN$5000,AN209)*0.5)), "SORTEADO", "-")</f>
        <v>-</v>
      </c>
      <c r="AN209" s="232" t="s">
        <v>661</v>
      </c>
    </row>
    <row r="210" spans="1:40" ht="30" customHeight="1" x14ac:dyDescent="0.2">
      <c r="A210" s="231" t="s">
        <v>197</v>
      </c>
      <c r="B210" s="231">
        <v>2614802195</v>
      </c>
      <c r="C210" s="231" t="s">
        <v>105</v>
      </c>
      <c r="D210" s="231" t="s">
        <v>80</v>
      </c>
      <c r="E210" s="231" t="s">
        <v>198</v>
      </c>
      <c r="F210" s="231" t="s">
        <v>221</v>
      </c>
      <c r="G210" s="231">
        <v>221</v>
      </c>
      <c r="H210" s="231"/>
      <c r="I210" s="231" t="s">
        <v>223</v>
      </c>
      <c r="J210" s="231" t="s">
        <v>226</v>
      </c>
      <c r="K210" s="231" t="s">
        <v>704</v>
      </c>
      <c r="L210" s="232" t="s">
        <v>661</v>
      </c>
      <c r="M210" s="232">
        <v>46238.647222222222</v>
      </c>
      <c r="N210" s="231" t="s">
        <v>432</v>
      </c>
      <c r="O210" s="158" t="s">
        <v>204</v>
      </c>
      <c r="P210" s="92"/>
      <c r="Q210" s="146" t="s">
        <v>204</v>
      </c>
      <c r="R210" s="92"/>
      <c r="S210" s="146" t="s">
        <v>204</v>
      </c>
      <c r="T210" s="92"/>
      <c r="U210" s="146" t="s">
        <v>204</v>
      </c>
      <c r="V210" s="92"/>
      <c r="W210" s="146" t="s">
        <v>204</v>
      </c>
      <c r="X210" s="92"/>
      <c r="Y210" s="146" t="s">
        <v>61</v>
      </c>
      <c r="Z210" s="92"/>
      <c r="AA210" s="146" t="s">
        <v>204</v>
      </c>
      <c r="AB210" s="92"/>
      <c r="AC210" s="146" t="s">
        <v>204</v>
      </c>
      <c r="AD210" s="92"/>
      <c r="AE210" s="146" t="s">
        <v>204</v>
      </c>
      <c r="AF210" s="187" t="str">
        <f t="shared" si="16"/>
        <v>C</v>
      </c>
      <c r="AG210" s="54" t="str">
        <f t="shared" si="15"/>
        <v>UTILIZOU O PDA CORRETAMENTE</v>
      </c>
      <c r="AH210" s="144" t="s">
        <v>204</v>
      </c>
      <c r="AI210" s="210" t="s">
        <v>6</v>
      </c>
      <c r="AJ210" s="97" t="str">
        <f t="shared" si="17"/>
        <v>GUARULHOS</v>
      </c>
      <c r="AK210" s="213" t="s">
        <v>39</v>
      </c>
      <c r="AL210" s="53">
        <v>0.14316101935720849</v>
      </c>
      <c r="AM210" s="53" t="str" cm="1">
        <f t="array" ref="AM210">IF(OR(O210&lt;&gt;"", SUMPRODUCT(($AN$2:$AN$5000=AN210)*($AL$2:$AL$5000&lt;=AL210)) &lt;= (COUNTIF($AN$2:$AN$5000,AN210)*0.5)), "SORTEADO", "-")</f>
        <v>SORTEADO</v>
      </c>
      <c r="AN210" s="232" t="s">
        <v>661</v>
      </c>
    </row>
    <row r="211" spans="1:40" ht="30" hidden="1" customHeight="1" x14ac:dyDescent="0.25">
      <c r="A211" s="231" t="s">
        <v>197</v>
      </c>
      <c r="B211" s="231">
        <v>2614803005</v>
      </c>
      <c r="C211" s="231" t="s">
        <v>102</v>
      </c>
      <c r="D211" s="231" t="s">
        <v>80</v>
      </c>
      <c r="E211" s="231" t="s">
        <v>198</v>
      </c>
      <c r="F211" s="231" t="s">
        <v>705</v>
      </c>
      <c r="G211" s="231">
        <v>64</v>
      </c>
      <c r="H211" s="231" t="s">
        <v>213</v>
      </c>
      <c r="I211" s="231" t="s">
        <v>391</v>
      </c>
      <c r="J211" s="231" t="s">
        <v>270</v>
      </c>
      <c r="K211" s="231" t="s">
        <v>213</v>
      </c>
      <c r="L211" s="232" t="s">
        <v>661</v>
      </c>
      <c r="M211" s="232">
        <v>46238.675000000003</v>
      </c>
      <c r="N211" s="231" t="s">
        <v>271</v>
      </c>
      <c r="O211" s="158"/>
      <c r="P211" s="205"/>
      <c r="Q211" s="161"/>
      <c r="R211" s="206"/>
      <c r="S211" s="161"/>
      <c r="T211" s="206"/>
      <c r="U211" s="206"/>
      <c r="V211" s="206"/>
      <c r="W211" s="206"/>
      <c r="X211" s="206"/>
      <c r="Y211" s="206"/>
      <c r="Z211" s="206"/>
      <c r="AA211" s="206"/>
      <c r="AB211" s="206"/>
      <c r="AC211" s="206"/>
      <c r="AD211" s="206"/>
      <c r="AE211" s="205"/>
      <c r="AF211" s="187" t="str">
        <f t="shared" si="16"/>
        <v/>
      </c>
      <c r="AG211" s="54" t="b">
        <f t="shared" si="15"/>
        <v>0</v>
      </c>
      <c r="AH211" s="146"/>
      <c r="AI211" s="210" t="s">
        <v>6</v>
      </c>
      <c r="AJ211" s="97" t="str">
        <f t="shared" si="17"/>
        <v>GUARULHOS</v>
      </c>
      <c r="AK211" s="213" t="s">
        <v>39</v>
      </c>
      <c r="AL211" s="53">
        <v>0.60019444728828886</v>
      </c>
      <c r="AM211" s="53" t="str" cm="1">
        <f t="array" ref="AM211">IF(OR(O211&lt;&gt;"", SUMPRODUCT(($AN$2:$AN$5000=AN211)*($AL$2:$AL$5000&lt;=AL211)) &lt;= (COUNTIF($AN$2:$AN$5000,AN211)*0.5)), "SORTEADO", "-")</f>
        <v>-</v>
      </c>
      <c r="AN211" s="232" t="s">
        <v>661</v>
      </c>
    </row>
    <row r="212" spans="1:40" ht="30" hidden="1" customHeight="1" x14ac:dyDescent="0.25">
      <c r="A212" s="231" t="s">
        <v>197</v>
      </c>
      <c r="B212" s="231">
        <v>2689924873</v>
      </c>
      <c r="C212" s="231" t="s">
        <v>102</v>
      </c>
      <c r="D212" s="231" t="s">
        <v>80</v>
      </c>
      <c r="E212" s="231" t="s">
        <v>198</v>
      </c>
      <c r="F212" s="231" t="s">
        <v>706</v>
      </c>
      <c r="G212" s="231">
        <v>301</v>
      </c>
      <c r="H212" s="231" t="s">
        <v>707</v>
      </c>
      <c r="I212" s="231" t="s">
        <v>708</v>
      </c>
      <c r="J212" s="231" t="s">
        <v>259</v>
      </c>
      <c r="K212" s="231" t="s">
        <v>709</v>
      </c>
      <c r="L212" s="232" t="s">
        <v>661</v>
      </c>
      <c r="M212" s="232">
        <v>46238.636111111111</v>
      </c>
      <c r="N212" s="231" t="s">
        <v>237</v>
      </c>
      <c r="O212" s="158"/>
      <c r="P212" s="205"/>
      <c r="Q212" s="161"/>
      <c r="R212" s="206"/>
      <c r="S212" s="161"/>
      <c r="T212" s="206"/>
      <c r="U212" s="161"/>
      <c r="V212" s="206"/>
      <c r="W212" s="161"/>
      <c r="X212" s="206"/>
      <c r="Y212" s="161"/>
      <c r="Z212" s="206"/>
      <c r="AA212" s="161"/>
      <c r="AB212" s="206"/>
      <c r="AC212" s="161"/>
      <c r="AD212" s="206"/>
      <c r="AE212" s="171"/>
      <c r="AF212" s="187" t="str">
        <f t="shared" si="16"/>
        <v/>
      </c>
      <c r="AG212" s="54" t="b">
        <f t="shared" si="15"/>
        <v>0</v>
      </c>
      <c r="AH212" s="146"/>
      <c r="AI212" s="210" t="s">
        <v>6</v>
      </c>
      <c r="AJ212" s="97" t="str">
        <f t="shared" si="17"/>
        <v>GUARULHOS</v>
      </c>
      <c r="AK212" s="213" t="s">
        <v>39</v>
      </c>
      <c r="AL212" s="53">
        <v>0.83775552301750289</v>
      </c>
      <c r="AM212" s="53" t="str" cm="1">
        <f t="array" ref="AM212">IF(OR(O212&lt;&gt;"", SUMPRODUCT(($AN$2:$AN$5000=AN212)*($AL$2:$AL$5000&lt;=AL212)) &lt;= (COUNTIF($AN$2:$AN$5000,AN212)*0.5)), "SORTEADO", "-")</f>
        <v>-</v>
      </c>
      <c r="AN212" s="232" t="s">
        <v>661</v>
      </c>
    </row>
    <row r="213" spans="1:40" ht="30" hidden="1" customHeight="1" x14ac:dyDescent="0.25">
      <c r="A213" s="231" t="s">
        <v>197</v>
      </c>
      <c r="B213" s="231">
        <v>2614680977</v>
      </c>
      <c r="C213" s="231" t="s">
        <v>710</v>
      </c>
      <c r="D213" s="231" t="s">
        <v>80</v>
      </c>
      <c r="E213" s="231" t="s">
        <v>198</v>
      </c>
      <c r="F213" s="231" t="s">
        <v>668</v>
      </c>
      <c r="G213" s="231">
        <v>99</v>
      </c>
      <c r="H213" s="231"/>
      <c r="I213" s="231" t="s">
        <v>281</v>
      </c>
      <c r="J213" s="231" t="s">
        <v>259</v>
      </c>
      <c r="K213" s="231" t="s">
        <v>711</v>
      </c>
      <c r="L213" s="232" t="s">
        <v>661</v>
      </c>
      <c r="M213" s="232">
        <v>46238.502083333333</v>
      </c>
      <c r="N213" s="231" t="s">
        <v>271</v>
      </c>
      <c r="O213" s="158"/>
      <c r="P213" s="205"/>
      <c r="Q213" s="161"/>
      <c r="R213" s="206"/>
      <c r="S213" s="161"/>
      <c r="T213" s="206"/>
      <c r="U213" s="161"/>
      <c r="V213" s="206"/>
      <c r="W213" s="161"/>
      <c r="X213" s="206"/>
      <c r="Y213" s="161"/>
      <c r="Z213" s="206"/>
      <c r="AA213" s="161"/>
      <c r="AB213" s="206"/>
      <c r="AC213" s="161"/>
      <c r="AD213" s="206"/>
      <c r="AE213" s="171"/>
      <c r="AF213" s="187" t="str">
        <f t="shared" si="16"/>
        <v/>
      </c>
      <c r="AG213" s="54" t="b">
        <f t="shared" si="15"/>
        <v>0</v>
      </c>
      <c r="AH213" s="146"/>
      <c r="AI213" s="210" t="s">
        <v>6</v>
      </c>
      <c r="AJ213" s="97" t="str">
        <f t="shared" si="17"/>
        <v>GUARULHOS</v>
      </c>
      <c r="AK213" s="213" t="s">
        <v>39</v>
      </c>
      <c r="AL213" s="53">
        <v>0.56851923510617275</v>
      </c>
      <c r="AM213" s="53" t="str" cm="1">
        <f t="array" ref="AM213">IF(OR(O213&lt;&gt;"", SUMPRODUCT(($AN$2:$AN$5000=AN213)*($AL$2:$AL$5000&lt;=AL213)) &lt;= (COUNTIF($AN$2:$AN$5000,AN213)*0.5)), "SORTEADO", "-")</f>
        <v>-</v>
      </c>
      <c r="AN213" s="232" t="s">
        <v>661</v>
      </c>
    </row>
    <row r="214" spans="1:40" ht="30" customHeight="1" x14ac:dyDescent="0.2">
      <c r="A214" s="231" t="s">
        <v>197</v>
      </c>
      <c r="B214" s="231">
        <v>2689925023</v>
      </c>
      <c r="C214" s="231" t="s">
        <v>102</v>
      </c>
      <c r="D214" s="231" t="s">
        <v>80</v>
      </c>
      <c r="E214" s="231" t="s">
        <v>198</v>
      </c>
      <c r="F214" s="231" t="s">
        <v>712</v>
      </c>
      <c r="G214" s="231">
        <v>23</v>
      </c>
      <c r="H214" s="231" t="s">
        <v>213</v>
      </c>
      <c r="I214" s="231" t="s">
        <v>713</v>
      </c>
      <c r="J214" s="231" t="s">
        <v>270</v>
      </c>
      <c r="K214" s="231" t="s">
        <v>213</v>
      </c>
      <c r="L214" s="232" t="s">
        <v>661</v>
      </c>
      <c r="M214" s="232">
        <v>46238.699305555558</v>
      </c>
      <c r="N214" s="231" t="s">
        <v>303</v>
      </c>
      <c r="O214" s="158" t="s">
        <v>204</v>
      </c>
      <c r="P214" s="92"/>
      <c r="Q214" s="146" t="s">
        <v>204</v>
      </c>
      <c r="R214" s="92"/>
      <c r="S214" s="146" t="s">
        <v>204</v>
      </c>
      <c r="T214" s="92"/>
      <c r="U214" s="146" t="s">
        <v>204</v>
      </c>
      <c r="V214" s="92"/>
      <c r="W214" s="146" t="s">
        <v>204</v>
      </c>
      <c r="X214" s="92"/>
      <c r="Y214" s="146" t="s">
        <v>61</v>
      </c>
      <c r="Z214" s="92"/>
      <c r="AA214" s="146" t="s">
        <v>204</v>
      </c>
      <c r="AB214" s="92"/>
      <c r="AC214" s="146" t="s">
        <v>204</v>
      </c>
      <c r="AD214" s="92"/>
      <c r="AE214" s="146" t="s">
        <v>204</v>
      </c>
      <c r="AF214" s="187" t="str">
        <f t="shared" si="16"/>
        <v>C</v>
      </c>
      <c r="AG214" s="54" t="str">
        <f t="shared" si="15"/>
        <v>UTILIZOU O PDA CORRETAMENTE</v>
      </c>
      <c r="AH214" s="144" t="s">
        <v>204</v>
      </c>
      <c r="AI214" s="210" t="s">
        <v>6</v>
      </c>
      <c r="AJ214" s="97" t="str">
        <f t="shared" si="17"/>
        <v>GUARULHOS</v>
      </c>
      <c r="AK214" s="213" t="s">
        <v>39</v>
      </c>
      <c r="AL214" s="53">
        <v>9.6409422931621136E-2</v>
      </c>
      <c r="AM214" s="53" t="str" cm="1">
        <f t="array" ref="AM214">IF(OR(O214&lt;&gt;"", SUMPRODUCT(($AN$2:$AN$5000=AN214)*($AL$2:$AL$5000&lt;=AL214)) &lt;= (COUNTIF($AN$2:$AN$5000,AN214)*0.5)), "SORTEADO", "-")</f>
        <v>SORTEADO</v>
      </c>
      <c r="AN214" s="232" t="s">
        <v>661</v>
      </c>
    </row>
    <row r="215" spans="1:40" ht="30" customHeight="1" x14ac:dyDescent="0.2">
      <c r="A215" s="231" t="s">
        <v>197</v>
      </c>
      <c r="B215" s="231">
        <v>2689800455</v>
      </c>
      <c r="C215" s="231" t="s">
        <v>98</v>
      </c>
      <c r="D215" s="231" t="s">
        <v>80</v>
      </c>
      <c r="E215" s="231" t="s">
        <v>198</v>
      </c>
      <c r="F215" s="231" t="s">
        <v>714</v>
      </c>
      <c r="G215" s="231">
        <v>33</v>
      </c>
      <c r="H215" s="231" t="s">
        <v>715</v>
      </c>
      <c r="I215" s="231" t="s">
        <v>716</v>
      </c>
      <c r="J215" s="231" t="s">
        <v>297</v>
      </c>
      <c r="K215" s="231" t="s">
        <v>717</v>
      </c>
      <c r="L215" s="232" t="s">
        <v>661</v>
      </c>
      <c r="M215" s="232">
        <v>46238.395833333336</v>
      </c>
      <c r="N215" s="231" t="s">
        <v>381</v>
      </c>
      <c r="O215" s="157" t="s">
        <v>204</v>
      </c>
      <c r="P215" s="143"/>
      <c r="Q215" s="144" t="s">
        <v>204</v>
      </c>
      <c r="R215" s="143"/>
      <c r="S215" s="144" t="s">
        <v>204</v>
      </c>
      <c r="T215" s="143"/>
      <c r="U215" s="144" t="s">
        <v>204</v>
      </c>
      <c r="V215" s="143"/>
      <c r="W215" s="144" t="s">
        <v>204</v>
      </c>
      <c r="X215" s="143"/>
      <c r="Y215" s="144" t="s">
        <v>204</v>
      </c>
      <c r="Z215" s="143"/>
      <c r="AA215" s="144" t="s">
        <v>204</v>
      </c>
      <c r="AB215" s="143"/>
      <c r="AC215" s="144" t="s">
        <v>204</v>
      </c>
      <c r="AD215" s="56"/>
      <c r="AE215" s="144" t="s">
        <v>204</v>
      </c>
      <c r="AF215" s="187" t="str">
        <f t="shared" si="16"/>
        <v>C</v>
      </c>
      <c r="AG215" s="54" t="str">
        <f t="shared" si="15"/>
        <v>UTILIZOU O PDA CORRETAMENTE</v>
      </c>
      <c r="AH215" s="144" t="s">
        <v>204</v>
      </c>
      <c r="AI215" s="210" t="s">
        <v>6</v>
      </c>
      <c r="AJ215" s="97" t="str">
        <f t="shared" si="17"/>
        <v>GUARULHOS</v>
      </c>
      <c r="AK215" s="213" t="s">
        <v>39</v>
      </c>
      <c r="AL215" s="53">
        <v>0.27193764604699877</v>
      </c>
      <c r="AM215" s="53" t="str" cm="1">
        <f t="array" ref="AM215">IF(OR(O215&lt;&gt;"", SUMPRODUCT(($AN$2:$AN$5000=AN215)*($AL$2:$AL$5000&lt;=AL215)) &lt;= (COUNTIF($AN$2:$AN$5000,AN215)*0.5)), "SORTEADO", "-")</f>
        <v>SORTEADO</v>
      </c>
      <c r="AN215" s="232" t="s">
        <v>661</v>
      </c>
    </row>
    <row r="216" spans="1:40" ht="30" customHeight="1" x14ac:dyDescent="0.2">
      <c r="A216" s="231" t="s">
        <v>197</v>
      </c>
      <c r="B216" s="231">
        <v>2614815931</v>
      </c>
      <c r="C216" s="231" t="s">
        <v>102</v>
      </c>
      <c r="D216" s="231" t="s">
        <v>80</v>
      </c>
      <c r="E216" s="231" t="s">
        <v>198</v>
      </c>
      <c r="F216" s="231" t="s">
        <v>718</v>
      </c>
      <c r="G216" s="231">
        <v>617</v>
      </c>
      <c r="H216" s="231" t="s">
        <v>719</v>
      </c>
      <c r="I216" s="231" t="s">
        <v>315</v>
      </c>
      <c r="J216" s="231" t="s">
        <v>270</v>
      </c>
      <c r="K216" s="231" t="s">
        <v>213</v>
      </c>
      <c r="L216" s="232" t="s">
        <v>661</v>
      </c>
      <c r="M216" s="232">
        <v>46238.813194444447</v>
      </c>
      <c r="N216" s="231" t="s">
        <v>381</v>
      </c>
      <c r="O216" s="158" t="s">
        <v>204</v>
      </c>
      <c r="P216" s="92"/>
      <c r="Q216" s="146" t="s">
        <v>204</v>
      </c>
      <c r="R216" s="92"/>
      <c r="S216" s="146" t="s">
        <v>204</v>
      </c>
      <c r="T216" s="92"/>
      <c r="U216" s="146" t="s">
        <v>204</v>
      </c>
      <c r="V216" s="92"/>
      <c r="W216" s="146" t="s">
        <v>204</v>
      </c>
      <c r="X216" s="92"/>
      <c r="Y216" s="146" t="s">
        <v>61</v>
      </c>
      <c r="Z216" s="92"/>
      <c r="AA216" s="146" t="s">
        <v>204</v>
      </c>
      <c r="AB216" s="92"/>
      <c r="AC216" s="146" t="s">
        <v>204</v>
      </c>
      <c r="AD216" s="92"/>
      <c r="AE216" s="146" t="s">
        <v>204</v>
      </c>
      <c r="AF216" s="187" t="str">
        <f t="shared" si="16"/>
        <v>C</v>
      </c>
      <c r="AG216" s="54" t="str">
        <f t="shared" si="15"/>
        <v>UTILIZOU O PDA CORRETAMENTE</v>
      </c>
      <c r="AH216" s="144" t="s">
        <v>204</v>
      </c>
      <c r="AI216" s="210" t="s">
        <v>6</v>
      </c>
      <c r="AJ216" s="97" t="str">
        <f t="shared" si="17"/>
        <v>GUARULHOS</v>
      </c>
      <c r="AK216" s="213" t="s">
        <v>39</v>
      </c>
      <c r="AL216" s="53">
        <v>4.0081598420004028E-2</v>
      </c>
      <c r="AM216" s="53" t="str" cm="1">
        <f t="array" ref="AM216">IF(OR(O216&lt;&gt;"", SUMPRODUCT(($AN$2:$AN$5000=AN216)*($AL$2:$AL$5000&lt;=AL216)) &lt;= (COUNTIF($AN$2:$AN$5000,AN216)*0.5)), "SORTEADO", "-")</f>
        <v>SORTEADO</v>
      </c>
      <c r="AN216" s="232" t="s">
        <v>661</v>
      </c>
    </row>
    <row r="217" spans="1:40" ht="30" hidden="1" customHeight="1" x14ac:dyDescent="0.25">
      <c r="A217" s="231" t="s">
        <v>197</v>
      </c>
      <c r="B217" s="231">
        <v>2614823600</v>
      </c>
      <c r="C217" s="231" t="s">
        <v>105</v>
      </c>
      <c r="D217" s="231" t="s">
        <v>80</v>
      </c>
      <c r="E217" s="231" t="s">
        <v>198</v>
      </c>
      <c r="F217" s="231" t="s">
        <v>242</v>
      </c>
      <c r="G217" s="231">
        <v>159</v>
      </c>
      <c r="H217" s="231"/>
      <c r="I217" s="231" t="s">
        <v>243</v>
      </c>
      <c r="J217" s="231" t="s">
        <v>226</v>
      </c>
      <c r="K217" s="231" t="s">
        <v>720</v>
      </c>
      <c r="L217" s="232" t="s">
        <v>661</v>
      </c>
      <c r="M217" s="232">
        <v>46238.913888888892</v>
      </c>
      <c r="N217" s="231" t="s">
        <v>244</v>
      </c>
      <c r="O217" s="158"/>
      <c r="P217" s="205"/>
      <c r="Q217" s="161"/>
      <c r="R217" s="206"/>
      <c r="S217" s="161"/>
      <c r="T217" s="206"/>
      <c r="U217" s="161"/>
      <c r="V217" s="206"/>
      <c r="W217" s="161"/>
      <c r="X217" s="206"/>
      <c r="Y217" s="161"/>
      <c r="Z217" s="206"/>
      <c r="AA217" s="161"/>
      <c r="AB217" s="206"/>
      <c r="AC217" s="161"/>
      <c r="AD217" s="206"/>
      <c r="AE217" s="171"/>
      <c r="AF217" s="187" t="str">
        <f t="shared" si="16"/>
        <v/>
      </c>
      <c r="AG217" s="54" t="b">
        <f t="shared" si="15"/>
        <v>0</v>
      </c>
      <c r="AH217" s="146"/>
      <c r="AI217" s="210" t="s">
        <v>6</v>
      </c>
      <c r="AJ217" s="97" t="str">
        <f t="shared" si="17"/>
        <v>GUARULHOS</v>
      </c>
      <c r="AK217" s="213" t="s">
        <v>39</v>
      </c>
      <c r="AL217" s="53">
        <v>0.32224966484581841</v>
      </c>
      <c r="AM217" s="53" t="str" cm="1">
        <f t="array" ref="AM217">IF(OR(O217&lt;&gt;"", SUMPRODUCT(($AN$2:$AN$5000=AN217)*($AL$2:$AL$5000&lt;=AL217)) &lt;= (COUNTIF($AN$2:$AN$5000,AN217)*0.5)), "SORTEADO", "-")</f>
        <v>-</v>
      </c>
      <c r="AN217" s="232" t="s">
        <v>661</v>
      </c>
    </row>
    <row r="218" spans="1:40" ht="30" hidden="1" customHeight="1" x14ac:dyDescent="0.25">
      <c r="A218" s="231" t="s">
        <v>197</v>
      </c>
      <c r="B218" s="231">
        <v>2614803005</v>
      </c>
      <c r="C218" s="231" t="s">
        <v>89</v>
      </c>
      <c r="D218" s="231" t="s">
        <v>77</v>
      </c>
      <c r="E218" s="231" t="s">
        <v>198</v>
      </c>
      <c r="F218" s="231" t="s">
        <v>705</v>
      </c>
      <c r="G218" s="231">
        <v>64</v>
      </c>
      <c r="H218" s="231"/>
      <c r="I218" s="231" t="s">
        <v>391</v>
      </c>
      <c r="J218" s="231" t="s">
        <v>346</v>
      </c>
      <c r="K218" s="231" t="s">
        <v>721</v>
      </c>
      <c r="L218" s="232" t="s">
        <v>661</v>
      </c>
      <c r="M218" s="232">
        <v>46238.675694444442</v>
      </c>
      <c r="N218" s="231" t="s">
        <v>271</v>
      </c>
      <c r="O218" s="158"/>
      <c r="P218" s="205"/>
      <c r="Q218" s="161"/>
      <c r="R218" s="206"/>
      <c r="S218" s="161"/>
      <c r="T218" s="206"/>
      <c r="U218" s="161"/>
      <c r="V218" s="206"/>
      <c r="W218" s="161"/>
      <c r="X218" s="206"/>
      <c r="Y218" s="161"/>
      <c r="Z218" s="206"/>
      <c r="AA218" s="161"/>
      <c r="AB218" s="206"/>
      <c r="AC218" s="161"/>
      <c r="AD218" s="206"/>
      <c r="AE218" s="171"/>
      <c r="AF218" s="187" t="str">
        <f t="shared" si="16"/>
        <v/>
      </c>
      <c r="AG218" s="54" t="b">
        <f t="shared" si="15"/>
        <v>0</v>
      </c>
      <c r="AH218" s="146"/>
      <c r="AI218" s="210" t="s">
        <v>6</v>
      </c>
      <c r="AJ218" s="97" t="str">
        <f t="shared" si="17"/>
        <v>GUARULHOS</v>
      </c>
      <c r="AK218" s="213" t="s">
        <v>39</v>
      </c>
      <c r="AL218" s="53">
        <v>0.67330159116596333</v>
      </c>
      <c r="AM218" s="53" t="str" cm="1">
        <f t="array" ref="AM218">IF(OR(O218&lt;&gt;"", SUMPRODUCT(($AN$2:$AN$5000=AN218)*($AL$2:$AL$5000&lt;=AL218)) &lt;= (COUNTIF($AN$2:$AN$5000,AN218)*0.5)), "SORTEADO", "-")</f>
        <v>-</v>
      </c>
      <c r="AN218" s="232" t="s">
        <v>661</v>
      </c>
    </row>
    <row r="219" spans="1:40" ht="30" hidden="1" customHeight="1" x14ac:dyDescent="0.25">
      <c r="A219" s="231" t="s">
        <v>197</v>
      </c>
      <c r="B219" s="231">
        <v>2614673774</v>
      </c>
      <c r="C219" s="231" t="s">
        <v>99</v>
      </c>
      <c r="D219" s="231" t="s">
        <v>80</v>
      </c>
      <c r="E219" s="231" t="s">
        <v>198</v>
      </c>
      <c r="F219" s="231" t="s">
        <v>722</v>
      </c>
      <c r="G219" s="231">
        <v>123</v>
      </c>
      <c r="H219" s="231" t="s">
        <v>213</v>
      </c>
      <c r="I219" s="231" t="s">
        <v>664</v>
      </c>
      <c r="J219" s="231" t="s">
        <v>305</v>
      </c>
      <c r="K219" s="231" t="s">
        <v>723</v>
      </c>
      <c r="L219" s="232" t="s">
        <v>661</v>
      </c>
      <c r="M219" s="232">
        <v>46238.654861111114</v>
      </c>
      <c r="N219" s="231" t="s">
        <v>250</v>
      </c>
      <c r="O219" s="158"/>
      <c r="P219" s="205"/>
      <c r="Q219" s="207"/>
      <c r="R219" s="205"/>
      <c r="S219" s="207"/>
      <c r="T219" s="205"/>
      <c r="U219" s="207"/>
      <c r="V219" s="205"/>
      <c r="W219" s="207"/>
      <c r="X219" s="205"/>
      <c r="Y219" s="207"/>
      <c r="Z219" s="205"/>
      <c r="AA219" s="207"/>
      <c r="AB219" s="205"/>
      <c r="AC219" s="207"/>
      <c r="AD219" s="205"/>
      <c r="AE219" s="208"/>
      <c r="AF219" s="187" t="str">
        <f t="shared" si="16"/>
        <v/>
      </c>
      <c r="AG219" s="54" t="b">
        <f t="shared" si="15"/>
        <v>0</v>
      </c>
      <c r="AH219" s="146"/>
      <c r="AI219" s="210" t="s">
        <v>6</v>
      </c>
      <c r="AJ219" s="97" t="str">
        <f t="shared" si="17"/>
        <v>GUARULHOS</v>
      </c>
      <c r="AK219" s="213" t="s">
        <v>39</v>
      </c>
      <c r="AL219" s="53">
        <v>0.57835905528096221</v>
      </c>
      <c r="AM219" s="53" t="str" cm="1">
        <f t="array" ref="AM219">IF(OR(O219&lt;&gt;"", SUMPRODUCT(($AN$2:$AN$5000=AN219)*($AL$2:$AL$5000&lt;=AL219)) &lt;= (COUNTIF($AN$2:$AN$5000,AN219)*0.5)), "SORTEADO", "-")</f>
        <v>-</v>
      </c>
      <c r="AN219" s="232" t="s">
        <v>661</v>
      </c>
    </row>
    <row r="220" spans="1:40" ht="30" hidden="1" customHeight="1" x14ac:dyDescent="0.25">
      <c r="A220" s="231" t="s">
        <v>197</v>
      </c>
      <c r="B220" s="231">
        <v>2689953771</v>
      </c>
      <c r="C220" s="231" t="s">
        <v>106</v>
      </c>
      <c r="D220" s="231" t="s">
        <v>80</v>
      </c>
      <c r="E220" s="231" t="s">
        <v>198</v>
      </c>
      <c r="F220" s="231" t="s">
        <v>724</v>
      </c>
      <c r="G220" s="231">
        <v>25</v>
      </c>
      <c r="H220" s="231"/>
      <c r="I220" s="231" t="s">
        <v>509</v>
      </c>
      <c r="J220" s="231" t="s">
        <v>259</v>
      </c>
      <c r="K220" s="231" t="s">
        <v>725</v>
      </c>
      <c r="L220" s="232" t="s">
        <v>726</v>
      </c>
      <c r="M220" s="232">
        <v>46269.396527777775</v>
      </c>
      <c r="N220" s="231" t="s">
        <v>237</v>
      </c>
      <c r="O220" s="158"/>
      <c r="P220" s="205"/>
      <c r="Q220" s="160"/>
      <c r="R220" s="206"/>
      <c r="S220" s="160"/>
      <c r="T220" s="206"/>
      <c r="U220" s="160"/>
      <c r="V220" s="206"/>
      <c r="W220" s="160"/>
      <c r="X220" s="206"/>
      <c r="Y220" s="160"/>
      <c r="Z220" s="206"/>
      <c r="AA220" s="160"/>
      <c r="AB220" s="206"/>
      <c r="AC220" s="160"/>
      <c r="AD220" s="206"/>
      <c r="AE220" s="185"/>
      <c r="AF220" s="187" t="str">
        <f t="shared" si="16"/>
        <v/>
      </c>
      <c r="AG220" s="54" t="b">
        <f t="shared" si="15"/>
        <v>0</v>
      </c>
      <c r="AH220" s="146"/>
      <c r="AI220" s="210" t="s">
        <v>6</v>
      </c>
      <c r="AJ220" s="97" t="str">
        <f t="shared" si="17"/>
        <v>GUARULHOS</v>
      </c>
      <c r="AK220" s="213" t="s">
        <v>39</v>
      </c>
      <c r="AL220" s="53">
        <v>0.5207614382194472</v>
      </c>
      <c r="AM220" s="53" t="str" cm="1">
        <f t="array" ref="AM220">IF(OR(O220&lt;&gt;"", SUMPRODUCT(($AN$2:$AN$5000=AN220)*($AL$2:$AL$5000&lt;=AL220)) &lt;= (COUNTIF($AN$2:$AN$5000,AN220)*0.5)), "SORTEADO", "-")</f>
        <v>-</v>
      </c>
      <c r="AN220" s="232" t="s">
        <v>726</v>
      </c>
    </row>
    <row r="221" spans="1:40" ht="30" customHeight="1" x14ac:dyDescent="0.2">
      <c r="A221" s="231" t="s">
        <v>197</v>
      </c>
      <c r="B221" s="231">
        <v>2689965527</v>
      </c>
      <c r="C221" s="231" t="s">
        <v>102</v>
      </c>
      <c r="D221" s="231" t="s">
        <v>80</v>
      </c>
      <c r="E221" s="231" t="s">
        <v>198</v>
      </c>
      <c r="F221" s="231" t="s">
        <v>526</v>
      </c>
      <c r="G221" s="231">
        <v>239</v>
      </c>
      <c r="H221" s="231" t="s">
        <v>727</v>
      </c>
      <c r="I221" s="231" t="s">
        <v>331</v>
      </c>
      <c r="J221" s="231" t="s">
        <v>270</v>
      </c>
      <c r="K221" s="231" t="s">
        <v>213</v>
      </c>
      <c r="L221" s="232" t="s">
        <v>726</v>
      </c>
      <c r="M221" s="232">
        <v>46269.511111111111</v>
      </c>
      <c r="N221" s="231" t="s">
        <v>237</v>
      </c>
      <c r="O221" s="158" t="s">
        <v>204</v>
      </c>
      <c r="P221" s="92"/>
      <c r="Q221" s="146" t="s">
        <v>204</v>
      </c>
      <c r="R221" s="92"/>
      <c r="S221" s="146" t="s">
        <v>204</v>
      </c>
      <c r="T221" s="92"/>
      <c r="U221" s="146" t="s">
        <v>204</v>
      </c>
      <c r="V221" s="92"/>
      <c r="W221" s="146" t="s">
        <v>204</v>
      </c>
      <c r="X221" s="92"/>
      <c r="Y221" s="146" t="s">
        <v>61</v>
      </c>
      <c r="Z221" s="92"/>
      <c r="AA221" s="146" t="s">
        <v>204</v>
      </c>
      <c r="AB221" s="92"/>
      <c r="AC221" s="146" t="s">
        <v>204</v>
      </c>
      <c r="AD221" s="92"/>
      <c r="AE221" s="146" t="s">
        <v>204</v>
      </c>
      <c r="AF221" s="187" t="str">
        <f t="shared" si="16"/>
        <v>C</v>
      </c>
      <c r="AG221" s="54" t="str">
        <f t="shared" si="15"/>
        <v>UTILIZOU O PDA CORRETAMENTE</v>
      </c>
      <c r="AH221" s="144" t="s">
        <v>204</v>
      </c>
      <c r="AI221" s="210" t="s">
        <v>6</v>
      </c>
      <c r="AJ221" s="97" t="str">
        <f t="shared" si="17"/>
        <v>GUARULHOS</v>
      </c>
      <c r="AK221" s="213" t="s">
        <v>39</v>
      </c>
      <c r="AL221" s="53">
        <v>0.3381071784344577</v>
      </c>
      <c r="AM221" s="53" t="str" cm="1">
        <f t="array" ref="AM221">IF(OR(O221&lt;&gt;"", SUMPRODUCT(($AN$2:$AN$5000=AN221)*($AL$2:$AL$5000&lt;=AL221)) &lt;= (COUNTIF($AN$2:$AN$5000,AN221)*0.5)), "SORTEADO", "-")</f>
        <v>SORTEADO</v>
      </c>
      <c r="AN221" s="232" t="s">
        <v>726</v>
      </c>
    </row>
    <row r="222" spans="1:40" ht="30" customHeight="1" x14ac:dyDescent="0.2">
      <c r="A222" s="231" t="s">
        <v>197</v>
      </c>
      <c r="B222" s="231">
        <v>2689982874</v>
      </c>
      <c r="C222" s="231" t="s">
        <v>102</v>
      </c>
      <c r="D222" s="231" t="s">
        <v>80</v>
      </c>
      <c r="E222" s="231" t="s">
        <v>198</v>
      </c>
      <c r="F222" s="231" t="s">
        <v>728</v>
      </c>
      <c r="G222" s="231">
        <v>75</v>
      </c>
      <c r="H222" s="231" t="s">
        <v>729</v>
      </c>
      <c r="I222" s="231" t="s">
        <v>730</v>
      </c>
      <c r="J222" s="231" t="s">
        <v>270</v>
      </c>
      <c r="K222" s="231"/>
      <c r="L222" s="232" t="s">
        <v>726</v>
      </c>
      <c r="M222" s="232">
        <v>46269.559027777781</v>
      </c>
      <c r="N222" s="231" t="s">
        <v>381</v>
      </c>
      <c r="O222" s="158" t="s">
        <v>204</v>
      </c>
      <c r="P222" s="92"/>
      <c r="Q222" s="146" t="s">
        <v>204</v>
      </c>
      <c r="R222" s="92"/>
      <c r="S222" s="146" t="s">
        <v>204</v>
      </c>
      <c r="T222" s="92"/>
      <c r="U222" s="146" t="s">
        <v>204</v>
      </c>
      <c r="V222" s="92"/>
      <c r="W222" s="146" t="s">
        <v>204</v>
      </c>
      <c r="X222" s="92"/>
      <c r="Y222" s="146" t="s">
        <v>61</v>
      </c>
      <c r="Z222" s="92"/>
      <c r="AA222" s="146" t="s">
        <v>204</v>
      </c>
      <c r="AB222" s="92"/>
      <c r="AC222" s="146" t="s">
        <v>204</v>
      </c>
      <c r="AD222" s="92"/>
      <c r="AE222" s="146" t="s">
        <v>204</v>
      </c>
      <c r="AF222" s="187" t="str">
        <f t="shared" si="16"/>
        <v>C</v>
      </c>
      <c r="AG222" s="54" t="str">
        <f t="shared" si="15"/>
        <v>UTILIZOU O PDA CORRETAMENTE</v>
      </c>
      <c r="AH222" s="144" t="s">
        <v>204</v>
      </c>
      <c r="AI222" s="210" t="s">
        <v>6</v>
      </c>
      <c r="AJ222" s="97" t="str">
        <f t="shared" si="17"/>
        <v>GUARULHOS</v>
      </c>
      <c r="AK222" s="213" t="s">
        <v>39</v>
      </c>
      <c r="AL222" s="53">
        <v>0.22819794305672236</v>
      </c>
      <c r="AM222" s="53" t="str" cm="1">
        <f t="array" ref="AM222">IF(OR(O222&lt;&gt;"", SUMPRODUCT(($AN$2:$AN$5000=AN222)*($AL$2:$AL$5000&lt;=AL222)) &lt;= (COUNTIF($AN$2:$AN$5000,AN222)*0.5)), "SORTEADO", "-")</f>
        <v>SORTEADO</v>
      </c>
      <c r="AN222" s="232" t="s">
        <v>726</v>
      </c>
    </row>
    <row r="223" spans="1:40" ht="30" hidden="1" customHeight="1" x14ac:dyDescent="0.2">
      <c r="A223" s="231" t="s">
        <v>197</v>
      </c>
      <c r="B223" s="231">
        <v>2689998850</v>
      </c>
      <c r="C223" s="231" t="s">
        <v>102</v>
      </c>
      <c r="D223" s="231" t="s">
        <v>80</v>
      </c>
      <c r="E223" s="231" t="s">
        <v>198</v>
      </c>
      <c r="F223" s="231" t="s">
        <v>731</v>
      </c>
      <c r="G223" s="231">
        <v>71</v>
      </c>
      <c r="H223" s="231" t="s">
        <v>211</v>
      </c>
      <c r="I223" s="231" t="s">
        <v>732</v>
      </c>
      <c r="J223" s="231" t="s">
        <v>270</v>
      </c>
      <c r="K223" s="231" t="s">
        <v>213</v>
      </c>
      <c r="L223" s="232" t="s">
        <v>726</v>
      </c>
      <c r="M223" s="232">
        <v>46269.640277777777</v>
      </c>
      <c r="N223" s="231" t="s">
        <v>381</v>
      </c>
      <c r="O223" s="158"/>
      <c r="P223" s="92"/>
      <c r="Q223" s="146"/>
      <c r="R223" s="92"/>
      <c r="S223" s="146"/>
      <c r="T223" s="92"/>
      <c r="U223" s="146"/>
      <c r="V223" s="92"/>
      <c r="W223" s="146"/>
      <c r="X223" s="92"/>
      <c r="Y223" s="146"/>
      <c r="Z223" s="92"/>
      <c r="AA223" s="146"/>
      <c r="AB223" s="92"/>
      <c r="AC223" s="146"/>
      <c r="AD223" s="92"/>
      <c r="AE223" s="146"/>
      <c r="AF223" s="187" t="str">
        <f t="shared" si="16"/>
        <v/>
      </c>
      <c r="AG223" s="54" t="b">
        <f t="shared" si="15"/>
        <v>0</v>
      </c>
      <c r="AH223" s="146"/>
      <c r="AI223" s="210" t="s">
        <v>6</v>
      </c>
      <c r="AJ223" s="97" t="str">
        <f t="shared" si="17"/>
        <v>GUARULHOS</v>
      </c>
      <c r="AK223" s="213" t="s">
        <v>39</v>
      </c>
      <c r="AL223" s="53">
        <v>0.43360758525232901</v>
      </c>
      <c r="AM223" s="53" t="str" cm="1">
        <f t="array" ref="AM223">IF(OR(O223&lt;&gt;"", SUMPRODUCT(($AN$2:$AN$5000=AN223)*($AL$2:$AL$5000&lt;=AL223)) &lt;= (COUNTIF($AN$2:$AN$5000,AN223)*0.5)), "SORTEADO", "-")</f>
        <v>-</v>
      </c>
      <c r="AN223" s="232" t="s">
        <v>726</v>
      </c>
    </row>
    <row r="224" spans="1:40" ht="30" customHeight="1" x14ac:dyDescent="0.2">
      <c r="A224" s="231" t="s">
        <v>197</v>
      </c>
      <c r="B224" s="231">
        <v>2614837860</v>
      </c>
      <c r="C224" s="231" t="s">
        <v>106</v>
      </c>
      <c r="D224" s="231" t="s">
        <v>80</v>
      </c>
      <c r="E224" s="231" t="s">
        <v>198</v>
      </c>
      <c r="F224" s="231" t="s">
        <v>450</v>
      </c>
      <c r="G224" s="231">
        <v>277</v>
      </c>
      <c r="H224" s="231" t="s">
        <v>733</v>
      </c>
      <c r="I224" s="231" t="s">
        <v>315</v>
      </c>
      <c r="J224" s="231" t="s">
        <v>270</v>
      </c>
      <c r="K224" s="231"/>
      <c r="L224" s="232" t="s">
        <v>726</v>
      </c>
      <c r="M224" s="232">
        <v>46269.449305555558</v>
      </c>
      <c r="N224" s="231" t="s">
        <v>303</v>
      </c>
      <c r="O224" s="158" t="s">
        <v>204</v>
      </c>
      <c r="P224" s="92"/>
      <c r="Q224" s="146" t="s">
        <v>204</v>
      </c>
      <c r="R224" s="92"/>
      <c r="S224" s="146" t="s">
        <v>204</v>
      </c>
      <c r="T224" s="92"/>
      <c r="U224" s="146" t="s">
        <v>204</v>
      </c>
      <c r="V224" s="92"/>
      <c r="W224" s="146" t="s">
        <v>204</v>
      </c>
      <c r="X224" s="92"/>
      <c r="Y224" s="146" t="s">
        <v>61</v>
      </c>
      <c r="Z224" s="92"/>
      <c r="AA224" s="146" t="s">
        <v>204</v>
      </c>
      <c r="AB224" s="92"/>
      <c r="AC224" s="146" t="s">
        <v>204</v>
      </c>
      <c r="AD224" s="92"/>
      <c r="AE224" s="146" t="s">
        <v>204</v>
      </c>
      <c r="AF224" s="187" t="str">
        <f t="shared" si="16"/>
        <v>C</v>
      </c>
      <c r="AG224" s="54" t="str">
        <f t="shared" si="15"/>
        <v>UTILIZOU O PDA CORRETAMENTE</v>
      </c>
      <c r="AH224" s="144" t="s">
        <v>204</v>
      </c>
      <c r="AI224" s="210" t="s">
        <v>6</v>
      </c>
      <c r="AJ224" s="97" t="str">
        <f t="shared" si="17"/>
        <v>GUARULHOS</v>
      </c>
      <c r="AK224" s="213" t="s">
        <v>39</v>
      </c>
      <c r="AL224" s="53">
        <v>0.33979985553050929</v>
      </c>
      <c r="AM224" s="53" t="str" cm="1">
        <f t="array" ref="AM224">IF(OR(O224&lt;&gt;"", SUMPRODUCT(($AN$2:$AN$5000=AN224)*($AL$2:$AL$5000&lt;=AL224)) &lt;= (COUNTIF($AN$2:$AN$5000,AN224)*0.5)), "SORTEADO", "-")</f>
        <v>SORTEADO</v>
      </c>
      <c r="AN224" s="232" t="s">
        <v>726</v>
      </c>
    </row>
    <row r="225" spans="1:40" ht="30" customHeight="1" x14ac:dyDescent="0.2">
      <c r="A225" s="231" t="s">
        <v>197</v>
      </c>
      <c r="B225" s="231">
        <v>2614847108</v>
      </c>
      <c r="C225" s="231" t="s">
        <v>98</v>
      </c>
      <c r="D225" s="231" t="s">
        <v>80</v>
      </c>
      <c r="E225" s="231" t="s">
        <v>198</v>
      </c>
      <c r="F225" s="231" t="s">
        <v>734</v>
      </c>
      <c r="G225" s="231">
        <v>95</v>
      </c>
      <c r="H225" s="231" t="s">
        <v>213</v>
      </c>
      <c r="I225" s="231" t="s">
        <v>253</v>
      </c>
      <c r="J225" s="231" t="s">
        <v>297</v>
      </c>
      <c r="K225" s="231" t="s">
        <v>213</v>
      </c>
      <c r="L225" s="232" t="s">
        <v>726</v>
      </c>
      <c r="M225" s="232">
        <v>46269.49722222222</v>
      </c>
      <c r="N225" s="231" t="s">
        <v>348</v>
      </c>
      <c r="O225" s="157" t="s">
        <v>204</v>
      </c>
      <c r="P225" s="143"/>
      <c r="Q225" s="144" t="s">
        <v>204</v>
      </c>
      <c r="R225" s="143"/>
      <c r="S225" s="144" t="s">
        <v>204</v>
      </c>
      <c r="T225" s="143"/>
      <c r="U225" s="144" t="s">
        <v>204</v>
      </c>
      <c r="V225" s="143"/>
      <c r="W225" s="144" t="s">
        <v>204</v>
      </c>
      <c r="X225" s="143"/>
      <c r="Y225" s="144" t="s">
        <v>204</v>
      </c>
      <c r="Z225" s="143"/>
      <c r="AA225" s="144" t="s">
        <v>204</v>
      </c>
      <c r="AB225" s="143"/>
      <c r="AC225" s="144" t="s">
        <v>204</v>
      </c>
      <c r="AD225" s="56"/>
      <c r="AE225" s="144" t="s">
        <v>204</v>
      </c>
      <c r="AF225" s="187" t="str">
        <f t="shared" si="16"/>
        <v>C</v>
      </c>
      <c r="AG225" s="54" t="str">
        <f t="shared" si="15"/>
        <v>UTILIZOU O PDA CORRETAMENTE</v>
      </c>
      <c r="AH225" s="144" t="s">
        <v>204</v>
      </c>
      <c r="AI225" s="210" t="s">
        <v>6</v>
      </c>
      <c r="AJ225" s="97" t="str">
        <f t="shared" si="17"/>
        <v>GUARULHOS</v>
      </c>
      <c r="AK225" s="213" t="s">
        <v>39</v>
      </c>
      <c r="AL225" s="53">
        <v>0.32104792362343659</v>
      </c>
      <c r="AM225" s="53" t="str" cm="1">
        <f t="array" ref="AM225">IF(OR(O225&lt;&gt;"", SUMPRODUCT(($AN$2:$AN$5000=AN225)*($AL$2:$AL$5000&lt;=AL225)) &lt;= (COUNTIF($AN$2:$AN$5000,AN225)*0.5)), "SORTEADO", "-")</f>
        <v>SORTEADO</v>
      </c>
      <c r="AN225" s="232" t="s">
        <v>726</v>
      </c>
    </row>
    <row r="226" spans="1:40" ht="30" customHeight="1" x14ac:dyDescent="0.2">
      <c r="A226" s="231" t="s">
        <v>197</v>
      </c>
      <c r="B226" s="231">
        <v>2614843548</v>
      </c>
      <c r="C226" s="231" t="s">
        <v>102</v>
      </c>
      <c r="D226" s="231" t="s">
        <v>80</v>
      </c>
      <c r="E226" s="231" t="s">
        <v>198</v>
      </c>
      <c r="F226" s="231" t="s">
        <v>735</v>
      </c>
      <c r="G226" s="231">
        <v>124</v>
      </c>
      <c r="H226" s="231" t="s">
        <v>276</v>
      </c>
      <c r="I226" s="231" t="s">
        <v>736</v>
      </c>
      <c r="J226" s="231" t="s">
        <v>270</v>
      </c>
      <c r="K226" s="231"/>
      <c r="L226" s="232" t="s">
        <v>726</v>
      </c>
      <c r="M226" s="232">
        <v>46269.399305555555</v>
      </c>
      <c r="N226" s="231" t="s">
        <v>228</v>
      </c>
      <c r="O226" s="158" t="s">
        <v>204</v>
      </c>
      <c r="P226" s="92"/>
      <c r="Q226" s="146" t="s">
        <v>204</v>
      </c>
      <c r="R226" s="92"/>
      <c r="S226" s="146" t="s">
        <v>204</v>
      </c>
      <c r="T226" s="92"/>
      <c r="U226" s="146" t="s">
        <v>204</v>
      </c>
      <c r="V226" s="92"/>
      <c r="W226" s="146" t="s">
        <v>204</v>
      </c>
      <c r="X226" s="92"/>
      <c r="Y226" s="146" t="s">
        <v>61</v>
      </c>
      <c r="Z226" s="92"/>
      <c r="AA226" s="146" t="s">
        <v>204</v>
      </c>
      <c r="AB226" s="92"/>
      <c r="AC226" s="146" t="s">
        <v>204</v>
      </c>
      <c r="AD226" s="92"/>
      <c r="AE226" s="146" t="s">
        <v>204</v>
      </c>
      <c r="AF226" s="187" t="str">
        <f t="shared" si="16"/>
        <v>C</v>
      </c>
      <c r="AG226" s="54" t="str">
        <f t="shared" si="15"/>
        <v>UTILIZOU O PDA CORRETAMENTE</v>
      </c>
      <c r="AH226" s="144" t="s">
        <v>204</v>
      </c>
      <c r="AI226" s="210" t="s">
        <v>6</v>
      </c>
      <c r="AJ226" s="97" t="str">
        <f t="shared" si="17"/>
        <v>GUARULHOS</v>
      </c>
      <c r="AK226" s="213" t="s">
        <v>39</v>
      </c>
      <c r="AL226" s="53">
        <v>3.0386133371173463E-2</v>
      </c>
      <c r="AM226" s="53" t="str" cm="1">
        <f t="array" ref="AM226">IF(OR(O226&lt;&gt;"", SUMPRODUCT(($AN$2:$AN$5000=AN226)*($AL$2:$AL$5000&lt;=AL226)) &lt;= (COUNTIF($AN$2:$AN$5000,AN226)*0.5)), "SORTEADO", "-")</f>
        <v>SORTEADO</v>
      </c>
      <c r="AN226" s="232" t="s">
        <v>726</v>
      </c>
    </row>
    <row r="227" spans="1:40" ht="30" customHeight="1" x14ac:dyDescent="0.2">
      <c r="A227" s="231" t="s">
        <v>197</v>
      </c>
      <c r="B227" s="231">
        <v>2689973327</v>
      </c>
      <c r="C227" s="231" t="s">
        <v>106</v>
      </c>
      <c r="D227" s="231" t="s">
        <v>80</v>
      </c>
      <c r="E227" s="231" t="s">
        <v>198</v>
      </c>
      <c r="F227" s="231" t="s">
        <v>737</v>
      </c>
      <c r="G227" s="231">
        <v>193</v>
      </c>
      <c r="H227" s="231" t="s">
        <v>738</v>
      </c>
      <c r="I227" s="231" t="s">
        <v>394</v>
      </c>
      <c r="J227" s="231" t="s">
        <v>270</v>
      </c>
      <c r="K227" s="231" t="s">
        <v>213</v>
      </c>
      <c r="L227" s="232" t="s">
        <v>726</v>
      </c>
      <c r="M227" s="232">
        <v>46269.549305555556</v>
      </c>
      <c r="N227" s="231" t="s">
        <v>260</v>
      </c>
      <c r="O227" s="158" t="s">
        <v>204</v>
      </c>
      <c r="P227" s="92"/>
      <c r="Q227" s="146" t="s">
        <v>204</v>
      </c>
      <c r="R227" s="92"/>
      <c r="S227" s="146" t="s">
        <v>204</v>
      </c>
      <c r="T227" s="92"/>
      <c r="U227" s="146" t="s">
        <v>204</v>
      </c>
      <c r="V227" s="92"/>
      <c r="W227" s="146" t="s">
        <v>204</v>
      </c>
      <c r="X227" s="92"/>
      <c r="Y227" s="146" t="s">
        <v>61</v>
      </c>
      <c r="Z227" s="92"/>
      <c r="AA227" s="146" t="s">
        <v>204</v>
      </c>
      <c r="AB227" s="92"/>
      <c r="AC227" s="146" t="s">
        <v>204</v>
      </c>
      <c r="AD227" s="92"/>
      <c r="AE227" s="146" t="s">
        <v>204</v>
      </c>
      <c r="AF227" s="187" t="str">
        <f t="shared" si="16"/>
        <v>C</v>
      </c>
      <c r="AG227" s="54" t="str">
        <f t="shared" si="15"/>
        <v>UTILIZOU O PDA CORRETAMENTE</v>
      </c>
      <c r="AH227" s="144" t="s">
        <v>204</v>
      </c>
      <c r="AI227" s="210" t="s">
        <v>6</v>
      </c>
      <c r="AJ227" s="97" t="str">
        <f t="shared" si="17"/>
        <v>GUARULHOS</v>
      </c>
      <c r="AK227" s="213" t="s">
        <v>39</v>
      </c>
      <c r="AL227" s="53">
        <v>0.3563512963488159</v>
      </c>
      <c r="AM227" s="53" t="str" cm="1">
        <f t="array" ref="AM227">IF(OR(O227&lt;&gt;"", SUMPRODUCT(($AN$2:$AN$5000=AN227)*($AL$2:$AL$5000&lt;=AL227)) &lt;= (COUNTIF($AN$2:$AN$5000,AN227)*0.5)), "SORTEADO", "-")</f>
        <v>SORTEADO</v>
      </c>
      <c r="AN227" s="232" t="s">
        <v>726</v>
      </c>
    </row>
    <row r="228" spans="1:40" ht="30" customHeight="1" x14ac:dyDescent="0.2">
      <c r="A228" s="231" t="s">
        <v>197</v>
      </c>
      <c r="B228" s="231">
        <v>269207645</v>
      </c>
      <c r="C228" s="231" t="s">
        <v>91</v>
      </c>
      <c r="D228" s="231" t="s">
        <v>76</v>
      </c>
      <c r="E228" s="231" t="s">
        <v>198</v>
      </c>
      <c r="F228" s="231" t="s">
        <v>739</v>
      </c>
      <c r="G228" s="231">
        <v>358</v>
      </c>
      <c r="H228" s="231" t="s">
        <v>740</v>
      </c>
      <c r="I228" s="231" t="s">
        <v>708</v>
      </c>
      <c r="J228" s="231" t="s">
        <v>448</v>
      </c>
      <c r="K228" s="231" t="s">
        <v>741</v>
      </c>
      <c r="L228" s="232" t="s">
        <v>726</v>
      </c>
      <c r="M228" s="232">
        <v>46269.415972222225</v>
      </c>
      <c r="N228" s="231" t="s">
        <v>203</v>
      </c>
      <c r="O228" s="158" t="s">
        <v>204</v>
      </c>
      <c r="P228" s="92"/>
      <c r="Q228" s="146" t="s">
        <v>204</v>
      </c>
      <c r="R228" s="92"/>
      <c r="S228" s="146" t="s">
        <v>204</v>
      </c>
      <c r="T228" s="92"/>
      <c r="U228" s="146" t="s">
        <v>204</v>
      </c>
      <c r="V228" s="92"/>
      <c r="W228" s="146" t="s">
        <v>204</v>
      </c>
      <c r="X228" s="92"/>
      <c r="Y228" s="146" t="s">
        <v>742</v>
      </c>
      <c r="Z228" s="92"/>
      <c r="AA228" s="146" t="s">
        <v>204</v>
      </c>
      <c r="AB228" s="92"/>
      <c r="AC228" s="146" t="s">
        <v>204</v>
      </c>
      <c r="AD228" s="92"/>
      <c r="AE228" s="146" t="s">
        <v>204</v>
      </c>
      <c r="AF228" s="187" t="str">
        <f t="shared" si="16"/>
        <v>C</v>
      </c>
      <c r="AG228" s="54" t="str">
        <f t="shared" si="15"/>
        <v>UTILIZOU O PDA CORRETAMENTE</v>
      </c>
      <c r="AH228" s="146" t="s">
        <v>204</v>
      </c>
      <c r="AI228" s="210" t="s">
        <v>6</v>
      </c>
      <c r="AJ228" s="97" t="str">
        <f t="shared" si="17"/>
        <v>GUARULHOS</v>
      </c>
      <c r="AK228" s="213" t="s">
        <v>39</v>
      </c>
      <c r="AL228" s="53">
        <v>0.27475471139457286</v>
      </c>
      <c r="AM228" s="53" t="str" cm="1">
        <f t="array" ref="AM228">IF(OR(O228&lt;&gt;"", SUMPRODUCT(($AN$2:$AN$5000=AN228)*($AL$2:$AL$5000&lt;=AL228)) &lt;= (COUNTIF($AN$2:$AN$5000,AN228)*0.5)), "SORTEADO", "-")</f>
        <v>SORTEADO</v>
      </c>
      <c r="AN228" s="232" t="s">
        <v>726</v>
      </c>
    </row>
    <row r="229" spans="1:40" ht="30" hidden="1" customHeight="1" x14ac:dyDescent="0.2">
      <c r="A229" s="231" t="s">
        <v>197</v>
      </c>
      <c r="B229" s="231">
        <v>2611251030</v>
      </c>
      <c r="C229" s="231" t="s">
        <v>91</v>
      </c>
      <c r="D229" s="231" t="s">
        <v>76</v>
      </c>
      <c r="E229" s="231" t="s">
        <v>198</v>
      </c>
      <c r="F229" s="231" t="s">
        <v>743</v>
      </c>
      <c r="G229" s="231">
        <v>806</v>
      </c>
      <c r="H229" s="231" t="s">
        <v>744</v>
      </c>
      <c r="I229" s="231" t="s">
        <v>531</v>
      </c>
      <c r="J229" s="231" t="s">
        <v>448</v>
      </c>
      <c r="K229" s="231" t="s">
        <v>213</v>
      </c>
      <c r="L229" s="232" t="s">
        <v>726</v>
      </c>
      <c r="M229" s="232">
        <v>46269.574305555558</v>
      </c>
      <c r="N229" s="231" t="s">
        <v>215</v>
      </c>
      <c r="O229" s="158"/>
      <c r="P229" s="92"/>
      <c r="Q229" s="146"/>
      <c r="R229" s="92"/>
      <c r="S229" s="146"/>
      <c r="T229" s="92"/>
      <c r="U229" s="146"/>
      <c r="V229" s="92"/>
      <c r="W229" s="146"/>
      <c r="X229" s="92"/>
      <c r="Y229" s="146"/>
      <c r="Z229" s="92"/>
      <c r="AA229" s="146"/>
      <c r="AB229" s="92"/>
      <c r="AC229" s="146"/>
      <c r="AD229" s="92"/>
      <c r="AE229" s="146"/>
      <c r="AF229" s="187" t="str">
        <f t="shared" si="16"/>
        <v/>
      </c>
      <c r="AG229" s="54" t="b">
        <f t="shared" si="15"/>
        <v>0</v>
      </c>
      <c r="AH229" s="146"/>
      <c r="AI229" s="210" t="s">
        <v>6</v>
      </c>
      <c r="AJ229" s="97" t="str">
        <f t="shared" si="17"/>
        <v>GUARULHOS</v>
      </c>
      <c r="AK229" s="213" t="s">
        <v>39</v>
      </c>
      <c r="AL229" s="53">
        <v>0.70147722836492343</v>
      </c>
      <c r="AM229" s="53" t="str" cm="1">
        <f t="array" ref="AM229">IF(OR(O229&lt;&gt;"", SUMPRODUCT(($AN$2:$AN$5000=AN229)*($AL$2:$AL$5000&lt;=AL229)) &lt;= (COUNTIF($AN$2:$AN$5000,AN229)*0.5)), "SORTEADO", "-")</f>
        <v>-</v>
      </c>
      <c r="AN229" s="232" t="s">
        <v>726</v>
      </c>
    </row>
    <row r="230" spans="1:40" ht="30" hidden="1" customHeight="1" x14ac:dyDescent="0.2">
      <c r="A230" s="231" t="s">
        <v>197</v>
      </c>
      <c r="B230" s="231">
        <v>2610275383</v>
      </c>
      <c r="C230" s="231" t="s">
        <v>91</v>
      </c>
      <c r="D230" s="231" t="s">
        <v>76</v>
      </c>
      <c r="E230" s="231" t="s">
        <v>198</v>
      </c>
      <c r="F230" s="231" t="s">
        <v>745</v>
      </c>
      <c r="G230" s="231">
        <v>354</v>
      </c>
      <c r="H230" s="231"/>
      <c r="I230" s="231" t="s">
        <v>746</v>
      </c>
      <c r="J230" s="231" t="s">
        <v>448</v>
      </c>
      <c r="K230" s="231"/>
      <c r="L230" s="232" t="s">
        <v>726</v>
      </c>
      <c r="M230" s="232">
        <v>46269.427083333336</v>
      </c>
      <c r="N230" s="231" t="s">
        <v>408</v>
      </c>
      <c r="O230" s="158"/>
      <c r="P230" s="92"/>
      <c r="Q230" s="146"/>
      <c r="R230" s="92"/>
      <c r="S230" s="146"/>
      <c r="T230" s="92"/>
      <c r="U230" s="146"/>
      <c r="V230" s="92"/>
      <c r="W230" s="146"/>
      <c r="X230" s="92"/>
      <c r="Y230" s="146"/>
      <c r="Z230" s="92"/>
      <c r="AA230" s="146"/>
      <c r="AB230" s="92"/>
      <c r="AC230" s="146"/>
      <c r="AD230" s="92"/>
      <c r="AE230" s="146"/>
      <c r="AF230" s="187" t="str">
        <f t="shared" si="16"/>
        <v/>
      </c>
      <c r="AG230" s="54" t="b">
        <f t="shared" si="15"/>
        <v>0</v>
      </c>
      <c r="AH230" s="146"/>
      <c r="AI230" s="210" t="s">
        <v>6</v>
      </c>
      <c r="AJ230" s="97" t="str">
        <f t="shared" si="17"/>
        <v>GUARULHOS</v>
      </c>
      <c r="AK230" s="213" t="s">
        <v>39</v>
      </c>
      <c r="AL230" s="53">
        <v>0.64189796217623107</v>
      </c>
      <c r="AM230" s="53" t="str" cm="1">
        <f t="array" ref="AM230">IF(OR(O230&lt;&gt;"", SUMPRODUCT(($AN$2:$AN$5000=AN230)*($AL$2:$AL$5000&lt;=AL230)) &lt;= (COUNTIF($AN$2:$AN$5000,AN230)*0.5)), "SORTEADO", "-")</f>
        <v>-</v>
      </c>
      <c r="AN230" s="232" t="s">
        <v>726</v>
      </c>
    </row>
    <row r="231" spans="1:40" ht="30" customHeight="1" x14ac:dyDescent="0.2">
      <c r="A231" s="231" t="s">
        <v>197</v>
      </c>
      <c r="B231" s="231">
        <v>2614462856</v>
      </c>
      <c r="C231" s="231" t="s">
        <v>85</v>
      </c>
      <c r="D231" s="231" t="s">
        <v>76</v>
      </c>
      <c r="E231" s="231" t="s">
        <v>198</v>
      </c>
      <c r="F231" s="231" t="s">
        <v>747</v>
      </c>
      <c r="G231" s="231">
        <v>402</v>
      </c>
      <c r="H231" s="231" t="s">
        <v>213</v>
      </c>
      <c r="I231" s="231" t="s">
        <v>394</v>
      </c>
      <c r="J231" s="231" t="s">
        <v>85</v>
      </c>
      <c r="K231" s="231" t="s">
        <v>213</v>
      </c>
      <c r="L231" s="232" t="s">
        <v>726</v>
      </c>
      <c r="M231" s="232">
        <v>46269.488194444442</v>
      </c>
      <c r="N231" s="231" t="s">
        <v>408</v>
      </c>
      <c r="O231" s="158" t="s">
        <v>204</v>
      </c>
      <c r="P231" s="92"/>
      <c r="Q231" s="146" t="s">
        <v>204</v>
      </c>
      <c r="R231" s="92"/>
      <c r="S231" s="146" t="s">
        <v>204</v>
      </c>
      <c r="T231" s="92"/>
      <c r="U231" s="146" t="s">
        <v>204</v>
      </c>
      <c r="V231" s="92"/>
      <c r="W231" s="146" t="s">
        <v>204</v>
      </c>
      <c r="X231" s="92"/>
      <c r="Y231" s="146" t="s">
        <v>204</v>
      </c>
      <c r="Z231" s="92"/>
      <c r="AA231" s="146" t="s">
        <v>204</v>
      </c>
      <c r="AB231" s="92"/>
      <c r="AC231" s="146" t="s">
        <v>204</v>
      </c>
      <c r="AD231" s="92"/>
      <c r="AE231" s="146" t="s">
        <v>204</v>
      </c>
      <c r="AF231" s="187" t="str">
        <f t="shared" si="16"/>
        <v>C</v>
      </c>
      <c r="AG231" s="54" t="str">
        <f t="shared" si="15"/>
        <v>UTILIZOU O PDA CORRETAMENTE</v>
      </c>
      <c r="AH231" s="146" t="s">
        <v>204</v>
      </c>
      <c r="AI231" s="210" t="s">
        <v>6</v>
      </c>
      <c r="AJ231" s="97" t="str">
        <f t="shared" si="17"/>
        <v>GUARULHOS</v>
      </c>
      <c r="AK231" s="213" t="s">
        <v>39</v>
      </c>
      <c r="AL231" s="53">
        <v>-4.5999999999999999E-2</v>
      </c>
      <c r="AM231" s="53" t="str" cm="1">
        <f t="array" ref="AM231">IF(OR(O231&lt;&gt;"", SUMPRODUCT(($AN$2:$AN$5000=AN231)*($AL$2:$AL$5000&lt;=AL231)) &lt;= (COUNTIF($AN$2:$AN$5000,AN231)*0.5)), "SORTEADO", "-")</f>
        <v>SORTEADO</v>
      </c>
      <c r="AN231" s="232" t="s">
        <v>726</v>
      </c>
    </row>
    <row r="232" spans="1:40" ht="30" hidden="1" customHeight="1" x14ac:dyDescent="0.2">
      <c r="A232" s="231" t="s">
        <v>197</v>
      </c>
      <c r="B232" s="231">
        <v>2615068465</v>
      </c>
      <c r="C232" s="231" t="s">
        <v>102</v>
      </c>
      <c r="D232" s="231" t="s">
        <v>80</v>
      </c>
      <c r="E232" s="231" t="s">
        <v>198</v>
      </c>
      <c r="F232" s="231" t="s">
        <v>748</v>
      </c>
      <c r="G232" s="231">
        <v>258</v>
      </c>
      <c r="H232" s="231" t="s">
        <v>206</v>
      </c>
      <c r="I232" s="231" t="s">
        <v>253</v>
      </c>
      <c r="J232" s="231" t="s">
        <v>259</v>
      </c>
      <c r="K232" s="231" t="s">
        <v>749</v>
      </c>
      <c r="L232" s="232" t="s">
        <v>726</v>
      </c>
      <c r="M232" s="232">
        <v>46269.459722222222</v>
      </c>
      <c r="N232" s="231" t="s">
        <v>244</v>
      </c>
      <c r="O232" s="158"/>
      <c r="P232" s="92"/>
      <c r="Q232" s="146"/>
      <c r="R232" s="92"/>
      <c r="S232" s="146"/>
      <c r="T232" s="92"/>
      <c r="U232" s="146"/>
      <c r="V232" s="92"/>
      <c r="W232" s="146"/>
      <c r="X232" s="92"/>
      <c r="Y232" s="146"/>
      <c r="Z232" s="92"/>
      <c r="AA232" s="146"/>
      <c r="AB232" s="92"/>
      <c r="AC232" s="146"/>
      <c r="AD232" s="92"/>
      <c r="AE232" s="146"/>
      <c r="AF232" s="187" t="str">
        <f t="shared" si="16"/>
        <v/>
      </c>
      <c r="AG232" s="54" t="b">
        <f t="shared" si="15"/>
        <v>0</v>
      </c>
      <c r="AH232" s="146"/>
      <c r="AI232" s="210" t="s">
        <v>6</v>
      </c>
      <c r="AJ232" s="97" t="str">
        <f t="shared" si="17"/>
        <v>GUARULHOS</v>
      </c>
      <c r="AK232" s="213" t="s">
        <v>39</v>
      </c>
      <c r="AL232" s="53">
        <v>0.91189657463275775</v>
      </c>
      <c r="AM232" s="53" t="str" cm="1">
        <f t="array" ref="AM232">IF(OR(O232&lt;&gt;"", SUMPRODUCT(($AN$2:$AN$5000=AN232)*($AL$2:$AL$5000&lt;=AL232)) &lt;= (COUNTIF($AN$2:$AN$5000,AN232)*0.5)), "SORTEADO", "-")</f>
        <v>-</v>
      </c>
      <c r="AN232" s="232" t="s">
        <v>726</v>
      </c>
    </row>
    <row r="233" spans="1:40" ht="30" hidden="1" customHeight="1" x14ac:dyDescent="0.2">
      <c r="A233" s="231" t="s">
        <v>197</v>
      </c>
      <c r="B233" s="231">
        <v>2690051476</v>
      </c>
      <c r="C233" s="231" t="s">
        <v>106</v>
      </c>
      <c r="D233" s="231" t="s">
        <v>80</v>
      </c>
      <c r="E233" s="231" t="s">
        <v>198</v>
      </c>
      <c r="F233" s="231" t="s">
        <v>750</v>
      </c>
      <c r="G233" s="231">
        <v>111</v>
      </c>
      <c r="H233" s="231" t="s">
        <v>213</v>
      </c>
      <c r="I233" s="231" t="s">
        <v>368</v>
      </c>
      <c r="J233" s="231" t="s">
        <v>259</v>
      </c>
      <c r="K233" s="231" t="s">
        <v>213</v>
      </c>
      <c r="L233" s="232" t="s">
        <v>726</v>
      </c>
      <c r="M233" s="232">
        <v>46269.681250000001</v>
      </c>
      <c r="N233" s="231" t="s">
        <v>381</v>
      </c>
      <c r="O233" s="158"/>
      <c r="P233" s="92"/>
      <c r="Q233" s="146"/>
      <c r="R233" s="92"/>
      <c r="S233" s="146"/>
      <c r="T233" s="92"/>
      <c r="U233" s="146"/>
      <c r="V233" s="92"/>
      <c r="W233" s="146"/>
      <c r="X233" s="92"/>
      <c r="Y233" s="146"/>
      <c r="Z233" s="92"/>
      <c r="AA233" s="146"/>
      <c r="AB233" s="92"/>
      <c r="AC233" s="146"/>
      <c r="AD233" s="92"/>
      <c r="AE233" s="146"/>
      <c r="AF233" s="187" t="str">
        <f t="shared" si="16"/>
        <v/>
      </c>
      <c r="AG233" s="54" t="b">
        <f t="shared" si="15"/>
        <v>0</v>
      </c>
      <c r="AH233" s="146"/>
      <c r="AI233" s="210" t="s">
        <v>6</v>
      </c>
      <c r="AJ233" s="97" t="str">
        <f t="shared" si="17"/>
        <v>GUARULHOS</v>
      </c>
      <c r="AK233" s="213" t="s">
        <v>39</v>
      </c>
      <c r="AL233" s="53">
        <v>0.66040898356293398</v>
      </c>
      <c r="AM233" s="53" t="str" cm="1">
        <f t="array" ref="AM233">IF(OR(O233&lt;&gt;"", SUMPRODUCT(($AN$2:$AN$5000=AN233)*($AL$2:$AL$5000&lt;=AL233)) &lt;= (COUNTIF($AN$2:$AN$5000,AN233)*0.5)), "SORTEADO", "-")</f>
        <v>-</v>
      </c>
      <c r="AN233" s="232" t="s">
        <v>726</v>
      </c>
    </row>
    <row r="234" spans="1:40" ht="30" hidden="1" customHeight="1" x14ac:dyDescent="0.2">
      <c r="A234" s="231" t="s">
        <v>197</v>
      </c>
      <c r="B234" s="231">
        <v>2690063924</v>
      </c>
      <c r="C234" s="231" t="s">
        <v>102</v>
      </c>
      <c r="D234" s="231" t="s">
        <v>80</v>
      </c>
      <c r="E234" s="231" t="s">
        <v>198</v>
      </c>
      <c r="F234" s="231" t="s">
        <v>748</v>
      </c>
      <c r="G234" s="231">
        <v>377</v>
      </c>
      <c r="H234" s="231" t="s">
        <v>751</v>
      </c>
      <c r="I234" s="231" t="s">
        <v>253</v>
      </c>
      <c r="J234" s="231" t="s">
        <v>270</v>
      </c>
      <c r="K234" s="231"/>
      <c r="L234" s="232" t="s">
        <v>726</v>
      </c>
      <c r="M234" s="232">
        <v>46269.594444444447</v>
      </c>
      <c r="N234" s="231" t="s">
        <v>244</v>
      </c>
      <c r="O234" s="158"/>
      <c r="P234" s="92"/>
      <c r="Q234" s="146"/>
      <c r="R234" s="92"/>
      <c r="S234" s="146"/>
      <c r="T234" s="92"/>
      <c r="U234" s="146"/>
      <c r="V234" s="92"/>
      <c r="W234" s="146"/>
      <c r="X234" s="92"/>
      <c r="Y234" s="146"/>
      <c r="Z234" s="92"/>
      <c r="AA234" s="146"/>
      <c r="AB234" s="92"/>
      <c r="AC234" s="146"/>
      <c r="AD234" s="92"/>
      <c r="AE234" s="146"/>
      <c r="AF234" s="187" t="str">
        <f t="shared" si="16"/>
        <v/>
      </c>
      <c r="AG234" s="54" t="b">
        <f t="shared" si="15"/>
        <v>0</v>
      </c>
      <c r="AH234" s="146"/>
      <c r="AI234" s="210" t="s">
        <v>6</v>
      </c>
      <c r="AJ234" s="97" t="str">
        <f t="shared" si="17"/>
        <v>GUARULHOS</v>
      </c>
      <c r="AK234" s="213" t="s">
        <v>39</v>
      </c>
      <c r="AL234" s="53">
        <v>0.49128853741166401</v>
      </c>
      <c r="AM234" s="53" t="str" cm="1">
        <f t="array" ref="AM234">IF(OR(O234&lt;&gt;"", SUMPRODUCT(($AN$2:$AN$5000=AN234)*($AL$2:$AL$5000&lt;=AL234)) &lt;= (COUNTIF($AN$2:$AN$5000,AN234)*0.5)), "SORTEADO", "-")</f>
        <v>-</v>
      </c>
      <c r="AN234" s="232" t="s">
        <v>726</v>
      </c>
    </row>
    <row r="235" spans="1:40" ht="30" customHeight="1" x14ac:dyDescent="0.2">
      <c r="A235" s="231" t="s">
        <v>197</v>
      </c>
      <c r="B235" s="231">
        <v>2615085263</v>
      </c>
      <c r="C235" s="231" t="s">
        <v>100</v>
      </c>
      <c r="D235" s="231" t="s">
        <v>78</v>
      </c>
      <c r="E235" s="231" t="s">
        <v>198</v>
      </c>
      <c r="F235" s="231" t="s">
        <v>752</v>
      </c>
      <c r="G235" s="231">
        <v>202</v>
      </c>
      <c r="H235" s="231" t="s">
        <v>206</v>
      </c>
      <c r="I235" s="231" t="s">
        <v>200</v>
      </c>
      <c r="J235" s="231" t="s">
        <v>248</v>
      </c>
      <c r="K235" s="231" t="s">
        <v>753</v>
      </c>
      <c r="L235" s="232" t="s">
        <v>726</v>
      </c>
      <c r="M235" s="232">
        <v>46269.474999999999</v>
      </c>
      <c r="N235" s="231" t="s">
        <v>250</v>
      </c>
      <c r="O235" s="157" t="s">
        <v>328</v>
      </c>
      <c r="P235" s="143"/>
      <c r="Q235" s="144" t="s">
        <v>328</v>
      </c>
      <c r="R235" s="143"/>
      <c r="S235" s="144" t="s">
        <v>328</v>
      </c>
      <c r="T235" s="143"/>
      <c r="U235" s="144" t="s">
        <v>328</v>
      </c>
      <c r="V235" s="143"/>
      <c r="W235" s="144" t="s">
        <v>328</v>
      </c>
      <c r="X235" s="143"/>
      <c r="Y235" s="144" t="s">
        <v>328</v>
      </c>
      <c r="Z235" s="143"/>
      <c r="AA235" s="144" t="s">
        <v>328</v>
      </c>
      <c r="AB235" s="143"/>
      <c r="AC235" s="144" t="s">
        <v>328</v>
      </c>
      <c r="AD235" s="56"/>
      <c r="AE235" s="144" t="s">
        <v>210</v>
      </c>
      <c r="AF235" s="187" t="str">
        <f t="shared" si="16"/>
        <v>NC</v>
      </c>
      <c r="AG235" s="54" t="str">
        <f t="shared" si="15"/>
        <v>NÃO UTILIZOU O PDA</v>
      </c>
      <c r="AH235" s="144" t="s">
        <v>204</v>
      </c>
      <c r="AI235" s="210" t="s">
        <v>6</v>
      </c>
      <c r="AJ235" s="97" t="str">
        <f t="shared" si="17"/>
        <v>GUARULHOS</v>
      </c>
      <c r="AK235" s="213" t="s">
        <v>39</v>
      </c>
      <c r="AL235" s="53">
        <v>0.3548015018520263</v>
      </c>
      <c r="AM235" s="53" t="str" cm="1">
        <f t="array" ref="AM235">IF(OR(O235&lt;&gt;"", SUMPRODUCT(($AN$2:$AN$5000=AN235)*($AL$2:$AL$5000&lt;=AL235)) &lt;= (COUNTIF($AN$2:$AN$5000,AN235)*0.5)), "SORTEADO", "-")</f>
        <v>SORTEADO</v>
      </c>
      <c r="AN235" s="232" t="s">
        <v>726</v>
      </c>
    </row>
    <row r="236" spans="1:40" ht="30" hidden="1" customHeight="1" x14ac:dyDescent="0.2">
      <c r="A236" s="231" t="s">
        <v>197</v>
      </c>
      <c r="B236" s="231">
        <v>2615085615</v>
      </c>
      <c r="C236" s="231" t="s">
        <v>105</v>
      </c>
      <c r="D236" s="231" t="s">
        <v>80</v>
      </c>
      <c r="E236" s="231" t="s">
        <v>198</v>
      </c>
      <c r="F236" s="231" t="s">
        <v>352</v>
      </c>
      <c r="G236" s="231">
        <v>95</v>
      </c>
      <c r="H236" s="231"/>
      <c r="I236" s="231" t="s">
        <v>200</v>
      </c>
      <c r="J236" s="231" t="s">
        <v>226</v>
      </c>
      <c r="K236" s="238" t="s">
        <v>754</v>
      </c>
      <c r="L236" s="232" t="s">
        <v>726</v>
      </c>
      <c r="M236" s="232">
        <v>46269.660416666666</v>
      </c>
      <c r="N236" s="231" t="s">
        <v>244</v>
      </c>
      <c r="O236" s="158"/>
      <c r="P236" s="92"/>
      <c r="Q236" s="146"/>
      <c r="R236" s="92"/>
      <c r="S236" s="146"/>
      <c r="T236" s="92"/>
      <c r="U236" s="146"/>
      <c r="V236" s="92"/>
      <c r="W236" s="146"/>
      <c r="X236" s="92"/>
      <c r="Y236" s="146"/>
      <c r="Z236" s="92"/>
      <c r="AA236" s="146"/>
      <c r="AB236" s="92"/>
      <c r="AC236" s="146"/>
      <c r="AD236" s="92"/>
      <c r="AE236" s="146"/>
      <c r="AF236" s="187" t="str">
        <f t="shared" si="16"/>
        <v/>
      </c>
      <c r="AG236" s="54" t="b">
        <f t="shared" si="15"/>
        <v>0</v>
      </c>
      <c r="AH236" s="146"/>
      <c r="AI236" s="210" t="s">
        <v>6</v>
      </c>
      <c r="AJ236" s="97" t="str">
        <f t="shared" si="17"/>
        <v>GUARULHOS</v>
      </c>
      <c r="AK236" s="213" t="s">
        <v>39</v>
      </c>
      <c r="AL236" s="53">
        <v>0.83108409181577758</v>
      </c>
      <c r="AM236" s="53" t="str" cm="1">
        <f t="array" ref="AM236">IF(OR(O236&lt;&gt;"", SUMPRODUCT(($AN$2:$AN$5000=AN236)*($AL$2:$AL$5000&lt;=AL236)) &lt;= (COUNTIF($AN$2:$AN$5000,AN236)*0.5)), "SORTEADO", "-")</f>
        <v>-</v>
      </c>
      <c r="AN236" s="232" t="s">
        <v>726</v>
      </c>
    </row>
    <row r="237" spans="1:40" ht="30" hidden="1" customHeight="1" x14ac:dyDescent="0.2">
      <c r="A237" s="231" t="s">
        <v>197</v>
      </c>
      <c r="B237" s="231">
        <v>2615099691</v>
      </c>
      <c r="C237" s="231" t="s">
        <v>102</v>
      </c>
      <c r="D237" s="231" t="s">
        <v>80</v>
      </c>
      <c r="E237" s="231" t="s">
        <v>198</v>
      </c>
      <c r="F237" s="231" t="s">
        <v>755</v>
      </c>
      <c r="G237" s="231">
        <v>109</v>
      </c>
      <c r="H237" s="231" t="s">
        <v>756</v>
      </c>
      <c r="I237" s="231" t="s">
        <v>394</v>
      </c>
      <c r="J237" s="231" t="s">
        <v>270</v>
      </c>
      <c r="K237" s="231" t="s">
        <v>213</v>
      </c>
      <c r="L237" s="232" t="s">
        <v>726</v>
      </c>
      <c r="M237" s="232">
        <v>46269.603472222225</v>
      </c>
      <c r="N237" s="231" t="s">
        <v>237</v>
      </c>
      <c r="O237" s="158"/>
      <c r="P237" s="92"/>
      <c r="Q237" s="146"/>
      <c r="R237" s="92"/>
      <c r="S237" s="146"/>
      <c r="T237" s="92"/>
      <c r="U237" s="146"/>
      <c r="V237" s="92"/>
      <c r="W237" s="146"/>
      <c r="X237" s="92"/>
      <c r="Y237" s="146"/>
      <c r="Z237" s="92"/>
      <c r="AA237" s="146"/>
      <c r="AB237" s="92"/>
      <c r="AC237" s="146"/>
      <c r="AD237" s="92"/>
      <c r="AE237" s="146"/>
      <c r="AF237" s="187" t="str">
        <f t="shared" si="16"/>
        <v/>
      </c>
      <c r="AG237" s="54" t="b">
        <f t="shared" si="15"/>
        <v>0</v>
      </c>
      <c r="AH237" s="146"/>
      <c r="AI237" s="210" t="s">
        <v>6</v>
      </c>
      <c r="AJ237" s="97" t="str">
        <f t="shared" si="17"/>
        <v>GUARULHOS</v>
      </c>
      <c r="AK237" s="213" t="s">
        <v>39</v>
      </c>
      <c r="AL237" s="53">
        <v>0.93198285257431157</v>
      </c>
      <c r="AM237" s="53" t="str" cm="1">
        <f t="array" ref="AM237">IF(OR(O237&lt;&gt;"", SUMPRODUCT(($AN$2:$AN$5000=AN237)*($AL$2:$AL$5000&lt;=AL237)) &lt;= (COUNTIF($AN$2:$AN$5000,AN237)*0.5)), "SORTEADO", "-")</f>
        <v>-</v>
      </c>
      <c r="AN237" s="232" t="s">
        <v>726</v>
      </c>
    </row>
    <row r="238" spans="1:40" ht="30" customHeight="1" x14ac:dyDescent="0.2">
      <c r="A238" s="231" t="s">
        <v>197</v>
      </c>
      <c r="B238" s="231">
        <v>2690085338</v>
      </c>
      <c r="C238" s="231" t="s">
        <v>102</v>
      </c>
      <c r="D238" s="231" t="s">
        <v>80</v>
      </c>
      <c r="E238" s="231" t="s">
        <v>198</v>
      </c>
      <c r="F238" s="231" t="s">
        <v>757</v>
      </c>
      <c r="G238" s="231">
        <v>132</v>
      </c>
      <c r="H238" s="231" t="s">
        <v>758</v>
      </c>
      <c r="I238" s="231" t="s">
        <v>411</v>
      </c>
      <c r="J238" s="231" t="s">
        <v>270</v>
      </c>
      <c r="K238" s="231" t="s">
        <v>532</v>
      </c>
      <c r="L238" s="232" t="s">
        <v>726</v>
      </c>
      <c r="M238" s="232">
        <v>46269.691666666666</v>
      </c>
      <c r="N238" s="231" t="s">
        <v>432</v>
      </c>
      <c r="O238" s="158" t="s">
        <v>204</v>
      </c>
      <c r="P238" s="92"/>
      <c r="Q238" s="146" t="s">
        <v>204</v>
      </c>
      <c r="R238" s="92"/>
      <c r="S238" s="146" t="s">
        <v>204</v>
      </c>
      <c r="T238" s="92"/>
      <c r="U238" s="146" t="s">
        <v>204</v>
      </c>
      <c r="V238" s="92"/>
      <c r="W238" s="146" t="s">
        <v>204</v>
      </c>
      <c r="X238" s="92"/>
      <c r="Y238" s="146" t="s">
        <v>61</v>
      </c>
      <c r="Z238" s="92"/>
      <c r="AA238" s="146" t="s">
        <v>204</v>
      </c>
      <c r="AB238" s="92"/>
      <c r="AC238" s="146" t="s">
        <v>204</v>
      </c>
      <c r="AD238" s="92"/>
      <c r="AE238" s="146" t="s">
        <v>204</v>
      </c>
      <c r="AF238" s="187" t="str">
        <f t="shared" si="16"/>
        <v>C</v>
      </c>
      <c r="AG238" s="54" t="str">
        <f t="shared" si="15"/>
        <v>UTILIZOU O PDA CORRETAMENTE</v>
      </c>
      <c r="AH238" s="144" t="s">
        <v>204</v>
      </c>
      <c r="AI238" s="210" t="s">
        <v>6</v>
      </c>
      <c r="AJ238" s="97" t="str">
        <f t="shared" si="17"/>
        <v>GUARULHOS</v>
      </c>
      <c r="AK238" s="213" t="s">
        <v>39</v>
      </c>
      <c r="AL238" s="53">
        <v>0.35052317015877421</v>
      </c>
      <c r="AM238" s="53" t="str" cm="1">
        <f t="array" ref="AM238">IF(OR(O238&lt;&gt;"", SUMPRODUCT(($AN$2:$AN$5000=AN238)*($AL$2:$AL$5000&lt;=AL238)) &lt;= (COUNTIF($AN$2:$AN$5000,AN238)*0.5)), "SORTEADO", "-")</f>
        <v>SORTEADO</v>
      </c>
      <c r="AN238" s="232" t="s">
        <v>726</v>
      </c>
    </row>
    <row r="239" spans="1:40" ht="30" hidden="1" customHeight="1" x14ac:dyDescent="0.2">
      <c r="A239" s="231" t="s">
        <v>197</v>
      </c>
      <c r="B239" s="231">
        <v>267748533</v>
      </c>
      <c r="C239" s="231" t="s">
        <v>91</v>
      </c>
      <c r="D239" s="231" t="s">
        <v>76</v>
      </c>
      <c r="E239" s="231" t="s">
        <v>198</v>
      </c>
      <c r="F239" s="231" t="s">
        <v>759</v>
      </c>
      <c r="G239" s="231">
        <v>329</v>
      </c>
      <c r="H239" s="231" t="s">
        <v>760</v>
      </c>
      <c r="I239" s="231" t="s">
        <v>761</v>
      </c>
      <c r="J239" s="231" t="s">
        <v>448</v>
      </c>
      <c r="K239" s="231" t="s">
        <v>497</v>
      </c>
      <c r="L239" s="232" t="s">
        <v>726</v>
      </c>
      <c r="M239" s="232">
        <v>46269.59652777778</v>
      </c>
      <c r="N239" s="231" t="s">
        <v>408</v>
      </c>
      <c r="O239" s="158"/>
      <c r="P239" s="92"/>
      <c r="Q239" s="146"/>
      <c r="R239" s="92"/>
      <c r="S239" s="146"/>
      <c r="T239" s="92"/>
      <c r="U239" s="146"/>
      <c r="V239" s="92"/>
      <c r="W239" s="146"/>
      <c r="X239" s="92"/>
      <c r="Y239" s="146"/>
      <c r="Z239" s="92"/>
      <c r="AA239" s="146"/>
      <c r="AB239" s="92"/>
      <c r="AC239" s="146"/>
      <c r="AD239" s="92"/>
      <c r="AE239" s="146"/>
      <c r="AF239" s="187" t="str">
        <f t="shared" si="16"/>
        <v/>
      </c>
      <c r="AG239" s="54" t="b">
        <f t="shared" si="15"/>
        <v>0</v>
      </c>
      <c r="AH239" s="146"/>
      <c r="AI239" s="210" t="s">
        <v>6</v>
      </c>
      <c r="AJ239" s="97" t="str">
        <f t="shared" si="17"/>
        <v>GUARULHOS</v>
      </c>
      <c r="AK239" s="213" t="s">
        <v>39</v>
      </c>
      <c r="AL239" s="53">
        <v>0.62505683271217327</v>
      </c>
      <c r="AM239" s="53" t="str" cm="1">
        <f t="array" ref="AM239">IF(OR(O239&lt;&gt;"", SUMPRODUCT(($AN$2:$AN$5000=AN239)*($AL$2:$AL$5000&lt;=AL239)) &lt;= (COUNTIF($AN$2:$AN$5000,AN239)*0.5)), "SORTEADO", "-")</f>
        <v>-</v>
      </c>
      <c r="AN239" s="232" t="s">
        <v>726</v>
      </c>
    </row>
    <row r="240" spans="1:40" ht="30" hidden="1" customHeight="1" x14ac:dyDescent="0.2">
      <c r="A240" s="231" t="s">
        <v>197</v>
      </c>
      <c r="B240" s="231">
        <v>2615107669</v>
      </c>
      <c r="C240" s="231" t="s">
        <v>105</v>
      </c>
      <c r="D240" s="231" t="s">
        <v>80</v>
      </c>
      <c r="E240" s="231" t="s">
        <v>198</v>
      </c>
      <c r="F240" s="231" t="s">
        <v>762</v>
      </c>
      <c r="G240" s="231">
        <v>168</v>
      </c>
      <c r="H240" s="231"/>
      <c r="I240" s="231" t="s">
        <v>763</v>
      </c>
      <c r="J240" s="231" t="s">
        <v>226</v>
      </c>
      <c r="K240" s="231" t="s">
        <v>764</v>
      </c>
      <c r="L240" s="232" t="s">
        <v>726</v>
      </c>
      <c r="M240" s="232">
        <v>46269.588194444441</v>
      </c>
      <c r="N240" s="231" t="s">
        <v>228</v>
      </c>
      <c r="O240" s="158"/>
      <c r="P240" s="92"/>
      <c r="Q240" s="146"/>
      <c r="R240" s="92"/>
      <c r="S240" s="146"/>
      <c r="T240" s="92"/>
      <c r="U240" s="146"/>
      <c r="V240" s="92"/>
      <c r="W240" s="146"/>
      <c r="X240" s="92"/>
      <c r="Y240" s="146"/>
      <c r="Z240" s="92"/>
      <c r="AA240" s="146"/>
      <c r="AB240" s="92"/>
      <c r="AC240" s="146"/>
      <c r="AD240" s="92"/>
      <c r="AE240" s="146"/>
      <c r="AF240" s="187" t="str">
        <f t="shared" si="16"/>
        <v/>
      </c>
      <c r="AG240" s="54" t="b">
        <f t="shared" si="15"/>
        <v>0</v>
      </c>
      <c r="AH240" s="146"/>
      <c r="AI240" s="210" t="s">
        <v>6</v>
      </c>
      <c r="AJ240" s="97" t="str">
        <f t="shared" si="17"/>
        <v>GUARULHOS</v>
      </c>
      <c r="AK240" s="213" t="s">
        <v>39</v>
      </c>
      <c r="AL240" s="53">
        <v>0.62034590539837009</v>
      </c>
      <c r="AM240" s="53" t="str" cm="1">
        <f t="array" ref="AM240">IF(OR(O240&lt;&gt;"", SUMPRODUCT(($AN$2:$AN$5000=AN240)*($AL$2:$AL$5000&lt;=AL240)) &lt;= (COUNTIF($AN$2:$AN$5000,AN240)*0.5)), "SORTEADO", "-")</f>
        <v>-</v>
      </c>
      <c r="AN240" s="232" t="s">
        <v>726</v>
      </c>
    </row>
    <row r="241" spans="1:40" ht="30" customHeight="1" x14ac:dyDescent="0.2">
      <c r="A241" s="231" t="s">
        <v>197</v>
      </c>
      <c r="B241" s="231">
        <v>2689970314</v>
      </c>
      <c r="C241" s="231" t="s">
        <v>98</v>
      </c>
      <c r="D241" s="231" t="s">
        <v>80</v>
      </c>
      <c r="E241" s="231" t="s">
        <v>198</v>
      </c>
      <c r="F241" s="231" t="s">
        <v>765</v>
      </c>
      <c r="G241" s="231">
        <v>128</v>
      </c>
      <c r="H241" s="231" t="s">
        <v>766</v>
      </c>
      <c r="I241" s="231" t="s">
        <v>509</v>
      </c>
      <c r="J241" s="231" t="s">
        <v>297</v>
      </c>
      <c r="K241" s="238" t="s">
        <v>767</v>
      </c>
      <c r="L241" s="232" t="s">
        <v>726</v>
      </c>
      <c r="M241" s="232">
        <v>46269.56527777778</v>
      </c>
      <c r="N241" s="231" t="s">
        <v>271</v>
      </c>
      <c r="O241" s="157" t="s">
        <v>210</v>
      </c>
      <c r="P241" s="143"/>
      <c r="Q241" s="144" t="s">
        <v>210</v>
      </c>
      <c r="R241" s="143"/>
      <c r="S241" s="144" t="s">
        <v>210</v>
      </c>
      <c r="T241" s="143"/>
      <c r="U241" s="144" t="s">
        <v>210</v>
      </c>
      <c r="V241" s="143"/>
      <c r="W241" s="144" t="s">
        <v>210</v>
      </c>
      <c r="X241" s="143"/>
      <c r="Y241" s="144" t="s">
        <v>210</v>
      </c>
      <c r="Z241" s="143"/>
      <c r="AA241" s="144" t="s">
        <v>210</v>
      </c>
      <c r="AB241" s="143"/>
      <c r="AC241" s="144" t="s">
        <v>210</v>
      </c>
      <c r="AD241" s="56"/>
      <c r="AE241" s="144" t="s">
        <v>210</v>
      </c>
      <c r="AF241" s="187" t="str">
        <f t="shared" si="16"/>
        <v>NC</v>
      </c>
      <c r="AG241" s="54" t="s">
        <v>413</v>
      </c>
      <c r="AH241" s="144" t="s">
        <v>204</v>
      </c>
      <c r="AI241" s="210" t="s">
        <v>6</v>
      </c>
      <c r="AJ241" s="97" t="str">
        <f t="shared" si="17"/>
        <v>GUARULHOS</v>
      </c>
      <c r="AK241" s="213" t="s">
        <v>39</v>
      </c>
      <c r="AL241" s="53">
        <v>0.10671088946867802</v>
      </c>
      <c r="AM241" s="53" t="str" cm="1">
        <f t="array" ref="AM241">IF(OR(O241&lt;&gt;"", SUMPRODUCT(($AN$2:$AN$5000=AN241)*($AL$2:$AL$5000&lt;=AL241)) &lt;= (COUNTIF($AN$2:$AN$5000,AN241)*0.5)), "SORTEADO", "-")</f>
        <v>SORTEADO</v>
      </c>
      <c r="AN241" s="232" t="s">
        <v>726</v>
      </c>
    </row>
    <row r="242" spans="1:40" ht="30" customHeight="1" x14ac:dyDescent="0.2">
      <c r="A242" s="231" t="s">
        <v>197</v>
      </c>
      <c r="B242" s="231">
        <v>2689970314</v>
      </c>
      <c r="C242" s="231" t="s">
        <v>89</v>
      </c>
      <c r="D242" s="231" t="s">
        <v>77</v>
      </c>
      <c r="E242" s="231" t="s">
        <v>198</v>
      </c>
      <c r="F242" s="231" t="s">
        <v>765</v>
      </c>
      <c r="G242" s="231">
        <v>128</v>
      </c>
      <c r="H242" s="231" t="s">
        <v>766</v>
      </c>
      <c r="I242" s="231" t="s">
        <v>509</v>
      </c>
      <c r="J242" s="231" t="s">
        <v>346</v>
      </c>
      <c r="K242" s="231" t="s">
        <v>768</v>
      </c>
      <c r="L242" s="232" t="s">
        <v>726</v>
      </c>
      <c r="M242" s="232">
        <v>46269.565972222219</v>
      </c>
      <c r="N242" s="231" t="s">
        <v>271</v>
      </c>
      <c r="O242" s="158" t="s">
        <v>204</v>
      </c>
      <c r="P242" s="92"/>
      <c r="Q242" s="146" t="s">
        <v>204</v>
      </c>
      <c r="R242" s="92"/>
      <c r="S242" s="146" t="s">
        <v>204</v>
      </c>
      <c r="T242" s="92"/>
      <c r="U242" s="146" t="s">
        <v>204</v>
      </c>
      <c r="V242" s="92"/>
      <c r="W242" s="146" t="s">
        <v>204</v>
      </c>
      <c r="X242" s="92"/>
      <c r="Y242" s="146" t="s">
        <v>61</v>
      </c>
      <c r="Z242" s="92"/>
      <c r="AA242" s="146" t="s">
        <v>204</v>
      </c>
      <c r="AB242" s="92"/>
      <c r="AC242" s="146" t="s">
        <v>204</v>
      </c>
      <c r="AD242" s="92"/>
      <c r="AE242" s="146" t="s">
        <v>204</v>
      </c>
      <c r="AF242" s="187" t="str">
        <f t="shared" si="16"/>
        <v>C</v>
      </c>
      <c r="AG242" s="54" t="str">
        <f t="shared" ref="AG242:AG266" si="18">IF(AND(AE242="C",AF242="C"),"UTILIZOU O PDA CORRETAMENTE",IF(AND(AE242="C",AF242="NC"),"UTILIZOU O PDA CORRETAMENTE. NÃO HÁ FOTOS DE TODAS AS ETAPAS",IF(AND(AE242="NC",AF242="NC"),"NÃO UTILIZOU O PDA",IF(AND(AE242="NA",AF242="NA"),"NÃO AVALIADO POR FALHA DE SINCRONISMO"))))</f>
        <v>UTILIZOU O PDA CORRETAMENTE</v>
      </c>
      <c r="AH242" s="146" t="s">
        <v>204</v>
      </c>
      <c r="AI242" s="210" t="s">
        <v>6</v>
      </c>
      <c r="AJ242" s="97" t="str">
        <f t="shared" si="17"/>
        <v>GUARULHOS</v>
      </c>
      <c r="AK242" s="213" t="s">
        <v>39</v>
      </c>
      <c r="AL242" s="53">
        <v>0.38384303215021154</v>
      </c>
      <c r="AM242" s="53" t="str" cm="1">
        <f t="array" ref="AM242">IF(OR(O242&lt;&gt;"", SUMPRODUCT(($AN$2:$AN$5000=AN242)*($AL$2:$AL$5000&lt;=AL242)) &lt;= (COUNTIF($AN$2:$AN$5000,AN242)*0.5)), "SORTEADO", "-")</f>
        <v>SORTEADO</v>
      </c>
      <c r="AN242" s="232" t="s">
        <v>726</v>
      </c>
    </row>
    <row r="243" spans="1:40" ht="30" customHeight="1" x14ac:dyDescent="0.2">
      <c r="A243" s="231" t="s">
        <v>197</v>
      </c>
      <c r="B243" s="231">
        <v>2690104983</v>
      </c>
      <c r="C243" s="231" t="s">
        <v>101</v>
      </c>
      <c r="D243" s="231" t="s">
        <v>80</v>
      </c>
      <c r="E243" s="231" t="s">
        <v>198</v>
      </c>
      <c r="F243" s="231" t="s">
        <v>468</v>
      </c>
      <c r="G243" s="231">
        <v>62</v>
      </c>
      <c r="H243" s="231" t="s">
        <v>769</v>
      </c>
      <c r="I243" s="231" t="s">
        <v>214</v>
      </c>
      <c r="J243" s="231" t="s">
        <v>270</v>
      </c>
      <c r="K243" s="231" t="s">
        <v>770</v>
      </c>
      <c r="L243" s="232" t="s">
        <v>726</v>
      </c>
      <c r="M243" s="232">
        <v>46269.749305555553</v>
      </c>
      <c r="N243" s="231" t="s">
        <v>615</v>
      </c>
      <c r="O243" s="158" t="s">
        <v>204</v>
      </c>
      <c r="P243" s="92"/>
      <c r="Q243" s="146" t="s">
        <v>204</v>
      </c>
      <c r="R243" s="92"/>
      <c r="S243" s="146" t="s">
        <v>204</v>
      </c>
      <c r="T243" s="92"/>
      <c r="U243" s="146" t="s">
        <v>204</v>
      </c>
      <c r="V243" s="92"/>
      <c r="W243" s="146" t="s">
        <v>204</v>
      </c>
      <c r="X243" s="92"/>
      <c r="Y243" s="146" t="s">
        <v>61</v>
      </c>
      <c r="Z243" s="92"/>
      <c r="AA243" s="146" t="s">
        <v>204</v>
      </c>
      <c r="AB243" s="92"/>
      <c r="AC243" s="146" t="s">
        <v>204</v>
      </c>
      <c r="AD243" s="92"/>
      <c r="AE243" s="146" t="s">
        <v>204</v>
      </c>
      <c r="AF243" s="187" t="str">
        <f t="shared" si="16"/>
        <v>C</v>
      </c>
      <c r="AG243" s="54" t="str">
        <f t="shared" si="18"/>
        <v>UTILIZOU O PDA CORRETAMENTE</v>
      </c>
      <c r="AH243" s="144" t="s">
        <v>204</v>
      </c>
      <c r="AI243" s="210" t="s">
        <v>6</v>
      </c>
      <c r="AJ243" s="97" t="str">
        <f t="shared" si="17"/>
        <v>GUARULHOS</v>
      </c>
      <c r="AK243" s="213" t="s">
        <v>39</v>
      </c>
      <c r="AL243" s="53">
        <v>2.9686228951945171E-2</v>
      </c>
      <c r="AM243" s="53" t="str" cm="1">
        <f t="array" ref="AM243">IF(OR(O243&lt;&gt;"", SUMPRODUCT(($AN$2:$AN$5000=AN243)*($AL$2:$AL$5000&lt;=AL243)) &lt;= (COUNTIF($AN$2:$AN$5000,AN243)*0.5)), "SORTEADO", "-")</f>
        <v>SORTEADO</v>
      </c>
      <c r="AN243" s="232" t="s">
        <v>726</v>
      </c>
    </row>
    <row r="244" spans="1:40" ht="30" hidden="1" customHeight="1" x14ac:dyDescent="0.2">
      <c r="A244" s="231" t="s">
        <v>197</v>
      </c>
      <c r="B244" s="231">
        <v>2615106896</v>
      </c>
      <c r="C244" s="231" t="s">
        <v>102</v>
      </c>
      <c r="D244" s="231" t="s">
        <v>80</v>
      </c>
      <c r="E244" s="231" t="s">
        <v>198</v>
      </c>
      <c r="F244" s="231" t="s">
        <v>771</v>
      </c>
      <c r="G244" s="231">
        <v>564</v>
      </c>
      <c r="H244" s="231"/>
      <c r="I244" s="231" t="s">
        <v>772</v>
      </c>
      <c r="J244" s="231" t="s">
        <v>270</v>
      </c>
      <c r="K244" s="231" t="s">
        <v>773</v>
      </c>
      <c r="L244" s="232" t="s">
        <v>726</v>
      </c>
      <c r="M244" s="232">
        <v>46269.666666666664</v>
      </c>
      <c r="N244" s="231" t="s">
        <v>250</v>
      </c>
      <c r="O244" s="158"/>
      <c r="P244" s="92"/>
      <c r="Q244" s="146"/>
      <c r="R244" s="92"/>
      <c r="S244" s="146"/>
      <c r="T244" s="92"/>
      <c r="U244" s="146"/>
      <c r="V244" s="92"/>
      <c r="W244" s="146"/>
      <c r="X244" s="92"/>
      <c r="Y244" s="146"/>
      <c r="Z244" s="92"/>
      <c r="AA244" s="146"/>
      <c r="AB244" s="92"/>
      <c r="AC244" s="146"/>
      <c r="AD244" s="92"/>
      <c r="AE244" s="146"/>
      <c r="AF244" s="187" t="str">
        <f t="shared" si="16"/>
        <v/>
      </c>
      <c r="AG244" s="54" t="b">
        <f t="shared" si="18"/>
        <v>0</v>
      </c>
      <c r="AH244" s="146"/>
      <c r="AI244" s="210" t="s">
        <v>6</v>
      </c>
      <c r="AJ244" s="97" t="str">
        <f t="shared" si="17"/>
        <v>GUARULHOS</v>
      </c>
      <c r="AK244" s="213" t="s">
        <v>39</v>
      </c>
      <c r="AL244" s="53">
        <v>0.57863444128042807</v>
      </c>
      <c r="AM244" s="53" t="str" cm="1">
        <f t="array" ref="AM244">IF(OR(O244&lt;&gt;"", SUMPRODUCT(($AN$2:$AN$5000=AN244)*($AL$2:$AL$5000&lt;=AL244)) &lt;= (COUNTIF($AN$2:$AN$5000,AN244)*0.5)), "SORTEADO", "-")</f>
        <v>-</v>
      </c>
      <c r="AN244" s="232" t="s">
        <v>726</v>
      </c>
    </row>
    <row r="245" spans="1:40" ht="30" customHeight="1" x14ac:dyDescent="0.2">
      <c r="A245" s="231" t="s">
        <v>197</v>
      </c>
      <c r="B245" s="231">
        <v>2614848982</v>
      </c>
      <c r="C245" s="231" t="s">
        <v>93</v>
      </c>
      <c r="D245" s="231" t="s">
        <v>76</v>
      </c>
      <c r="E245" s="231" t="s">
        <v>198</v>
      </c>
      <c r="F245" s="231" t="s">
        <v>774</v>
      </c>
      <c r="G245" s="231">
        <v>237</v>
      </c>
      <c r="H245" s="231" t="s">
        <v>206</v>
      </c>
      <c r="I245" s="231" t="s">
        <v>775</v>
      </c>
      <c r="J245" s="231" t="s">
        <v>93</v>
      </c>
      <c r="K245" s="231" t="s">
        <v>776</v>
      </c>
      <c r="L245" s="232" t="s">
        <v>726</v>
      </c>
      <c r="M245" s="232">
        <v>46269.625</v>
      </c>
      <c r="N245" s="231" t="s">
        <v>203</v>
      </c>
      <c r="O245" s="158" t="s">
        <v>204</v>
      </c>
      <c r="P245" s="92"/>
      <c r="Q245" s="146" t="s">
        <v>61</v>
      </c>
      <c r="R245" s="92"/>
      <c r="S245" s="146" t="s">
        <v>61</v>
      </c>
      <c r="T245" s="92"/>
      <c r="U245" s="146" t="s">
        <v>61</v>
      </c>
      <c r="V245" s="92"/>
      <c r="W245" s="146" t="s">
        <v>61</v>
      </c>
      <c r="X245" s="92"/>
      <c r="Y245" s="146" t="s">
        <v>61</v>
      </c>
      <c r="Z245" s="92"/>
      <c r="AA245" s="146" t="s">
        <v>61</v>
      </c>
      <c r="AB245" s="92"/>
      <c r="AC245" s="146" t="s">
        <v>210</v>
      </c>
      <c r="AD245" s="92" t="s">
        <v>604</v>
      </c>
      <c r="AE245" s="146" t="s">
        <v>204</v>
      </c>
      <c r="AF245" s="187" t="str">
        <f t="shared" si="16"/>
        <v>NC</v>
      </c>
      <c r="AG245" s="54" t="str">
        <f t="shared" si="18"/>
        <v>UTILIZOU O PDA CORRETAMENTE. NÃO HÁ FOTOS DE TODAS AS ETAPAS</v>
      </c>
      <c r="AH245" s="146" t="s">
        <v>204</v>
      </c>
      <c r="AI245" s="210" t="s">
        <v>6</v>
      </c>
      <c r="AJ245" s="97" t="str">
        <f t="shared" si="17"/>
        <v>GUARULHOS</v>
      </c>
      <c r="AK245" s="213" t="s">
        <v>39</v>
      </c>
      <c r="AL245" s="53">
        <v>-4.8800000000000003E-2</v>
      </c>
      <c r="AM245" s="53" t="str" cm="1">
        <f t="array" ref="AM245">IF(OR(O245&lt;&gt;"", SUMPRODUCT(($AN$2:$AN$5000=AN245)*($AL$2:$AL$5000&lt;=AL245)) &lt;= (COUNTIF($AN$2:$AN$5000,AN245)*0.5)), "SORTEADO", "-")</f>
        <v>SORTEADO</v>
      </c>
      <c r="AN245" s="232" t="s">
        <v>726</v>
      </c>
    </row>
    <row r="246" spans="1:40" ht="30" customHeight="1" x14ac:dyDescent="0.2">
      <c r="A246" s="231" t="s">
        <v>197</v>
      </c>
      <c r="B246" s="231">
        <v>2614848996</v>
      </c>
      <c r="C246" s="231" t="s">
        <v>95</v>
      </c>
      <c r="D246" s="231" t="s">
        <v>76</v>
      </c>
      <c r="E246" s="231" t="s">
        <v>198</v>
      </c>
      <c r="F246" s="231" t="s">
        <v>774</v>
      </c>
      <c r="G246" s="231">
        <v>237</v>
      </c>
      <c r="H246" s="231" t="s">
        <v>211</v>
      </c>
      <c r="I246" s="231" t="s">
        <v>775</v>
      </c>
      <c r="J246" s="231" t="s">
        <v>95</v>
      </c>
      <c r="K246" s="231" t="s">
        <v>777</v>
      </c>
      <c r="L246" s="232" t="s">
        <v>726</v>
      </c>
      <c r="M246" s="232">
        <v>46269.628472222219</v>
      </c>
      <c r="N246" s="231" t="s">
        <v>203</v>
      </c>
      <c r="O246" s="158" t="s">
        <v>204</v>
      </c>
      <c r="P246" s="92"/>
      <c r="Q246" s="146" t="s">
        <v>61</v>
      </c>
      <c r="R246" s="92"/>
      <c r="S246" s="146" t="s">
        <v>61</v>
      </c>
      <c r="T246" s="92"/>
      <c r="U246" s="146" t="s">
        <v>61</v>
      </c>
      <c r="V246" s="92"/>
      <c r="W246" s="146" t="s">
        <v>61</v>
      </c>
      <c r="X246" s="92"/>
      <c r="Y246" s="146" t="s">
        <v>61</v>
      </c>
      <c r="Z246" s="92"/>
      <c r="AA246" s="146" t="s">
        <v>61</v>
      </c>
      <c r="AB246" s="92"/>
      <c r="AC246" s="146" t="s">
        <v>204</v>
      </c>
      <c r="AD246" s="92"/>
      <c r="AE246" s="146" t="s">
        <v>204</v>
      </c>
      <c r="AF246" s="187" t="str">
        <f t="shared" si="16"/>
        <v>C</v>
      </c>
      <c r="AG246" s="54" t="str">
        <f t="shared" si="18"/>
        <v>UTILIZOU O PDA CORRETAMENTE</v>
      </c>
      <c r="AH246" s="146" t="s">
        <v>204</v>
      </c>
      <c r="AI246" s="210" t="s">
        <v>6</v>
      </c>
      <c r="AJ246" s="97" t="str">
        <f t="shared" si="17"/>
        <v>GUARULHOS</v>
      </c>
      <c r="AK246" s="213" t="s">
        <v>39</v>
      </c>
      <c r="AL246" s="53">
        <v>-4.9000000000000002E-2</v>
      </c>
      <c r="AM246" s="53" t="str" cm="1">
        <f t="array" ref="AM246">IF(OR(O246&lt;&gt;"", SUMPRODUCT(($AN$2:$AN$5000=AN246)*($AL$2:$AL$5000&lt;=AL246)) &lt;= (COUNTIF($AN$2:$AN$5000,AN246)*0.5)), "SORTEADO", "-")</f>
        <v>SORTEADO</v>
      </c>
      <c r="AN246" s="232" t="s">
        <v>726</v>
      </c>
    </row>
    <row r="247" spans="1:40" ht="30" hidden="1" customHeight="1" x14ac:dyDescent="0.2">
      <c r="A247" s="231" t="s">
        <v>197</v>
      </c>
      <c r="B247" s="231">
        <v>2690111766</v>
      </c>
      <c r="C247" s="231" t="s">
        <v>102</v>
      </c>
      <c r="D247" s="231" t="s">
        <v>80</v>
      </c>
      <c r="E247" s="231" t="s">
        <v>198</v>
      </c>
      <c r="F247" s="231" t="s">
        <v>778</v>
      </c>
      <c r="G247" s="231">
        <v>45</v>
      </c>
      <c r="H247" s="231" t="s">
        <v>779</v>
      </c>
      <c r="I247" s="231" t="s">
        <v>214</v>
      </c>
      <c r="J247" s="231" t="s">
        <v>270</v>
      </c>
      <c r="K247" s="231" t="s">
        <v>780</v>
      </c>
      <c r="L247" s="232" t="s">
        <v>726</v>
      </c>
      <c r="M247" s="232">
        <v>46269.75</v>
      </c>
      <c r="N247" s="231" t="s">
        <v>303</v>
      </c>
      <c r="O247" s="158"/>
      <c r="P247" s="92"/>
      <c r="Q247" s="146"/>
      <c r="R247" s="92"/>
      <c r="S247" s="146"/>
      <c r="T247" s="92"/>
      <c r="U247" s="146"/>
      <c r="V247" s="92"/>
      <c r="W247" s="146"/>
      <c r="X247" s="92"/>
      <c r="Y247" s="146"/>
      <c r="Z247" s="92"/>
      <c r="AA247" s="146"/>
      <c r="AB247" s="92"/>
      <c r="AC247" s="146"/>
      <c r="AD247" s="92"/>
      <c r="AE247" s="146"/>
      <c r="AF247" s="187" t="str">
        <f t="shared" si="16"/>
        <v/>
      </c>
      <c r="AG247" s="54" t="b">
        <f t="shared" si="18"/>
        <v>0</v>
      </c>
      <c r="AH247" s="146"/>
      <c r="AI247" s="210" t="s">
        <v>6</v>
      </c>
      <c r="AJ247" s="97" t="str">
        <f t="shared" si="17"/>
        <v>GUARULHOS</v>
      </c>
      <c r="AK247" s="213" t="s">
        <v>39</v>
      </c>
      <c r="AL247" s="53">
        <v>0.48596336863039391</v>
      </c>
      <c r="AM247" s="53" t="str" cm="1">
        <f t="array" ref="AM247">IF(OR(O247&lt;&gt;"", SUMPRODUCT(($AN$2:$AN$5000=AN247)*($AL$2:$AL$5000&lt;=AL247)) &lt;= (COUNTIF($AN$2:$AN$5000,AN247)*0.5)), "SORTEADO", "-")</f>
        <v>-</v>
      </c>
      <c r="AN247" s="232" t="s">
        <v>726</v>
      </c>
    </row>
    <row r="248" spans="1:40" ht="30" hidden="1" customHeight="1" x14ac:dyDescent="0.2">
      <c r="A248" s="231" t="s">
        <v>197</v>
      </c>
      <c r="B248" s="231">
        <v>2614824560</v>
      </c>
      <c r="C248" s="231" t="s">
        <v>98</v>
      </c>
      <c r="D248" s="231" t="s">
        <v>80</v>
      </c>
      <c r="E248" s="231" t="s">
        <v>198</v>
      </c>
      <c r="F248" s="231" t="s">
        <v>781</v>
      </c>
      <c r="G248" s="231">
        <v>133</v>
      </c>
      <c r="H248" s="231"/>
      <c r="I248" s="231" t="s">
        <v>262</v>
      </c>
      <c r="J248" s="231" t="s">
        <v>297</v>
      </c>
      <c r="K248" s="231"/>
      <c r="L248" s="232" t="s">
        <v>726</v>
      </c>
      <c r="M248" s="232">
        <v>46269.569444444445</v>
      </c>
      <c r="N248" s="231" t="s">
        <v>287</v>
      </c>
      <c r="O248" s="158"/>
      <c r="P248" s="92"/>
      <c r="Q248" s="146"/>
      <c r="R248" s="92"/>
      <c r="S248" s="146"/>
      <c r="T248" s="92"/>
      <c r="U248" s="146"/>
      <c r="V248" s="92"/>
      <c r="W248" s="146"/>
      <c r="X248" s="92"/>
      <c r="Y248" s="146"/>
      <c r="Z248" s="92"/>
      <c r="AA248" s="146"/>
      <c r="AB248" s="92"/>
      <c r="AC248" s="146"/>
      <c r="AD248" s="92"/>
      <c r="AE248" s="146"/>
      <c r="AF248" s="187" t="str">
        <f t="shared" si="16"/>
        <v/>
      </c>
      <c r="AG248" s="54" t="b">
        <f t="shared" si="18"/>
        <v>0</v>
      </c>
      <c r="AH248" s="146"/>
      <c r="AI248" s="210" t="s">
        <v>6</v>
      </c>
      <c r="AJ248" s="97" t="str">
        <f t="shared" si="17"/>
        <v>GUARULHOS</v>
      </c>
      <c r="AK248" s="213" t="s">
        <v>39</v>
      </c>
      <c r="AL248" s="53">
        <v>0.63941295038790524</v>
      </c>
      <c r="AM248" s="53" t="str" cm="1">
        <f t="array" ref="AM248">IF(OR(O248&lt;&gt;"", SUMPRODUCT(($AN$2:$AN$5000=AN248)*($AL$2:$AL$5000&lt;=AL248)) &lt;= (COUNTIF($AN$2:$AN$5000,AN248)*0.5)), "SORTEADO", "-")</f>
        <v>-</v>
      </c>
      <c r="AN248" s="232" t="s">
        <v>726</v>
      </c>
    </row>
    <row r="249" spans="1:40" ht="30" hidden="1" customHeight="1" x14ac:dyDescent="0.2">
      <c r="A249" s="231" t="s">
        <v>197</v>
      </c>
      <c r="B249" s="231">
        <v>2615161524</v>
      </c>
      <c r="C249" s="231" t="s">
        <v>105</v>
      </c>
      <c r="D249" s="231" t="s">
        <v>80</v>
      </c>
      <c r="E249" s="231" t="s">
        <v>198</v>
      </c>
      <c r="F249" s="231" t="s">
        <v>567</v>
      </c>
      <c r="G249" s="231">
        <v>582</v>
      </c>
      <c r="H249" s="231" t="s">
        <v>782</v>
      </c>
      <c r="I249" s="231" t="s">
        <v>281</v>
      </c>
      <c r="J249" s="231" t="s">
        <v>226</v>
      </c>
      <c r="K249" s="231" t="s">
        <v>783</v>
      </c>
      <c r="L249" s="232" t="s">
        <v>726</v>
      </c>
      <c r="M249" s="232">
        <v>46269.760416666664</v>
      </c>
      <c r="N249" s="231" t="s">
        <v>615</v>
      </c>
      <c r="O249" s="158"/>
      <c r="P249" s="92"/>
      <c r="Q249" s="146"/>
      <c r="R249" s="92"/>
      <c r="S249" s="146"/>
      <c r="T249" s="92"/>
      <c r="U249" s="146"/>
      <c r="V249" s="92"/>
      <c r="W249" s="146"/>
      <c r="X249" s="92"/>
      <c r="Y249" s="146"/>
      <c r="Z249" s="92"/>
      <c r="AA249" s="146"/>
      <c r="AB249" s="92"/>
      <c r="AC249" s="146"/>
      <c r="AD249" s="92"/>
      <c r="AE249" s="146"/>
      <c r="AF249" s="187" t="str">
        <f t="shared" si="16"/>
        <v/>
      </c>
      <c r="AG249" s="54" t="b">
        <f t="shared" si="18"/>
        <v>0</v>
      </c>
      <c r="AH249" s="146"/>
      <c r="AI249" s="210" t="s">
        <v>6</v>
      </c>
      <c r="AJ249" s="97" t="str">
        <f t="shared" si="17"/>
        <v>GUARULHOS</v>
      </c>
      <c r="AK249" s="213" t="s">
        <v>39</v>
      </c>
      <c r="AL249" s="53">
        <v>0.88174170827193155</v>
      </c>
      <c r="AM249" s="53" t="str" cm="1">
        <f t="array" ref="AM249">IF(OR(O249&lt;&gt;"", SUMPRODUCT(($AN$2:$AN$5000=AN249)*($AL$2:$AL$5000&lt;=AL249)) &lt;= (COUNTIF($AN$2:$AN$5000,AN249)*0.5)), "SORTEADO", "-")</f>
        <v>-</v>
      </c>
      <c r="AN249" s="232" t="s">
        <v>726</v>
      </c>
    </row>
    <row r="250" spans="1:40" ht="30" customHeight="1" x14ac:dyDescent="0.2">
      <c r="A250" s="231" t="s">
        <v>197</v>
      </c>
      <c r="B250" s="231">
        <v>2615091032</v>
      </c>
      <c r="C250" s="231" t="s">
        <v>98</v>
      </c>
      <c r="D250" s="231" t="s">
        <v>80</v>
      </c>
      <c r="E250" s="231" t="s">
        <v>198</v>
      </c>
      <c r="F250" s="231" t="s">
        <v>784</v>
      </c>
      <c r="G250" s="231">
        <v>120</v>
      </c>
      <c r="H250" s="231" t="s">
        <v>785</v>
      </c>
      <c r="I250" s="231" t="s">
        <v>368</v>
      </c>
      <c r="J250" s="231" t="s">
        <v>297</v>
      </c>
      <c r="K250" s="231"/>
      <c r="L250" s="232" t="s">
        <v>726</v>
      </c>
      <c r="M250" s="232">
        <v>46269.697222222225</v>
      </c>
      <c r="N250" s="231" t="s">
        <v>263</v>
      </c>
      <c r="O250" s="157" t="s">
        <v>204</v>
      </c>
      <c r="P250" s="143"/>
      <c r="Q250" s="144" t="s">
        <v>204</v>
      </c>
      <c r="R250" s="143"/>
      <c r="S250" s="144" t="s">
        <v>204</v>
      </c>
      <c r="T250" s="143"/>
      <c r="U250" s="144" t="s">
        <v>204</v>
      </c>
      <c r="V250" s="143"/>
      <c r="W250" s="144" t="s">
        <v>204</v>
      </c>
      <c r="X250" s="143"/>
      <c r="Y250" s="144" t="s">
        <v>204</v>
      </c>
      <c r="Z250" s="143"/>
      <c r="AA250" s="144" t="s">
        <v>204</v>
      </c>
      <c r="AB250" s="143"/>
      <c r="AC250" s="144" t="s">
        <v>204</v>
      </c>
      <c r="AD250" s="56"/>
      <c r="AE250" s="144" t="s">
        <v>204</v>
      </c>
      <c r="AF250" s="187" t="str">
        <f t="shared" si="16"/>
        <v>C</v>
      </c>
      <c r="AG250" s="54" t="str">
        <f t="shared" si="18"/>
        <v>UTILIZOU O PDA CORRETAMENTE</v>
      </c>
      <c r="AH250" s="144" t="s">
        <v>204</v>
      </c>
      <c r="AI250" s="210" t="s">
        <v>6</v>
      </c>
      <c r="AJ250" s="97" t="str">
        <f t="shared" si="17"/>
        <v>GUARULHOS</v>
      </c>
      <c r="AK250" s="213" t="s">
        <v>39</v>
      </c>
      <c r="AL250" s="53">
        <v>0.27686369765971985</v>
      </c>
      <c r="AM250" s="53" t="str" cm="1">
        <f t="array" ref="AM250">IF(OR(O250&lt;&gt;"", SUMPRODUCT(($AN$2:$AN$5000=AN250)*($AL$2:$AL$5000&lt;=AL250)) &lt;= (COUNTIF($AN$2:$AN$5000,AN250)*0.5)), "SORTEADO", "-")</f>
        <v>SORTEADO</v>
      </c>
      <c r="AN250" s="232" t="s">
        <v>726</v>
      </c>
    </row>
    <row r="251" spans="1:40" ht="30" hidden="1" customHeight="1" x14ac:dyDescent="0.2">
      <c r="A251" s="231" t="s">
        <v>197</v>
      </c>
      <c r="B251" s="231">
        <v>2689994626</v>
      </c>
      <c r="C251" s="231" t="s">
        <v>98</v>
      </c>
      <c r="D251" s="231" t="s">
        <v>80</v>
      </c>
      <c r="E251" s="231" t="s">
        <v>198</v>
      </c>
      <c r="F251" s="231" t="s">
        <v>786</v>
      </c>
      <c r="G251" s="231">
        <v>286</v>
      </c>
      <c r="H251" s="231" t="s">
        <v>213</v>
      </c>
      <c r="I251" s="231" t="s">
        <v>787</v>
      </c>
      <c r="J251" s="231" t="s">
        <v>297</v>
      </c>
      <c r="K251" s="231" t="s">
        <v>788</v>
      </c>
      <c r="L251" s="232" t="s">
        <v>726</v>
      </c>
      <c r="M251" s="232">
        <v>46269.72152777778</v>
      </c>
      <c r="N251" s="231" t="s">
        <v>271</v>
      </c>
      <c r="O251" s="158"/>
      <c r="P251" s="92"/>
      <c r="Q251" s="146"/>
      <c r="R251" s="92"/>
      <c r="S251" s="146"/>
      <c r="T251" s="92"/>
      <c r="U251" s="146"/>
      <c r="V251" s="92"/>
      <c r="W251" s="146"/>
      <c r="X251" s="92"/>
      <c r="Y251" s="146"/>
      <c r="Z251" s="92"/>
      <c r="AA251" s="146"/>
      <c r="AB251" s="92"/>
      <c r="AC251" s="146"/>
      <c r="AD251" s="92"/>
      <c r="AE251" s="146"/>
      <c r="AF251" s="187" t="str">
        <f t="shared" si="16"/>
        <v/>
      </c>
      <c r="AG251" s="54" t="b">
        <f t="shared" si="18"/>
        <v>0</v>
      </c>
      <c r="AH251" s="146"/>
      <c r="AI251" s="210" t="s">
        <v>6</v>
      </c>
      <c r="AJ251" s="97" t="str">
        <f t="shared" si="17"/>
        <v>GUARULHOS</v>
      </c>
      <c r="AK251" s="213" t="s">
        <v>39</v>
      </c>
      <c r="AL251" s="53">
        <v>0.93997100743091455</v>
      </c>
      <c r="AM251" s="53" t="str" cm="1">
        <f t="array" ref="AM251">IF(OR(O251&lt;&gt;"", SUMPRODUCT(($AN$2:$AN$5000=AN251)*($AL$2:$AL$5000&lt;=AL251)) &lt;= (COUNTIF($AN$2:$AN$5000,AN251)*0.5)), "SORTEADO", "-")</f>
        <v>-</v>
      </c>
      <c r="AN251" s="232" t="s">
        <v>726</v>
      </c>
    </row>
    <row r="252" spans="1:40" ht="30" hidden="1" customHeight="1" x14ac:dyDescent="0.2">
      <c r="A252" s="231" t="s">
        <v>197</v>
      </c>
      <c r="B252" s="231">
        <v>2615074858</v>
      </c>
      <c r="C252" s="231" t="s">
        <v>104</v>
      </c>
      <c r="D252" s="231" t="s">
        <v>80</v>
      </c>
      <c r="E252" s="231" t="s">
        <v>198</v>
      </c>
      <c r="F252" s="231" t="s">
        <v>789</v>
      </c>
      <c r="G252" s="231">
        <v>28</v>
      </c>
      <c r="H252" s="231" t="s">
        <v>790</v>
      </c>
      <c r="I252" s="231" t="s">
        <v>791</v>
      </c>
      <c r="J252" s="231" t="s">
        <v>278</v>
      </c>
      <c r="K252" s="231" t="s">
        <v>792</v>
      </c>
      <c r="L252" s="232" t="s">
        <v>793</v>
      </c>
      <c r="M252" s="232">
        <v>46299.365972222222</v>
      </c>
      <c r="N252" s="231" t="s">
        <v>237</v>
      </c>
      <c r="O252" s="158"/>
      <c r="P252" s="92"/>
      <c r="Q252" s="146"/>
      <c r="R252" s="92"/>
      <c r="S252" s="146"/>
      <c r="T252" s="92"/>
      <c r="U252" s="146"/>
      <c r="V252" s="92"/>
      <c r="W252" s="146"/>
      <c r="X252" s="92"/>
      <c r="Y252" s="146"/>
      <c r="Z252" s="92"/>
      <c r="AA252" s="146"/>
      <c r="AB252" s="92"/>
      <c r="AC252" s="146"/>
      <c r="AD252" s="92"/>
      <c r="AE252" s="146"/>
      <c r="AF252" s="187" t="str">
        <f t="shared" si="16"/>
        <v/>
      </c>
      <c r="AG252" s="54" t="b">
        <f t="shared" si="18"/>
        <v>0</v>
      </c>
      <c r="AH252" s="146"/>
      <c r="AI252" s="210" t="s">
        <v>6</v>
      </c>
      <c r="AJ252" s="97" t="str">
        <f t="shared" si="17"/>
        <v>GUARULHOS</v>
      </c>
      <c r="AK252" s="213" t="s">
        <v>39</v>
      </c>
      <c r="AL252" s="53">
        <v>0.66088827400671224</v>
      </c>
      <c r="AM252" s="53" t="str" cm="1">
        <f t="array" ref="AM252">IF(OR(O252&lt;&gt;"", SUMPRODUCT(($AN$2:$AN$5000=AN252)*($AL$2:$AL$5000&lt;=AL252)) &lt;= (COUNTIF($AN$2:$AN$5000,AN252)*0.5)), "SORTEADO", "-")</f>
        <v>-</v>
      </c>
      <c r="AN252" s="232" t="s">
        <v>793</v>
      </c>
    </row>
    <row r="253" spans="1:40" ht="30" customHeight="1" x14ac:dyDescent="0.2">
      <c r="A253" s="231" t="s">
        <v>197</v>
      </c>
      <c r="B253" s="231">
        <v>2615104512</v>
      </c>
      <c r="C253" s="231" t="s">
        <v>105</v>
      </c>
      <c r="D253" s="231" t="s">
        <v>80</v>
      </c>
      <c r="E253" s="231" t="s">
        <v>198</v>
      </c>
      <c r="F253" s="231" t="s">
        <v>794</v>
      </c>
      <c r="G253" s="231">
        <v>768</v>
      </c>
      <c r="H253" s="231" t="s">
        <v>213</v>
      </c>
      <c r="I253" s="231" t="s">
        <v>795</v>
      </c>
      <c r="J253" s="231" t="s">
        <v>278</v>
      </c>
      <c r="K253" s="231" t="s">
        <v>213</v>
      </c>
      <c r="L253" s="232" t="s">
        <v>793</v>
      </c>
      <c r="M253" s="232">
        <v>46299.474305555559</v>
      </c>
      <c r="N253" s="231" t="s">
        <v>237</v>
      </c>
      <c r="O253" s="158" t="s">
        <v>204</v>
      </c>
      <c r="P253" s="92"/>
      <c r="Q253" s="146" t="s">
        <v>204</v>
      </c>
      <c r="R253" s="92"/>
      <c r="S253" s="146" t="s">
        <v>204</v>
      </c>
      <c r="T253" s="92"/>
      <c r="U253" s="146" t="s">
        <v>204</v>
      </c>
      <c r="V253" s="92"/>
      <c r="W253" s="146" t="s">
        <v>204</v>
      </c>
      <c r="X253" s="92"/>
      <c r="Y253" s="146" t="s">
        <v>61</v>
      </c>
      <c r="Z253" s="92"/>
      <c r="AA253" s="146" t="s">
        <v>204</v>
      </c>
      <c r="AB253" s="92"/>
      <c r="AC253" s="146" t="s">
        <v>204</v>
      </c>
      <c r="AD253" s="92"/>
      <c r="AE253" s="146" t="s">
        <v>204</v>
      </c>
      <c r="AF253" s="187" t="str">
        <f t="shared" si="16"/>
        <v>C</v>
      </c>
      <c r="AG253" s="54" t="str">
        <f t="shared" si="18"/>
        <v>UTILIZOU O PDA CORRETAMENTE</v>
      </c>
      <c r="AH253" s="144" t="s">
        <v>204</v>
      </c>
      <c r="AI253" s="210" t="s">
        <v>6</v>
      </c>
      <c r="AJ253" s="97" t="str">
        <f t="shared" si="17"/>
        <v>GUARULHOS</v>
      </c>
      <c r="AK253" s="213" t="s">
        <v>39</v>
      </c>
      <c r="AL253" s="53">
        <v>6.4847477620855631E-2</v>
      </c>
      <c r="AM253" s="53" t="str" cm="1">
        <f t="array" ref="AM253">IF(OR(O253&lt;&gt;"", SUMPRODUCT(($AN$2:$AN$5000=AN253)*($AL$2:$AL$5000&lt;=AL253)) &lt;= (COUNTIF($AN$2:$AN$5000,AN253)*0.5)), "SORTEADO", "-")</f>
        <v>SORTEADO</v>
      </c>
      <c r="AN253" s="232" t="s">
        <v>793</v>
      </c>
    </row>
    <row r="254" spans="1:40" ht="30" customHeight="1" x14ac:dyDescent="0.2">
      <c r="A254" s="231" t="s">
        <v>197</v>
      </c>
      <c r="B254" s="231">
        <v>2614844644</v>
      </c>
      <c r="C254" s="231" t="s">
        <v>85</v>
      </c>
      <c r="D254" s="231" t="s">
        <v>76</v>
      </c>
      <c r="E254" s="231" t="s">
        <v>198</v>
      </c>
      <c r="F254" s="231" t="s">
        <v>796</v>
      </c>
      <c r="G254" s="231">
        <v>136</v>
      </c>
      <c r="H254" s="231"/>
      <c r="I254" s="231" t="s">
        <v>797</v>
      </c>
      <c r="J254" s="231" t="s">
        <v>85</v>
      </c>
      <c r="K254" s="231" t="s">
        <v>681</v>
      </c>
      <c r="L254" s="232" t="s">
        <v>793</v>
      </c>
      <c r="M254" s="232">
        <v>46299.616666666669</v>
      </c>
      <c r="N254" s="231" t="s">
        <v>215</v>
      </c>
      <c r="O254" s="158" t="s">
        <v>204</v>
      </c>
      <c r="P254" s="92"/>
      <c r="Q254" s="146" t="s">
        <v>204</v>
      </c>
      <c r="R254" s="92"/>
      <c r="S254" s="146" t="s">
        <v>204</v>
      </c>
      <c r="T254" s="92"/>
      <c r="U254" s="146" t="s">
        <v>204</v>
      </c>
      <c r="V254" s="92"/>
      <c r="W254" s="146" t="s">
        <v>204</v>
      </c>
      <c r="X254" s="92"/>
      <c r="Y254" s="146" t="s">
        <v>61</v>
      </c>
      <c r="Z254" s="92"/>
      <c r="AA254" s="146" t="s">
        <v>204</v>
      </c>
      <c r="AB254" s="92"/>
      <c r="AC254" s="146" t="s">
        <v>204</v>
      </c>
      <c r="AD254" s="92"/>
      <c r="AE254" s="146" t="s">
        <v>204</v>
      </c>
      <c r="AF254" s="187" t="str">
        <f t="shared" si="16"/>
        <v>C</v>
      </c>
      <c r="AG254" s="54" t="str">
        <f t="shared" si="18"/>
        <v>UTILIZOU O PDA CORRETAMENTE</v>
      </c>
      <c r="AH254" s="146" t="s">
        <v>204</v>
      </c>
      <c r="AI254" s="210" t="s">
        <v>6</v>
      </c>
      <c r="AJ254" s="97" t="str">
        <f t="shared" si="17"/>
        <v>GUARULHOS</v>
      </c>
      <c r="AK254" s="213" t="s">
        <v>39</v>
      </c>
      <c r="AL254" s="53">
        <v>-5.0599999999999999E-2</v>
      </c>
      <c r="AM254" s="53" t="str" cm="1">
        <f t="array" ref="AM254">IF(OR(O254&lt;&gt;"", SUMPRODUCT(($AN$2:$AN$5000=AN254)*($AL$2:$AL$5000&lt;=AL254)) &lt;= (COUNTIF($AN$2:$AN$5000,AN254)*0.5)), "SORTEADO", "-")</f>
        <v>SORTEADO</v>
      </c>
      <c r="AN254" s="232" t="s">
        <v>793</v>
      </c>
    </row>
    <row r="255" spans="1:40" ht="30" customHeight="1" x14ac:dyDescent="0.2">
      <c r="A255" s="231" t="s">
        <v>197</v>
      </c>
      <c r="B255" s="231">
        <v>2614501281</v>
      </c>
      <c r="C255" s="231" t="s">
        <v>85</v>
      </c>
      <c r="D255" s="231" t="s">
        <v>76</v>
      </c>
      <c r="E255" s="231" t="s">
        <v>198</v>
      </c>
      <c r="F255" s="231" t="s">
        <v>798</v>
      </c>
      <c r="G255" s="231">
        <v>238</v>
      </c>
      <c r="H255" s="231" t="s">
        <v>213</v>
      </c>
      <c r="I255" s="231" t="s">
        <v>368</v>
      </c>
      <c r="J255" s="231" t="s">
        <v>85</v>
      </c>
      <c r="K255" s="231" t="s">
        <v>799</v>
      </c>
      <c r="L255" s="232" t="s">
        <v>793</v>
      </c>
      <c r="M255" s="232">
        <v>46299.56527777778</v>
      </c>
      <c r="N255" s="231" t="s">
        <v>408</v>
      </c>
      <c r="O255" s="158" t="s">
        <v>204</v>
      </c>
      <c r="P255" s="92"/>
      <c r="Q255" s="146" t="s">
        <v>204</v>
      </c>
      <c r="R255" s="92"/>
      <c r="S255" s="146" t="s">
        <v>204</v>
      </c>
      <c r="T255" s="92"/>
      <c r="U255" s="146" t="s">
        <v>204</v>
      </c>
      <c r="V255" s="92"/>
      <c r="W255" s="146" t="s">
        <v>204</v>
      </c>
      <c r="X255" s="92"/>
      <c r="Y255" s="146" t="s">
        <v>204</v>
      </c>
      <c r="Z255" s="92"/>
      <c r="AA255" s="146" t="s">
        <v>204</v>
      </c>
      <c r="AB255" s="92"/>
      <c r="AC255" s="146" t="s">
        <v>204</v>
      </c>
      <c r="AD255" s="92"/>
      <c r="AE255" s="146" t="s">
        <v>204</v>
      </c>
      <c r="AF255" s="187" t="str">
        <f t="shared" si="16"/>
        <v>C</v>
      </c>
      <c r="AG255" s="54" t="str">
        <f t="shared" si="18"/>
        <v>UTILIZOU O PDA CORRETAMENTE</v>
      </c>
      <c r="AH255" s="146" t="s">
        <v>204</v>
      </c>
      <c r="AI255" s="210" t="s">
        <v>6</v>
      </c>
      <c r="AJ255" s="97" t="str">
        <f t="shared" si="17"/>
        <v>GUARULHOS</v>
      </c>
      <c r="AK255" s="213" t="s">
        <v>39</v>
      </c>
      <c r="AL255" s="53">
        <v>-5.0799999999999998E-2</v>
      </c>
      <c r="AM255" s="53" t="str" cm="1">
        <f t="array" ref="AM255">IF(OR(O255&lt;&gt;"", SUMPRODUCT(($AN$2:$AN$5000=AN255)*($AL$2:$AL$5000&lt;=AL255)) &lt;= (COUNTIF($AN$2:$AN$5000,AN255)*0.5)), "SORTEADO", "-")</f>
        <v>SORTEADO</v>
      </c>
      <c r="AN255" s="232" t="s">
        <v>793</v>
      </c>
    </row>
    <row r="256" spans="1:40" ht="30" hidden="1" customHeight="1" x14ac:dyDescent="0.2">
      <c r="A256" s="231" t="s">
        <v>197</v>
      </c>
      <c r="B256" s="231">
        <v>2614646410</v>
      </c>
      <c r="C256" s="231" t="s">
        <v>100</v>
      </c>
      <c r="D256" s="231" t="s">
        <v>78</v>
      </c>
      <c r="E256" s="231" t="s">
        <v>198</v>
      </c>
      <c r="F256" s="231" t="s">
        <v>679</v>
      </c>
      <c r="G256" s="231">
        <v>8</v>
      </c>
      <c r="H256" s="231" t="s">
        <v>800</v>
      </c>
      <c r="I256" s="231" t="s">
        <v>801</v>
      </c>
      <c r="J256" s="231" t="s">
        <v>248</v>
      </c>
      <c r="K256" s="231" t="s">
        <v>723</v>
      </c>
      <c r="L256" s="232" t="s">
        <v>802</v>
      </c>
      <c r="M256" s="232">
        <v>46330.332638888889</v>
      </c>
      <c r="N256" s="231" t="s">
        <v>250</v>
      </c>
      <c r="O256" s="158"/>
      <c r="P256" s="92"/>
      <c r="Q256" s="146"/>
      <c r="R256" s="92"/>
      <c r="S256" s="146"/>
      <c r="T256" s="92"/>
      <c r="U256" s="146"/>
      <c r="V256" s="92"/>
      <c r="W256" s="146"/>
      <c r="X256" s="92"/>
      <c r="Y256" s="146"/>
      <c r="Z256" s="92"/>
      <c r="AA256" s="146"/>
      <c r="AB256" s="92"/>
      <c r="AC256" s="146"/>
      <c r="AD256" s="92"/>
      <c r="AE256" s="146"/>
      <c r="AF256" s="187" t="str">
        <f t="shared" si="16"/>
        <v/>
      </c>
      <c r="AG256" s="54" t="b">
        <f t="shared" si="18"/>
        <v>0</v>
      </c>
      <c r="AH256" s="146"/>
      <c r="AI256" s="210" t="s">
        <v>6</v>
      </c>
      <c r="AJ256" s="97" t="str">
        <f t="shared" si="17"/>
        <v>GUARULHOS</v>
      </c>
      <c r="AK256" s="213" t="s">
        <v>39</v>
      </c>
      <c r="AL256" s="53">
        <v>0.55578248573370481</v>
      </c>
      <c r="AM256" s="53" t="str" cm="1">
        <f t="array" ref="AM256">IF(OR(O256&lt;&gt;"", SUMPRODUCT(($AN$2:$AN$5000=AN256)*($AL$2:$AL$5000&lt;=AL256)) &lt;= (COUNTIF($AN$2:$AN$5000,AN256)*0.5)), "SORTEADO", "-")</f>
        <v>-</v>
      </c>
      <c r="AN256" s="232" t="s">
        <v>802</v>
      </c>
    </row>
    <row r="257" spans="1:40" ht="30" customHeight="1" x14ac:dyDescent="0.2">
      <c r="A257" s="231" t="s">
        <v>197</v>
      </c>
      <c r="B257" s="231">
        <v>2690138219</v>
      </c>
      <c r="C257" s="231" t="s">
        <v>106</v>
      </c>
      <c r="D257" s="231" t="s">
        <v>80</v>
      </c>
      <c r="E257" s="231" t="s">
        <v>198</v>
      </c>
      <c r="F257" s="231" t="s">
        <v>803</v>
      </c>
      <c r="G257" s="231">
        <v>52</v>
      </c>
      <c r="H257" s="231" t="s">
        <v>804</v>
      </c>
      <c r="I257" s="231" t="s">
        <v>247</v>
      </c>
      <c r="J257" s="231" t="s">
        <v>270</v>
      </c>
      <c r="K257" s="231" t="s">
        <v>213</v>
      </c>
      <c r="L257" s="232" t="s">
        <v>793</v>
      </c>
      <c r="M257" s="232">
        <v>46299.45416666667</v>
      </c>
      <c r="N257" s="231" t="s">
        <v>244</v>
      </c>
      <c r="O257" s="158" t="s">
        <v>204</v>
      </c>
      <c r="P257" s="92"/>
      <c r="Q257" s="146" t="s">
        <v>204</v>
      </c>
      <c r="R257" s="92"/>
      <c r="S257" s="146" t="s">
        <v>204</v>
      </c>
      <c r="T257" s="92"/>
      <c r="U257" s="146" t="s">
        <v>204</v>
      </c>
      <c r="V257" s="92"/>
      <c r="W257" s="146" t="s">
        <v>204</v>
      </c>
      <c r="X257" s="92"/>
      <c r="Y257" s="146" t="s">
        <v>61</v>
      </c>
      <c r="Z257" s="92"/>
      <c r="AA257" s="146" t="s">
        <v>204</v>
      </c>
      <c r="AB257" s="92"/>
      <c r="AC257" s="146" t="s">
        <v>204</v>
      </c>
      <c r="AD257" s="92"/>
      <c r="AE257" s="146" t="s">
        <v>204</v>
      </c>
      <c r="AF257" s="187" t="str">
        <f t="shared" si="16"/>
        <v>C</v>
      </c>
      <c r="AG257" s="54" t="str">
        <f t="shared" si="18"/>
        <v>UTILIZOU O PDA CORRETAMENTE</v>
      </c>
      <c r="AH257" s="144" t="s">
        <v>204</v>
      </c>
      <c r="AI257" s="210" t="s">
        <v>6</v>
      </c>
      <c r="AJ257" s="97" t="str">
        <f t="shared" si="17"/>
        <v>GUARULHOS</v>
      </c>
      <c r="AK257" s="213" t="s">
        <v>39</v>
      </c>
      <c r="AL257" s="53">
        <v>2.6459007656104983E-2</v>
      </c>
      <c r="AM257" s="53" t="str" cm="1">
        <f t="array" ref="AM257">IF(OR(O257&lt;&gt;"", SUMPRODUCT(($AN$2:$AN$5000=AN257)*($AL$2:$AL$5000&lt;=AL257)) &lt;= (COUNTIF($AN$2:$AN$5000,AN257)*0.5)), "SORTEADO", "-")</f>
        <v>SORTEADO</v>
      </c>
      <c r="AN257" s="232" t="s">
        <v>793</v>
      </c>
    </row>
    <row r="258" spans="1:40" ht="30" customHeight="1" x14ac:dyDescent="0.2">
      <c r="A258" s="231" t="s">
        <v>197</v>
      </c>
      <c r="B258" s="231">
        <v>2615106174</v>
      </c>
      <c r="C258" s="231" t="s">
        <v>104</v>
      </c>
      <c r="D258" s="231" t="s">
        <v>80</v>
      </c>
      <c r="E258" s="231" t="s">
        <v>198</v>
      </c>
      <c r="F258" s="231" t="s">
        <v>805</v>
      </c>
      <c r="G258" s="231">
        <v>38</v>
      </c>
      <c r="H258" s="231"/>
      <c r="I258" s="231" t="s">
        <v>791</v>
      </c>
      <c r="J258" s="231" t="s">
        <v>254</v>
      </c>
      <c r="K258" s="231" t="s">
        <v>806</v>
      </c>
      <c r="L258" s="232" t="s">
        <v>793</v>
      </c>
      <c r="M258" s="232">
        <v>46299.489583333336</v>
      </c>
      <c r="N258" s="231" t="s">
        <v>271</v>
      </c>
      <c r="O258" s="158" t="s">
        <v>204</v>
      </c>
      <c r="P258" s="92"/>
      <c r="Q258" s="146" t="s">
        <v>204</v>
      </c>
      <c r="R258" s="92"/>
      <c r="S258" s="146" t="s">
        <v>204</v>
      </c>
      <c r="T258" s="92"/>
      <c r="U258" s="146" t="s">
        <v>204</v>
      </c>
      <c r="V258" s="92"/>
      <c r="W258" s="146" t="s">
        <v>204</v>
      </c>
      <c r="X258" s="92"/>
      <c r="Y258" s="146" t="s">
        <v>61</v>
      </c>
      <c r="Z258" s="92"/>
      <c r="AA258" s="146" t="s">
        <v>204</v>
      </c>
      <c r="AB258" s="92"/>
      <c r="AC258" s="146" t="s">
        <v>204</v>
      </c>
      <c r="AD258" s="92"/>
      <c r="AE258" s="146" t="s">
        <v>204</v>
      </c>
      <c r="AF258" s="187" t="str">
        <f t="shared" si="16"/>
        <v>C</v>
      </c>
      <c r="AG258" s="54" t="str">
        <f t="shared" si="18"/>
        <v>UTILIZOU O PDA CORRETAMENTE</v>
      </c>
      <c r="AH258" s="144" t="s">
        <v>204</v>
      </c>
      <c r="AI258" s="210" t="s">
        <v>6</v>
      </c>
      <c r="AJ258" s="97" t="str">
        <f t="shared" si="17"/>
        <v>GUARULHOS</v>
      </c>
      <c r="AK258" s="213" t="s">
        <v>39</v>
      </c>
      <c r="AL258" s="53">
        <v>0.19616979658568467</v>
      </c>
      <c r="AM258" s="53" t="str" cm="1">
        <f t="array" ref="AM258">IF(OR(O258&lt;&gt;"", SUMPRODUCT(($AN$2:$AN$5000=AN258)*($AL$2:$AL$5000&lt;=AL258)) &lt;= (COUNTIF($AN$2:$AN$5000,AN258)*0.5)), "SORTEADO", "-")</f>
        <v>SORTEADO</v>
      </c>
      <c r="AN258" s="232" t="s">
        <v>793</v>
      </c>
    </row>
    <row r="259" spans="1:40" ht="30" customHeight="1" x14ac:dyDescent="0.2">
      <c r="A259" s="231" t="s">
        <v>197</v>
      </c>
      <c r="B259" s="231">
        <v>2615139095</v>
      </c>
      <c r="C259" s="231" t="s">
        <v>102</v>
      </c>
      <c r="D259" s="231" t="s">
        <v>80</v>
      </c>
      <c r="E259" s="231" t="s">
        <v>198</v>
      </c>
      <c r="F259" s="231" t="s">
        <v>807</v>
      </c>
      <c r="G259" s="231">
        <v>105</v>
      </c>
      <c r="H259" s="231" t="s">
        <v>808</v>
      </c>
      <c r="I259" s="231" t="s">
        <v>285</v>
      </c>
      <c r="J259" s="231" t="s">
        <v>270</v>
      </c>
      <c r="K259" s="231" t="s">
        <v>213</v>
      </c>
      <c r="L259" s="232" t="s">
        <v>793</v>
      </c>
      <c r="M259" s="232">
        <v>46299.460416666669</v>
      </c>
      <c r="N259" s="231" t="s">
        <v>228</v>
      </c>
      <c r="O259" s="158" t="s">
        <v>204</v>
      </c>
      <c r="P259" s="92"/>
      <c r="Q259" s="146" t="s">
        <v>204</v>
      </c>
      <c r="R259" s="92"/>
      <c r="S259" s="146" t="s">
        <v>204</v>
      </c>
      <c r="T259" s="92"/>
      <c r="U259" s="146" t="s">
        <v>204</v>
      </c>
      <c r="V259" s="92"/>
      <c r="W259" s="146" t="s">
        <v>204</v>
      </c>
      <c r="X259" s="92"/>
      <c r="Y259" s="146" t="s">
        <v>61</v>
      </c>
      <c r="Z259" s="92"/>
      <c r="AA259" s="146" t="s">
        <v>204</v>
      </c>
      <c r="AB259" s="92"/>
      <c r="AC259" s="146" t="s">
        <v>204</v>
      </c>
      <c r="AD259" s="92"/>
      <c r="AE259" s="146" t="s">
        <v>204</v>
      </c>
      <c r="AF259" s="187" t="str">
        <f t="shared" si="16"/>
        <v>C</v>
      </c>
      <c r="AG259" s="54" t="str">
        <f t="shared" si="18"/>
        <v>UTILIZOU O PDA CORRETAMENTE</v>
      </c>
      <c r="AH259" s="144" t="s">
        <v>204</v>
      </c>
      <c r="AI259" s="210" t="s">
        <v>6</v>
      </c>
      <c r="AJ259" s="97" t="str">
        <f t="shared" si="17"/>
        <v>GUARULHOS</v>
      </c>
      <c r="AK259" s="213" t="s">
        <v>39</v>
      </c>
      <c r="AL259" s="53">
        <v>0.26102646486762471</v>
      </c>
      <c r="AM259" s="53" t="str" cm="1">
        <f t="array" ref="AM259">IF(OR(O259&lt;&gt;"", SUMPRODUCT(($AN$2:$AN$5000=AN259)*($AL$2:$AL$5000&lt;=AL259)) &lt;= (COUNTIF($AN$2:$AN$5000,AN259)*0.5)), "SORTEADO", "-")</f>
        <v>SORTEADO</v>
      </c>
      <c r="AN259" s="232" t="s">
        <v>793</v>
      </c>
    </row>
    <row r="260" spans="1:40" ht="30" hidden="1" customHeight="1" x14ac:dyDescent="0.2">
      <c r="A260" s="231" t="s">
        <v>197</v>
      </c>
      <c r="B260" s="231">
        <v>2615096013</v>
      </c>
      <c r="C260" s="231" t="s">
        <v>104</v>
      </c>
      <c r="D260" s="231" t="s">
        <v>80</v>
      </c>
      <c r="E260" s="231" t="s">
        <v>198</v>
      </c>
      <c r="F260" s="231" t="s">
        <v>809</v>
      </c>
      <c r="G260" s="231">
        <v>146</v>
      </c>
      <c r="H260" s="231" t="s">
        <v>810</v>
      </c>
      <c r="I260" s="231" t="s">
        <v>667</v>
      </c>
      <c r="J260" s="231" t="s">
        <v>226</v>
      </c>
      <c r="K260" s="231"/>
      <c r="L260" s="232" t="s">
        <v>793</v>
      </c>
      <c r="M260" s="232">
        <v>46299.467361111114</v>
      </c>
      <c r="N260" s="231" t="s">
        <v>260</v>
      </c>
      <c r="O260" s="158"/>
      <c r="P260" s="92"/>
      <c r="Q260" s="146"/>
      <c r="R260" s="92"/>
      <c r="S260" s="146"/>
      <c r="T260" s="92"/>
      <c r="U260" s="146"/>
      <c r="V260" s="92"/>
      <c r="W260" s="146"/>
      <c r="X260" s="92"/>
      <c r="Y260" s="146"/>
      <c r="Z260" s="92"/>
      <c r="AA260" s="146"/>
      <c r="AB260" s="92"/>
      <c r="AC260" s="146"/>
      <c r="AD260" s="92"/>
      <c r="AE260" s="146"/>
      <c r="AF260" s="187" t="str">
        <f t="shared" si="16"/>
        <v/>
      </c>
      <c r="AG260" s="54" t="b">
        <f t="shared" si="18"/>
        <v>0</v>
      </c>
      <c r="AH260" s="146"/>
      <c r="AI260" s="210" t="s">
        <v>6</v>
      </c>
      <c r="AJ260" s="97" t="str">
        <f t="shared" si="17"/>
        <v>GUARULHOS</v>
      </c>
      <c r="AK260" s="213" t="s">
        <v>39</v>
      </c>
      <c r="AL260" s="53">
        <v>0.45694154125996322</v>
      </c>
      <c r="AM260" s="53" t="str" cm="1">
        <f t="array" ref="AM260">IF(OR(O260&lt;&gt;"", SUMPRODUCT(($AN$2:$AN$5000=AN260)*($AL$2:$AL$5000&lt;=AL260)) &lt;= (COUNTIF($AN$2:$AN$5000,AN260)*0.5)), "SORTEADO", "-")</f>
        <v>-</v>
      </c>
      <c r="AN260" s="232" t="s">
        <v>793</v>
      </c>
    </row>
    <row r="261" spans="1:40" ht="30" hidden="1" customHeight="1" x14ac:dyDescent="0.2">
      <c r="A261" s="231" t="s">
        <v>197</v>
      </c>
      <c r="B261" s="231">
        <v>2615103589</v>
      </c>
      <c r="C261" s="231" t="s">
        <v>105</v>
      </c>
      <c r="D261" s="231" t="s">
        <v>80</v>
      </c>
      <c r="E261" s="231" t="s">
        <v>198</v>
      </c>
      <c r="F261" s="231" t="s">
        <v>811</v>
      </c>
      <c r="G261" s="231">
        <v>363</v>
      </c>
      <c r="H261" s="231" t="s">
        <v>213</v>
      </c>
      <c r="I261" s="231" t="s">
        <v>531</v>
      </c>
      <c r="J261" s="231" t="s">
        <v>226</v>
      </c>
      <c r="K261" s="231" t="s">
        <v>213</v>
      </c>
      <c r="L261" s="232" t="s">
        <v>793</v>
      </c>
      <c r="M261" s="232">
        <v>46299.720138888886</v>
      </c>
      <c r="N261" s="231" t="s">
        <v>303</v>
      </c>
      <c r="O261" s="158"/>
      <c r="P261" s="92"/>
      <c r="Q261" s="146"/>
      <c r="R261" s="92"/>
      <c r="S261" s="146"/>
      <c r="T261" s="92"/>
      <c r="U261" s="146"/>
      <c r="V261" s="92"/>
      <c r="W261" s="146"/>
      <c r="X261" s="92"/>
      <c r="Y261" s="146"/>
      <c r="Z261" s="92"/>
      <c r="AA261" s="146"/>
      <c r="AB261" s="92"/>
      <c r="AC261" s="146"/>
      <c r="AD261" s="92"/>
      <c r="AE261" s="146"/>
      <c r="AF261" s="187" t="str">
        <f t="shared" si="16"/>
        <v/>
      </c>
      <c r="AG261" s="54" t="b">
        <f t="shared" si="18"/>
        <v>0</v>
      </c>
      <c r="AH261" s="146"/>
      <c r="AI261" s="210" t="s">
        <v>6</v>
      </c>
      <c r="AJ261" s="97" t="str">
        <f t="shared" si="17"/>
        <v>GUARULHOS</v>
      </c>
      <c r="AK261" s="213" t="s">
        <v>39</v>
      </c>
      <c r="AL261" s="53">
        <v>0.40426910429113805</v>
      </c>
      <c r="AM261" s="53" t="str" cm="1">
        <f t="array" ref="AM261">IF(OR(O261&lt;&gt;"", SUMPRODUCT(($AN$2:$AN$5000=AN261)*($AL$2:$AL$5000&lt;=AL261)) &lt;= (COUNTIF($AN$2:$AN$5000,AN261)*0.5)), "SORTEADO", "-")</f>
        <v>-</v>
      </c>
      <c r="AN261" s="232" t="s">
        <v>793</v>
      </c>
    </row>
    <row r="262" spans="1:40" ht="30" hidden="1" customHeight="1" x14ac:dyDescent="0.2">
      <c r="A262" s="231" t="s">
        <v>197</v>
      </c>
      <c r="B262" s="231">
        <v>2690170895</v>
      </c>
      <c r="C262" s="231" t="s">
        <v>102</v>
      </c>
      <c r="D262" s="231" t="s">
        <v>80</v>
      </c>
      <c r="E262" s="231" t="s">
        <v>198</v>
      </c>
      <c r="F262" s="231" t="s">
        <v>812</v>
      </c>
      <c r="G262" s="231">
        <v>884</v>
      </c>
      <c r="H262" s="231" t="s">
        <v>813</v>
      </c>
      <c r="I262" s="231" t="s">
        <v>207</v>
      </c>
      <c r="J262" s="231" t="s">
        <v>270</v>
      </c>
      <c r="K262" s="231" t="s">
        <v>814</v>
      </c>
      <c r="L262" s="232" t="s">
        <v>793</v>
      </c>
      <c r="M262" s="232">
        <v>46299.476388888892</v>
      </c>
      <c r="N262" s="231" t="s">
        <v>287</v>
      </c>
      <c r="O262" s="158"/>
      <c r="P262" s="92"/>
      <c r="Q262" s="146"/>
      <c r="R262" s="92"/>
      <c r="S262" s="146"/>
      <c r="T262" s="92"/>
      <c r="U262" s="146"/>
      <c r="V262" s="92"/>
      <c r="W262" s="146"/>
      <c r="X262" s="92"/>
      <c r="Y262" s="146"/>
      <c r="Z262" s="92"/>
      <c r="AA262" s="146"/>
      <c r="AB262" s="92"/>
      <c r="AC262" s="146"/>
      <c r="AD262" s="92"/>
      <c r="AE262" s="146"/>
      <c r="AF262" s="187" t="str">
        <f t="shared" si="16"/>
        <v/>
      </c>
      <c r="AG262" s="54" t="b">
        <f t="shared" si="18"/>
        <v>0</v>
      </c>
      <c r="AH262" s="146"/>
      <c r="AI262" s="210" t="s">
        <v>6</v>
      </c>
      <c r="AJ262" s="97" t="str">
        <f t="shared" si="17"/>
        <v>GUARULHOS</v>
      </c>
      <c r="AK262" s="213" t="s">
        <v>39</v>
      </c>
      <c r="AL262" s="53">
        <v>0.97631034850141463</v>
      </c>
      <c r="AM262" s="53" t="str" cm="1">
        <f t="array" ref="AM262">IF(OR(O262&lt;&gt;"", SUMPRODUCT(($AN$2:$AN$5000=AN262)*($AL$2:$AL$5000&lt;=AL262)) &lt;= (COUNTIF($AN$2:$AN$5000,AN262)*0.5)), "SORTEADO", "-")</f>
        <v>-</v>
      </c>
      <c r="AN262" s="232" t="s">
        <v>793</v>
      </c>
    </row>
    <row r="263" spans="1:40" ht="30" customHeight="1" x14ac:dyDescent="0.2">
      <c r="A263" s="231" t="s">
        <v>197</v>
      </c>
      <c r="B263" s="231">
        <v>2690124292</v>
      </c>
      <c r="C263" s="231" t="s">
        <v>106</v>
      </c>
      <c r="D263" s="231" t="s">
        <v>80</v>
      </c>
      <c r="E263" s="231" t="s">
        <v>198</v>
      </c>
      <c r="F263" s="231" t="s">
        <v>815</v>
      </c>
      <c r="G263" s="231">
        <v>116</v>
      </c>
      <c r="H263" s="231" t="s">
        <v>459</v>
      </c>
      <c r="I263" s="231" t="s">
        <v>285</v>
      </c>
      <c r="J263" s="231" t="s">
        <v>259</v>
      </c>
      <c r="K263" s="231" t="s">
        <v>816</v>
      </c>
      <c r="L263" s="232" t="s">
        <v>793</v>
      </c>
      <c r="M263" s="232">
        <v>46299.368750000001</v>
      </c>
      <c r="N263" s="231" t="s">
        <v>287</v>
      </c>
      <c r="O263" s="158" t="s">
        <v>204</v>
      </c>
      <c r="P263" s="92"/>
      <c r="Q263" s="146" t="s">
        <v>204</v>
      </c>
      <c r="R263" s="92"/>
      <c r="S263" s="146" t="s">
        <v>204</v>
      </c>
      <c r="T263" s="92"/>
      <c r="U263" s="146" t="s">
        <v>204</v>
      </c>
      <c r="V263" s="92"/>
      <c r="W263" s="146" t="s">
        <v>204</v>
      </c>
      <c r="X263" s="92"/>
      <c r="Y263" s="146" t="s">
        <v>61</v>
      </c>
      <c r="Z263" s="92"/>
      <c r="AA263" s="146" t="s">
        <v>204</v>
      </c>
      <c r="AB263" s="92"/>
      <c r="AC263" s="146" t="s">
        <v>204</v>
      </c>
      <c r="AD263" s="92"/>
      <c r="AE263" s="146" t="s">
        <v>204</v>
      </c>
      <c r="AF263" s="187" t="str">
        <f t="shared" ref="AF263:AF326" si="19">IF(AND(O263="",Q263="",S263="",U263="",W263="",Y263="",AA263="",AC263=""),"",IF(OR(AND(O263&lt;&gt;"NA",O263&lt;&gt;"C",O263&lt;&gt;"NC",O263&lt;&gt;"SF",O263&lt;&gt;""),AND(Q263&lt;&gt;"NA",Q263&lt;&gt;"C",Q263&lt;&gt;"NC",Q263&lt;&gt;"SF",Q263&lt;&gt;""),AND(S263&lt;&gt;"NA",S263&lt;&gt;"C",S263&lt;&gt;"NC",S263&lt;&gt;"SF",S263&lt;&gt;""),AND(U263&lt;&gt;"NA",U263&lt;&gt;"C",U263&lt;&gt;"NC",U263&lt;&gt;"SF",U263&lt;&gt;""),AND(W263&lt;&gt;"NA",W263&lt;&gt;"C",W263&lt;&gt;"NC",W263&lt;&gt;"SF",W263&lt;&gt;""),AND(Y263&lt;&gt;"NA",Y263&lt;&gt;"C",Y263&lt;&gt;"NC",Y263&lt;&gt;"SF",Y263&lt;&gt;""),AND(AA263&lt;&gt;"NA",AA263&lt;&gt;"C",AA263&lt;&gt;"NC",AA263&lt;&gt;"SF",AA263&lt;&gt;""),AND(AC263&lt;&gt;"NA",AC263&lt;&gt;"C",AC263&lt;&gt;"NC",AC263&lt;&gt;"SF",AC263&lt;&gt;"")),"FALSO",IF(AND(O263="NA",Q263="NA",S263="NA",U263="NA",W263="NA",Y263="NA",AA263="NA",AC263="NA"),"NA",IF(OR(O263="NC",Q263="NC",S263="NC",U263="NC",W263="NC",Y263="NC",AA263="NC",AC263="NC",O263="SF",Q263="SF",S263="SF",U263="SF",W263="SF",Y263="SF",AA263="SF",AC263="SF"),"NC",IF(OR(O263="C",Q263="C",S263="C",U263="C",W263="C",Y263="C",AA263="C",AC263="C"),"C","")))))</f>
        <v>C</v>
      </c>
      <c r="AG263" s="54" t="str">
        <f t="shared" si="18"/>
        <v>UTILIZOU O PDA CORRETAMENTE</v>
      </c>
      <c r="AH263" s="144" t="s">
        <v>204</v>
      </c>
      <c r="AI263" s="210" t="s">
        <v>6</v>
      </c>
      <c r="AJ263" s="97" t="str">
        <f t="shared" ref="AJ263:AJ326" si="20">E263</f>
        <v>GUARULHOS</v>
      </c>
      <c r="AK263" s="213" t="s">
        <v>39</v>
      </c>
      <c r="AL263" s="53">
        <v>3.974136933653627E-2</v>
      </c>
      <c r="AM263" s="53" t="str" cm="1">
        <f t="array" ref="AM263">IF(OR(O263&lt;&gt;"", SUMPRODUCT(($AN$2:$AN$5000=AN263)*($AL$2:$AL$5000&lt;=AL263)) &lt;= (COUNTIF($AN$2:$AN$5000,AN263)*0.5)), "SORTEADO", "-")</f>
        <v>SORTEADO</v>
      </c>
      <c r="AN263" s="232" t="s">
        <v>793</v>
      </c>
    </row>
    <row r="264" spans="1:40" ht="30" customHeight="1" x14ac:dyDescent="0.2">
      <c r="A264" s="231" t="s">
        <v>197</v>
      </c>
      <c r="B264" s="231">
        <v>2615248767</v>
      </c>
      <c r="C264" s="231" t="s">
        <v>85</v>
      </c>
      <c r="D264" s="231" t="s">
        <v>76</v>
      </c>
      <c r="E264" s="231" t="s">
        <v>198</v>
      </c>
      <c r="F264" s="231" t="s">
        <v>817</v>
      </c>
      <c r="G264" s="231">
        <v>193</v>
      </c>
      <c r="H264" s="231" t="s">
        <v>818</v>
      </c>
      <c r="I264" s="231" t="s">
        <v>269</v>
      </c>
      <c r="J264" s="231" t="s">
        <v>85</v>
      </c>
      <c r="K264" s="231"/>
      <c r="L264" s="232" t="s">
        <v>793</v>
      </c>
      <c r="M264" s="232">
        <v>46299.59652777778</v>
      </c>
      <c r="N264" s="231" t="s">
        <v>819</v>
      </c>
      <c r="O264" s="158" t="s">
        <v>204</v>
      </c>
      <c r="P264" s="146"/>
      <c r="Q264" s="146" t="s">
        <v>61</v>
      </c>
      <c r="R264" s="146"/>
      <c r="S264" s="146" t="s">
        <v>204</v>
      </c>
      <c r="T264" s="146"/>
      <c r="U264" s="146" t="s">
        <v>204</v>
      </c>
      <c r="V264" s="146"/>
      <c r="W264" s="146" t="s">
        <v>204</v>
      </c>
      <c r="X264" s="146"/>
      <c r="Y264" s="146" t="s">
        <v>61</v>
      </c>
      <c r="Z264" s="146"/>
      <c r="AA264" s="146" t="s">
        <v>204</v>
      </c>
      <c r="AB264" s="146"/>
      <c r="AC264" s="146" t="s">
        <v>204</v>
      </c>
      <c r="AD264" s="146"/>
      <c r="AE264" s="146" t="s">
        <v>204</v>
      </c>
      <c r="AF264" s="187" t="str">
        <f t="shared" si="19"/>
        <v>C</v>
      </c>
      <c r="AG264" s="54" t="str">
        <f t="shared" si="18"/>
        <v>UTILIZOU O PDA CORRETAMENTE</v>
      </c>
      <c r="AH264" s="146" t="s">
        <v>204</v>
      </c>
      <c r="AI264" s="210" t="s">
        <v>6</v>
      </c>
      <c r="AJ264" s="97" t="str">
        <f t="shared" si="20"/>
        <v>GUARULHOS</v>
      </c>
      <c r="AK264" s="213" t="s">
        <v>39</v>
      </c>
      <c r="AL264" s="53">
        <v>0.34251557913660291</v>
      </c>
      <c r="AM264" s="53" t="str" cm="1">
        <f t="array" ref="AM264">IF(OR(O264&lt;&gt;"", SUMPRODUCT(($AN$2:$AN$5000=AN264)*($AL$2:$AL$5000&lt;=AL264)) &lt;= (COUNTIF($AN$2:$AN$5000,AN264)*0.5)), "SORTEADO", "-")</f>
        <v>SORTEADO</v>
      </c>
      <c r="AN264" s="232" t="s">
        <v>793</v>
      </c>
    </row>
    <row r="265" spans="1:40" ht="30" hidden="1" customHeight="1" x14ac:dyDescent="0.2">
      <c r="A265" s="231" t="s">
        <v>197</v>
      </c>
      <c r="B265" s="231">
        <v>2690187800</v>
      </c>
      <c r="C265" s="231" t="s">
        <v>106</v>
      </c>
      <c r="D265" s="231" t="s">
        <v>80</v>
      </c>
      <c r="E265" s="231" t="s">
        <v>198</v>
      </c>
      <c r="F265" s="231" t="s">
        <v>352</v>
      </c>
      <c r="G265" s="231">
        <v>170</v>
      </c>
      <c r="H265" s="231" t="s">
        <v>820</v>
      </c>
      <c r="I265" s="231" t="s">
        <v>200</v>
      </c>
      <c r="J265" s="231" t="s">
        <v>270</v>
      </c>
      <c r="K265" s="231" t="s">
        <v>213</v>
      </c>
      <c r="L265" s="232" t="s">
        <v>793</v>
      </c>
      <c r="M265" s="232">
        <v>46299.51458333333</v>
      </c>
      <c r="N265" s="231" t="s">
        <v>263</v>
      </c>
      <c r="O265" s="158"/>
      <c r="P265" s="146"/>
      <c r="Q265" s="146"/>
      <c r="R265" s="209"/>
      <c r="S265" s="146"/>
      <c r="T265" s="146"/>
      <c r="U265" s="146"/>
      <c r="V265" s="146"/>
      <c r="W265" s="146"/>
      <c r="X265" s="146"/>
      <c r="Y265" s="146"/>
      <c r="Z265" s="146"/>
      <c r="AA265" s="146"/>
      <c r="AB265" s="146"/>
      <c r="AC265" s="146"/>
      <c r="AD265" s="146"/>
      <c r="AE265" s="146"/>
      <c r="AF265" s="187" t="str">
        <f t="shared" si="19"/>
        <v/>
      </c>
      <c r="AG265" s="54" t="b">
        <f t="shared" si="18"/>
        <v>0</v>
      </c>
      <c r="AH265" s="146"/>
      <c r="AI265" s="210" t="s">
        <v>6</v>
      </c>
      <c r="AJ265" s="97" t="str">
        <f t="shared" si="20"/>
        <v>GUARULHOS</v>
      </c>
      <c r="AK265" s="213" t="s">
        <v>39</v>
      </c>
      <c r="AL265" s="53">
        <v>0.80103477679478374</v>
      </c>
      <c r="AM265" s="53" t="str" cm="1">
        <f t="array" ref="AM265">IF(OR(O265&lt;&gt;"", SUMPRODUCT(($AN$2:$AN$5000=AN265)*($AL$2:$AL$5000&lt;=AL265)) &lt;= (COUNTIF($AN$2:$AN$5000,AN265)*0.5)), "SORTEADO", "-")</f>
        <v>-</v>
      </c>
      <c r="AN265" s="232" t="s">
        <v>793</v>
      </c>
    </row>
    <row r="266" spans="1:40" ht="30" hidden="1" customHeight="1" x14ac:dyDescent="0.2">
      <c r="A266" s="231" t="s">
        <v>197</v>
      </c>
      <c r="B266" s="231">
        <v>2615257225</v>
      </c>
      <c r="C266" s="231" t="s">
        <v>105</v>
      </c>
      <c r="D266" s="231" t="s">
        <v>80</v>
      </c>
      <c r="E266" s="231" t="s">
        <v>198</v>
      </c>
      <c r="F266" s="231" t="s">
        <v>821</v>
      </c>
      <c r="G266" s="231">
        <v>332</v>
      </c>
      <c r="H266" s="231" t="s">
        <v>276</v>
      </c>
      <c r="I266" s="231" t="s">
        <v>822</v>
      </c>
      <c r="J266" s="231" t="s">
        <v>278</v>
      </c>
      <c r="K266" s="231" t="s">
        <v>823</v>
      </c>
      <c r="L266" s="232" t="s">
        <v>793</v>
      </c>
      <c r="M266" s="232">
        <v>46299.463194444441</v>
      </c>
      <c r="N266" s="231" t="s">
        <v>263</v>
      </c>
      <c r="O266" s="158"/>
      <c r="P266" s="146"/>
      <c r="Q266" s="146"/>
      <c r="R266" s="209"/>
      <c r="S266" s="146"/>
      <c r="T266" s="146"/>
      <c r="U266" s="146"/>
      <c r="V266" s="146"/>
      <c r="W266" s="146"/>
      <c r="X266" s="146"/>
      <c r="Y266" s="146"/>
      <c r="Z266" s="146"/>
      <c r="AA266" s="146"/>
      <c r="AB266" s="146"/>
      <c r="AC266" s="146"/>
      <c r="AD266" s="146"/>
      <c r="AE266" s="146"/>
      <c r="AF266" s="187" t="str">
        <f t="shared" si="19"/>
        <v/>
      </c>
      <c r="AG266" s="54" t="b">
        <f t="shared" si="18"/>
        <v>0</v>
      </c>
      <c r="AH266" s="167"/>
      <c r="AI266" s="210" t="s">
        <v>6</v>
      </c>
      <c r="AJ266" s="97" t="str">
        <f t="shared" si="20"/>
        <v>GUARULHOS</v>
      </c>
      <c r="AK266" s="213" t="s">
        <v>39</v>
      </c>
      <c r="AL266" s="53">
        <v>0.9708327103858102</v>
      </c>
      <c r="AM266" s="53" t="str" cm="1">
        <f t="array" ref="AM266">IF(OR(O266&lt;&gt;"", SUMPRODUCT(($AN$2:$AN$5000=AN266)*($AL$2:$AL$5000&lt;=AL266)) &lt;= (COUNTIF($AN$2:$AN$5000,AN266)*0.5)), "SORTEADO", "-")</f>
        <v>-</v>
      </c>
      <c r="AN266" s="232" t="s">
        <v>793</v>
      </c>
    </row>
    <row r="267" spans="1:40" ht="30" hidden="1" customHeight="1" x14ac:dyDescent="0.2">
      <c r="A267" s="231" t="s">
        <v>197</v>
      </c>
      <c r="B267" s="231">
        <v>2615259044</v>
      </c>
      <c r="C267" s="231" t="s">
        <v>100</v>
      </c>
      <c r="D267" s="231" t="s">
        <v>78</v>
      </c>
      <c r="E267" s="231" t="s">
        <v>198</v>
      </c>
      <c r="F267" s="231" t="s">
        <v>361</v>
      </c>
      <c r="G267" s="231">
        <v>40</v>
      </c>
      <c r="H267" s="231" t="s">
        <v>362</v>
      </c>
      <c r="I267" s="231" t="s">
        <v>363</v>
      </c>
      <c r="J267" s="231" t="s">
        <v>248</v>
      </c>
      <c r="K267" s="238" t="s">
        <v>824</v>
      </c>
      <c r="L267" s="232" t="s">
        <v>793</v>
      </c>
      <c r="M267" s="232">
        <v>46299.586111111108</v>
      </c>
      <c r="N267" s="231" t="s">
        <v>244</v>
      </c>
      <c r="O267" s="157" t="s">
        <v>61</v>
      </c>
      <c r="P267" s="143"/>
      <c r="Q267" s="144" t="s">
        <v>61</v>
      </c>
      <c r="R267" s="143"/>
      <c r="S267" s="144" t="s">
        <v>61</v>
      </c>
      <c r="T267" s="143"/>
      <c r="U267" s="144" t="s">
        <v>61</v>
      </c>
      <c r="V267" s="143"/>
      <c r="W267" s="144" t="s">
        <v>61</v>
      </c>
      <c r="X267" s="143"/>
      <c r="Y267" s="144" t="s">
        <v>61</v>
      </c>
      <c r="Z267" s="143"/>
      <c r="AA267" s="144" t="s">
        <v>61</v>
      </c>
      <c r="AB267" s="143"/>
      <c r="AC267" s="144" t="s">
        <v>61</v>
      </c>
      <c r="AD267" s="56"/>
      <c r="AE267" s="144" t="s">
        <v>61</v>
      </c>
      <c r="AF267" s="187" t="str">
        <f t="shared" si="19"/>
        <v>NA</v>
      </c>
      <c r="AG267" s="54" t="s">
        <v>825</v>
      </c>
      <c r="AH267" s="144" t="s">
        <v>204</v>
      </c>
      <c r="AI267" s="210" t="s">
        <v>6</v>
      </c>
      <c r="AJ267" s="97" t="str">
        <f t="shared" si="20"/>
        <v>GUARULHOS</v>
      </c>
      <c r="AK267" s="213" t="s">
        <v>39</v>
      </c>
      <c r="AL267" s="53">
        <v>7.095633838091786E-2</v>
      </c>
      <c r="AM267" s="53" t="str" cm="1">
        <f t="array" ref="AM267">IF(OR(O267&lt;&gt;"", SUMPRODUCT(($AN$2:$AN$5000=AN267)*($AL$2:$AL$5000&lt;=AL267)) &lt;= (COUNTIF($AN$2:$AN$5000,AN267)*0.5)), "SORTEADO", "-")</f>
        <v>SORTEADO</v>
      </c>
      <c r="AN267" s="232" t="s">
        <v>793</v>
      </c>
    </row>
    <row r="268" spans="1:40" ht="30" customHeight="1" x14ac:dyDescent="0.2">
      <c r="A268" s="231" t="s">
        <v>197</v>
      </c>
      <c r="B268" s="231">
        <v>2615267947</v>
      </c>
      <c r="C268" s="231" t="s">
        <v>89</v>
      </c>
      <c r="D268" s="231" t="s">
        <v>77</v>
      </c>
      <c r="E268" s="231" t="s">
        <v>198</v>
      </c>
      <c r="F268" s="231" t="s">
        <v>826</v>
      </c>
      <c r="G268" s="231">
        <v>68</v>
      </c>
      <c r="H268" s="231" t="s">
        <v>827</v>
      </c>
      <c r="I268" s="231" t="s">
        <v>200</v>
      </c>
      <c r="J268" s="231" t="s">
        <v>346</v>
      </c>
      <c r="K268" s="231" t="s">
        <v>828</v>
      </c>
      <c r="L268" s="232" t="s">
        <v>793</v>
      </c>
      <c r="M268" s="232">
        <v>46299.680555555555</v>
      </c>
      <c r="N268" s="231" t="s">
        <v>250</v>
      </c>
      <c r="O268" s="158" t="s">
        <v>328</v>
      </c>
      <c r="P268" s="146"/>
      <c r="Q268" s="146" t="s">
        <v>328</v>
      </c>
      <c r="R268" s="146"/>
      <c r="S268" s="146" t="s">
        <v>328</v>
      </c>
      <c r="T268" s="146"/>
      <c r="U268" s="146" t="s">
        <v>328</v>
      </c>
      <c r="V268" s="146"/>
      <c r="W268" s="146" t="s">
        <v>328</v>
      </c>
      <c r="X268" s="146"/>
      <c r="Y268" s="146" t="s">
        <v>328</v>
      </c>
      <c r="Z268" s="146"/>
      <c r="AA268" s="146" t="s">
        <v>328</v>
      </c>
      <c r="AB268" s="146"/>
      <c r="AC268" s="146" t="s">
        <v>328</v>
      </c>
      <c r="AD268" s="146"/>
      <c r="AE268" s="146" t="s">
        <v>210</v>
      </c>
      <c r="AF268" s="187" t="str">
        <f t="shared" si="19"/>
        <v>NC</v>
      </c>
      <c r="AG268" s="54" t="str">
        <f t="shared" ref="AG268:AG299" si="21">IF(AND(AE268="C",AF268="C"),"UTILIZOU O PDA CORRETAMENTE",IF(AND(AE268="C",AF268="NC"),"UTILIZOU O PDA CORRETAMENTE. NÃO HÁ FOTOS DE TODAS AS ETAPAS",IF(AND(AE268="NC",AF268="NC"),"NÃO UTILIZOU O PDA",IF(AND(AE268="NA",AF268="NA"),"NÃO AVALIADO POR FALHA DE SINCRONISMO"))))</f>
        <v>NÃO UTILIZOU O PDA</v>
      </c>
      <c r="AH268" s="167" t="s">
        <v>204</v>
      </c>
      <c r="AI268" s="210" t="s">
        <v>6</v>
      </c>
      <c r="AJ268" s="97" t="str">
        <f t="shared" si="20"/>
        <v>GUARULHOS</v>
      </c>
      <c r="AK268" s="213" t="s">
        <v>39</v>
      </c>
      <c r="AL268" s="53">
        <v>0.27972606581600745</v>
      </c>
      <c r="AM268" s="53" t="str" cm="1">
        <f t="array" ref="AM268">IF(OR(O268&lt;&gt;"", SUMPRODUCT(($AN$2:$AN$5000=AN268)*($AL$2:$AL$5000&lt;=AL268)) &lt;= (COUNTIF($AN$2:$AN$5000,AN268)*0.5)), "SORTEADO", "-")</f>
        <v>SORTEADO</v>
      </c>
      <c r="AN268" s="232" t="s">
        <v>793</v>
      </c>
    </row>
    <row r="269" spans="1:40" ht="30" customHeight="1" x14ac:dyDescent="0.2">
      <c r="A269" s="231" t="s">
        <v>197</v>
      </c>
      <c r="B269" s="231">
        <v>2615163167</v>
      </c>
      <c r="C269" s="231" t="s">
        <v>88</v>
      </c>
      <c r="D269" s="231" t="s">
        <v>77</v>
      </c>
      <c r="E269" s="231" t="s">
        <v>198</v>
      </c>
      <c r="F269" s="231" t="s">
        <v>829</v>
      </c>
      <c r="G269" s="231">
        <v>1148</v>
      </c>
      <c r="H269" s="231" t="s">
        <v>830</v>
      </c>
      <c r="I269" s="231" t="s">
        <v>664</v>
      </c>
      <c r="J269" s="231" t="s">
        <v>401</v>
      </c>
      <c r="K269" s="231" t="s">
        <v>831</v>
      </c>
      <c r="L269" s="232" t="s">
        <v>793</v>
      </c>
      <c r="M269" s="232">
        <v>46299.4375</v>
      </c>
      <c r="N269" s="231" t="s">
        <v>348</v>
      </c>
      <c r="O269" s="158" t="s">
        <v>204</v>
      </c>
      <c r="P269" s="146"/>
      <c r="Q269" s="146" t="s">
        <v>204</v>
      </c>
      <c r="R269" s="146"/>
      <c r="S269" s="146" t="s">
        <v>204</v>
      </c>
      <c r="T269" s="146"/>
      <c r="U269" s="146" t="s">
        <v>204</v>
      </c>
      <c r="V269" s="146"/>
      <c r="W269" s="146" t="s">
        <v>204</v>
      </c>
      <c r="X269" s="146"/>
      <c r="Y269" s="146" t="s">
        <v>61</v>
      </c>
      <c r="Z269" s="146"/>
      <c r="AA269" s="146" t="s">
        <v>204</v>
      </c>
      <c r="AB269" s="146"/>
      <c r="AC269" s="146" t="s">
        <v>204</v>
      </c>
      <c r="AD269" s="146"/>
      <c r="AE269" s="146" t="s">
        <v>204</v>
      </c>
      <c r="AF269" s="187" t="str">
        <f t="shared" si="19"/>
        <v>C</v>
      </c>
      <c r="AG269" s="54" t="str">
        <f t="shared" si="21"/>
        <v>UTILIZOU O PDA CORRETAMENTE</v>
      </c>
      <c r="AH269" s="170" t="s">
        <v>204</v>
      </c>
      <c r="AI269" s="210" t="s">
        <v>6</v>
      </c>
      <c r="AJ269" s="97" t="str">
        <f t="shared" si="20"/>
        <v>GUARULHOS</v>
      </c>
      <c r="AK269" s="213" t="s">
        <v>39</v>
      </c>
      <c r="AL269" s="53">
        <v>3.333557880154514E-2</v>
      </c>
      <c r="AM269" s="53" t="str" cm="1">
        <f t="array" ref="AM269">IF(OR(O269&lt;&gt;"", SUMPRODUCT(($AN$2:$AN$5000=AN269)*($AL$2:$AL$5000&lt;=AL269)) &lt;= (COUNTIF($AN$2:$AN$5000,AN269)*0.5)), "SORTEADO", "-")</f>
        <v>SORTEADO</v>
      </c>
      <c r="AN269" s="232" t="s">
        <v>793</v>
      </c>
    </row>
    <row r="270" spans="1:40" ht="30" hidden="1" customHeight="1" x14ac:dyDescent="0.2">
      <c r="A270" s="231" t="s">
        <v>197</v>
      </c>
      <c r="B270" s="231">
        <v>2615269337</v>
      </c>
      <c r="C270" s="231" t="s">
        <v>105</v>
      </c>
      <c r="D270" s="231" t="s">
        <v>80</v>
      </c>
      <c r="E270" s="231" t="s">
        <v>198</v>
      </c>
      <c r="F270" s="231" t="s">
        <v>759</v>
      </c>
      <c r="G270" s="231">
        <v>1282</v>
      </c>
      <c r="H270" s="231" t="s">
        <v>832</v>
      </c>
      <c r="I270" s="231" t="s">
        <v>436</v>
      </c>
      <c r="J270" s="231" t="s">
        <v>226</v>
      </c>
      <c r="K270" s="231" t="s">
        <v>833</v>
      </c>
      <c r="L270" s="232" t="s">
        <v>793</v>
      </c>
      <c r="M270" s="232">
        <v>46299.65902777778</v>
      </c>
      <c r="N270" s="231" t="s">
        <v>287</v>
      </c>
      <c r="O270" s="158"/>
      <c r="P270" s="146"/>
      <c r="Q270" s="146"/>
      <c r="R270" s="146"/>
      <c r="S270" s="146"/>
      <c r="T270" s="146"/>
      <c r="U270" s="146"/>
      <c r="V270" s="146"/>
      <c r="W270" s="146"/>
      <c r="X270" s="146"/>
      <c r="Y270" s="146"/>
      <c r="Z270" s="146"/>
      <c r="AA270" s="146"/>
      <c r="AB270" s="146"/>
      <c r="AC270" s="146"/>
      <c r="AD270" s="146"/>
      <c r="AE270" s="146"/>
      <c r="AF270" s="187" t="str">
        <f t="shared" si="19"/>
        <v/>
      </c>
      <c r="AG270" s="54" t="b">
        <f t="shared" si="21"/>
        <v>0</v>
      </c>
      <c r="AH270" s="170"/>
      <c r="AI270" s="210" t="s">
        <v>6</v>
      </c>
      <c r="AJ270" s="97" t="str">
        <f t="shared" si="20"/>
        <v>GUARULHOS</v>
      </c>
      <c r="AK270" s="213" t="s">
        <v>39</v>
      </c>
      <c r="AL270" s="53">
        <v>0.47900134359183433</v>
      </c>
      <c r="AM270" s="53" t="str" cm="1">
        <f t="array" ref="AM270">IF(OR(O270&lt;&gt;"", SUMPRODUCT(($AN$2:$AN$5000=AN270)*($AL$2:$AL$5000&lt;=AL270)) &lt;= (COUNTIF($AN$2:$AN$5000,AN270)*0.5)), "SORTEADO", "-")</f>
        <v>-</v>
      </c>
      <c r="AN270" s="232" t="s">
        <v>793</v>
      </c>
    </row>
    <row r="271" spans="1:40" ht="30" hidden="1" customHeight="1" x14ac:dyDescent="0.2">
      <c r="A271" s="231" t="s">
        <v>197</v>
      </c>
      <c r="B271" s="231">
        <v>2690120134</v>
      </c>
      <c r="C271" s="231" t="s">
        <v>98</v>
      </c>
      <c r="D271" s="231" t="s">
        <v>80</v>
      </c>
      <c r="E271" s="231" t="s">
        <v>198</v>
      </c>
      <c r="F271" s="231" t="s">
        <v>585</v>
      </c>
      <c r="G271" s="231">
        <v>265</v>
      </c>
      <c r="H271" s="231" t="s">
        <v>213</v>
      </c>
      <c r="I271" s="231" t="s">
        <v>247</v>
      </c>
      <c r="J271" s="231" t="s">
        <v>297</v>
      </c>
      <c r="K271" s="231" t="s">
        <v>834</v>
      </c>
      <c r="L271" s="232" t="s">
        <v>793</v>
      </c>
      <c r="M271" s="232">
        <v>46299.486111111109</v>
      </c>
      <c r="N271" s="231" t="s">
        <v>241</v>
      </c>
      <c r="O271" s="158"/>
      <c r="P271" s="146"/>
      <c r="Q271" s="146"/>
      <c r="R271" s="146"/>
      <c r="S271" s="146"/>
      <c r="T271" s="146"/>
      <c r="U271" s="146"/>
      <c r="V271" s="146"/>
      <c r="W271" s="146"/>
      <c r="X271" s="146"/>
      <c r="Y271" s="146"/>
      <c r="Z271" s="146"/>
      <c r="AA271" s="146"/>
      <c r="AB271" s="146"/>
      <c r="AC271" s="146"/>
      <c r="AD271" s="146"/>
      <c r="AE271" s="146"/>
      <c r="AF271" s="187" t="str">
        <f t="shared" si="19"/>
        <v/>
      </c>
      <c r="AG271" s="54" t="b">
        <f t="shared" si="21"/>
        <v>0</v>
      </c>
      <c r="AH271" s="170"/>
      <c r="AI271" s="210" t="s">
        <v>6</v>
      </c>
      <c r="AJ271" s="97" t="str">
        <f t="shared" si="20"/>
        <v>GUARULHOS</v>
      </c>
      <c r="AK271" s="213" t="s">
        <v>39</v>
      </c>
      <c r="AL271" s="53">
        <v>0.76367789999407598</v>
      </c>
      <c r="AM271" s="53" t="str" cm="1">
        <f t="array" ref="AM271">IF(OR(O271&lt;&gt;"", SUMPRODUCT(($AN$2:$AN$5000=AN271)*($AL$2:$AL$5000&lt;=AL271)) &lt;= (COUNTIF($AN$2:$AN$5000,AN271)*0.5)), "SORTEADO", "-")</f>
        <v>-</v>
      </c>
      <c r="AN271" s="232" t="s">
        <v>793</v>
      </c>
    </row>
    <row r="272" spans="1:40" ht="30" customHeight="1" x14ac:dyDescent="0.2">
      <c r="A272" s="231" t="s">
        <v>197</v>
      </c>
      <c r="B272" s="231">
        <v>2615279053</v>
      </c>
      <c r="C272" s="231" t="s">
        <v>100</v>
      </c>
      <c r="D272" s="231" t="s">
        <v>78</v>
      </c>
      <c r="E272" s="231" t="s">
        <v>198</v>
      </c>
      <c r="F272" s="231" t="s">
        <v>835</v>
      </c>
      <c r="G272" s="231">
        <v>40</v>
      </c>
      <c r="H272" s="231" t="s">
        <v>836</v>
      </c>
      <c r="I272" s="231" t="s">
        <v>683</v>
      </c>
      <c r="J272" s="231" t="s">
        <v>248</v>
      </c>
      <c r="K272" s="238" t="s">
        <v>837</v>
      </c>
      <c r="L272" s="232" t="s">
        <v>793</v>
      </c>
      <c r="M272" s="232">
        <v>46299.626388888886</v>
      </c>
      <c r="N272" s="231" t="s">
        <v>432</v>
      </c>
      <c r="O272" s="157" t="s">
        <v>204</v>
      </c>
      <c r="P272" s="143"/>
      <c r="Q272" s="144" t="s">
        <v>204</v>
      </c>
      <c r="R272" s="143"/>
      <c r="S272" s="144" t="s">
        <v>204</v>
      </c>
      <c r="T272" s="143"/>
      <c r="U272" s="144" t="s">
        <v>204</v>
      </c>
      <c r="V272" s="143"/>
      <c r="W272" s="144" t="s">
        <v>204</v>
      </c>
      <c r="X272" s="143"/>
      <c r="Y272" s="144" t="s">
        <v>204</v>
      </c>
      <c r="Z272" s="143"/>
      <c r="AA272" s="144" t="s">
        <v>204</v>
      </c>
      <c r="AB272" s="143"/>
      <c r="AC272" s="144" t="s">
        <v>204</v>
      </c>
      <c r="AD272" s="56"/>
      <c r="AE272" s="144" t="s">
        <v>204</v>
      </c>
      <c r="AF272" s="187" t="str">
        <f t="shared" si="19"/>
        <v>C</v>
      </c>
      <c r="AG272" s="54" t="str">
        <f t="shared" si="21"/>
        <v>UTILIZOU O PDA CORRETAMENTE</v>
      </c>
      <c r="AH272" s="144" t="s">
        <v>204</v>
      </c>
      <c r="AI272" s="210" t="s">
        <v>6</v>
      </c>
      <c r="AJ272" s="97" t="str">
        <f t="shared" si="20"/>
        <v>GUARULHOS</v>
      </c>
      <c r="AK272" s="213" t="s">
        <v>39</v>
      </c>
      <c r="AL272" s="53">
        <v>7.3990676491622276E-2</v>
      </c>
      <c r="AM272" s="53" t="str" cm="1">
        <f t="array" ref="AM272">IF(OR(O272&lt;&gt;"", SUMPRODUCT(($AN$2:$AN$5000=AN272)*($AL$2:$AL$5000&lt;=AL272)) &lt;= (COUNTIF($AN$2:$AN$5000,AN272)*0.5)), "SORTEADO", "-")</f>
        <v>SORTEADO</v>
      </c>
      <c r="AN272" s="232" t="s">
        <v>793</v>
      </c>
    </row>
    <row r="273" spans="1:40" ht="30" hidden="1" customHeight="1" x14ac:dyDescent="0.2">
      <c r="A273" s="231" t="s">
        <v>197</v>
      </c>
      <c r="B273" s="231">
        <v>2615093802</v>
      </c>
      <c r="C273" s="231" t="s">
        <v>99</v>
      </c>
      <c r="D273" s="231" t="s">
        <v>80</v>
      </c>
      <c r="E273" s="231" t="s">
        <v>198</v>
      </c>
      <c r="F273" s="231" t="s">
        <v>838</v>
      </c>
      <c r="G273" s="231">
        <v>249</v>
      </c>
      <c r="H273" s="231" t="s">
        <v>235</v>
      </c>
      <c r="I273" s="231" t="s">
        <v>277</v>
      </c>
      <c r="J273" s="231" t="s">
        <v>305</v>
      </c>
      <c r="K273" s="231" t="s">
        <v>213</v>
      </c>
      <c r="L273" s="232" t="s">
        <v>793</v>
      </c>
      <c r="M273" s="232">
        <v>46299.40347222222</v>
      </c>
      <c r="N273" s="231" t="s">
        <v>260</v>
      </c>
      <c r="O273" s="158"/>
      <c r="P273" s="146"/>
      <c r="Q273" s="146"/>
      <c r="R273" s="146"/>
      <c r="S273" s="146"/>
      <c r="T273" s="146"/>
      <c r="U273" s="146"/>
      <c r="V273" s="146"/>
      <c r="W273" s="146"/>
      <c r="X273" s="146"/>
      <c r="Y273" s="146"/>
      <c r="Z273" s="146"/>
      <c r="AA273" s="146"/>
      <c r="AB273" s="146"/>
      <c r="AC273" s="146"/>
      <c r="AD273" s="146"/>
      <c r="AE273" s="146"/>
      <c r="AF273" s="187" t="str">
        <f t="shared" si="19"/>
        <v/>
      </c>
      <c r="AG273" s="54" t="b">
        <f t="shared" si="21"/>
        <v>0</v>
      </c>
      <c r="AH273" s="170"/>
      <c r="AI273" s="210" t="s">
        <v>6</v>
      </c>
      <c r="AJ273" s="97" t="str">
        <f t="shared" si="20"/>
        <v>GUARULHOS</v>
      </c>
      <c r="AK273" s="213" t="s">
        <v>39</v>
      </c>
      <c r="AL273" s="53">
        <v>0.61073728227662538</v>
      </c>
      <c r="AM273" s="53" t="str" cm="1">
        <f t="array" ref="AM273">IF(OR(O273&lt;&gt;"", SUMPRODUCT(($AN$2:$AN$5000=AN273)*($AL$2:$AL$5000&lt;=AL273)) &lt;= (COUNTIF($AN$2:$AN$5000,AN273)*0.5)), "SORTEADO", "-")</f>
        <v>-</v>
      </c>
      <c r="AN273" s="232" t="s">
        <v>793</v>
      </c>
    </row>
    <row r="274" spans="1:40" ht="30" hidden="1" customHeight="1" x14ac:dyDescent="0.2">
      <c r="A274" s="231" t="s">
        <v>197</v>
      </c>
      <c r="B274" s="231">
        <v>2615282724</v>
      </c>
      <c r="C274" s="231" t="s">
        <v>100</v>
      </c>
      <c r="D274" s="231" t="s">
        <v>78</v>
      </c>
      <c r="E274" s="231" t="s">
        <v>198</v>
      </c>
      <c r="F274" s="231" t="s">
        <v>369</v>
      </c>
      <c r="G274" s="231">
        <v>88</v>
      </c>
      <c r="H274" s="231" t="s">
        <v>839</v>
      </c>
      <c r="I274" s="231" t="s">
        <v>840</v>
      </c>
      <c r="J274" s="231" t="s">
        <v>248</v>
      </c>
      <c r="K274" s="231" t="s">
        <v>841</v>
      </c>
      <c r="L274" s="232" t="s">
        <v>793</v>
      </c>
      <c r="M274" s="232">
        <v>46299.681944444441</v>
      </c>
      <c r="N274" s="231" t="s">
        <v>244</v>
      </c>
      <c r="O274" s="158"/>
      <c r="P274" s="146"/>
      <c r="Q274" s="146"/>
      <c r="R274" s="146"/>
      <c r="S274" s="146"/>
      <c r="T274" s="146"/>
      <c r="U274" s="146"/>
      <c r="V274" s="146"/>
      <c r="W274" s="146"/>
      <c r="X274" s="146"/>
      <c r="Y274" s="146"/>
      <c r="Z274" s="146"/>
      <c r="AA274" s="146"/>
      <c r="AB274" s="146"/>
      <c r="AC274" s="146"/>
      <c r="AD274" s="146"/>
      <c r="AE274" s="146"/>
      <c r="AF274" s="187" t="str">
        <f t="shared" si="19"/>
        <v/>
      </c>
      <c r="AG274" s="54" t="b">
        <f t="shared" si="21"/>
        <v>0</v>
      </c>
      <c r="AH274" s="170"/>
      <c r="AI274" s="210" t="s">
        <v>6</v>
      </c>
      <c r="AJ274" s="97" t="str">
        <f t="shared" si="20"/>
        <v>GUARULHOS</v>
      </c>
      <c r="AK274" s="213" t="s">
        <v>39</v>
      </c>
      <c r="AL274" s="53">
        <v>0.97677896227838146</v>
      </c>
      <c r="AM274" s="53" t="str" cm="1">
        <f t="array" ref="AM274">IF(OR(O274&lt;&gt;"", SUMPRODUCT(($AN$2:$AN$5000=AN274)*($AL$2:$AL$5000&lt;=AL274)) &lt;= (COUNTIF($AN$2:$AN$5000,AN274)*0.5)), "SORTEADO", "-")</f>
        <v>-</v>
      </c>
      <c r="AN274" s="232" t="s">
        <v>793</v>
      </c>
    </row>
    <row r="275" spans="1:40" ht="30" hidden="1" customHeight="1" x14ac:dyDescent="0.2">
      <c r="A275" s="231" t="s">
        <v>197</v>
      </c>
      <c r="B275" s="231">
        <v>2690154286</v>
      </c>
      <c r="C275" s="231" t="s">
        <v>88</v>
      </c>
      <c r="D275" s="231" t="s">
        <v>77</v>
      </c>
      <c r="E275" s="231" t="s">
        <v>198</v>
      </c>
      <c r="F275" s="231" t="s">
        <v>842</v>
      </c>
      <c r="G275" s="231">
        <v>197</v>
      </c>
      <c r="H275" s="231" t="s">
        <v>843</v>
      </c>
      <c r="I275" s="231" t="s">
        <v>301</v>
      </c>
      <c r="J275" s="231" t="s">
        <v>401</v>
      </c>
      <c r="K275" s="231" t="s">
        <v>844</v>
      </c>
      <c r="L275" s="232" t="s">
        <v>793</v>
      </c>
      <c r="M275" s="232">
        <v>46299.570138888892</v>
      </c>
      <c r="N275" s="231" t="s">
        <v>381</v>
      </c>
      <c r="O275" s="158"/>
      <c r="P275" s="146"/>
      <c r="Q275" s="146"/>
      <c r="R275" s="146"/>
      <c r="S275" s="146"/>
      <c r="T275" s="146"/>
      <c r="U275" s="146"/>
      <c r="V275" s="146"/>
      <c r="W275" s="146"/>
      <c r="X275" s="146"/>
      <c r="Y275" s="146"/>
      <c r="Z275" s="146"/>
      <c r="AA275" s="146"/>
      <c r="AB275" s="146"/>
      <c r="AC275" s="146"/>
      <c r="AD275" s="146"/>
      <c r="AE275" s="146"/>
      <c r="AF275" s="187" t="str">
        <f t="shared" si="19"/>
        <v/>
      </c>
      <c r="AG275" s="54" t="b">
        <f t="shared" si="21"/>
        <v>0</v>
      </c>
      <c r="AH275" s="167"/>
      <c r="AI275" s="210" t="s">
        <v>6</v>
      </c>
      <c r="AJ275" s="97" t="str">
        <f t="shared" si="20"/>
        <v>GUARULHOS</v>
      </c>
      <c r="AK275" s="213" t="s">
        <v>39</v>
      </c>
      <c r="AL275" s="53">
        <v>0.78227536119258545</v>
      </c>
      <c r="AM275" s="53" t="str" cm="1">
        <f t="array" ref="AM275">IF(OR(O275&lt;&gt;"", SUMPRODUCT(($AN$2:$AN$5000=AN275)*($AL$2:$AL$5000&lt;=AL275)) &lt;= (COUNTIF($AN$2:$AN$5000,AN275)*0.5)), "SORTEADO", "-")</f>
        <v>-</v>
      </c>
      <c r="AN275" s="232" t="s">
        <v>793</v>
      </c>
    </row>
    <row r="276" spans="1:40" ht="30" hidden="1" customHeight="1" x14ac:dyDescent="0.2">
      <c r="A276" s="231" t="s">
        <v>197</v>
      </c>
      <c r="B276" s="231">
        <v>2690154286</v>
      </c>
      <c r="C276" s="231" t="s">
        <v>89</v>
      </c>
      <c r="D276" s="231" t="s">
        <v>77</v>
      </c>
      <c r="E276" s="231" t="s">
        <v>198</v>
      </c>
      <c r="F276" s="231" t="s">
        <v>842</v>
      </c>
      <c r="G276" s="231">
        <v>197</v>
      </c>
      <c r="H276" s="231" t="s">
        <v>843</v>
      </c>
      <c r="I276" s="231" t="s">
        <v>301</v>
      </c>
      <c r="J276" s="231" t="s">
        <v>346</v>
      </c>
      <c r="K276" s="231" t="s">
        <v>845</v>
      </c>
      <c r="L276" s="232" t="s">
        <v>793</v>
      </c>
      <c r="M276" s="232">
        <v>46299.571527777778</v>
      </c>
      <c r="N276" s="231" t="s">
        <v>381</v>
      </c>
      <c r="O276" s="158"/>
      <c r="P276" s="146"/>
      <c r="Q276" s="146"/>
      <c r="R276" s="146"/>
      <c r="S276" s="146"/>
      <c r="T276" s="146"/>
      <c r="U276" s="146"/>
      <c r="V276" s="146"/>
      <c r="W276" s="146"/>
      <c r="X276" s="146"/>
      <c r="Y276" s="146"/>
      <c r="Z276" s="146"/>
      <c r="AA276" s="146"/>
      <c r="AB276" s="146"/>
      <c r="AC276" s="146"/>
      <c r="AD276" s="146"/>
      <c r="AE276" s="146"/>
      <c r="AF276" s="187" t="str">
        <f t="shared" si="19"/>
        <v/>
      </c>
      <c r="AG276" s="54" t="b">
        <f t="shared" si="21"/>
        <v>0</v>
      </c>
      <c r="AH276" s="167"/>
      <c r="AI276" s="210" t="s">
        <v>6</v>
      </c>
      <c r="AJ276" s="97" t="str">
        <f t="shared" si="20"/>
        <v>GUARULHOS</v>
      </c>
      <c r="AK276" s="213" t="s">
        <v>39</v>
      </c>
      <c r="AL276" s="53">
        <v>0.60254276128497253</v>
      </c>
      <c r="AM276" s="53" t="str" cm="1">
        <f t="array" ref="AM276">IF(OR(O276&lt;&gt;"", SUMPRODUCT(($AN$2:$AN$5000=AN276)*($AL$2:$AL$5000&lt;=AL276)) &lt;= (COUNTIF($AN$2:$AN$5000,AN276)*0.5)), "SORTEADO", "-")</f>
        <v>-</v>
      </c>
      <c r="AN276" s="232" t="s">
        <v>793</v>
      </c>
    </row>
    <row r="277" spans="1:40" ht="30" hidden="1" customHeight="1" x14ac:dyDescent="0.2">
      <c r="A277" s="231" t="s">
        <v>197</v>
      </c>
      <c r="B277" s="231">
        <v>2615293493</v>
      </c>
      <c r="C277" s="231" t="s">
        <v>89</v>
      </c>
      <c r="D277" s="231" t="s">
        <v>77</v>
      </c>
      <c r="E277" s="231" t="s">
        <v>198</v>
      </c>
      <c r="F277" s="231" t="s">
        <v>842</v>
      </c>
      <c r="G277" s="231">
        <v>197</v>
      </c>
      <c r="H277" s="231" t="s">
        <v>843</v>
      </c>
      <c r="I277" s="231" t="s">
        <v>301</v>
      </c>
      <c r="J277" s="231" t="s">
        <v>346</v>
      </c>
      <c r="K277" s="231" t="s">
        <v>213</v>
      </c>
      <c r="L277" s="232" t="s">
        <v>793</v>
      </c>
      <c r="M277" s="232">
        <v>46299.679861111108</v>
      </c>
      <c r="N277" s="231" t="s">
        <v>381</v>
      </c>
      <c r="O277" s="158"/>
      <c r="P277" s="146"/>
      <c r="Q277" s="146"/>
      <c r="R277" s="146"/>
      <c r="S277" s="146"/>
      <c r="T277" s="146"/>
      <c r="U277" s="146"/>
      <c r="V277" s="146"/>
      <c r="W277" s="146"/>
      <c r="X277" s="146"/>
      <c r="Y277" s="146"/>
      <c r="Z277" s="146"/>
      <c r="AA277" s="146"/>
      <c r="AB277" s="146"/>
      <c r="AC277" s="146"/>
      <c r="AD277" s="146"/>
      <c r="AE277" s="146"/>
      <c r="AF277" s="187" t="str">
        <f t="shared" si="19"/>
        <v/>
      </c>
      <c r="AG277" s="54" t="b">
        <f t="shared" si="21"/>
        <v>0</v>
      </c>
      <c r="AH277" s="167"/>
      <c r="AI277" s="210" t="s">
        <v>6</v>
      </c>
      <c r="AJ277" s="97" t="str">
        <f t="shared" si="20"/>
        <v>GUARULHOS</v>
      </c>
      <c r="AK277" s="213" t="s">
        <v>39</v>
      </c>
      <c r="AL277" s="53">
        <v>0.60575314975401007</v>
      </c>
      <c r="AM277" s="53" t="str" cm="1">
        <f t="array" ref="AM277">IF(OR(O277&lt;&gt;"", SUMPRODUCT(($AN$2:$AN$5000=AN277)*($AL$2:$AL$5000&lt;=AL277)) &lt;= (COUNTIF($AN$2:$AN$5000,AN277)*0.5)), "SORTEADO", "-")</f>
        <v>-</v>
      </c>
      <c r="AN277" s="232" t="s">
        <v>793</v>
      </c>
    </row>
    <row r="278" spans="1:40" ht="30" customHeight="1" x14ac:dyDescent="0.2">
      <c r="A278" s="231" t="s">
        <v>197</v>
      </c>
      <c r="B278" s="231">
        <v>2615248326</v>
      </c>
      <c r="C278" s="231" t="s">
        <v>88</v>
      </c>
      <c r="D278" s="231" t="s">
        <v>77</v>
      </c>
      <c r="E278" s="231" t="s">
        <v>198</v>
      </c>
      <c r="F278" s="231" t="s">
        <v>846</v>
      </c>
      <c r="G278" s="231">
        <v>178</v>
      </c>
      <c r="H278" s="231"/>
      <c r="I278" s="231" t="s">
        <v>394</v>
      </c>
      <c r="J278" s="231" t="s">
        <v>401</v>
      </c>
      <c r="K278" s="231"/>
      <c r="L278" s="232" t="s">
        <v>793</v>
      </c>
      <c r="M278" s="232">
        <v>46299.678472222222</v>
      </c>
      <c r="N278" s="231" t="s">
        <v>381</v>
      </c>
      <c r="O278" s="158" t="s">
        <v>204</v>
      </c>
      <c r="P278" s="146"/>
      <c r="Q278" s="146" t="s">
        <v>204</v>
      </c>
      <c r="R278" s="146"/>
      <c r="S278" s="146" t="s">
        <v>204</v>
      </c>
      <c r="T278" s="146"/>
      <c r="U278" s="146" t="s">
        <v>204</v>
      </c>
      <c r="V278" s="146"/>
      <c r="W278" s="146" t="s">
        <v>61</v>
      </c>
      <c r="X278" s="146"/>
      <c r="Y278" s="146" t="s">
        <v>61</v>
      </c>
      <c r="Z278" s="146"/>
      <c r="AA278" s="146" t="s">
        <v>204</v>
      </c>
      <c r="AB278" s="146"/>
      <c r="AC278" s="146" t="s">
        <v>204</v>
      </c>
      <c r="AD278" s="146"/>
      <c r="AE278" s="146" t="s">
        <v>204</v>
      </c>
      <c r="AF278" s="187" t="str">
        <f t="shared" si="19"/>
        <v>C</v>
      </c>
      <c r="AG278" s="54" t="str">
        <f t="shared" si="21"/>
        <v>UTILIZOU O PDA CORRETAMENTE</v>
      </c>
      <c r="AH278" s="167" t="s">
        <v>204</v>
      </c>
      <c r="AI278" s="210" t="s">
        <v>6</v>
      </c>
      <c r="AJ278" s="97" t="str">
        <f t="shared" si="20"/>
        <v>GUARULHOS</v>
      </c>
      <c r="AK278" s="213" t="s">
        <v>39</v>
      </c>
      <c r="AL278" s="53">
        <v>3.3978107152095705E-2</v>
      </c>
      <c r="AM278" s="53" t="str" cm="1">
        <f t="array" ref="AM278">IF(OR(O278&lt;&gt;"", SUMPRODUCT(($AN$2:$AN$5000=AN278)*($AL$2:$AL$5000&lt;=AL278)) &lt;= (COUNTIF($AN$2:$AN$5000,AN278)*0.5)), "SORTEADO", "-")</f>
        <v>SORTEADO</v>
      </c>
      <c r="AN278" s="232" t="s">
        <v>793</v>
      </c>
    </row>
    <row r="279" spans="1:40" ht="30" hidden="1" customHeight="1" x14ac:dyDescent="0.2">
      <c r="A279" s="231" t="s">
        <v>197</v>
      </c>
      <c r="B279" s="231">
        <v>2615162813</v>
      </c>
      <c r="C279" s="231" t="s">
        <v>98</v>
      </c>
      <c r="D279" s="231" t="s">
        <v>80</v>
      </c>
      <c r="E279" s="231" t="s">
        <v>198</v>
      </c>
      <c r="F279" s="231" t="s">
        <v>847</v>
      </c>
      <c r="G279" s="231">
        <v>196</v>
      </c>
      <c r="H279" s="231" t="s">
        <v>213</v>
      </c>
      <c r="I279" s="231" t="s">
        <v>214</v>
      </c>
      <c r="J279" s="231" t="s">
        <v>297</v>
      </c>
      <c r="K279" s="231" t="s">
        <v>848</v>
      </c>
      <c r="L279" s="232" t="s">
        <v>793</v>
      </c>
      <c r="M279" s="232">
        <v>46299.599305555559</v>
      </c>
      <c r="N279" s="231" t="s">
        <v>348</v>
      </c>
      <c r="O279" s="158"/>
      <c r="P279" s="146"/>
      <c r="Q279" s="146"/>
      <c r="R279" s="209"/>
      <c r="S279" s="146"/>
      <c r="T279" s="146"/>
      <c r="U279" s="146"/>
      <c r="V279" s="146"/>
      <c r="W279" s="146"/>
      <c r="X279" s="146"/>
      <c r="Y279" s="146"/>
      <c r="Z279" s="146"/>
      <c r="AA279" s="146"/>
      <c r="AB279" s="146"/>
      <c r="AC279" s="146"/>
      <c r="AD279" s="146"/>
      <c r="AE279" s="146"/>
      <c r="AF279" s="187" t="str">
        <f t="shared" si="19"/>
        <v/>
      </c>
      <c r="AG279" s="54" t="b">
        <f t="shared" si="21"/>
        <v>0</v>
      </c>
      <c r="AH279" s="167"/>
      <c r="AI279" s="210" t="s">
        <v>6</v>
      </c>
      <c r="AJ279" s="97" t="str">
        <f t="shared" si="20"/>
        <v>GUARULHOS</v>
      </c>
      <c r="AK279" s="213" t="s">
        <v>39</v>
      </c>
      <c r="AL279" s="53">
        <v>0.86368787449076911</v>
      </c>
      <c r="AM279" s="53" t="str" cm="1">
        <f t="array" ref="AM279">IF(OR(O279&lt;&gt;"", SUMPRODUCT(($AN$2:$AN$5000=AN279)*($AL$2:$AL$5000&lt;=AL279)) &lt;= (COUNTIF($AN$2:$AN$5000,AN279)*0.5)), "SORTEADO", "-")</f>
        <v>-</v>
      </c>
      <c r="AN279" s="232" t="s">
        <v>793</v>
      </c>
    </row>
    <row r="280" spans="1:40" ht="30" customHeight="1" x14ac:dyDescent="0.2">
      <c r="A280" s="231" t="s">
        <v>197</v>
      </c>
      <c r="B280" s="231">
        <v>2615094538</v>
      </c>
      <c r="C280" s="231" t="s">
        <v>88</v>
      </c>
      <c r="D280" s="231" t="s">
        <v>77</v>
      </c>
      <c r="E280" s="231" t="s">
        <v>198</v>
      </c>
      <c r="F280" s="231" t="s">
        <v>849</v>
      </c>
      <c r="G280" s="231">
        <v>552</v>
      </c>
      <c r="H280" s="231" t="s">
        <v>252</v>
      </c>
      <c r="I280" s="231" t="s">
        <v>667</v>
      </c>
      <c r="J280" s="231" t="s">
        <v>401</v>
      </c>
      <c r="K280" s="231"/>
      <c r="L280" s="232" t="s">
        <v>793</v>
      </c>
      <c r="M280" s="232">
        <v>46299.65</v>
      </c>
      <c r="N280" s="231" t="s">
        <v>260</v>
      </c>
      <c r="O280" s="158" t="s">
        <v>204</v>
      </c>
      <c r="P280" s="146"/>
      <c r="Q280" s="146" t="s">
        <v>204</v>
      </c>
      <c r="R280" s="209"/>
      <c r="S280" s="146" t="s">
        <v>204</v>
      </c>
      <c r="T280" s="146"/>
      <c r="U280" s="146" t="s">
        <v>204</v>
      </c>
      <c r="V280" s="146"/>
      <c r="W280" s="146" t="s">
        <v>204</v>
      </c>
      <c r="X280" s="146"/>
      <c r="Y280" s="146" t="s">
        <v>61</v>
      </c>
      <c r="Z280" s="146"/>
      <c r="AA280" s="146" t="s">
        <v>204</v>
      </c>
      <c r="AB280" s="146"/>
      <c r="AC280" s="146" t="s">
        <v>204</v>
      </c>
      <c r="AD280" s="146"/>
      <c r="AE280" s="146" t="s">
        <v>204</v>
      </c>
      <c r="AF280" s="187" t="str">
        <f t="shared" si="19"/>
        <v>C</v>
      </c>
      <c r="AG280" s="54" t="str">
        <f t="shared" si="21"/>
        <v>UTILIZOU O PDA CORRETAMENTE</v>
      </c>
      <c r="AH280" s="167" t="s">
        <v>204</v>
      </c>
      <c r="AI280" s="210" t="s">
        <v>6</v>
      </c>
      <c r="AJ280" s="97" t="str">
        <f t="shared" si="20"/>
        <v>GUARULHOS</v>
      </c>
      <c r="AK280" s="213" t="s">
        <v>39</v>
      </c>
      <c r="AL280" s="53">
        <v>0.30815433790727786</v>
      </c>
      <c r="AM280" s="53" t="str" cm="1">
        <f t="array" ref="AM280">IF(OR(O280&lt;&gt;"", SUMPRODUCT(($AN$2:$AN$5000=AN280)*($AL$2:$AL$5000&lt;=AL280)) &lt;= (COUNTIF($AN$2:$AN$5000,AN280)*0.5)), "SORTEADO", "-")</f>
        <v>SORTEADO</v>
      </c>
      <c r="AN280" s="232" t="s">
        <v>793</v>
      </c>
    </row>
    <row r="281" spans="1:40" ht="30" customHeight="1" x14ac:dyDescent="0.2">
      <c r="A281" s="231" t="s">
        <v>197</v>
      </c>
      <c r="B281" s="231">
        <v>2690290968</v>
      </c>
      <c r="C281" s="231" t="s">
        <v>102</v>
      </c>
      <c r="D281" s="231" t="s">
        <v>80</v>
      </c>
      <c r="E281" s="231" t="s">
        <v>198</v>
      </c>
      <c r="F281" s="231" t="s">
        <v>850</v>
      </c>
      <c r="G281" s="231">
        <v>272</v>
      </c>
      <c r="H281" s="231" t="s">
        <v>851</v>
      </c>
      <c r="I281" s="231" t="s">
        <v>531</v>
      </c>
      <c r="J281" s="231" t="s">
        <v>270</v>
      </c>
      <c r="K281" s="231" t="s">
        <v>852</v>
      </c>
      <c r="L281" s="232" t="s">
        <v>802</v>
      </c>
      <c r="M281" s="232">
        <v>46330.539583333331</v>
      </c>
      <c r="N281" s="231" t="s">
        <v>432</v>
      </c>
      <c r="O281" s="158" t="s">
        <v>204</v>
      </c>
      <c r="P281" s="92"/>
      <c r="Q281" s="146" t="s">
        <v>204</v>
      </c>
      <c r="R281" s="92"/>
      <c r="S281" s="146" t="s">
        <v>204</v>
      </c>
      <c r="T281" s="92"/>
      <c r="U281" s="146" t="s">
        <v>204</v>
      </c>
      <c r="V281" s="92"/>
      <c r="W281" s="146" t="s">
        <v>204</v>
      </c>
      <c r="X281" s="92"/>
      <c r="Y281" s="146" t="s">
        <v>61</v>
      </c>
      <c r="Z281" s="92"/>
      <c r="AA281" s="146" t="s">
        <v>204</v>
      </c>
      <c r="AB281" s="92"/>
      <c r="AC281" s="146" t="s">
        <v>204</v>
      </c>
      <c r="AD281" s="92"/>
      <c r="AE281" s="146" t="s">
        <v>204</v>
      </c>
      <c r="AF281" s="187" t="str">
        <f t="shared" si="19"/>
        <v>C</v>
      </c>
      <c r="AG281" s="54" t="str">
        <f t="shared" si="21"/>
        <v>UTILIZOU O PDA CORRETAMENTE</v>
      </c>
      <c r="AH281" s="144" t="s">
        <v>204</v>
      </c>
      <c r="AI281" s="210" t="s">
        <v>6</v>
      </c>
      <c r="AJ281" s="97" t="str">
        <f t="shared" si="20"/>
        <v>GUARULHOS</v>
      </c>
      <c r="AK281" s="213" t="s">
        <v>39</v>
      </c>
      <c r="AL281" s="53">
        <v>3.7231153168448716E-2</v>
      </c>
      <c r="AM281" s="53" t="str" cm="1">
        <f t="array" ref="AM281">IF(OR(O281&lt;&gt;"", SUMPRODUCT(($AN$2:$AN$5000=AN281)*($AL$2:$AL$5000&lt;=AL281)) &lt;= (COUNTIF($AN$2:$AN$5000,AN281)*0.5)), "SORTEADO", "-")</f>
        <v>SORTEADO</v>
      </c>
      <c r="AN281" s="232" t="s">
        <v>802</v>
      </c>
    </row>
    <row r="282" spans="1:40" ht="30" hidden="1" customHeight="1" x14ac:dyDescent="0.2">
      <c r="A282" s="231" t="s">
        <v>197</v>
      </c>
      <c r="B282" s="231">
        <v>2690280803</v>
      </c>
      <c r="C282" s="231" t="s">
        <v>102</v>
      </c>
      <c r="D282" s="231" t="s">
        <v>80</v>
      </c>
      <c r="E282" s="231" t="s">
        <v>198</v>
      </c>
      <c r="F282" s="231" t="s">
        <v>853</v>
      </c>
      <c r="G282" s="231">
        <v>60</v>
      </c>
      <c r="H282" s="231" t="s">
        <v>854</v>
      </c>
      <c r="I282" s="231" t="s">
        <v>301</v>
      </c>
      <c r="J282" s="231" t="s">
        <v>259</v>
      </c>
      <c r="K282" s="231"/>
      <c r="L282" s="232" t="s">
        <v>802</v>
      </c>
      <c r="M282" s="232">
        <v>46330.509722222225</v>
      </c>
      <c r="N282" s="231" t="s">
        <v>250</v>
      </c>
      <c r="O282" s="158"/>
      <c r="P282" s="146"/>
      <c r="Q282" s="146"/>
      <c r="R282" s="146"/>
      <c r="S282" s="146"/>
      <c r="T282" s="146"/>
      <c r="U282" s="146"/>
      <c r="V282" s="146"/>
      <c r="W282" s="146"/>
      <c r="X282" s="146"/>
      <c r="Y282" s="146"/>
      <c r="Z282" s="146"/>
      <c r="AA282" s="146"/>
      <c r="AB282" s="146"/>
      <c r="AC282" s="146"/>
      <c r="AD282" s="146"/>
      <c r="AE282" s="146"/>
      <c r="AF282" s="187" t="str">
        <f t="shared" si="19"/>
        <v/>
      </c>
      <c r="AG282" s="54" t="b">
        <f t="shared" si="21"/>
        <v>0</v>
      </c>
      <c r="AH282" s="146"/>
      <c r="AI282" s="210" t="s">
        <v>6</v>
      </c>
      <c r="AJ282" s="97" t="str">
        <f t="shared" si="20"/>
        <v>GUARULHOS</v>
      </c>
      <c r="AK282" s="213" t="s">
        <v>39</v>
      </c>
      <c r="AL282" s="53">
        <v>0.83603231750055196</v>
      </c>
      <c r="AM282" s="53" t="str" cm="1">
        <f t="array" ref="AM282">IF(OR(O282&lt;&gt;"", SUMPRODUCT(($AN$2:$AN$5000=AN282)*($AL$2:$AL$5000&lt;=AL282)) &lt;= (COUNTIF($AN$2:$AN$5000,AN282)*0.5)), "SORTEADO", "-")</f>
        <v>-</v>
      </c>
      <c r="AN282" s="232" t="s">
        <v>802</v>
      </c>
    </row>
    <row r="283" spans="1:40" ht="30" customHeight="1" x14ac:dyDescent="0.2">
      <c r="A283" s="231" t="s">
        <v>197</v>
      </c>
      <c r="B283" s="231">
        <v>2615298894</v>
      </c>
      <c r="C283" s="231" t="s">
        <v>100</v>
      </c>
      <c r="D283" s="231" t="s">
        <v>78</v>
      </c>
      <c r="E283" s="231" t="s">
        <v>198</v>
      </c>
      <c r="F283" s="231" t="s">
        <v>855</v>
      </c>
      <c r="G283" s="231">
        <v>7</v>
      </c>
      <c r="H283" s="231" t="s">
        <v>213</v>
      </c>
      <c r="I283" s="231" t="s">
        <v>320</v>
      </c>
      <c r="J283" s="231" t="s">
        <v>248</v>
      </c>
      <c r="K283" s="231" t="s">
        <v>856</v>
      </c>
      <c r="L283" s="232" t="s">
        <v>802</v>
      </c>
      <c r="M283" s="232">
        <v>46330.415972222225</v>
      </c>
      <c r="N283" s="231" t="s">
        <v>215</v>
      </c>
      <c r="O283" s="157" t="s">
        <v>204</v>
      </c>
      <c r="P283" s="143"/>
      <c r="Q283" s="144" t="s">
        <v>210</v>
      </c>
      <c r="R283" s="143" t="s">
        <v>857</v>
      </c>
      <c r="S283" s="144" t="s">
        <v>204</v>
      </c>
      <c r="T283" s="143"/>
      <c r="U283" s="144" t="s">
        <v>204</v>
      </c>
      <c r="V283" s="143"/>
      <c r="W283" s="144" t="s">
        <v>204</v>
      </c>
      <c r="X283" s="143"/>
      <c r="Y283" s="144" t="s">
        <v>204</v>
      </c>
      <c r="Z283" s="143"/>
      <c r="AA283" s="144" t="s">
        <v>204</v>
      </c>
      <c r="AB283" s="143"/>
      <c r="AC283" s="144" t="s">
        <v>204</v>
      </c>
      <c r="AD283" s="56"/>
      <c r="AE283" s="144" t="s">
        <v>204</v>
      </c>
      <c r="AF283" s="187" t="str">
        <f t="shared" si="19"/>
        <v>NC</v>
      </c>
      <c r="AG283" s="54" t="str">
        <f t="shared" si="21"/>
        <v>UTILIZOU O PDA CORRETAMENTE. NÃO HÁ FOTOS DE TODAS AS ETAPAS</v>
      </c>
      <c r="AH283" s="144" t="s">
        <v>204</v>
      </c>
      <c r="AI283" s="210" t="s">
        <v>6</v>
      </c>
      <c r="AJ283" s="97" t="str">
        <f t="shared" si="20"/>
        <v>GUARULHOS</v>
      </c>
      <c r="AK283" s="213" t="s">
        <v>39</v>
      </c>
      <c r="AL283" s="53">
        <v>1.0140942329257552E-2</v>
      </c>
      <c r="AM283" s="53" t="str" cm="1">
        <f t="array" ref="AM283">IF(OR(O283&lt;&gt;"", SUMPRODUCT(($AN$2:$AN$5000=AN283)*($AL$2:$AL$5000&lt;=AL283)) &lt;= (COUNTIF($AN$2:$AN$5000,AN283)*0.5)), "SORTEADO", "-")</f>
        <v>SORTEADO</v>
      </c>
      <c r="AN283" s="232" t="s">
        <v>802</v>
      </c>
    </row>
    <row r="284" spans="1:40" ht="30" hidden="1" customHeight="1" x14ac:dyDescent="0.2">
      <c r="A284" s="231" t="s">
        <v>197</v>
      </c>
      <c r="B284" s="231">
        <v>2614626916</v>
      </c>
      <c r="C284" s="231" t="s">
        <v>85</v>
      </c>
      <c r="D284" s="231" t="s">
        <v>76</v>
      </c>
      <c r="E284" s="231" t="s">
        <v>198</v>
      </c>
      <c r="F284" s="231" t="s">
        <v>858</v>
      </c>
      <c r="G284" s="231">
        <v>224</v>
      </c>
      <c r="H284" s="231"/>
      <c r="I284" s="231" t="s">
        <v>859</v>
      </c>
      <c r="J284" s="231" t="s">
        <v>85</v>
      </c>
      <c r="K284" s="231"/>
      <c r="L284" s="232" t="s">
        <v>802</v>
      </c>
      <c r="M284" s="232">
        <v>46330.521527777775</v>
      </c>
      <c r="N284" s="231" t="s">
        <v>215</v>
      </c>
      <c r="O284" s="158"/>
      <c r="P284" s="92"/>
      <c r="Q284" s="146"/>
      <c r="R284" s="92"/>
      <c r="S284" s="146"/>
      <c r="T284" s="92"/>
      <c r="U284" s="146"/>
      <c r="V284" s="92"/>
      <c r="W284" s="146"/>
      <c r="X284" s="92"/>
      <c r="Y284" s="146"/>
      <c r="Z284" s="92"/>
      <c r="AA284" s="146"/>
      <c r="AB284" s="92"/>
      <c r="AC284" s="146"/>
      <c r="AD284" s="92"/>
      <c r="AE284" s="146"/>
      <c r="AF284" s="187" t="str">
        <f t="shared" si="19"/>
        <v/>
      </c>
      <c r="AG284" s="54" t="b">
        <f t="shared" si="21"/>
        <v>0</v>
      </c>
      <c r="AH284" s="146"/>
      <c r="AI284" s="210" t="s">
        <v>6</v>
      </c>
      <c r="AJ284" s="97" t="str">
        <f t="shared" si="20"/>
        <v>GUARULHOS</v>
      </c>
      <c r="AK284" s="213" t="s">
        <v>39</v>
      </c>
      <c r="AL284" s="53">
        <v>0.82412249709405805</v>
      </c>
      <c r="AM284" s="53" t="str" cm="1">
        <f t="array" ref="AM284">IF(OR(O284&lt;&gt;"", SUMPRODUCT(($AN$2:$AN$5000=AN284)*($AL$2:$AL$5000&lt;=AL284)) &lt;= (COUNTIF($AN$2:$AN$5000,AN284)*0.5)), "SORTEADO", "-")</f>
        <v>-</v>
      </c>
      <c r="AN284" s="232" t="s">
        <v>802</v>
      </c>
    </row>
    <row r="285" spans="1:40" ht="30" hidden="1" customHeight="1" x14ac:dyDescent="0.2">
      <c r="A285" s="231" t="s">
        <v>197</v>
      </c>
      <c r="B285" s="231">
        <v>2615420509</v>
      </c>
      <c r="C285" s="231" t="s">
        <v>105</v>
      </c>
      <c r="D285" s="231" t="s">
        <v>80</v>
      </c>
      <c r="E285" s="231" t="s">
        <v>198</v>
      </c>
      <c r="F285" s="231" t="s">
        <v>759</v>
      </c>
      <c r="G285" s="231">
        <v>1291</v>
      </c>
      <c r="H285" s="231" t="s">
        <v>213</v>
      </c>
      <c r="I285" s="231" t="s">
        <v>436</v>
      </c>
      <c r="J285" s="231" t="s">
        <v>226</v>
      </c>
      <c r="K285" s="231" t="s">
        <v>860</v>
      </c>
      <c r="L285" s="232" t="s">
        <v>802</v>
      </c>
      <c r="M285" s="232">
        <v>46330.478472222225</v>
      </c>
      <c r="N285" s="231" t="s">
        <v>287</v>
      </c>
      <c r="O285" s="158"/>
      <c r="P285" s="92"/>
      <c r="Q285" s="146"/>
      <c r="R285" s="92"/>
      <c r="S285" s="146"/>
      <c r="T285" s="92"/>
      <c r="U285" s="146"/>
      <c r="V285" s="92"/>
      <c r="W285" s="146"/>
      <c r="X285" s="92"/>
      <c r="Y285" s="146"/>
      <c r="Z285" s="92"/>
      <c r="AA285" s="146"/>
      <c r="AB285" s="92"/>
      <c r="AC285" s="146"/>
      <c r="AD285" s="92"/>
      <c r="AE285" s="146"/>
      <c r="AF285" s="187" t="str">
        <f t="shared" si="19"/>
        <v/>
      </c>
      <c r="AG285" s="54" t="b">
        <f t="shared" si="21"/>
        <v>0</v>
      </c>
      <c r="AH285" s="146"/>
      <c r="AI285" s="210" t="s">
        <v>6</v>
      </c>
      <c r="AJ285" s="97" t="str">
        <f t="shared" si="20"/>
        <v>GUARULHOS</v>
      </c>
      <c r="AK285" s="213" t="s">
        <v>39</v>
      </c>
      <c r="AL285" s="53">
        <v>0.9653810449324719</v>
      </c>
      <c r="AM285" s="53" t="str" cm="1">
        <f t="array" ref="AM285">IF(OR(O285&lt;&gt;"", SUMPRODUCT(($AN$2:$AN$5000=AN285)*($AL$2:$AL$5000&lt;=AL285)) &lt;= (COUNTIF($AN$2:$AN$5000,AN285)*0.5)), "SORTEADO", "-")</f>
        <v>-</v>
      </c>
      <c r="AN285" s="232" t="s">
        <v>802</v>
      </c>
    </row>
    <row r="286" spans="1:40" ht="30" customHeight="1" x14ac:dyDescent="0.2">
      <c r="A286" s="231" t="s">
        <v>197</v>
      </c>
      <c r="B286" s="231">
        <v>2690293295</v>
      </c>
      <c r="C286" s="231" t="s">
        <v>102</v>
      </c>
      <c r="D286" s="231" t="s">
        <v>80</v>
      </c>
      <c r="E286" s="231" t="s">
        <v>198</v>
      </c>
      <c r="F286" s="231" t="s">
        <v>861</v>
      </c>
      <c r="G286" s="231">
        <v>398</v>
      </c>
      <c r="H286" s="231"/>
      <c r="I286" s="231" t="s">
        <v>411</v>
      </c>
      <c r="J286" s="231" t="s">
        <v>259</v>
      </c>
      <c r="K286" s="231" t="s">
        <v>862</v>
      </c>
      <c r="L286" s="232" t="s">
        <v>802</v>
      </c>
      <c r="M286" s="232">
        <v>46330.55</v>
      </c>
      <c r="N286" s="231" t="s">
        <v>237</v>
      </c>
      <c r="O286" s="158" t="s">
        <v>204</v>
      </c>
      <c r="P286" s="92"/>
      <c r="Q286" s="146" t="s">
        <v>204</v>
      </c>
      <c r="R286" s="92"/>
      <c r="S286" s="146" t="s">
        <v>204</v>
      </c>
      <c r="T286" s="92"/>
      <c r="U286" s="146" t="s">
        <v>204</v>
      </c>
      <c r="V286" s="92"/>
      <c r="W286" s="146" t="s">
        <v>204</v>
      </c>
      <c r="X286" s="92"/>
      <c r="Y286" s="146" t="s">
        <v>61</v>
      </c>
      <c r="Z286" s="92"/>
      <c r="AA286" s="146" t="s">
        <v>204</v>
      </c>
      <c r="AB286" s="92"/>
      <c r="AC286" s="146" t="s">
        <v>204</v>
      </c>
      <c r="AD286" s="92"/>
      <c r="AE286" s="146" t="s">
        <v>204</v>
      </c>
      <c r="AF286" s="187" t="str">
        <f t="shared" si="19"/>
        <v>C</v>
      </c>
      <c r="AG286" s="54" t="str">
        <f t="shared" si="21"/>
        <v>UTILIZOU O PDA CORRETAMENTE</v>
      </c>
      <c r="AH286" s="144" t="s">
        <v>204</v>
      </c>
      <c r="AI286" s="210" t="s">
        <v>6</v>
      </c>
      <c r="AJ286" s="97" t="str">
        <f t="shared" si="20"/>
        <v>GUARULHOS</v>
      </c>
      <c r="AK286" s="213" t="s">
        <v>39</v>
      </c>
      <c r="AL286" s="53">
        <v>2.9616064830782496E-2</v>
      </c>
      <c r="AM286" s="53" t="str" cm="1">
        <f t="array" ref="AM286">IF(OR(O286&lt;&gt;"", SUMPRODUCT(($AN$2:$AN$5000=AN286)*($AL$2:$AL$5000&lt;=AL286)) &lt;= (COUNTIF($AN$2:$AN$5000,AN286)*0.5)), "SORTEADO", "-")</f>
        <v>SORTEADO</v>
      </c>
      <c r="AN286" s="232" t="s">
        <v>802</v>
      </c>
    </row>
    <row r="287" spans="1:40" ht="30" hidden="1" customHeight="1" x14ac:dyDescent="0.2">
      <c r="A287" s="231" t="s">
        <v>197</v>
      </c>
      <c r="B287" s="231">
        <v>2615158839</v>
      </c>
      <c r="C287" s="231" t="s">
        <v>100</v>
      </c>
      <c r="D287" s="231" t="s">
        <v>78</v>
      </c>
      <c r="E287" s="231" t="s">
        <v>198</v>
      </c>
      <c r="F287" s="231" t="s">
        <v>863</v>
      </c>
      <c r="G287" s="231">
        <v>1118</v>
      </c>
      <c r="H287" s="231" t="s">
        <v>864</v>
      </c>
      <c r="I287" s="231" t="s">
        <v>436</v>
      </c>
      <c r="J287" s="231" t="s">
        <v>248</v>
      </c>
      <c r="K287" s="231" t="s">
        <v>865</v>
      </c>
      <c r="L287" s="232" t="s">
        <v>866</v>
      </c>
      <c r="M287" s="232">
        <v>46360.429861111108</v>
      </c>
      <c r="N287" s="231" t="s">
        <v>250</v>
      </c>
      <c r="O287" s="158"/>
      <c r="P287" s="92"/>
      <c r="Q287" s="146"/>
      <c r="R287" s="92"/>
      <c r="S287" s="146"/>
      <c r="T287" s="92"/>
      <c r="U287" s="146"/>
      <c r="V287" s="92"/>
      <c r="W287" s="146"/>
      <c r="X287" s="92"/>
      <c r="Y287" s="146"/>
      <c r="Z287" s="92"/>
      <c r="AA287" s="146"/>
      <c r="AB287" s="92"/>
      <c r="AC287" s="146"/>
      <c r="AD287" s="92"/>
      <c r="AE287" s="146"/>
      <c r="AF287" s="187" t="str">
        <f t="shared" si="19"/>
        <v/>
      </c>
      <c r="AG287" s="54" t="b">
        <f t="shared" si="21"/>
        <v>0</v>
      </c>
      <c r="AH287" s="146"/>
      <c r="AI287" s="210" t="s">
        <v>6</v>
      </c>
      <c r="AJ287" s="97" t="str">
        <f t="shared" si="20"/>
        <v>GUARULHOS</v>
      </c>
      <c r="AK287" s="213" t="s">
        <v>39</v>
      </c>
      <c r="AL287" s="53">
        <v>0.6564874260097443</v>
      </c>
      <c r="AM287" s="53" t="str" cm="1">
        <f t="array" ref="AM287">IF(OR(O287&lt;&gt;"", SUMPRODUCT(($AN$2:$AN$5000=AN287)*($AL$2:$AL$5000&lt;=AL287)) &lt;= (COUNTIF($AN$2:$AN$5000,AN287)*0.5)), "SORTEADO", "-")</f>
        <v>-</v>
      </c>
      <c r="AN287" s="232" t="s">
        <v>866</v>
      </c>
    </row>
    <row r="288" spans="1:40" ht="30" hidden="1" customHeight="1" x14ac:dyDescent="0.2">
      <c r="A288" s="231" t="s">
        <v>197</v>
      </c>
      <c r="B288" s="231">
        <v>2614847500</v>
      </c>
      <c r="C288" s="231" t="s">
        <v>100</v>
      </c>
      <c r="D288" s="231" t="s">
        <v>78</v>
      </c>
      <c r="E288" s="231" t="s">
        <v>198</v>
      </c>
      <c r="F288" s="231" t="s">
        <v>781</v>
      </c>
      <c r="G288" s="231">
        <v>170</v>
      </c>
      <c r="H288" s="231" t="s">
        <v>213</v>
      </c>
      <c r="I288" s="231" t="s">
        <v>262</v>
      </c>
      <c r="J288" s="231" t="s">
        <v>248</v>
      </c>
      <c r="K288" s="231" t="s">
        <v>213</v>
      </c>
      <c r="L288" s="232" t="s">
        <v>802</v>
      </c>
      <c r="M288" s="232">
        <v>46330.543749999997</v>
      </c>
      <c r="N288" s="231" t="s">
        <v>228</v>
      </c>
      <c r="O288" s="158"/>
      <c r="P288" s="92"/>
      <c r="Q288" s="171"/>
      <c r="R288" s="92"/>
      <c r="S288" s="171"/>
      <c r="T288" s="92"/>
      <c r="U288" s="171"/>
      <c r="V288" s="92"/>
      <c r="W288" s="171"/>
      <c r="X288" s="92"/>
      <c r="Y288" s="171"/>
      <c r="Z288" s="92"/>
      <c r="AA288" s="171"/>
      <c r="AB288" s="92"/>
      <c r="AC288" s="171"/>
      <c r="AD288" s="92"/>
      <c r="AE288" s="171"/>
      <c r="AF288" s="187" t="str">
        <f t="shared" si="19"/>
        <v/>
      </c>
      <c r="AG288" s="54" t="b">
        <f t="shared" si="21"/>
        <v>0</v>
      </c>
      <c r="AH288" s="171"/>
      <c r="AI288" s="210" t="s">
        <v>6</v>
      </c>
      <c r="AJ288" s="97" t="str">
        <f t="shared" si="20"/>
        <v>GUARULHOS</v>
      </c>
      <c r="AK288" s="213" t="s">
        <v>39</v>
      </c>
      <c r="AL288" s="53">
        <v>0.6875141107630891</v>
      </c>
      <c r="AM288" s="53" t="str" cm="1">
        <f t="array" ref="AM288">IF(OR(O288&lt;&gt;"", SUMPRODUCT(($AN$2:$AN$5000=AN288)*($AL$2:$AL$5000&lt;=AL288)) &lt;= (COUNTIF($AN$2:$AN$5000,AN288)*0.5)), "SORTEADO", "-")</f>
        <v>-</v>
      </c>
      <c r="AN288" s="232" t="s">
        <v>802</v>
      </c>
    </row>
    <row r="289" spans="1:40" ht="30" hidden="1" customHeight="1" x14ac:dyDescent="0.2">
      <c r="A289" s="231" t="s">
        <v>197</v>
      </c>
      <c r="B289" s="231">
        <v>2690238285</v>
      </c>
      <c r="C289" s="231" t="s">
        <v>98</v>
      </c>
      <c r="D289" s="231" t="s">
        <v>80</v>
      </c>
      <c r="E289" s="231" t="s">
        <v>198</v>
      </c>
      <c r="F289" s="231" t="s">
        <v>867</v>
      </c>
      <c r="G289" s="231">
        <v>2739</v>
      </c>
      <c r="H289" s="231" t="s">
        <v>235</v>
      </c>
      <c r="I289" s="231" t="s">
        <v>436</v>
      </c>
      <c r="J289" s="231" t="s">
        <v>297</v>
      </c>
      <c r="K289" s="231" t="s">
        <v>868</v>
      </c>
      <c r="L289" s="232" t="s">
        <v>802</v>
      </c>
      <c r="M289" s="232">
        <v>46330.429166666669</v>
      </c>
      <c r="N289" s="231" t="s">
        <v>250</v>
      </c>
      <c r="O289" s="158"/>
      <c r="P289" s="92"/>
      <c r="Q289" s="146"/>
      <c r="R289" s="92"/>
      <c r="S289" s="146"/>
      <c r="T289" s="92"/>
      <c r="U289" s="146"/>
      <c r="V289" s="92"/>
      <c r="W289" s="146"/>
      <c r="X289" s="92"/>
      <c r="Y289" s="146"/>
      <c r="Z289" s="92"/>
      <c r="AA289" s="146"/>
      <c r="AB289" s="92"/>
      <c r="AC289" s="146"/>
      <c r="AD289" s="92"/>
      <c r="AE289" s="146"/>
      <c r="AF289" s="187" t="str">
        <f t="shared" si="19"/>
        <v/>
      </c>
      <c r="AG289" s="54" t="b">
        <f t="shared" si="21"/>
        <v>0</v>
      </c>
      <c r="AH289" s="146"/>
      <c r="AI289" s="210" t="s">
        <v>6</v>
      </c>
      <c r="AJ289" s="97" t="str">
        <f t="shared" si="20"/>
        <v>GUARULHOS</v>
      </c>
      <c r="AK289" s="213" t="s">
        <v>39</v>
      </c>
      <c r="AL289" s="53">
        <v>0.50940365179684</v>
      </c>
      <c r="AM289" s="53" t="str" cm="1">
        <f t="array" ref="AM289">IF(OR(O289&lt;&gt;"", SUMPRODUCT(($AN$2:$AN$5000=AN289)*($AL$2:$AL$5000&lt;=AL289)) &lt;= (COUNTIF($AN$2:$AN$5000,AN289)*0.5)), "SORTEADO", "-")</f>
        <v>-</v>
      </c>
      <c r="AN289" s="232" t="s">
        <v>802</v>
      </c>
    </row>
    <row r="290" spans="1:40" ht="30" customHeight="1" x14ac:dyDescent="0.2">
      <c r="A290" s="231" t="s">
        <v>197</v>
      </c>
      <c r="B290" s="231">
        <v>2615334591</v>
      </c>
      <c r="C290" s="231" t="s">
        <v>102</v>
      </c>
      <c r="D290" s="231" t="s">
        <v>80</v>
      </c>
      <c r="E290" s="231" t="s">
        <v>198</v>
      </c>
      <c r="F290" s="231" t="s">
        <v>869</v>
      </c>
      <c r="G290" s="231">
        <v>48</v>
      </c>
      <c r="H290" s="231" t="s">
        <v>213</v>
      </c>
      <c r="I290" s="231" t="s">
        <v>436</v>
      </c>
      <c r="J290" s="231" t="s">
        <v>270</v>
      </c>
      <c r="K290" s="231" t="s">
        <v>860</v>
      </c>
      <c r="L290" s="232" t="s">
        <v>802</v>
      </c>
      <c r="M290" s="232">
        <v>46330.482638888891</v>
      </c>
      <c r="N290" s="231" t="s">
        <v>287</v>
      </c>
      <c r="O290" s="158" t="s">
        <v>204</v>
      </c>
      <c r="P290" s="92"/>
      <c r="Q290" s="146" t="s">
        <v>204</v>
      </c>
      <c r="R290" s="92"/>
      <c r="S290" s="146" t="s">
        <v>204</v>
      </c>
      <c r="T290" s="92"/>
      <c r="U290" s="146" t="s">
        <v>204</v>
      </c>
      <c r="V290" s="92"/>
      <c r="W290" s="146" t="s">
        <v>204</v>
      </c>
      <c r="X290" s="92"/>
      <c r="Y290" s="146" t="s">
        <v>61</v>
      </c>
      <c r="Z290" s="92"/>
      <c r="AA290" s="146" t="s">
        <v>204</v>
      </c>
      <c r="AB290" s="92"/>
      <c r="AC290" s="146" t="s">
        <v>204</v>
      </c>
      <c r="AD290" s="92"/>
      <c r="AE290" s="146" t="s">
        <v>204</v>
      </c>
      <c r="AF290" s="187" t="str">
        <f t="shared" si="19"/>
        <v>C</v>
      </c>
      <c r="AG290" s="54" t="str">
        <f t="shared" si="21"/>
        <v>UTILIZOU O PDA CORRETAMENTE</v>
      </c>
      <c r="AH290" s="144" t="s">
        <v>204</v>
      </c>
      <c r="AI290" s="210" t="s">
        <v>6</v>
      </c>
      <c r="AJ290" s="97" t="str">
        <f t="shared" si="20"/>
        <v>GUARULHOS</v>
      </c>
      <c r="AK290" s="213" t="s">
        <v>39</v>
      </c>
      <c r="AL290" s="53">
        <v>0.1040009537237937</v>
      </c>
      <c r="AM290" s="53" t="str" cm="1">
        <f t="array" ref="AM290">IF(OR(O290&lt;&gt;"", SUMPRODUCT(($AN$2:$AN$5000=AN290)*($AL$2:$AL$5000&lt;=AL290)) &lt;= (COUNTIF($AN$2:$AN$5000,AN290)*0.5)), "SORTEADO", "-")</f>
        <v>SORTEADO</v>
      </c>
      <c r="AN290" s="232" t="s">
        <v>802</v>
      </c>
    </row>
    <row r="291" spans="1:40" ht="30" hidden="1" customHeight="1" x14ac:dyDescent="0.2">
      <c r="A291" s="231" t="s">
        <v>197</v>
      </c>
      <c r="B291" s="231">
        <v>2690322299</v>
      </c>
      <c r="C291" s="231" t="s">
        <v>106</v>
      </c>
      <c r="D291" s="231" t="s">
        <v>80</v>
      </c>
      <c r="E291" s="231" t="s">
        <v>198</v>
      </c>
      <c r="F291" s="231" t="s">
        <v>870</v>
      </c>
      <c r="G291" s="231">
        <v>536</v>
      </c>
      <c r="H291" s="231" t="s">
        <v>871</v>
      </c>
      <c r="I291" s="231" t="s">
        <v>326</v>
      </c>
      <c r="J291" s="231" t="s">
        <v>270</v>
      </c>
      <c r="K291" s="238" t="s">
        <v>872</v>
      </c>
      <c r="L291" s="232" t="s">
        <v>802</v>
      </c>
      <c r="M291" s="232">
        <v>46330.602777777778</v>
      </c>
      <c r="N291" s="231" t="s">
        <v>432</v>
      </c>
      <c r="O291" s="158"/>
      <c r="P291" s="92"/>
      <c r="Q291" s="146"/>
      <c r="R291" s="92"/>
      <c r="S291" s="146"/>
      <c r="T291" s="92"/>
      <c r="U291" s="146"/>
      <c r="V291" s="92"/>
      <c r="W291" s="146"/>
      <c r="X291" s="92"/>
      <c r="Y291" s="146"/>
      <c r="Z291" s="92"/>
      <c r="AA291" s="146"/>
      <c r="AB291" s="92"/>
      <c r="AC291" s="146"/>
      <c r="AD291" s="92"/>
      <c r="AE291" s="146"/>
      <c r="AF291" s="187" t="str">
        <f t="shared" si="19"/>
        <v/>
      </c>
      <c r="AG291" s="54" t="b">
        <f t="shared" si="21"/>
        <v>0</v>
      </c>
      <c r="AH291" s="146"/>
      <c r="AI291" s="210" t="s">
        <v>6</v>
      </c>
      <c r="AJ291" s="97" t="str">
        <f t="shared" si="20"/>
        <v>GUARULHOS</v>
      </c>
      <c r="AK291" s="213" t="s">
        <v>39</v>
      </c>
      <c r="AL291" s="53">
        <v>0.36619512957287392</v>
      </c>
      <c r="AM291" s="53" t="str" cm="1">
        <f t="array" ref="AM291">IF(OR(O291&lt;&gt;"", SUMPRODUCT(($AN$2:$AN$5000=AN291)*($AL$2:$AL$5000&lt;=AL291)) &lt;= (COUNTIF($AN$2:$AN$5000,AN291)*0.5)), "SORTEADO", "-")</f>
        <v>-</v>
      </c>
      <c r="AN291" s="232" t="s">
        <v>802</v>
      </c>
    </row>
    <row r="292" spans="1:40" ht="30" customHeight="1" x14ac:dyDescent="0.2">
      <c r="A292" s="231" t="s">
        <v>197</v>
      </c>
      <c r="B292" s="231">
        <v>2690280803</v>
      </c>
      <c r="C292" s="231" t="s">
        <v>98</v>
      </c>
      <c r="D292" s="231" t="s">
        <v>80</v>
      </c>
      <c r="E292" s="231" t="s">
        <v>198</v>
      </c>
      <c r="F292" s="231" t="s">
        <v>853</v>
      </c>
      <c r="G292" s="231">
        <v>60</v>
      </c>
      <c r="H292" s="231" t="s">
        <v>854</v>
      </c>
      <c r="I292" s="231" t="s">
        <v>301</v>
      </c>
      <c r="J292" s="231" t="s">
        <v>297</v>
      </c>
      <c r="K292" s="231" t="s">
        <v>213</v>
      </c>
      <c r="L292" s="232" t="s">
        <v>802</v>
      </c>
      <c r="M292" s="232">
        <v>46330.545138888891</v>
      </c>
      <c r="N292" s="231" t="s">
        <v>250</v>
      </c>
      <c r="O292" s="157" t="s">
        <v>204</v>
      </c>
      <c r="P292" s="143"/>
      <c r="Q292" s="144" t="s">
        <v>204</v>
      </c>
      <c r="R292" s="143"/>
      <c r="S292" s="144" t="s">
        <v>204</v>
      </c>
      <c r="T292" s="143"/>
      <c r="U292" s="144" t="s">
        <v>204</v>
      </c>
      <c r="V292" s="143"/>
      <c r="W292" s="144" t="s">
        <v>204</v>
      </c>
      <c r="X292" s="143"/>
      <c r="Y292" s="144" t="s">
        <v>204</v>
      </c>
      <c r="Z292" s="143"/>
      <c r="AA292" s="144" t="s">
        <v>204</v>
      </c>
      <c r="AB292" s="143"/>
      <c r="AC292" s="144" t="s">
        <v>204</v>
      </c>
      <c r="AD292" s="56"/>
      <c r="AE292" s="144" t="s">
        <v>204</v>
      </c>
      <c r="AF292" s="187" t="str">
        <f t="shared" si="19"/>
        <v>C</v>
      </c>
      <c r="AG292" s="54" t="str">
        <f t="shared" si="21"/>
        <v>UTILIZOU O PDA CORRETAMENTE</v>
      </c>
      <c r="AH292" s="144" t="s">
        <v>204</v>
      </c>
      <c r="AI292" s="210" t="s">
        <v>6</v>
      </c>
      <c r="AJ292" s="97" t="str">
        <f t="shared" si="20"/>
        <v>GUARULHOS</v>
      </c>
      <c r="AK292" s="213" t="s">
        <v>39</v>
      </c>
      <c r="AL292" s="53">
        <v>0.13345261759707139</v>
      </c>
      <c r="AM292" s="53" t="str" cm="1">
        <f t="array" ref="AM292">IF(OR(O292&lt;&gt;"", SUMPRODUCT(($AN$2:$AN$5000=AN292)*($AL$2:$AL$5000&lt;=AL292)) &lt;= (COUNTIF($AN$2:$AN$5000,AN292)*0.5)), "SORTEADO", "-")</f>
        <v>SORTEADO</v>
      </c>
      <c r="AN292" s="232" t="s">
        <v>802</v>
      </c>
    </row>
    <row r="293" spans="1:40" ht="30" customHeight="1" x14ac:dyDescent="0.2">
      <c r="A293" s="231" t="s">
        <v>197</v>
      </c>
      <c r="B293" s="231">
        <v>2615094883</v>
      </c>
      <c r="C293" s="231" t="s">
        <v>99</v>
      </c>
      <c r="D293" s="231" t="s">
        <v>80</v>
      </c>
      <c r="E293" s="231" t="s">
        <v>198</v>
      </c>
      <c r="F293" s="231" t="s">
        <v>873</v>
      </c>
      <c r="G293" s="231">
        <v>68</v>
      </c>
      <c r="H293" s="231" t="s">
        <v>874</v>
      </c>
      <c r="I293" s="231" t="s">
        <v>531</v>
      </c>
      <c r="J293" s="231" t="s">
        <v>305</v>
      </c>
      <c r="K293" s="231"/>
      <c r="L293" s="232" t="s">
        <v>802</v>
      </c>
      <c r="M293" s="232">
        <v>46330.575694444444</v>
      </c>
      <c r="N293" s="231" t="s">
        <v>263</v>
      </c>
      <c r="O293" s="157" t="s">
        <v>204</v>
      </c>
      <c r="P293" s="143"/>
      <c r="Q293" s="144" t="s">
        <v>204</v>
      </c>
      <c r="R293" s="143"/>
      <c r="S293" s="144" t="s">
        <v>204</v>
      </c>
      <c r="T293" s="143"/>
      <c r="U293" s="144" t="s">
        <v>204</v>
      </c>
      <c r="V293" s="143"/>
      <c r="W293" s="144" t="s">
        <v>204</v>
      </c>
      <c r="X293" s="143"/>
      <c r="Y293" s="144" t="s">
        <v>204</v>
      </c>
      <c r="Z293" s="143"/>
      <c r="AA293" s="144" t="s">
        <v>204</v>
      </c>
      <c r="AB293" s="143"/>
      <c r="AC293" s="144" t="s">
        <v>204</v>
      </c>
      <c r="AD293" s="56"/>
      <c r="AE293" s="144" t="s">
        <v>204</v>
      </c>
      <c r="AF293" s="187" t="str">
        <f t="shared" si="19"/>
        <v>C</v>
      </c>
      <c r="AG293" s="54" t="str">
        <f t="shared" si="21"/>
        <v>UTILIZOU O PDA CORRETAMENTE</v>
      </c>
      <c r="AH293" s="144" t="s">
        <v>204</v>
      </c>
      <c r="AI293" s="210" t="s">
        <v>6</v>
      </c>
      <c r="AJ293" s="97" t="str">
        <f t="shared" si="20"/>
        <v>GUARULHOS</v>
      </c>
      <c r="AK293" s="213" t="s">
        <v>39</v>
      </c>
      <c r="AL293" s="53">
        <v>0.33502388712188425</v>
      </c>
      <c r="AM293" s="53" t="str" cm="1">
        <f t="array" ref="AM293">IF(OR(O293&lt;&gt;"", SUMPRODUCT(($AN$2:$AN$5000=AN293)*($AL$2:$AL$5000&lt;=AL293)) &lt;= (COUNTIF($AN$2:$AN$5000,AN293)*0.5)), "SORTEADO", "-")</f>
        <v>SORTEADO</v>
      </c>
      <c r="AN293" s="232" t="s">
        <v>802</v>
      </c>
    </row>
    <row r="294" spans="1:40" ht="30" hidden="1" customHeight="1" x14ac:dyDescent="0.2">
      <c r="A294" s="231" t="s">
        <v>197</v>
      </c>
      <c r="B294" s="231">
        <v>2615094883</v>
      </c>
      <c r="C294" s="231" t="s">
        <v>875</v>
      </c>
      <c r="D294" s="231" t="s">
        <v>80</v>
      </c>
      <c r="E294" s="231" t="s">
        <v>198</v>
      </c>
      <c r="F294" s="231" t="s">
        <v>873</v>
      </c>
      <c r="G294" s="231">
        <v>68</v>
      </c>
      <c r="H294" s="231" t="s">
        <v>874</v>
      </c>
      <c r="I294" s="231" t="s">
        <v>531</v>
      </c>
      <c r="J294" s="231" t="s">
        <v>876</v>
      </c>
      <c r="K294" s="231" t="s">
        <v>213</v>
      </c>
      <c r="L294" s="232" t="s">
        <v>802</v>
      </c>
      <c r="M294" s="232">
        <v>46330.57708333333</v>
      </c>
      <c r="N294" s="231" t="s">
        <v>263</v>
      </c>
      <c r="O294" s="158"/>
      <c r="P294" s="92"/>
      <c r="Q294" s="146"/>
      <c r="R294" s="92"/>
      <c r="S294" s="146"/>
      <c r="T294" s="92"/>
      <c r="U294" s="146"/>
      <c r="V294" s="92"/>
      <c r="W294" s="146"/>
      <c r="X294" s="92"/>
      <c r="Y294" s="146"/>
      <c r="Z294" s="92"/>
      <c r="AA294" s="146"/>
      <c r="AB294" s="92"/>
      <c r="AC294" s="146"/>
      <c r="AD294" s="92"/>
      <c r="AE294" s="146"/>
      <c r="AF294" s="187" t="str">
        <f t="shared" si="19"/>
        <v/>
      </c>
      <c r="AG294" s="54" t="b">
        <f t="shared" si="21"/>
        <v>0</v>
      </c>
      <c r="AH294" s="146"/>
      <c r="AI294" s="210" t="s">
        <v>6</v>
      </c>
      <c r="AJ294" s="97" t="str">
        <f t="shared" si="20"/>
        <v>GUARULHOS</v>
      </c>
      <c r="AK294" s="213" t="s">
        <v>39</v>
      </c>
      <c r="AL294" s="53">
        <v>0.97439546327823945</v>
      </c>
      <c r="AM294" s="53" t="str" cm="1">
        <f t="array" ref="AM294">IF(OR(O294&lt;&gt;"", SUMPRODUCT(($AN$2:$AN$5000=AN294)*($AL$2:$AL$5000&lt;=AL294)) &lt;= (COUNTIF($AN$2:$AN$5000,AN294)*0.5)), "SORTEADO", "-")</f>
        <v>-</v>
      </c>
      <c r="AN294" s="232" t="s">
        <v>802</v>
      </c>
    </row>
    <row r="295" spans="1:40" ht="30" customHeight="1" x14ac:dyDescent="0.2">
      <c r="A295" s="231" t="s">
        <v>197</v>
      </c>
      <c r="B295" s="231">
        <v>2690311279</v>
      </c>
      <c r="C295" s="231" t="s">
        <v>98</v>
      </c>
      <c r="D295" s="231" t="s">
        <v>80</v>
      </c>
      <c r="E295" s="231" t="s">
        <v>198</v>
      </c>
      <c r="F295" s="231" t="s">
        <v>877</v>
      </c>
      <c r="G295" s="231">
        <v>81</v>
      </c>
      <c r="H295" s="231" t="s">
        <v>878</v>
      </c>
      <c r="I295" s="231" t="s">
        <v>588</v>
      </c>
      <c r="J295" s="231" t="s">
        <v>297</v>
      </c>
      <c r="K295" s="231"/>
      <c r="L295" s="232" t="s">
        <v>802</v>
      </c>
      <c r="M295" s="232">
        <v>46330.67083333333</v>
      </c>
      <c r="N295" s="231" t="s">
        <v>244</v>
      </c>
      <c r="O295" s="157" t="s">
        <v>204</v>
      </c>
      <c r="P295" s="143"/>
      <c r="Q295" s="144" t="s">
        <v>204</v>
      </c>
      <c r="R295" s="143"/>
      <c r="S295" s="144" t="s">
        <v>204</v>
      </c>
      <c r="T295" s="143"/>
      <c r="U295" s="144" t="s">
        <v>204</v>
      </c>
      <c r="V295" s="143"/>
      <c r="W295" s="144" t="s">
        <v>204</v>
      </c>
      <c r="X295" s="143"/>
      <c r="Y295" s="144" t="s">
        <v>204</v>
      </c>
      <c r="Z295" s="143"/>
      <c r="AA295" s="144" t="s">
        <v>204</v>
      </c>
      <c r="AB295" s="143"/>
      <c r="AC295" s="144" t="s">
        <v>204</v>
      </c>
      <c r="AD295" s="56"/>
      <c r="AE295" s="144" t="s">
        <v>204</v>
      </c>
      <c r="AF295" s="187" t="str">
        <f t="shared" si="19"/>
        <v>C</v>
      </c>
      <c r="AG295" s="54" t="str">
        <f t="shared" si="21"/>
        <v>UTILIZOU O PDA CORRETAMENTE</v>
      </c>
      <c r="AH295" s="144" t="s">
        <v>204</v>
      </c>
      <c r="AI295" s="210" t="s">
        <v>6</v>
      </c>
      <c r="AJ295" s="97" t="str">
        <f t="shared" si="20"/>
        <v>GUARULHOS</v>
      </c>
      <c r="AK295" s="213" t="s">
        <v>39</v>
      </c>
      <c r="AL295" s="53">
        <v>0.15103482833655724</v>
      </c>
      <c r="AM295" s="53" t="str" cm="1">
        <f t="array" ref="AM295">IF(OR(O295&lt;&gt;"", SUMPRODUCT(($AN$2:$AN$5000=AN295)*($AL$2:$AL$5000&lt;=AL295)) &lt;= (COUNTIF($AN$2:$AN$5000,AN295)*0.5)), "SORTEADO", "-")</f>
        <v>SORTEADO</v>
      </c>
      <c r="AN295" s="232" t="s">
        <v>802</v>
      </c>
    </row>
    <row r="296" spans="1:40" ht="30" hidden="1" customHeight="1" x14ac:dyDescent="0.2">
      <c r="A296" s="231" t="s">
        <v>197</v>
      </c>
      <c r="B296" s="231">
        <v>2690331649</v>
      </c>
      <c r="C296" s="231" t="s">
        <v>102</v>
      </c>
      <c r="D296" s="231" t="s">
        <v>80</v>
      </c>
      <c r="E296" s="231" t="s">
        <v>198</v>
      </c>
      <c r="F296" s="231" t="s">
        <v>879</v>
      </c>
      <c r="G296" s="231">
        <v>191</v>
      </c>
      <c r="H296" s="231" t="s">
        <v>880</v>
      </c>
      <c r="I296" s="231" t="s">
        <v>881</v>
      </c>
      <c r="J296" s="231" t="s">
        <v>270</v>
      </c>
      <c r="K296" s="231" t="s">
        <v>213</v>
      </c>
      <c r="L296" s="232" t="s">
        <v>866</v>
      </c>
      <c r="M296" s="232">
        <v>46360.448611111111</v>
      </c>
      <c r="N296" s="231" t="s">
        <v>244</v>
      </c>
      <c r="O296" s="158"/>
      <c r="P296" s="92"/>
      <c r="Q296" s="146"/>
      <c r="R296" s="92"/>
      <c r="S296" s="146"/>
      <c r="T296" s="92"/>
      <c r="U296" s="146"/>
      <c r="V296" s="92"/>
      <c r="W296" s="146"/>
      <c r="X296" s="92"/>
      <c r="Y296" s="146"/>
      <c r="Z296" s="92"/>
      <c r="AA296" s="146"/>
      <c r="AB296" s="92"/>
      <c r="AC296" s="146"/>
      <c r="AD296" s="92"/>
      <c r="AE296" s="146"/>
      <c r="AF296" s="187" t="str">
        <f t="shared" si="19"/>
        <v/>
      </c>
      <c r="AG296" s="54" t="b">
        <f t="shared" si="21"/>
        <v>0</v>
      </c>
      <c r="AH296" s="146"/>
      <c r="AI296" s="210" t="s">
        <v>6</v>
      </c>
      <c r="AJ296" s="97" t="str">
        <f t="shared" si="20"/>
        <v>GUARULHOS</v>
      </c>
      <c r="AK296" s="213" t="s">
        <v>39</v>
      </c>
      <c r="AL296" s="53">
        <v>0.8589514212851197</v>
      </c>
      <c r="AM296" s="53" t="str" cm="1">
        <f t="array" ref="AM296">IF(OR(O296&lt;&gt;"", SUMPRODUCT(($AN$2:$AN$5000=AN296)*($AL$2:$AL$5000&lt;=AL296)) &lt;= (COUNTIF($AN$2:$AN$5000,AN296)*0.5)), "SORTEADO", "-")</f>
        <v>-</v>
      </c>
      <c r="AN296" s="232" t="s">
        <v>866</v>
      </c>
    </row>
    <row r="297" spans="1:40" ht="30" customHeight="1" x14ac:dyDescent="0.2">
      <c r="A297" s="231" t="s">
        <v>197</v>
      </c>
      <c r="B297" s="231">
        <v>2690331156</v>
      </c>
      <c r="C297" s="231" t="s">
        <v>106</v>
      </c>
      <c r="D297" s="231" t="s">
        <v>80</v>
      </c>
      <c r="E297" s="231" t="s">
        <v>198</v>
      </c>
      <c r="F297" s="231" t="s">
        <v>882</v>
      </c>
      <c r="G297" s="231">
        <v>1068</v>
      </c>
      <c r="H297" s="231" t="s">
        <v>883</v>
      </c>
      <c r="I297" s="231" t="s">
        <v>240</v>
      </c>
      <c r="J297" s="231" t="s">
        <v>270</v>
      </c>
      <c r="K297" s="231"/>
      <c r="L297" s="232" t="s">
        <v>866</v>
      </c>
      <c r="M297" s="232">
        <v>46360.399305555555</v>
      </c>
      <c r="N297" s="231" t="s">
        <v>237</v>
      </c>
      <c r="O297" s="158" t="s">
        <v>204</v>
      </c>
      <c r="P297" s="92"/>
      <c r="Q297" s="146" t="s">
        <v>204</v>
      </c>
      <c r="R297" s="92"/>
      <c r="S297" s="146" t="s">
        <v>204</v>
      </c>
      <c r="T297" s="92"/>
      <c r="U297" s="146" t="s">
        <v>204</v>
      </c>
      <c r="V297" s="92"/>
      <c r="W297" s="146" t="s">
        <v>204</v>
      </c>
      <c r="X297" s="92"/>
      <c r="Y297" s="146" t="s">
        <v>61</v>
      </c>
      <c r="Z297" s="92"/>
      <c r="AA297" s="146" t="s">
        <v>204</v>
      </c>
      <c r="AB297" s="92"/>
      <c r="AC297" s="146" t="s">
        <v>204</v>
      </c>
      <c r="AD297" s="92"/>
      <c r="AE297" s="146" t="s">
        <v>204</v>
      </c>
      <c r="AF297" s="187" t="str">
        <f t="shared" si="19"/>
        <v>C</v>
      </c>
      <c r="AG297" s="54" t="str">
        <f t="shared" si="21"/>
        <v>UTILIZOU O PDA CORRETAMENTE</v>
      </c>
      <c r="AH297" s="144" t="s">
        <v>204</v>
      </c>
      <c r="AI297" s="210" t="s">
        <v>6</v>
      </c>
      <c r="AJ297" s="97" t="str">
        <f t="shared" si="20"/>
        <v>GUARULHOS</v>
      </c>
      <c r="AK297" s="213" t="s">
        <v>39</v>
      </c>
      <c r="AL297" s="53">
        <v>0.12485123137523468</v>
      </c>
      <c r="AM297" s="53" t="str" cm="1">
        <f t="array" ref="AM297">IF(OR(O297&lt;&gt;"", SUMPRODUCT(($AN$2:$AN$5000=AN297)*($AL$2:$AL$5000&lt;=AL297)) &lt;= (COUNTIF($AN$2:$AN$5000,AN297)*0.5)), "SORTEADO", "-")</f>
        <v>SORTEADO</v>
      </c>
      <c r="AN297" s="232" t="s">
        <v>866</v>
      </c>
    </row>
    <row r="298" spans="1:40" ht="30" hidden="1" customHeight="1" x14ac:dyDescent="0.2">
      <c r="A298" s="231" t="s">
        <v>197</v>
      </c>
      <c r="B298" s="231">
        <v>2690346881</v>
      </c>
      <c r="C298" s="231" t="s">
        <v>106</v>
      </c>
      <c r="D298" s="231" t="s">
        <v>80</v>
      </c>
      <c r="E298" s="231" t="s">
        <v>198</v>
      </c>
      <c r="F298" s="231" t="s">
        <v>884</v>
      </c>
      <c r="G298" s="231">
        <v>527</v>
      </c>
      <c r="H298" s="231" t="s">
        <v>885</v>
      </c>
      <c r="I298" s="231" t="s">
        <v>716</v>
      </c>
      <c r="J298" s="231" t="s">
        <v>270</v>
      </c>
      <c r="K298" s="231" t="s">
        <v>532</v>
      </c>
      <c r="L298" s="232" t="s">
        <v>866</v>
      </c>
      <c r="M298" s="232">
        <v>46360.405555555553</v>
      </c>
      <c r="N298" s="231" t="s">
        <v>432</v>
      </c>
      <c r="O298" s="158"/>
      <c r="P298" s="92"/>
      <c r="Q298" s="146"/>
      <c r="R298" s="92"/>
      <c r="S298" s="146"/>
      <c r="T298" s="92"/>
      <c r="U298" s="146"/>
      <c r="V298" s="92"/>
      <c r="W298" s="146"/>
      <c r="X298" s="92"/>
      <c r="Y298" s="146"/>
      <c r="Z298" s="92"/>
      <c r="AA298" s="146"/>
      <c r="AB298" s="92"/>
      <c r="AC298" s="146"/>
      <c r="AD298" s="92"/>
      <c r="AE298" s="146"/>
      <c r="AF298" s="187" t="str">
        <f t="shared" si="19"/>
        <v/>
      </c>
      <c r="AG298" s="54" t="b">
        <f t="shared" si="21"/>
        <v>0</v>
      </c>
      <c r="AH298" s="146"/>
      <c r="AI298" s="210" t="s">
        <v>6</v>
      </c>
      <c r="AJ298" s="97" t="str">
        <f t="shared" si="20"/>
        <v>GUARULHOS</v>
      </c>
      <c r="AK298" s="213" t="s">
        <v>39</v>
      </c>
      <c r="AL298" s="53">
        <v>0.98049059422889551</v>
      </c>
      <c r="AM298" s="53" t="str" cm="1">
        <f t="array" ref="AM298">IF(OR(O298&lt;&gt;"", SUMPRODUCT(($AN$2:$AN$5000=AN298)*($AL$2:$AL$5000&lt;=AL298)) &lt;= (COUNTIF($AN$2:$AN$5000,AN298)*0.5)), "SORTEADO", "-")</f>
        <v>-</v>
      </c>
      <c r="AN298" s="232" t="s">
        <v>866</v>
      </c>
    </row>
    <row r="299" spans="1:40" ht="30" customHeight="1" x14ac:dyDescent="0.2">
      <c r="A299" s="231" t="s">
        <v>197</v>
      </c>
      <c r="B299" s="231">
        <v>2614440037</v>
      </c>
      <c r="C299" s="231" t="s">
        <v>96</v>
      </c>
      <c r="D299" s="231" t="s">
        <v>76</v>
      </c>
      <c r="E299" s="231" t="s">
        <v>198</v>
      </c>
      <c r="F299" s="231" t="s">
        <v>533</v>
      </c>
      <c r="G299" s="231">
        <v>322</v>
      </c>
      <c r="H299" s="231" t="s">
        <v>217</v>
      </c>
      <c r="I299" s="231" t="s">
        <v>214</v>
      </c>
      <c r="J299" s="231" t="s">
        <v>96</v>
      </c>
      <c r="K299" s="231"/>
      <c r="L299" s="232" t="s">
        <v>866</v>
      </c>
      <c r="M299" s="232">
        <v>46360.493750000001</v>
      </c>
      <c r="N299" s="231" t="s">
        <v>203</v>
      </c>
      <c r="O299" s="158" t="s">
        <v>204</v>
      </c>
      <c r="P299" s="92"/>
      <c r="Q299" s="146" t="s">
        <v>204</v>
      </c>
      <c r="R299" s="92"/>
      <c r="S299" s="146" t="s">
        <v>204</v>
      </c>
      <c r="T299" s="92"/>
      <c r="U299" s="146" t="s">
        <v>204</v>
      </c>
      <c r="V299" s="92"/>
      <c r="W299" s="146" t="s">
        <v>204</v>
      </c>
      <c r="X299" s="92"/>
      <c r="Y299" s="146" t="s">
        <v>204</v>
      </c>
      <c r="Z299" s="92"/>
      <c r="AA299" s="146" t="s">
        <v>204</v>
      </c>
      <c r="AB299" s="92"/>
      <c r="AC299" s="146" t="s">
        <v>204</v>
      </c>
      <c r="AD299" s="92"/>
      <c r="AE299" s="146" t="s">
        <v>204</v>
      </c>
      <c r="AF299" s="187" t="str">
        <f t="shared" si="19"/>
        <v>C</v>
      </c>
      <c r="AG299" s="54" t="str">
        <f t="shared" si="21"/>
        <v>UTILIZOU O PDA CORRETAMENTE</v>
      </c>
      <c r="AH299" s="146" t="s">
        <v>204</v>
      </c>
      <c r="AI299" s="210" t="s">
        <v>6</v>
      </c>
      <c r="AJ299" s="97" t="str">
        <f t="shared" si="20"/>
        <v>GUARULHOS</v>
      </c>
      <c r="AK299" s="213" t="s">
        <v>39</v>
      </c>
      <c r="AL299" s="53">
        <v>-5.96E-2</v>
      </c>
      <c r="AM299" s="53" t="str" cm="1">
        <f t="array" ref="AM299">IF(OR(O299&lt;&gt;"", SUMPRODUCT(($AN$2:$AN$5000=AN299)*($AL$2:$AL$5000&lt;=AL299)) &lt;= (COUNTIF($AN$2:$AN$5000,AN299)*0.5)), "SORTEADO", "-")</f>
        <v>SORTEADO</v>
      </c>
      <c r="AN299" s="232" t="s">
        <v>866</v>
      </c>
    </row>
    <row r="300" spans="1:40" ht="30" customHeight="1" x14ac:dyDescent="0.2">
      <c r="A300" s="231" t="s">
        <v>197</v>
      </c>
      <c r="B300" s="231">
        <v>2614440041</v>
      </c>
      <c r="C300" s="231" t="s">
        <v>96</v>
      </c>
      <c r="D300" s="231" t="s">
        <v>76</v>
      </c>
      <c r="E300" s="231" t="s">
        <v>198</v>
      </c>
      <c r="F300" s="231" t="s">
        <v>533</v>
      </c>
      <c r="G300" s="231">
        <v>322</v>
      </c>
      <c r="H300" s="231" t="s">
        <v>461</v>
      </c>
      <c r="I300" s="231" t="s">
        <v>214</v>
      </c>
      <c r="J300" s="231" t="s">
        <v>96</v>
      </c>
      <c r="K300" s="231" t="s">
        <v>886</v>
      </c>
      <c r="L300" s="232" t="s">
        <v>866</v>
      </c>
      <c r="M300" s="232">
        <v>46360.496527777781</v>
      </c>
      <c r="N300" s="231" t="s">
        <v>203</v>
      </c>
      <c r="O300" s="158" t="s">
        <v>204</v>
      </c>
      <c r="P300" s="92"/>
      <c r="Q300" s="146" t="s">
        <v>204</v>
      </c>
      <c r="R300" s="92"/>
      <c r="S300" s="146" t="s">
        <v>204</v>
      </c>
      <c r="T300" s="92"/>
      <c r="U300" s="146" t="s">
        <v>204</v>
      </c>
      <c r="V300" s="92"/>
      <c r="W300" s="146" t="s">
        <v>204</v>
      </c>
      <c r="X300" s="92"/>
      <c r="Y300" s="146" t="s">
        <v>204</v>
      </c>
      <c r="Z300" s="92"/>
      <c r="AA300" s="146" t="s">
        <v>204</v>
      </c>
      <c r="AB300" s="92"/>
      <c r="AC300" s="146" t="s">
        <v>204</v>
      </c>
      <c r="AD300" s="92"/>
      <c r="AE300" s="146" t="s">
        <v>204</v>
      </c>
      <c r="AF300" s="187" t="str">
        <f t="shared" si="19"/>
        <v>C</v>
      </c>
      <c r="AG300" s="54" t="str">
        <f t="shared" ref="AG300:AG331" si="22">IF(AND(AE300="C",AF300="C"),"UTILIZOU O PDA CORRETAMENTE",IF(AND(AE300="C",AF300="NC"),"UTILIZOU O PDA CORRETAMENTE. NÃO HÁ FOTOS DE TODAS AS ETAPAS",IF(AND(AE300="NC",AF300="NC"),"NÃO UTILIZOU O PDA",IF(AND(AE300="NA",AF300="NA"),"NÃO AVALIADO POR FALHA DE SINCRONISMO"))))</f>
        <v>UTILIZOU O PDA CORRETAMENTE</v>
      </c>
      <c r="AH300" s="146" t="s">
        <v>204</v>
      </c>
      <c r="AI300" s="210" t="s">
        <v>6</v>
      </c>
      <c r="AJ300" s="97" t="str">
        <f t="shared" si="20"/>
        <v>GUARULHOS</v>
      </c>
      <c r="AK300" s="213" t="s">
        <v>39</v>
      </c>
      <c r="AL300" s="53">
        <v>-5.9799999999999999E-2</v>
      </c>
      <c r="AM300" s="53" t="str" cm="1">
        <f t="array" ref="AM300">IF(OR(O300&lt;&gt;"", SUMPRODUCT(($AN$2:$AN$5000=AN300)*($AL$2:$AL$5000&lt;=AL300)) &lt;= (COUNTIF($AN$2:$AN$5000,AN300)*0.5)), "SORTEADO", "-")</f>
        <v>SORTEADO</v>
      </c>
      <c r="AN300" s="232" t="s">
        <v>866</v>
      </c>
    </row>
    <row r="301" spans="1:40" ht="30" customHeight="1" x14ac:dyDescent="0.2">
      <c r="A301" s="231" t="s">
        <v>197</v>
      </c>
      <c r="B301" s="231">
        <v>2614440013</v>
      </c>
      <c r="C301" s="231" t="s">
        <v>94</v>
      </c>
      <c r="D301" s="231" t="s">
        <v>76</v>
      </c>
      <c r="E301" s="231" t="s">
        <v>198</v>
      </c>
      <c r="F301" s="231" t="s">
        <v>533</v>
      </c>
      <c r="G301" s="231">
        <v>322</v>
      </c>
      <c r="H301" s="231" t="s">
        <v>206</v>
      </c>
      <c r="I301" s="231" t="s">
        <v>214</v>
      </c>
      <c r="J301" s="231" t="s">
        <v>94</v>
      </c>
      <c r="K301" s="231"/>
      <c r="L301" s="232" t="s">
        <v>866</v>
      </c>
      <c r="M301" s="232">
        <v>46360.461111111108</v>
      </c>
      <c r="N301" s="231" t="s">
        <v>203</v>
      </c>
      <c r="O301" s="158" t="s">
        <v>204</v>
      </c>
      <c r="P301" s="92"/>
      <c r="Q301" s="146" t="s">
        <v>204</v>
      </c>
      <c r="R301" s="92"/>
      <c r="S301" s="146" t="s">
        <v>204</v>
      </c>
      <c r="T301" s="92"/>
      <c r="U301" s="146" t="s">
        <v>204</v>
      </c>
      <c r="V301" s="92"/>
      <c r="W301" s="146" t="s">
        <v>204</v>
      </c>
      <c r="X301" s="92"/>
      <c r="Y301" s="146" t="s">
        <v>204</v>
      </c>
      <c r="Z301" s="92"/>
      <c r="AA301" s="146" t="s">
        <v>204</v>
      </c>
      <c r="AB301" s="92"/>
      <c r="AC301" s="146" t="s">
        <v>204</v>
      </c>
      <c r="AD301" s="92"/>
      <c r="AE301" s="146" t="s">
        <v>204</v>
      </c>
      <c r="AF301" s="187" t="str">
        <f t="shared" si="19"/>
        <v>C</v>
      </c>
      <c r="AG301" s="54" t="str">
        <f t="shared" si="22"/>
        <v>UTILIZOU O PDA CORRETAMENTE</v>
      </c>
      <c r="AH301" s="146" t="s">
        <v>204</v>
      </c>
      <c r="AI301" s="210" t="s">
        <v>6</v>
      </c>
      <c r="AJ301" s="97" t="str">
        <f t="shared" si="20"/>
        <v>GUARULHOS</v>
      </c>
      <c r="AK301" s="213" t="s">
        <v>39</v>
      </c>
      <c r="AL301" s="53">
        <v>-0.06</v>
      </c>
      <c r="AM301" s="53" t="str" cm="1">
        <f t="array" ref="AM301">IF(OR(O301&lt;&gt;"", SUMPRODUCT(($AN$2:$AN$5000=AN301)*($AL$2:$AL$5000&lt;=AL301)) &lt;= (COUNTIF($AN$2:$AN$5000,AN301)*0.5)), "SORTEADO", "-")</f>
        <v>SORTEADO</v>
      </c>
      <c r="AN301" s="232" t="s">
        <v>866</v>
      </c>
    </row>
    <row r="302" spans="1:40" ht="30" customHeight="1" x14ac:dyDescent="0.2">
      <c r="A302" s="231" t="s">
        <v>197</v>
      </c>
      <c r="B302" s="231">
        <v>2614440027</v>
      </c>
      <c r="C302" s="231" t="s">
        <v>96</v>
      </c>
      <c r="D302" s="231" t="s">
        <v>76</v>
      </c>
      <c r="E302" s="231" t="s">
        <v>198</v>
      </c>
      <c r="F302" s="231" t="s">
        <v>533</v>
      </c>
      <c r="G302" s="231">
        <v>322</v>
      </c>
      <c r="H302" s="231" t="s">
        <v>211</v>
      </c>
      <c r="I302" s="231" t="s">
        <v>214</v>
      </c>
      <c r="J302" s="231" t="s">
        <v>96</v>
      </c>
      <c r="K302" s="231" t="s">
        <v>887</v>
      </c>
      <c r="L302" s="232" t="s">
        <v>866</v>
      </c>
      <c r="M302" s="232">
        <v>46360.472222222219</v>
      </c>
      <c r="N302" s="231" t="s">
        <v>203</v>
      </c>
      <c r="O302" s="158" t="s">
        <v>204</v>
      </c>
      <c r="P302" s="92"/>
      <c r="Q302" s="146" t="s">
        <v>204</v>
      </c>
      <c r="R302" s="92"/>
      <c r="S302" s="146" t="s">
        <v>204</v>
      </c>
      <c r="T302" s="92"/>
      <c r="U302" s="146" t="s">
        <v>204</v>
      </c>
      <c r="V302" s="92"/>
      <c r="W302" s="146" t="s">
        <v>204</v>
      </c>
      <c r="X302" s="92"/>
      <c r="Y302" s="146" t="s">
        <v>204</v>
      </c>
      <c r="Z302" s="92"/>
      <c r="AA302" s="146" t="s">
        <v>204</v>
      </c>
      <c r="AB302" s="92"/>
      <c r="AC302" s="146" t="s">
        <v>204</v>
      </c>
      <c r="AD302" s="92"/>
      <c r="AE302" s="146" t="s">
        <v>204</v>
      </c>
      <c r="AF302" s="187" t="str">
        <f t="shared" si="19"/>
        <v>C</v>
      </c>
      <c r="AG302" s="54" t="str">
        <f t="shared" si="22"/>
        <v>UTILIZOU O PDA CORRETAMENTE</v>
      </c>
      <c r="AH302" s="146" t="s">
        <v>204</v>
      </c>
      <c r="AI302" s="210" t="s">
        <v>6</v>
      </c>
      <c r="AJ302" s="97" t="str">
        <f t="shared" si="20"/>
        <v>GUARULHOS</v>
      </c>
      <c r="AK302" s="213" t="s">
        <v>39</v>
      </c>
      <c r="AL302" s="53">
        <v>-6.0199999999999997E-2</v>
      </c>
      <c r="AM302" s="53" t="str" cm="1">
        <f t="array" ref="AM302">IF(OR(O302&lt;&gt;"", SUMPRODUCT(($AN$2:$AN$5000=AN302)*($AL$2:$AL$5000&lt;=AL302)) &lt;= (COUNTIF($AN$2:$AN$5000,AN302)*0.5)), "SORTEADO", "-")</f>
        <v>SORTEADO</v>
      </c>
      <c r="AN302" s="232" t="s">
        <v>866</v>
      </c>
    </row>
    <row r="303" spans="1:40" ht="30" hidden="1" customHeight="1" x14ac:dyDescent="0.2">
      <c r="A303" s="231" t="s">
        <v>197</v>
      </c>
      <c r="B303" s="231">
        <v>2615494164</v>
      </c>
      <c r="C303" s="231" t="s">
        <v>106</v>
      </c>
      <c r="D303" s="231" t="s">
        <v>80</v>
      </c>
      <c r="E303" s="231" t="s">
        <v>198</v>
      </c>
      <c r="F303" s="231" t="s">
        <v>888</v>
      </c>
      <c r="G303" s="231">
        <v>80</v>
      </c>
      <c r="H303" s="231"/>
      <c r="I303" s="231" t="s">
        <v>480</v>
      </c>
      <c r="J303" s="231" t="s">
        <v>259</v>
      </c>
      <c r="K303" s="231" t="s">
        <v>889</v>
      </c>
      <c r="L303" s="232" t="s">
        <v>866</v>
      </c>
      <c r="M303" s="232">
        <v>46360.535416666666</v>
      </c>
      <c r="N303" s="231" t="s">
        <v>287</v>
      </c>
      <c r="O303" s="158"/>
      <c r="P303" s="92"/>
      <c r="Q303" s="146"/>
      <c r="R303" s="92"/>
      <c r="S303" s="146"/>
      <c r="T303" s="92"/>
      <c r="U303" s="146"/>
      <c r="V303" s="92"/>
      <c r="W303" s="146"/>
      <c r="X303" s="92"/>
      <c r="Y303" s="146"/>
      <c r="Z303" s="92"/>
      <c r="AA303" s="146"/>
      <c r="AB303" s="92"/>
      <c r="AC303" s="146"/>
      <c r="AD303" s="92"/>
      <c r="AE303" s="146"/>
      <c r="AF303" s="187" t="str">
        <f t="shared" si="19"/>
        <v/>
      </c>
      <c r="AG303" s="54" t="b">
        <f t="shared" si="22"/>
        <v>0</v>
      </c>
      <c r="AH303" s="146"/>
      <c r="AI303" s="210" t="s">
        <v>6</v>
      </c>
      <c r="AJ303" s="97" t="str">
        <f t="shared" si="20"/>
        <v>GUARULHOS</v>
      </c>
      <c r="AK303" s="213" t="s">
        <v>39</v>
      </c>
      <c r="AL303" s="53">
        <v>0.94015919972847295</v>
      </c>
      <c r="AM303" s="53" t="str" cm="1">
        <f t="array" ref="AM303">IF(OR(O303&lt;&gt;"", SUMPRODUCT(($AN$2:$AN$5000=AN303)*($AL$2:$AL$5000&lt;=AL303)) &lt;= (COUNTIF($AN$2:$AN$5000,AN303)*0.5)), "SORTEADO", "-")</f>
        <v>-</v>
      </c>
      <c r="AN303" s="232" t="s">
        <v>866</v>
      </c>
    </row>
    <row r="304" spans="1:40" ht="30" hidden="1" customHeight="1" x14ac:dyDescent="0.2">
      <c r="A304" s="231" t="s">
        <v>197</v>
      </c>
      <c r="B304" s="231">
        <v>2690358864</v>
      </c>
      <c r="C304" s="231" t="s">
        <v>102</v>
      </c>
      <c r="D304" s="231" t="s">
        <v>80</v>
      </c>
      <c r="E304" s="231" t="s">
        <v>198</v>
      </c>
      <c r="F304" s="231" t="s">
        <v>890</v>
      </c>
      <c r="G304" s="231">
        <v>444</v>
      </c>
      <c r="H304" s="231" t="s">
        <v>213</v>
      </c>
      <c r="I304" s="231" t="s">
        <v>368</v>
      </c>
      <c r="J304" s="231" t="s">
        <v>270</v>
      </c>
      <c r="K304" s="231" t="s">
        <v>891</v>
      </c>
      <c r="L304" s="232" t="s">
        <v>866</v>
      </c>
      <c r="M304" s="232">
        <v>46360.438888888886</v>
      </c>
      <c r="N304" s="231" t="s">
        <v>432</v>
      </c>
      <c r="O304" s="158"/>
      <c r="P304" s="92"/>
      <c r="Q304" s="146"/>
      <c r="R304" s="92"/>
      <c r="S304" s="146"/>
      <c r="T304" s="92"/>
      <c r="U304" s="146"/>
      <c r="V304" s="92"/>
      <c r="W304" s="146"/>
      <c r="X304" s="92"/>
      <c r="Y304" s="146"/>
      <c r="Z304" s="92"/>
      <c r="AA304" s="146"/>
      <c r="AB304" s="92"/>
      <c r="AC304" s="146"/>
      <c r="AD304" s="92"/>
      <c r="AE304" s="146"/>
      <c r="AF304" s="187" t="str">
        <f t="shared" si="19"/>
        <v/>
      </c>
      <c r="AG304" s="54" t="b">
        <f t="shared" si="22"/>
        <v>0</v>
      </c>
      <c r="AH304" s="146"/>
      <c r="AI304" s="210" t="s">
        <v>6</v>
      </c>
      <c r="AJ304" s="97" t="str">
        <f t="shared" si="20"/>
        <v>GUARULHOS</v>
      </c>
      <c r="AK304" s="213" t="s">
        <v>39</v>
      </c>
      <c r="AL304" s="53">
        <v>0.56286414704032983</v>
      </c>
      <c r="AM304" s="53" t="str" cm="1">
        <f t="array" ref="AM304">IF(OR(O304&lt;&gt;"", SUMPRODUCT(($AN$2:$AN$5000=AN304)*($AL$2:$AL$5000&lt;=AL304)) &lt;= (COUNTIF($AN$2:$AN$5000,AN304)*0.5)), "SORTEADO", "-")</f>
        <v>-</v>
      </c>
      <c r="AN304" s="232" t="s">
        <v>866</v>
      </c>
    </row>
    <row r="305" spans="1:40" ht="30" customHeight="1" x14ac:dyDescent="0.2">
      <c r="A305" s="231" t="s">
        <v>197</v>
      </c>
      <c r="B305" s="231">
        <v>2690358550</v>
      </c>
      <c r="C305" s="231" t="s">
        <v>101</v>
      </c>
      <c r="D305" s="231" t="s">
        <v>80</v>
      </c>
      <c r="E305" s="231" t="s">
        <v>198</v>
      </c>
      <c r="F305" s="231" t="s">
        <v>468</v>
      </c>
      <c r="G305" s="231">
        <v>131</v>
      </c>
      <c r="H305" s="231" t="s">
        <v>461</v>
      </c>
      <c r="I305" s="231" t="s">
        <v>713</v>
      </c>
      <c r="J305" s="231" t="s">
        <v>270</v>
      </c>
      <c r="K305" s="231"/>
      <c r="L305" s="232" t="s">
        <v>866</v>
      </c>
      <c r="M305" s="232">
        <v>46360.681944444441</v>
      </c>
      <c r="N305" s="231" t="s">
        <v>228</v>
      </c>
      <c r="O305" s="158" t="s">
        <v>204</v>
      </c>
      <c r="P305" s="92"/>
      <c r="Q305" s="146" t="s">
        <v>204</v>
      </c>
      <c r="R305" s="92"/>
      <c r="S305" s="146" t="s">
        <v>204</v>
      </c>
      <c r="T305" s="92"/>
      <c r="U305" s="146" t="s">
        <v>204</v>
      </c>
      <c r="V305" s="92"/>
      <c r="W305" s="146" t="s">
        <v>204</v>
      </c>
      <c r="X305" s="92"/>
      <c r="Y305" s="146" t="s">
        <v>61</v>
      </c>
      <c r="Z305" s="92"/>
      <c r="AA305" s="146" t="s">
        <v>204</v>
      </c>
      <c r="AB305" s="92"/>
      <c r="AC305" s="146" t="s">
        <v>204</v>
      </c>
      <c r="AD305" s="92"/>
      <c r="AE305" s="146" t="s">
        <v>204</v>
      </c>
      <c r="AF305" s="187" t="str">
        <f t="shared" si="19"/>
        <v>C</v>
      </c>
      <c r="AG305" s="54" t="str">
        <f t="shared" si="22"/>
        <v>UTILIZOU O PDA CORRETAMENTE</v>
      </c>
      <c r="AH305" s="144" t="s">
        <v>204</v>
      </c>
      <c r="AI305" s="210" t="s">
        <v>6</v>
      </c>
      <c r="AJ305" s="97" t="str">
        <f t="shared" si="20"/>
        <v>GUARULHOS</v>
      </c>
      <c r="AK305" s="213" t="s">
        <v>39</v>
      </c>
      <c r="AL305" s="53">
        <v>0.18556447221976091</v>
      </c>
      <c r="AM305" s="53" t="str" cm="1">
        <f t="array" ref="AM305">IF(OR(O305&lt;&gt;"", SUMPRODUCT(($AN$2:$AN$5000=AN305)*($AL$2:$AL$5000&lt;=AL305)) &lt;= (COUNTIF($AN$2:$AN$5000,AN305)*0.5)), "SORTEADO", "-")</f>
        <v>SORTEADO</v>
      </c>
      <c r="AN305" s="232" t="s">
        <v>866</v>
      </c>
    </row>
    <row r="306" spans="1:40" ht="30" customHeight="1" x14ac:dyDescent="0.2">
      <c r="A306" s="231" t="s">
        <v>197</v>
      </c>
      <c r="B306" s="231">
        <v>2615494506</v>
      </c>
      <c r="C306" s="231" t="s">
        <v>106</v>
      </c>
      <c r="D306" s="231" t="s">
        <v>80</v>
      </c>
      <c r="E306" s="231" t="s">
        <v>198</v>
      </c>
      <c r="F306" s="231" t="s">
        <v>892</v>
      </c>
      <c r="G306" s="231">
        <v>362</v>
      </c>
      <c r="H306" s="231" t="s">
        <v>206</v>
      </c>
      <c r="I306" s="231" t="s">
        <v>893</v>
      </c>
      <c r="J306" s="231" t="s">
        <v>270</v>
      </c>
      <c r="K306" s="231" t="s">
        <v>894</v>
      </c>
      <c r="L306" s="232" t="s">
        <v>866</v>
      </c>
      <c r="M306" s="232">
        <v>46360.617361111108</v>
      </c>
      <c r="N306" s="231" t="s">
        <v>287</v>
      </c>
      <c r="O306" s="158" t="s">
        <v>204</v>
      </c>
      <c r="P306" s="92"/>
      <c r="Q306" s="146" t="s">
        <v>204</v>
      </c>
      <c r="R306" s="92"/>
      <c r="S306" s="146" t="s">
        <v>204</v>
      </c>
      <c r="T306" s="92"/>
      <c r="U306" s="146" t="s">
        <v>204</v>
      </c>
      <c r="V306" s="92"/>
      <c r="W306" s="146" t="s">
        <v>204</v>
      </c>
      <c r="X306" s="92"/>
      <c r="Y306" s="146" t="s">
        <v>61</v>
      </c>
      <c r="Z306" s="92"/>
      <c r="AA306" s="146" t="s">
        <v>204</v>
      </c>
      <c r="AB306" s="92"/>
      <c r="AC306" s="146" t="s">
        <v>204</v>
      </c>
      <c r="AD306" s="92"/>
      <c r="AE306" s="146" t="s">
        <v>204</v>
      </c>
      <c r="AF306" s="187" t="str">
        <f t="shared" si="19"/>
        <v>C</v>
      </c>
      <c r="AG306" s="54" t="str">
        <f t="shared" si="22"/>
        <v>UTILIZOU O PDA CORRETAMENTE</v>
      </c>
      <c r="AH306" s="144" t="s">
        <v>204</v>
      </c>
      <c r="AI306" s="210" t="s">
        <v>6</v>
      </c>
      <c r="AJ306" s="97" t="str">
        <f t="shared" si="20"/>
        <v>GUARULHOS</v>
      </c>
      <c r="AK306" s="213" t="s">
        <v>39</v>
      </c>
      <c r="AL306" s="53">
        <v>0.54459483937258957</v>
      </c>
      <c r="AM306" s="53" t="str" cm="1">
        <f t="array" ref="AM306">IF(OR(O306&lt;&gt;"", SUMPRODUCT(($AN$2:$AN$5000=AN306)*($AL$2:$AL$5000&lt;=AL306)) &lt;= (COUNTIF($AN$2:$AN$5000,AN306)*0.5)), "SORTEADO", "-")</f>
        <v>SORTEADO</v>
      </c>
      <c r="AN306" s="232" t="s">
        <v>866</v>
      </c>
    </row>
    <row r="307" spans="1:40" ht="30" hidden="1" customHeight="1" x14ac:dyDescent="0.2">
      <c r="A307" s="231" t="s">
        <v>197</v>
      </c>
      <c r="B307" s="231">
        <v>2615432942</v>
      </c>
      <c r="C307" s="231" t="s">
        <v>105</v>
      </c>
      <c r="D307" s="231" t="s">
        <v>80</v>
      </c>
      <c r="E307" s="231" t="s">
        <v>198</v>
      </c>
      <c r="F307" s="231" t="s">
        <v>895</v>
      </c>
      <c r="G307" s="231">
        <v>13</v>
      </c>
      <c r="H307" s="231" t="s">
        <v>827</v>
      </c>
      <c r="I307" s="231" t="s">
        <v>200</v>
      </c>
      <c r="J307" s="231" t="s">
        <v>226</v>
      </c>
      <c r="K307" s="231" t="s">
        <v>896</v>
      </c>
      <c r="L307" s="232" t="s">
        <v>866</v>
      </c>
      <c r="M307" s="232">
        <v>46360.654166666667</v>
      </c>
      <c r="N307" s="231" t="s">
        <v>244</v>
      </c>
      <c r="O307" s="158"/>
      <c r="P307" s="92"/>
      <c r="Q307" s="146"/>
      <c r="R307" s="92"/>
      <c r="S307" s="146"/>
      <c r="T307" s="92"/>
      <c r="U307" s="146"/>
      <c r="V307" s="92"/>
      <c r="W307" s="146"/>
      <c r="X307" s="92"/>
      <c r="Y307" s="146"/>
      <c r="Z307" s="92"/>
      <c r="AA307" s="146"/>
      <c r="AB307" s="92"/>
      <c r="AC307" s="146"/>
      <c r="AD307" s="92"/>
      <c r="AE307" s="146"/>
      <c r="AF307" s="187" t="str">
        <f t="shared" si="19"/>
        <v/>
      </c>
      <c r="AG307" s="54" t="b">
        <f t="shared" si="22"/>
        <v>0</v>
      </c>
      <c r="AH307" s="146"/>
      <c r="AI307" s="210" t="s">
        <v>6</v>
      </c>
      <c r="AJ307" s="97" t="str">
        <f t="shared" si="20"/>
        <v>GUARULHOS</v>
      </c>
      <c r="AK307" s="213" t="s">
        <v>39</v>
      </c>
      <c r="AL307" s="53">
        <v>0.65247949861712018</v>
      </c>
      <c r="AM307" s="53" t="str" cm="1">
        <f t="array" ref="AM307">IF(OR(O307&lt;&gt;"", SUMPRODUCT(($AN$2:$AN$5000=AN307)*($AL$2:$AL$5000&lt;=AL307)) &lt;= (COUNTIF($AN$2:$AN$5000,AN307)*0.5)), "SORTEADO", "-")</f>
        <v>-</v>
      </c>
      <c r="AN307" s="232" t="s">
        <v>866</v>
      </c>
    </row>
    <row r="308" spans="1:40" ht="30" hidden="1" customHeight="1" x14ac:dyDescent="0.2">
      <c r="A308" s="240" t="s">
        <v>197</v>
      </c>
      <c r="B308" s="240">
        <v>2690358385</v>
      </c>
      <c r="C308" s="240" t="s">
        <v>98</v>
      </c>
      <c r="D308" s="240" t="s">
        <v>80</v>
      </c>
      <c r="E308" s="240" t="s">
        <v>198</v>
      </c>
      <c r="F308" s="240" t="s">
        <v>897</v>
      </c>
      <c r="G308" s="240">
        <v>499</v>
      </c>
      <c r="H308" s="240" t="s">
        <v>898</v>
      </c>
      <c r="I308" s="240" t="s">
        <v>899</v>
      </c>
      <c r="J308" s="240" t="s">
        <v>297</v>
      </c>
      <c r="K308" s="240" t="s">
        <v>723</v>
      </c>
      <c r="L308" s="241" t="s">
        <v>866</v>
      </c>
      <c r="M308" s="241">
        <v>46360.60833333333</v>
      </c>
      <c r="N308" s="240" t="s">
        <v>250</v>
      </c>
      <c r="O308" s="158"/>
      <c r="P308" s="92"/>
      <c r="Q308" s="146"/>
      <c r="R308" s="92"/>
      <c r="S308" s="146"/>
      <c r="T308" s="92"/>
      <c r="U308" s="146"/>
      <c r="V308" s="92"/>
      <c r="W308" s="146"/>
      <c r="X308" s="92"/>
      <c r="Y308" s="146"/>
      <c r="Z308" s="92"/>
      <c r="AA308" s="146"/>
      <c r="AB308" s="92"/>
      <c r="AC308" s="146"/>
      <c r="AD308" s="92"/>
      <c r="AE308" s="146"/>
      <c r="AF308" s="187" t="str">
        <f t="shared" si="19"/>
        <v/>
      </c>
      <c r="AG308" s="54" t="b">
        <f t="shared" si="22"/>
        <v>0</v>
      </c>
      <c r="AH308" s="146"/>
      <c r="AI308" s="210" t="s">
        <v>6</v>
      </c>
      <c r="AJ308" s="97" t="str">
        <f t="shared" si="20"/>
        <v>GUARULHOS</v>
      </c>
      <c r="AK308" s="213" t="s">
        <v>39</v>
      </c>
      <c r="AL308" s="53">
        <v>0.76154367248600441</v>
      </c>
      <c r="AM308" s="53" t="str" cm="1">
        <f t="array" ref="AM308">IF(OR(O308&lt;&gt;"", SUMPRODUCT(($AN$2:$AN$5000=AN308)*($AL$2:$AL$5000&lt;=AL308)) &lt;= (COUNTIF($AN$2:$AN$5000,AN308)*0.5)), "SORTEADO", "-")</f>
        <v>-</v>
      </c>
      <c r="AN308" s="241" t="s">
        <v>866</v>
      </c>
    </row>
    <row r="309" spans="1:40" ht="30" customHeight="1" x14ac:dyDescent="0.2">
      <c r="A309" s="230" t="s">
        <v>197</v>
      </c>
      <c r="B309" s="230">
        <v>2615421241</v>
      </c>
      <c r="C309" s="230" t="s">
        <v>104</v>
      </c>
      <c r="D309" s="230" t="s">
        <v>80</v>
      </c>
      <c r="E309" s="230" t="s">
        <v>198</v>
      </c>
      <c r="F309" s="230" t="s">
        <v>900</v>
      </c>
      <c r="G309" s="230">
        <v>607</v>
      </c>
      <c r="H309" s="230" t="s">
        <v>901</v>
      </c>
      <c r="I309" s="230" t="s">
        <v>531</v>
      </c>
      <c r="J309" s="230" t="s">
        <v>226</v>
      </c>
      <c r="K309" s="230" t="s">
        <v>213</v>
      </c>
      <c r="L309" s="230" t="s">
        <v>902</v>
      </c>
      <c r="M309" s="230" t="s">
        <v>903</v>
      </c>
      <c r="N309" s="230" t="s">
        <v>237</v>
      </c>
      <c r="O309" s="158" t="s">
        <v>204</v>
      </c>
      <c r="P309" s="92"/>
      <c r="Q309" s="146" t="s">
        <v>204</v>
      </c>
      <c r="R309" s="92"/>
      <c r="S309" s="146" t="s">
        <v>204</v>
      </c>
      <c r="T309" s="92"/>
      <c r="U309" s="146" t="s">
        <v>204</v>
      </c>
      <c r="V309" s="92"/>
      <c r="W309" s="146" t="s">
        <v>204</v>
      </c>
      <c r="X309" s="92"/>
      <c r="Y309" s="146" t="s">
        <v>61</v>
      </c>
      <c r="Z309" s="92"/>
      <c r="AA309" s="146" t="s">
        <v>204</v>
      </c>
      <c r="AB309" s="92"/>
      <c r="AC309" s="146" t="s">
        <v>204</v>
      </c>
      <c r="AD309" s="92"/>
      <c r="AE309" s="146" t="s">
        <v>204</v>
      </c>
      <c r="AF309" s="187" t="str">
        <f t="shared" si="19"/>
        <v>C</v>
      </c>
      <c r="AG309" s="54" t="str">
        <f t="shared" si="22"/>
        <v>UTILIZOU O PDA CORRETAMENTE</v>
      </c>
      <c r="AH309" s="144" t="s">
        <v>204</v>
      </c>
      <c r="AI309" s="210" t="s">
        <v>6</v>
      </c>
      <c r="AJ309" s="97" t="str">
        <f t="shared" si="20"/>
        <v>GUARULHOS</v>
      </c>
      <c r="AK309" s="213" t="s">
        <v>39</v>
      </c>
      <c r="AL309" s="53">
        <v>7.863306482593202E-2</v>
      </c>
      <c r="AM309" s="53" t="str" cm="1">
        <f t="array" ref="AM309">IF(OR(O309&lt;&gt;"", SUMPRODUCT(($AN$2:$AN$5000=AN309)*($AL$2:$AL$5000&lt;=AL309)) &lt;= (COUNTIF($AN$2:$AN$5000,AN309)*0.5)), "SORTEADO", "-")</f>
        <v>SORTEADO</v>
      </c>
      <c r="AN309" s="230" t="s">
        <v>902</v>
      </c>
    </row>
    <row r="310" spans="1:40" ht="30" hidden="1" customHeight="1" x14ac:dyDescent="0.2">
      <c r="A310" s="230" t="s">
        <v>197</v>
      </c>
      <c r="B310" s="230">
        <v>2690372822</v>
      </c>
      <c r="C310" s="230" t="s">
        <v>102</v>
      </c>
      <c r="D310" s="230" t="s">
        <v>80</v>
      </c>
      <c r="E310" s="230" t="s">
        <v>198</v>
      </c>
      <c r="F310" s="230" t="s">
        <v>904</v>
      </c>
      <c r="G310" s="230">
        <v>57</v>
      </c>
      <c r="H310" s="230"/>
      <c r="I310" s="230" t="s">
        <v>772</v>
      </c>
      <c r="J310" s="230" t="s">
        <v>259</v>
      </c>
      <c r="K310" s="230"/>
      <c r="L310" s="230" t="s">
        <v>902</v>
      </c>
      <c r="M310" s="230" t="s">
        <v>905</v>
      </c>
      <c r="N310" s="230" t="s">
        <v>381</v>
      </c>
      <c r="O310" s="158"/>
      <c r="P310" s="92"/>
      <c r="Q310" s="146"/>
      <c r="R310" s="92"/>
      <c r="S310" s="146"/>
      <c r="T310" s="92"/>
      <c r="U310" s="146"/>
      <c r="V310" s="92"/>
      <c r="W310" s="146"/>
      <c r="X310" s="92"/>
      <c r="Y310" s="146"/>
      <c r="Z310" s="92"/>
      <c r="AA310" s="146"/>
      <c r="AB310" s="92"/>
      <c r="AC310" s="146"/>
      <c r="AD310" s="92"/>
      <c r="AE310" s="146"/>
      <c r="AF310" s="187" t="str">
        <f t="shared" si="19"/>
        <v/>
      </c>
      <c r="AG310" s="54" t="b">
        <f t="shared" si="22"/>
        <v>0</v>
      </c>
      <c r="AH310" s="146"/>
      <c r="AI310" s="210" t="s">
        <v>6</v>
      </c>
      <c r="AJ310" s="97" t="str">
        <f t="shared" si="20"/>
        <v>GUARULHOS</v>
      </c>
      <c r="AK310" s="213" t="s">
        <v>39</v>
      </c>
      <c r="AL310" s="53">
        <v>0.76971726699409959</v>
      </c>
      <c r="AM310" s="53" t="str" cm="1">
        <f t="array" ref="AM310">IF(OR(O310&lt;&gt;"", SUMPRODUCT(($AN$2:$AN$5000=AN310)*($AL$2:$AL$5000&lt;=AL310)) &lt;= (COUNTIF($AN$2:$AN$5000,AN310)*0.5)), "SORTEADO", "-")</f>
        <v>-</v>
      </c>
      <c r="AN310" s="230" t="s">
        <v>902</v>
      </c>
    </row>
    <row r="311" spans="1:40" ht="30" hidden="1" customHeight="1" x14ac:dyDescent="0.2">
      <c r="A311" s="230" t="s">
        <v>197</v>
      </c>
      <c r="B311" s="230">
        <v>2615421393</v>
      </c>
      <c r="C311" s="230" t="s">
        <v>104</v>
      </c>
      <c r="D311" s="230" t="s">
        <v>80</v>
      </c>
      <c r="E311" s="230" t="s">
        <v>198</v>
      </c>
      <c r="F311" s="230" t="s">
        <v>906</v>
      </c>
      <c r="G311" s="230">
        <v>92</v>
      </c>
      <c r="H311" s="230" t="s">
        <v>534</v>
      </c>
      <c r="I311" s="230" t="s">
        <v>269</v>
      </c>
      <c r="J311" s="230" t="s">
        <v>226</v>
      </c>
      <c r="K311" s="230" t="s">
        <v>213</v>
      </c>
      <c r="L311" s="230" t="s">
        <v>902</v>
      </c>
      <c r="M311" s="230" t="s">
        <v>907</v>
      </c>
      <c r="N311" s="230" t="s">
        <v>250</v>
      </c>
      <c r="O311" s="158"/>
      <c r="P311" s="92"/>
      <c r="Q311" s="146"/>
      <c r="R311" s="92"/>
      <c r="S311" s="146"/>
      <c r="T311" s="92"/>
      <c r="U311" s="146"/>
      <c r="V311" s="92"/>
      <c r="W311" s="146"/>
      <c r="X311" s="92"/>
      <c r="Y311" s="146"/>
      <c r="Z311" s="92"/>
      <c r="AA311" s="146"/>
      <c r="AB311" s="92"/>
      <c r="AC311" s="146"/>
      <c r="AD311" s="92"/>
      <c r="AE311" s="146"/>
      <c r="AF311" s="187" t="str">
        <f t="shared" si="19"/>
        <v/>
      </c>
      <c r="AG311" s="54" t="b">
        <f t="shared" si="22"/>
        <v>0</v>
      </c>
      <c r="AH311" s="146"/>
      <c r="AI311" s="210" t="s">
        <v>6</v>
      </c>
      <c r="AJ311" s="97" t="str">
        <f t="shared" si="20"/>
        <v>GUARULHOS</v>
      </c>
      <c r="AK311" s="213" t="s">
        <v>39</v>
      </c>
      <c r="AL311" s="53">
        <v>0.72886829079415205</v>
      </c>
      <c r="AM311" s="53" t="str" cm="1">
        <f t="array" ref="AM311">IF(OR(O311&lt;&gt;"", SUMPRODUCT(($AN$2:$AN$5000=AN311)*($AL$2:$AL$5000&lt;=AL311)) &lt;= (COUNTIF($AN$2:$AN$5000,AN311)*0.5)), "SORTEADO", "-")</f>
        <v>-</v>
      </c>
      <c r="AN311" s="230" t="s">
        <v>902</v>
      </c>
    </row>
    <row r="312" spans="1:40" ht="30" customHeight="1" x14ac:dyDescent="0.2">
      <c r="A312" s="230" t="s">
        <v>197</v>
      </c>
      <c r="B312" s="230">
        <v>2615498699</v>
      </c>
      <c r="C312" s="230" t="s">
        <v>106</v>
      </c>
      <c r="D312" s="230" t="s">
        <v>80</v>
      </c>
      <c r="E312" s="230" t="s">
        <v>198</v>
      </c>
      <c r="F312" s="230" t="s">
        <v>908</v>
      </c>
      <c r="G312" s="230">
        <v>4197</v>
      </c>
      <c r="H312" s="230" t="s">
        <v>909</v>
      </c>
      <c r="I312" s="230" t="s">
        <v>509</v>
      </c>
      <c r="J312" s="230" t="s">
        <v>270</v>
      </c>
      <c r="K312" s="230"/>
      <c r="L312" s="230" t="s">
        <v>902</v>
      </c>
      <c r="M312" s="230" t="s">
        <v>910</v>
      </c>
      <c r="N312" s="230" t="s">
        <v>271</v>
      </c>
      <c r="O312" s="158" t="s">
        <v>204</v>
      </c>
      <c r="P312" s="92"/>
      <c r="Q312" s="146" t="s">
        <v>204</v>
      </c>
      <c r="R312" s="92"/>
      <c r="S312" s="146" t="s">
        <v>204</v>
      </c>
      <c r="T312" s="92"/>
      <c r="U312" s="146" t="s">
        <v>204</v>
      </c>
      <c r="V312" s="92"/>
      <c r="W312" s="146" t="s">
        <v>204</v>
      </c>
      <c r="X312" s="92"/>
      <c r="Y312" s="146" t="s">
        <v>61</v>
      </c>
      <c r="Z312" s="92"/>
      <c r="AA312" s="146" t="s">
        <v>204</v>
      </c>
      <c r="AB312" s="92"/>
      <c r="AC312" s="146" t="s">
        <v>204</v>
      </c>
      <c r="AD312" s="92"/>
      <c r="AE312" s="146" t="s">
        <v>204</v>
      </c>
      <c r="AF312" s="187" t="str">
        <f t="shared" si="19"/>
        <v>C</v>
      </c>
      <c r="AG312" s="54" t="str">
        <f t="shared" si="22"/>
        <v>UTILIZOU O PDA CORRETAMENTE</v>
      </c>
      <c r="AH312" s="144" t="s">
        <v>204</v>
      </c>
      <c r="AI312" s="210" t="s">
        <v>6</v>
      </c>
      <c r="AJ312" s="97" t="str">
        <f t="shared" si="20"/>
        <v>GUARULHOS</v>
      </c>
      <c r="AK312" s="213" t="s">
        <v>39</v>
      </c>
      <c r="AL312" s="53">
        <v>9.2682052301920725E-2</v>
      </c>
      <c r="AM312" s="53" t="str" cm="1">
        <f t="array" ref="AM312">IF(OR(O312&lt;&gt;"", SUMPRODUCT(($AN$2:$AN$5000=AN312)*($AL$2:$AL$5000&lt;=AL312)) &lt;= (COUNTIF($AN$2:$AN$5000,AN312)*0.5)), "SORTEADO", "-")</f>
        <v>SORTEADO</v>
      </c>
      <c r="AN312" s="230" t="s">
        <v>902</v>
      </c>
    </row>
    <row r="313" spans="1:40" ht="30" customHeight="1" x14ac:dyDescent="0.2">
      <c r="A313" s="230" t="s">
        <v>197</v>
      </c>
      <c r="B313" s="230">
        <v>2615305031</v>
      </c>
      <c r="C313" s="230" t="s">
        <v>105</v>
      </c>
      <c r="D313" s="230" t="s">
        <v>80</v>
      </c>
      <c r="E313" s="230" t="s">
        <v>198</v>
      </c>
      <c r="F313" s="230" t="s">
        <v>911</v>
      </c>
      <c r="G313" s="230">
        <v>77</v>
      </c>
      <c r="H313" s="230" t="s">
        <v>912</v>
      </c>
      <c r="I313" s="230" t="s">
        <v>791</v>
      </c>
      <c r="J313" s="230" t="s">
        <v>226</v>
      </c>
      <c r="K313" s="230" t="s">
        <v>213</v>
      </c>
      <c r="L313" s="230" t="s">
        <v>902</v>
      </c>
      <c r="M313" s="230" t="s">
        <v>913</v>
      </c>
      <c r="N313" s="230" t="s">
        <v>263</v>
      </c>
      <c r="O313" s="158" t="s">
        <v>204</v>
      </c>
      <c r="P313" s="92"/>
      <c r="Q313" s="146" t="s">
        <v>204</v>
      </c>
      <c r="R313" s="92"/>
      <c r="S313" s="146" t="s">
        <v>204</v>
      </c>
      <c r="T313" s="92"/>
      <c r="U313" s="146" t="s">
        <v>204</v>
      </c>
      <c r="V313" s="92"/>
      <c r="W313" s="146" t="s">
        <v>204</v>
      </c>
      <c r="X313" s="92"/>
      <c r="Y313" s="146" t="s">
        <v>61</v>
      </c>
      <c r="Z313" s="92"/>
      <c r="AA313" s="146" t="s">
        <v>204</v>
      </c>
      <c r="AB313" s="92"/>
      <c r="AC313" s="146" t="s">
        <v>204</v>
      </c>
      <c r="AD313" s="92"/>
      <c r="AE313" s="146" t="s">
        <v>204</v>
      </c>
      <c r="AF313" s="187" t="str">
        <f t="shared" si="19"/>
        <v>C</v>
      </c>
      <c r="AG313" s="54" t="str">
        <f t="shared" si="22"/>
        <v>UTILIZOU O PDA CORRETAMENTE</v>
      </c>
      <c r="AH313" s="144" t="s">
        <v>204</v>
      </c>
      <c r="AI313" s="210" t="s">
        <v>6</v>
      </c>
      <c r="AJ313" s="97" t="str">
        <f t="shared" si="20"/>
        <v>GUARULHOS</v>
      </c>
      <c r="AK313" s="213" t="s">
        <v>39</v>
      </c>
      <c r="AL313" s="53">
        <v>8.6798606297151859E-2</v>
      </c>
      <c r="AM313" s="53" t="str" cm="1">
        <f t="array" ref="AM313">IF(OR(O313&lt;&gt;"", SUMPRODUCT(($AN$2:$AN$5000=AN313)*($AL$2:$AL$5000&lt;=AL313)) &lt;= (COUNTIF($AN$2:$AN$5000,AN313)*0.5)), "SORTEADO", "-")</f>
        <v>SORTEADO</v>
      </c>
      <c r="AN313" s="230" t="s">
        <v>902</v>
      </c>
    </row>
    <row r="314" spans="1:40" ht="30" hidden="1" customHeight="1" x14ac:dyDescent="0.2">
      <c r="A314" s="230" t="s">
        <v>197</v>
      </c>
      <c r="B314" s="230">
        <v>2615075525</v>
      </c>
      <c r="C314" s="230" t="s">
        <v>96</v>
      </c>
      <c r="D314" s="230" t="s">
        <v>76</v>
      </c>
      <c r="E314" s="230" t="s">
        <v>198</v>
      </c>
      <c r="F314" s="230" t="s">
        <v>914</v>
      </c>
      <c r="G314" s="230">
        <v>90</v>
      </c>
      <c r="H314" s="230" t="s">
        <v>422</v>
      </c>
      <c r="I314" s="230" t="s">
        <v>915</v>
      </c>
      <c r="J314" s="230" t="s">
        <v>96</v>
      </c>
      <c r="K314" s="230" t="s">
        <v>916</v>
      </c>
      <c r="L314" s="230" t="s">
        <v>902</v>
      </c>
      <c r="M314" s="230" t="s">
        <v>917</v>
      </c>
      <c r="N314" s="230" t="s">
        <v>408</v>
      </c>
      <c r="O314" s="158"/>
      <c r="P314" s="92"/>
      <c r="Q314" s="146"/>
      <c r="R314" s="92"/>
      <c r="S314" s="146"/>
      <c r="T314" s="92"/>
      <c r="U314" s="146"/>
      <c r="V314" s="92"/>
      <c r="W314" s="146"/>
      <c r="X314" s="92"/>
      <c r="Y314" s="146"/>
      <c r="Z314" s="92"/>
      <c r="AA314" s="146"/>
      <c r="AB314" s="92"/>
      <c r="AC314" s="146"/>
      <c r="AD314" s="92"/>
      <c r="AE314" s="146"/>
      <c r="AF314" s="187" t="str">
        <f t="shared" si="19"/>
        <v/>
      </c>
      <c r="AG314" s="54" t="b">
        <f t="shared" si="22"/>
        <v>0</v>
      </c>
      <c r="AH314" s="146"/>
      <c r="AI314" s="210" t="s">
        <v>6</v>
      </c>
      <c r="AJ314" s="97" t="str">
        <f t="shared" si="20"/>
        <v>GUARULHOS</v>
      </c>
      <c r="AK314" s="213" t="s">
        <v>39</v>
      </c>
      <c r="AL314" s="53">
        <v>0.80037733342747863</v>
      </c>
      <c r="AM314" s="53" t="str" cm="1">
        <f t="array" ref="AM314">IF(OR(O314&lt;&gt;"", SUMPRODUCT(($AN$2:$AN$5000=AN314)*($AL$2:$AL$5000&lt;=AL314)) &lt;= (COUNTIF($AN$2:$AN$5000,AN314)*0.5)), "SORTEADO", "-")</f>
        <v>-</v>
      </c>
      <c r="AN314" s="230" t="s">
        <v>902</v>
      </c>
    </row>
    <row r="315" spans="1:40" ht="30" customHeight="1" x14ac:dyDescent="0.2">
      <c r="A315" s="230" t="s">
        <v>197</v>
      </c>
      <c r="B315" s="230">
        <v>2615151507</v>
      </c>
      <c r="C315" s="230" t="s">
        <v>95</v>
      </c>
      <c r="D315" s="230" t="s">
        <v>76</v>
      </c>
      <c r="E315" s="230" t="s">
        <v>198</v>
      </c>
      <c r="F315" s="230" t="s">
        <v>918</v>
      </c>
      <c r="G315" s="230">
        <v>165</v>
      </c>
      <c r="H315" s="230" t="s">
        <v>461</v>
      </c>
      <c r="I315" s="230" t="s">
        <v>919</v>
      </c>
      <c r="J315" s="230" t="s">
        <v>95</v>
      </c>
      <c r="K315" s="230" t="s">
        <v>213</v>
      </c>
      <c r="L315" s="230" t="s">
        <v>902</v>
      </c>
      <c r="M315" s="230" t="s">
        <v>920</v>
      </c>
      <c r="N315" s="230" t="s">
        <v>209</v>
      </c>
      <c r="O315" s="158" t="s">
        <v>204</v>
      </c>
      <c r="P315" s="92"/>
      <c r="Q315" s="146" t="s">
        <v>204</v>
      </c>
      <c r="R315" s="92"/>
      <c r="S315" s="146" t="s">
        <v>204</v>
      </c>
      <c r="T315" s="92"/>
      <c r="U315" s="146" t="s">
        <v>204</v>
      </c>
      <c r="V315" s="92"/>
      <c r="W315" s="146" t="s">
        <v>204</v>
      </c>
      <c r="X315" s="92"/>
      <c r="Y315" s="146" t="s">
        <v>61</v>
      </c>
      <c r="Z315" s="92"/>
      <c r="AA315" s="146" t="s">
        <v>204</v>
      </c>
      <c r="AB315" s="92"/>
      <c r="AC315" s="146" t="s">
        <v>204</v>
      </c>
      <c r="AD315" s="92"/>
      <c r="AE315" s="146" t="s">
        <v>204</v>
      </c>
      <c r="AF315" s="187" t="str">
        <f t="shared" si="19"/>
        <v>C</v>
      </c>
      <c r="AG315" s="54" t="str">
        <f t="shared" si="22"/>
        <v>UTILIZOU O PDA CORRETAMENTE</v>
      </c>
      <c r="AH315" s="146" t="s">
        <v>204</v>
      </c>
      <c r="AI315" s="210" t="s">
        <v>6</v>
      </c>
      <c r="AJ315" s="97" t="str">
        <f t="shared" si="20"/>
        <v>GUARULHOS</v>
      </c>
      <c r="AK315" s="213" t="s">
        <v>39</v>
      </c>
      <c r="AL315" s="53">
        <v>0.61460100708937482</v>
      </c>
      <c r="AM315" s="53" t="str" cm="1">
        <f t="array" ref="AM315">IF(OR(O315&lt;&gt;"", SUMPRODUCT(($AN$2:$AN$5000=AN315)*($AL$2:$AL$5000&lt;=AL315)) &lt;= (COUNTIF($AN$2:$AN$5000,AN315)*0.5)), "SORTEADO", "-")</f>
        <v>SORTEADO</v>
      </c>
      <c r="AN315" s="230" t="s">
        <v>902</v>
      </c>
    </row>
    <row r="316" spans="1:40" ht="30" customHeight="1" x14ac:dyDescent="0.2">
      <c r="A316" s="230" t="s">
        <v>197</v>
      </c>
      <c r="B316" s="230">
        <v>2615151463</v>
      </c>
      <c r="C316" s="230" t="s">
        <v>95</v>
      </c>
      <c r="D316" s="230" t="s">
        <v>76</v>
      </c>
      <c r="E316" s="230" t="s">
        <v>198</v>
      </c>
      <c r="F316" s="230" t="s">
        <v>918</v>
      </c>
      <c r="G316" s="230">
        <v>165</v>
      </c>
      <c r="H316" s="230" t="s">
        <v>217</v>
      </c>
      <c r="I316" s="230" t="s">
        <v>919</v>
      </c>
      <c r="J316" s="230" t="s">
        <v>95</v>
      </c>
      <c r="K316" s="230"/>
      <c r="L316" s="230" t="s">
        <v>902</v>
      </c>
      <c r="M316" s="230" t="s">
        <v>921</v>
      </c>
      <c r="N316" s="230" t="s">
        <v>209</v>
      </c>
      <c r="O316" s="158" t="s">
        <v>204</v>
      </c>
      <c r="P316" s="92"/>
      <c r="Q316" s="146" t="s">
        <v>204</v>
      </c>
      <c r="R316" s="92"/>
      <c r="S316" s="146" t="s">
        <v>204</v>
      </c>
      <c r="T316" s="92"/>
      <c r="U316" s="146" t="s">
        <v>204</v>
      </c>
      <c r="V316" s="92"/>
      <c r="W316" s="146" t="s">
        <v>204</v>
      </c>
      <c r="X316" s="92"/>
      <c r="Y316" s="146" t="s">
        <v>61</v>
      </c>
      <c r="Z316" s="92"/>
      <c r="AA316" s="146" t="s">
        <v>204</v>
      </c>
      <c r="AB316" s="92"/>
      <c r="AC316" s="146" t="s">
        <v>204</v>
      </c>
      <c r="AD316" s="92"/>
      <c r="AE316" s="146" t="s">
        <v>204</v>
      </c>
      <c r="AF316" s="187" t="str">
        <f t="shared" si="19"/>
        <v>C</v>
      </c>
      <c r="AG316" s="54" t="str">
        <f t="shared" si="22"/>
        <v>UTILIZOU O PDA CORRETAMENTE</v>
      </c>
      <c r="AH316" s="146" t="s">
        <v>204</v>
      </c>
      <c r="AI316" s="210" t="s">
        <v>6</v>
      </c>
      <c r="AJ316" s="97" t="str">
        <f t="shared" si="20"/>
        <v>GUARULHOS</v>
      </c>
      <c r="AK316" s="213" t="s">
        <v>39</v>
      </c>
      <c r="AL316" s="53">
        <v>0.4896930003759602</v>
      </c>
      <c r="AM316" s="53" t="str" cm="1">
        <f t="array" ref="AM316">IF(OR(O316&lt;&gt;"", SUMPRODUCT(($AN$2:$AN$5000=AN316)*($AL$2:$AL$5000&lt;=AL316)) &lt;= (COUNTIF($AN$2:$AN$5000,AN316)*0.5)), "SORTEADO", "-")</f>
        <v>SORTEADO</v>
      </c>
      <c r="AN316" s="230" t="s">
        <v>902</v>
      </c>
    </row>
    <row r="317" spans="1:40" ht="30" hidden="1" customHeight="1" x14ac:dyDescent="0.2">
      <c r="A317" s="230" t="s">
        <v>197</v>
      </c>
      <c r="B317" s="230">
        <v>2614490348</v>
      </c>
      <c r="C317" s="230" t="s">
        <v>85</v>
      </c>
      <c r="D317" s="230" t="s">
        <v>76</v>
      </c>
      <c r="E317" s="230" t="s">
        <v>198</v>
      </c>
      <c r="F317" s="230" t="s">
        <v>922</v>
      </c>
      <c r="G317" s="230">
        <v>56</v>
      </c>
      <c r="H317" s="230" t="s">
        <v>362</v>
      </c>
      <c r="I317" s="230" t="s">
        <v>923</v>
      </c>
      <c r="J317" s="230" t="s">
        <v>85</v>
      </c>
      <c r="K317" s="230" t="s">
        <v>924</v>
      </c>
      <c r="L317" s="230" t="s">
        <v>902</v>
      </c>
      <c r="M317" s="230" t="s">
        <v>925</v>
      </c>
      <c r="N317" s="230" t="s">
        <v>209</v>
      </c>
      <c r="O317" s="158"/>
      <c r="P317" s="92"/>
      <c r="Q317" s="146"/>
      <c r="R317" s="92"/>
      <c r="S317" s="146"/>
      <c r="T317" s="92"/>
      <c r="U317" s="146"/>
      <c r="V317" s="92"/>
      <c r="W317" s="146"/>
      <c r="X317" s="92"/>
      <c r="Y317" s="146"/>
      <c r="Z317" s="92"/>
      <c r="AA317" s="146"/>
      <c r="AB317" s="92"/>
      <c r="AC317" s="146"/>
      <c r="AD317" s="92"/>
      <c r="AE317" s="146"/>
      <c r="AF317" s="187" t="str">
        <f t="shared" si="19"/>
        <v/>
      </c>
      <c r="AG317" s="54" t="b">
        <f t="shared" si="22"/>
        <v>0</v>
      </c>
      <c r="AH317" s="146"/>
      <c r="AI317" s="210" t="s">
        <v>6</v>
      </c>
      <c r="AJ317" s="97" t="str">
        <f t="shared" si="20"/>
        <v>GUARULHOS</v>
      </c>
      <c r="AK317" s="213" t="s">
        <v>39</v>
      </c>
      <c r="AL317" s="53">
        <v>0.89970823307598646</v>
      </c>
      <c r="AM317" s="53" t="str" cm="1">
        <f t="array" ref="AM317">IF(OR(O317&lt;&gt;"", SUMPRODUCT(($AN$2:$AN$5000=AN317)*($AL$2:$AL$5000&lt;=AL317)) &lt;= (COUNTIF($AN$2:$AN$5000,AN317)*0.5)), "SORTEADO", "-")</f>
        <v>-</v>
      </c>
      <c r="AN317" s="230" t="s">
        <v>902</v>
      </c>
    </row>
    <row r="318" spans="1:40" ht="30" customHeight="1" x14ac:dyDescent="0.2">
      <c r="A318" s="230" t="s">
        <v>197</v>
      </c>
      <c r="B318" s="230">
        <v>2615075522</v>
      </c>
      <c r="C318" s="230" t="s">
        <v>94</v>
      </c>
      <c r="D318" s="230" t="s">
        <v>76</v>
      </c>
      <c r="E318" s="230" t="s">
        <v>198</v>
      </c>
      <c r="F318" s="230" t="s">
        <v>914</v>
      </c>
      <c r="G318" s="230">
        <v>90</v>
      </c>
      <c r="H318" s="230" t="s">
        <v>418</v>
      </c>
      <c r="I318" s="230" t="s">
        <v>915</v>
      </c>
      <c r="J318" s="230" t="s">
        <v>94</v>
      </c>
      <c r="K318" s="230" t="s">
        <v>926</v>
      </c>
      <c r="L318" s="230" t="s">
        <v>902</v>
      </c>
      <c r="M318" s="230" t="s">
        <v>927</v>
      </c>
      <c r="N318" s="230" t="s">
        <v>408</v>
      </c>
      <c r="O318" s="158" t="s">
        <v>204</v>
      </c>
      <c r="P318" s="92"/>
      <c r="Q318" s="146" t="s">
        <v>204</v>
      </c>
      <c r="R318" s="92"/>
      <c r="S318" s="146" t="s">
        <v>204</v>
      </c>
      <c r="T318" s="92"/>
      <c r="U318" s="146" t="s">
        <v>204</v>
      </c>
      <c r="V318" s="92"/>
      <c r="W318" s="146" t="s">
        <v>204</v>
      </c>
      <c r="X318" s="92"/>
      <c r="Y318" s="146" t="s">
        <v>204</v>
      </c>
      <c r="Z318" s="92"/>
      <c r="AA318" s="146" t="s">
        <v>204</v>
      </c>
      <c r="AB318" s="92"/>
      <c r="AC318" s="146" t="s">
        <v>204</v>
      </c>
      <c r="AD318" s="92"/>
      <c r="AE318" s="146" t="s">
        <v>204</v>
      </c>
      <c r="AF318" s="187" t="str">
        <f t="shared" si="19"/>
        <v>C</v>
      </c>
      <c r="AG318" s="54" t="str">
        <f t="shared" si="22"/>
        <v>UTILIZOU O PDA CORRETAMENTE</v>
      </c>
      <c r="AH318" s="146" t="s">
        <v>204</v>
      </c>
      <c r="AI318" s="210" t="s">
        <v>6</v>
      </c>
      <c r="AJ318" s="97" t="str">
        <f t="shared" si="20"/>
        <v>GUARULHOS</v>
      </c>
      <c r="AK318" s="213" t="s">
        <v>39</v>
      </c>
      <c r="AL318" s="53">
        <v>0.3356161968799638</v>
      </c>
      <c r="AM318" s="53" t="str" cm="1">
        <f t="array" ref="AM318">IF(OR(O318&lt;&gt;"", SUMPRODUCT(($AN$2:$AN$5000=AN318)*($AL$2:$AL$5000&lt;=AL318)) &lt;= (COUNTIF($AN$2:$AN$5000,AN318)*0.5)), "SORTEADO", "-")</f>
        <v>SORTEADO</v>
      </c>
      <c r="AN318" s="230" t="s">
        <v>902</v>
      </c>
    </row>
    <row r="319" spans="1:40" ht="30" customHeight="1" x14ac:dyDescent="0.2">
      <c r="A319" s="230" t="s">
        <v>197</v>
      </c>
      <c r="B319" s="230">
        <v>2615161145</v>
      </c>
      <c r="C319" s="230" t="s">
        <v>95</v>
      </c>
      <c r="D319" s="230" t="s">
        <v>76</v>
      </c>
      <c r="E319" s="230" t="s">
        <v>198</v>
      </c>
      <c r="F319" s="230" t="s">
        <v>928</v>
      </c>
      <c r="G319" s="230">
        <v>137</v>
      </c>
      <c r="H319" s="230" t="s">
        <v>929</v>
      </c>
      <c r="I319" s="230" t="s">
        <v>466</v>
      </c>
      <c r="J319" s="230" t="s">
        <v>95</v>
      </c>
      <c r="K319" s="230" t="s">
        <v>930</v>
      </c>
      <c r="L319" s="230" t="s">
        <v>902</v>
      </c>
      <c r="M319" s="230" t="s">
        <v>931</v>
      </c>
      <c r="N319" s="230" t="s">
        <v>408</v>
      </c>
      <c r="O319" s="158" t="s">
        <v>204</v>
      </c>
      <c r="P319" s="92"/>
      <c r="Q319" s="146" t="s">
        <v>61</v>
      </c>
      <c r="R319" s="92"/>
      <c r="S319" s="146" t="s">
        <v>61</v>
      </c>
      <c r="T319" s="92"/>
      <c r="U319" s="146" t="s">
        <v>61</v>
      </c>
      <c r="V319" s="92"/>
      <c r="W319" s="146" t="s">
        <v>61</v>
      </c>
      <c r="X319" s="92"/>
      <c r="Y319" s="146" t="s">
        <v>61</v>
      </c>
      <c r="Z319" s="92"/>
      <c r="AA319" s="146" t="s">
        <v>204</v>
      </c>
      <c r="AB319" s="92"/>
      <c r="AC319" s="146" t="s">
        <v>204</v>
      </c>
      <c r="AD319" s="92"/>
      <c r="AE319" s="146" t="s">
        <v>204</v>
      </c>
      <c r="AF319" s="187" t="str">
        <f t="shared" si="19"/>
        <v>C</v>
      </c>
      <c r="AG319" s="54" t="str">
        <f t="shared" si="22"/>
        <v>UTILIZOU O PDA CORRETAMENTE</v>
      </c>
      <c r="AH319" s="146" t="s">
        <v>204</v>
      </c>
      <c r="AI319" s="210" t="s">
        <v>6</v>
      </c>
      <c r="AJ319" s="97" t="str">
        <f t="shared" si="20"/>
        <v>GUARULHOS</v>
      </c>
      <c r="AK319" s="213" t="s">
        <v>39</v>
      </c>
      <c r="AL319" s="53">
        <v>0.46806781310517309</v>
      </c>
      <c r="AM319" s="53" t="str" cm="1">
        <f t="array" ref="AM319">IF(OR(O319&lt;&gt;"", SUMPRODUCT(($AN$2:$AN$5000=AN319)*($AL$2:$AL$5000&lt;=AL319)) &lt;= (COUNTIF($AN$2:$AN$5000,AN319)*0.5)), "SORTEADO", "-")</f>
        <v>SORTEADO</v>
      </c>
      <c r="AN319" s="230" t="s">
        <v>902</v>
      </c>
    </row>
    <row r="320" spans="1:40" ht="30" customHeight="1" x14ac:dyDescent="0.2">
      <c r="A320" s="230" t="s">
        <v>197</v>
      </c>
      <c r="B320" s="230">
        <v>2615161143</v>
      </c>
      <c r="C320" s="230" t="s">
        <v>93</v>
      </c>
      <c r="D320" s="230" t="s">
        <v>76</v>
      </c>
      <c r="E320" s="230" t="s">
        <v>198</v>
      </c>
      <c r="F320" s="230" t="s">
        <v>928</v>
      </c>
      <c r="G320" s="230">
        <v>137</v>
      </c>
      <c r="H320" s="230" t="s">
        <v>932</v>
      </c>
      <c r="I320" s="230" t="s">
        <v>466</v>
      </c>
      <c r="J320" s="230" t="s">
        <v>93</v>
      </c>
      <c r="K320" s="230" t="s">
        <v>933</v>
      </c>
      <c r="L320" s="230" t="s">
        <v>902</v>
      </c>
      <c r="M320" s="230" t="s">
        <v>934</v>
      </c>
      <c r="N320" s="230" t="s">
        <v>408</v>
      </c>
      <c r="O320" s="158" t="s">
        <v>204</v>
      </c>
      <c r="P320" s="92"/>
      <c r="Q320" s="146" t="s">
        <v>61</v>
      </c>
      <c r="R320" s="92"/>
      <c r="S320" s="146" t="s">
        <v>61</v>
      </c>
      <c r="T320" s="92"/>
      <c r="U320" s="146" t="s">
        <v>61</v>
      </c>
      <c r="V320" s="92"/>
      <c r="W320" s="146" t="s">
        <v>61</v>
      </c>
      <c r="X320" s="92"/>
      <c r="Y320" s="146" t="s">
        <v>61</v>
      </c>
      <c r="Z320" s="92"/>
      <c r="AA320" s="146" t="s">
        <v>204</v>
      </c>
      <c r="AB320" s="92"/>
      <c r="AC320" s="146" t="s">
        <v>204</v>
      </c>
      <c r="AD320" s="92"/>
      <c r="AE320" s="146" t="s">
        <v>204</v>
      </c>
      <c r="AF320" s="187" t="str">
        <f t="shared" si="19"/>
        <v>C</v>
      </c>
      <c r="AG320" s="54" t="str">
        <f t="shared" si="22"/>
        <v>UTILIZOU O PDA CORRETAMENTE</v>
      </c>
      <c r="AH320" s="146" t="s">
        <v>204</v>
      </c>
      <c r="AI320" s="210" t="s">
        <v>6</v>
      </c>
      <c r="AJ320" s="97" t="str">
        <f t="shared" si="20"/>
        <v>GUARULHOS</v>
      </c>
      <c r="AK320" s="213" t="s">
        <v>39</v>
      </c>
      <c r="AL320" s="53">
        <v>0.52657895171076463</v>
      </c>
      <c r="AM320" s="53" t="str" cm="1">
        <f t="array" ref="AM320">IF(OR(O320&lt;&gt;"", SUMPRODUCT(($AN$2:$AN$5000=AN320)*($AL$2:$AL$5000&lt;=AL320)) &lt;= (COUNTIF($AN$2:$AN$5000,AN320)*0.5)), "SORTEADO", "-")</f>
        <v>SORTEADO</v>
      </c>
      <c r="AN320" s="230" t="s">
        <v>902</v>
      </c>
    </row>
    <row r="321" spans="1:40" ht="30" customHeight="1" x14ac:dyDescent="0.2">
      <c r="A321" s="267" t="s">
        <v>197</v>
      </c>
      <c r="B321" s="267">
        <v>2615151454</v>
      </c>
      <c r="C321" s="267" t="s">
        <v>93</v>
      </c>
      <c r="D321" s="267" t="s">
        <v>76</v>
      </c>
      <c r="E321" s="267" t="s">
        <v>198</v>
      </c>
      <c r="F321" s="267" t="s">
        <v>918</v>
      </c>
      <c r="G321" s="267">
        <v>165</v>
      </c>
      <c r="H321" s="267" t="s">
        <v>206</v>
      </c>
      <c r="I321" s="267" t="s">
        <v>919</v>
      </c>
      <c r="J321" s="267" t="s">
        <v>93</v>
      </c>
      <c r="K321" s="267" t="s">
        <v>213</v>
      </c>
      <c r="L321" s="267" t="s">
        <v>902</v>
      </c>
      <c r="M321" s="267" t="s">
        <v>935</v>
      </c>
      <c r="N321" s="267" t="s">
        <v>209</v>
      </c>
      <c r="O321" s="268" t="s">
        <v>204</v>
      </c>
      <c r="P321" s="269"/>
      <c r="Q321" s="270" t="s">
        <v>204</v>
      </c>
      <c r="R321" s="269"/>
      <c r="S321" s="270" t="s">
        <v>204</v>
      </c>
      <c r="T321" s="269"/>
      <c r="U321" s="270" t="s">
        <v>204</v>
      </c>
      <c r="V321" s="269"/>
      <c r="W321" s="270" t="s">
        <v>204</v>
      </c>
      <c r="X321" s="269"/>
      <c r="Y321" s="270" t="s">
        <v>61</v>
      </c>
      <c r="Z321" s="269"/>
      <c r="AA321" s="270" t="s">
        <v>204</v>
      </c>
      <c r="AB321" s="269"/>
      <c r="AC321" s="270" t="s">
        <v>210</v>
      </c>
      <c r="AD321" s="269" t="s">
        <v>604</v>
      </c>
      <c r="AE321" s="146" t="s">
        <v>204</v>
      </c>
      <c r="AF321" s="187" t="str">
        <f t="shared" si="19"/>
        <v>NC</v>
      </c>
      <c r="AG321" s="54" t="str">
        <f t="shared" si="22"/>
        <v>UTILIZOU O PDA CORRETAMENTE. NÃO HÁ FOTOS DE TODAS AS ETAPAS</v>
      </c>
      <c r="AH321" s="146" t="s">
        <v>204</v>
      </c>
      <c r="AI321" s="210" t="s">
        <v>6</v>
      </c>
      <c r="AJ321" s="97" t="str">
        <f t="shared" si="20"/>
        <v>GUARULHOS</v>
      </c>
      <c r="AK321" s="213" t="s">
        <v>39</v>
      </c>
      <c r="AL321" s="53">
        <v>0.81678928855717114</v>
      </c>
      <c r="AM321" s="53" t="str" cm="1">
        <f t="array" ref="AM321">IF(OR(O321&lt;&gt;"", SUMPRODUCT(($AN$2:$AN$5000=AN321)*($AL$2:$AL$5000&lt;=AL321)) &lt;= (COUNTIF($AN$2:$AN$5000,AN321)*0.5)), "SORTEADO", "-")</f>
        <v>SORTEADO</v>
      </c>
      <c r="AN321" s="230" t="s">
        <v>902</v>
      </c>
    </row>
    <row r="322" spans="1:40" ht="30" customHeight="1" x14ac:dyDescent="0.2">
      <c r="A322" s="267" t="s">
        <v>197</v>
      </c>
      <c r="B322" s="267">
        <v>2615151458</v>
      </c>
      <c r="C322" s="267" t="s">
        <v>95</v>
      </c>
      <c r="D322" s="267" t="s">
        <v>76</v>
      </c>
      <c r="E322" s="267" t="s">
        <v>198</v>
      </c>
      <c r="F322" s="267" t="s">
        <v>918</v>
      </c>
      <c r="G322" s="267">
        <v>165</v>
      </c>
      <c r="H322" s="267" t="s">
        <v>211</v>
      </c>
      <c r="I322" s="267" t="s">
        <v>919</v>
      </c>
      <c r="J322" s="267" t="s">
        <v>95</v>
      </c>
      <c r="K322" s="267" t="s">
        <v>936</v>
      </c>
      <c r="L322" s="267" t="s">
        <v>902</v>
      </c>
      <c r="M322" s="267" t="s">
        <v>937</v>
      </c>
      <c r="N322" s="267" t="s">
        <v>209</v>
      </c>
      <c r="O322" s="268" t="s">
        <v>204</v>
      </c>
      <c r="P322" s="269"/>
      <c r="Q322" s="270" t="s">
        <v>204</v>
      </c>
      <c r="R322" s="269"/>
      <c r="S322" s="270" t="s">
        <v>204</v>
      </c>
      <c r="T322" s="269"/>
      <c r="U322" s="270" t="s">
        <v>204</v>
      </c>
      <c r="V322" s="269"/>
      <c r="W322" s="270" t="s">
        <v>204</v>
      </c>
      <c r="X322" s="269"/>
      <c r="Y322" s="270" t="s">
        <v>61</v>
      </c>
      <c r="Z322" s="269"/>
      <c r="AA322" s="270" t="s">
        <v>204</v>
      </c>
      <c r="AB322" s="269"/>
      <c r="AC322" s="270" t="s">
        <v>210</v>
      </c>
      <c r="AD322" s="269" t="s">
        <v>604</v>
      </c>
      <c r="AE322" s="146" t="s">
        <v>204</v>
      </c>
      <c r="AF322" s="187" t="str">
        <f t="shared" si="19"/>
        <v>NC</v>
      </c>
      <c r="AG322" s="54" t="str">
        <f t="shared" si="22"/>
        <v>UTILIZOU O PDA CORRETAMENTE. NÃO HÁ FOTOS DE TODAS AS ETAPAS</v>
      </c>
      <c r="AH322" s="146" t="s">
        <v>204</v>
      </c>
      <c r="AI322" s="210" t="s">
        <v>6</v>
      </c>
      <c r="AJ322" s="97" t="str">
        <f t="shared" si="20"/>
        <v>GUARULHOS</v>
      </c>
      <c r="AK322" s="213" t="s">
        <v>39</v>
      </c>
      <c r="AL322" s="53">
        <v>0.61251431292178571</v>
      </c>
      <c r="AM322" s="53" t="str" cm="1">
        <f t="array" ref="AM322">IF(OR(O322&lt;&gt;"", SUMPRODUCT(($AN$2:$AN$5000=AN322)*($AL$2:$AL$5000&lt;=AL322)) &lt;= (COUNTIF($AN$2:$AN$5000,AN322)*0.5)), "SORTEADO", "-")</f>
        <v>SORTEADO</v>
      </c>
      <c r="AN322" s="230" t="s">
        <v>902</v>
      </c>
    </row>
    <row r="323" spans="1:40" ht="30" hidden="1" customHeight="1" x14ac:dyDescent="0.2">
      <c r="A323" s="230" t="s">
        <v>197</v>
      </c>
      <c r="B323" s="230">
        <v>2614635920</v>
      </c>
      <c r="C323" s="230" t="s">
        <v>85</v>
      </c>
      <c r="D323" s="230" t="s">
        <v>76</v>
      </c>
      <c r="E323" s="230" t="s">
        <v>198</v>
      </c>
      <c r="F323" s="230" t="s">
        <v>938</v>
      </c>
      <c r="G323" s="230">
        <v>431</v>
      </c>
      <c r="H323" s="230" t="s">
        <v>213</v>
      </c>
      <c r="I323" s="230" t="s">
        <v>923</v>
      </c>
      <c r="J323" s="230" t="s">
        <v>85</v>
      </c>
      <c r="K323" s="230" t="s">
        <v>213</v>
      </c>
      <c r="L323" s="230" t="s">
        <v>902</v>
      </c>
      <c r="M323" s="230" t="s">
        <v>939</v>
      </c>
      <c r="N323" s="230" t="s">
        <v>209</v>
      </c>
      <c r="O323" s="158"/>
      <c r="P323" s="92"/>
      <c r="Q323" s="146"/>
      <c r="R323" s="92"/>
      <c r="S323" s="146"/>
      <c r="T323" s="92"/>
      <c r="U323" s="146"/>
      <c r="V323" s="92"/>
      <c r="W323" s="146"/>
      <c r="X323" s="92"/>
      <c r="Y323" s="146"/>
      <c r="Z323" s="92"/>
      <c r="AA323" s="146"/>
      <c r="AB323" s="92"/>
      <c r="AC323" s="146"/>
      <c r="AD323" s="92"/>
      <c r="AE323" s="146"/>
      <c r="AF323" s="187" t="str">
        <f t="shared" si="19"/>
        <v/>
      </c>
      <c r="AG323" s="54" t="b">
        <f t="shared" si="22"/>
        <v>0</v>
      </c>
      <c r="AH323" s="146"/>
      <c r="AI323" s="210" t="s">
        <v>6</v>
      </c>
      <c r="AJ323" s="97" t="str">
        <f t="shared" si="20"/>
        <v>GUARULHOS</v>
      </c>
      <c r="AK323" s="213" t="s">
        <v>39</v>
      </c>
      <c r="AL323" s="53">
        <v>0.82041647327508305</v>
      </c>
      <c r="AM323" s="53" t="str" cm="1">
        <f t="array" ref="AM323">IF(OR(O323&lt;&gt;"", SUMPRODUCT(($AN$2:$AN$5000=AN323)*($AL$2:$AL$5000&lt;=AL323)) &lt;= (COUNTIF($AN$2:$AN$5000,AN323)*0.5)), "SORTEADO", "-")</f>
        <v>-</v>
      </c>
      <c r="AN323" s="230" t="s">
        <v>902</v>
      </c>
    </row>
    <row r="324" spans="1:40" ht="30" customHeight="1" x14ac:dyDescent="0.2">
      <c r="A324" s="230" t="s">
        <v>197</v>
      </c>
      <c r="B324" s="230">
        <v>2614836219</v>
      </c>
      <c r="C324" s="230" t="s">
        <v>85</v>
      </c>
      <c r="D324" s="230" t="s">
        <v>76</v>
      </c>
      <c r="E324" s="230" t="s">
        <v>198</v>
      </c>
      <c r="F324" s="230" t="s">
        <v>940</v>
      </c>
      <c r="G324" s="230">
        <v>353</v>
      </c>
      <c r="H324" s="230"/>
      <c r="I324" s="230" t="s">
        <v>893</v>
      </c>
      <c r="J324" s="230" t="s">
        <v>85</v>
      </c>
      <c r="K324" s="230"/>
      <c r="L324" s="230" t="s">
        <v>902</v>
      </c>
      <c r="M324" s="230" t="s">
        <v>941</v>
      </c>
      <c r="N324" s="230" t="s">
        <v>209</v>
      </c>
      <c r="O324" s="158" t="s">
        <v>204</v>
      </c>
      <c r="P324" s="92"/>
      <c r="Q324" s="146" t="s">
        <v>204</v>
      </c>
      <c r="R324" s="92"/>
      <c r="S324" s="146" t="s">
        <v>204</v>
      </c>
      <c r="T324" s="92"/>
      <c r="U324" s="146" t="s">
        <v>204</v>
      </c>
      <c r="V324" s="92"/>
      <c r="W324" s="146" t="s">
        <v>204</v>
      </c>
      <c r="X324" s="92"/>
      <c r="Y324" s="146" t="s">
        <v>61</v>
      </c>
      <c r="Z324" s="92"/>
      <c r="AA324" s="146" t="s">
        <v>204</v>
      </c>
      <c r="AB324" s="92"/>
      <c r="AC324" s="146" t="s">
        <v>204</v>
      </c>
      <c r="AD324" s="92"/>
      <c r="AE324" s="146" t="s">
        <v>204</v>
      </c>
      <c r="AF324" s="187" t="str">
        <f t="shared" si="19"/>
        <v>C</v>
      </c>
      <c r="AG324" s="54" t="str">
        <f t="shared" si="22"/>
        <v>UTILIZOU O PDA CORRETAMENTE</v>
      </c>
      <c r="AH324" s="146" t="s">
        <v>204</v>
      </c>
      <c r="AI324" s="210" t="s">
        <v>6</v>
      </c>
      <c r="AJ324" s="97" t="str">
        <f t="shared" si="20"/>
        <v>GUARULHOS</v>
      </c>
      <c r="AK324" s="213" t="s">
        <v>39</v>
      </c>
      <c r="AL324" s="53">
        <v>0.47376616749632816</v>
      </c>
      <c r="AM324" s="53" t="str" cm="1">
        <f t="array" ref="AM324">IF(OR(O324&lt;&gt;"", SUMPRODUCT(($AN$2:$AN$5000=AN324)*($AL$2:$AL$5000&lt;=AL324)) &lt;= (COUNTIF($AN$2:$AN$5000,AN324)*0.5)), "SORTEADO", "-")</f>
        <v>SORTEADO</v>
      </c>
      <c r="AN324" s="230" t="s">
        <v>902</v>
      </c>
    </row>
    <row r="325" spans="1:40" ht="30" hidden="1" customHeight="1" x14ac:dyDescent="0.2">
      <c r="A325" s="230" t="s">
        <v>197</v>
      </c>
      <c r="B325" s="230">
        <v>2614845329</v>
      </c>
      <c r="C325" s="230" t="s">
        <v>93</v>
      </c>
      <c r="D325" s="230" t="s">
        <v>76</v>
      </c>
      <c r="E325" s="230" t="s">
        <v>198</v>
      </c>
      <c r="F325" s="230" t="s">
        <v>942</v>
      </c>
      <c r="G325" s="230">
        <v>30</v>
      </c>
      <c r="H325" s="230" t="s">
        <v>943</v>
      </c>
      <c r="I325" s="230" t="s">
        <v>269</v>
      </c>
      <c r="J325" s="230" t="s">
        <v>93</v>
      </c>
      <c r="K325" s="230" t="s">
        <v>944</v>
      </c>
      <c r="L325" s="230" t="s">
        <v>902</v>
      </c>
      <c r="M325" s="230" t="s">
        <v>945</v>
      </c>
      <c r="N325" s="230" t="s">
        <v>203</v>
      </c>
      <c r="O325" s="158"/>
      <c r="P325" s="92"/>
      <c r="Q325" s="146"/>
      <c r="R325" s="92"/>
      <c r="S325" s="146"/>
      <c r="T325" s="92"/>
      <c r="U325" s="146"/>
      <c r="V325" s="92"/>
      <c r="W325" s="146"/>
      <c r="X325" s="92"/>
      <c r="Y325" s="146"/>
      <c r="Z325" s="92"/>
      <c r="AA325" s="146"/>
      <c r="AB325" s="92"/>
      <c r="AC325" s="146"/>
      <c r="AD325" s="92"/>
      <c r="AE325" s="146"/>
      <c r="AF325" s="187" t="str">
        <f t="shared" si="19"/>
        <v/>
      </c>
      <c r="AG325" s="54" t="b">
        <f t="shared" si="22"/>
        <v>0</v>
      </c>
      <c r="AH325" s="146"/>
      <c r="AI325" s="210" t="s">
        <v>6</v>
      </c>
      <c r="AJ325" s="97" t="str">
        <f t="shared" si="20"/>
        <v>GUARULHOS</v>
      </c>
      <c r="AK325" s="213" t="s">
        <v>39</v>
      </c>
      <c r="AL325" s="53">
        <v>0.73545998794472356</v>
      </c>
      <c r="AM325" s="53" t="str" cm="1">
        <f t="array" ref="AM325">IF(OR(O325&lt;&gt;"", SUMPRODUCT(($AN$2:$AN$5000=AN325)*($AL$2:$AL$5000&lt;=AL325)) &lt;= (COUNTIF($AN$2:$AN$5000,AN325)*0.5)), "SORTEADO", "-")</f>
        <v>-</v>
      </c>
      <c r="AN325" s="230" t="s">
        <v>902</v>
      </c>
    </row>
    <row r="326" spans="1:40" ht="30" customHeight="1" x14ac:dyDescent="0.2">
      <c r="A326" s="230" t="s">
        <v>197</v>
      </c>
      <c r="B326" s="230">
        <v>2615134345</v>
      </c>
      <c r="C326" s="230" t="s">
        <v>85</v>
      </c>
      <c r="D326" s="230" t="s">
        <v>76</v>
      </c>
      <c r="E326" s="230" t="s">
        <v>198</v>
      </c>
      <c r="F326" s="230" t="s">
        <v>946</v>
      </c>
      <c r="G326" s="230">
        <v>120</v>
      </c>
      <c r="H326" s="230"/>
      <c r="I326" s="230" t="s">
        <v>947</v>
      </c>
      <c r="J326" s="230" t="s">
        <v>85</v>
      </c>
      <c r="K326" s="230"/>
      <c r="L326" s="230" t="s">
        <v>902</v>
      </c>
      <c r="M326" s="230" t="s">
        <v>948</v>
      </c>
      <c r="N326" s="230" t="s">
        <v>203</v>
      </c>
      <c r="O326" s="158" t="s">
        <v>204</v>
      </c>
      <c r="P326" s="92"/>
      <c r="Q326" s="146" t="s">
        <v>204</v>
      </c>
      <c r="R326" s="92"/>
      <c r="S326" s="146" t="s">
        <v>204</v>
      </c>
      <c r="T326" s="92"/>
      <c r="U326" s="146" t="s">
        <v>204</v>
      </c>
      <c r="V326" s="92"/>
      <c r="W326" s="146" t="s">
        <v>204</v>
      </c>
      <c r="X326" s="92"/>
      <c r="Y326" s="146" t="s">
        <v>61</v>
      </c>
      <c r="Z326" s="92"/>
      <c r="AA326" s="146" t="s">
        <v>204</v>
      </c>
      <c r="AB326" s="92"/>
      <c r="AC326" s="146" t="s">
        <v>204</v>
      </c>
      <c r="AD326" s="92"/>
      <c r="AE326" s="146" t="s">
        <v>204</v>
      </c>
      <c r="AF326" s="187" t="str">
        <f t="shared" si="19"/>
        <v>C</v>
      </c>
      <c r="AG326" s="54" t="str">
        <f t="shared" si="22"/>
        <v>UTILIZOU O PDA CORRETAMENTE</v>
      </c>
      <c r="AH326" s="146" t="s">
        <v>204</v>
      </c>
      <c r="AI326" s="210" t="s">
        <v>6</v>
      </c>
      <c r="AJ326" s="97" t="str">
        <f t="shared" si="20"/>
        <v>GUARULHOS</v>
      </c>
      <c r="AK326" s="213" t="s">
        <v>39</v>
      </c>
      <c r="AL326" s="53">
        <v>0.3636142503881884</v>
      </c>
      <c r="AM326" s="53" t="str" cm="1">
        <f t="array" ref="AM326">IF(OR(O326&lt;&gt;"", SUMPRODUCT(($AN$2:$AN$5000=AN326)*($AL$2:$AL$5000&lt;=AL326)) &lt;= (COUNTIF($AN$2:$AN$5000,AN326)*0.5)), "SORTEADO", "-")</f>
        <v>SORTEADO</v>
      </c>
      <c r="AN326" s="230" t="s">
        <v>902</v>
      </c>
    </row>
    <row r="327" spans="1:40" ht="30" customHeight="1" x14ac:dyDescent="0.2">
      <c r="A327" s="230" t="s">
        <v>197</v>
      </c>
      <c r="B327" s="230">
        <v>2614845332</v>
      </c>
      <c r="C327" s="230" t="s">
        <v>95</v>
      </c>
      <c r="D327" s="230" t="s">
        <v>76</v>
      </c>
      <c r="E327" s="230" t="s">
        <v>198</v>
      </c>
      <c r="F327" s="230" t="s">
        <v>942</v>
      </c>
      <c r="G327" s="230">
        <v>30</v>
      </c>
      <c r="H327" s="230" t="s">
        <v>949</v>
      </c>
      <c r="I327" s="230" t="s">
        <v>269</v>
      </c>
      <c r="J327" s="230" t="s">
        <v>95</v>
      </c>
      <c r="K327" s="230" t="s">
        <v>950</v>
      </c>
      <c r="L327" s="230" t="s">
        <v>902</v>
      </c>
      <c r="M327" s="230" t="s">
        <v>951</v>
      </c>
      <c r="N327" s="230" t="s">
        <v>203</v>
      </c>
      <c r="O327" s="158" t="s">
        <v>204</v>
      </c>
      <c r="P327" s="92"/>
      <c r="Q327" s="146" t="s">
        <v>61</v>
      </c>
      <c r="R327" s="92"/>
      <c r="S327" s="146" t="s">
        <v>61</v>
      </c>
      <c r="T327" s="92"/>
      <c r="U327" s="146" t="s">
        <v>61</v>
      </c>
      <c r="V327" s="92"/>
      <c r="W327" s="146" t="s">
        <v>61</v>
      </c>
      <c r="X327" s="92"/>
      <c r="Y327" s="146" t="s">
        <v>61</v>
      </c>
      <c r="Z327" s="92"/>
      <c r="AA327" s="146" t="s">
        <v>204</v>
      </c>
      <c r="AB327" s="92"/>
      <c r="AC327" s="146" t="s">
        <v>204</v>
      </c>
      <c r="AD327" s="92"/>
      <c r="AE327" s="146" t="s">
        <v>204</v>
      </c>
      <c r="AF327" s="187" t="str">
        <f t="shared" ref="AF327:AF390" si="23">IF(AND(O327="",Q327="",S327="",U327="",W327="",Y327="",AA327="",AC327=""),"",IF(OR(AND(O327&lt;&gt;"NA",O327&lt;&gt;"C",O327&lt;&gt;"NC",O327&lt;&gt;"SF",O327&lt;&gt;""),AND(Q327&lt;&gt;"NA",Q327&lt;&gt;"C",Q327&lt;&gt;"NC",Q327&lt;&gt;"SF",Q327&lt;&gt;""),AND(S327&lt;&gt;"NA",S327&lt;&gt;"C",S327&lt;&gt;"NC",S327&lt;&gt;"SF",S327&lt;&gt;""),AND(U327&lt;&gt;"NA",U327&lt;&gt;"C",U327&lt;&gt;"NC",U327&lt;&gt;"SF",U327&lt;&gt;""),AND(W327&lt;&gt;"NA",W327&lt;&gt;"C",W327&lt;&gt;"NC",W327&lt;&gt;"SF",W327&lt;&gt;""),AND(Y327&lt;&gt;"NA",Y327&lt;&gt;"C",Y327&lt;&gt;"NC",Y327&lt;&gt;"SF",Y327&lt;&gt;""),AND(AA327&lt;&gt;"NA",AA327&lt;&gt;"C",AA327&lt;&gt;"NC",AA327&lt;&gt;"SF",AA327&lt;&gt;""),AND(AC327&lt;&gt;"NA",AC327&lt;&gt;"C",AC327&lt;&gt;"NC",AC327&lt;&gt;"SF",AC327&lt;&gt;"")),"FALSO",IF(AND(O327="NA",Q327="NA",S327="NA",U327="NA",W327="NA",Y327="NA",AA327="NA",AC327="NA"),"NA",IF(OR(O327="NC",Q327="NC",S327="NC",U327="NC",W327="NC",Y327="NC",AA327="NC",AC327="NC",O327="SF",Q327="SF",S327="SF",U327="SF",W327="SF",Y327="SF",AA327="SF",AC327="SF"),"NC",IF(OR(O327="C",Q327="C",S327="C",U327="C",W327="C",Y327="C",AA327="C",AC327="C"),"C","")))))</f>
        <v>C</v>
      </c>
      <c r="AG327" s="54" t="str">
        <f t="shared" si="22"/>
        <v>UTILIZOU O PDA CORRETAMENTE</v>
      </c>
      <c r="AH327" s="146" t="s">
        <v>204</v>
      </c>
      <c r="AI327" s="210" t="s">
        <v>6</v>
      </c>
      <c r="AJ327" s="97" t="str">
        <f t="shared" ref="AJ327:AJ390" si="24">E327</f>
        <v>GUARULHOS</v>
      </c>
      <c r="AK327" s="213" t="s">
        <v>39</v>
      </c>
      <c r="AL327" s="53">
        <v>0.29663949990756866</v>
      </c>
      <c r="AM327" s="53" t="str" cm="1">
        <f t="array" ref="AM327">IF(OR(O327&lt;&gt;"", SUMPRODUCT(($AN$2:$AN$5000=AN327)*($AL$2:$AL$5000&lt;=AL327)) &lt;= (COUNTIF($AN$2:$AN$5000,AN327)*0.5)), "SORTEADO", "-")</f>
        <v>SORTEADO</v>
      </c>
      <c r="AN327" s="230" t="s">
        <v>902</v>
      </c>
    </row>
    <row r="328" spans="1:40" ht="30" hidden="1" customHeight="1" x14ac:dyDescent="0.2">
      <c r="A328" s="230" t="s">
        <v>197</v>
      </c>
      <c r="B328" s="230">
        <v>2614845330</v>
      </c>
      <c r="C328" s="230" t="s">
        <v>95</v>
      </c>
      <c r="D328" s="230" t="s">
        <v>76</v>
      </c>
      <c r="E328" s="230" t="s">
        <v>198</v>
      </c>
      <c r="F328" s="230" t="s">
        <v>942</v>
      </c>
      <c r="G328" s="230">
        <v>30</v>
      </c>
      <c r="H328" s="230" t="s">
        <v>952</v>
      </c>
      <c r="I328" s="230" t="s">
        <v>269</v>
      </c>
      <c r="J328" s="230" t="s">
        <v>95</v>
      </c>
      <c r="K328" s="230" t="s">
        <v>950</v>
      </c>
      <c r="L328" s="230" t="s">
        <v>902</v>
      </c>
      <c r="M328" s="230" t="s">
        <v>953</v>
      </c>
      <c r="N328" s="230" t="s">
        <v>203</v>
      </c>
      <c r="O328" s="158"/>
      <c r="P328" s="92"/>
      <c r="Q328" s="146"/>
      <c r="R328" s="92"/>
      <c r="S328" s="146"/>
      <c r="T328" s="92"/>
      <c r="U328" s="146"/>
      <c r="V328" s="92"/>
      <c r="W328" s="146"/>
      <c r="X328" s="92"/>
      <c r="Y328" s="146"/>
      <c r="Z328" s="92"/>
      <c r="AA328" s="146"/>
      <c r="AB328" s="92"/>
      <c r="AC328" s="146"/>
      <c r="AD328" s="92"/>
      <c r="AE328" s="146"/>
      <c r="AF328" s="187" t="str">
        <f t="shared" si="23"/>
        <v/>
      </c>
      <c r="AG328" s="54" t="b">
        <f t="shared" si="22"/>
        <v>0</v>
      </c>
      <c r="AH328" s="146"/>
      <c r="AI328" s="210" t="s">
        <v>6</v>
      </c>
      <c r="AJ328" s="97" t="str">
        <f t="shared" si="24"/>
        <v>GUARULHOS</v>
      </c>
      <c r="AK328" s="213" t="s">
        <v>39</v>
      </c>
      <c r="AL328" s="53">
        <v>0.89225669377320882</v>
      </c>
      <c r="AM328" s="53" t="str" cm="1">
        <f t="array" ref="AM328">IF(OR(O328&lt;&gt;"", SUMPRODUCT(($AN$2:$AN$5000=AN328)*($AL$2:$AL$5000&lt;=AL328)) &lt;= (COUNTIF($AN$2:$AN$5000,AN328)*0.5)), "SORTEADO", "-")</f>
        <v>-</v>
      </c>
      <c r="AN328" s="230" t="s">
        <v>902</v>
      </c>
    </row>
    <row r="329" spans="1:40" ht="30" customHeight="1" x14ac:dyDescent="0.2">
      <c r="A329" s="230" t="s">
        <v>197</v>
      </c>
      <c r="B329" s="230">
        <v>2690385046</v>
      </c>
      <c r="C329" s="230" t="s">
        <v>106</v>
      </c>
      <c r="D329" s="230" t="s">
        <v>80</v>
      </c>
      <c r="E329" s="230" t="s">
        <v>198</v>
      </c>
      <c r="F329" s="230" t="s">
        <v>954</v>
      </c>
      <c r="G329" s="230">
        <v>38</v>
      </c>
      <c r="H329" s="230" t="s">
        <v>213</v>
      </c>
      <c r="I329" s="230" t="s">
        <v>480</v>
      </c>
      <c r="J329" s="230" t="s">
        <v>259</v>
      </c>
      <c r="K329" s="230" t="s">
        <v>213</v>
      </c>
      <c r="L329" s="230" t="s">
        <v>902</v>
      </c>
      <c r="M329" s="230" t="s">
        <v>955</v>
      </c>
      <c r="N329" s="230" t="s">
        <v>241</v>
      </c>
      <c r="O329" s="158" t="s">
        <v>204</v>
      </c>
      <c r="P329" s="92"/>
      <c r="Q329" s="146" t="s">
        <v>204</v>
      </c>
      <c r="R329" s="92"/>
      <c r="S329" s="146" t="s">
        <v>204</v>
      </c>
      <c r="T329" s="92"/>
      <c r="U329" s="146" t="s">
        <v>204</v>
      </c>
      <c r="V329" s="92"/>
      <c r="W329" s="146" t="s">
        <v>204</v>
      </c>
      <c r="X329" s="92"/>
      <c r="Y329" s="146" t="s">
        <v>61</v>
      </c>
      <c r="Z329" s="92"/>
      <c r="AA329" s="146" t="s">
        <v>204</v>
      </c>
      <c r="AB329" s="92"/>
      <c r="AC329" s="146" t="s">
        <v>204</v>
      </c>
      <c r="AD329" s="92"/>
      <c r="AE329" s="146" t="s">
        <v>204</v>
      </c>
      <c r="AF329" s="187" t="str">
        <f t="shared" si="23"/>
        <v>C</v>
      </c>
      <c r="AG329" s="54" t="str">
        <f t="shared" si="22"/>
        <v>UTILIZOU O PDA CORRETAMENTE</v>
      </c>
      <c r="AH329" s="144" t="s">
        <v>204</v>
      </c>
      <c r="AI329" s="210" t="s">
        <v>6</v>
      </c>
      <c r="AJ329" s="97" t="str">
        <f t="shared" si="24"/>
        <v>GUARULHOS</v>
      </c>
      <c r="AK329" s="213" t="s">
        <v>39</v>
      </c>
      <c r="AL329" s="53">
        <v>0.52242015060762237</v>
      </c>
      <c r="AM329" s="53" t="str" cm="1">
        <f t="array" ref="AM329">IF(OR(O329&lt;&gt;"", SUMPRODUCT(($AN$2:$AN$5000=AN329)*($AL$2:$AL$5000&lt;=AL329)) &lt;= (COUNTIF($AN$2:$AN$5000,AN329)*0.5)), "SORTEADO", "-")</f>
        <v>SORTEADO</v>
      </c>
      <c r="AN329" s="230" t="s">
        <v>902</v>
      </c>
    </row>
    <row r="330" spans="1:40" ht="30" hidden="1" customHeight="1" x14ac:dyDescent="0.2">
      <c r="A330" s="230" t="s">
        <v>197</v>
      </c>
      <c r="B330" s="230">
        <v>2690387520</v>
      </c>
      <c r="C330" s="230" t="s">
        <v>106</v>
      </c>
      <c r="D330" s="230" t="s">
        <v>80</v>
      </c>
      <c r="E330" s="230" t="s">
        <v>198</v>
      </c>
      <c r="F330" s="230" t="s">
        <v>956</v>
      </c>
      <c r="G330" s="230">
        <v>56</v>
      </c>
      <c r="H330" s="230" t="s">
        <v>957</v>
      </c>
      <c r="I330" s="230" t="s">
        <v>398</v>
      </c>
      <c r="J330" s="230" t="s">
        <v>259</v>
      </c>
      <c r="K330" s="230"/>
      <c r="L330" s="230" t="s">
        <v>902</v>
      </c>
      <c r="M330" s="230" t="s">
        <v>958</v>
      </c>
      <c r="N330" s="230" t="s">
        <v>241</v>
      </c>
      <c r="O330" s="158"/>
      <c r="P330" s="92"/>
      <c r="Q330" s="146"/>
      <c r="R330" s="92"/>
      <c r="S330" s="146"/>
      <c r="T330" s="92"/>
      <c r="U330" s="146"/>
      <c r="V330" s="92"/>
      <c r="W330" s="146"/>
      <c r="X330" s="92"/>
      <c r="Y330" s="146"/>
      <c r="Z330" s="92"/>
      <c r="AA330" s="146"/>
      <c r="AB330" s="92"/>
      <c r="AC330" s="146"/>
      <c r="AD330" s="92"/>
      <c r="AE330" s="146"/>
      <c r="AF330" s="187" t="str">
        <f t="shared" si="23"/>
        <v/>
      </c>
      <c r="AG330" s="54" t="b">
        <f t="shared" si="22"/>
        <v>0</v>
      </c>
      <c r="AH330" s="146"/>
      <c r="AI330" s="210" t="s">
        <v>6</v>
      </c>
      <c r="AJ330" s="97" t="str">
        <f t="shared" si="24"/>
        <v>GUARULHOS</v>
      </c>
      <c r="AK330" s="213" t="s">
        <v>39</v>
      </c>
      <c r="AL330" s="53">
        <v>0.78492821883550234</v>
      </c>
      <c r="AM330" s="53" t="str" cm="1">
        <f t="array" ref="AM330">IF(OR(O330&lt;&gt;"", SUMPRODUCT(($AN$2:$AN$5000=AN330)*($AL$2:$AL$5000&lt;=AL330)) &lt;= (COUNTIF($AN$2:$AN$5000,AN330)*0.5)), "SORTEADO", "-")</f>
        <v>-</v>
      </c>
      <c r="AN330" s="230" t="s">
        <v>902</v>
      </c>
    </row>
    <row r="331" spans="1:40" ht="30" customHeight="1" x14ac:dyDescent="0.2">
      <c r="A331" s="230" t="s">
        <v>197</v>
      </c>
      <c r="B331" s="230">
        <v>2690386420</v>
      </c>
      <c r="C331" s="230" t="s">
        <v>106</v>
      </c>
      <c r="D331" s="230" t="s">
        <v>80</v>
      </c>
      <c r="E331" s="230" t="s">
        <v>198</v>
      </c>
      <c r="F331" s="230" t="s">
        <v>251</v>
      </c>
      <c r="G331" s="230">
        <v>36</v>
      </c>
      <c r="H331" s="230" t="s">
        <v>235</v>
      </c>
      <c r="I331" s="230" t="s">
        <v>253</v>
      </c>
      <c r="J331" s="230" t="s">
        <v>259</v>
      </c>
      <c r="K331" s="230" t="s">
        <v>959</v>
      </c>
      <c r="L331" s="230" t="s">
        <v>902</v>
      </c>
      <c r="M331" s="230" t="s">
        <v>960</v>
      </c>
      <c r="N331" s="230" t="s">
        <v>241</v>
      </c>
      <c r="O331" s="158" t="s">
        <v>204</v>
      </c>
      <c r="P331" s="92"/>
      <c r="Q331" s="146" t="s">
        <v>204</v>
      </c>
      <c r="R331" s="92"/>
      <c r="S331" s="146" t="s">
        <v>204</v>
      </c>
      <c r="T331" s="92"/>
      <c r="U331" s="146" t="s">
        <v>204</v>
      </c>
      <c r="V331" s="92"/>
      <c r="W331" s="146" t="s">
        <v>204</v>
      </c>
      <c r="X331" s="92"/>
      <c r="Y331" s="146" t="s">
        <v>61</v>
      </c>
      <c r="Z331" s="92"/>
      <c r="AA331" s="146" t="s">
        <v>204</v>
      </c>
      <c r="AB331" s="92"/>
      <c r="AC331" s="146" t="s">
        <v>204</v>
      </c>
      <c r="AD331" s="92"/>
      <c r="AE331" s="146" t="s">
        <v>204</v>
      </c>
      <c r="AF331" s="187" t="str">
        <f t="shared" si="23"/>
        <v>C</v>
      </c>
      <c r="AG331" s="54" t="str">
        <f t="shared" si="22"/>
        <v>UTILIZOU O PDA CORRETAMENTE</v>
      </c>
      <c r="AH331" s="144" t="s">
        <v>204</v>
      </c>
      <c r="AI331" s="210" t="s">
        <v>6</v>
      </c>
      <c r="AJ331" s="97" t="str">
        <f t="shared" si="24"/>
        <v>GUARULHOS</v>
      </c>
      <c r="AK331" s="213" t="s">
        <v>39</v>
      </c>
      <c r="AL331" s="53">
        <v>0.10519629330114921</v>
      </c>
      <c r="AM331" s="53" t="str" cm="1">
        <f t="array" ref="AM331">IF(OR(O331&lt;&gt;"", SUMPRODUCT(($AN$2:$AN$5000=AN331)*($AL$2:$AL$5000&lt;=AL331)) &lt;= (COUNTIF($AN$2:$AN$5000,AN331)*0.5)), "SORTEADO", "-")</f>
        <v>SORTEADO</v>
      </c>
      <c r="AN331" s="230" t="s">
        <v>902</v>
      </c>
    </row>
    <row r="332" spans="1:40" ht="30" hidden="1" customHeight="1" x14ac:dyDescent="0.2">
      <c r="A332" s="230" t="s">
        <v>197</v>
      </c>
      <c r="B332" s="230">
        <v>2690383660</v>
      </c>
      <c r="C332" s="230" t="s">
        <v>102</v>
      </c>
      <c r="D332" s="230" t="s">
        <v>80</v>
      </c>
      <c r="E332" s="230" t="s">
        <v>198</v>
      </c>
      <c r="F332" s="230" t="s">
        <v>940</v>
      </c>
      <c r="G332" s="230">
        <v>288</v>
      </c>
      <c r="H332" s="230" t="s">
        <v>961</v>
      </c>
      <c r="I332" s="230" t="s">
        <v>893</v>
      </c>
      <c r="J332" s="230" t="s">
        <v>259</v>
      </c>
      <c r="K332" s="230" t="s">
        <v>962</v>
      </c>
      <c r="L332" s="230" t="s">
        <v>902</v>
      </c>
      <c r="M332" s="230" t="s">
        <v>963</v>
      </c>
      <c r="N332" s="230" t="s">
        <v>287</v>
      </c>
      <c r="O332" s="158"/>
      <c r="P332" s="92"/>
      <c r="Q332" s="146"/>
      <c r="R332" s="92"/>
      <c r="S332" s="146"/>
      <c r="T332" s="92"/>
      <c r="U332" s="146"/>
      <c r="V332" s="92"/>
      <c r="W332" s="146"/>
      <c r="X332" s="92"/>
      <c r="Y332" s="146"/>
      <c r="Z332" s="92"/>
      <c r="AA332" s="146"/>
      <c r="AB332" s="92"/>
      <c r="AC332" s="146"/>
      <c r="AD332" s="92"/>
      <c r="AE332" s="146"/>
      <c r="AF332" s="187" t="str">
        <f t="shared" si="23"/>
        <v/>
      </c>
      <c r="AG332" s="54" t="b">
        <f t="shared" ref="AG332:AG350" si="25">IF(AND(AE332="C",AF332="C"),"UTILIZOU O PDA CORRETAMENTE",IF(AND(AE332="C",AF332="NC"),"UTILIZOU O PDA CORRETAMENTE. NÃO HÁ FOTOS DE TODAS AS ETAPAS",IF(AND(AE332="NC",AF332="NC"),"NÃO UTILIZOU O PDA",IF(AND(AE332="NA",AF332="NA"),"NÃO AVALIADO POR FALHA DE SINCRONISMO"))))</f>
        <v>0</v>
      </c>
      <c r="AH332" s="146"/>
      <c r="AI332" s="210" t="s">
        <v>6</v>
      </c>
      <c r="AJ332" s="97" t="str">
        <f t="shared" si="24"/>
        <v>GUARULHOS</v>
      </c>
      <c r="AK332" s="213" t="s">
        <v>39</v>
      </c>
      <c r="AL332" s="53">
        <v>0.87267614352855805</v>
      </c>
      <c r="AM332" s="53" t="str" cm="1">
        <f t="array" ref="AM332">IF(OR(O332&lt;&gt;"", SUMPRODUCT(($AN$2:$AN$5000=AN332)*($AL$2:$AL$5000&lt;=AL332)) &lt;= (COUNTIF($AN$2:$AN$5000,AN332)*0.5)), "SORTEADO", "-")</f>
        <v>-</v>
      </c>
      <c r="AN332" s="230" t="s">
        <v>902</v>
      </c>
    </row>
    <row r="333" spans="1:40" ht="30" hidden="1" customHeight="1" x14ac:dyDescent="0.2">
      <c r="A333" s="230" t="s">
        <v>197</v>
      </c>
      <c r="B333" s="230">
        <v>2690390450</v>
      </c>
      <c r="C333" s="230" t="s">
        <v>102</v>
      </c>
      <c r="D333" s="230" t="s">
        <v>80</v>
      </c>
      <c r="E333" s="230" t="s">
        <v>198</v>
      </c>
      <c r="F333" s="230" t="s">
        <v>734</v>
      </c>
      <c r="G333" s="230">
        <v>686</v>
      </c>
      <c r="H333" s="230" t="s">
        <v>964</v>
      </c>
      <c r="I333" s="230" t="s">
        <v>253</v>
      </c>
      <c r="J333" s="230" t="s">
        <v>270</v>
      </c>
      <c r="K333" s="237" t="s">
        <v>965</v>
      </c>
      <c r="L333" s="230" t="s">
        <v>902</v>
      </c>
      <c r="M333" s="230" t="s">
        <v>941</v>
      </c>
      <c r="N333" s="230" t="s">
        <v>244</v>
      </c>
      <c r="O333" s="158"/>
      <c r="P333" s="92"/>
      <c r="Q333" s="146"/>
      <c r="R333" s="92"/>
      <c r="S333" s="146"/>
      <c r="T333" s="92"/>
      <c r="U333" s="146"/>
      <c r="V333" s="92"/>
      <c r="W333" s="146"/>
      <c r="X333" s="92"/>
      <c r="Y333" s="146"/>
      <c r="Z333" s="92"/>
      <c r="AA333" s="146"/>
      <c r="AB333" s="92"/>
      <c r="AC333" s="146"/>
      <c r="AD333" s="92"/>
      <c r="AE333" s="146"/>
      <c r="AF333" s="187" t="str">
        <f t="shared" si="23"/>
        <v/>
      </c>
      <c r="AG333" s="54" t="b">
        <f t="shared" si="25"/>
        <v>0</v>
      </c>
      <c r="AH333" s="146"/>
      <c r="AI333" s="210" t="s">
        <v>6</v>
      </c>
      <c r="AJ333" s="97" t="str">
        <f t="shared" si="24"/>
        <v>GUARULHOS</v>
      </c>
      <c r="AK333" s="213" t="s">
        <v>39</v>
      </c>
      <c r="AL333" s="53">
        <v>0.71986136949939639</v>
      </c>
      <c r="AM333" s="53" t="str" cm="1">
        <f t="array" ref="AM333">IF(OR(O333&lt;&gt;"", SUMPRODUCT(($AN$2:$AN$5000=AN333)*($AL$2:$AL$5000&lt;=AL333)) &lt;= (COUNTIF($AN$2:$AN$5000,AN333)*0.5)), "SORTEADO", "-")</f>
        <v>-</v>
      </c>
      <c r="AN333" s="230" t="s">
        <v>902</v>
      </c>
    </row>
    <row r="334" spans="1:40" ht="30" customHeight="1" x14ac:dyDescent="0.2">
      <c r="A334" s="230" t="s">
        <v>197</v>
      </c>
      <c r="B334" s="230">
        <v>2615527794</v>
      </c>
      <c r="C334" s="230" t="s">
        <v>102</v>
      </c>
      <c r="D334" s="230" t="s">
        <v>80</v>
      </c>
      <c r="E334" s="230" t="s">
        <v>198</v>
      </c>
      <c r="F334" s="230" t="s">
        <v>966</v>
      </c>
      <c r="G334" s="230">
        <v>1097</v>
      </c>
      <c r="H334" s="230" t="s">
        <v>217</v>
      </c>
      <c r="I334" s="230" t="s">
        <v>588</v>
      </c>
      <c r="J334" s="230" t="s">
        <v>270</v>
      </c>
      <c r="K334" s="230" t="s">
        <v>967</v>
      </c>
      <c r="L334" s="230" t="s">
        <v>902</v>
      </c>
      <c r="M334" s="230" t="s">
        <v>968</v>
      </c>
      <c r="N334" s="230" t="s">
        <v>260</v>
      </c>
      <c r="O334" s="158" t="s">
        <v>204</v>
      </c>
      <c r="P334" s="92"/>
      <c r="Q334" s="146" t="s">
        <v>204</v>
      </c>
      <c r="R334" s="92"/>
      <c r="S334" s="146" t="s">
        <v>204</v>
      </c>
      <c r="T334" s="92"/>
      <c r="U334" s="146" t="s">
        <v>204</v>
      </c>
      <c r="V334" s="92"/>
      <c r="W334" s="146" t="s">
        <v>204</v>
      </c>
      <c r="X334" s="92"/>
      <c r="Y334" s="146" t="s">
        <v>61</v>
      </c>
      <c r="Z334" s="92"/>
      <c r="AA334" s="146" t="s">
        <v>204</v>
      </c>
      <c r="AB334" s="92"/>
      <c r="AC334" s="146" t="s">
        <v>204</v>
      </c>
      <c r="AD334" s="92"/>
      <c r="AE334" s="146" t="s">
        <v>204</v>
      </c>
      <c r="AF334" s="187" t="str">
        <f t="shared" si="23"/>
        <v>C</v>
      </c>
      <c r="AG334" s="54" t="str">
        <f t="shared" si="25"/>
        <v>UTILIZOU O PDA CORRETAMENTE</v>
      </c>
      <c r="AH334" s="144" t="s">
        <v>204</v>
      </c>
      <c r="AI334" s="210" t="s">
        <v>6</v>
      </c>
      <c r="AJ334" s="97" t="str">
        <f t="shared" si="24"/>
        <v>GUARULHOS</v>
      </c>
      <c r="AK334" s="213" t="s">
        <v>39</v>
      </c>
      <c r="AL334" s="53">
        <v>0.42599520215142028</v>
      </c>
      <c r="AM334" s="53" t="str" cm="1">
        <f t="array" ref="AM334">IF(OR(O334&lt;&gt;"", SUMPRODUCT(($AN$2:$AN$5000=AN334)*($AL$2:$AL$5000&lt;=AL334)) &lt;= (COUNTIF($AN$2:$AN$5000,AN334)*0.5)), "SORTEADO", "-")</f>
        <v>SORTEADO</v>
      </c>
      <c r="AN334" s="230" t="s">
        <v>902</v>
      </c>
    </row>
    <row r="335" spans="1:40" ht="30" customHeight="1" x14ac:dyDescent="0.2">
      <c r="A335" s="230" t="s">
        <v>197</v>
      </c>
      <c r="B335" s="230">
        <v>2690395770</v>
      </c>
      <c r="C335" s="230" t="s">
        <v>103</v>
      </c>
      <c r="D335" s="230" t="s">
        <v>80</v>
      </c>
      <c r="E335" s="230" t="s">
        <v>198</v>
      </c>
      <c r="F335" s="230" t="s">
        <v>969</v>
      </c>
      <c r="G335" s="230">
        <v>77</v>
      </c>
      <c r="H335" s="230" t="s">
        <v>970</v>
      </c>
      <c r="I335" s="230" t="s">
        <v>971</v>
      </c>
      <c r="J335" s="230" t="s">
        <v>259</v>
      </c>
      <c r="K335" s="230" t="s">
        <v>213</v>
      </c>
      <c r="L335" s="230" t="s">
        <v>902</v>
      </c>
      <c r="M335" s="230" t="s">
        <v>972</v>
      </c>
      <c r="N335" s="230" t="s">
        <v>250</v>
      </c>
      <c r="O335" s="158" t="s">
        <v>204</v>
      </c>
      <c r="P335" s="92"/>
      <c r="Q335" s="146" t="s">
        <v>204</v>
      </c>
      <c r="R335" s="92"/>
      <c r="S335" s="146" t="s">
        <v>204</v>
      </c>
      <c r="T335" s="92"/>
      <c r="U335" s="146" t="s">
        <v>204</v>
      </c>
      <c r="V335" s="92"/>
      <c r="W335" s="146" t="s">
        <v>204</v>
      </c>
      <c r="X335" s="92"/>
      <c r="Y335" s="146" t="s">
        <v>61</v>
      </c>
      <c r="Z335" s="92"/>
      <c r="AA335" s="146" t="s">
        <v>204</v>
      </c>
      <c r="AB335" s="92"/>
      <c r="AC335" s="146" t="s">
        <v>204</v>
      </c>
      <c r="AD335" s="92"/>
      <c r="AE335" s="146" t="s">
        <v>204</v>
      </c>
      <c r="AF335" s="187" t="str">
        <f t="shared" si="23"/>
        <v>C</v>
      </c>
      <c r="AG335" s="54" t="str">
        <f t="shared" si="25"/>
        <v>UTILIZOU O PDA CORRETAMENTE</v>
      </c>
      <c r="AH335" s="144" t="s">
        <v>204</v>
      </c>
      <c r="AI335" s="210" t="s">
        <v>6</v>
      </c>
      <c r="AJ335" s="97" t="str">
        <f t="shared" si="24"/>
        <v>GUARULHOS</v>
      </c>
      <c r="AK335" s="213" t="s">
        <v>39</v>
      </c>
      <c r="AL335" s="53">
        <v>0.3735185915173278</v>
      </c>
      <c r="AM335" s="53" t="str" cm="1">
        <f t="array" ref="AM335">IF(OR(O335&lt;&gt;"", SUMPRODUCT(($AN$2:$AN$5000=AN335)*($AL$2:$AL$5000&lt;=AL335)) &lt;= (COUNTIF($AN$2:$AN$5000,AN335)*0.5)), "SORTEADO", "-")</f>
        <v>SORTEADO</v>
      </c>
      <c r="AN335" s="230" t="s">
        <v>902</v>
      </c>
    </row>
    <row r="336" spans="1:40" ht="30" hidden="1" customHeight="1" x14ac:dyDescent="0.2">
      <c r="A336" s="230" t="s">
        <v>197</v>
      </c>
      <c r="B336" s="230">
        <v>2690398477</v>
      </c>
      <c r="C336" s="230" t="s">
        <v>102</v>
      </c>
      <c r="D336" s="230" t="s">
        <v>80</v>
      </c>
      <c r="E336" s="230" t="s">
        <v>198</v>
      </c>
      <c r="F336" s="230" t="s">
        <v>973</v>
      </c>
      <c r="G336" s="230">
        <v>86</v>
      </c>
      <c r="H336" s="230"/>
      <c r="I336" s="230" t="s">
        <v>509</v>
      </c>
      <c r="J336" s="230" t="s">
        <v>270</v>
      </c>
      <c r="K336" s="230" t="s">
        <v>974</v>
      </c>
      <c r="L336" s="230" t="s">
        <v>902</v>
      </c>
      <c r="M336" s="230" t="s">
        <v>975</v>
      </c>
      <c r="N336" s="230" t="s">
        <v>271</v>
      </c>
      <c r="O336" s="158"/>
      <c r="P336" s="92"/>
      <c r="Q336" s="146"/>
      <c r="R336" s="92"/>
      <c r="S336" s="146"/>
      <c r="T336" s="92"/>
      <c r="U336" s="146"/>
      <c r="V336" s="92"/>
      <c r="W336" s="146"/>
      <c r="X336" s="92"/>
      <c r="Y336" s="146"/>
      <c r="Z336" s="92"/>
      <c r="AA336" s="146"/>
      <c r="AB336" s="92"/>
      <c r="AC336" s="146"/>
      <c r="AD336" s="92"/>
      <c r="AE336" s="146"/>
      <c r="AF336" s="187" t="str">
        <f t="shared" si="23"/>
        <v/>
      </c>
      <c r="AG336" s="54" t="b">
        <f t="shared" si="25"/>
        <v>0</v>
      </c>
      <c r="AH336" s="146"/>
      <c r="AI336" s="210" t="s">
        <v>6</v>
      </c>
      <c r="AJ336" s="97" t="str">
        <f t="shared" si="24"/>
        <v>GUARULHOS</v>
      </c>
      <c r="AK336" s="213" t="s">
        <v>39</v>
      </c>
      <c r="AL336" s="53">
        <v>0.8398994715677478</v>
      </c>
      <c r="AM336" s="53" t="str" cm="1">
        <f t="array" ref="AM336">IF(OR(O336&lt;&gt;"", SUMPRODUCT(($AN$2:$AN$5000=AN336)*($AL$2:$AL$5000&lt;=AL336)) &lt;= (COUNTIF($AN$2:$AN$5000,AN336)*0.5)), "SORTEADO", "-")</f>
        <v>-</v>
      </c>
      <c r="AN336" s="230" t="s">
        <v>902</v>
      </c>
    </row>
    <row r="337" spans="1:40" ht="30" hidden="1" customHeight="1" x14ac:dyDescent="0.2">
      <c r="A337" s="230" t="s">
        <v>197</v>
      </c>
      <c r="B337" s="230">
        <v>2615534360</v>
      </c>
      <c r="C337" s="230" t="s">
        <v>102</v>
      </c>
      <c r="D337" s="230" t="s">
        <v>80</v>
      </c>
      <c r="E337" s="230" t="s">
        <v>198</v>
      </c>
      <c r="F337" s="230" t="s">
        <v>976</v>
      </c>
      <c r="G337" s="230">
        <v>339</v>
      </c>
      <c r="H337" s="230" t="s">
        <v>206</v>
      </c>
      <c r="I337" s="230" t="s">
        <v>611</v>
      </c>
      <c r="J337" s="230" t="s">
        <v>270</v>
      </c>
      <c r="K337" s="230" t="s">
        <v>977</v>
      </c>
      <c r="L337" s="230" t="s">
        <v>902</v>
      </c>
      <c r="M337" s="230" t="s">
        <v>978</v>
      </c>
      <c r="N337" s="230" t="s">
        <v>287</v>
      </c>
      <c r="O337" s="158"/>
      <c r="P337" s="92"/>
      <c r="Q337" s="146"/>
      <c r="R337" s="92"/>
      <c r="S337" s="146"/>
      <c r="T337" s="92"/>
      <c r="U337" s="146"/>
      <c r="V337" s="92"/>
      <c r="W337" s="146"/>
      <c r="X337" s="92"/>
      <c r="Y337" s="146"/>
      <c r="Z337" s="92"/>
      <c r="AA337" s="146"/>
      <c r="AB337" s="92"/>
      <c r="AC337" s="146"/>
      <c r="AD337" s="92"/>
      <c r="AE337" s="146"/>
      <c r="AF337" s="187" t="str">
        <f t="shared" si="23"/>
        <v/>
      </c>
      <c r="AG337" s="54" t="b">
        <f t="shared" si="25"/>
        <v>0</v>
      </c>
      <c r="AH337" s="146"/>
      <c r="AI337" s="210" t="s">
        <v>6</v>
      </c>
      <c r="AJ337" s="97" t="str">
        <f t="shared" si="24"/>
        <v>GUARULHOS</v>
      </c>
      <c r="AK337" s="213" t="s">
        <v>39</v>
      </c>
      <c r="AL337" s="53">
        <v>0.78618385672131519</v>
      </c>
      <c r="AM337" s="53" t="str" cm="1">
        <f t="array" ref="AM337">IF(OR(O337&lt;&gt;"", SUMPRODUCT(($AN$2:$AN$5000=AN337)*($AL$2:$AL$5000&lt;=AL337)) &lt;= (COUNTIF($AN$2:$AN$5000,AN337)*0.5)), "SORTEADO", "-")</f>
        <v>-</v>
      </c>
      <c r="AN337" s="230" t="s">
        <v>902</v>
      </c>
    </row>
    <row r="338" spans="1:40" ht="30" hidden="1" customHeight="1" x14ac:dyDescent="0.2">
      <c r="A338" s="230" t="s">
        <v>197</v>
      </c>
      <c r="B338" s="230">
        <v>2690408279</v>
      </c>
      <c r="C338" s="230" t="s">
        <v>102</v>
      </c>
      <c r="D338" s="230" t="s">
        <v>80</v>
      </c>
      <c r="E338" s="230" t="s">
        <v>198</v>
      </c>
      <c r="F338" s="230" t="s">
        <v>979</v>
      </c>
      <c r="G338" s="230">
        <v>143</v>
      </c>
      <c r="H338" s="230" t="s">
        <v>980</v>
      </c>
      <c r="I338" s="230" t="s">
        <v>315</v>
      </c>
      <c r="J338" s="230" t="s">
        <v>270</v>
      </c>
      <c r="K338" s="230"/>
      <c r="L338" s="230" t="s">
        <v>902</v>
      </c>
      <c r="M338" s="230" t="s">
        <v>981</v>
      </c>
      <c r="N338" s="230" t="s">
        <v>322</v>
      </c>
      <c r="O338" s="158"/>
      <c r="P338" s="92"/>
      <c r="Q338" s="146"/>
      <c r="R338" s="92"/>
      <c r="S338" s="146"/>
      <c r="T338" s="92"/>
      <c r="U338" s="146"/>
      <c r="V338" s="92"/>
      <c r="W338" s="146"/>
      <c r="X338" s="92"/>
      <c r="Y338" s="146"/>
      <c r="Z338" s="92"/>
      <c r="AA338" s="146"/>
      <c r="AB338" s="92"/>
      <c r="AC338" s="146"/>
      <c r="AD338" s="92"/>
      <c r="AE338" s="146"/>
      <c r="AF338" s="187" t="str">
        <f t="shared" si="23"/>
        <v/>
      </c>
      <c r="AG338" s="54" t="b">
        <f t="shared" si="25"/>
        <v>0</v>
      </c>
      <c r="AH338" s="146"/>
      <c r="AI338" s="210" t="s">
        <v>6</v>
      </c>
      <c r="AJ338" s="97" t="str">
        <f t="shared" si="24"/>
        <v>GUARULHOS</v>
      </c>
      <c r="AK338" s="213" t="s">
        <v>39</v>
      </c>
      <c r="AL338" s="53">
        <v>0.82698250915207483</v>
      </c>
      <c r="AM338" s="53" t="str" cm="1">
        <f t="array" ref="AM338">IF(OR(O338&lt;&gt;"", SUMPRODUCT(($AN$2:$AN$5000=AN338)*($AL$2:$AL$5000&lt;=AL338)) &lt;= (COUNTIF($AN$2:$AN$5000,AN338)*0.5)), "SORTEADO", "-")</f>
        <v>-</v>
      </c>
      <c r="AN338" s="230" t="s">
        <v>902</v>
      </c>
    </row>
    <row r="339" spans="1:40" ht="30" hidden="1" customHeight="1" x14ac:dyDescent="0.2">
      <c r="A339" s="230" t="s">
        <v>197</v>
      </c>
      <c r="B339" s="230">
        <v>2615300356</v>
      </c>
      <c r="C339" s="230" t="s">
        <v>105</v>
      </c>
      <c r="D339" s="230" t="s">
        <v>80</v>
      </c>
      <c r="E339" s="230" t="s">
        <v>198</v>
      </c>
      <c r="F339" s="230" t="s">
        <v>982</v>
      </c>
      <c r="G339" s="230">
        <v>413</v>
      </c>
      <c r="H339" s="230" t="s">
        <v>983</v>
      </c>
      <c r="I339" s="230" t="s">
        <v>984</v>
      </c>
      <c r="J339" s="230" t="s">
        <v>226</v>
      </c>
      <c r="K339" s="230" t="s">
        <v>985</v>
      </c>
      <c r="L339" s="230" t="s">
        <v>902</v>
      </c>
      <c r="M339" s="230" t="s">
        <v>986</v>
      </c>
      <c r="N339" s="230" t="s">
        <v>615</v>
      </c>
      <c r="O339" s="158"/>
      <c r="P339" s="92"/>
      <c r="Q339" s="146"/>
      <c r="R339" s="92"/>
      <c r="S339" s="146"/>
      <c r="T339" s="92"/>
      <c r="U339" s="146"/>
      <c r="V339" s="92"/>
      <c r="W339" s="146"/>
      <c r="X339" s="92"/>
      <c r="Y339" s="146"/>
      <c r="Z339" s="92"/>
      <c r="AA339" s="146"/>
      <c r="AB339" s="92"/>
      <c r="AC339" s="146"/>
      <c r="AD339" s="92"/>
      <c r="AE339" s="146"/>
      <c r="AF339" s="187" t="str">
        <f t="shared" si="23"/>
        <v/>
      </c>
      <c r="AG339" s="54" t="b">
        <f t="shared" si="25"/>
        <v>0</v>
      </c>
      <c r="AH339" s="146"/>
      <c r="AI339" s="210" t="s">
        <v>6</v>
      </c>
      <c r="AJ339" s="97" t="str">
        <f t="shared" si="24"/>
        <v>GUARULHOS</v>
      </c>
      <c r="AK339" s="213" t="s">
        <v>39</v>
      </c>
      <c r="AL339" s="53">
        <v>0.78992844468999857</v>
      </c>
      <c r="AM339" s="53" t="str" cm="1">
        <f t="array" ref="AM339">IF(OR(O339&lt;&gt;"", SUMPRODUCT(($AN$2:$AN$5000=AN339)*($AL$2:$AL$5000&lt;=AL339)) &lt;= (COUNTIF($AN$2:$AN$5000,AN339)*0.5)), "SORTEADO", "-")</f>
        <v>-</v>
      </c>
      <c r="AN339" s="230" t="s">
        <v>902</v>
      </c>
    </row>
    <row r="340" spans="1:40" ht="30" customHeight="1" x14ac:dyDescent="0.2">
      <c r="A340" s="230" t="s">
        <v>197</v>
      </c>
      <c r="B340" s="230">
        <v>2615546186</v>
      </c>
      <c r="C340" s="230" t="s">
        <v>100</v>
      </c>
      <c r="D340" s="230" t="s">
        <v>78</v>
      </c>
      <c r="E340" s="230" t="s">
        <v>198</v>
      </c>
      <c r="F340" s="230" t="s">
        <v>762</v>
      </c>
      <c r="G340" s="230">
        <v>162</v>
      </c>
      <c r="H340" s="230"/>
      <c r="I340" s="230" t="s">
        <v>763</v>
      </c>
      <c r="J340" s="230" t="s">
        <v>248</v>
      </c>
      <c r="K340" s="237" t="s">
        <v>987</v>
      </c>
      <c r="L340" s="230" t="s">
        <v>902</v>
      </c>
      <c r="M340" s="230" t="s">
        <v>988</v>
      </c>
      <c r="N340" s="230" t="s">
        <v>432</v>
      </c>
      <c r="O340" s="157" t="s">
        <v>204</v>
      </c>
      <c r="P340" s="143"/>
      <c r="Q340" s="144" t="s">
        <v>204</v>
      </c>
      <c r="R340" s="143"/>
      <c r="S340" s="144" t="s">
        <v>204</v>
      </c>
      <c r="T340" s="143"/>
      <c r="U340" s="144" t="s">
        <v>204</v>
      </c>
      <c r="V340" s="143"/>
      <c r="W340" s="144" t="s">
        <v>204</v>
      </c>
      <c r="X340" s="143"/>
      <c r="Y340" s="144" t="s">
        <v>204</v>
      </c>
      <c r="Z340" s="143"/>
      <c r="AA340" s="144" t="s">
        <v>204</v>
      </c>
      <c r="AB340" s="143"/>
      <c r="AC340" s="144" t="s">
        <v>204</v>
      </c>
      <c r="AD340" s="56"/>
      <c r="AE340" s="144" t="s">
        <v>204</v>
      </c>
      <c r="AF340" s="187" t="str">
        <f t="shared" si="23"/>
        <v>C</v>
      </c>
      <c r="AG340" s="54" t="str">
        <f t="shared" si="25"/>
        <v>UTILIZOU O PDA CORRETAMENTE</v>
      </c>
      <c r="AH340" s="144" t="s">
        <v>204</v>
      </c>
      <c r="AI340" s="210" t="s">
        <v>6</v>
      </c>
      <c r="AJ340" s="97" t="str">
        <f t="shared" si="24"/>
        <v>GUARULHOS</v>
      </c>
      <c r="AK340" s="213" t="s">
        <v>39</v>
      </c>
      <c r="AL340" s="53">
        <v>0.46106002044786898</v>
      </c>
      <c r="AM340" s="53" t="str" cm="1">
        <f t="array" ref="AM340">IF(OR(O340&lt;&gt;"", SUMPRODUCT(($AN$2:$AN$5000=AN340)*($AL$2:$AL$5000&lt;=AL340)) &lt;= (COUNTIF($AN$2:$AN$5000,AN340)*0.5)), "SORTEADO", "-")</f>
        <v>SORTEADO</v>
      </c>
      <c r="AN340" s="230" t="s">
        <v>902</v>
      </c>
    </row>
    <row r="341" spans="1:40" ht="30" customHeight="1" x14ac:dyDescent="0.2">
      <c r="A341" s="230" t="s">
        <v>197</v>
      </c>
      <c r="B341" s="230">
        <v>2615247957</v>
      </c>
      <c r="C341" s="230" t="s">
        <v>98</v>
      </c>
      <c r="D341" s="230" t="s">
        <v>80</v>
      </c>
      <c r="E341" s="230" t="s">
        <v>198</v>
      </c>
      <c r="F341" s="230" t="s">
        <v>251</v>
      </c>
      <c r="G341" s="230">
        <v>5</v>
      </c>
      <c r="H341" s="230" t="s">
        <v>276</v>
      </c>
      <c r="I341" s="230" t="s">
        <v>253</v>
      </c>
      <c r="J341" s="230" t="s">
        <v>297</v>
      </c>
      <c r="K341" s="230" t="s">
        <v>989</v>
      </c>
      <c r="L341" s="230" t="s">
        <v>902</v>
      </c>
      <c r="M341" s="230" t="s">
        <v>939</v>
      </c>
      <c r="N341" s="230" t="s">
        <v>348</v>
      </c>
      <c r="O341" s="157" t="s">
        <v>204</v>
      </c>
      <c r="P341" s="143"/>
      <c r="Q341" s="144" t="s">
        <v>204</v>
      </c>
      <c r="R341" s="143"/>
      <c r="S341" s="144" t="s">
        <v>204</v>
      </c>
      <c r="T341" s="143"/>
      <c r="U341" s="144" t="s">
        <v>204</v>
      </c>
      <c r="V341" s="143"/>
      <c r="W341" s="144" t="s">
        <v>204</v>
      </c>
      <c r="X341" s="143"/>
      <c r="Y341" s="144" t="s">
        <v>204</v>
      </c>
      <c r="Z341" s="143"/>
      <c r="AA341" s="144" t="s">
        <v>204</v>
      </c>
      <c r="AB341" s="143"/>
      <c r="AC341" s="144" t="s">
        <v>204</v>
      </c>
      <c r="AD341" s="56"/>
      <c r="AE341" s="144" t="s">
        <v>204</v>
      </c>
      <c r="AF341" s="187" t="str">
        <f t="shared" si="23"/>
        <v>C</v>
      </c>
      <c r="AG341" s="54" t="str">
        <f t="shared" si="25"/>
        <v>UTILIZOU O PDA CORRETAMENTE</v>
      </c>
      <c r="AH341" s="144" t="s">
        <v>204</v>
      </c>
      <c r="AI341" s="210" t="s">
        <v>6</v>
      </c>
      <c r="AJ341" s="97" t="str">
        <f t="shared" si="24"/>
        <v>GUARULHOS</v>
      </c>
      <c r="AK341" s="213" t="s">
        <v>39</v>
      </c>
      <c r="AL341" s="53">
        <v>0.48139533372725607</v>
      </c>
      <c r="AM341" s="53" t="str" cm="1">
        <f t="array" ref="AM341">IF(OR(O341&lt;&gt;"", SUMPRODUCT(($AN$2:$AN$5000=AN341)*($AL$2:$AL$5000&lt;=AL341)) &lt;= (COUNTIF($AN$2:$AN$5000,AN341)*0.5)), "SORTEADO", "-")</f>
        <v>SORTEADO</v>
      </c>
      <c r="AN341" s="230" t="s">
        <v>902</v>
      </c>
    </row>
    <row r="342" spans="1:40" ht="30" hidden="1" customHeight="1" x14ac:dyDescent="0.2">
      <c r="A342" s="230" t="s">
        <v>197</v>
      </c>
      <c r="B342" s="230">
        <v>2615282599</v>
      </c>
      <c r="C342" s="230" t="s">
        <v>99</v>
      </c>
      <c r="D342" s="230" t="s">
        <v>80</v>
      </c>
      <c r="E342" s="230" t="s">
        <v>198</v>
      </c>
      <c r="F342" s="230" t="s">
        <v>990</v>
      </c>
      <c r="G342" s="230">
        <v>455</v>
      </c>
      <c r="H342" s="230"/>
      <c r="I342" s="230" t="s">
        <v>513</v>
      </c>
      <c r="J342" s="230" t="s">
        <v>305</v>
      </c>
      <c r="K342" s="230"/>
      <c r="L342" s="230" t="s">
        <v>902</v>
      </c>
      <c r="M342" s="230" t="s">
        <v>991</v>
      </c>
      <c r="N342" s="230" t="s">
        <v>263</v>
      </c>
      <c r="O342" s="158"/>
      <c r="P342" s="92"/>
      <c r="Q342" s="146"/>
      <c r="R342" s="92"/>
      <c r="S342" s="146"/>
      <c r="T342" s="92"/>
      <c r="U342" s="146"/>
      <c r="V342" s="92"/>
      <c r="W342" s="146"/>
      <c r="X342" s="92"/>
      <c r="Y342" s="146"/>
      <c r="Z342" s="92"/>
      <c r="AA342" s="146"/>
      <c r="AB342" s="92"/>
      <c r="AC342" s="146"/>
      <c r="AD342" s="92"/>
      <c r="AE342" s="146"/>
      <c r="AF342" s="187" t="str">
        <f t="shared" si="23"/>
        <v/>
      </c>
      <c r="AG342" s="54" t="b">
        <f t="shared" si="25"/>
        <v>0</v>
      </c>
      <c r="AH342" s="146"/>
      <c r="AI342" s="210" t="s">
        <v>6</v>
      </c>
      <c r="AJ342" s="97" t="str">
        <f t="shared" si="24"/>
        <v>GUARULHOS</v>
      </c>
      <c r="AK342" s="213" t="s">
        <v>39</v>
      </c>
      <c r="AL342" s="53">
        <v>0.67526214046591748</v>
      </c>
      <c r="AM342" s="53" t="str" cm="1">
        <f t="array" ref="AM342">IF(OR(O342&lt;&gt;"", SUMPRODUCT(($AN$2:$AN$5000=AN342)*($AL$2:$AL$5000&lt;=AL342)) &lt;= (COUNTIF($AN$2:$AN$5000,AN342)*0.5)), "SORTEADO", "-")</f>
        <v>-</v>
      </c>
      <c r="AN342" s="230" t="s">
        <v>902</v>
      </c>
    </row>
    <row r="343" spans="1:40" ht="30" hidden="1" customHeight="1" x14ac:dyDescent="0.2">
      <c r="A343" s="230" t="s">
        <v>197</v>
      </c>
      <c r="B343" s="230">
        <v>2615551580</v>
      </c>
      <c r="C343" s="230" t="s">
        <v>105</v>
      </c>
      <c r="D343" s="230" t="s">
        <v>80</v>
      </c>
      <c r="E343" s="230" t="s">
        <v>198</v>
      </c>
      <c r="F343" s="230" t="s">
        <v>399</v>
      </c>
      <c r="G343" s="230">
        <v>407</v>
      </c>
      <c r="H343" s="230" t="s">
        <v>992</v>
      </c>
      <c r="I343" s="230" t="s">
        <v>394</v>
      </c>
      <c r="J343" s="230" t="s">
        <v>226</v>
      </c>
      <c r="K343" s="230" t="s">
        <v>993</v>
      </c>
      <c r="L343" s="230" t="s">
        <v>902</v>
      </c>
      <c r="M343" s="230" t="s">
        <v>994</v>
      </c>
      <c r="N343" s="230" t="s">
        <v>381</v>
      </c>
      <c r="O343" s="158"/>
      <c r="P343" s="92"/>
      <c r="Q343" s="146"/>
      <c r="R343" s="92"/>
      <c r="S343" s="146"/>
      <c r="T343" s="92"/>
      <c r="U343" s="146"/>
      <c r="V343" s="92"/>
      <c r="W343" s="146"/>
      <c r="X343" s="92"/>
      <c r="Y343" s="146"/>
      <c r="Z343" s="92"/>
      <c r="AA343" s="146"/>
      <c r="AB343" s="92"/>
      <c r="AC343" s="146"/>
      <c r="AD343" s="92"/>
      <c r="AE343" s="146"/>
      <c r="AF343" s="187" t="str">
        <f t="shared" si="23"/>
        <v/>
      </c>
      <c r="AG343" s="54" t="b">
        <f t="shared" si="25"/>
        <v>0</v>
      </c>
      <c r="AH343" s="146"/>
      <c r="AI343" s="210" t="s">
        <v>6</v>
      </c>
      <c r="AJ343" s="97" t="str">
        <f t="shared" si="24"/>
        <v>GUARULHOS</v>
      </c>
      <c r="AK343" s="213" t="s">
        <v>39</v>
      </c>
      <c r="AL343" s="53">
        <v>0.90659029267301527</v>
      </c>
      <c r="AM343" s="53" t="str" cm="1">
        <f t="array" ref="AM343">IF(OR(O343&lt;&gt;"", SUMPRODUCT(($AN$2:$AN$5000=AN343)*($AL$2:$AL$5000&lt;=AL343)) &lt;= (COUNTIF($AN$2:$AN$5000,AN343)*0.5)), "SORTEADO", "-")</f>
        <v>-</v>
      </c>
      <c r="AN343" s="230" t="s">
        <v>902</v>
      </c>
    </row>
    <row r="344" spans="1:40" ht="30" customHeight="1" x14ac:dyDescent="0.2">
      <c r="A344" s="230" t="s">
        <v>197</v>
      </c>
      <c r="B344" s="230">
        <v>2690367107</v>
      </c>
      <c r="C344" s="230" t="s">
        <v>98</v>
      </c>
      <c r="D344" s="230" t="s">
        <v>80</v>
      </c>
      <c r="E344" s="230" t="s">
        <v>198</v>
      </c>
      <c r="F344" s="230" t="s">
        <v>995</v>
      </c>
      <c r="G344" s="230">
        <v>143</v>
      </c>
      <c r="H344" s="230" t="s">
        <v>996</v>
      </c>
      <c r="I344" s="230" t="s">
        <v>997</v>
      </c>
      <c r="J344" s="230" t="s">
        <v>297</v>
      </c>
      <c r="K344" s="230" t="s">
        <v>998</v>
      </c>
      <c r="L344" s="230" t="s">
        <v>902</v>
      </c>
      <c r="M344" s="230" t="s">
        <v>999</v>
      </c>
      <c r="N344" s="230" t="s">
        <v>271</v>
      </c>
      <c r="O344" s="157" t="s">
        <v>204</v>
      </c>
      <c r="P344" s="143"/>
      <c r="Q344" s="144" t="s">
        <v>204</v>
      </c>
      <c r="R344" s="143"/>
      <c r="S344" s="144" t="s">
        <v>204</v>
      </c>
      <c r="T344" s="143"/>
      <c r="U344" s="144" t="s">
        <v>204</v>
      </c>
      <c r="V344" s="143"/>
      <c r="W344" s="144" t="s">
        <v>204</v>
      </c>
      <c r="X344" s="143"/>
      <c r="Y344" s="144" t="s">
        <v>204</v>
      </c>
      <c r="Z344" s="143"/>
      <c r="AA344" s="144" t="s">
        <v>204</v>
      </c>
      <c r="AB344" s="143"/>
      <c r="AC344" s="144" t="s">
        <v>204</v>
      </c>
      <c r="AD344" s="56"/>
      <c r="AE344" s="144" t="s">
        <v>204</v>
      </c>
      <c r="AF344" s="187" t="str">
        <f t="shared" si="23"/>
        <v>C</v>
      </c>
      <c r="AG344" s="54" t="str">
        <f t="shared" si="25"/>
        <v>UTILIZOU O PDA CORRETAMENTE</v>
      </c>
      <c r="AH344" s="144" t="s">
        <v>204</v>
      </c>
      <c r="AI344" s="210" t="s">
        <v>6</v>
      </c>
      <c r="AJ344" s="97" t="str">
        <f t="shared" si="24"/>
        <v>GUARULHOS</v>
      </c>
      <c r="AK344" s="213" t="s">
        <v>39</v>
      </c>
      <c r="AL344" s="53">
        <v>0.57423374665575544</v>
      </c>
      <c r="AM344" s="53" t="str" cm="1">
        <f t="array" ref="AM344">IF(OR(O344&lt;&gt;"", SUMPRODUCT(($AN$2:$AN$5000=AN344)*($AL$2:$AL$5000&lt;=AL344)) &lt;= (COUNTIF($AN$2:$AN$5000,AN344)*0.5)), "SORTEADO", "-")</f>
        <v>SORTEADO</v>
      </c>
      <c r="AN344" s="230" t="s">
        <v>902</v>
      </c>
    </row>
    <row r="345" spans="1:40" ht="30" customHeight="1" x14ac:dyDescent="0.2">
      <c r="A345" s="230" t="s">
        <v>197</v>
      </c>
      <c r="B345" s="230">
        <v>2690367107</v>
      </c>
      <c r="C345" s="230" t="s">
        <v>89</v>
      </c>
      <c r="D345" s="230" t="s">
        <v>77</v>
      </c>
      <c r="E345" s="230" t="s">
        <v>198</v>
      </c>
      <c r="F345" s="230" t="s">
        <v>995</v>
      </c>
      <c r="G345" s="230">
        <v>143</v>
      </c>
      <c r="H345" s="230" t="s">
        <v>996</v>
      </c>
      <c r="I345" s="230" t="s">
        <v>997</v>
      </c>
      <c r="J345" s="230" t="s">
        <v>346</v>
      </c>
      <c r="K345" s="230" t="s">
        <v>998</v>
      </c>
      <c r="L345" s="230" t="s">
        <v>902</v>
      </c>
      <c r="M345" s="230" t="s">
        <v>1000</v>
      </c>
      <c r="N345" s="230" t="s">
        <v>271</v>
      </c>
      <c r="O345" s="158" t="s">
        <v>204</v>
      </c>
      <c r="P345" s="146"/>
      <c r="Q345" s="146" t="s">
        <v>204</v>
      </c>
      <c r="R345" s="209"/>
      <c r="S345" s="146" t="s">
        <v>204</v>
      </c>
      <c r="T345" s="146"/>
      <c r="U345" s="146" t="s">
        <v>204</v>
      </c>
      <c r="V345" s="146"/>
      <c r="W345" s="146" t="s">
        <v>204</v>
      </c>
      <c r="X345" s="146"/>
      <c r="Y345" s="146" t="s">
        <v>61</v>
      </c>
      <c r="Z345" s="146"/>
      <c r="AA345" s="146" t="s">
        <v>204</v>
      </c>
      <c r="AB345" s="146"/>
      <c r="AC345" s="146" t="s">
        <v>204</v>
      </c>
      <c r="AD345" s="146"/>
      <c r="AE345" s="146" t="s">
        <v>204</v>
      </c>
      <c r="AF345" s="187" t="str">
        <f t="shared" si="23"/>
        <v>C</v>
      </c>
      <c r="AG345" s="54" t="str">
        <f t="shared" si="25"/>
        <v>UTILIZOU O PDA CORRETAMENTE</v>
      </c>
      <c r="AH345" s="146" t="s">
        <v>204</v>
      </c>
      <c r="AI345" s="210" t="s">
        <v>6</v>
      </c>
      <c r="AJ345" s="97" t="str">
        <f t="shared" si="24"/>
        <v>GUARULHOS</v>
      </c>
      <c r="AK345" s="213" t="s">
        <v>39</v>
      </c>
      <c r="AL345" s="53">
        <v>0.32238139379874464</v>
      </c>
      <c r="AM345" s="53" t="str" cm="1">
        <f t="array" ref="AM345">IF(OR(O345&lt;&gt;"", SUMPRODUCT(($AN$2:$AN$5000=AN345)*($AL$2:$AL$5000&lt;=AL345)) &lt;= (COUNTIF($AN$2:$AN$5000,AN345)*0.5)), "SORTEADO", "-")</f>
        <v>SORTEADO</v>
      </c>
      <c r="AN345" s="230" t="s">
        <v>902</v>
      </c>
    </row>
    <row r="346" spans="1:40" ht="30" customHeight="1" x14ac:dyDescent="0.2">
      <c r="A346" s="230" t="s">
        <v>197</v>
      </c>
      <c r="B346" s="230">
        <v>2615162996</v>
      </c>
      <c r="C346" s="230" t="s">
        <v>99</v>
      </c>
      <c r="D346" s="230" t="s">
        <v>80</v>
      </c>
      <c r="E346" s="230" t="s">
        <v>198</v>
      </c>
      <c r="F346" s="230" t="s">
        <v>1001</v>
      </c>
      <c r="G346" s="230">
        <v>117</v>
      </c>
      <c r="H346" s="230" t="s">
        <v>1002</v>
      </c>
      <c r="I346" s="230" t="s">
        <v>1003</v>
      </c>
      <c r="J346" s="230" t="s">
        <v>305</v>
      </c>
      <c r="K346" s="230"/>
      <c r="L346" s="230" t="s">
        <v>902</v>
      </c>
      <c r="M346" s="230" t="s">
        <v>1004</v>
      </c>
      <c r="N346" s="230" t="s">
        <v>260</v>
      </c>
      <c r="O346" s="157" t="s">
        <v>204</v>
      </c>
      <c r="P346" s="143"/>
      <c r="Q346" s="144" t="s">
        <v>204</v>
      </c>
      <c r="R346" s="143"/>
      <c r="S346" s="144" t="s">
        <v>204</v>
      </c>
      <c r="T346" s="143"/>
      <c r="U346" s="144" t="s">
        <v>204</v>
      </c>
      <c r="V346" s="143"/>
      <c r="W346" s="144" t="s">
        <v>204</v>
      </c>
      <c r="X346" s="143"/>
      <c r="Y346" s="144" t="s">
        <v>204</v>
      </c>
      <c r="Z346" s="143"/>
      <c r="AA346" s="144" t="s">
        <v>204</v>
      </c>
      <c r="AB346" s="143"/>
      <c r="AC346" s="144" t="s">
        <v>204</v>
      </c>
      <c r="AD346" s="56"/>
      <c r="AE346" s="144" t="s">
        <v>204</v>
      </c>
      <c r="AF346" s="187" t="str">
        <f t="shared" si="23"/>
        <v>C</v>
      </c>
      <c r="AG346" s="54" t="str">
        <f t="shared" si="25"/>
        <v>UTILIZOU O PDA CORRETAMENTE</v>
      </c>
      <c r="AH346" s="144" t="s">
        <v>204</v>
      </c>
      <c r="AI346" s="210" t="s">
        <v>6</v>
      </c>
      <c r="AJ346" s="97" t="str">
        <f t="shared" si="24"/>
        <v>GUARULHOS</v>
      </c>
      <c r="AK346" s="213" t="s">
        <v>39</v>
      </c>
      <c r="AL346" s="53">
        <v>0.51885584951379426</v>
      </c>
      <c r="AM346" s="53" t="str" cm="1">
        <f t="array" ref="AM346">IF(OR(O346&lt;&gt;"", SUMPRODUCT(($AN$2:$AN$5000=AN346)*($AL$2:$AL$5000&lt;=AL346)) &lt;= (COUNTIF($AN$2:$AN$5000,AN346)*0.5)), "SORTEADO", "-")</f>
        <v>SORTEADO</v>
      </c>
      <c r="AN346" s="230" t="s">
        <v>902</v>
      </c>
    </row>
    <row r="347" spans="1:40" ht="30" hidden="1" customHeight="1" x14ac:dyDescent="0.2">
      <c r="A347" s="230" t="s">
        <v>197</v>
      </c>
      <c r="B347" s="230">
        <v>2615571777</v>
      </c>
      <c r="C347" s="230" t="s">
        <v>89</v>
      </c>
      <c r="D347" s="230" t="s">
        <v>77</v>
      </c>
      <c r="E347" s="230" t="s">
        <v>198</v>
      </c>
      <c r="F347" s="230" t="s">
        <v>900</v>
      </c>
      <c r="G347" s="230">
        <v>608</v>
      </c>
      <c r="H347" s="230" t="s">
        <v>276</v>
      </c>
      <c r="I347" s="230" t="s">
        <v>531</v>
      </c>
      <c r="J347" s="230" t="s">
        <v>346</v>
      </c>
      <c r="K347" s="230" t="s">
        <v>709</v>
      </c>
      <c r="L347" s="230" t="s">
        <v>902</v>
      </c>
      <c r="M347" s="230" t="s">
        <v>1005</v>
      </c>
      <c r="N347" s="230" t="s">
        <v>237</v>
      </c>
      <c r="O347" s="158" t="s">
        <v>61</v>
      </c>
      <c r="P347" s="146"/>
      <c r="Q347" s="146" t="s">
        <v>61</v>
      </c>
      <c r="R347" s="209"/>
      <c r="S347" s="146" t="s">
        <v>61</v>
      </c>
      <c r="T347" s="146"/>
      <c r="U347" s="146" t="s">
        <v>61</v>
      </c>
      <c r="V347" s="146"/>
      <c r="W347" s="146" t="s">
        <v>61</v>
      </c>
      <c r="X347" s="146"/>
      <c r="Y347" s="146" t="s">
        <v>61</v>
      </c>
      <c r="Z347" s="146"/>
      <c r="AA347" s="146" t="s">
        <v>61</v>
      </c>
      <c r="AB347" s="146"/>
      <c r="AC347" s="146" t="s">
        <v>61</v>
      </c>
      <c r="AD347" s="146"/>
      <c r="AE347" s="146" t="s">
        <v>61</v>
      </c>
      <c r="AF347" s="187" t="str">
        <f t="shared" si="23"/>
        <v>NA</v>
      </c>
      <c r="AG347" s="54" t="str">
        <f t="shared" si="25"/>
        <v>NÃO AVALIADO POR FALHA DE SINCRONISMO</v>
      </c>
      <c r="AH347" s="146" t="s">
        <v>204</v>
      </c>
      <c r="AI347" s="210" t="s">
        <v>6</v>
      </c>
      <c r="AJ347" s="97" t="str">
        <f t="shared" si="24"/>
        <v>GUARULHOS</v>
      </c>
      <c r="AK347" s="213" t="s">
        <v>39</v>
      </c>
      <c r="AL347" s="53">
        <v>0.50229829613822707</v>
      </c>
      <c r="AM347" s="53" t="str" cm="1">
        <f t="array" ref="AM347">IF(OR(O347&lt;&gt;"", SUMPRODUCT(($AN$2:$AN$5000=AN347)*($AL$2:$AL$5000&lt;=AL347)) &lt;= (COUNTIF($AN$2:$AN$5000,AN347)*0.5)), "SORTEADO", "-")</f>
        <v>SORTEADO</v>
      </c>
      <c r="AN347" s="230" t="s">
        <v>902</v>
      </c>
    </row>
    <row r="348" spans="1:40" ht="30" hidden="1" customHeight="1" x14ac:dyDescent="0.2">
      <c r="A348" s="230" t="s">
        <v>197</v>
      </c>
      <c r="B348" s="230">
        <v>2615571378</v>
      </c>
      <c r="C348" s="230" t="s">
        <v>89</v>
      </c>
      <c r="D348" s="230" t="s">
        <v>77</v>
      </c>
      <c r="E348" s="230" t="s">
        <v>198</v>
      </c>
      <c r="F348" s="230" t="s">
        <v>900</v>
      </c>
      <c r="G348" s="230">
        <v>604</v>
      </c>
      <c r="H348" s="230" t="s">
        <v>1006</v>
      </c>
      <c r="I348" s="230" t="s">
        <v>531</v>
      </c>
      <c r="J348" s="230" t="s">
        <v>346</v>
      </c>
      <c r="K348" s="230" t="s">
        <v>1007</v>
      </c>
      <c r="L348" s="230" t="s">
        <v>902</v>
      </c>
      <c r="M348" s="230" t="s">
        <v>1008</v>
      </c>
      <c r="N348" s="230" t="s">
        <v>237</v>
      </c>
      <c r="O348" s="158"/>
      <c r="P348" s="92"/>
      <c r="Q348" s="146"/>
      <c r="R348" s="92"/>
      <c r="S348" s="146"/>
      <c r="T348" s="92"/>
      <c r="U348" s="146"/>
      <c r="V348" s="92"/>
      <c r="W348" s="146"/>
      <c r="X348" s="92"/>
      <c r="Y348" s="146"/>
      <c r="Z348" s="92"/>
      <c r="AA348" s="146"/>
      <c r="AB348" s="92"/>
      <c r="AC348" s="146"/>
      <c r="AD348" s="92"/>
      <c r="AE348" s="146"/>
      <c r="AF348" s="187" t="str">
        <f t="shared" si="23"/>
        <v/>
      </c>
      <c r="AG348" s="54" t="b">
        <f t="shared" si="25"/>
        <v>0</v>
      </c>
      <c r="AH348" s="146"/>
      <c r="AI348" s="210" t="s">
        <v>6</v>
      </c>
      <c r="AJ348" s="97" t="str">
        <f t="shared" si="24"/>
        <v>GUARULHOS</v>
      </c>
      <c r="AK348" s="213" t="s">
        <v>39</v>
      </c>
      <c r="AL348" s="53">
        <v>0.72341457170070256</v>
      </c>
      <c r="AM348" s="53" t="str" cm="1">
        <f t="array" ref="AM348">IF(OR(O348&lt;&gt;"", SUMPRODUCT(($AN$2:$AN$5000=AN348)*($AL$2:$AL$5000&lt;=AL348)) &lt;= (COUNTIF($AN$2:$AN$5000,AN348)*0.5)), "SORTEADO", "-")</f>
        <v>-</v>
      </c>
      <c r="AN348" s="230" t="s">
        <v>902</v>
      </c>
    </row>
    <row r="349" spans="1:40" ht="30" hidden="1" customHeight="1" x14ac:dyDescent="0.2">
      <c r="A349" s="230" t="s">
        <v>197</v>
      </c>
      <c r="B349" s="230">
        <v>2615571548</v>
      </c>
      <c r="C349" s="230" t="s">
        <v>89</v>
      </c>
      <c r="D349" s="230" t="s">
        <v>77</v>
      </c>
      <c r="E349" s="230" t="s">
        <v>198</v>
      </c>
      <c r="F349" s="230" t="s">
        <v>900</v>
      </c>
      <c r="G349" s="230">
        <v>607</v>
      </c>
      <c r="H349" s="230" t="s">
        <v>1009</v>
      </c>
      <c r="I349" s="230" t="s">
        <v>531</v>
      </c>
      <c r="J349" s="230" t="s">
        <v>346</v>
      </c>
      <c r="K349" s="230" t="s">
        <v>1010</v>
      </c>
      <c r="L349" s="230" t="s">
        <v>902</v>
      </c>
      <c r="M349" s="230" t="s">
        <v>1011</v>
      </c>
      <c r="N349" s="230" t="s">
        <v>237</v>
      </c>
      <c r="O349" s="158"/>
      <c r="P349" s="92"/>
      <c r="Q349" s="146"/>
      <c r="R349" s="92"/>
      <c r="S349" s="146"/>
      <c r="T349" s="92"/>
      <c r="U349" s="146"/>
      <c r="V349" s="92"/>
      <c r="W349" s="146"/>
      <c r="X349" s="92"/>
      <c r="Y349" s="146"/>
      <c r="Z349" s="92"/>
      <c r="AA349" s="146"/>
      <c r="AB349" s="92"/>
      <c r="AC349" s="146"/>
      <c r="AD349" s="92"/>
      <c r="AE349" s="146"/>
      <c r="AF349" s="187" t="str">
        <f t="shared" si="23"/>
        <v/>
      </c>
      <c r="AG349" s="54" t="b">
        <f t="shared" si="25"/>
        <v>0</v>
      </c>
      <c r="AH349" s="146"/>
      <c r="AI349" s="210" t="s">
        <v>6</v>
      </c>
      <c r="AJ349" s="97" t="str">
        <f t="shared" si="24"/>
        <v>GUARULHOS</v>
      </c>
      <c r="AK349" s="213" t="s">
        <v>39</v>
      </c>
      <c r="AL349" s="53">
        <v>0.88068175957428141</v>
      </c>
      <c r="AM349" s="53" t="str" cm="1">
        <f t="array" ref="AM349">IF(OR(O349&lt;&gt;"", SUMPRODUCT(($AN$2:$AN$5000=AN349)*($AL$2:$AL$5000&lt;=AL349)) &lt;= (COUNTIF($AN$2:$AN$5000,AN349)*0.5)), "SORTEADO", "-")</f>
        <v>-</v>
      </c>
      <c r="AN349" s="230" t="s">
        <v>902</v>
      </c>
    </row>
    <row r="350" spans="1:40" ht="30" hidden="1" customHeight="1" x14ac:dyDescent="0.2">
      <c r="A350" s="230" t="s">
        <v>197</v>
      </c>
      <c r="B350" s="230">
        <v>2615570784</v>
      </c>
      <c r="C350" s="230" t="s">
        <v>89</v>
      </c>
      <c r="D350" s="230" t="s">
        <v>77</v>
      </c>
      <c r="E350" s="230" t="s">
        <v>198</v>
      </c>
      <c r="F350" s="230" t="s">
        <v>900</v>
      </c>
      <c r="G350" s="230">
        <v>603</v>
      </c>
      <c r="H350" s="230" t="s">
        <v>1012</v>
      </c>
      <c r="I350" s="230" t="s">
        <v>531</v>
      </c>
      <c r="J350" s="230" t="s">
        <v>346</v>
      </c>
      <c r="K350" s="230" t="s">
        <v>1013</v>
      </c>
      <c r="L350" s="230" t="s">
        <v>902</v>
      </c>
      <c r="M350" s="230" t="s">
        <v>1014</v>
      </c>
      <c r="N350" s="230" t="s">
        <v>237</v>
      </c>
      <c r="O350" s="158"/>
      <c r="P350" s="92"/>
      <c r="Q350" s="146"/>
      <c r="R350" s="92"/>
      <c r="S350" s="146"/>
      <c r="T350" s="92"/>
      <c r="U350" s="146"/>
      <c r="V350" s="92"/>
      <c r="W350" s="146"/>
      <c r="X350" s="92"/>
      <c r="Y350" s="146"/>
      <c r="Z350" s="92"/>
      <c r="AA350" s="146"/>
      <c r="AB350" s="92"/>
      <c r="AC350" s="146"/>
      <c r="AD350" s="92"/>
      <c r="AE350" s="146"/>
      <c r="AF350" s="187" t="str">
        <f t="shared" si="23"/>
        <v/>
      </c>
      <c r="AG350" s="54" t="b">
        <f t="shared" si="25"/>
        <v>0</v>
      </c>
      <c r="AH350" s="146"/>
      <c r="AI350" s="210" t="s">
        <v>6</v>
      </c>
      <c r="AJ350" s="97" t="str">
        <f t="shared" si="24"/>
        <v>GUARULHOS</v>
      </c>
      <c r="AK350" s="213" t="s">
        <v>39</v>
      </c>
      <c r="AL350" s="53">
        <v>0.8337237438467423</v>
      </c>
      <c r="AM350" s="53" t="str" cm="1">
        <f t="array" ref="AM350">IF(OR(O350&lt;&gt;"", SUMPRODUCT(($AN$2:$AN$5000=AN350)*($AL$2:$AL$5000&lt;=AL350)) &lt;= (COUNTIF($AN$2:$AN$5000,AN350)*0.5)), "SORTEADO", "-")</f>
        <v>-</v>
      </c>
      <c r="AN350" s="230" t="s">
        <v>902</v>
      </c>
    </row>
    <row r="351" spans="1:40" ht="30" hidden="1" customHeight="1" x14ac:dyDescent="0.2">
      <c r="A351" s="230" t="s">
        <v>197</v>
      </c>
      <c r="B351" s="230">
        <v>2615570980</v>
      </c>
      <c r="C351" s="230" t="s">
        <v>89</v>
      </c>
      <c r="D351" s="230" t="s">
        <v>77</v>
      </c>
      <c r="E351" s="230" t="s">
        <v>198</v>
      </c>
      <c r="F351" s="230" t="s">
        <v>900</v>
      </c>
      <c r="G351" s="230">
        <v>596</v>
      </c>
      <c r="H351" s="230" t="s">
        <v>296</v>
      </c>
      <c r="I351" s="230" t="s">
        <v>531</v>
      </c>
      <c r="J351" s="230" t="s">
        <v>346</v>
      </c>
      <c r="K351" s="230" t="s">
        <v>1015</v>
      </c>
      <c r="L351" s="230" t="s">
        <v>902</v>
      </c>
      <c r="M351" s="230" t="s">
        <v>1016</v>
      </c>
      <c r="N351" s="230" t="s">
        <v>237</v>
      </c>
      <c r="O351" s="158" t="s">
        <v>61</v>
      </c>
      <c r="P351" s="146"/>
      <c r="Q351" s="146" t="s">
        <v>61</v>
      </c>
      <c r="R351" s="209"/>
      <c r="S351" s="146" t="s">
        <v>61</v>
      </c>
      <c r="T351" s="146"/>
      <c r="U351" s="146" t="s">
        <v>61</v>
      </c>
      <c r="V351" s="146"/>
      <c r="W351" s="146" t="s">
        <v>61</v>
      </c>
      <c r="X351" s="146"/>
      <c r="Y351" s="146" t="s">
        <v>61</v>
      </c>
      <c r="Z351" s="146"/>
      <c r="AA351" s="146" t="s">
        <v>61</v>
      </c>
      <c r="AB351" s="146"/>
      <c r="AC351" s="146" t="s">
        <v>61</v>
      </c>
      <c r="AD351" s="146"/>
      <c r="AE351" s="146" t="s">
        <v>61</v>
      </c>
      <c r="AF351" s="187" t="str">
        <f t="shared" si="23"/>
        <v>NA</v>
      </c>
      <c r="AG351" s="54" t="s">
        <v>311</v>
      </c>
      <c r="AH351" s="146" t="s">
        <v>204</v>
      </c>
      <c r="AI351" s="210" t="s">
        <v>6</v>
      </c>
      <c r="AJ351" s="97" t="str">
        <f t="shared" si="24"/>
        <v>GUARULHOS</v>
      </c>
      <c r="AK351" s="213" t="s">
        <v>39</v>
      </c>
      <c r="AL351" s="53">
        <v>0.31734371486236834</v>
      </c>
      <c r="AM351" s="53" t="str" cm="1">
        <f t="array" ref="AM351">IF(OR(O351&lt;&gt;"", SUMPRODUCT(($AN$2:$AN$5000=AN351)*($AL$2:$AL$5000&lt;=AL351)) &lt;= (COUNTIF($AN$2:$AN$5000,AN351)*0.5)), "SORTEADO", "-")</f>
        <v>SORTEADO</v>
      </c>
      <c r="AN351" s="230" t="s">
        <v>902</v>
      </c>
    </row>
    <row r="352" spans="1:40" ht="30" hidden="1" customHeight="1" x14ac:dyDescent="0.2">
      <c r="A352" s="230" t="s">
        <v>197</v>
      </c>
      <c r="B352" s="230">
        <v>2615574999</v>
      </c>
      <c r="C352" s="230" t="s">
        <v>100</v>
      </c>
      <c r="D352" s="230" t="s">
        <v>78</v>
      </c>
      <c r="E352" s="230" t="s">
        <v>198</v>
      </c>
      <c r="F352" s="230" t="s">
        <v>1017</v>
      </c>
      <c r="G352" s="230">
        <v>1694</v>
      </c>
      <c r="H352" s="230" t="s">
        <v>1018</v>
      </c>
      <c r="I352" s="230" t="s">
        <v>394</v>
      </c>
      <c r="J352" s="230" t="s">
        <v>248</v>
      </c>
      <c r="K352" s="230" t="s">
        <v>1019</v>
      </c>
      <c r="L352" s="230" t="s">
        <v>902</v>
      </c>
      <c r="M352" s="230" t="s">
        <v>1020</v>
      </c>
      <c r="N352" s="230" t="s">
        <v>408</v>
      </c>
      <c r="O352" s="158"/>
      <c r="P352" s="92"/>
      <c r="Q352" s="146"/>
      <c r="R352" s="92"/>
      <c r="S352" s="146"/>
      <c r="T352" s="92"/>
      <c r="U352" s="146"/>
      <c r="V352" s="92"/>
      <c r="W352" s="146"/>
      <c r="X352" s="92"/>
      <c r="Y352" s="146"/>
      <c r="Z352" s="92"/>
      <c r="AA352" s="146"/>
      <c r="AB352" s="92"/>
      <c r="AC352" s="146"/>
      <c r="AD352" s="92"/>
      <c r="AE352" s="146"/>
      <c r="AF352" s="187" t="str">
        <f t="shared" si="23"/>
        <v/>
      </c>
      <c r="AG352" s="54" t="b">
        <f>IF(AND(AE352="C",AF352="C"),"UTILIZOU O PDA CORRETAMENTE",IF(AND(AE352="C",AF352="NC"),"UTILIZOU O PDA CORRETAMENTE. NÃO HÁ FOTOS DE TODAS AS ETAPAS",IF(AND(AE352="NC",AF352="NC"),"NÃO UTILIZOU O PDA",IF(AND(AE352="NA",AF352="NA"),"NÃO AVALIADO POR FALHA DE SINCRONISMO"))))</f>
        <v>0</v>
      </c>
      <c r="AH352" s="146"/>
      <c r="AI352" s="210" t="s">
        <v>6</v>
      </c>
      <c r="AJ352" s="97" t="str">
        <f t="shared" si="24"/>
        <v>GUARULHOS</v>
      </c>
      <c r="AK352" s="213" t="s">
        <v>39</v>
      </c>
      <c r="AL352" s="53">
        <v>0.58891150911870982</v>
      </c>
      <c r="AM352" s="53" t="str" cm="1">
        <f t="array" ref="AM352">IF(OR(O352&lt;&gt;"", SUMPRODUCT(($AN$2:$AN$5000=AN352)*($AL$2:$AL$5000&lt;=AL352)) &lt;= (COUNTIF($AN$2:$AN$5000,AN352)*0.5)), "SORTEADO", "-")</f>
        <v>-</v>
      </c>
      <c r="AN352" s="230" t="s">
        <v>902</v>
      </c>
    </row>
    <row r="353" spans="1:40" ht="30" customHeight="1" x14ac:dyDescent="0.2">
      <c r="A353" s="230" t="s">
        <v>197</v>
      </c>
      <c r="B353" s="230">
        <v>2690451085</v>
      </c>
      <c r="C353" s="230" t="s">
        <v>101</v>
      </c>
      <c r="D353" s="230" t="s">
        <v>80</v>
      </c>
      <c r="E353" s="230" t="s">
        <v>198</v>
      </c>
      <c r="F353" s="230" t="s">
        <v>1021</v>
      </c>
      <c r="G353" s="230">
        <v>323</v>
      </c>
      <c r="H353" s="230" t="s">
        <v>1022</v>
      </c>
      <c r="I353" s="230" t="s">
        <v>269</v>
      </c>
      <c r="J353" s="230" t="s">
        <v>259</v>
      </c>
      <c r="K353" s="230" t="s">
        <v>1023</v>
      </c>
      <c r="L353" s="230" t="s">
        <v>902</v>
      </c>
      <c r="M353" s="230" t="s">
        <v>1024</v>
      </c>
      <c r="N353" s="230" t="s">
        <v>317</v>
      </c>
      <c r="O353" s="158" t="s">
        <v>204</v>
      </c>
      <c r="P353" s="92"/>
      <c r="Q353" s="146" t="s">
        <v>204</v>
      </c>
      <c r="R353" s="92"/>
      <c r="S353" s="146" t="s">
        <v>204</v>
      </c>
      <c r="T353" s="92"/>
      <c r="U353" s="146" t="s">
        <v>204</v>
      </c>
      <c r="V353" s="92"/>
      <c r="W353" s="146" t="s">
        <v>204</v>
      </c>
      <c r="X353" s="92"/>
      <c r="Y353" s="146" t="s">
        <v>61</v>
      </c>
      <c r="Z353" s="92"/>
      <c r="AA353" s="146" t="s">
        <v>204</v>
      </c>
      <c r="AB353" s="92"/>
      <c r="AC353" s="146" t="s">
        <v>204</v>
      </c>
      <c r="AD353" s="92"/>
      <c r="AE353" s="146" t="s">
        <v>204</v>
      </c>
      <c r="AF353" s="187" t="str">
        <f t="shared" si="23"/>
        <v>C</v>
      </c>
      <c r="AG353" s="54" t="str">
        <f>IF(AND(AE353="C",AF353="C"),"UTILIZOU O PDA CORRETAMENTE",IF(AND(AE353="C",AF353="NC"),"UTILIZOU O PDA CORRETAMENTE. NÃO HÁ FOTOS DE TODAS AS ETAPAS",IF(AND(AE353="NC",AF353="NC"),"NÃO UTILIZOU O PDA",IF(AND(AE353="NA",AF353="NA"),"NÃO AVALIADO POR FALHA DE SINCRONISMO"))))</f>
        <v>UTILIZOU O PDA CORRETAMENTE</v>
      </c>
      <c r="AH353" s="144" t="s">
        <v>204</v>
      </c>
      <c r="AI353" s="210" t="s">
        <v>6</v>
      </c>
      <c r="AJ353" s="97" t="str">
        <f t="shared" si="24"/>
        <v>GUARULHOS</v>
      </c>
      <c r="AK353" s="213" t="s">
        <v>39</v>
      </c>
      <c r="AL353" s="53">
        <v>0.32678666223453445</v>
      </c>
      <c r="AM353" s="53" t="str" cm="1">
        <f t="array" ref="AM353">IF(OR(O353&lt;&gt;"", SUMPRODUCT(($AN$2:$AN$5000=AN353)*($AL$2:$AL$5000&lt;=AL353)) &lt;= (COUNTIF($AN$2:$AN$5000,AN353)*0.5)), "SORTEADO", "-")</f>
        <v>SORTEADO</v>
      </c>
      <c r="AN353" s="230" t="s">
        <v>902</v>
      </c>
    </row>
    <row r="354" spans="1:40" ht="30" hidden="1" customHeight="1" x14ac:dyDescent="0.2">
      <c r="A354" s="230" t="s">
        <v>197</v>
      </c>
      <c r="B354" s="230">
        <v>2690408279</v>
      </c>
      <c r="C354" s="230" t="s">
        <v>88</v>
      </c>
      <c r="D354" s="230" t="s">
        <v>77</v>
      </c>
      <c r="E354" s="230" t="s">
        <v>198</v>
      </c>
      <c r="F354" s="230" t="s">
        <v>979</v>
      </c>
      <c r="G354" s="230">
        <v>143</v>
      </c>
      <c r="H354" s="230" t="s">
        <v>980</v>
      </c>
      <c r="I354" s="230" t="s">
        <v>315</v>
      </c>
      <c r="J354" s="230" t="s">
        <v>401</v>
      </c>
      <c r="K354" s="230" t="s">
        <v>1025</v>
      </c>
      <c r="L354" s="230" t="s">
        <v>902</v>
      </c>
      <c r="M354" s="230" t="s">
        <v>1026</v>
      </c>
      <c r="N354" s="230" t="s">
        <v>322</v>
      </c>
      <c r="O354" s="158"/>
      <c r="P354" s="92"/>
      <c r="Q354" s="146"/>
      <c r="R354" s="92"/>
      <c r="S354" s="146"/>
      <c r="T354" s="92"/>
      <c r="U354" s="146"/>
      <c r="V354" s="92"/>
      <c r="W354" s="146"/>
      <c r="X354" s="92"/>
      <c r="Y354" s="146"/>
      <c r="Z354" s="92"/>
      <c r="AA354" s="146"/>
      <c r="AB354" s="92"/>
      <c r="AC354" s="146"/>
      <c r="AD354" s="92"/>
      <c r="AE354" s="146"/>
      <c r="AF354" s="187" t="str">
        <f t="shared" si="23"/>
        <v/>
      </c>
      <c r="AG354" s="54" t="b">
        <f>IF(AND(AE354="C",AF354="C"),"UTILIZOU O PDA CORRETAMENTE",IF(AND(AE354="C",AF354="NC"),"UTILIZOU O PDA CORRETAMENTE. NÃO HÁ FOTOS DE TODAS AS ETAPAS",IF(AND(AE354="NC",AF354="NC"),"NÃO UTILIZOU O PDA",IF(AND(AE354="NA",AF354="NA"),"NÃO AVALIADO POR FALHA DE SINCRONISMO"))))</f>
        <v>0</v>
      </c>
      <c r="AH354" s="146"/>
      <c r="AI354" s="210" t="s">
        <v>6</v>
      </c>
      <c r="AJ354" s="97" t="str">
        <f t="shared" si="24"/>
        <v>GUARULHOS</v>
      </c>
      <c r="AK354" s="213" t="s">
        <v>39</v>
      </c>
      <c r="AL354" s="53">
        <v>0.84404581994629235</v>
      </c>
      <c r="AM354" s="53" t="str" cm="1">
        <f t="array" ref="AM354">IF(OR(O354&lt;&gt;"", SUMPRODUCT(($AN$2:$AN$5000=AN354)*($AL$2:$AL$5000&lt;=AL354)) &lt;= (COUNTIF($AN$2:$AN$5000,AN354)*0.5)), "SORTEADO", "-")</f>
        <v>-</v>
      </c>
      <c r="AN354" s="230" t="s">
        <v>902</v>
      </c>
    </row>
    <row r="355" spans="1:40" ht="30" customHeight="1" x14ac:dyDescent="0.2">
      <c r="A355" s="242" t="s">
        <v>197</v>
      </c>
      <c r="B355" s="242">
        <v>2690405184</v>
      </c>
      <c r="C355" s="242" t="s">
        <v>88</v>
      </c>
      <c r="D355" s="242" t="s">
        <v>77</v>
      </c>
      <c r="E355" s="242" t="s">
        <v>198</v>
      </c>
      <c r="F355" s="242" t="s">
        <v>1027</v>
      </c>
      <c r="G355" s="242">
        <v>150</v>
      </c>
      <c r="H355" s="242" t="s">
        <v>1028</v>
      </c>
      <c r="I355" s="242" t="s">
        <v>285</v>
      </c>
      <c r="J355" s="242" t="s">
        <v>401</v>
      </c>
      <c r="K355" s="242" t="s">
        <v>831</v>
      </c>
      <c r="L355" s="242" t="s">
        <v>902</v>
      </c>
      <c r="M355" s="242" t="s">
        <v>1029</v>
      </c>
      <c r="N355" s="242" t="s">
        <v>348</v>
      </c>
      <c r="O355" s="158" t="s">
        <v>204</v>
      </c>
      <c r="P355" s="146"/>
      <c r="Q355" s="146" t="s">
        <v>204</v>
      </c>
      <c r="R355" s="209"/>
      <c r="S355" s="146" t="s">
        <v>204</v>
      </c>
      <c r="T355" s="146"/>
      <c r="U355" s="146" t="s">
        <v>204</v>
      </c>
      <c r="V355" s="146"/>
      <c r="W355" s="146" t="s">
        <v>204</v>
      </c>
      <c r="X355" s="146"/>
      <c r="Y355" s="146" t="s">
        <v>61</v>
      </c>
      <c r="Z355" s="146"/>
      <c r="AA355" s="146" t="s">
        <v>204</v>
      </c>
      <c r="AB355" s="146"/>
      <c r="AC355" s="146" t="s">
        <v>204</v>
      </c>
      <c r="AD355" s="146"/>
      <c r="AE355" s="146" t="s">
        <v>204</v>
      </c>
      <c r="AF355" s="187" t="str">
        <f t="shared" si="23"/>
        <v>C</v>
      </c>
      <c r="AG355" s="54" t="s">
        <v>311</v>
      </c>
      <c r="AH355" s="146" t="s">
        <v>204</v>
      </c>
      <c r="AI355" s="210" t="s">
        <v>6</v>
      </c>
      <c r="AJ355" s="97" t="str">
        <f t="shared" si="24"/>
        <v>GUARULHOS</v>
      </c>
      <c r="AK355" s="213" t="s">
        <v>39</v>
      </c>
      <c r="AL355" s="53">
        <v>0.48000372913175249</v>
      </c>
      <c r="AM355" s="53" t="str" cm="1">
        <f t="array" ref="AM355">IF(OR(O355&lt;&gt;"", SUMPRODUCT(($AN$2:$AN$5000=AN355)*($AL$2:$AL$5000&lt;=AL355)) &lt;= (COUNTIF($AN$2:$AN$5000,AN355)*0.5)), "SORTEADO", "-")</f>
        <v>SORTEADO</v>
      </c>
      <c r="AN355" s="242" t="s">
        <v>902</v>
      </c>
    </row>
    <row r="356" spans="1:40" ht="30" customHeight="1" x14ac:dyDescent="0.2">
      <c r="A356" s="230" t="s">
        <v>197</v>
      </c>
      <c r="B356" s="230">
        <v>2615593418</v>
      </c>
      <c r="C356" s="230" t="s">
        <v>105</v>
      </c>
      <c r="D356" s="230" t="s">
        <v>80</v>
      </c>
      <c r="E356" s="230" t="s">
        <v>198</v>
      </c>
      <c r="F356" s="230" t="s">
        <v>1030</v>
      </c>
      <c r="G356" s="230">
        <v>1750</v>
      </c>
      <c r="H356" s="230"/>
      <c r="I356" s="230" t="s">
        <v>198</v>
      </c>
      <c r="J356" s="230" t="s">
        <v>226</v>
      </c>
      <c r="K356" s="230" t="s">
        <v>1031</v>
      </c>
      <c r="L356" s="230" t="s">
        <v>1032</v>
      </c>
      <c r="M356" s="230" t="s">
        <v>1033</v>
      </c>
      <c r="N356" s="230" t="s">
        <v>317</v>
      </c>
      <c r="O356" s="158" t="s">
        <v>204</v>
      </c>
      <c r="P356" s="92"/>
      <c r="Q356" s="146" t="s">
        <v>204</v>
      </c>
      <c r="R356" s="92"/>
      <c r="S356" s="146" t="s">
        <v>204</v>
      </c>
      <c r="T356" s="92"/>
      <c r="U356" s="146" t="s">
        <v>204</v>
      </c>
      <c r="V356" s="92"/>
      <c r="W356" s="146" t="s">
        <v>204</v>
      </c>
      <c r="X356" s="92"/>
      <c r="Y356" s="146" t="s">
        <v>61</v>
      </c>
      <c r="Z356" s="92"/>
      <c r="AA356" s="146" t="s">
        <v>204</v>
      </c>
      <c r="AB356" s="92"/>
      <c r="AC356" s="146" t="s">
        <v>204</v>
      </c>
      <c r="AD356" s="92"/>
      <c r="AE356" s="146" t="s">
        <v>204</v>
      </c>
      <c r="AF356" s="187" t="str">
        <f t="shared" si="23"/>
        <v>C</v>
      </c>
      <c r="AG356" s="54" t="str">
        <f t="shared" ref="AG356:AG380" si="26">IF(AND(AE356="C",AF356="C"),"UTILIZOU O PDA CORRETAMENTE",IF(AND(AE356="C",AF356="NC"),"UTILIZOU O PDA CORRETAMENTE. NÃO HÁ FOTOS DE TODAS AS ETAPAS",IF(AND(AE356="NC",AF356="NC"),"NÃO UTILIZOU O PDA",IF(AND(AE356="NA",AF356="NA"),"NÃO AVALIADO POR FALHA DE SINCRONISMO"))))</f>
        <v>UTILIZOU O PDA CORRETAMENTE</v>
      </c>
      <c r="AH356" s="144" t="s">
        <v>204</v>
      </c>
      <c r="AI356" s="210" t="s">
        <v>6</v>
      </c>
      <c r="AJ356" s="97" t="str">
        <f t="shared" si="24"/>
        <v>GUARULHOS</v>
      </c>
      <c r="AK356" s="213" t="s">
        <v>39</v>
      </c>
      <c r="AL356" s="53">
        <v>7.8993948925950574E-3</v>
      </c>
      <c r="AM356" s="53" t="str" cm="1">
        <f t="array" ref="AM356">IF(OR(O356&lt;&gt;"", SUMPRODUCT(($AN$2:$AN$5000=AN356)*($AL$2:$AL$5000&lt;=AL356)) &lt;= (COUNTIF($AN$2:$AN$5000,AN356)*0.5)), "SORTEADO", "-")</f>
        <v>SORTEADO</v>
      </c>
      <c r="AN356" s="230" t="s">
        <v>1032</v>
      </c>
    </row>
    <row r="357" spans="1:40" ht="30" hidden="1" customHeight="1" x14ac:dyDescent="0.2">
      <c r="A357" s="230" t="s">
        <v>197</v>
      </c>
      <c r="B357" s="230">
        <v>2615583128</v>
      </c>
      <c r="C357" s="230" t="s">
        <v>102</v>
      </c>
      <c r="D357" s="230" t="s">
        <v>80</v>
      </c>
      <c r="E357" s="230" t="s">
        <v>198</v>
      </c>
      <c r="F357" s="230" t="s">
        <v>1034</v>
      </c>
      <c r="G357" s="230">
        <v>0</v>
      </c>
      <c r="H357" s="230" t="s">
        <v>213</v>
      </c>
      <c r="I357" s="230" t="s">
        <v>708</v>
      </c>
      <c r="J357" s="230" t="s">
        <v>270</v>
      </c>
      <c r="K357" s="230" t="s">
        <v>1035</v>
      </c>
      <c r="L357" s="230" t="s">
        <v>1032</v>
      </c>
      <c r="M357" s="230" t="s">
        <v>1036</v>
      </c>
      <c r="N357" s="230" t="s">
        <v>287</v>
      </c>
      <c r="O357" s="158"/>
      <c r="P357" s="92"/>
      <c r="Q357" s="146"/>
      <c r="R357" s="92"/>
      <c r="S357" s="146"/>
      <c r="T357" s="92"/>
      <c r="U357" s="146"/>
      <c r="V357" s="92"/>
      <c r="W357" s="146"/>
      <c r="X357" s="92"/>
      <c r="Y357" s="146"/>
      <c r="Z357" s="92"/>
      <c r="AA357" s="146"/>
      <c r="AB357" s="92"/>
      <c r="AC357" s="146"/>
      <c r="AD357" s="92"/>
      <c r="AE357" s="146"/>
      <c r="AF357" s="187" t="str">
        <f t="shared" si="23"/>
        <v/>
      </c>
      <c r="AG357" s="54" t="b">
        <f t="shared" si="26"/>
        <v>0</v>
      </c>
      <c r="AH357" s="146"/>
      <c r="AI357" s="210" t="s">
        <v>6</v>
      </c>
      <c r="AJ357" s="97" t="str">
        <f t="shared" si="24"/>
        <v>GUARULHOS</v>
      </c>
      <c r="AK357" s="213" t="s">
        <v>39</v>
      </c>
      <c r="AL357" s="53">
        <v>0.38917624812973761</v>
      </c>
      <c r="AM357" s="53" t="str" cm="1">
        <f t="array" ref="AM357">IF(OR(O357&lt;&gt;"", SUMPRODUCT(($AN$2:$AN$5000=AN357)*($AL$2:$AL$5000&lt;=AL357)) &lt;= (COUNTIF($AN$2:$AN$5000,AN357)*0.5)), "SORTEADO", "-")</f>
        <v>-</v>
      </c>
      <c r="AN357" s="230" t="s">
        <v>1032</v>
      </c>
    </row>
    <row r="358" spans="1:40" ht="30" hidden="1" customHeight="1" x14ac:dyDescent="0.2">
      <c r="A358" s="230" t="s">
        <v>197</v>
      </c>
      <c r="B358" s="230">
        <v>2690469511</v>
      </c>
      <c r="C358" s="230" t="s">
        <v>102</v>
      </c>
      <c r="D358" s="230" t="s">
        <v>80</v>
      </c>
      <c r="E358" s="230" t="s">
        <v>198</v>
      </c>
      <c r="F358" s="230" t="s">
        <v>1034</v>
      </c>
      <c r="G358" s="230">
        <v>465</v>
      </c>
      <c r="H358" s="230" t="s">
        <v>276</v>
      </c>
      <c r="I358" s="230" t="s">
        <v>708</v>
      </c>
      <c r="J358" s="230" t="s">
        <v>270</v>
      </c>
      <c r="K358" s="230" t="s">
        <v>1037</v>
      </c>
      <c r="L358" s="230" t="s">
        <v>1032</v>
      </c>
      <c r="M358" s="230" t="s">
        <v>1036</v>
      </c>
      <c r="N358" s="230" t="s">
        <v>287</v>
      </c>
      <c r="O358" s="158"/>
      <c r="P358" s="92"/>
      <c r="Q358" s="146"/>
      <c r="R358" s="92"/>
      <c r="S358" s="146"/>
      <c r="T358" s="92"/>
      <c r="U358" s="146"/>
      <c r="V358" s="92"/>
      <c r="W358" s="146"/>
      <c r="X358" s="92"/>
      <c r="Y358" s="146"/>
      <c r="Z358" s="92"/>
      <c r="AA358" s="146"/>
      <c r="AB358" s="92"/>
      <c r="AC358" s="146"/>
      <c r="AD358" s="92"/>
      <c r="AE358" s="146"/>
      <c r="AF358" s="187" t="str">
        <f t="shared" si="23"/>
        <v/>
      </c>
      <c r="AG358" s="54" t="b">
        <f t="shared" si="26"/>
        <v>0</v>
      </c>
      <c r="AH358" s="146"/>
      <c r="AI358" s="210" t="s">
        <v>6</v>
      </c>
      <c r="AJ358" s="97" t="str">
        <f t="shared" si="24"/>
        <v>GUARULHOS</v>
      </c>
      <c r="AK358" s="213" t="s">
        <v>39</v>
      </c>
      <c r="AL358" s="53">
        <v>0.62185582714053733</v>
      </c>
      <c r="AM358" s="53" t="str" cm="1">
        <f t="array" ref="AM358">IF(OR(O358&lt;&gt;"", SUMPRODUCT(($AN$2:$AN$5000=AN358)*($AL$2:$AL$5000&lt;=AL358)) &lt;= (COUNTIF($AN$2:$AN$5000,AN358)*0.5)), "SORTEADO", "-")</f>
        <v>-</v>
      </c>
      <c r="AN358" s="230" t="s">
        <v>1032</v>
      </c>
    </row>
    <row r="359" spans="1:40" ht="30" customHeight="1" x14ac:dyDescent="0.2">
      <c r="A359" s="230" t="s">
        <v>197</v>
      </c>
      <c r="B359" s="230">
        <v>2615495178</v>
      </c>
      <c r="C359" s="230" t="s">
        <v>105</v>
      </c>
      <c r="D359" s="230" t="s">
        <v>80</v>
      </c>
      <c r="E359" s="230" t="s">
        <v>198</v>
      </c>
      <c r="F359" s="230" t="s">
        <v>1038</v>
      </c>
      <c r="G359" s="230">
        <v>735</v>
      </c>
      <c r="H359" s="230" t="s">
        <v>213</v>
      </c>
      <c r="I359" s="230" t="s">
        <v>1039</v>
      </c>
      <c r="J359" s="230" t="s">
        <v>226</v>
      </c>
      <c r="K359" s="230" t="s">
        <v>1040</v>
      </c>
      <c r="L359" s="230" t="s">
        <v>1032</v>
      </c>
      <c r="M359" s="230" t="s">
        <v>1041</v>
      </c>
      <c r="N359" s="230" t="s">
        <v>228</v>
      </c>
      <c r="O359" s="158" t="s">
        <v>204</v>
      </c>
      <c r="P359" s="92"/>
      <c r="Q359" s="146" t="s">
        <v>204</v>
      </c>
      <c r="R359" s="92"/>
      <c r="S359" s="146" t="s">
        <v>204</v>
      </c>
      <c r="T359" s="92"/>
      <c r="U359" s="146" t="s">
        <v>204</v>
      </c>
      <c r="V359" s="92"/>
      <c r="W359" s="146" t="s">
        <v>204</v>
      </c>
      <c r="X359" s="92"/>
      <c r="Y359" s="146" t="s">
        <v>61</v>
      </c>
      <c r="Z359" s="92"/>
      <c r="AA359" s="146" t="s">
        <v>204</v>
      </c>
      <c r="AB359" s="92"/>
      <c r="AC359" s="146" t="s">
        <v>204</v>
      </c>
      <c r="AD359" s="92"/>
      <c r="AE359" s="146" t="s">
        <v>204</v>
      </c>
      <c r="AF359" s="187" t="str">
        <f t="shared" si="23"/>
        <v>C</v>
      </c>
      <c r="AG359" s="54" t="str">
        <f t="shared" si="26"/>
        <v>UTILIZOU O PDA CORRETAMENTE</v>
      </c>
      <c r="AH359" s="144" t="s">
        <v>204</v>
      </c>
      <c r="AI359" s="210" t="s">
        <v>6</v>
      </c>
      <c r="AJ359" s="97" t="str">
        <f t="shared" si="24"/>
        <v>GUARULHOS</v>
      </c>
      <c r="AK359" s="213" t="s">
        <v>39</v>
      </c>
      <c r="AL359" s="53">
        <v>1.7626042325739166E-2</v>
      </c>
      <c r="AM359" s="53" t="str" cm="1">
        <f t="array" ref="AM359">IF(OR(O359&lt;&gt;"", SUMPRODUCT(($AN$2:$AN$5000=AN359)*($AL$2:$AL$5000&lt;=AL359)) &lt;= (COUNTIF($AN$2:$AN$5000,AN359)*0.5)), "SORTEADO", "-")</f>
        <v>SORTEADO</v>
      </c>
      <c r="AN359" s="230" t="s">
        <v>1032</v>
      </c>
    </row>
    <row r="360" spans="1:40" ht="30" hidden="1" customHeight="1" x14ac:dyDescent="0.2">
      <c r="A360" s="230" t="s">
        <v>197</v>
      </c>
      <c r="B360" s="230">
        <v>2615602964</v>
      </c>
      <c r="C360" s="230" t="s">
        <v>89</v>
      </c>
      <c r="D360" s="230" t="s">
        <v>77</v>
      </c>
      <c r="E360" s="230" t="s">
        <v>198</v>
      </c>
      <c r="F360" s="230" t="s">
        <v>1042</v>
      </c>
      <c r="G360" s="230">
        <v>401</v>
      </c>
      <c r="H360" s="230" t="s">
        <v>1043</v>
      </c>
      <c r="I360" s="230" t="s">
        <v>345</v>
      </c>
      <c r="J360" s="230" t="s">
        <v>346</v>
      </c>
      <c r="K360" s="230" t="s">
        <v>1044</v>
      </c>
      <c r="L360" s="230" t="s">
        <v>1032</v>
      </c>
      <c r="M360" s="230" t="s">
        <v>1045</v>
      </c>
      <c r="N360" s="230" t="s">
        <v>317</v>
      </c>
      <c r="O360" s="158"/>
      <c r="P360" s="92"/>
      <c r="Q360" s="146"/>
      <c r="R360" s="92"/>
      <c r="S360" s="146"/>
      <c r="T360" s="92"/>
      <c r="U360" s="146"/>
      <c r="V360" s="92"/>
      <c r="W360" s="146"/>
      <c r="X360" s="92"/>
      <c r="Y360" s="146"/>
      <c r="Z360" s="92"/>
      <c r="AA360" s="146"/>
      <c r="AB360" s="92"/>
      <c r="AC360" s="146"/>
      <c r="AD360" s="92"/>
      <c r="AE360" s="146"/>
      <c r="AF360" s="187" t="str">
        <f t="shared" si="23"/>
        <v/>
      </c>
      <c r="AG360" s="54" t="b">
        <f t="shared" si="26"/>
        <v>0</v>
      </c>
      <c r="AH360" s="146"/>
      <c r="AI360" s="210" t="s">
        <v>6</v>
      </c>
      <c r="AJ360" s="97" t="str">
        <f t="shared" si="24"/>
        <v>GUARULHOS</v>
      </c>
      <c r="AK360" s="213" t="s">
        <v>39</v>
      </c>
      <c r="AL360" s="53">
        <v>0.74493863900113055</v>
      </c>
      <c r="AM360" s="53" t="str" cm="1">
        <f t="array" ref="AM360">IF(OR(O360&lt;&gt;"", SUMPRODUCT(($AN$2:$AN$5000=AN360)*($AL$2:$AL$5000&lt;=AL360)) &lt;= (COUNTIF($AN$2:$AN$5000,AN360)*0.5)), "SORTEADO", "-")</f>
        <v>-</v>
      </c>
      <c r="AN360" s="230" t="s">
        <v>1032</v>
      </c>
    </row>
    <row r="361" spans="1:40" ht="30" customHeight="1" x14ac:dyDescent="0.2">
      <c r="A361" s="230" t="s">
        <v>197</v>
      </c>
      <c r="B361" s="230">
        <v>2615422931</v>
      </c>
      <c r="C361" s="230" t="s">
        <v>104</v>
      </c>
      <c r="D361" s="230" t="s">
        <v>80</v>
      </c>
      <c r="E361" s="230" t="s">
        <v>198</v>
      </c>
      <c r="F361" s="230" t="s">
        <v>784</v>
      </c>
      <c r="G361" s="230">
        <v>426</v>
      </c>
      <c r="H361" s="230" t="s">
        <v>1046</v>
      </c>
      <c r="I361" s="230" t="s">
        <v>368</v>
      </c>
      <c r="J361" s="230" t="s">
        <v>226</v>
      </c>
      <c r="K361" s="230" t="s">
        <v>213</v>
      </c>
      <c r="L361" s="230" t="s">
        <v>1032</v>
      </c>
      <c r="M361" s="230" t="s">
        <v>1047</v>
      </c>
      <c r="N361" s="230" t="s">
        <v>237</v>
      </c>
      <c r="O361" s="158" t="s">
        <v>204</v>
      </c>
      <c r="P361" s="92"/>
      <c r="Q361" s="146" t="s">
        <v>204</v>
      </c>
      <c r="R361" s="92"/>
      <c r="S361" s="146" t="s">
        <v>204</v>
      </c>
      <c r="T361" s="92"/>
      <c r="U361" s="146" t="s">
        <v>204</v>
      </c>
      <c r="V361" s="92"/>
      <c r="W361" s="146" t="s">
        <v>204</v>
      </c>
      <c r="X361" s="92"/>
      <c r="Y361" s="146" t="s">
        <v>61</v>
      </c>
      <c r="Z361" s="92"/>
      <c r="AA361" s="146" t="s">
        <v>204</v>
      </c>
      <c r="AB361" s="92"/>
      <c r="AC361" s="146" t="s">
        <v>204</v>
      </c>
      <c r="AD361" s="92"/>
      <c r="AE361" s="146" t="s">
        <v>204</v>
      </c>
      <c r="AF361" s="187" t="str">
        <f t="shared" si="23"/>
        <v>C</v>
      </c>
      <c r="AG361" s="54" t="str">
        <f t="shared" si="26"/>
        <v>UTILIZOU O PDA CORRETAMENTE</v>
      </c>
      <c r="AH361" s="144" t="s">
        <v>204</v>
      </c>
      <c r="AI361" s="210" t="s">
        <v>6</v>
      </c>
      <c r="AJ361" s="97" t="str">
        <f t="shared" si="24"/>
        <v>GUARULHOS</v>
      </c>
      <c r="AK361" s="213" t="s">
        <v>39</v>
      </c>
      <c r="AL361" s="53">
        <v>0.20633015954455758</v>
      </c>
      <c r="AM361" s="53" t="str" cm="1">
        <f t="array" ref="AM361">IF(OR(O361&lt;&gt;"", SUMPRODUCT(($AN$2:$AN$5000=AN361)*($AL$2:$AL$5000&lt;=AL361)) &lt;= (COUNTIF($AN$2:$AN$5000,AN361)*0.5)), "SORTEADO", "-")</f>
        <v>SORTEADO</v>
      </c>
      <c r="AN361" s="230" t="s">
        <v>1032</v>
      </c>
    </row>
    <row r="362" spans="1:40" ht="30" hidden="1" customHeight="1" x14ac:dyDescent="0.2">
      <c r="A362" s="230" t="s">
        <v>197</v>
      </c>
      <c r="B362" s="230">
        <v>2615423284</v>
      </c>
      <c r="C362" s="230" t="s">
        <v>104</v>
      </c>
      <c r="D362" s="230" t="s">
        <v>80</v>
      </c>
      <c r="E362" s="230" t="s">
        <v>198</v>
      </c>
      <c r="F362" s="230" t="s">
        <v>1048</v>
      </c>
      <c r="G362" s="230">
        <v>511</v>
      </c>
      <c r="H362" s="230" t="s">
        <v>1049</v>
      </c>
      <c r="I362" s="230" t="s">
        <v>368</v>
      </c>
      <c r="J362" s="230" t="s">
        <v>278</v>
      </c>
      <c r="K362" s="230"/>
      <c r="L362" s="230" t="s">
        <v>1032</v>
      </c>
      <c r="M362" s="230" t="s">
        <v>1050</v>
      </c>
      <c r="N362" s="230" t="s">
        <v>237</v>
      </c>
      <c r="O362" s="158"/>
      <c r="P362" s="92"/>
      <c r="Q362" s="146"/>
      <c r="R362" s="92"/>
      <c r="S362" s="146"/>
      <c r="T362" s="92"/>
      <c r="U362" s="146"/>
      <c r="V362" s="92"/>
      <c r="W362" s="146"/>
      <c r="X362" s="92"/>
      <c r="Y362" s="146"/>
      <c r="Z362" s="92"/>
      <c r="AA362" s="146"/>
      <c r="AB362" s="92"/>
      <c r="AC362" s="146"/>
      <c r="AD362" s="92"/>
      <c r="AE362" s="146"/>
      <c r="AF362" s="187" t="str">
        <f t="shared" si="23"/>
        <v/>
      </c>
      <c r="AG362" s="54" t="b">
        <f t="shared" si="26"/>
        <v>0</v>
      </c>
      <c r="AH362" s="146"/>
      <c r="AI362" s="210" t="s">
        <v>6</v>
      </c>
      <c r="AJ362" s="97" t="str">
        <f t="shared" si="24"/>
        <v>GUARULHOS</v>
      </c>
      <c r="AK362" s="213" t="s">
        <v>39</v>
      </c>
      <c r="AL362" s="53">
        <v>0.50727272558009828</v>
      </c>
      <c r="AM362" s="53" t="str" cm="1">
        <f t="array" ref="AM362">IF(OR(O362&lt;&gt;"", SUMPRODUCT(($AN$2:$AN$5000=AN362)*($AL$2:$AL$5000&lt;=AL362)) &lt;= (COUNTIF($AN$2:$AN$5000,AN362)*0.5)), "SORTEADO", "-")</f>
        <v>-</v>
      </c>
      <c r="AN362" s="230" t="s">
        <v>1032</v>
      </c>
    </row>
    <row r="363" spans="1:40" ht="30" hidden="1" customHeight="1" x14ac:dyDescent="0.2">
      <c r="A363" s="230" t="s">
        <v>197</v>
      </c>
      <c r="B363" s="230">
        <v>2615422890</v>
      </c>
      <c r="C363" s="230" t="s">
        <v>104</v>
      </c>
      <c r="D363" s="230" t="s">
        <v>80</v>
      </c>
      <c r="E363" s="230" t="s">
        <v>198</v>
      </c>
      <c r="F363" s="230" t="s">
        <v>1051</v>
      </c>
      <c r="G363" s="230">
        <v>40</v>
      </c>
      <c r="H363" s="230" t="s">
        <v>276</v>
      </c>
      <c r="I363" s="230" t="s">
        <v>368</v>
      </c>
      <c r="J363" s="230" t="s">
        <v>226</v>
      </c>
      <c r="K363" s="230" t="s">
        <v>213</v>
      </c>
      <c r="L363" s="230" t="s">
        <v>1032</v>
      </c>
      <c r="M363" s="230" t="s">
        <v>1052</v>
      </c>
      <c r="N363" s="230" t="s">
        <v>237</v>
      </c>
      <c r="O363" s="158"/>
      <c r="P363" s="92"/>
      <c r="Q363" s="146"/>
      <c r="R363" s="92"/>
      <c r="S363" s="146"/>
      <c r="T363" s="92"/>
      <c r="U363" s="146"/>
      <c r="V363" s="92"/>
      <c r="W363" s="146"/>
      <c r="X363" s="92"/>
      <c r="Y363" s="146"/>
      <c r="Z363" s="92"/>
      <c r="AA363" s="146"/>
      <c r="AB363" s="92"/>
      <c r="AC363" s="146"/>
      <c r="AD363" s="92"/>
      <c r="AE363" s="146"/>
      <c r="AF363" s="187" t="str">
        <f t="shared" si="23"/>
        <v/>
      </c>
      <c r="AG363" s="54" t="b">
        <f t="shared" si="26"/>
        <v>0</v>
      </c>
      <c r="AH363" s="146"/>
      <c r="AI363" s="210" t="s">
        <v>6</v>
      </c>
      <c r="AJ363" s="97" t="str">
        <f t="shared" si="24"/>
        <v>GUARULHOS</v>
      </c>
      <c r="AK363" s="213" t="s">
        <v>39</v>
      </c>
      <c r="AL363" s="53">
        <v>0.99427961225698436</v>
      </c>
      <c r="AM363" s="53" t="str" cm="1">
        <f t="array" ref="AM363">IF(OR(O363&lt;&gt;"", SUMPRODUCT(($AN$2:$AN$5000=AN363)*($AL$2:$AL$5000&lt;=AL363)) &lt;= (COUNTIF($AN$2:$AN$5000,AN363)*0.5)), "SORTEADO", "-")</f>
        <v>-</v>
      </c>
      <c r="AN363" s="230" t="s">
        <v>1032</v>
      </c>
    </row>
    <row r="364" spans="1:40" ht="30" hidden="1" customHeight="1" x14ac:dyDescent="0.2">
      <c r="A364" s="230" t="s">
        <v>197</v>
      </c>
      <c r="B364" s="230">
        <v>2690520541</v>
      </c>
      <c r="C364" s="230" t="s">
        <v>102</v>
      </c>
      <c r="D364" s="230" t="s">
        <v>80</v>
      </c>
      <c r="E364" s="230" t="s">
        <v>198</v>
      </c>
      <c r="F364" s="230" t="s">
        <v>1053</v>
      </c>
      <c r="G364" s="230">
        <v>87</v>
      </c>
      <c r="H364" s="230" t="s">
        <v>1054</v>
      </c>
      <c r="I364" s="230" t="s">
        <v>492</v>
      </c>
      <c r="J364" s="230" t="s">
        <v>270</v>
      </c>
      <c r="K364" s="230"/>
      <c r="L364" s="230" t="s">
        <v>1032</v>
      </c>
      <c r="M364" s="230" t="s">
        <v>1055</v>
      </c>
      <c r="N364" s="230" t="s">
        <v>381</v>
      </c>
      <c r="O364" s="158"/>
      <c r="P364" s="92"/>
      <c r="Q364" s="146"/>
      <c r="R364" s="92"/>
      <c r="S364" s="146"/>
      <c r="T364" s="92"/>
      <c r="U364" s="146"/>
      <c r="V364" s="92"/>
      <c r="W364" s="146"/>
      <c r="X364" s="92"/>
      <c r="Y364" s="146"/>
      <c r="Z364" s="92"/>
      <c r="AA364" s="146"/>
      <c r="AB364" s="92"/>
      <c r="AC364" s="146"/>
      <c r="AD364" s="92"/>
      <c r="AE364" s="146"/>
      <c r="AF364" s="187" t="str">
        <f t="shared" si="23"/>
        <v/>
      </c>
      <c r="AG364" s="54" t="b">
        <f t="shared" si="26"/>
        <v>0</v>
      </c>
      <c r="AH364" s="146"/>
      <c r="AI364" s="210" t="s">
        <v>6</v>
      </c>
      <c r="AJ364" s="97" t="str">
        <f t="shared" si="24"/>
        <v>GUARULHOS</v>
      </c>
      <c r="AK364" s="213" t="s">
        <v>39</v>
      </c>
      <c r="AL364" s="53">
        <v>0.44720360510965551</v>
      </c>
      <c r="AM364" s="53" t="str" cm="1">
        <f t="array" ref="AM364">IF(OR(O364&lt;&gt;"", SUMPRODUCT(($AN$2:$AN$5000=AN364)*($AL$2:$AL$5000&lt;=AL364)) &lt;= (COUNTIF($AN$2:$AN$5000,AN364)*0.5)), "SORTEADO", "-")</f>
        <v>-</v>
      </c>
      <c r="AN364" s="230" t="s">
        <v>1032</v>
      </c>
    </row>
    <row r="365" spans="1:40" ht="30" customHeight="1" x14ac:dyDescent="0.2">
      <c r="A365" s="230" t="s">
        <v>197</v>
      </c>
      <c r="B365" s="230">
        <v>2690504108</v>
      </c>
      <c r="C365" s="230" t="s">
        <v>102</v>
      </c>
      <c r="D365" s="230" t="s">
        <v>80</v>
      </c>
      <c r="E365" s="230" t="s">
        <v>198</v>
      </c>
      <c r="F365" s="230" t="s">
        <v>1056</v>
      </c>
      <c r="G365" s="230">
        <v>191</v>
      </c>
      <c r="H365" s="230" t="s">
        <v>1057</v>
      </c>
      <c r="I365" s="230" t="s">
        <v>301</v>
      </c>
      <c r="J365" s="230" t="s">
        <v>259</v>
      </c>
      <c r="K365" s="230" t="s">
        <v>1058</v>
      </c>
      <c r="L365" s="230" t="s">
        <v>1032</v>
      </c>
      <c r="M365" s="230" t="s">
        <v>1059</v>
      </c>
      <c r="N365" s="230" t="s">
        <v>381</v>
      </c>
      <c r="O365" s="158" t="s">
        <v>204</v>
      </c>
      <c r="P365" s="92"/>
      <c r="Q365" s="146" t="s">
        <v>204</v>
      </c>
      <c r="R365" s="92"/>
      <c r="S365" s="146" t="s">
        <v>204</v>
      </c>
      <c r="T365" s="92"/>
      <c r="U365" s="146" t="s">
        <v>204</v>
      </c>
      <c r="V365" s="92"/>
      <c r="W365" s="146" t="s">
        <v>204</v>
      </c>
      <c r="X365" s="92"/>
      <c r="Y365" s="146" t="s">
        <v>61</v>
      </c>
      <c r="Z365" s="92"/>
      <c r="AA365" s="146" t="s">
        <v>204</v>
      </c>
      <c r="AB365" s="92"/>
      <c r="AC365" s="146" t="s">
        <v>204</v>
      </c>
      <c r="AD365" s="92"/>
      <c r="AE365" s="146" t="s">
        <v>204</v>
      </c>
      <c r="AF365" s="187" t="str">
        <f t="shared" si="23"/>
        <v>C</v>
      </c>
      <c r="AG365" s="54" t="str">
        <f t="shared" si="26"/>
        <v>UTILIZOU O PDA CORRETAMENTE</v>
      </c>
      <c r="AH365" s="144" t="s">
        <v>204</v>
      </c>
      <c r="AI365" s="210" t="s">
        <v>6</v>
      </c>
      <c r="AJ365" s="97" t="str">
        <f t="shared" si="24"/>
        <v>GUARULHOS</v>
      </c>
      <c r="AK365" s="213" t="s">
        <v>39</v>
      </c>
      <c r="AL365" s="53">
        <v>0.27735725488944984</v>
      </c>
      <c r="AM365" s="53" t="str" cm="1">
        <f t="array" ref="AM365">IF(OR(O365&lt;&gt;"", SUMPRODUCT(($AN$2:$AN$5000=AN365)*($AL$2:$AL$5000&lt;=AL365)) &lt;= (COUNTIF($AN$2:$AN$5000,AN365)*0.5)), "SORTEADO", "-")</f>
        <v>SORTEADO</v>
      </c>
      <c r="AN365" s="230" t="s">
        <v>1032</v>
      </c>
    </row>
    <row r="366" spans="1:40" ht="30" customHeight="1" x14ac:dyDescent="0.2">
      <c r="A366" s="230" t="s">
        <v>197</v>
      </c>
      <c r="B366" s="230">
        <v>2615309904</v>
      </c>
      <c r="C366" s="230" t="s">
        <v>96</v>
      </c>
      <c r="D366" s="230" t="s">
        <v>76</v>
      </c>
      <c r="E366" s="230" t="s">
        <v>198</v>
      </c>
      <c r="F366" s="230" t="s">
        <v>658</v>
      </c>
      <c r="G366" s="230">
        <v>70</v>
      </c>
      <c r="H366" s="230" t="s">
        <v>1060</v>
      </c>
      <c r="I366" s="230" t="s">
        <v>660</v>
      </c>
      <c r="J366" s="230" t="s">
        <v>96</v>
      </c>
      <c r="K366" s="230" t="s">
        <v>1061</v>
      </c>
      <c r="L366" s="230" t="s">
        <v>1032</v>
      </c>
      <c r="M366" s="230" t="s">
        <v>1062</v>
      </c>
      <c r="N366" s="230" t="s">
        <v>408</v>
      </c>
      <c r="O366" s="158" t="s">
        <v>204</v>
      </c>
      <c r="P366" s="92"/>
      <c r="Q366" s="146" t="s">
        <v>204</v>
      </c>
      <c r="R366" s="92"/>
      <c r="S366" s="146" t="s">
        <v>204</v>
      </c>
      <c r="T366" s="92"/>
      <c r="U366" s="146" t="s">
        <v>204</v>
      </c>
      <c r="V366" s="92"/>
      <c r="W366" s="146" t="s">
        <v>204</v>
      </c>
      <c r="X366" s="92"/>
      <c r="Y366" s="146" t="s">
        <v>204</v>
      </c>
      <c r="Z366" s="92"/>
      <c r="AA366" s="146" t="s">
        <v>204</v>
      </c>
      <c r="AB366" s="92"/>
      <c r="AC366" s="146" t="s">
        <v>204</v>
      </c>
      <c r="AD366" s="92"/>
      <c r="AE366" s="146" t="s">
        <v>204</v>
      </c>
      <c r="AF366" s="187" t="str">
        <f t="shared" si="23"/>
        <v>C</v>
      </c>
      <c r="AG366" s="54" t="str">
        <f t="shared" si="26"/>
        <v>UTILIZOU O PDA CORRETAMENTE</v>
      </c>
      <c r="AH366" s="146" t="s">
        <v>204</v>
      </c>
      <c r="AI366" s="210" t="s">
        <v>6</v>
      </c>
      <c r="AJ366" s="97" t="str">
        <f t="shared" si="24"/>
        <v>GUARULHOS</v>
      </c>
      <c r="AK366" s="213" t="s">
        <v>39</v>
      </c>
      <c r="AL366" s="53">
        <v>0.27458261275387374</v>
      </c>
      <c r="AM366" s="53" t="str" cm="1">
        <f t="array" ref="AM366">IF(OR(O366&lt;&gt;"", SUMPRODUCT(($AN$2:$AN$5000=AN366)*($AL$2:$AL$5000&lt;=AL366)) &lt;= (COUNTIF($AN$2:$AN$5000,AN366)*0.5)), "SORTEADO", "-")</f>
        <v>SORTEADO</v>
      </c>
      <c r="AN366" s="230" t="s">
        <v>1032</v>
      </c>
    </row>
    <row r="367" spans="1:40" ht="30" hidden="1" customHeight="1" x14ac:dyDescent="0.2">
      <c r="A367" s="230" t="s">
        <v>197</v>
      </c>
      <c r="B367" s="230">
        <v>2615309869</v>
      </c>
      <c r="C367" s="230" t="s">
        <v>94</v>
      </c>
      <c r="D367" s="230" t="s">
        <v>76</v>
      </c>
      <c r="E367" s="230" t="s">
        <v>198</v>
      </c>
      <c r="F367" s="230" t="s">
        <v>658</v>
      </c>
      <c r="G367" s="230">
        <v>70</v>
      </c>
      <c r="H367" s="230" t="s">
        <v>1063</v>
      </c>
      <c r="I367" s="230" t="s">
        <v>660</v>
      </c>
      <c r="J367" s="230" t="s">
        <v>94</v>
      </c>
      <c r="K367" s="230" t="s">
        <v>213</v>
      </c>
      <c r="L367" s="230" t="s">
        <v>1032</v>
      </c>
      <c r="M367" s="230" t="s">
        <v>1064</v>
      </c>
      <c r="N367" s="230" t="s">
        <v>408</v>
      </c>
      <c r="O367" s="158"/>
      <c r="P367" s="92"/>
      <c r="Q367" s="146"/>
      <c r="R367" s="92"/>
      <c r="S367" s="146"/>
      <c r="T367" s="92"/>
      <c r="U367" s="146"/>
      <c r="V367" s="92"/>
      <c r="W367" s="146"/>
      <c r="X367" s="92"/>
      <c r="Y367" s="146"/>
      <c r="Z367" s="92"/>
      <c r="AA367" s="146"/>
      <c r="AB367" s="92"/>
      <c r="AC367" s="146"/>
      <c r="AD367" s="92"/>
      <c r="AE367" s="146"/>
      <c r="AF367" s="187" t="str">
        <f t="shared" si="23"/>
        <v/>
      </c>
      <c r="AG367" s="54" t="b">
        <f t="shared" si="26"/>
        <v>0</v>
      </c>
      <c r="AH367" s="146"/>
      <c r="AI367" s="210" t="s">
        <v>6</v>
      </c>
      <c r="AJ367" s="97" t="str">
        <f t="shared" si="24"/>
        <v>GUARULHOS</v>
      </c>
      <c r="AK367" s="213" t="s">
        <v>39</v>
      </c>
      <c r="AL367" s="53">
        <v>0.95846347651243213</v>
      </c>
      <c r="AM367" s="53" t="str" cm="1">
        <f t="array" ref="AM367">IF(OR(O367&lt;&gt;"", SUMPRODUCT(($AN$2:$AN$5000=AN367)*($AL$2:$AL$5000&lt;=AL367)) &lt;= (COUNTIF($AN$2:$AN$5000,AN367)*0.5)), "SORTEADO", "-")</f>
        <v>-</v>
      </c>
      <c r="AN367" s="230" t="s">
        <v>1032</v>
      </c>
    </row>
    <row r="368" spans="1:40" ht="30" customHeight="1" x14ac:dyDescent="0.2">
      <c r="A368" s="230" t="s">
        <v>197</v>
      </c>
      <c r="B368" s="230">
        <v>2615250858</v>
      </c>
      <c r="C368" s="230" t="s">
        <v>93</v>
      </c>
      <c r="D368" s="230" t="s">
        <v>76</v>
      </c>
      <c r="E368" s="230" t="s">
        <v>198</v>
      </c>
      <c r="F368" s="230" t="s">
        <v>1065</v>
      </c>
      <c r="G368" s="230">
        <v>1824</v>
      </c>
      <c r="H368" s="230" t="s">
        <v>206</v>
      </c>
      <c r="I368" s="230" t="s">
        <v>269</v>
      </c>
      <c r="J368" s="230" t="s">
        <v>93</v>
      </c>
      <c r="K368" s="230" t="s">
        <v>1066</v>
      </c>
      <c r="L368" s="230" t="s">
        <v>1032</v>
      </c>
      <c r="M368" s="230" t="s">
        <v>1067</v>
      </c>
      <c r="N368" s="230" t="s">
        <v>408</v>
      </c>
      <c r="O368" s="158" t="s">
        <v>204</v>
      </c>
      <c r="P368" s="92"/>
      <c r="Q368" s="146" t="s">
        <v>61</v>
      </c>
      <c r="R368" s="92"/>
      <c r="S368" s="146" t="s">
        <v>61</v>
      </c>
      <c r="T368" s="92"/>
      <c r="U368" s="146" t="s">
        <v>61</v>
      </c>
      <c r="V368" s="92"/>
      <c r="W368" s="146" t="s">
        <v>61</v>
      </c>
      <c r="X368" s="92"/>
      <c r="Y368" s="146" t="s">
        <v>61</v>
      </c>
      <c r="Z368" s="92"/>
      <c r="AA368" s="146" t="s">
        <v>204</v>
      </c>
      <c r="AB368" s="92"/>
      <c r="AC368" s="146" t="s">
        <v>204</v>
      </c>
      <c r="AD368" s="92"/>
      <c r="AE368" s="146" t="s">
        <v>204</v>
      </c>
      <c r="AF368" s="187" t="str">
        <f t="shared" si="23"/>
        <v>C</v>
      </c>
      <c r="AG368" s="54" t="str">
        <f t="shared" si="26"/>
        <v>UTILIZOU O PDA CORRETAMENTE</v>
      </c>
      <c r="AH368" s="146" t="s">
        <v>204</v>
      </c>
      <c r="AI368" s="210" t="s">
        <v>6</v>
      </c>
      <c r="AJ368" s="97" t="str">
        <f t="shared" si="24"/>
        <v>GUARULHOS</v>
      </c>
      <c r="AK368" s="213" t="s">
        <v>39</v>
      </c>
      <c r="AL368" s="53">
        <v>6.2746475582564853E-2</v>
      </c>
      <c r="AM368" s="53" t="str" cm="1">
        <f t="array" ref="AM368">IF(OR(O368&lt;&gt;"", SUMPRODUCT(($AN$2:$AN$5000=AN368)*($AL$2:$AL$5000&lt;=AL368)) &lt;= (COUNTIF($AN$2:$AN$5000,AN368)*0.5)), "SORTEADO", "-")</f>
        <v>SORTEADO</v>
      </c>
      <c r="AN368" s="230" t="s">
        <v>1032</v>
      </c>
    </row>
    <row r="369" spans="1:40" ht="30" hidden="1" customHeight="1" x14ac:dyDescent="0.2">
      <c r="A369" s="230" t="s">
        <v>197</v>
      </c>
      <c r="B369" s="230">
        <v>2615250860</v>
      </c>
      <c r="C369" s="230" t="s">
        <v>95</v>
      </c>
      <c r="D369" s="230" t="s">
        <v>76</v>
      </c>
      <c r="E369" s="230" t="s">
        <v>198</v>
      </c>
      <c r="F369" s="230" t="s">
        <v>1065</v>
      </c>
      <c r="G369" s="230">
        <v>1824</v>
      </c>
      <c r="H369" s="230" t="s">
        <v>211</v>
      </c>
      <c r="I369" s="230" t="s">
        <v>269</v>
      </c>
      <c r="J369" s="230" t="s">
        <v>95</v>
      </c>
      <c r="K369" s="230" t="s">
        <v>1068</v>
      </c>
      <c r="L369" s="230" t="s">
        <v>1032</v>
      </c>
      <c r="M369" s="230" t="s">
        <v>1069</v>
      </c>
      <c r="N369" s="230" t="s">
        <v>408</v>
      </c>
      <c r="O369" s="158"/>
      <c r="P369" s="92"/>
      <c r="Q369" s="146"/>
      <c r="R369" s="92"/>
      <c r="S369" s="146"/>
      <c r="T369" s="92"/>
      <c r="U369" s="146"/>
      <c r="V369" s="92"/>
      <c r="W369" s="146"/>
      <c r="X369" s="92"/>
      <c r="Y369" s="146"/>
      <c r="Z369" s="92"/>
      <c r="AA369" s="146"/>
      <c r="AB369" s="92"/>
      <c r="AC369" s="146"/>
      <c r="AD369" s="92"/>
      <c r="AE369" s="146"/>
      <c r="AF369" s="187" t="str">
        <f t="shared" si="23"/>
        <v/>
      </c>
      <c r="AG369" s="54" t="b">
        <f t="shared" si="26"/>
        <v>0</v>
      </c>
      <c r="AH369" s="146"/>
      <c r="AI369" s="210" t="s">
        <v>6</v>
      </c>
      <c r="AJ369" s="97" t="str">
        <f t="shared" si="24"/>
        <v>GUARULHOS</v>
      </c>
      <c r="AK369" s="213" t="s">
        <v>39</v>
      </c>
      <c r="AL369" s="53">
        <v>0.77177420225927884</v>
      </c>
      <c r="AM369" s="53" t="str" cm="1">
        <f t="array" ref="AM369">IF(OR(O369&lt;&gt;"", SUMPRODUCT(($AN$2:$AN$5000=AN369)*($AL$2:$AL$5000&lt;=AL369)) &lt;= (COUNTIF($AN$2:$AN$5000,AN369)*0.5)), "SORTEADO", "-")</f>
        <v>-</v>
      </c>
      <c r="AN369" s="230" t="s">
        <v>1032</v>
      </c>
    </row>
    <row r="370" spans="1:40" ht="30" hidden="1" customHeight="1" x14ac:dyDescent="0.2">
      <c r="A370" s="230" t="s">
        <v>197</v>
      </c>
      <c r="B370" s="230">
        <v>2615320653</v>
      </c>
      <c r="C370" s="230" t="s">
        <v>93</v>
      </c>
      <c r="D370" s="230" t="s">
        <v>76</v>
      </c>
      <c r="E370" s="230" t="s">
        <v>198</v>
      </c>
      <c r="F370" s="230" t="s">
        <v>1070</v>
      </c>
      <c r="G370" s="230">
        <v>102</v>
      </c>
      <c r="H370" s="230" t="s">
        <v>1071</v>
      </c>
      <c r="I370" s="230" t="s">
        <v>425</v>
      </c>
      <c r="J370" s="230" t="s">
        <v>93</v>
      </c>
      <c r="K370" s="230" t="s">
        <v>1072</v>
      </c>
      <c r="L370" s="230" t="s">
        <v>1032</v>
      </c>
      <c r="M370" s="230" t="s">
        <v>1073</v>
      </c>
      <c r="N370" s="230" t="s">
        <v>408</v>
      </c>
      <c r="O370" s="158"/>
      <c r="P370" s="92"/>
      <c r="Q370" s="146"/>
      <c r="R370" s="92"/>
      <c r="S370" s="146"/>
      <c r="T370" s="92"/>
      <c r="U370" s="146"/>
      <c r="V370" s="92"/>
      <c r="W370" s="146"/>
      <c r="X370" s="92"/>
      <c r="Y370" s="146"/>
      <c r="Z370" s="92"/>
      <c r="AA370" s="146"/>
      <c r="AB370" s="92"/>
      <c r="AC370" s="146"/>
      <c r="AD370" s="92"/>
      <c r="AE370" s="146"/>
      <c r="AF370" s="187" t="str">
        <f t="shared" si="23"/>
        <v/>
      </c>
      <c r="AG370" s="54" t="b">
        <f t="shared" si="26"/>
        <v>0</v>
      </c>
      <c r="AH370" s="146"/>
      <c r="AI370" s="210" t="s">
        <v>6</v>
      </c>
      <c r="AJ370" s="97" t="str">
        <f t="shared" si="24"/>
        <v>GUARULHOS</v>
      </c>
      <c r="AK370" s="213" t="s">
        <v>39</v>
      </c>
      <c r="AL370" s="53">
        <v>0.71042117846074482</v>
      </c>
      <c r="AM370" s="53" t="str" cm="1">
        <f t="array" ref="AM370">IF(OR(O370&lt;&gt;"", SUMPRODUCT(($AN$2:$AN$5000=AN370)*($AL$2:$AL$5000&lt;=AL370)) &lt;= (COUNTIF($AN$2:$AN$5000,AN370)*0.5)), "SORTEADO", "-")</f>
        <v>-</v>
      </c>
      <c r="AN370" s="230" t="s">
        <v>1032</v>
      </c>
    </row>
    <row r="371" spans="1:40" ht="30" hidden="1" customHeight="1" x14ac:dyDescent="0.2">
      <c r="A371" s="230" t="s">
        <v>197</v>
      </c>
      <c r="B371" s="230">
        <v>2615320655</v>
      </c>
      <c r="C371" s="230" t="s">
        <v>95</v>
      </c>
      <c r="D371" s="230" t="s">
        <v>76</v>
      </c>
      <c r="E371" s="230" t="s">
        <v>198</v>
      </c>
      <c r="F371" s="230" t="s">
        <v>1070</v>
      </c>
      <c r="G371" s="230">
        <v>102</v>
      </c>
      <c r="H371" s="230" t="s">
        <v>1074</v>
      </c>
      <c r="I371" s="230" t="s">
        <v>425</v>
      </c>
      <c r="J371" s="230" t="s">
        <v>95</v>
      </c>
      <c r="K371" s="230" t="s">
        <v>1075</v>
      </c>
      <c r="L371" s="230" t="s">
        <v>1032</v>
      </c>
      <c r="M371" s="230" t="s">
        <v>1076</v>
      </c>
      <c r="N371" s="230" t="s">
        <v>408</v>
      </c>
      <c r="O371" s="158"/>
      <c r="P371" s="92"/>
      <c r="Q371" s="146"/>
      <c r="R371" s="92"/>
      <c r="S371" s="146"/>
      <c r="T371" s="92"/>
      <c r="U371" s="146"/>
      <c r="V371" s="92"/>
      <c r="W371" s="146"/>
      <c r="X371" s="92"/>
      <c r="Y371" s="146"/>
      <c r="Z371" s="92"/>
      <c r="AA371" s="146"/>
      <c r="AB371" s="92"/>
      <c r="AC371" s="146"/>
      <c r="AD371" s="92"/>
      <c r="AE371" s="146"/>
      <c r="AF371" s="187" t="str">
        <f t="shared" si="23"/>
        <v/>
      </c>
      <c r="AG371" s="54" t="b">
        <f t="shared" si="26"/>
        <v>0</v>
      </c>
      <c r="AH371" s="146"/>
      <c r="AI371" s="210" t="s">
        <v>6</v>
      </c>
      <c r="AJ371" s="97" t="str">
        <f t="shared" si="24"/>
        <v>GUARULHOS</v>
      </c>
      <c r="AK371" s="213" t="s">
        <v>39</v>
      </c>
      <c r="AL371" s="53">
        <v>0.76496008490532497</v>
      </c>
      <c r="AM371" s="53" t="str" cm="1">
        <f t="array" ref="AM371">IF(OR(O371&lt;&gt;"", SUMPRODUCT(($AN$2:$AN$5000=AN371)*($AL$2:$AL$5000&lt;=AL371)) &lt;= (COUNTIF($AN$2:$AN$5000,AN371)*0.5)), "SORTEADO", "-")</f>
        <v>-</v>
      </c>
      <c r="AN371" s="230" t="s">
        <v>1032</v>
      </c>
    </row>
    <row r="372" spans="1:40" ht="30" hidden="1" customHeight="1" x14ac:dyDescent="0.2">
      <c r="A372" s="230" t="s">
        <v>197</v>
      </c>
      <c r="B372" s="230">
        <v>2615274505</v>
      </c>
      <c r="C372" s="230" t="s">
        <v>85</v>
      </c>
      <c r="D372" s="230" t="s">
        <v>76</v>
      </c>
      <c r="E372" s="230" t="s">
        <v>198</v>
      </c>
      <c r="F372" s="230" t="s">
        <v>1077</v>
      </c>
      <c r="G372" s="230">
        <v>31</v>
      </c>
      <c r="H372" s="230" t="s">
        <v>362</v>
      </c>
      <c r="I372" s="230" t="s">
        <v>1078</v>
      </c>
      <c r="J372" s="230" t="s">
        <v>85</v>
      </c>
      <c r="K372" s="230" t="s">
        <v>681</v>
      </c>
      <c r="L372" s="230" t="s">
        <v>1032</v>
      </c>
      <c r="M372" s="230" t="s">
        <v>1079</v>
      </c>
      <c r="N372" s="230" t="s">
        <v>209</v>
      </c>
      <c r="O372" s="158"/>
      <c r="P372" s="92"/>
      <c r="Q372" s="146"/>
      <c r="R372" s="92"/>
      <c r="S372" s="146"/>
      <c r="T372" s="92"/>
      <c r="U372" s="146"/>
      <c r="V372" s="92"/>
      <c r="W372" s="146"/>
      <c r="X372" s="92"/>
      <c r="Y372" s="146"/>
      <c r="Z372" s="92"/>
      <c r="AA372" s="146"/>
      <c r="AB372" s="92"/>
      <c r="AC372" s="146"/>
      <c r="AD372" s="92"/>
      <c r="AE372" s="146"/>
      <c r="AF372" s="187" t="str">
        <f t="shared" si="23"/>
        <v/>
      </c>
      <c r="AG372" s="54" t="b">
        <f t="shared" si="26"/>
        <v>0</v>
      </c>
      <c r="AH372" s="146"/>
      <c r="AI372" s="210" t="s">
        <v>6</v>
      </c>
      <c r="AJ372" s="97" t="str">
        <f t="shared" si="24"/>
        <v>GUARULHOS</v>
      </c>
      <c r="AK372" s="213" t="s">
        <v>39</v>
      </c>
      <c r="AL372" s="53">
        <v>0.38616292887352277</v>
      </c>
      <c r="AM372" s="53" t="str" cm="1">
        <f t="array" ref="AM372">IF(OR(O372&lt;&gt;"", SUMPRODUCT(($AN$2:$AN$5000=AN372)*($AL$2:$AL$5000&lt;=AL372)) &lt;= (COUNTIF($AN$2:$AN$5000,AN372)*0.5)), "SORTEADO", "-")</f>
        <v>-</v>
      </c>
      <c r="AN372" s="230" t="s">
        <v>1032</v>
      </c>
    </row>
    <row r="373" spans="1:40" ht="30" hidden="1" customHeight="1" x14ac:dyDescent="0.2">
      <c r="A373" s="230" t="s">
        <v>197</v>
      </c>
      <c r="B373" s="230">
        <v>2690498649</v>
      </c>
      <c r="C373" s="230" t="s">
        <v>102</v>
      </c>
      <c r="D373" s="230" t="s">
        <v>80</v>
      </c>
      <c r="E373" s="230" t="s">
        <v>198</v>
      </c>
      <c r="F373" s="230" t="s">
        <v>1080</v>
      </c>
      <c r="G373" s="230">
        <v>71</v>
      </c>
      <c r="H373" s="230" t="s">
        <v>1081</v>
      </c>
      <c r="I373" s="230" t="s">
        <v>1082</v>
      </c>
      <c r="J373" s="230" t="s">
        <v>270</v>
      </c>
      <c r="K373" s="230" t="s">
        <v>532</v>
      </c>
      <c r="L373" s="230" t="s">
        <v>1032</v>
      </c>
      <c r="M373" s="230" t="s">
        <v>1083</v>
      </c>
      <c r="N373" s="230" t="s">
        <v>432</v>
      </c>
      <c r="O373" s="158"/>
      <c r="P373" s="92"/>
      <c r="Q373" s="146"/>
      <c r="R373" s="92"/>
      <c r="S373" s="146"/>
      <c r="T373" s="92"/>
      <c r="U373" s="146"/>
      <c r="V373" s="92"/>
      <c r="W373" s="146"/>
      <c r="X373" s="92"/>
      <c r="Y373" s="146"/>
      <c r="Z373" s="92"/>
      <c r="AA373" s="146"/>
      <c r="AB373" s="92"/>
      <c r="AC373" s="146"/>
      <c r="AD373" s="92"/>
      <c r="AE373" s="146"/>
      <c r="AF373" s="187" t="str">
        <f t="shared" si="23"/>
        <v/>
      </c>
      <c r="AG373" s="54" t="b">
        <f t="shared" si="26"/>
        <v>0</v>
      </c>
      <c r="AH373" s="146"/>
      <c r="AI373" s="210" t="s">
        <v>6</v>
      </c>
      <c r="AJ373" s="97" t="str">
        <f t="shared" si="24"/>
        <v>GUARULHOS</v>
      </c>
      <c r="AK373" s="213" t="s">
        <v>39</v>
      </c>
      <c r="AL373" s="53">
        <v>0.29963580834129933</v>
      </c>
      <c r="AM373" s="53" t="str" cm="1">
        <f t="array" ref="AM373">IF(OR(O373&lt;&gt;"", SUMPRODUCT(($AN$2:$AN$5000=AN373)*($AL$2:$AL$5000&lt;=AL373)) &lt;= (COUNTIF($AN$2:$AN$5000,AN373)*0.5)), "SORTEADO", "-")</f>
        <v>-</v>
      </c>
      <c r="AN373" s="230" t="s">
        <v>1032</v>
      </c>
    </row>
    <row r="374" spans="1:40" ht="30" hidden="1" customHeight="1" x14ac:dyDescent="0.2">
      <c r="A374" s="230" t="s">
        <v>197</v>
      </c>
      <c r="B374" s="230">
        <v>2690537515</v>
      </c>
      <c r="C374" s="230" t="s">
        <v>106</v>
      </c>
      <c r="D374" s="230" t="s">
        <v>80</v>
      </c>
      <c r="E374" s="230" t="s">
        <v>198</v>
      </c>
      <c r="F374" s="230" t="s">
        <v>672</v>
      </c>
      <c r="G374" s="230">
        <v>81</v>
      </c>
      <c r="H374" s="230" t="s">
        <v>211</v>
      </c>
      <c r="I374" s="230" t="s">
        <v>509</v>
      </c>
      <c r="J374" s="230" t="s">
        <v>270</v>
      </c>
      <c r="K374" s="230"/>
      <c r="L374" s="230" t="s">
        <v>1032</v>
      </c>
      <c r="M374" s="230" t="s">
        <v>1084</v>
      </c>
      <c r="N374" s="230" t="s">
        <v>271</v>
      </c>
      <c r="O374" s="158"/>
      <c r="P374" s="92"/>
      <c r="Q374" s="146"/>
      <c r="R374" s="92"/>
      <c r="S374" s="146"/>
      <c r="T374" s="92"/>
      <c r="U374" s="146"/>
      <c r="V374" s="92"/>
      <c r="W374" s="146"/>
      <c r="X374" s="92"/>
      <c r="Y374" s="146"/>
      <c r="Z374" s="92"/>
      <c r="AA374" s="146"/>
      <c r="AB374" s="92"/>
      <c r="AC374" s="146"/>
      <c r="AD374" s="92"/>
      <c r="AE374" s="146"/>
      <c r="AF374" s="187" t="str">
        <f t="shared" si="23"/>
        <v/>
      </c>
      <c r="AG374" s="54" t="b">
        <f t="shared" si="26"/>
        <v>0</v>
      </c>
      <c r="AH374" s="146"/>
      <c r="AI374" s="210" t="s">
        <v>6</v>
      </c>
      <c r="AJ374" s="97" t="str">
        <f t="shared" si="24"/>
        <v>GUARULHOS</v>
      </c>
      <c r="AK374" s="213" t="s">
        <v>39</v>
      </c>
      <c r="AL374" s="53">
        <v>0.95304141103226137</v>
      </c>
      <c r="AM374" s="53" t="str" cm="1">
        <f t="array" ref="AM374">IF(OR(O374&lt;&gt;"", SUMPRODUCT(($AN$2:$AN$5000=AN374)*($AL$2:$AL$5000&lt;=AL374)) &lt;= (COUNTIF($AN$2:$AN$5000,AN374)*0.5)), "SORTEADO", "-")</f>
        <v>-</v>
      </c>
      <c r="AN374" s="230" t="s">
        <v>1032</v>
      </c>
    </row>
    <row r="375" spans="1:40" ht="30" hidden="1" customHeight="1" x14ac:dyDescent="0.2">
      <c r="A375" s="230" t="s">
        <v>197</v>
      </c>
      <c r="B375" s="230">
        <v>2615307999</v>
      </c>
      <c r="C375" s="230" t="s">
        <v>229</v>
      </c>
      <c r="D375" s="230" t="s">
        <v>76</v>
      </c>
      <c r="E375" s="230" t="s">
        <v>198</v>
      </c>
      <c r="F375" s="230" t="s">
        <v>1085</v>
      </c>
      <c r="G375" s="230">
        <v>11</v>
      </c>
      <c r="H375" s="230" t="s">
        <v>1086</v>
      </c>
      <c r="I375" s="230" t="s">
        <v>253</v>
      </c>
      <c r="J375" s="230" t="s">
        <v>232</v>
      </c>
      <c r="K375" s="230" t="s">
        <v>1087</v>
      </c>
      <c r="L375" s="230" t="s">
        <v>1032</v>
      </c>
      <c r="M375" s="230" t="s">
        <v>1088</v>
      </c>
      <c r="N375" s="230" t="s">
        <v>203</v>
      </c>
      <c r="O375" s="158" t="s">
        <v>61</v>
      </c>
      <c r="P375" s="92"/>
      <c r="Q375" s="146" t="s">
        <v>61</v>
      </c>
      <c r="R375" s="92"/>
      <c r="S375" s="146" t="s">
        <v>61</v>
      </c>
      <c r="T375" s="92"/>
      <c r="U375" s="146" t="s">
        <v>61</v>
      </c>
      <c r="V375" s="92"/>
      <c r="W375" s="146" t="s">
        <v>61</v>
      </c>
      <c r="X375" s="92"/>
      <c r="Y375" s="146" t="s">
        <v>61</v>
      </c>
      <c r="Z375" s="92"/>
      <c r="AA375" s="146" t="s">
        <v>61</v>
      </c>
      <c r="AB375" s="92"/>
      <c r="AC375" s="146" t="s">
        <v>61</v>
      </c>
      <c r="AD375" s="92"/>
      <c r="AE375" s="146" t="s">
        <v>61</v>
      </c>
      <c r="AF375" s="187" t="str">
        <f t="shared" si="23"/>
        <v>NA</v>
      </c>
      <c r="AG375" s="54" t="str">
        <f t="shared" si="26"/>
        <v>NÃO AVALIADO POR FALHA DE SINCRONISMO</v>
      </c>
      <c r="AH375" s="146" t="s">
        <v>204</v>
      </c>
      <c r="AI375" s="210" t="s">
        <v>6</v>
      </c>
      <c r="AJ375" s="97" t="str">
        <f t="shared" si="24"/>
        <v>GUARULHOS</v>
      </c>
      <c r="AK375" s="213" t="s">
        <v>39</v>
      </c>
      <c r="AL375" s="53">
        <v>-7.4800000000000005E-2</v>
      </c>
      <c r="AM375" s="53" t="str" cm="1">
        <f t="array" ref="AM375">IF(OR(O375&lt;&gt;"", SUMPRODUCT(($AN$2:$AN$5000=AN375)*($AL$2:$AL$5000&lt;=AL375)) &lt;= (COUNTIF($AN$2:$AN$5000,AN375)*0.5)), "SORTEADO", "-")</f>
        <v>SORTEADO</v>
      </c>
      <c r="AN375" s="230" t="s">
        <v>1032</v>
      </c>
    </row>
    <row r="376" spans="1:40" ht="30" hidden="1" customHeight="1" x14ac:dyDescent="0.2">
      <c r="A376" s="230" t="s">
        <v>197</v>
      </c>
      <c r="B376" s="230">
        <v>2615308000</v>
      </c>
      <c r="C376" s="230" t="s">
        <v>229</v>
      </c>
      <c r="D376" s="230" t="s">
        <v>76</v>
      </c>
      <c r="E376" s="230" t="s">
        <v>198</v>
      </c>
      <c r="F376" s="230" t="s">
        <v>1085</v>
      </c>
      <c r="G376" s="230">
        <v>11</v>
      </c>
      <c r="H376" s="230" t="s">
        <v>1089</v>
      </c>
      <c r="I376" s="230" t="s">
        <v>253</v>
      </c>
      <c r="J376" s="230" t="s">
        <v>232</v>
      </c>
      <c r="K376" s="230"/>
      <c r="L376" s="230" t="s">
        <v>1032</v>
      </c>
      <c r="M376" s="230" t="s">
        <v>1090</v>
      </c>
      <c r="N376" s="230" t="s">
        <v>203</v>
      </c>
      <c r="O376" s="158" t="s">
        <v>61</v>
      </c>
      <c r="P376" s="92"/>
      <c r="Q376" s="146" t="s">
        <v>61</v>
      </c>
      <c r="R376" s="92"/>
      <c r="S376" s="146" t="s">
        <v>61</v>
      </c>
      <c r="T376" s="92"/>
      <c r="U376" s="146" t="s">
        <v>61</v>
      </c>
      <c r="V376" s="92"/>
      <c r="W376" s="146" t="s">
        <v>61</v>
      </c>
      <c r="X376" s="92"/>
      <c r="Y376" s="146" t="s">
        <v>61</v>
      </c>
      <c r="Z376" s="92"/>
      <c r="AA376" s="146" t="s">
        <v>61</v>
      </c>
      <c r="AB376" s="92"/>
      <c r="AC376" s="146" t="s">
        <v>61</v>
      </c>
      <c r="AD376" s="92"/>
      <c r="AE376" s="146" t="s">
        <v>61</v>
      </c>
      <c r="AF376" s="187" t="str">
        <f t="shared" si="23"/>
        <v>NA</v>
      </c>
      <c r="AG376" s="54" t="str">
        <f t="shared" si="26"/>
        <v>NÃO AVALIADO POR FALHA DE SINCRONISMO</v>
      </c>
      <c r="AH376" s="146" t="s">
        <v>204</v>
      </c>
      <c r="AI376" s="210" t="s">
        <v>6</v>
      </c>
      <c r="AJ376" s="97" t="str">
        <f t="shared" si="24"/>
        <v>GUARULHOS</v>
      </c>
      <c r="AK376" s="213" t="s">
        <v>39</v>
      </c>
      <c r="AL376" s="53">
        <v>-7.4999999999999997E-2</v>
      </c>
      <c r="AM376" s="53" t="str" cm="1">
        <f t="array" ref="AM376">IF(OR(O376&lt;&gt;"", SUMPRODUCT(($AN$2:$AN$5000=AN376)*($AL$2:$AL$5000&lt;=AL376)) &lt;= (COUNTIF($AN$2:$AN$5000,AN376)*0.5)), "SORTEADO", "-")</f>
        <v>SORTEADO</v>
      </c>
      <c r="AN376" s="230" t="s">
        <v>1032</v>
      </c>
    </row>
    <row r="377" spans="1:40" ht="30" hidden="1" customHeight="1" x14ac:dyDescent="0.2">
      <c r="A377" s="230" t="s">
        <v>197</v>
      </c>
      <c r="B377" s="230">
        <v>2615421359</v>
      </c>
      <c r="C377" s="230" t="s">
        <v>104</v>
      </c>
      <c r="D377" s="230" t="s">
        <v>80</v>
      </c>
      <c r="E377" s="230" t="s">
        <v>198</v>
      </c>
      <c r="F377" s="230" t="s">
        <v>1091</v>
      </c>
      <c r="G377" s="230">
        <v>251</v>
      </c>
      <c r="H377" s="230" t="s">
        <v>213</v>
      </c>
      <c r="I377" s="230" t="s">
        <v>531</v>
      </c>
      <c r="J377" s="230" t="s">
        <v>226</v>
      </c>
      <c r="K377" s="230" t="s">
        <v>213</v>
      </c>
      <c r="L377" s="230" t="s">
        <v>1032</v>
      </c>
      <c r="M377" s="230" t="s">
        <v>1092</v>
      </c>
      <c r="N377" s="230" t="s">
        <v>260</v>
      </c>
      <c r="O377" s="158"/>
      <c r="P377" s="92"/>
      <c r="Q377" s="146"/>
      <c r="R377" s="92"/>
      <c r="S377" s="146"/>
      <c r="T377" s="92"/>
      <c r="U377" s="146"/>
      <c r="V377" s="92"/>
      <c r="W377" s="146"/>
      <c r="X377" s="92"/>
      <c r="Y377" s="146"/>
      <c r="Z377" s="92"/>
      <c r="AA377" s="146"/>
      <c r="AB377" s="92"/>
      <c r="AC377" s="146"/>
      <c r="AD377" s="92"/>
      <c r="AE377" s="146"/>
      <c r="AF377" s="187" t="str">
        <f t="shared" si="23"/>
        <v/>
      </c>
      <c r="AG377" s="54" t="b">
        <f t="shared" si="26"/>
        <v>0</v>
      </c>
      <c r="AH377" s="146"/>
      <c r="AI377" s="210" t="s">
        <v>6</v>
      </c>
      <c r="AJ377" s="97" t="str">
        <f t="shared" si="24"/>
        <v>GUARULHOS</v>
      </c>
      <c r="AK377" s="213" t="s">
        <v>39</v>
      </c>
      <c r="AL377" s="53">
        <v>0.57238232513390008</v>
      </c>
      <c r="AM377" s="53" t="str" cm="1">
        <f t="array" ref="AM377">IF(OR(O377&lt;&gt;"", SUMPRODUCT(($AN$2:$AN$5000=AN377)*($AL$2:$AL$5000&lt;=AL377)) &lt;= (COUNTIF($AN$2:$AN$5000,AN377)*0.5)), "SORTEADO", "-")</f>
        <v>-</v>
      </c>
      <c r="AN377" s="230" t="s">
        <v>1032</v>
      </c>
    </row>
    <row r="378" spans="1:40" ht="30" hidden="1" customHeight="1" x14ac:dyDescent="0.2">
      <c r="A378" s="230" t="s">
        <v>197</v>
      </c>
      <c r="B378" s="230">
        <v>2615603407</v>
      </c>
      <c r="C378" s="230" t="s">
        <v>100</v>
      </c>
      <c r="D378" s="230" t="s">
        <v>78</v>
      </c>
      <c r="E378" s="230" t="s">
        <v>198</v>
      </c>
      <c r="F378" s="230" t="s">
        <v>1093</v>
      </c>
      <c r="G378" s="230">
        <v>151</v>
      </c>
      <c r="H378" s="230" t="s">
        <v>206</v>
      </c>
      <c r="I378" s="230" t="s">
        <v>643</v>
      </c>
      <c r="J378" s="230" t="s">
        <v>248</v>
      </c>
      <c r="K378" s="230"/>
      <c r="L378" s="230" t="s">
        <v>1032</v>
      </c>
      <c r="M378" s="230" t="s">
        <v>1094</v>
      </c>
      <c r="N378" s="230" t="s">
        <v>209</v>
      </c>
      <c r="O378" s="158"/>
      <c r="P378" s="92"/>
      <c r="Q378" s="146"/>
      <c r="R378" s="92"/>
      <c r="S378" s="146"/>
      <c r="T378" s="92"/>
      <c r="U378" s="146"/>
      <c r="V378" s="92"/>
      <c r="W378" s="146"/>
      <c r="X378" s="92"/>
      <c r="Y378" s="146"/>
      <c r="Z378" s="92"/>
      <c r="AA378" s="146"/>
      <c r="AB378" s="92"/>
      <c r="AC378" s="146"/>
      <c r="AD378" s="92"/>
      <c r="AE378" s="146"/>
      <c r="AF378" s="187" t="str">
        <f t="shared" si="23"/>
        <v/>
      </c>
      <c r="AG378" s="54" t="b">
        <f t="shared" si="26"/>
        <v>0</v>
      </c>
      <c r="AH378" s="146"/>
      <c r="AI378" s="210" t="s">
        <v>6</v>
      </c>
      <c r="AJ378" s="97" t="str">
        <f t="shared" si="24"/>
        <v>GUARULHOS</v>
      </c>
      <c r="AK378" s="213" t="s">
        <v>39</v>
      </c>
      <c r="AL378" s="53">
        <v>0.3138335983825149</v>
      </c>
      <c r="AM378" s="53" t="str" cm="1">
        <f t="array" ref="AM378">IF(OR(O378&lt;&gt;"", SUMPRODUCT(($AN$2:$AN$5000=AN378)*($AL$2:$AL$5000&lt;=AL378)) &lt;= (COUNTIF($AN$2:$AN$5000,AN378)*0.5)), "SORTEADO", "-")</f>
        <v>-</v>
      </c>
      <c r="AN378" s="230" t="s">
        <v>1032</v>
      </c>
    </row>
    <row r="379" spans="1:40" ht="30" hidden="1" customHeight="1" x14ac:dyDescent="0.2">
      <c r="A379" s="230" t="s">
        <v>197</v>
      </c>
      <c r="B379" s="230">
        <v>2690504235</v>
      </c>
      <c r="C379" s="230" t="s">
        <v>106</v>
      </c>
      <c r="D379" s="230" t="s">
        <v>80</v>
      </c>
      <c r="E379" s="230" t="s">
        <v>198</v>
      </c>
      <c r="F379" s="230" t="s">
        <v>940</v>
      </c>
      <c r="G379" s="230">
        <v>1073</v>
      </c>
      <c r="H379" s="230" t="s">
        <v>213</v>
      </c>
      <c r="I379" s="230" t="s">
        <v>893</v>
      </c>
      <c r="J379" s="230" t="s">
        <v>259</v>
      </c>
      <c r="K379" s="230" t="s">
        <v>213</v>
      </c>
      <c r="L379" s="230" t="s">
        <v>1032</v>
      </c>
      <c r="M379" s="230" t="s">
        <v>1095</v>
      </c>
      <c r="N379" s="230" t="s">
        <v>287</v>
      </c>
      <c r="O379" s="158"/>
      <c r="P379" s="92"/>
      <c r="Q379" s="146"/>
      <c r="R379" s="92"/>
      <c r="S379" s="146"/>
      <c r="T379" s="92"/>
      <c r="U379" s="146"/>
      <c r="V379" s="92"/>
      <c r="W379" s="146"/>
      <c r="X379" s="92"/>
      <c r="Y379" s="146"/>
      <c r="Z379" s="92"/>
      <c r="AA379" s="146"/>
      <c r="AB379" s="92"/>
      <c r="AC379" s="146"/>
      <c r="AD379" s="92"/>
      <c r="AE379" s="146"/>
      <c r="AF379" s="187" t="str">
        <f t="shared" si="23"/>
        <v/>
      </c>
      <c r="AG379" s="54" t="b">
        <f t="shared" si="26"/>
        <v>0</v>
      </c>
      <c r="AH379" s="146"/>
      <c r="AI379" s="210" t="s">
        <v>6</v>
      </c>
      <c r="AJ379" s="97" t="str">
        <f t="shared" si="24"/>
        <v>GUARULHOS</v>
      </c>
      <c r="AK379" s="213" t="s">
        <v>39</v>
      </c>
      <c r="AL379" s="53">
        <v>0.78230546182754201</v>
      </c>
      <c r="AM379" s="53" t="str" cm="1">
        <f t="array" ref="AM379">IF(OR(O379&lt;&gt;"", SUMPRODUCT(($AN$2:$AN$5000=AN379)*($AL$2:$AL$5000&lt;=AL379)) &lt;= (COUNTIF($AN$2:$AN$5000,AN379)*0.5)), "SORTEADO", "-")</f>
        <v>-</v>
      </c>
      <c r="AN379" s="230" t="s">
        <v>1032</v>
      </c>
    </row>
    <row r="380" spans="1:40" ht="30" customHeight="1" x14ac:dyDescent="0.2">
      <c r="A380" s="230" t="s">
        <v>197</v>
      </c>
      <c r="B380" s="230">
        <v>2615682432</v>
      </c>
      <c r="C380" s="230" t="s">
        <v>85</v>
      </c>
      <c r="D380" s="230" t="s">
        <v>76</v>
      </c>
      <c r="E380" s="230" t="s">
        <v>198</v>
      </c>
      <c r="F380" s="230" t="s">
        <v>1096</v>
      </c>
      <c r="G380" s="230">
        <v>106</v>
      </c>
      <c r="H380" s="230"/>
      <c r="I380" s="230" t="s">
        <v>1097</v>
      </c>
      <c r="J380" s="230" t="s">
        <v>85</v>
      </c>
      <c r="K380" s="230"/>
      <c r="L380" s="230" t="s">
        <v>1032</v>
      </c>
      <c r="M380" s="230" t="s">
        <v>1098</v>
      </c>
      <c r="N380" s="230" t="s">
        <v>1099</v>
      </c>
      <c r="O380" s="158" t="s">
        <v>204</v>
      </c>
      <c r="P380" s="92"/>
      <c r="Q380" s="146" t="s">
        <v>61</v>
      </c>
      <c r="R380" s="92"/>
      <c r="S380" s="146" t="s">
        <v>61</v>
      </c>
      <c r="T380" s="92"/>
      <c r="U380" s="146" t="s">
        <v>61</v>
      </c>
      <c r="V380" s="92"/>
      <c r="W380" s="146" t="s">
        <v>61</v>
      </c>
      <c r="X380" s="92"/>
      <c r="Y380" s="146" t="s">
        <v>61</v>
      </c>
      <c r="Z380" s="92"/>
      <c r="AA380" s="146" t="s">
        <v>61</v>
      </c>
      <c r="AB380" s="92"/>
      <c r="AC380" s="146" t="s">
        <v>204</v>
      </c>
      <c r="AD380" s="92"/>
      <c r="AE380" s="146" t="s">
        <v>204</v>
      </c>
      <c r="AF380" s="187" t="str">
        <f t="shared" si="23"/>
        <v>C</v>
      </c>
      <c r="AG380" s="54" t="str">
        <f t="shared" si="26"/>
        <v>UTILIZOU O PDA CORRETAMENTE</v>
      </c>
      <c r="AH380" s="146" t="s">
        <v>204</v>
      </c>
      <c r="AI380" s="210" t="s">
        <v>6</v>
      </c>
      <c r="AJ380" s="97" t="str">
        <f t="shared" si="24"/>
        <v>GUARULHOS</v>
      </c>
      <c r="AK380" s="213" t="s">
        <v>39</v>
      </c>
      <c r="AL380" s="53">
        <v>0.23051135343739626</v>
      </c>
      <c r="AM380" s="53" t="str" cm="1">
        <f t="array" ref="AM380">IF(OR(O380&lt;&gt;"", SUMPRODUCT(($AN$2:$AN$5000=AN380)*($AL$2:$AL$5000&lt;=AL380)) &lt;= (COUNTIF($AN$2:$AN$5000,AN380)*0.5)), "SORTEADO", "-")</f>
        <v>SORTEADO</v>
      </c>
      <c r="AN380" s="230" t="s">
        <v>1032</v>
      </c>
    </row>
    <row r="381" spans="1:40" ht="30" hidden="1" customHeight="1" x14ac:dyDescent="0.2">
      <c r="A381" s="230" t="s">
        <v>197</v>
      </c>
      <c r="B381" s="230">
        <v>2614638688</v>
      </c>
      <c r="C381" s="230" t="s">
        <v>696</v>
      </c>
      <c r="D381" s="230" t="s">
        <v>79</v>
      </c>
      <c r="E381" s="230" t="s">
        <v>198</v>
      </c>
      <c r="F381" s="230" t="s">
        <v>1100</v>
      </c>
      <c r="G381" s="230">
        <v>300</v>
      </c>
      <c r="H381" s="230" t="s">
        <v>1101</v>
      </c>
      <c r="I381" s="230" t="s">
        <v>692</v>
      </c>
      <c r="J381" s="230" t="s">
        <v>698</v>
      </c>
      <c r="K381" s="230" t="s">
        <v>1102</v>
      </c>
      <c r="L381" s="230" t="s">
        <v>1032</v>
      </c>
      <c r="M381" s="230" t="s">
        <v>1103</v>
      </c>
      <c r="N381" s="230" t="s">
        <v>1104</v>
      </c>
      <c r="O381" s="158" t="s">
        <v>61</v>
      </c>
      <c r="P381" s="92"/>
      <c r="Q381" s="146" t="s">
        <v>61</v>
      </c>
      <c r="R381" s="92"/>
      <c r="S381" s="146" t="s">
        <v>61</v>
      </c>
      <c r="T381" s="92"/>
      <c r="U381" s="146" t="s">
        <v>61</v>
      </c>
      <c r="V381" s="92"/>
      <c r="W381" s="146" t="s">
        <v>61</v>
      </c>
      <c r="X381" s="92"/>
      <c r="Y381" s="146" t="s">
        <v>61</v>
      </c>
      <c r="Z381" s="92"/>
      <c r="AA381" s="146" t="s">
        <v>61</v>
      </c>
      <c r="AB381" s="92"/>
      <c r="AC381" s="146" t="s">
        <v>61</v>
      </c>
      <c r="AD381" s="92"/>
      <c r="AE381" s="146" t="s">
        <v>61</v>
      </c>
      <c r="AF381" s="187" t="str">
        <f t="shared" si="23"/>
        <v>NA</v>
      </c>
      <c r="AG381" s="54" t="s">
        <v>311</v>
      </c>
      <c r="AH381" s="146" t="s">
        <v>204</v>
      </c>
      <c r="AI381" s="210" t="s">
        <v>6</v>
      </c>
      <c r="AJ381" s="97" t="str">
        <f t="shared" si="24"/>
        <v>GUARULHOS</v>
      </c>
      <c r="AK381" s="213" t="s">
        <v>39</v>
      </c>
      <c r="AL381" s="53">
        <v>-7.5999999999999998E-2</v>
      </c>
      <c r="AM381" s="53" t="str" cm="1">
        <f t="array" ref="AM381">IF(OR(O381&lt;&gt;"", SUMPRODUCT(($AN$2:$AN$5000=AN381)*($AL$2:$AL$5000&lt;=AL381)) &lt;= (COUNTIF($AN$2:$AN$5000,AN381)*0.5)), "SORTEADO", "-")</f>
        <v>SORTEADO</v>
      </c>
      <c r="AN381" s="230" t="s">
        <v>1032</v>
      </c>
    </row>
    <row r="382" spans="1:40" ht="30" hidden="1" customHeight="1" x14ac:dyDescent="0.2">
      <c r="A382" s="230" t="s">
        <v>197</v>
      </c>
      <c r="B382" s="230">
        <v>2615263914</v>
      </c>
      <c r="C382" s="230" t="s">
        <v>84</v>
      </c>
      <c r="D382" s="230" t="s">
        <v>79</v>
      </c>
      <c r="E382" s="230" t="s">
        <v>198</v>
      </c>
      <c r="F382" s="230" t="s">
        <v>1105</v>
      </c>
      <c r="G382" s="230">
        <v>64</v>
      </c>
      <c r="H382" s="230" t="s">
        <v>1106</v>
      </c>
      <c r="I382" s="230" t="s">
        <v>708</v>
      </c>
      <c r="J382" s="230" t="s">
        <v>392</v>
      </c>
      <c r="K382" s="230" t="s">
        <v>1107</v>
      </c>
      <c r="L382" s="230" t="s">
        <v>1032</v>
      </c>
      <c r="M382" s="230" t="s">
        <v>1108</v>
      </c>
      <c r="N382" s="230" t="s">
        <v>1104</v>
      </c>
      <c r="O382" s="158" t="s">
        <v>61</v>
      </c>
      <c r="P382" s="92"/>
      <c r="Q382" s="146" t="s">
        <v>61</v>
      </c>
      <c r="R382" s="92"/>
      <c r="S382" s="146" t="s">
        <v>61</v>
      </c>
      <c r="T382" s="92"/>
      <c r="U382" s="146" t="s">
        <v>61</v>
      </c>
      <c r="V382" s="92"/>
      <c r="W382" s="146" t="s">
        <v>61</v>
      </c>
      <c r="X382" s="92"/>
      <c r="Y382" s="146" t="s">
        <v>61</v>
      </c>
      <c r="Z382" s="92"/>
      <c r="AA382" s="146" t="s">
        <v>61</v>
      </c>
      <c r="AB382" s="92"/>
      <c r="AC382" s="146" t="s">
        <v>61</v>
      </c>
      <c r="AD382" s="92"/>
      <c r="AE382" s="146" t="s">
        <v>61</v>
      </c>
      <c r="AF382" s="187" t="str">
        <f t="shared" si="23"/>
        <v>NA</v>
      </c>
      <c r="AG382" s="54" t="str">
        <f>IF(AND(AE382="C",AF382="C"),"UTILIZOU O PDA CORRETAMENTE",IF(AND(AE382="C",AF382="NC"),"UTILIZOU O PDA CORRETAMENTE. NÃO HÁ FOTOS DE TODAS AS ETAPAS",IF(AND(AE382="NC",AF382="NC"),"NÃO UTILIZOU O PDA",IF(AND(AE382="NA",AF382="NA"),"NÃO AVALIADO POR FALHA DE SINCRONISMO"))))</f>
        <v>NÃO AVALIADO POR FALHA DE SINCRONISMO</v>
      </c>
      <c r="AH382" s="146" t="s">
        <v>204</v>
      </c>
      <c r="AI382" s="210" t="s">
        <v>6</v>
      </c>
      <c r="AJ382" s="97" t="str">
        <f t="shared" si="24"/>
        <v>GUARULHOS</v>
      </c>
      <c r="AK382" s="213" t="s">
        <v>39</v>
      </c>
      <c r="AL382" s="53">
        <v>-7.6200000000000004E-2</v>
      </c>
      <c r="AM382" s="53" t="str" cm="1">
        <f t="array" ref="AM382">IF(OR(O382&lt;&gt;"", SUMPRODUCT(($AN$2:$AN$5000=AN382)*($AL$2:$AL$5000&lt;=AL382)) &lt;= (COUNTIF($AN$2:$AN$5000,AN382)*0.5)), "SORTEADO", "-")</f>
        <v>SORTEADO</v>
      </c>
      <c r="AN382" s="230" t="s">
        <v>1032</v>
      </c>
    </row>
    <row r="383" spans="1:40" ht="30" hidden="1" customHeight="1" x14ac:dyDescent="0.2">
      <c r="A383" s="230" t="s">
        <v>197</v>
      </c>
      <c r="B383" s="230">
        <v>2615264503</v>
      </c>
      <c r="C383" s="230" t="s">
        <v>696</v>
      </c>
      <c r="D383" s="230" t="s">
        <v>79</v>
      </c>
      <c r="E383" s="230" t="s">
        <v>198</v>
      </c>
      <c r="F383" s="230" t="s">
        <v>1105</v>
      </c>
      <c r="G383" s="230">
        <v>52</v>
      </c>
      <c r="H383" s="230" t="s">
        <v>213</v>
      </c>
      <c r="I383" s="230" t="s">
        <v>708</v>
      </c>
      <c r="J383" s="230" t="s">
        <v>698</v>
      </c>
      <c r="K383" s="237" t="s">
        <v>1109</v>
      </c>
      <c r="L383" s="230" t="s">
        <v>1032</v>
      </c>
      <c r="M383" s="230" t="s">
        <v>1110</v>
      </c>
      <c r="N383" s="230" t="s">
        <v>1104</v>
      </c>
      <c r="O383" s="158" t="s">
        <v>61</v>
      </c>
      <c r="P383" s="92"/>
      <c r="Q383" s="146" t="s">
        <v>61</v>
      </c>
      <c r="R383" s="92"/>
      <c r="S383" s="146" t="s">
        <v>61</v>
      </c>
      <c r="T383" s="92"/>
      <c r="U383" s="146" t="s">
        <v>61</v>
      </c>
      <c r="V383" s="92"/>
      <c r="W383" s="146" t="s">
        <v>61</v>
      </c>
      <c r="X383" s="92"/>
      <c r="Y383" s="146" t="s">
        <v>61</v>
      </c>
      <c r="Z383" s="92"/>
      <c r="AA383" s="146" t="s">
        <v>61</v>
      </c>
      <c r="AB383" s="92"/>
      <c r="AC383" s="146" t="s">
        <v>61</v>
      </c>
      <c r="AD383" s="92"/>
      <c r="AE383" s="146" t="s">
        <v>61</v>
      </c>
      <c r="AF383" s="187" t="str">
        <f t="shared" si="23"/>
        <v>NA</v>
      </c>
      <c r="AG383" s="54" t="s">
        <v>311</v>
      </c>
      <c r="AH383" s="146" t="s">
        <v>204</v>
      </c>
      <c r="AI383" s="210" t="s">
        <v>6</v>
      </c>
      <c r="AJ383" s="97" t="str">
        <f t="shared" si="24"/>
        <v>GUARULHOS</v>
      </c>
      <c r="AK383" s="213" t="s">
        <v>39</v>
      </c>
      <c r="AL383" s="53">
        <v>-7.6399999999999996E-2</v>
      </c>
      <c r="AM383" s="53" t="str" cm="1">
        <f t="array" ref="AM383">IF(OR(O383&lt;&gt;"", SUMPRODUCT(($AN$2:$AN$5000=AN383)*($AL$2:$AL$5000&lt;=AL383)) &lt;= (COUNTIF($AN$2:$AN$5000,AN383)*0.5)), "SORTEADO", "-")</f>
        <v>SORTEADO</v>
      </c>
      <c r="AN383" s="230" t="s">
        <v>1032</v>
      </c>
    </row>
    <row r="384" spans="1:40" ht="30" hidden="1" customHeight="1" x14ac:dyDescent="0.2">
      <c r="A384" s="230" t="s">
        <v>197</v>
      </c>
      <c r="B384" s="230">
        <v>2615577393</v>
      </c>
      <c r="C384" s="230" t="s">
        <v>84</v>
      </c>
      <c r="D384" s="230" t="s">
        <v>79</v>
      </c>
      <c r="E384" s="230" t="s">
        <v>198</v>
      </c>
      <c r="F384" s="230" t="s">
        <v>1034</v>
      </c>
      <c r="G384" s="230">
        <v>219</v>
      </c>
      <c r="H384" s="230" t="s">
        <v>1111</v>
      </c>
      <c r="I384" s="230" t="s">
        <v>708</v>
      </c>
      <c r="J384" s="230" t="s">
        <v>392</v>
      </c>
      <c r="K384" s="230" t="s">
        <v>1107</v>
      </c>
      <c r="L384" s="230" t="s">
        <v>1032</v>
      </c>
      <c r="M384" s="230" t="s">
        <v>1112</v>
      </c>
      <c r="N384" s="230" t="s">
        <v>1104</v>
      </c>
      <c r="O384" s="158" t="s">
        <v>61</v>
      </c>
      <c r="P384" s="92"/>
      <c r="Q384" s="146" t="s">
        <v>61</v>
      </c>
      <c r="R384" s="92"/>
      <c r="S384" s="146" t="s">
        <v>61</v>
      </c>
      <c r="T384" s="92"/>
      <c r="U384" s="146" t="s">
        <v>61</v>
      </c>
      <c r="V384" s="92"/>
      <c r="W384" s="146" t="s">
        <v>61</v>
      </c>
      <c r="X384" s="92"/>
      <c r="Y384" s="146" t="s">
        <v>61</v>
      </c>
      <c r="Z384" s="92"/>
      <c r="AA384" s="146" t="s">
        <v>61</v>
      </c>
      <c r="AB384" s="92"/>
      <c r="AC384" s="146" t="s">
        <v>61</v>
      </c>
      <c r="AD384" s="92"/>
      <c r="AE384" s="146" t="s">
        <v>61</v>
      </c>
      <c r="AF384" s="187" t="str">
        <f t="shared" si="23"/>
        <v>NA</v>
      </c>
      <c r="AG384" s="54" t="str">
        <f>IF(AND(AE384="C",AF384="C"),"UTILIZOU O PDA CORRETAMENTE",IF(AND(AE384="C",AF384="NC"),"UTILIZOU O PDA CORRETAMENTE. NÃO HÁ FOTOS DE TODAS AS ETAPAS",IF(AND(AE384="NC",AF384="NC"),"NÃO UTILIZOU O PDA",IF(AND(AE384="NA",AF384="NA"),"NÃO AVALIADO POR FALHA DE SINCRONISMO"))))</f>
        <v>NÃO AVALIADO POR FALHA DE SINCRONISMO</v>
      </c>
      <c r="AH384" s="146" t="s">
        <v>204</v>
      </c>
      <c r="AI384" s="210" t="s">
        <v>6</v>
      </c>
      <c r="AJ384" s="97" t="str">
        <f t="shared" si="24"/>
        <v>GUARULHOS</v>
      </c>
      <c r="AK384" s="213" t="s">
        <v>39</v>
      </c>
      <c r="AL384" s="53">
        <v>-7.6600000000000001E-2</v>
      </c>
      <c r="AM384" s="53" t="str" cm="1">
        <f t="array" ref="AM384">IF(OR(O384&lt;&gt;"", SUMPRODUCT(($AN$2:$AN$5000=AN384)*($AL$2:$AL$5000&lt;=AL384)) &lt;= (COUNTIF($AN$2:$AN$5000,AN384)*0.5)), "SORTEADO", "-")</f>
        <v>SORTEADO</v>
      </c>
      <c r="AN384" s="230" t="s">
        <v>1032</v>
      </c>
    </row>
    <row r="385" spans="1:40" ht="30" hidden="1" customHeight="1" x14ac:dyDescent="0.2">
      <c r="A385" s="230" t="s">
        <v>197</v>
      </c>
      <c r="B385" s="230">
        <v>2615100657</v>
      </c>
      <c r="C385" s="230" t="s">
        <v>84</v>
      </c>
      <c r="D385" s="230" t="s">
        <v>79</v>
      </c>
      <c r="E385" s="230" t="s">
        <v>198</v>
      </c>
      <c r="F385" s="230" t="s">
        <v>1105</v>
      </c>
      <c r="G385" s="230">
        <v>46</v>
      </c>
      <c r="H385" s="230">
        <v>2</v>
      </c>
      <c r="I385" s="230" t="s">
        <v>708</v>
      </c>
      <c r="J385" s="230" t="s">
        <v>392</v>
      </c>
      <c r="K385" s="237" t="s">
        <v>1113</v>
      </c>
      <c r="L385" s="230" t="s">
        <v>1032</v>
      </c>
      <c r="M385" s="230" t="s">
        <v>1114</v>
      </c>
      <c r="N385" s="230" t="s">
        <v>1104</v>
      </c>
      <c r="O385" s="158" t="s">
        <v>61</v>
      </c>
      <c r="P385" s="92"/>
      <c r="Q385" s="146" t="s">
        <v>61</v>
      </c>
      <c r="R385" s="92"/>
      <c r="S385" s="146" t="s">
        <v>61</v>
      </c>
      <c r="T385" s="92"/>
      <c r="U385" s="146" t="s">
        <v>61</v>
      </c>
      <c r="V385" s="92"/>
      <c r="W385" s="146" t="s">
        <v>61</v>
      </c>
      <c r="X385" s="92"/>
      <c r="Y385" s="146" t="s">
        <v>61</v>
      </c>
      <c r="Z385" s="92"/>
      <c r="AA385" s="146" t="s">
        <v>61</v>
      </c>
      <c r="AB385" s="92"/>
      <c r="AC385" s="146" t="s">
        <v>61</v>
      </c>
      <c r="AD385" s="92"/>
      <c r="AE385" s="146" t="s">
        <v>61</v>
      </c>
      <c r="AF385" s="187" t="str">
        <f t="shared" si="23"/>
        <v>NA</v>
      </c>
      <c r="AG385" s="54" t="str">
        <f>IF(AND(AE385="C",AF385="C"),"UTILIZOU O PDA CORRETAMENTE",IF(AND(AE385="C",AF385="NC"),"UTILIZOU O PDA CORRETAMENTE. NÃO HÁ FOTOS DE TODAS AS ETAPAS",IF(AND(AE385="NC",AF385="NC"),"NÃO UTILIZOU O PDA",IF(AND(AE385="NA",AF385="NA"),"NÃO AVALIADO POR FALHA DE SINCRONISMO"))))</f>
        <v>NÃO AVALIADO POR FALHA DE SINCRONISMO</v>
      </c>
      <c r="AH385" s="146" t="s">
        <v>204</v>
      </c>
      <c r="AI385" s="210" t="s">
        <v>6</v>
      </c>
      <c r="AJ385" s="97" t="str">
        <f t="shared" si="24"/>
        <v>GUARULHOS</v>
      </c>
      <c r="AK385" s="213" t="s">
        <v>39</v>
      </c>
      <c r="AL385" s="53">
        <v>-7.6799999999999993E-2</v>
      </c>
      <c r="AM385" s="53" t="str" cm="1">
        <f t="array" ref="AM385">IF(OR(O385&lt;&gt;"", SUMPRODUCT(($AN$2:$AN$5000=AN385)*($AL$2:$AL$5000&lt;=AL385)) &lt;= (COUNTIF($AN$2:$AN$5000,AN385)*0.5)), "SORTEADO", "-")</f>
        <v>SORTEADO</v>
      </c>
      <c r="AN385" s="230" t="s">
        <v>1032</v>
      </c>
    </row>
    <row r="386" spans="1:40" ht="30" hidden="1" customHeight="1" x14ac:dyDescent="0.2">
      <c r="A386" s="230" t="s">
        <v>197</v>
      </c>
      <c r="B386" s="230">
        <v>2615264292</v>
      </c>
      <c r="C386" s="230" t="s">
        <v>696</v>
      </c>
      <c r="D386" s="230" t="s">
        <v>79</v>
      </c>
      <c r="E386" s="230" t="s">
        <v>198</v>
      </c>
      <c r="F386" s="230" t="s">
        <v>1105</v>
      </c>
      <c r="G386" s="230">
        <v>64</v>
      </c>
      <c r="H386" s="230" t="s">
        <v>1106</v>
      </c>
      <c r="I386" s="230" t="s">
        <v>708</v>
      </c>
      <c r="J386" s="230" t="s">
        <v>698</v>
      </c>
      <c r="K386" s="237" t="s">
        <v>1115</v>
      </c>
      <c r="L386" s="230" t="s">
        <v>1032</v>
      </c>
      <c r="M386" s="230" t="s">
        <v>1116</v>
      </c>
      <c r="N386" s="230" t="s">
        <v>1104</v>
      </c>
      <c r="O386" s="158" t="s">
        <v>61</v>
      </c>
      <c r="P386" s="92"/>
      <c r="Q386" s="146" t="s">
        <v>61</v>
      </c>
      <c r="R386" s="92"/>
      <c r="S386" s="146" t="s">
        <v>61</v>
      </c>
      <c r="T386" s="92"/>
      <c r="U386" s="146" t="s">
        <v>61</v>
      </c>
      <c r="V386" s="92"/>
      <c r="W386" s="146" t="s">
        <v>61</v>
      </c>
      <c r="X386" s="92"/>
      <c r="Y386" s="146" t="s">
        <v>61</v>
      </c>
      <c r="Z386" s="92"/>
      <c r="AA386" s="146" t="s">
        <v>61</v>
      </c>
      <c r="AB386" s="92"/>
      <c r="AC386" s="146" t="s">
        <v>61</v>
      </c>
      <c r="AD386" s="92"/>
      <c r="AE386" s="146" t="s">
        <v>61</v>
      </c>
      <c r="AF386" s="187" t="str">
        <f t="shared" si="23"/>
        <v>NA</v>
      </c>
      <c r="AG386" s="54" t="s">
        <v>311</v>
      </c>
      <c r="AH386" s="146" t="s">
        <v>204</v>
      </c>
      <c r="AI386" s="210" t="s">
        <v>6</v>
      </c>
      <c r="AJ386" s="97" t="str">
        <f t="shared" si="24"/>
        <v>GUARULHOS</v>
      </c>
      <c r="AK386" s="213" t="s">
        <v>39</v>
      </c>
      <c r="AL386" s="53">
        <v>-7.6999999999999999E-2</v>
      </c>
      <c r="AM386" s="53" t="str" cm="1">
        <f t="array" ref="AM386">IF(OR(O386&lt;&gt;"", SUMPRODUCT(($AN$2:$AN$5000=AN386)*($AL$2:$AL$5000&lt;=AL386)) &lt;= (COUNTIF($AN$2:$AN$5000,AN386)*0.5)), "SORTEADO", "-")</f>
        <v>SORTEADO</v>
      </c>
      <c r="AN386" s="230" t="s">
        <v>1032</v>
      </c>
    </row>
    <row r="387" spans="1:40" ht="30" hidden="1" customHeight="1" x14ac:dyDescent="0.2">
      <c r="A387" s="230" t="s">
        <v>197</v>
      </c>
      <c r="B387" s="230">
        <v>2615597523</v>
      </c>
      <c r="C387" s="230" t="s">
        <v>100</v>
      </c>
      <c r="D387" s="230" t="s">
        <v>78</v>
      </c>
      <c r="E387" s="230" t="s">
        <v>198</v>
      </c>
      <c r="F387" s="230" t="s">
        <v>1117</v>
      </c>
      <c r="G387" s="230">
        <v>69</v>
      </c>
      <c r="H387" s="230" t="s">
        <v>1118</v>
      </c>
      <c r="I387" s="230" t="s">
        <v>1119</v>
      </c>
      <c r="J387" s="230" t="s">
        <v>248</v>
      </c>
      <c r="K387" s="230" t="s">
        <v>213</v>
      </c>
      <c r="L387" s="230" t="s">
        <v>1032</v>
      </c>
      <c r="M387" s="230" t="s">
        <v>1120</v>
      </c>
      <c r="N387" s="230" t="s">
        <v>322</v>
      </c>
      <c r="O387" s="158"/>
      <c r="P387" s="92"/>
      <c r="Q387" s="146"/>
      <c r="R387" s="92"/>
      <c r="S387" s="146"/>
      <c r="T387" s="92"/>
      <c r="U387" s="146"/>
      <c r="V387" s="92"/>
      <c r="W387" s="146"/>
      <c r="X387" s="92"/>
      <c r="Y387" s="146"/>
      <c r="Z387" s="92"/>
      <c r="AA387" s="146"/>
      <c r="AB387" s="92"/>
      <c r="AC387" s="146"/>
      <c r="AD387" s="92"/>
      <c r="AE387" s="146"/>
      <c r="AF387" s="187" t="str">
        <f t="shared" si="23"/>
        <v/>
      </c>
      <c r="AG387" s="54" t="b">
        <f>IF(AND(AE387="C",AF387="C"),"UTILIZOU O PDA CORRETAMENTE",IF(AND(AE387="C",AF387="NC"),"UTILIZOU O PDA CORRETAMENTE. NÃO HÁ FOTOS DE TODAS AS ETAPAS",IF(AND(AE387="NC",AF387="NC"),"NÃO UTILIZOU O PDA",IF(AND(AE387="NA",AF387="NA"),"NÃO AVALIADO POR FALHA DE SINCRONISMO"))))</f>
        <v>0</v>
      </c>
      <c r="AH387" s="146"/>
      <c r="AI387" s="210" t="s">
        <v>6</v>
      </c>
      <c r="AJ387" s="97" t="str">
        <f t="shared" si="24"/>
        <v>GUARULHOS</v>
      </c>
      <c r="AK387" s="213" t="s">
        <v>39</v>
      </c>
      <c r="AL387" s="53">
        <v>0.50819841828152756</v>
      </c>
      <c r="AM387" s="53" t="str" cm="1">
        <f t="array" ref="AM387">IF(OR(O387&lt;&gt;"", SUMPRODUCT(($AN$2:$AN$5000=AN387)*($AL$2:$AL$5000&lt;=AL387)) &lt;= (COUNTIF($AN$2:$AN$5000,AN387)*0.5)), "SORTEADO", "-")</f>
        <v>-</v>
      </c>
      <c r="AN387" s="230" t="s">
        <v>1032</v>
      </c>
    </row>
    <row r="388" spans="1:40" ht="30" customHeight="1" x14ac:dyDescent="0.2">
      <c r="A388" s="230" t="s">
        <v>197</v>
      </c>
      <c r="B388" s="230">
        <v>2615585734</v>
      </c>
      <c r="C388" s="230" t="s">
        <v>100</v>
      </c>
      <c r="D388" s="230" t="s">
        <v>78</v>
      </c>
      <c r="E388" s="230" t="s">
        <v>198</v>
      </c>
      <c r="F388" s="230" t="s">
        <v>966</v>
      </c>
      <c r="G388" s="230">
        <v>601</v>
      </c>
      <c r="H388" s="230" t="s">
        <v>1121</v>
      </c>
      <c r="I388" s="230" t="s">
        <v>588</v>
      </c>
      <c r="J388" s="230" t="s">
        <v>248</v>
      </c>
      <c r="K388" s="230" t="s">
        <v>1122</v>
      </c>
      <c r="L388" s="230" t="s">
        <v>1032</v>
      </c>
      <c r="M388" s="230" t="s">
        <v>1123</v>
      </c>
      <c r="N388" s="230" t="s">
        <v>241</v>
      </c>
      <c r="O388" s="157" t="s">
        <v>204</v>
      </c>
      <c r="P388" s="143"/>
      <c r="Q388" s="144" t="s">
        <v>204</v>
      </c>
      <c r="R388" s="143"/>
      <c r="S388" s="144" t="s">
        <v>204</v>
      </c>
      <c r="T388" s="143"/>
      <c r="U388" s="144" t="s">
        <v>204</v>
      </c>
      <c r="V388" s="143"/>
      <c r="W388" s="144" t="s">
        <v>204</v>
      </c>
      <c r="X388" s="143"/>
      <c r="Y388" s="144" t="s">
        <v>204</v>
      </c>
      <c r="Z388" s="143"/>
      <c r="AA388" s="144" t="s">
        <v>204</v>
      </c>
      <c r="AB388" s="143"/>
      <c r="AC388" s="144" t="s">
        <v>204</v>
      </c>
      <c r="AD388" s="56"/>
      <c r="AE388" s="144" t="s">
        <v>204</v>
      </c>
      <c r="AF388" s="187" t="str">
        <f t="shared" si="23"/>
        <v>C</v>
      </c>
      <c r="AG388" s="54" t="str">
        <f>IF(AND(AE388="C",AF388="C"),"UTILIZOU O PDA CORRETAMENTE",IF(AND(AE388="C",AF388="NC"),"UTILIZOU O PDA CORRETAMENTE. NÃO HÁ FOTOS DE TODAS AS ETAPAS",IF(AND(AE388="NC",AF388="NC"),"NÃO UTILIZOU O PDA",IF(AND(AE388="NA",AF388="NA"),"NÃO AVALIADO POR FALHA DE SINCRONISMO"))))</f>
        <v>UTILIZOU O PDA CORRETAMENTE</v>
      </c>
      <c r="AH388" s="144" t="s">
        <v>204</v>
      </c>
      <c r="AI388" s="210" t="s">
        <v>6</v>
      </c>
      <c r="AJ388" s="97" t="str">
        <f t="shared" si="24"/>
        <v>GUARULHOS</v>
      </c>
      <c r="AK388" s="213" t="s">
        <v>39</v>
      </c>
      <c r="AL388" s="53">
        <v>0.28076161767007535</v>
      </c>
      <c r="AM388" s="53" t="str" cm="1">
        <f t="array" ref="AM388">IF(OR(O388&lt;&gt;"", SUMPRODUCT(($AN$2:$AN$5000=AN388)*($AL$2:$AL$5000&lt;=AL388)) &lt;= (COUNTIF($AN$2:$AN$5000,AN388)*0.5)), "SORTEADO", "-")</f>
        <v>SORTEADO</v>
      </c>
      <c r="AN388" s="230" t="s">
        <v>1032</v>
      </c>
    </row>
    <row r="389" spans="1:40" ht="30" hidden="1" customHeight="1" x14ac:dyDescent="0.2">
      <c r="A389" s="230" t="s">
        <v>197</v>
      </c>
      <c r="B389" s="230">
        <v>2615682113</v>
      </c>
      <c r="C389" s="230" t="s">
        <v>100</v>
      </c>
      <c r="D389" s="230" t="s">
        <v>78</v>
      </c>
      <c r="E389" s="230" t="s">
        <v>198</v>
      </c>
      <c r="F389" s="230" t="s">
        <v>976</v>
      </c>
      <c r="G389" s="230">
        <v>339</v>
      </c>
      <c r="H389" s="230" t="s">
        <v>211</v>
      </c>
      <c r="I389" s="230" t="s">
        <v>611</v>
      </c>
      <c r="J389" s="230" t="s">
        <v>248</v>
      </c>
      <c r="K389" s="230" t="s">
        <v>1124</v>
      </c>
      <c r="L389" s="230" t="s">
        <v>1032</v>
      </c>
      <c r="M389" s="230" t="s">
        <v>1125</v>
      </c>
      <c r="N389" s="230" t="s">
        <v>287</v>
      </c>
      <c r="O389" s="158"/>
      <c r="P389" s="92"/>
      <c r="Q389" s="146"/>
      <c r="R389" s="92"/>
      <c r="S389" s="146"/>
      <c r="T389" s="92"/>
      <c r="U389" s="146"/>
      <c r="V389" s="92"/>
      <c r="W389" s="146"/>
      <c r="X389" s="92"/>
      <c r="Y389" s="146"/>
      <c r="Z389" s="92"/>
      <c r="AA389" s="146"/>
      <c r="AB389" s="92"/>
      <c r="AC389" s="146"/>
      <c r="AD389" s="92"/>
      <c r="AE389" s="146"/>
      <c r="AF389" s="187" t="str">
        <f t="shared" si="23"/>
        <v/>
      </c>
      <c r="AG389" s="54" t="b">
        <f>IF(AND(AE389="C",AF389="C"),"UTILIZOU O PDA CORRETAMENTE",IF(AND(AE389="C",AF389="NC"),"UTILIZOU O PDA CORRETAMENTE. NÃO HÁ FOTOS DE TODAS AS ETAPAS",IF(AND(AE389="NC",AF389="NC"),"NÃO UTILIZOU O PDA",IF(AND(AE389="NA",AF389="NA"),"NÃO AVALIADO POR FALHA DE SINCRONISMO"))))</f>
        <v>0</v>
      </c>
      <c r="AH389" s="146"/>
      <c r="AI389" s="210" t="s">
        <v>6</v>
      </c>
      <c r="AJ389" s="97" t="str">
        <f t="shared" si="24"/>
        <v>GUARULHOS</v>
      </c>
      <c r="AK389" s="213" t="s">
        <v>39</v>
      </c>
      <c r="AL389" s="53">
        <v>0.52096249911994097</v>
      </c>
      <c r="AM389" s="53" t="str" cm="1">
        <f t="array" ref="AM389">IF(OR(O389&lt;&gt;"", SUMPRODUCT(($AN$2:$AN$5000=AN389)*($AL$2:$AL$5000&lt;=AL389)) &lt;= (COUNTIF($AN$2:$AN$5000,AN389)*0.5)), "SORTEADO", "-")</f>
        <v>-</v>
      </c>
      <c r="AN389" s="230" t="s">
        <v>1032</v>
      </c>
    </row>
    <row r="390" spans="1:40" ht="30" hidden="1" customHeight="1" x14ac:dyDescent="0.2">
      <c r="A390" s="230" t="s">
        <v>197</v>
      </c>
      <c r="B390" s="230">
        <v>2614193684</v>
      </c>
      <c r="C390" s="230" t="s">
        <v>696</v>
      </c>
      <c r="D390" s="230" t="s">
        <v>79</v>
      </c>
      <c r="E390" s="230" t="s">
        <v>198</v>
      </c>
      <c r="F390" s="230" t="s">
        <v>1126</v>
      </c>
      <c r="G390" s="230">
        <v>38</v>
      </c>
      <c r="H390" s="230" t="s">
        <v>1127</v>
      </c>
      <c r="I390" s="230" t="s">
        <v>1128</v>
      </c>
      <c r="J390" s="230" t="s">
        <v>698</v>
      </c>
      <c r="K390" s="230" t="s">
        <v>1129</v>
      </c>
      <c r="L390" s="230" t="s">
        <v>1032</v>
      </c>
      <c r="M390" s="230" t="s">
        <v>1130</v>
      </c>
      <c r="N390" s="230" t="s">
        <v>1104</v>
      </c>
      <c r="O390" s="158" t="s">
        <v>61</v>
      </c>
      <c r="P390" s="92"/>
      <c r="Q390" s="146" t="s">
        <v>61</v>
      </c>
      <c r="R390" s="92"/>
      <c r="S390" s="146" t="s">
        <v>61</v>
      </c>
      <c r="T390" s="92"/>
      <c r="U390" s="146" t="s">
        <v>61</v>
      </c>
      <c r="V390" s="92"/>
      <c r="W390" s="146" t="s">
        <v>61</v>
      </c>
      <c r="X390" s="92"/>
      <c r="Y390" s="146" t="s">
        <v>61</v>
      </c>
      <c r="Z390" s="92"/>
      <c r="AA390" s="146" t="s">
        <v>61</v>
      </c>
      <c r="AB390" s="92"/>
      <c r="AC390" s="146" t="s">
        <v>61</v>
      </c>
      <c r="AD390" s="92"/>
      <c r="AE390" s="146" t="s">
        <v>61</v>
      </c>
      <c r="AF390" s="187" t="str">
        <f t="shared" si="23"/>
        <v>NA</v>
      </c>
      <c r="AG390" s="54" t="s">
        <v>311</v>
      </c>
      <c r="AH390" s="146" t="s">
        <v>204</v>
      </c>
      <c r="AI390" s="210" t="s">
        <v>6</v>
      </c>
      <c r="AJ390" s="97" t="str">
        <f t="shared" si="24"/>
        <v>GUARULHOS</v>
      </c>
      <c r="AK390" s="213" t="s">
        <v>39</v>
      </c>
      <c r="AL390" s="53">
        <v>-7.7799999999999994E-2</v>
      </c>
      <c r="AM390" s="53" t="str" cm="1">
        <f t="array" ref="AM390">IF(OR(O390&lt;&gt;"", SUMPRODUCT(($AN$2:$AN$5000=AN390)*($AL$2:$AL$5000&lt;=AL390)) &lt;= (COUNTIF($AN$2:$AN$5000,AN390)*0.5)), "SORTEADO", "-")</f>
        <v>SORTEADO</v>
      </c>
      <c r="AN390" s="230" t="s">
        <v>1032</v>
      </c>
    </row>
    <row r="391" spans="1:40" ht="30" hidden="1" customHeight="1" x14ac:dyDescent="0.2">
      <c r="A391" s="230" t="s">
        <v>197</v>
      </c>
      <c r="B391" s="230">
        <v>2614192759</v>
      </c>
      <c r="C391" s="230" t="s">
        <v>84</v>
      </c>
      <c r="D391" s="230" t="s">
        <v>79</v>
      </c>
      <c r="E391" s="230" t="s">
        <v>198</v>
      </c>
      <c r="F391" s="230" t="s">
        <v>1126</v>
      </c>
      <c r="G391" s="230">
        <v>28</v>
      </c>
      <c r="H391" s="230" t="s">
        <v>1131</v>
      </c>
      <c r="I391" s="230" t="s">
        <v>1128</v>
      </c>
      <c r="J391" s="230" t="s">
        <v>392</v>
      </c>
      <c r="K391" s="230" t="s">
        <v>1107</v>
      </c>
      <c r="L391" s="230" t="s">
        <v>1032</v>
      </c>
      <c r="M391" s="230" t="s">
        <v>1132</v>
      </c>
      <c r="N391" s="230" t="s">
        <v>1104</v>
      </c>
      <c r="O391" s="158" t="s">
        <v>61</v>
      </c>
      <c r="P391" s="92"/>
      <c r="Q391" s="146" t="s">
        <v>61</v>
      </c>
      <c r="R391" s="92"/>
      <c r="S391" s="146" t="s">
        <v>61</v>
      </c>
      <c r="T391" s="92"/>
      <c r="U391" s="146" t="s">
        <v>61</v>
      </c>
      <c r="V391" s="92"/>
      <c r="W391" s="146" t="s">
        <v>61</v>
      </c>
      <c r="X391" s="92"/>
      <c r="Y391" s="146" t="s">
        <v>61</v>
      </c>
      <c r="Z391" s="92"/>
      <c r="AA391" s="146" t="s">
        <v>61</v>
      </c>
      <c r="AB391" s="92"/>
      <c r="AC391" s="146" t="s">
        <v>61</v>
      </c>
      <c r="AD391" s="92"/>
      <c r="AE391" s="146" t="s">
        <v>61</v>
      </c>
      <c r="AF391" s="187" t="str">
        <f t="shared" ref="AF391:AF454" si="27">IF(AND(O391="",Q391="",S391="",U391="",W391="",Y391="",AA391="",AC391=""),"",IF(OR(AND(O391&lt;&gt;"NA",O391&lt;&gt;"C",O391&lt;&gt;"NC",O391&lt;&gt;"SF",O391&lt;&gt;""),AND(Q391&lt;&gt;"NA",Q391&lt;&gt;"C",Q391&lt;&gt;"NC",Q391&lt;&gt;"SF",Q391&lt;&gt;""),AND(S391&lt;&gt;"NA",S391&lt;&gt;"C",S391&lt;&gt;"NC",S391&lt;&gt;"SF",S391&lt;&gt;""),AND(U391&lt;&gt;"NA",U391&lt;&gt;"C",U391&lt;&gt;"NC",U391&lt;&gt;"SF",U391&lt;&gt;""),AND(W391&lt;&gt;"NA",W391&lt;&gt;"C",W391&lt;&gt;"NC",W391&lt;&gt;"SF",W391&lt;&gt;""),AND(Y391&lt;&gt;"NA",Y391&lt;&gt;"C",Y391&lt;&gt;"NC",Y391&lt;&gt;"SF",Y391&lt;&gt;""),AND(AA391&lt;&gt;"NA",AA391&lt;&gt;"C",AA391&lt;&gt;"NC",AA391&lt;&gt;"SF",AA391&lt;&gt;""),AND(AC391&lt;&gt;"NA",AC391&lt;&gt;"C",AC391&lt;&gt;"NC",AC391&lt;&gt;"SF",AC391&lt;&gt;"")),"FALSO",IF(AND(O391="NA",Q391="NA",S391="NA",U391="NA",W391="NA",Y391="NA",AA391="NA",AC391="NA"),"NA",IF(OR(O391="NC",Q391="NC",S391="NC",U391="NC",W391="NC",Y391="NC",AA391="NC",AC391="NC",O391="SF",Q391="SF",S391="SF",U391="SF",W391="SF",Y391="SF",AA391="SF",AC391="SF"),"NC",IF(OR(O391="C",Q391="C",S391="C",U391="C",W391="C",Y391="C",AA391="C",AC391="C"),"C","")))))</f>
        <v>NA</v>
      </c>
      <c r="AG391" s="54" t="str">
        <f>IF(AND(AE391="C",AF391="C"),"UTILIZOU O PDA CORRETAMENTE",IF(AND(AE391="C",AF391="NC"),"UTILIZOU O PDA CORRETAMENTE. NÃO HÁ FOTOS DE TODAS AS ETAPAS",IF(AND(AE391="NC",AF391="NC"),"NÃO UTILIZOU O PDA",IF(AND(AE391="NA",AF391="NA"),"NÃO AVALIADO POR FALHA DE SINCRONISMO"))))</f>
        <v>NÃO AVALIADO POR FALHA DE SINCRONISMO</v>
      </c>
      <c r="AH391" s="146" t="s">
        <v>204</v>
      </c>
      <c r="AI391" s="210" t="s">
        <v>6</v>
      </c>
      <c r="AJ391" s="97" t="str">
        <f t="shared" ref="AJ391:AJ454" si="28">E391</f>
        <v>GUARULHOS</v>
      </c>
      <c r="AK391" s="213" t="s">
        <v>39</v>
      </c>
      <c r="AL391" s="53">
        <v>-7.8E-2</v>
      </c>
      <c r="AM391" s="53" t="str" cm="1">
        <f t="array" ref="AM391">IF(OR(O391&lt;&gt;"", SUMPRODUCT(($AN$2:$AN$5000=AN391)*($AL$2:$AL$5000&lt;=AL391)) &lt;= (COUNTIF($AN$2:$AN$5000,AN391)*0.5)), "SORTEADO", "-")</f>
        <v>SORTEADO</v>
      </c>
      <c r="AN391" s="230" t="s">
        <v>1032</v>
      </c>
    </row>
    <row r="392" spans="1:40" ht="30" hidden="1" customHeight="1" x14ac:dyDescent="0.2">
      <c r="A392" s="230" t="s">
        <v>197</v>
      </c>
      <c r="B392" s="230">
        <v>2614193336</v>
      </c>
      <c r="C392" s="230" t="s">
        <v>696</v>
      </c>
      <c r="D392" s="230" t="s">
        <v>79</v>
      </c>
      <c r="E392" s="230" t="s">
        <v>198</v>
      </c>
      <c r="F392" s="230" t="s">
        <v>1126</v>
      </c>
      <c r="G392" s="230">
        <v>28</v>
      </c>
      <c r="H392" s="230" t="s">
        <v>1131</v>
      </c>
      <c r="I392" s="230" t="s">
        <v>1128</v>
      </c>
      <c r="J392" s="230" t="s">
        <v>698</v>
      </c>
      <c r="K392" s="230" t="s">
        <v>1133</v>
      </c>
      <c r="L392" s="230" t="s">
        <v>1032</v>
      </c>
      <c r="M392" s="230" t="s">
        <v>1134</v>
      </c>
      <c r="N392" s="230" t="s">
        <v>1104</v>
      </c>
      <c r="O392" s="158" t="s">
        <v>61</v>
      </c>
      <c r="P392" s="92"/>
      <c r="Q392" s="146" t="s">
        <v>61</v>
      </c>
      <c r="R392" s="92"/>
      <c r="S392" s="146" t="s">
        <v>61</v>
      </c>
      <c r="T392" s="92"/>
      <c r="U392" s="146" t="s">
        <v>61</v>
      </c>
      <c r="V392" s="92"/>
      <c r="W392" s="146" t="s">
        <v>61</v>
      </c>
      <c r="X392" s="92"/>
      <c r="Y392" s="146" t="s">
        <v>61</v>
      </c>
      <c r="Z392" s="92"/>
      <c r="AA392" s="146" t="s">
        <v>61</v>
      </c>
      <c r="AB392" s="92"/>
      <c r="AC392" s="146" t="s">
        <v>61</v>
      </c>
      <c r="AD392" s="92"/>
      <c r="AE392" s="146" t="s">
        <v>61</v>
      </c>
      <c r="AF392" s="187" t="str">
        <f t="shared" si="27"/>
        <v>NA</v>
      </c>
      <c r="AG392" s="54" t="s">
        <v>311</v>
      </c>
      <c r="AH392" s="146" t="s">
        <v>204</v>
      </c>
      <c r="AI392" s="210" t="s">
        <v>6</v>
      </c>
      <c r="AJ392" s="97" t="str">
        <f t="shared" si="28"/>
        <v>GUARULHOS</v>
      </c>
      <c r="AK392" s="213" t="s">
        <v>39</v>
      </c>
      <c r="AL392" s="53">
        <v>-7.8200000000000006E-2</v>
      </c>
      <c r="AM392" s="53" t="str" cm="1">
        <f t="array" ref="AM392">IF(OR(O392&lt;&gt;"", SUMPRODUCT(($AN$2:$AN$5000=AN392)*($AL$2:$AL$5000&lt;=AL392)) &lt;= (COUNTIF($AN$2:$AN$5000,AN392)*0.5)), "SORTEADO", "-")</f>
        <v>SORTEADO</v>
      </c>
      <c r="AN392" s="230" t="s">
        <v>1032</v>
      </c>
    </row>
    <row r="393" spans="1:40" ht="30" hidden="1" customHeight="1" x14ac:dyDescent="0.2">
      <c r="A393" s="230" t="s">
        <v>197</v>
      </c>
      <c r="B393" s="230">
        <v>2614470350</v>
      </c>
      <c r="C393" s="230" t="s">
        <v>84</v>
      </c>
      <c r="D393" s="230" t="s">
        <v>79</v>
      </c>
      <c r="E393" s="230" t="s">
        <v>198</v>
      </c>
      <c r="F393" s="230" t="s">
        <v>1135</v>
      </c>
      <c r="G393" s="230">
        <v>10</v>
      </c>
      <c r="H393" s="230" t="s">
        <v>276</v>
      </c>
      <c r="I393" s="230" t="s">
        <v>1128</v>
      </c>
      <c r="J393" s="230" t="s">
        <v>392</v>
      </c>
      <c r="K393" s="230" t="s">
        <v>1107</v>
      </c>
      <c r="L393" s="230" t="s">
        <v>1032</v>
      </c>
      <c r="M393" s="230" t="s">
        <v>1136</v>
      </c>
      <c r="N393" s="230" t="s">
        <v>1104</v>
      </c>
      <c r="O393" s="158" t="s">
        <v>61</v>
      </c>
      <c r="P393" s="92"/>
      <c r="Q393" s="146" t="s">
        <v>61</v>
      </c>
      <c r="R393" s="92"/>
      <c r="S393" s="146" t="s">
        <v>61</v>
      </c>
      <c r="T393" s="92"/>
      <c r="U393" s="146" t="s">
        <v>61</v>
      </c>
      <c r="V393" s="92"/>
      <c r="W393" s="146" t="s">
        <v>61</v>
      </c>
      <c r="X393" s="92"/>
      <c r="Y393" s="146" t="s">
        <v>61</v>
      </c>
      <c r="Z393" s="92"/>
      <c r="AA393" s="146" t="s">
        <v>61</v>
      </c>
      <c r="AB393" s="92"/>
      <c r="AC393" s="146" t="s">
        <v>61</v>
      </c>
      <c r="AD393" s="92"/>
      <c r="AE393" s="146" t="s">
        <v>61</v>
      </c>
      <c r="AF393" s="187" t="str">
        <f t="shared" si="27"/>
        <v>NA</v>
      </c>
      <c r="AG393" s="54" t="str">
        <f>IF(AND(AE393="C",AF393="C"),"UTILIZOU O PDA CORRETAMENTE",IF(AND(AE393="C",AF393="NC"),"UTILIZOU O PDA CORRETAMENTE. NÃO HÁ FOTOS DE TODAS AS ETAPAS",IF(AND(AE393="NC",AF393="NC"),"NÃO UTILIZOU O PDA",IF(AND(AE393="NA",AF393="NA"),"NÃO AVALIADO POR FALHA DE SINCRONISMO"))))</f>
        <v>NÃO AVALIADO POR FALHA DE SINCRONISMO</v>
      </c>
      <c r="AH393" s="146" t="s">
        <v>204</v>
      </c>
      <c r="AI393" s="210" t="s">
        <v>6</v>
      </c>
      <c r="AJ393" s="97" t="str">
        <f t="shared" si="28"/>
        <v>GUARULHOS</v>
      </c>
      <c r="AK393" s="213" t="s">
        <v>39</v>
      </c>
      <c r="AL393" s="53">
        <v>-7.8399999999999997E-2</v>
      </c>
      <c r="AM393" s="53" t="str" cm="1">
        <f t="array" ref="AM393">IF(OR(O393&lt;&gt;"", SUMPRODUCT(($AN$2:$AN$5000=AN393)*($AL$2:$AL$5000&lt;=AL393)) &lt;= (COUNTIF($AN$2:$AN$5000,AN393)*0.5)), "SORTEADO", "-")</f>
        <v>SORTEADO</v>
      </c>
      <c r="AN393" s="230" t="s">
        <v>1032</v>
      </c>
    </row>
    <row r="394" spans="1:40" ht="30" hidden="1" customHeight="1" x14ac:dyDescent="0.2">
      <c r="A394" s="230" t="s">
        <v>197</v>
      </c>
      <c r="B394" s="230">
        <v>2614192306</v>
      </c>
      <c r="C394" s="230" t="s">
        <v>84</v>
      </c>
      <c r="D394" s="230" t="s">
        <v>79</v>
      </c>
      <c r="E394" s="230" t="s">
        <v>198</v>
      </c>
      <c r="F394" s="230" t="s">
        <v>238</v>
      </c>
      <c r="G394" s="230">
        <v>1475</v>
      </c>
      <c r="H394" s="230"/>
      <c r="I394" s="230" t="s">
        <v>1137</v>
      </c>
      <c r="J394" s="230" t="s">
        <v>392</v>
      </c>
      <c r="K394" s="230" t="s">
        <v>1107</v>
      </c>
      <c r="L394" s="230" t="s">
        <v>1032</v>
      </c>
      <c r="M394" s="230" t="s">
        <v>1138</v>
      </c>
      <c r="N394" s="230" t="s">
        <v>1104</v>
      </c>
      <c r="O394" s="158" t="s">
        <v>61</v>
      </c>
      <c r="P394" s="92"/>
      <c r="Q394" s="146" t="s">
        <v>61</v>
      </c>
      <c r="R394" s="92"/>
      <c r="S394" s="146" t="s">
        <v>61</v>
      </c>
      <c r="T394" s="92"/>
      <c r="U394" s="146" t="s">
        <v>61</v>
      </c>
      <c r="V394" s="92"/>
      <c r="W394" s="146" t="s">
        <v>61</v>
      </c>
      <c r="X394" s="92"/>
      <c r="Y394" s="146" t="s">
        <v>61</v>
      </c>
      <c r="Z394" s="92"/>
      <c r="AA394" s="146" t="s">
        <v>61</v>
      </c>
      <c r="AB394" s="92"/>
      <c r="AC394" s="146" t="s">
        <v>61</v>
      </c>
      <c r="AD394" s="92"/>
      <c r="AE394" s="146" t="s">
        <v>61</v>
      </c>
      <c r="AF394" s="187" t="str">
        <f t="shared" si="27"/>
        <v>NA</v>
      </c>
      <c r="AG394" s="54" t="str">
        <f>IF(AND(AE394="C",AF394="C"),"UTILIZOU O PDA CORRETAMENTE",IF(AND(AE394="C",AF394="NC"),"UTILIZOU O PDA CORRETAMENTE. NÃO HÁ FOTOS DE TODAS AS ETAPAS",IF(AND(AE394="NC",AF394="NC"),"NÃO UTILIZOU O PDA",IF(AND(AE394="NA",AF394="NA"),"NÃO AVALIADO POR FALHA DE SINCRONISMO"))))</f>
        <v>NÃO AVALIADO POR FALHA DE SINCRONISMO</v>
      </c>
      <c r="AH394" s="146" t="s">
        <v>204</v>
      </c>
      <c r="AI394" s="210" t="s">
        <v>6</v>
      </c>
      <c r="AJ394" s="97" t="str">
        <f t="shared" si="28"/>
        <v>GUARULHOS</v>
      </c>
      <c r="AK394" s="213" t="s">
        <v>39</v>
      </c>
      <c r="AL394" s="53">
        <v>-7.8600000000000003E-2</v>
      </c>
      <c r="AM394" s="53" t="str" cm="1">
        <f t="array" ref="AM394">IF(OR(O394&lt;&gt;"", SUMPRODUCT(($AN$2:$AN$5000=AN394)*($AL$2:$AL$5000&lt;=AL394)) &lt;= (COUNTIF($AN$2:$AN$5000,AN394)*0.5)), "SORTEADO", "-")</f>
        <v>SORTEADO</v>
      </c>
      <c r="AN394" s="230" t="s">
        <v>1032</v>
      </c>
    </row>
    <row r="395" spans="1:40" ht="30" hidden="1" customHeight="1" x14ac:dyDescent="0.2">
      <c r="A395" s="230" t="s">
        <v>197</v>
      </c>
      <c r="B395" s="230">
        <v>2614192775</v>
      </c>
      <c r="C395" s="230" t="s">
        <v>696</v>
      </c>
      <c r="D395" s="230" t="s">
        <v>79</v>
      </c>
      <c r="E395" s="230" t="s">
        <v>198</v>
      </c>
      <c r="F395" s="230" t="s">
        <v>238</v>
      </c>
      <c r="G395" s="230">
        <v>1475</v>
      </c>
      <c r="H395" s="230" t="s">
        <v>213</v>
      </c>
      <c r="I395" s="230" t="s">
        <v>1137</v>
      </c>
      <c r="J395" s="230" t="s">
        <v>698</v>
      </c>
      <c r="K395" s="237" t="s">
        <v>1139</v>
      </c>
      <c r="L395" s="230" t="s">
        <v>1032</v>
      </c>
      <c r="M395" s="230" t="s">
        <v>1140</v>
      </c>
      <c r="N395" s="230" t="s">
        <v>1104</v>
      </c>
      <c r="O395" s="158" t="s">
        <v>61</v>
      </c>
      <c r="P395" s="92"/>
      <c r="Q395" s="146" t="s">
        <v>61</v>
      </c>
      <c r="R395" s="92"/>
      <c r="S395" s="146" t="s">
        <v>61</v>
      </c>
      <c r="T395" s="92"/>
      <c r="U395" s="146" t="s">
        <v>61</v>
      </c>
      <c r="V395" s="92"/>
      <c r="W395" s="146" t="s">
        <v>61</v>
      </c>
      <c r="X395" s="92"/>
      <c r="Y395" s="146" t="s">
        <v>61</v>
      </c>
      <c r="Z395" s="92"/>
      <c r="AA395" s="146" t="s">
        <v>61</v>
      </c>
      <c r="AB395" s="92"/>
      <c r="AC395" s="146" t="s">
        <v>61</v>
      </c>
      <c r="AD395" s="92"/>
      <c r="AE395" s="146" t="s">
        <v>61</v>
      </c>
      <c r="AF395" s="187" t="str">
        <f t="shared" si="27"/>
        <v>NA</v>
      </c>
      <c r="AG395" s="54" t="s">
        <v>311</v>
      </c>
      <c r="AH395" s="146" t="s">
        <v>204</v>
      </c>
      <c r="AI395" s="210" t="s">
        <v>6</v>
      </c>
      <c r="AJ395" s="97" t="str">
        <f t="shared" si="28"/>
        <v>GUARULHOS</v>
      </c>
      <c r="AK395" s="213" t="s">
        <v>39</v>
      </c>
      <c r="AL395" s="53">
        <v>-7.8799999999999995E-2</v>
      </c>
      <c r="AM395" s="53" t="str" cm="1">
        <f t="array" ref="AM395">IF(OR(O395&lt;&gt;"", SUMPRODUCT(($AN$2:$AN$5000=AN395)*($AL$2:$AL$5000&lt;=AL395)) &lt;= (COUNTIF($AN$2:$AN$5000,AN395)*0.5)), "SORTEADO", "-")</f>
        <v>SORTEADO</v>
      </c>
      <c r="AN395" s="230" t="s">
        <v>1032</v>
      </c>
    </row>
    <row r="396" spans="1:40" ht="30" hidden="1" customHeight="1" x14ac:dyDescent="0.2">
      <c r="A396" s="230" t="s">
        <v>197</v>
      </c>
      <c r="B396" s="230">
        <v>2615576189</v>
      </c>
      <c r="C396" s="230" t="s">
        <v>99</v>
      </c>
      <c r="D396" s="230" t="s">
        <v>80</v>
      </c>
      <c r="E396" s="230" t="s">
        <v>198</v>
      </c>
      <c r="F396" s="230" t="s">
        <v>1141</v>
      </c>
      <c r="G396" s="230">
        <v>108</v>
      </c>
      <c r="H396" s="230"/>
      <c r="I396" s="230" t="s">
        <v>893</v>
      </c>
      <c r="J396" s="230" t="s">
        <v>305</v>
      </c>
      <c r="K396" s="230" t="s">
        <v>1142</v>
      </c>
      <c r="L396" s="230" t="s">
        <v>1032</v>
      </c>
      <c r="M396" s="230" t="s">
        <v>1143</v>
      </c>
      <c r="N396" s="230" t="s">
        <v>317</v>
      </c>
      <c r="O396" s="158"/>
      <c r="P396" s="92"/>
      <c r="Q396" s="146"/>
      <c r="R396" s="92"/>
      <c r="S396" s="146"/>
      <c r="T396" s="92"/>
      <c r="U396" s="146"/>
      <c r="V396" s="92"/>
      <c r="W396" s="146"/>
      <c r="X396" s="92"/>
      <c r="Y396" s="146"/>
      <c r="Z396" s="92"/>
      <c r="AA396" s="146"/>
      <c r="AB396" s="92"/>
      <c r="AC396" s="146"/>
      <c r="AD396" s="92"/>
      <c r="AE396" s="146"/>
      <c r="AF396" s="187" t="str">
        <f t="shared" si="27"/>
        <v/>
      </c>
      <c r="AG396" s="54" t="b">
        <f t="shared" ref="AG396:AG437" si="29">IF(AND(AE396="C",AF396="C"),"UTILIZOU O PDA CORRETAMENTE",IF(AND(AE396="C",AF396="NC"),"UTILIZOU O PDA CORRETAMENTE. NÃO HÁ FOTOS DE TODAS AS ETAPAS",IF(AND(AE396="NC",AF396="NC"),"NÃO UTILIZOU O PDA",IF(AND(AE396="NA",AF396="NA"),"NÃO AVALIADO POR FALHA DE SINCRONISMO"))))</f>
        <v>0</v>
      </c>
      <c r="AH396" s="146"/>
      <c r="AI396" s="210" t="s">
        <v>6</v>
      </c>
      <c r="AJ396" s="97" t="str">
        <f t="shared" si="28"/>
        <v>GUARULHOS</v>
      </c>
      <c r="AK396" s="213" t="s">
        <v>39</v>
      </c>
      <c r="AL396" s="53">
        <v>0.59318073627602019</v>
      </c>
      <c r="AM396" s="53" t="str" cm="1">
        <f t="array" ref="AM396">IF(OR(O396&lt;&gt;"", SUMPRODUCT(($AN$2:$AN$5000=AN396)*($AL$2:$AL$5000&lt;=AL396)) &lt;= (COUNTIF($AN$2:$AN$5000,AN396)*0.5)), "SORTEADO", "-")</f>
        <v>-</v>
      </c>
      <c r="AN396" s="230" t="s">
        <v>1032</v>
      </c>
    </row>
    <row r="397" spans="1:40" ht="30" hidden="1" customHeight="1" x14ac:dyDescent="0.2">
      <c r="A397" s="230" t="s">
        <v>197</v>
      </c>
      <c r="B397" s="230">
        <v>2690577750</v>
      </c>
      <c r="C397" s="230" t="s">
        <v>102</v>
      </c>
      <c r="D397" s="230" t="s">
        <v>80</v>
      </c>
      <c r="E397" s="230" t="s">
        <v>198</v>
      </c>
      <c r="F397" s="230" t="s">
        <v>969</v>
      </c>
      <c r="G397" s="230">
        <v>78</v>
      </c>
      <c r="H397" s="230"/>
      <c r="I397" s="230" t="s">
        <v>971</v>
      </c>
      <c r="J397" s="230" t="s">
        <v>259</v>
      </c>
      <c r="K397" s="230" t="s">
        <v>1144</v>
      </c>
      <c r="L397" s="230" t="s">
        <v>1032</v>
      </c>
      <c r="M397" s="230" t="s">
        <v>1145</v>
      </c>
      <c r="N397" s="230" t="s">
        <v>322</v>
      </c>
      <c r="O397" s="158"/>
      <c r="P397" s="92"/>
      <c r="Q397" s="146"/>
      <c r="R397" s="92"/>
      <c r="S397" s="146"/>
      <c r="T397" s="92"/>
      <c r="U397" s="146"/>
      <c r="V397" s="92"/>
      <c r="W397" s="146"/>
      <c r="X397" s="92"/>
      <c r="Y397" s="146"/>
      <c r="Z397" s="92"/>
      <c r="AA397" s="146"/>
      <c r="AB397" s="92"/>
      <c r="AC397" s="146"/>
      <c r="AD397" s="92"/>
      <c r="AE397" s="146"/>
      <c r="AF397" s="187" t="str">
        <f t="shared" si="27"/>
        <v/>
      </c>
      <c r="AG397" s="54" t="b">
        <f t="shared" si="29"/>
        <v>0</v>
      </c>
      <c r="AH397" s="146"/>
      <c r="AI397" s="210" t="s">
        <v>6</v>
      </c>
      <c r="AJ397" s="97" t="str">
        <f t="shared" si="28"/>
        <v>GUARULHOS</v>
      </c>
      <c r="AK397" s="213" t="s">
        <v>39</v>
      </c>
      <c r="AL397" s="53">
        <v>0.2902462751858107</v>
      </c>
      <c r="AM397" s="53" t="str" cm="1">
        <f t="array" ref="AM397">IF(OR(O397&lt;&gt;"", SUMPRODUCT(($AN$2:$AN$5000=AN397)*($AL$2:$AL$5000&lt;=AL397)) &lt;= (COUNTIF($AN$2:$AN$5000,AN397)*0.5)), "SORTEADO", "-")</f>
        <v>-</v>
      </c>
      <c r="AN397" s="230" t="s">
        <v>1032</v>
      </c>
    </row>
    <row r="398" spans="1:40" ht="30" hidden="1" customHeight="1" x14ac:dyDescent="0.2">
      <c r="A398" s="230" t="s">
        <v>197</v>
      </c>
      <c r="B398" s="230">
        <v>2615713394</v>
      </c>
      <c r="C398" s="230" t="s">
        <v>100</v>
      </c>
      <c r="D398" s="230" t="s">
        <v>78</v>
      </c>
      <c r="E398" s="230" t="s">
        <v>198</v>
      </c>
      <c r="F398" s="230" t="s">
        <v>369</v>
      </c>
      <c r="G398" s="230">
        <v>30</v>
      </c>
      <c r="H398" s="230" t="s">
        <v>213</v>
      </c>
      <c r="I398" s="230" t="s">
        <v>231</v>
      </c>
      <c r="J398" s="230" t="s">
        <v>248</v>
      </c>
      <c r="K398" s="230" t="s">
        <v>1146</v>
      </c>
      <c r="L398" s="230" t="s">
        <v>1032</v>
      </c>
      <c r="M398" s="230" t="s">
        <v>1147</v>
      </c>
      <c r="N398" s="230" t="s">
        <v>287</v>
      </c>
      <c r="O398" s="158"/>
      <c r="P398" s="92"/>
      <c r="Q398" s="146"/>
      <c r="R398" s="92"/>
      <c r="S398" s="146"/>
      <c r="T398" s="92"/>
      <c r="U398" s="146"/>
      <c r="V398" s="92"/>
      <c r="W398" s="146"/>
      <c r="X398" s="92"/>
      <c r="Y398" s="146"/>
      <c r="Z398" s="92"/>
      <c r="AA398" s="146"/>
      <c r="AB398" s="92"/>
      <c r="AC398" s="146"/>
      <c r="AD398" s="92"/>
      <c r="AE398" s="146"/>
      <c r="AF398" s="187" t="str">
        <f t="shared" si="27"/>
        <v/>
      </c>
      <c r="AG398" s="54" t="b">
        <f t="shared" si="29"/>
        <v>0</v>
      </c>
      <c r="AH398" s="146"/>
      <c r="AI398" s="210" t="s">
        <v>6</v>
      </c>
      <c r="AJ398" s="97" t="str">
        <f t="shared" si="28"/>
        <v>GUARULHOS</v>
      </c>
      <c r="AK398" s="213" t="s">
        <v>39</v>
      </c>
      <c r="AL398" s="53">
        <v>0.62610396687020287</v>
      </c>
      <c r="AM398" s="53" t="str" cm="1">
        <f t="array" ref="AM398">IF(OR(O398&lt;&gt;"", SUMPRODUCT(($AN$2:$AN$5000=AN398)*($AL$2:$AL$5000&lt;=AL398)) &lt;= (COUNTIF($AN$2:$AN$5000,AN398)*0.5)), "SORTEADO", "-")</f>
        <v>-</v>
      </c>
      <c r="AN398" s="230" t="s">
        <v>1032</v>
      </c>
    </row>
    <row r="399" spans="1:40" ht="30" customHeight="1" x14ac:dyDescent="0.2">
      <c r="A399" s="230" t="s">
        <v>197</v>
      </c>
      <c r="B399" s="230">
        <v>2615422791</v>
      </c>
      <c r="C399" s="230" t="s">
        <v>99</v>
      </c>
      <c r="D399" s="230" t="s">
        <v>80</v>
      </c>
      <c r="E399" s="230" t="s">
        <v>198</v>
      </c>
      <c r="F399" s="230" t="s">
        <v>1148</v>
      </c>
      <c r="G399" s="230">
        <v>60</v>
      </c>
      <c r="H399" s="230" t="s">
        <v>1149</v>
      </c>
      <c r="I399" s="230" t="s">
        <v>1150</v>
      </c>
      <c r="J399" s="230" t="s">
        <v>305</v>
      </c>
      <c r="K399" s="230"/>
      <c r="L399" s="230" t="s">
        <v>1032</v>
      </c>
      <c r="M399" s="230" t="s">
        <v>1151</v>
      </c>
      <c r="N399" s="230" t="s">
        <v>263</v>
      </c>
      <c r="O399" s="157" t="s">
        <v>204</v>
      </c>
      <c r="P399" s="143"/>
      <c r="Q399" s="144" t="s">
        <v>204</v>
      </c>
      <c r="R399" s="143"/>
      <c r="S399" s="144" t="s">
        <v>204</v>
      </c>
      <c r="T399" s="143"/>
      <c r="U399" s="144" t="s">
        <v>204</v>
      </c>
      <c r="V399" s="143"/>
      <c r="W399" s="144" t="s">
        <v>204</v>
      </c>
      <c r="X399" s="143"/>
      <c r="Y399" s="144" t="s">
        <v>204</v>
      </c>
      <c r="Z399" s="143"/>
      <c r="AA399" s="144" t="s">
        <v>204</v>
      </c>
      <c r="AB399" s="143"/>
      <c r="AC399" s="144" t="s">
        <v>204</v>
      </c>
      <c r="AD399" s="56"/>
      <c r="AE399" s="144" t="s">
        <v>204</v>
      </c>
      <c r="AF399" s="187" t="str">
        <f t="shared" si="27"/>
        <v>C</v>
      </c>
      <c r="AG399" s="54" t="str">
        <f t="shared" si="29"/>
        <v>UTILIZOU O PDA CORRETAMENTE</v>
      </c>
      <c r="AH399" s="144" t="s">
        <v>204</v>
      </c>
      <c r="AI399" s="210" t="s">
        <v>6</v>
      </c>
      <c r="AJ399" s="97" t="str">
        <f t="shared" si="28"/>
        <v>GUARULHOS</v>
      </c>
      <c r="AK399" s="213" t="s">
        <v>39</v>
      </c>
      <c r="AL399" s="53">
        <v>0.26521328085958995</v>
      </c>
      <c r="AM399" s="53" t="str" cm="1">
        <f t="array" ref="AM399">IF(OR(O399&lt;&gt;"", SUMPRODUCT(($AN$2:$AN$5000=AN399)*($AL$2:$AL$5000&lt;=AL399)) &lt;= (COUNTIF($AN$2:$AN$5000,AN399)*0.5)), "SORTEADO", "-")</f>
        <v>SORTEADO</v>
      </c>
      <c r="AN399" s="230" t="s">
        <v>1032</v>
      </c>
    </row>
    <row r="400" spans="1:40" ht="30" hidden="1" customHeight="1" x14ac:dyDescent="0.2">
      <c r="A400" s="230" t="s">
        <v>197</v>
      </c>
      <c r="B400" s="230">
        <v>2690536980</v>
      </c>
      <c r="C400" s="230" t="s">
        <v>88</v>
      </c>
      <c r="D400" s="230" t="s">
        <v>77</v>
      </c>
      <c r="E400" s="230" t="s">
        <v>198</v>
      </c>
      <c r="F400" s="230" t="s">
        <v>1152</v>
      </c>
      <c r="G400" s="230">
        <v>168</v>
      </c>
      <c r="H400" s="230" t="s">
        <v>1153</v>
      </c>
      <c r="I400" s="230" t="s">
        <v>269</v>
      </c>
      <c r="J400" s="230" t="s">
        <v>401</v>
      </c>
      <c r="K400" s="230" t="s">
        <v>1154</v>
      </c>
      <c r="L400" s="230" t="s">
        <v>1032</v>
      </c>
      <c r="M400" s="230" t="s">
        <v>1155</v>
      </c>
      <c r="N400" s="230" t="s">
        <v>241</v>
      </c>
      <c r="O400" s="158"/>
      <c r="P400" s="92"/>
      <c r="Q400" s="146"/>
      <c r="R400" s="92"/>
      <c r="S400" s="146"/>
      <c r="T400" s="92"/>
      <c r="U400" s="146"/>
      <c r="V400" s="92"/>
      <c r="W400" s="146"/>
      <c r="X400" s="92"/>
      <c r="Y400" s="146"/>
      <c r="Z400" s="92"/>
      <c r="AA400" s="146"/>
      <c r="AB400" s="92"/>
      <c r="AC400" s="146"/>
      <c r="AD400" s="92"/>
      <c r="AE400" s="146"/>
      <c r="AF400" s="187" t="str">
        <f t="shared" si="27"/>
        <v/>
      </c>
      <c r="AG400" s="54" t="b">
        <f t="shared" si="29"/>
        <v>0</v>
      </c>
      <c r="AH400" s="146"/>
      <c r="AI400" s="210" t="s">
        <v>6</v>
      </c>
      <c r="AJ400" s="97" t="str">
        <f t="shared" si="28"/>
        <v>GUARULHOS</v>
      </c>
      <c r="AK400" s="213" t="s">
        <v>39</v>
      </c>
      <c r="AL400" s="53">
        <v>0.79050299533592783</v>
      </c>
      <c r="AM400" s="53" t="str" cm="1">
        <f t="array" ref="AM400">IF(OR(O400&lt;&gt;"", SUMPRODUCT(($AN$2:$AN$5000=AN400)*($AL$2:$AL$5000&lt;=AL400)) &lt;= (COUNTIF($AN$2:$AN$5000,AN400)*0.5)), "SORTEADO", "-")</f>
        <v>-</v>
      </c>
      <c r="AN400" s="230" t="s">
        <v>1032</v>
      </c>
    </row>
    <row r="401" spans="1:40" ht="30" hidden="1" customHeight="1" x14ac:dyDescent="0.2">
      <c r="A401" s="230" t="s">
        <v>197</v>
      </c>
      <c r="B401" s="230">
        <v>2690493632</v>
      </c>
      <c r="C401" s="230" t="s">
        <v>98</v>
      </c>
      <c r="D401" s="230" t="s">
        <v>80</v>
      </c>
      <c r="E401" s="230" t="s">
        <v>198</v>
      </c>
      <c r="F401" s="230" t="s">
        <v>1156</v>
      </c>
      <c r="G401" s="230">
        <v>23</v>
      </c>
      <c r="H401" s="230"/>
      <c r="I401" s="230" t="s">
        <v>1157</v>
      </c>
      <c r="J401" s="230" t="s">
        <v>297</v>
      </c>
      <c r="K401" s="230" t="s">
        <v>1158</v>
      </c>
      <c r="L401" s="230" t="s">
        <v>1032</v>
      </c>
      <c r="M401" s="230" t="s">
        <v>1159</v>
      </c>
      <c r="N401" s="230" t="s">
        <v>271</v>
      </c>
      <c r="O401" s="158"/>
      <c r="P401" s="92"/>
      <c r="Q401" s="146"/>
      <c r="R401" s="92"/>
      <c r="S401" s="146"/>
      <c r="T401" s="92"/>
      <c r="U401" s="146"/>
      <c r="V401" s="92"/>
      <c r="W401" s="146"/>
      <c r="X401" s="92"/>
      <c r="Y401" s="146"/>
      <c r="Z401" s="92"/>
      <c r="AA401" s="146"/>
      <c r="AB401" s="92"/>
      <c r="AC401" s="146"/>
      <c r="AD401" s="92"/>
      <c r="AE401" s="146"/>
      <c r="AF401" s="187" t="str">
        <f t="shared" si="27"/>
        <v/>
      </c>
      <c r="AG401" s="54" t="b">
        <f t="shared" si="29"/>
        <v>0</v>
      </c>
      <c r="AH401" s="146"/>
      <c r="AI401" s="210" t="s">
        <v>6</v>
      </c>
      <c r="AJ401" s="97" t="str">
        <f t="shared" si="28"/>
        <v>GUARULHOS</v>
      </c>
      <c r="AK401" s="213" t="s">
        <v>39</v>
      </c>
      <c r="AL401" s="53">
        <v>0.78452465248298864</v>
      </c>
      <c r="AM401" s="53" t="str" cm="1">
        <f t="array" ref="AM401">IF(OR(O401&lt;&gt;"", SUMPRODUCT(($AN$2:$AN$5000=AN401)*($AL$2:$AL$5000&lt;=AL401)) &lt;= (COUNTIF($AN$2:$AN$5000,AN401)*0.5)), "SORTEADO", "-")</f>
        <v>-</v>
      </c>
      <c r="AN401" s="230" t="s">
        <v>1032</v>
      </c>
    </row>
    <row r="402" spans="1:40" ht="30" customHeight="1" x14ac:dyDescent="0.2">
      <c r="A402" s="230" t="s">
        <v>197</v>
      </c>
      <c r="B402" s="230">
        <v>2690493632</v>
      </c>
      <c r="C402" s="230" t="s">
        <v>89</v>
      </c>
      <c r="D402" s="230" t="s">
        <v>77</v>
      </c>
      <c r="E402" s="230" t="s">
        <v>198</v>
      </c>
      <c r="F402" s="230" t="s">
        <v>1156</v>
      </c>
      <c r="G402" s="230">
        <v>23</v>
      </c>
      <c r="H402" s="230" t="s">
        <v>213</v>
      </c>
      <c r="I402" s="230" t="s">
        <v>1157</v>
      </c>
      <c r="J402" s="230" t="s">
        <v>346</v>
      </c>
      <c r="K402" s="230" t="s">
        <v>1158</v>
      </c>
      <c r="L402" s="230" t="s">
        <v>1032</v>
      </c>
      <c r="M402" s="230" t="s">
        <v>1160</v>
      </c>
      <c r="N402" s="230" t="s">
        <v>271</v>
      </c>
      <c r="O402" s="158" t="s">
        <v>204</v>
      </c>
      <c r="P402" s="146"/>
      <c r="Q402" s="146" t="s">
        <v>204</v>
      </c>
      <c r="R402" s="209"/>
      <c r="S402" s="146" t="s">
        <v>204</v>
      </c>
      <c r="T402" s="146"/>
      <c r="U402" s="146" t="s">
        <v>204</v>
      </c>
      <c r="V402" s="146"/>
      <c r="W402" s="146" t="s">
        <v>204</v>
      </c>
      <c r="X402" s="146"/>
      <c r="Y402" s="146" t="s">
        <v>61</v>
      </c>
      <c r="Z402" s="146"/>
      <c r="AA402" s="146" t="s">
        <v>204</v>
      </c>
      <c r="AB402" s="146"/>
      <c r="AC402" s="146" t="s">
        <v>204</v>
      </c>
      <c r="AD402" s="146"/>
      <c r="AE402" s="146" t="s">
        <v>204</v>
      </c>
      <c r="AF402" s="187" t="str">
        <f t="shared" si="27"/>
        <v>C</v>
      </c>
      <c r="AG402" s="54" t="str">
        <f t="shared" si="29"/>
        <v>UTILIZOU O PDA CORRETAMENTE</v>
      </c>
      <c r="AH402" s="146" t="s">
        <v>204</v>
      </c>
      <c r="AI402" s="210" t="s">
        <v>6</v>
      </c>
      <c r="AJ402" s="97" t="str">
        <f t="shared" si="28"/>
        <v>GUARULHOS</v>
      </c>
      <c r="AK402" s="213" t="s">
        <v>39</v>
      </c>
      <c r="AL402" s="53">
        <v>7.4840225759204126E-2</v>
      </c>
      <c r="AM402" s="53" t="str" cm="1">
        <f t="array" ref="AM402">IF(OR(O402&lt;&gt;"", SUMPRODUCT(($AN$2:$AN$5000=AN402)*($AL$2:$AL$5000&lt;=AL402)) &lt;= (COUNTIF($AN$2:$AN$5000,AN402)*0.5)), "SORTEADO", "-")</f>
        <v>SORTEADO</v>
      </c>
      <c r="AN402" s="230" t="s">
        <v>1032</v>
      </c>
    </row>
    <row r="403" spans="1:40" ht="30" customHeight="1" x14ac:dyDescent="0.2">
      <c r="A403" s="230" t="s">
        <v>197</v>
      </c>
      <c r="B403" s="230">
        <v>2615422827</v>
      </c>
      <c r="C403" s="230" t="s">
        <v>99</v>
      </c>
      <c r="D403" s="230" t="s">
        <v>80</v>
      </c>
      <c r="E403" s="230" t="s">
        <v>198</v>
      </c>
      <c r="F403" s="230" t="s">
        <v>1161</v>
      </c>
      <c r="G403" s="230">
        <v>530</v>
      </c>
      <c r="H403" s="230" t="s">
        <v>1162</v>
      </c>
      <c r="I403" s="230" t="s">
        <v>1163</v>
      </c>
      <c r="J403" s="230" t="s">
        <v>305</v>
      </c>
      <c r="K403" s="230" t="s">
        <v>409</v>
      </c>
      <c r="L403" s="230" t="s">
        <v>1032</v>
      </c>
      <c r="M403" s="230" t="s">
        <v>1164</v>
      </c>
      <c r="N403" s="230" t="s">
        <v>303</v>
      </c>
      <c r="O403" s="157" t="s">
        <v>204</v>
      </c>
      <c r="P403" s="143"/>
      <c r="Q403" s="144" t="s">
        <v>204</v>
      </c>
      <c r="R403" s="143"/>
      <c r="S403" s="144" t="s">
        <v>204</v>
      </c>
      <c r="T403" s="143"/>
      <c r="U403" s="144" t="s">
        <v>204</v>
      </c>
      <c r="V403" s="143"/>
      <c r="W403" s="144" t="s">
        <v>204</v>
      </c>
      <c r="X403" s="143"/>
      <c r="Y403" s="144" t="s">
        <v>204</v>
      </c>
      <c r="Z403" s="143"/>
      <c r="AA403" s="144" t="s">
        <v>204</v>
      </c>
      <c r="AB403" s="143"/>
      <c r="AC403" s="144" t="s">
        <v>204</v>
      </c>
      <c r="AD403" s="56"/>
      <c r="AE403" s="144" t="s">
        <v>204</v>
      </c>
      <c r="AF403" s="187" t="str">
        <f t="shared" si="27"/>
        <v>C</v>
      </c>
      <c r="AG403" s="54" t="str">
        <f t="shared" si="29"/>
        <v>UTILIZOU O PDA CORRETAMENTE</v>
      </c>
      <c r="AH403" s="144" t="s">
        <v>204</v>
      </c>
      <c r="AI403" s="210" t="s">
        <v>6</v>
      </c>
      <c r="AJ403" s="97" t="str">
        <f t="shared" si="28"/>
        <v>GUARULHOS</v>
      </c>
      <c r="AK403" s="213" t="s">
        <v>39</v>
      </c>
      <c r="AL403" s="53">
        <v>0.18129324642702349</v>
      </c>
      <c r="AM403" s="53" t="str" cm="1">
        <f t="array" ref="AM403">IF(OR(O403&lt;&gt;"", SUMPRODUCT(($AN$2:$AN$5000=AN403)*($AL$2:$AL$5000&lt;=AL403)) &lt;= (COUNTIF($AN$2:$AN$5000,AN403)*0.5)), "SORTEADO", "-")</f>
        <v>SORTEADO</v>
      </c>
      <c r="AN403" s="230" t="s">
        <v>1032</v>
      </c>
    </row>
    <row r="404" spans="1:40" ht="30" hidden="1" customHeight="1" x14ac:dyDescent="0.2">
      <c r="A404" s="230" t="s">
        <v>197</v>
      </c>
      <c r="B404" s="230">
        <v>2615729133</v>
      </c>
      <c r="C404" s="230" t="s">
        <v>105</v>
      </c>
      <c r="D404" s="230" t="s">
        <v>80</v>
      </c>
      <c r="E404" s="230" t="s">
        <v>198</v>
      </c>
      <c r="F404" s="230" t="s">
        <v>1034</v>
      </c>
      <c r="G404" s="230">
        <v>401</v>
      </c>
      <c r="H404" s="230" t="s">
        <v>235</v>
      </c>
      <c r="I404" s="230" t="s">
        <v>708</v>
      </c>
      <c r="J404" s="230" t="s">
        <v>226</v>
      </c>
      <c r="K404" s="230" t="s">
        <v>1165</v>
      </c>
      <c r="L404" s="230" t="s">
        <v>1032</v>
      </c>
      <c r="M404" s="230" t="s">
        <v>1166</v>
      </c>
      <c r="N404" s="230" t="s">
        <v>287</v>
      </c>
      <c r="O404" s="158"/>
      <c r="P404" s="92"/>
      <c r="Q404" s="146"/>
      <c r="R404" s="92"/>
      <c r="S404" s="146"/>
      <c r="T404" s="92"/>
      <c r="U404" s="146"/>
      <c r="V404" s="92"/>
      <c r="W404" s="146"/>
      <c r="X404" s="92"/>
      <c r="Y404" s="146"/>
      <c r="Z404" s="92"/>
      <c r="AA404" s="146"/>
      <c r="AB404" s="92"/>
      <c r="AC404" s="146"/>
      <c r="AD404" s="92"/>
      <c r="AE404" s="146"/>
      <c r="AF404" s="187" t="str">
        <f t="shared" si="27"/>
        <v/>
      </c>
      <c r="AG404" s="54" t="b">
        <f t="shared" si="29"/>
        <v>0</v>
      </c>
      <c r="AH404" s="146"/>
      <c r="AI404" s="210" t="s">
        <v>6</v>
      </c>
      <c r="AJ404" s="97" t="str">
        <f t="shared" si="28"/>
        <v>GUARULHOS</v>
      </c>
      <c r="AK404" s="213" t="s">
        <v>39</v>
      </c>
      <c r="AL404" s="53">
        <v>0.86221726525712339</v>
      </c>
      <c r="AM404" s="53" t="str" cm="1">
        <f t="array" ref="AM404">IF(OR(O404&lt;&gt;"", SUMPRODUCT(($AN$2:$AN$5000=AN404)*($AL$2:$AL$5000&lt;=AL404)) &lt;= (COUNTIF($AN$2:$AN$5000,AN404)*0.5)), "SORTEADO", "-")</f>
        <v>-</v>
      </c>
      <c r="AN404" s="230" t="s">
        <v>1032</v>
      </c>
    </row>
    <row r="405" spans="1:40" ht="30" hidden="1" customHeight="1" x14ac:dyDescent="0.2">
      <c r="A405" s="230" t="s">
        <v>197</v>
      </c>
      <c r="B405" s="230">
        <v>2615422544</v>
      </c>
      <c r="C405" s="230" t="s">
        <v>99</v>
      </c>
      <c r="D405" s="230" t="s">
        <v>80</v>
      </c>
      <c r="E405" s="230" t="s">
        <v>198</v>
      </c>
      <c r="F405" s="230" t="s">
        <v>1167</v>
      </c>
      <c r="G405" s="230">
        <v>22</v>
      </c>
      <c r="H405" s="230"/>
      <c r="I405" s="230" t="s">
        <v>667</v>
      </c>
      <c r="J405" s="230" t="s">
        <v>305</v>
      </c>
      <c r="K405" s="230"/>
      <c r="L405" s="230" t="s">
        <v>1032</v>
      </c>
      <c r="M405" s="230" t="s">
        <v>1168</v>
      </c>
      <c r="N405" s="230" t="s">
        <v>260</v>
      </c>
      <c r="O405" s="158"/>
      <c r="P405" s="92"/>
      <c r="Q405" s="146"/>
      <c r="R405" s="92"/>
      <c r="S405" s="146"/>
      <c r="T405" s="92"/>
      <c r="U405" s="146"/>
      <c r="V405" s="92"/>
      <c r="W405" s="146"/>
      <c r="X405" s="92"/>
      <c r="Y405" s="146"/>
      <c r="Z405" s="92"/>
      <c r="AA405" s="146"/>
      <c r="AB405" s="92"/>
      <c r="AC405" s="146"/>
      <c r="AD405" s="92"/>
      <c r="AE405" s="146"/>
      <c r="AF405" s="187" t="str">
        <f t="shared" si="27"/>
        <v/>
      </c>
      <c r="AG405" s="54" t="b">
        <f t="shared" si="29"/>
        <v>0</v>
      </c>
      <c r="AH405" s="146"/>
      <c r="AI405" s="210" t="s">
        <v>6</v>
      </c>
      <c r="AJ405" s="97" t="str">
        <f t="shared" si="28"/>
        <v>GUARULHOS</v>
      </c>
      <c r="AK405" s="213" t="s">
        <v>39</v>
      </c>
      <c r="AL405" s="53">
        <v>0.46484068227989328</v>
      </c>
      <c r="AM405" s="53" t="str" cm="1">
        <f t="array" ref="AM405">IF(OR(O405&lt;&gt;"", SUMPRODUCT(($AN$2:$AN$5000=AN405)*($AL$2:$AL$5000&lt;=AL405)) &lt;= (COUNTIF($AN$2:$AN$5000,AN405)*0.5)), "SORTEADO", "-")</f>
        <v>-</v>
      </c>
      <c r="AN405" s="230" t="s">
        <v>1032</v>
      </c>
    </row>
    <row r="406" spans="1:40" ht="30" hidden="1" customHeight="1" x14ac:dyDescent="0.2">
      <c r="A406" s="230" t="s">
        <v>197</v>
      </c>
      <c r="B406" s="230">
        <v>2615735488</v>
      </c>
      <c r="C406" s="230" t="s">
        <v>105</v>
      </c>
      <c r="D406" s="230" t="s">
        <v>80</v>
      </c>
      <c r="E406" s="230" t="s">
        <v>198</v>
      </c>
      <c r="F406" s="230" t="s">
        <v>1169</v>
      </c>
      <c r="G406" s="230">
        <v>175</v>
      </c>
      <c r="H406" s="230" t="s">
        <v>1170</v>
      </c>
      <c r="I406" s="230" t="s">
        <v>919</v>
      </c>
      <c r="J406" s="230" t="s">
        <v>226</v>
      </c>
      <c r="K406" s="237" t="s">
        <v>1171</v>
      </c>
      <c r="L406" s="230" t="s">
        <v>1032</v>
      </c>
      <c r="M406" s="230" t="s">
        <v>1172</v>
      </c>
      <c r="N406" s="230" t="s">
        <v>432</v>
      </c>
      <c r="O406" s="158"/>
      <c r="P406" s="92"/>
      <c r="Q406" s="146"/>
      <c r="R406" s="92"/>
      <c r="S406" s="146"/>
      <c r="T406" s="92"/>
      <c r="U406" s="146"/>
      <c r="V406" s="92"/>
      <c r="W406" s="146"/>
      <c r="X406" s="92"/>
      <c r="Y406" s="146"/>
      <c r="Z406" s="92"/>
      <c r="AA406" s="146"/>
      <c r="AB406" s="92"/>
      <c r="AC406" s="146"/>
      <c r="AD406" s="92"/>
      <c r="AE406" s="146"/>
      <c r="AF406" s="187" t="str">
        <f t="shared" si="27"/>
        <v/>
      </c>
      <c r="AG406" s="54" t="b">
        <f t="shared" si="29"/>
        <v>0</v>
      </c>
      <c r="AH406" s="146"/>
      <c r="AI406" s="210" t="s">
        <v>6</v>
      </c>
      <c r="AJ406" s="97" t="str">
        <f t="shared" si="28"/>
        <v>GUARULHOS</v>
      </c>
      <c r="AK406" s="213" t="s">
        <v>39</v>
      </c>
      <c r="AL406" s="53">
        <v>0.99795859848206214</v>
      </c>
      <c r="AM406" s="53" t="str" cm="1">
        <f t="array" ref="AM406">IF(OR(O406&lt;&gt;"", SUMPRODUCT(($AN$2:$AN$5000=AN406)*($AL$2:$AL$5000&lt;=AL406)) &lt;= (COUNTIF($AN$2:$AN$5000,AN406)*0.5)), "SORTEADO", "-")</f>
        <v>-</v>
      </c>
      <c r="AN406" s="230" t="s">
        <v>1032</v>
      </c>
    </row>
    <row r="407" spans="1:40" ht="30" customHeight="1" x14ac:dyDescent="0.2">
      <c r="A407" s="230" t="s">
        <v>197</v>
      </c>
      <c r="B407" s="230">
        <v>2615741135</v>
      </c>
      <c r="C407" s="230" t="s">
        <v>100</v>
      </c>
      <c r="D407" s="230" t="s">
        <v>78</v>
      </c>
      <c r="E407" s="230" t="s">
        <v>198</v>
      </c>
      <c r="F407" s="230" t="s">
        <v>1173</v>
      </c>
      <c r="G407" s="230">
        <v>71</v>
      </c>
      <c r="H407" s="230"/>
      <c r="I407" s="230" t="s">
        <v>416</v>
      </c>
      <c r="J407" s="230" t="s">
        <v>248</v>
      </c>
      <c r="K407" s="230" t="s">
        <v>1174</v>
      </c>
      <c r="L407" s="230" t="s">
        <v>1032</v>
      </c>
      <c r="M407" s="230" t="s">
        <v>1175</v>
      </c>
      <c r="N407" s="230" t="s">
        <v>348</v>
      </c>
      <c r="O407" s="157" t="s">
        <v>204</v>
      </c>
      <c r="P407" s="143"/>
      <c r="Q407" s="144" t="s">
        <v>204</v>
      </c>
      <c r="R407" s="143"/>
      <c r="S407" s="144" t="s">
        <v>204</v>
      </c>
      <c r="T407" s="143"/>
      <c r="U407" s="144" t="s">
        <v>204</v>
      </c>
      <c r="V407" s="143"/>
      <c r="W407" s="144" t="s">
        <v>204</v>
      </c>
      <c r="X407" s="143"/>
      <c r="Y407" s="144" t="s">
        <v>204</v>
      </c>
      <c r="Z407" s="143"/>
      <c r="AA407" s="144" t="s">
        <v>204</v>
      </c>
      <c r="AB407" s="143"/>
      <c r="AC407" s="144" t="s">
        <v>204</v>
      </c>
      <c r="AD407" s="56"/>
      <c r="AE407" s="144" t="s">
        <v>204</v>
      </c>
      <c r="AF407" s="187" t="str">
        <f t="shared" si="27"/>
        <v>C</v>
      </c>
      <c r="AG407" s="54" t="str">
        <f t="shared" si="29"/>
        <v>UTILIZOU O PDA CORRETAMENTE</v>
      </c>
      <c r="AH407" s="144" t="s">
        <v>204</v>
      </c>
      <c r="AI407" s="210" t="s">
        <v>6</v>
      </c>
      <c r="AJ407" s="97" t="str">
        <f t="shared" si="28"/>
        <v>GUARULHOS</v>
      </c>
      <c r="AK407" s="213" t="s">
        <v>39</v>
      </c>
      <c r="AL407" s="53">
        <v>0.24687549988659019</v>
      </c>
      <c r="AM407" s="53" t="str" cm="1">
        <f t="array" ref="AM407">IF(OR(O407&lt;&gt;"", SUMPRODUCT(($AN$2:$AN$5000=AN407)*($AL$2:$AL$5000&lt;=AL407)) &lt;= (COUNTIF($AN$2:$AN$5000,AN407)*0.5)), "SORTEADO", "-")</f>
        <v>SORTEADO</v>
      </c>
      <c r="AN407" s="230" t="s">
        <v>1032</v>
      </c>
    </row>
    <row r="408" spans="1:40" ht="30" hidden="1" customHeight="1" x14ac:dyDescent="0.2">
      <c r="A408" s="230" t="s">
        <v>197</v>
      </c>
      <c r="B408" s="230">
        <v>2615614404</v>
      </c>
      <c r="C408" s="230" t="s">
        <v>98</v>
      </c>
      <c r="D408" s="230" t="s">
        <v>80</v>
      </c>
      <c r="E408" s="230" t="s">
        <v>198</v>
      </c>
      <c r="F408" s="230" t="s">
        <v>1173</v>
      </c>
      <c r="G408" s="230">
        <v>77</v>
      </c>
      <c r="H408" s="230" t="s">
        <v>213</v>
      </c>
      <c r="I408" s="230" t="s">
        <v>416</v>
      </c>
      <c r="J408" s="230" t="s">
        <v>297</v>
      </c>
      <c r="K408" s="230" t="s">
        <v>831</v>
      </c>
      <c r="L408" s="230" t="s">
        <v>1032</v>
      </c>
      <c r="M408" s="230" t="s">
        <v>1176</v>
      </c>
      <c r="N408" s="230" t="s">
        <v>348</v>
      </c>
      <c r="O408" s="158"/>
      <c r="P408" s="92"/>
      <c r="Q408" s="146"/>
      <c r="R408" s="92"/>
      <c r="S408" s="146"/>
      <c r="T408" s="92"/>
      <c r="U408" s="146"/>
      <c r="V408" s="92"/>
      <c r="W408" s="146"/>
      <c r="X408" s="92"/>
      <c r="Y408" s="146"/>
      <c r="Z408" s="92"/>
      <c r="AA408" s="146"/>
      <c r="AB408" s="92"/>
      <c r="AC408" s="146"/>
      <c r="AD408" s="92"/>
      <c r="AE408" s="146"/>
      <c r="AF408" s="187" t="str">
        <f t="shared" si="27"/>
        <v/>
      </c>
      <c r="AG408" s="54" t="b">
        <f t="shared" si="29"/>
        <v>0</v>
      </c>
      <c r="AH408" s="146"/>
      <c r="AI408" s="210" t="s">
        <v>6</v>
      </c>
      <c r="AJ408" s="97" t="str">
        <f t="shared" si="28"/>
        <v>GUARULHOS</v>
      </c>
      <c r="AK408" s="213" t="s">
        <v>39</v>
      </c>
      <c r="AL408" s="53">
        <v>0.6292323859638983</v>
      </c>
      <c r="AM408" s="53" t="str" cm="1">
        <f t="array" ref="AM408">IF(OR(O408&lt;&gt;"", SUMPRODUCT(($AN$2:$AN$5000=AN408)*($AL$2:$AL$5000&lt;=AL408)) &lt;= (COUNTIF($AN$2:$AN$5000,AN408)*0.5)), "SORTEADO", "-")</f>
        <v>-</v>
      </c>
      <c r="AN408" s="230" t="s">
        <v>1032</v>
      </c>
    </row>
    <row r="409" spans="1:40" ht="30" hidden="1" customHeight="1" x14ac:dyDescent="0.2">
      <c r="A409" s="230" t="s">
        <v>197</v>
      </c>
      <c r="B409" s="230">
        <v>2615746460</v>
      </c>
      <c r="C409" s="230" t="s">
        <v>100</v>
      </c>
      <c r="D409" s="230" t="s">
        <v>78</v>
      </c>
      <c r="E409" s="230" t="s">
        <v>198</v>
      </c>
      <c r="F409" s="230" t="s">
        <v>1177</v>
      </c>
      <c r="G409" s="230">
        <v>5</v>
      </c>
      <c r="H409" s="230" t="s">
        <v>1178</v>
      </c>
      <c r="I409" s="230" t="s">
        <v>557</v>
      </c>
      <c r="J409" s="230" t="s">
        <v>248</v>
      </c>
      <c r="K409" s="237" t="s">
        <v>1179</v>
      </c>
      <c r="L409" s="230" t="s">
        <v>1032</v>
      </c>
      <c r="M409" s="230" t="s">
        <v>1180</v>
      </c>
      <c r="N409" s="230" t="s">
        <v>432</v>
      </c>
      <c r="O409" s="158"/>
      <c r="P409" s="92"/>
      <c r="Q409" s="146"/>
      <c r="R409" s="92"/>
      <c r="S409" s="146"/>
      <c r="T409" s="92"/>
      <c r="U409" s="146"/>
      <c r="V409" s="92"/>
      <c r="W409" s="146"/>
      <c r="X409" s="92"/>
      <c r="Y409" s="146"/>
      <c r="Z409" s="92"/>
      <c r="AA409" s="146"/>
      <c r="AB409" s="92"/>
      <c r="AC409" s="146"/>
      <c r="AD409" s="92"/>
      <c r="AE409" s="146"/>
      <c r="AF409" s="187" t="str">
        <f t="shared" si="27"/>
        <v/>
      </c>
      <c r="AG409" s="54" t="b">
        <f t="shared" si="29"/>
        <v>0</v>
      </c>
      <c r="AH409" s="146"/>
      <c r="AI409" s="210" t="s">
        <v>6</v>
      </c>
      <c r="AJ409" s="97" t="str">
        <f t="shared" si="28"/>
        <v>GUARULHOS</v>
      </c>
      <c r="AK409" s="213" t="s">
        <v>39</v>
      </c>
      <c r="AL409" s="53">
        <v>0.97900036646999522</v>
      </c>
      <c r="AM409" s="53" t="str" cm="1">
        <f t="array" ref="AM409">IF(OR(O409&lt;&gt;"", SUMPRODUCT(($AN$2:$AN$5000=AN409)*($AL$2:$AL$5000&lt;=AL409)) &lt;= (COUNTIF($AN$2:$AN$5000,AN409)*0.5)), "SORTEADO", "-")</f>
        <v>-</v>
      </c>
      <c r="AN409" s="230" t="s">
        <v>1032</v>
      </c>
    </row>
    <row r="410" spans="1:40" ht="30" customHeight="1" x14ac:dyDescent="0.2">
      <c r="A410" s="230" t="s">
        <v>197</v>
      </c>
      <c r="B410" s="230">
        <v>2615745732</v>
      </c>
      <c r="C410" s="230" t="s">
        <v>82</v>
      </c>
      <c r="D410" s="230" t="s">
        <v>80</v>
      </c>
      <c r="E410" s="230" t="s">
        <v>198</v>
      </c>
      <c r="F410" s="230" t="s">
        <v>1181</v>
      </c>
      <c r="G410" s="230">
        <v>108</v>
      </c>
      <c r="H410" s="230" t="s">
        <v>1182</v>
      </c>
      <c r="I410" s="230" t="s">
        <v>509</v>
      </c>
      <c r="J410" s="230" t="s">
        <v>270</v>
      </c>
      <c r="K410" s="230" t="s">
        <v>1183</v>
      </c>
      <c r="L410" s="230" t="s">
        <v>1032</v>
      </c>
      <c r="M410" s="230" t="s">
        <v>1184</v>
      </c>
      <c r="N410" s="230" t="s">
        <v>381</v>
      </c>
      <c r="O410" s="158" t="s">
        <v>204</v>
      </c>
      <c r="P410" s="92"/>
      <c r="Q410" s="146" t="s">
        <v>61</v>
      </c>
      <c r="R410" s="92"/>
      <c r="S410" s="146" t="s">
        <v>61</v>
      </c>
      <c r="T410" s="92"/>
      <c r="U410" s="146" t="s">
        <v>61</v>
      </c>
      <c r="V410" s="92"/>
      <c r="W410" s="146" t="s">
        <v>204</v>
      </c>
      <c r="X410" s="92"/>
      <c r="Y410" s="146" t="s">
        <v>61</v>
      </c>
      <c r="Z410" s="92"/>
      <c r="AA410" s="146" t="s">
        <v>328</v>
      </c>
      <c r="AB410" s="92"/>
      <c r="AC410" s="146" t="s">
        <v>210</v>
      </c>
      <c r="AD410" s="92"/>
      <c r="AE410" s="146" t="s">
        <v>204</v>
      </c>
      <c r="AF410" s="187" t="str">
        <f t="shared" si="27"/>
        <v>NC</v>
      </c>
      <c r="AG410" s="54" t="str">
        <f t="shared" si="29"/>
        <v>UTILIZOU O PDA CORRETAMENTE. NÃO HÁ FOTOS DE TODAS AS ETAPAS</v>
      </c>
      <c r="AH410" s="146" t="s">
        <v>204</v>
      </c>
      <c r="AI410" s="210" t="s">
        <v>6</v>
      </c>
      <c r="AJ410" s="97" t="str">
        <f t="shared" si="28"/>
        <v>GUARULHOS</v>
      </c>
      <c r="AK410" s="213" t="s">
        <v>39</v>
      </c>
      <c r="AL410" s="53">
        <v>-8.1799999999999998E-2</v>
      </c>
      <c r="AM410" s="53" t="str" cm="1">
        <f t="array" ref="AM410">IF(OR(O410&lt;&gt;"", SUMPRODUCT(($AN$2:$AN$5000=AN410)*($AL$2:$AL$5000&lt;=AL410)) &lt;= (COUNTIF($AN$2:$AN$5000,AN410)*0.5)), "SORTEADO", "-")</f>
        <v>SORTEADO</v>
      </c>
      <c r="AN410" s="230" t="s">
        <v>1032</v>
      </c>
    </row>
    <row r="411" spans="1:40" ht="30" customHeight="1" x14ac:dyDescent="0.2">
      <c r="A411" s="230" t="s">
        <v>197</v>
      </c>
      <c r="B411" s="230">
        <v>2615422751</v>
      </c>
      <c r="C411" s="230" t="s">
        <v>99</v>
      </c>
      <c r="D411" s="230" t="s">
        <v>80</v>
      </c>
      <c r="E411" s="230" t="s">
        <v>198</v>
      </c>
      <c r="F411" s="230" t="s">
        <v>1185</v>
      </c>
      <c r="G411" s="230">
        <v>181</v>
      </c>
      <c r="H411" s="230"/>
      <c r="I411" s="230" t="s">
        <v>1150</v>
      </c>
      <c r="J411" s="230" t="s">
        <v>305</v>
      </c>
      <c r="K411" s="230"/>
      <c r="L411" s="230" t="s">
        <v>1032</v>
      </c>
      <c r="M411" s="230" t="s">
        <v>1186</v>
      </c>
      <c r="N411" s="230" t="s">
        <v>263</v>
      </c>
      <c r="O411" s="157" t="s">
        <v>204</v>
      </c>
      <c r="P411" s="143"/>
      <c r="Q411" s="144" t="s">
        <v>204</v>
      </c>
      <c r="R411" s="143"/>
      <c r="S411" s="144" t="s">
        <v>204</v>
      </c>
      <c r="T411" s="143"/>
      <c r="U411" s="144" t="s">
        <v>204</v>
      </c>
      <c r="V411" s="143"/>
      <c r="W411" s="144" t="s">
        <v>204</v>
      </c>
      <c r="X411" s="143"/>
      <c r="Y411" s="144" t="s">
        <v>204</v>
      </c>
      <c r="Z411" s="143"/>
      <c r="AA411" s="144" t="s">
        <v>204</v>
      </c>
      <c r="AB411" s="143"/>
      <c r="AC411" s="144" t="s">
        <v>204</v>
      </c>
      <c r="AD411" s="56"/>
      <c r="AE411" s="144" t="s">
        <v>204</v>
      </c>
      <c r="AF411" s="187" t="str">
        <f t="shared" si="27"/>
        <v>C</v>
      </c>
      <c r="AG411" s="54" t="str">
        <f t="shared" si="29"/>
        <v>UTILIZOU O PDA CORRETAMENTE</v>
      </c>
      <c r="AH411" s="144" t="s">
        <v>204</v>
      </c>
      <c r="AI411" s="210" t="s">
        <v>6</v>
      </c>
      <c r="AJ411" s="97" t="str">
        <f t="shared" si="28"/>
        <v>GUARULHOS</v>
      </c>
      <c r="AK411" s="213" t="s">
        <v>39</v>
      </c>
      <c r="AL411" s="53">
        <v>1.9441181258875062E-2</v>
      </c>
      <c r="AM411" s="53" t="str" cm="1">
        <f t="array" ref="AM411">IF(OR(O411&lt;&gt;"", SUMPRODUCT(($AN$2:$AN$5000=AN411)*($AL$2:$AL$5000&lt;=AL411)) &lt;= (COUNTIF($AN$2:$AN$5000,AN411)*0.5)), "SORTEADO", "-")</f>
        <v>SORTEADO</v>
      </c>
      <c r="AN411" s="230" t="s">
        <v>1032</v>
      </c>
    </row>
    <row r="412" spans="1:40" ht="30" hidden="1" customHeight="1" x14ac:dyDescent="0.2">
      <c r="A412" s="242" t="s">
        <v>197</v>
      </c>
      <c r="B412" s="242">
        <v>2690577750</v>
      </c>
      <c r="C412" s="242" t="s">
        <v>88</v>
      </c>
      <c r="D412" s="242" t="s">
        <v>77</v>
      </c>
      <c r="E412" s="242" t="s">
        <v>198</v>
      </c>
      <c r="F412" s="242" t="s">
        <v>969</v>
      </c>
      <c r="G412" s="242">
        <v>78</v>
      </c>
      <c r="H412" s="242" t="s">
        <v>213</v>
      </c>
      <c r="I412" s="242" t="s">
        <v>971</v>
      </c>
      <c r="J412" s="242" t="s">
        <v>401</v>
      </c>
      <c r="K412" s="242" t="s">
        <v>321</v>
      </c>
      <c r="L412" s="242" t="s">
        <v>1032</v>
      </c>
      <c r="M412" s="242" t="s">
        <v>1187</v>
      </c>
      <c r="N412" s="242" t="s">
        <v>322</v>
      </c>
      <c r="O412" s="158"/>
      <c r="P412" s="92"/>
      <c r="Q412" s="146"/>
      <c r="R412" s="92"/>
      <c r="S412" s="146"/>
      <c r="T412" s="92"/>
      <c r="U412" s="146"/>
      <c r="V412" s="92"/>
      <c r="W412" s="146"/>
      <c r="X412" s="92"/>
      <c r="Y412" s="146"/>
      <c r="Z412" s="92"/>
      <c r="AA412" s="146"/>
      <c r="AB412" s="92"/>
      <c r="AC412" s="146"/>
      <c r="AD412" s="92"/>
      <c r="AE412" s="146"/>
      <c r="AF412" s="187" t="str">
        <f t="shared" si="27"/>
        <v/>
      </c>
      <c r="AG412" s="54" t="b">
        <f t="shared" si="29"/>
        <v>0</v>
      </c>
      <c r="AH412" s="146"/>
      <c r="AI412" s="210" t="s">
        <v>6</v>
      </c>
      <c r="AJ412" s="97" t="str">
        <f t="shared" si="28"/>
        <v>GUARULHOS</v>
      </c>
      <c r="AK412" s="213" t="s">
        <v>39</v>
      </c>
      <c r="AL412" s="53">
        <v>0.86475087070360313</v>
      </c>
      <c r="AM412" s="53" t="str" cm="1">
        <f t="array" ref="AM412">IF(OR(O412&lt;&gt;"", SUMPRODUCT(($AN$2:$AN$5000=AN412)*($AL$2:$AL$5000&lt;=AL412)) &lt;= (COUNTIF($AN$2:$AN$5000,AN412)*0.5)), "SORTEADO", "-")</f>
        <v>-</v>
      </c>
      <c r="AN412" s="242" t="s">
        <v>1032</v>
      </c>
    </row>
    <row r="413" spans="1:40" ht="30" hidden="1" customHeight="1" x14ac:dyDescent="0.2">
      <c r="A413" s="230" t="s">
        <v>197</v>
      </c>
      <c r="B413" s="230">
        <v>2615312503</v>
      </c>
      <c r="C413" s="230" t="s">
        <v>91</v>
      </c>
      <c r="D413" s="230" t="s">
        <v>76</v>
      </c>
      <c r="E413" s="230" t="s">
        <v>198</v>
      </c>
      <c r="F413" s="230" t="s">
        <v>1188</v>
      </c>
      <c r="G413" s="230">
        <v>144</v>
      </c>
      <c r="H413" s="230" t="s">
        <v>1189</v>
      </c>
      <c r="I413" s="230" t="s">
        <v>1190</v>
      </c>
      <c r="J413" s="230" t="s">
        <v>448</v>
      </c>
      <c r="K413" s="230" t="s">
        <v>1191</v>
      </c>
      <c r="L413" s="230" t="s">
        <v>1192</v>
      </c>
      <c r="M413" s="230" t="s">
        <v>1193</v>
      </c>
      <c r="N413" s="230" t="s">
        <v>408</v>
      </c>
      <c r="O413" s="158"/>
      <c r="P413" s="92"/>
      <c r="Q413" s="146"/>
      <c r="R413" s="92"/>
      <c r="S413" s="146"/>
      <c r="T413" s="92"/>
      <c r="U413" s="146"/>
      <c r="V413" s="92"/>
      <c r="W413" s="146"/>
      <c r="X413" s="92"/>
      <c r="Y413" s="146"/>
      <c r="Z413" s="92"/>
      <c r="AA413" s="146"/>
      <c r="AB413" s="92"/>
      <c r="AC413" s="146"/>
      <c r="AD413" s="92"/>
      <c r="AE413" s="146"/>
      <c r="AF413" s="187" t="str">
        <f t="shared" si="27"/>
        <v/>
      </c>
      <c r="AG413" s="54" t="b">
        <f t="shared" si="29"/>
        <v>0</v>
      </c>
      <c r="AH413" s="146"/>
      <c r="AI413" s="210" t="s">
        <v>6</v>
      </c>
      <c r="AJ413" s="97" t="str">
        <f t="shared" si="28"/>
        <v>GUARULHOS</v>
      </c>
      <c r="AK413" s="213" t="s">
        <v>39</v>
      </c>
      <c r="AL413" s="53">
        <v>0.50308287891125403</v>
      </c>
      <c r="AM413" s="53" t="str" cm="1">
        <f t="array" ref="AM413">IF(OR(O413&lt;&gt;"", SUMPRODUCT(($AN$2:$AN$5000=AN413)*($AL$2:$AL$5000&lt;=AL413)) &lt;= (COUNTIF($AN$2:$AN$5000,AN413)*0.5)), "SORTEADO", "-")</f>
        <v>-</v>
      </c>
      <c r="AN413" s="230" t="s">
        <v>1192</v>
      </c>
    </row>
    <row r="414" spans="1:40" ht="30" customHeight="1" x14ac:dyDescent="0.2">
      <c r="A414" s="230" t="s">
        <v>197</v>
      </c>
      <c r="B414" s="230">
        <v>2615320067</v>
      </c>
      <c r="C414" s="230" t="s">
        <v>94</v>
      </c>
      <c r="D414" s="230" t="s">
        <v>76</v>
      </c>
      <c r="E414" s="230" t="s">
        <v>198</v>
      </c>
      <c r="F414" s="230" t="s">
        <v>1194</v>
      </c>
      <c r="G414" s="230">
        <v>59</v>
      </c>
      <c r="H414" s="230" t="s">
        <v>206</v>
      </c>
      <c r="I414" s="230" t="s">
        <v>1195</v>
      </c>
      <c r="J414" s="230" t="s">
        <v>94</v>
      </c>
      <c r="K414" s="230" t="s">
        <v>1196</v>
      </c>
      <c r="L414" s="230" t="s">
        <v>1192</v>
      </c>
      <c r="M414" s="230" t="s">
        <v>1197</v>
      </c>
      <c r="N414" s="230" t="s">
        <v>408</v>
      </c>
      <c r="O414" s="158" t="s">
        <v>204</v>
      </c>
      <c r="P414" s="92"/>
      <c r="Q414" s="146" t="s">
        <v>204</v>
      </c>
      <c r="R414" s="92"/>
      <c r="S414" s="146" t="s">
        <v>204</v>
      </c>
      <c r="T414" s="92"/>
      <c r="U414" s="146" t="s">
        <v>204</v>
      </c>
      <c r="V414" s="92"/>
      <c r="W414" s="146" t="s">
        <v>204</v>
      </c>
      <c r="X414" s="92"/>
      <c r="Y414" s="146" t="s">
        <v>204</v>
      </c>
      <c r="Z414" s="92"/>
      <c r="AA414" s="146" t="s">
        <v>204</v>
      </c>
      <c r="AB414" s="92"/>
      <c r="AC414" s="146" t="s">
        <v>204</v>
      </c>
      <c r="AD414" s="92"/>
      <c r="AE414" s="146" t="s">
        <v>204</v>
      </c>
      <c r="AF414" s="187" t="str">
        <f t="shared" si="27"/>
        <v>C</v>
      </c>
      <c r="AG414" s="54" t="str">
        <f t="shared" si="29"/>
        <v>UTILIZOU O PDA CORRETAMENTE</v>
      </c>
      <c r="AH414" s="146" t="s">
        <v>204</v>
      </c>
      <c r="AI414" s="210" t="s">
        <v>6</v>
      </c>
      <c r="AJ414" s="97" t="str">
        <f t="shared" si="28"/>
        <v>GUARULHOS</v>
      </c>
      <c r="AK414" s="213" t="s">
        <v>39</v>
      </c>
      <c r="AL414" s="53">
        <v>0.27655250301956535</v>
      </c>
      <c r="AM414" s="53" t="str" cm="1">
        <f t="array" ref="AM414">IF(OR(O414&lt;&gt;"", SUMPRODUCT(($AN$2:$AN$5000=AN414)*($AL$2:$AL$5000&lt;=AL414)) &lt;= (COUNTIF($AN$2:$AN$5000,AN414)*0.5)), "SORTEADO", "-")</f>
        <v>SORTEADO</v>
      </c>
      <c r="AN414" s="230" t="s">
        <v>1192</v>
      </c>
    </row>
    <row r="415" spans="1:40" ht="30" customHeight="1" x14ac:dyDescent="0.2">
      <c r="A415" s="230" t="s">
        <v>197</v>
      </c>
      <c r="B415" s="230">
        <v>2615269775</v>
      </c>
      <c r="C415" s="230" t="s">
        <v>85</v>
      </c>
      <c r="D415" s="230" t="s">
        <v>76</v>
      </c>
      <c r="E415" s="230" t="s">
        <v>198</v>
      </c>
      <c r="F415" s="230" t="s">
        <v>627</v>
      </c>
      <c r="G415" s="230">
        <v>713</v>
      </c>
      <c r="H415" s="230"/>
      <c r="I415" s="230" t="s">
        <v>285</v>
      </c>
      <c r="J415" s="230" t="s">
        <v>85</v>
      </c>
      <c r="K415" s="230"/>
      <c r="L415" s="230" t="s">
        <v>1192</v>
      </c>
      <c r="M415" s="230" t="s">
        <v>1198</v>
      </c>
      <c r="N415" s="230" t="s">
        <v>209</v>
      </c>
      <c r="O415" s="158" t="s">
        <v>204</v>
      </c>
      <c r="P415" s="92"/>
      <c r="Q415" s="146" t="s">
        <v>204</v>
      </c>
      <c r="R415" s="92"/>
      <c r="S415" s="146" t="s">
        <v>204</v>
      </c>
      <c r="T415" s="92"/>
      <c r="U415" s="146" t="s">
        <v>204</v>
      </c>
      <c r="V415" s="92"/>
      <c r="W415" s="146" t="s">
        <v>204</v>
      </c>
      <c r="X415" s="92"/>
      <c r="Y415" s="146" t="s">
        <v>61</v>
      </c>
      <c r="Z415" s="92"/>
      <c r="AA415" s="146" t="s">
        <v>204</v>
      </c>
      <c r="AB415" s="92"/>
      <c r="AC415" s="146" t="s">
        <v>204</v>
      </c>
      <c r="AD415" s="92"/>
      <c r="AE415" s="146" t="s">
        <v>204</v>
      </c>
      <c r="AF415" s="187" t="str">
        <f t="shared" si="27"/>
        <v>C</v>
      </c>
      <c r="AG415" s="54" t="str">
        <f t="shared" si="29"/>
        <v>UTILIZOU O PDA CORRETAMENTE</v>
      </c>
      <c r="AH415" s="146"/>
      <c r="AI415" s="210" t="s">
        <v>6</v>
      </c>
      <c r="AJ415" s="97" t="str">
        <f t="shared" si="28"/>
        <v>GUARULHOS</v>
      </c>
      <c r="AK415" s="213" t="s">
        <v>39</v>
      </c>
      <c r="AL415" s="53">
        <v>0.1837258576443308</v>
      </c>
      <c r="AM415" s="53" t="str" cm="1">
        <f t="array" ref="AM415">IF(OR(O415&lt;&gt;"", SUMPRODUCT(($AN$2:$AN$5000=AN415)*($AL$2:$AL$5000&lt;=AL415)) &lt;= (COUNTIF($AN$2:$AN$5000,AN415)*0.5)), "SORTEADO", "-")</f>
        <v>SORTEADO</v>
      </c>
      <c r="AN415" s="230" t="s">
        <v>1192</v>
      </c>
    </row>
    <row r="416" spans="1:40" ht="30" customHeight="1" x14ac:dyDescent="0.2">
      <c r="A416" s="230" t="s">
        <v>197</v>
      </c>
      <c r="B416" s="230">
        <v>2615321679</v>
      </c>
      <c r="C416" s="230" t="s">
        <v>93</v>
      </c>
      <c r="D416" s="230" t="s">
        <v>76</v>
      </c>
      <c r="E416" s="230" t="s">
        <v>198</v>
      </c>
      <c r="F416" s="230" t="s">
        <v>1199</v>
      </c>
      <c r="G416" s="230">
        <v>1</v>
      </c>
      <c r="H416" s="230" t="s">
        <v>206</v>
      </c>
      <c r="I416" s="230" t="s">
        <v>685</v>
      </c>
      <c r="J416" s="230" t="s">
        <v>93</v>
      </c>
      <c r="K416" s="230" t="s">
        <v>1200</v>
      </c>
      <c r="L416" s="230" t="s">
        <v>1192</v>
      </c>
      <c r="M416" s="230" t="s">
        <v>1193</v>
      </c>
      <c r="N416" s="230" t="s">
        <v>209</v>
      </c>
      <c r="O416" s="158" t="s">
        <v>204</v>
      </c>
      <c r="P416" s="92"/>
      <c r="Q416" s="146" t="s">
        <v>61</v>
      </c>
      <c r="R416" s="92"/>
      <c r="S416" s="146" t="s">
        <v>61</v>
      </c>
      <c r="T416" s="92"/>
      <c r="U416" s="146" t="s">
        <v>61</v>
      </c>
      <c r="V416" s="92"/>
      <c r="W416" s="146" t="s">
        <v>61</v>
      </c>
      <c r="X416" s="92"/>
      <c r="Y416" s="146" t="s">
        <v>61</v>
      </c>
      <c r="Z416" s="92"/>
      <c r="AA416" s="146" t="s">
        <v>204</v>
      </c>
      <c r="AB416" s="92"/>
      <c r="AC416" s="146" t="s">
        <v>204</v>
      </c>
      <c r="AD416" s="92"/>
      <c r="AE416" s="146" t="s">
        <v>204</v>
      </c>
      <c r="AF416" s="187" t="str">
        <f t="shared" si="27"/>
        <v>C</v>
      </c>
      <c r="AG416" s="54" t="str">
        <f t="shared" si="29"/>
        <v>UTILIZOU O PDA CORRETAMENTE</v>
      </c>
      <c r="AH416" s="146" t="s">
        <v>204</v>
      </c>
      <c r="AI416" s="210" t="s">
        <v>6</v>
      </c>
      <c r="AJ416" s="97" t="str">
        <f t="shared" si="28"/>
        <v>GUARULHOS</v>
      </c>
      <c r="AK416" s="213" t="s">
        <v>39</v>
      </c>
      <c r="AL416" s="53">
        <v>0.13803784198279201</v>
      </c>
      <c r="AM416" s="53" t="str" cm="1">
        <f t="array" ref="AM416">IF(OR(O416&lt;&gt;"", SUMPRODUCT(($AN$2:$AN$5000=AN416)*($AL$2:$AL$5000&lt;=AL416)) &lt;= (COUNTIF($AN$2:$AN$5000,AN416)*0.5)), "SORTEADO", "-")</f>
        <v>SORTEADO</v>
      </c>
      <c r="AN416" s="230" t="s">
        <v>1192</v>
      </c>
    </row>
    <row r="417" spans="1:40" ht="30" hidden="1" customHeight="1" x14ac:dyDescent="0.2">
      <c r="A417" s="230" t="s">
        <v>197</v>
      </c>
      <c r="B417" s="230">
        <v>2615321680</v>
      </c>
      <c r="C417" s="230" t="s">
        <v>95</v>
      </c>
      <c r="D417" s="230" t="s">
        <v>76</v>
      </c>
      <c r="E417" s="230" t="s">
        <v>198</v>
      </c>
      <c r="F417" s="230" t="s">
        <v>1199</v>
      </c>
      <c r="G417" s="230">
        <v>1</v>
      </c>
      <c r="H417" s="230" t="s">
        <v>211</v>
      </c>
      <c r="I417" s="230" t="s">
        <v>685</v>
      </c>
      <c r="J417" s="230" t="s">
        <v>95</v>
      </c>
      <c r="K417" s="230" t="s">
        <v>1201</v>
      </c>
      <c r="L417" s="230" t="s">
        <v>1192</v>
      </c>
      <c r="M417" s="230" t="s">
        <v>1202</v>
      </c>
      <c r="N417" s="230" t="s">
        <v>209</v>
      </c>
      <c r="O417" s="158"/>
      <c r="P417" s="92"/>
      <c r="Q417" s="146"/>
      <c r="R417" s="92"/>
      <c r="S417" s="146"/>
      <c r="T417" s="92"/>
      <c r="U417" s="146"/>
      <c r="V417" s="92"/>
      <c r="W417" s="146"/>
      <c r="X417" s="92"/>
      <c r="Y417" s="146"/>
      <c r="Z417" s="92"/>
      <c r="AA417" s="146"/>
      <c r="AB417" s="92"/>
      <c r="AC417" s="146"/>
      <c r="AD417" s="92"/>
      <c r="AE417" s="146"/>
      <c r="AF417" s="187" t="str">
        <f t="shared" si="27"/>
        <v/>
      </c>
      <c r="AG417" s="54" t="b">
        <f t="shared" si="29"/>
        <v>0</v>
      </c>
      <c r="AH417" s="146"/>
      <c r="AI417" s="210" t="s">
        <v>6</v>
      </c>
      <c r="AJ417" s="97" t="str">
        <f t="shared" si="28"/>
        <v>GUARULHOS</v>
      </c>
      <c r="AK417" s="213" t="s">
        <v>39</v>
      </c>
      <c r="AL417" s="53">
        <v>0.43210164389515293</v>
      </c>
      <c r="AM417" s="53" t="str" cm="1">
        <f t="array" ref="AM417">IF(OR(O417&lt;&gt;"", SUMPRODUCT(($AN$2:$AN$5000=AN417)*($AL$2:$AL$5000&lt;=AL417)) &lt;= (COUNTIF($AN$2:$AN$5000,AN417)*0.5)), "SORTEADO", "-")</f>
        <v>-</v>
      </c>
      <c r="AN417" s="230" t="s">
        <v>1192</v>
      </c>
    </row>
    <row r="418" spans="1:40" ht="30" customHeight="1" x14ac:dyDescent="0.2">
      <c r="A418" s="230" t="s">
        <v>197</v>
      </c>
      <c r="B418" s="230">
        <v>2615307938</v>
      </c>
      <c r="C418" s="230" t="s">
        <v>94</v>
      </c>
      <c r="D418" s="230" t="s">
        <v>76</v>
      </c>
      <c r="E418" s="230" t="s">
        <v>198</v>
      </c>
      <c r="F418" s="230" t="s">
        <v>1203</v>
      </c>
      <c r="G418" s="230">
        <v>619</v>
      </c>
      <c r="H418" s="230" t="s">
        <v>206</v>
      </c>
      <c r="I418" s="230" t="s">
        <v>253</v>
      </c>
      <c r="J418" s="230" t="s">
        <v>94</v>
      </c>
      <c r="K418" s="230" t="s">
        <v>1204</v>
      </c>
      <c r="L418" s="230" t="s">
        <v>1192</v>
      </c>
      <c r="M418" s="230" t="s">
        <v>1205</v>
      </c>
      <c r="N418" s="230" t="s">
        <v>203</v>
      </c>
      <c r="O418" s="158" t="s">
        <v>204</v>
      </c>
      <c r="P418" s="92"/>
      <c r="Q418" s="146" t="s">
        <v>204</v>
      </c>
      <c r="R418" s="92"/>
      <c r="S418" s="146" t="s">
        <v>204</v>
      </c>
      <c r="T418" s="92"/>
      <c r="U418" s="146" t="s">
        <v>204</v>
      </c>
      <c r="V418" s="92"/>
      <c r="W418" s="146" t="s">
        <v>204</v>
      </c>
      <c r="X418" s="92"/>
      <c r="Y418" s="146" t="s">
        <v>204</v>
      </c>
      <c r="Z418" s="92"/>
      <c r="AA418" s="146" t="s">
        <v>204</v>
      </c>
      <c r="AB418" s="92"/>
      <c r="AC418" s="146" t="s">
        <v>204</v>
      </c>
      <c r="AD418" s="92"/>
      <c r="AE418" s="146" t="s">
        <v>204</v>
      </c>
      <c r="AF418" s="187" t="str">
        <f t="shared" si="27"/>
        <v>C</v>
      </c>
      <c r="AG418" s="54" t="str">
        <f t="shared" si="29"/>
        <v>UTILIZOU O PDA CORRETAMENTE</v>
      </c>
      <c r="AH418" s="146"/>
      <c r="AI418" s="210" t="s">
        <v>6</v>
      </c>
      <c r="AJ418" s="97" t="str">
        <f t="shared" si="28"/>
        <v>GUARULHOS</v>
      </c>
      <c r="AK418" s="213" t="s">
        <v>39</v>
      </c>
      <c r="AL418" s="53">
        <v>0.12162229318804607</v>
      </c>
      <c r="AM418" s="53" t="str" cm="1">
        <f t="array" ref="AM418">IF(OR(O418&lt;&gt;"", SUMPRODUCT(($AN$2:$AN$5000=AN418)*($AL$2:$AL$5000&lt;=AL418)) &lt;= (COUNTIF($AN$2:$AN$5000,AN418)*0.5)), "SORTEADO", "-")</f>
        <v>SORTEADO</v>
      </c>
      <c r="AN418" s="230" t="s">
        <v>1192</v>
      </c>
    </row>
    <row r="419" spans="1:40" ht="30" customHeight="1" x14ac:dyDescent="0.2">
      <c r="A419" s="230" t="s">
        <v>197</v>
      </c>
      <c r="B419" s="230">
        <v>2615320068</v>
      </c>
      <c r="C419" s="230" t="s">
        <v>96</v>
      </c>
      <c r="D419" s="230" t="s">
        <v>76</v>
      </c>
      <c r="E419" s="230" t="s">
        <v>198</v>
      </c>
      <c r="F419" s="230" t="s">
        <v>1194</v>
      </c>
      <c r="G419" s="230">
        <v>59</v>
      </c>
      <c r="H419" s="230" t="s">
        <v>211</v>
      </c>
      <c r="I419" s="230" t="s">
        <v>1195</v>
      </c>
      <c r="J419" s="230" t="s">
        <v>96</v>
      </c>
      <c r="K419" s="230" t="s">
        <v>1206</v>
      </c>
      <c r="L419" s="230" t="s">
        <v>1192</v>
      </c>
      <c r="M419" s="230" t="s">
        <v>1207</v>
      </c>
      <c r="N419" s="230" t="s">
        <v>408</v>
      </c>
      <c r="O419" s="158" t="s">
        <v>204</v>
      </c>
      <c r="P419" s="92"/>
      <c r="Q419" s="146" t="s">
        <v>204</v>
      </c>
      <c r="R419" s="92"/>
      <c r="S419" s="146" t="s">
        <v>204</v>
      </c>
      <c r="T419" s="92"/>
      <c r="U419" s="146" t="s">
        <v>204</v>
      </c>
      <c r="V419" s="92"/>
      <c r="W419" s="146" t="s">
        <v>204</v>
      </c>
      <c r="X419" s="92"/>
      <c r="Y419" s="146" t="s">
        <v>204</v>
      </c>
      <c r="Z419" s="92"/>
      <c r="AA419" s="146" t="s">
        <v>204</v>
      </c>
      <c r="AB419" s="92"/>
      <c r="AC419" s="146" t="s">
        <v>204</v>
      </c>
      <c r="AD419" s="92"/>
      <c r="AE419" s="146" t="s">
        <v>204</v>
      </c>
      <c r="AF419" s="187" t="str">
        <f t="shared" si="27"/>
        <v>C</v>
      </c>
      <c r="AG419" s="54" t="str">
        <f t="shared" si="29"/>
        <v>UTILIZOU O PDA CORRETAMENTE</v>
      </c>
      <c r="AH419" s="146"/>
      <c r="AI419" s="210" t="s">
        <v>6</v>
      </c>
      <c r="AJ419" s="97" t="str">
        <f t="shared" si="28"/>
        <v>GUARULHOS</v>
      </c>
      <c r="AK419" s="213" t="s">
        <v>39</v>
      </c>
      <c r="AL419" s="53">
        <v>9.3773830158075944E-2</v>
      </c>
      <c r="AM419" s="53" t="str" cm="1">
        <f t="array" ref="AM419">IF(OR(O419&lt;&gt;"", SUMPRODUCT(($AN$2:$AN$5000=AN419)*($AL$2:$AL$5000&lt;=AL419)) &lt;= (COUNTIF($AN$2:$AN$5000,AN419)*0.5)), "SORTEADO", "-")</f>
        <v>SORTEADO</v>
      </c>
      <c r="AN419" s="230" t="s">
        <v>1192</v>
      </c>
    </row>
    <row r="420" spans="1:40" ht="30" customHeight="1" x14ac:dyDescent="0.2">
      <c r="A420" s="230" t="s">
        <v>197</v>
      </c>
      <c r="B420" s="230">
        <v>2615322511</v>
      </c>
      <c r="C420" s="230" t="s">
        <v>93</v>
      </c>
      <c r="D420" s="230" t="s">
        <v>76</v>
      </c>
      <c r="E420" s="230" t="s">
        <v>198</v>
      </c>
      <c r="F420" s="230" t="s">
        <v>1208</v>
      </c>
      <c r="G420" s="230">
        <v>634</v>
      </c>
      <c r="H420" s="230" t="s">
        <v>1209</v>
      </c>
      <c r="I420" s="230" t="s">
        <v>1210</v>
      </c>
      <c r="J420" s="230" t="s">
        <v>93</v>
      </c>
      <c r="K420" s="230" t="s">
        <v>213</v>
      </c>
      <c r="L420" s="230" t="s">
        <v>1192</v>
      </c>
      <c r="M420" s="230" t="s">
        <v>1211</v>
      </c>
      <c r="N420" s="230" t="s">
        <v>209</v>
      </c>
      <c r="O420" s="158" t="s">
        <v>204</v>
      </c>
      <c r="P420" s="92"/>
      <c r="Q420" s="146" t="s">
        <v>61</v>
      </c>
      <c r="R420" s="92"/>
      <c r="S420" s="146" t="s">
        <v>61</v>
      </c>
      <c r="T420" s="92"/>
      <c r="U420" s="146" t="s">
        <v>61</v>
      </c>
      <c r="V420" s="92"/>
      <c r="W420" s="146" t="s">
        <v>61</v>
      </c>
      <c r="X420" s="92"/>
      <c r="Y420" s="146" t="s">
        <v>61</v>
      </c>
      <c r="Z420" s="92"/>
      <c r="AA420" s="146" t="s">
        <v>204</v>
      </c>
      <c r="AB420" s="92"/>
      <c r="AC420" s="146" t="s">
        <v>204</v>
      </c>
      <c r="AD420" s="92"/>
      <c r="AE420" s="146" t="s">
        <v>204</v>
      </c>
      <c r="AF420" s="187" t="str">
        <f t="shared" si="27"/>
        <v>C</v>
      </c>
      <c r="AG420" s="54" t="str">
        <f t="shared" si="29"/>
        <v>UTILIZOU O PDA CORRETAMENTE</v>
      </c>
      <c r="AH420" s="146" t="s">
        <v>204</v>
      </c>
      <c r="AI420" s="210" t="s">
        <v>6</v>
      </c>
      <c r="AJ420" s="97" t="str">
        <f t="shared" si="28"/>
        <v>GUARULHOS</v>
      </c>
      <c r="AK420" s="213" t="s">
        <v>39</v>
      </c>
      <c r="AL420" s="53">
        <v>2.6922024705718584E-2</v>
      </c>
      <c r="AM420" s="53" t="str" cm="1">
        <f t="array" ref="AM420">IF(OR(O420&lt;&gt;"", SUMPRODUCT(($AN$2:$AN$5000=AN420)*($AL$2:$AL$5000&lt;=AL420)) &lt;= (COUNTIF($AN$2:$AN$5000,AN420)*0.5)), "SORTEADO", "-")</f>
        <v>SORTEADO</v>
      </c>
      <c r="AN420" s="230" t="s">
        <v>1192</v>
      </c>
    </row>
    <row r="421" spans="1:40" ht="30" hidden="1" customHeight="1" x14ac:dyDescent="0.2">
      <c r="A421" s="230" t="s">
        <v>197</v>
      </c>
      <c r="B421" s="230">
        <v>2615294984</v>
      </c>
      <c r="C421" s="230" t="s">
        <v>85</v>
      </c>
      <c r="D421" s="230" t="s">
        <v>76</v>
      </c>
      <c r="E421" s="230" t="s">
        <v>198</v>
      </c>
      <c r="F421" s="230" t="s">
        <v>684</v>
      </c>
      <c r="G421" s="230">
        <v>486</v>
      </c>
      <c r="H421" s="230"/>
      <c r="I421" s="230" t="s">
        <v>685</v>
      </c>
      <c r="J421" s="230" t="s">
        <v>85</v>
      </c>
      <c r="K421" s="230"/>
      <c r="L421" s="230" t="s">
        <v>1192</v>
      </c>
      <c r="M421" s="230" t="s">
        <v>1212</v>
      </c>
      <c r="N421" s="230" t="s">
        <v>209</v>
      </c>
      <c r="O421" s="158"/>
      <c r="P421" s="92"/>
      <c r="Q421" s="146"/>
      <c r="R421" s="92"/>
      <c r="S421" s="146"/>
      <c r="T421" s="92"/>
      <c r="U421" s="146"/>
      <c r="V421" s="92"/>
      <c r="W421" s="146"/>
      <c r="X421" s="92"/>
      <c r="Y421" s="146"/>
      <c r="Z421" s="92"/>
      <c r="AA421" s="146"/>
      <c r="AB421" s="92"/>
      <c r="AC421" s="146"/>
      <c r="AD421" s="92"/>
      <c r="AE421" s="146"/>
      <c r="AF421" s="187" t="str">
        <f t="shared" si="27"/>
        <v/>
      </c>
      <c r="AG421" s="54" t="b">
        <f t="shared" si="29"/>
        <v>0</v>
      </c>
      <c r="AH421" s="146"/>
      <c r="AI421" s="210" t="s">
        <v>6</v>
      </c>
      <c r="AJ421" s="97" t="str">
        <f t="shared" si="28"/>
        <v>GUARULHOS</v>
      </c>
      <c r="AK421" s="213" t="s">
        <v>39</v>
      </c>
      <c r="AL421" s="53">
        <v>0.59766437042516163</v>
      </c>
      <c r="AM421" s="53" t="str" cm="1">
        <f t="array" ref="AM421">IF(OR(O421&lt;&gt;"", SUMPRODUCT(($AN$2:$AN$5000=AN421)*($AL$2:$AL$5000&lt;=AL421)) &lt;= (COUNTIF($AN$2:$AN$5000,AN421)*0.5)), "SORTEADO", "-")</f>
        <v>-</v>
      </c>
      <c r="AN421" s="230" t="s">
        <v>1192</v>
      </c>
    </row>
    <row r="422" spans="1:40" ht="30" hidden="1" customHeight="1" x14ac:dyDescent="0.2">
      <c r="A422" s="230" t="s">
        <v>197</v>
      </c>
      <c r="B422" s="230">
        <v>2615745042</v>
      </c>
      <c r="C422" s="230" t="s">
        <v>102</v>
      </c>
      <c r="D422" s="230" t="s">
        <v>80</v>
      </c>
      <c r="E422" s="230" t="s">
        <v>198</v>
      </c>
      <c r="F422" s="230" t="s">
        <v>570</v>
      </c>
      <c r="G422" s="230">
        <v>124</v>
      </c>
      <c r="H422" s="230" t="s">
        <v>1213</v>
      </c>
      <c r="I422" s="230" t="s">
        <v>572</v>
      </c>
      <c r="J422" s="230" t="s">
        <v>259</v>
      </c>
      <c r="K422" s="230" t="s">
        <v>213</v>
      </c>
      <c r="L422" s="230" t="s">
        <v>1192</v>
      </c>
      <c r="M422" s="230" t="s">
        <v>1214</v>
      </c>
      <c r="N422" s="230" t="s">
        <v>237</v>
      </c>
      <c r="O422" s="158"/>
      <c r="P422" s="92"/>
      <c r="Q422" s="146"/>
      <c r="R422" s="92"/>
      <c r="S422" s="146"/>
      <c r="T422" s="92"/>
      <c r="U422" s="146"/>
      <c r="V422" s="92"/>
      <c r="W422" s="146"/>
      <c r="X422" s="92"/>
      <c r="Y422" s="146"/>
      <c r="Z422" s="92"/>
      <c r="AA422" s="146"/>
      <c r="AB422" s="92"/>
      <c r="AC422" s="146"/>
      <c r="AD422" s="92"/>
      <c r="AE422" s="146"/>
      <c r="AF422" s="187" t="str">
        <f t="shared" si="27"/>
        <v/>
      </c>
      <c r="AG422" s="54" t="b">
        <f t="shared" si="29"/>
        <v>0</v>
      </c>
      <c r="AH422" s="146"/>
      <c r="AI422" s="210" t="s">
        <v>6</v>
      </c>
      <c r="AJ422" s="97" t="str">
        <f t="shared" si="28"/>
        <v>GUARULHOS</v>
      </c>
      <c r="AK422" s="213" t="s">
        <v>39</v>
      </c>
      <c r="AL422" s="53">
        <v>0.95503830949103041</v>
      </c>
      <c r="AM422" s="53" t="str" cm="1">
        <f t="array" ref="AM422">IF(OR(O422&lt;&gt;"", SUMPRODUCT(($AN$2:$AN$5000=AN422)*($AL$2:$AL$5000&lt;=AL422)) &lt;= (COUNTIF($AN$2:$AN$5000,AN422)*0.5)), "SORTEADO", "-")</f>
        <v>-</v>
      </c>
      <c r="AN422" s="230" t="s">
        <v>1192</v>
      </c>
    </row>
    <row r="423" spans="1:40" ht="30" hidden="1" customHeight="1" x14ac:dyDescent="0.2">
      <c r="A423" s="230" t="s">
        <v>197</v>
      </c>
      <c r="B423" s="230">
        <v>2615322518</v>
      </c>
      <c r="C423" s="230" t="s">
        <v>95</v>
      </c>
      <c r="D423" s="230" t="s">
        <v>76</v>
      </c>
      <c r="E423" s="230" t="s">
        <v>198</v>
      </c>
      <c r="F423" s="230" t="s">
        <v>1208</v>
      </c>
      <c r="G423" s="230">
        <v>634</v>
      </c>
      <c r="H423" s="230" t="s">
        <v>1215</v>
      </c>
      <c r="I423" s="230" t="s">
        <v>1210</v>
      </c>
      <c r="J423" s="230" t="s">
        <v>95</v>
      </c>
      <c r="K423" s="230"/>
      <c r="L423" s="230" t="s">
        <v>1192</v>
      </c>
      <c r="M423" s="230" t="s">
        <v>1216</v>
      </c>
      <c r="N423" s="230" t="s">
        <v>209</v>
      </c>
      <c r="O423" s="158"/>
      <c r="P423" s="92"/>
      <c r="Q423" s="146"/>
      <c r="R423" s="92"/>
      <c r="S423" s="146"/>
      <c r="T423" s="92"/>
      <c r="U423" s="146"/>
      <c r="V423" s="92"/>
      <c r="W423" s="146"/>
      <c r="X423" s="92"/>
      <c r="Y423" s="146"/>
      <c r="Z423" s="92"/>
      <c r="AA423" s="146"/>
      <c r="AB423" s="92"/>
      <c r="AC423" s="146"/>
      <c r="AD423" s="92"/>
      <c r="AE423" s="146"/>
      <c r="AF423" s="187" t="str">
        <f t="shared" si="27"/>
        <v/>
      </c>
      <c r="AG423" s="54" t="b">
        <f t="shared" si="29"/>
        <v>0</v>
      </c>
      <c r="AH423" s="146"/>
      <c r="AI423" s="210" t="s">
        <v>6</v>
      </c>
      <c r="AJ423" s="97" t="str">
        <f t="shared" si="28"/>
        <v>GUARULHOS</v>
      </c>
      <c r="AK423" s="213" t="s">
        <v>39</v>
      </c>
      <c r="AL423" s="53">
        <v>0.81508702764445418</v>
      </c>
      <c r="AM423" s="53" t="str" cm="1">
        <f t="array" ref="AM423">IF(OR(O423&lt;&gt;"", SUMPRODUCT(($AN$2:$AN$5000=AN423)*($AL$2:$AL$5000&lt;=AL423)) &lt;= (COUNTIF($AN$2:$AN$5000,AN423)*0.5)), "SORTEADO", "-")</f>
        <v>-</v>
      </c>
      <c r="AN423" s="230" t="s">
        <v>1192</v>
      </c>
    </row>
    <row r="424" spans="1:40" ht="30" hidden="1" customHeight="1" x14ac:dyDescent="0.2">
      <c r="A424" s="230" t="s">
        <v>197</v>
      </c>
      <c r="B424" s="230">
        <v>2615273058</v>
      </c>
      <c r="C424" s="230" t="s">
        <v>85</v>
      </c>
      <c r="D424" s="230" t="s">
        <v>76</v>
      </c>
      <c r="E424" s="230" t="s">
        <v>198</v>
      </c>
      <c r="F424" s="230" t="s">
        <v>1217</v>
      </c>
      <c r="G424" s="230">
        <v>82</v>
      </c>
      <c r="H424" s="230" t="s">
        <v>213</v>
      </c>
      <c r="I424" s="230" t="s">
        <v>582</v>
      </c>
      <c r="J424" s="230" t="s">
        <v>85</v>
      </c>
      <c r="K424" s="230" t="s">
        <v>1218</v>
      </c>
      <c r="L424" s="230" t="s">
        <v>1192</v>
      </c>
      <c r="M424" s="230" t="s">
        <v>1219</v>
      </c>
      <c r="N424" s="230" t="s">
        <v>203</v>
      </c>
      <c r="O424" s="158"/>
      <c r="P424" s="92"/>
      <c r="Q424" s="146"/>
      <c r="R424" s="92"/>
      <c r="S424" s="146"/>
      <c r="T424" s="92"/>
      <c r="U424" s="146"/>
      <c r="V424" s="92"/>
      <c r="W424" s="146"/>
      <c r="X424" s="92"/>
      <c r="Y424" s="146"/>
      <c r="Z424" s="92"/>
      <c r="AA424" s="146"/>
      <c r="AB424" s="92"/>
      <c r="AC424" s="146"/>
      <c r="AD424" s="92"/>
      <c r="AE424" s="146"/>
      <c r="AF424" s="187" t="str">
        <f t="shared" si="27"/>
        <v/>
      </c>
      <c r="AG424" s="54" t="b">
        <f t="shared" si="29"/>
        <v>0</v>
      </c>
      <c r="AH424" s="146"/>
      <c r="AI424" s="210" t="s">
        <v>6</v>
      </c>
      <c r="AJ424" s="97" t="str">
        <f t="shared" si="28"/>
        <v>GUARULHOS</v>
      </c>
      <c r="AK424" s="213" t="s">
        <v>39</v>
      </c>
      <c r="AL424" s="53">
        <v>0.88378621024322601</v>
      </c>
      <c r="AM424" s="53" t="str" cm="1">
        <f t="array" ref="AM424">IF(OR(O424&lt;&gt;"", SUMPRODUCT(($AN$2:$AN$5000=AN424)*($AL$2:$AL$5000&lt;=AL424)) &lt;= (COUNTIF($AN$2:$AN$5000,AN424)*0.5)), "SORTEADO", "-")</f>
        <v>-</v>
      </c>
      <c r="AN424" s="230" t="s">
        <v>1192</v>
      </c>
    </row>
    <row r="425" spans="1:40" ht="30" hidden="1" customHeight="1" x14ac:dyDescent="0.2">
      <c r="A425" s="230" t="s">
        <v>197</v>
      </c>
      <c r="B425" s="230">
        <v>2615307959</v>
      </c>
      <c r="C425" s="230" t="s">
        <v>96</v>
      </c>
      <c r="D425" s="230" t="s">
        <v>76</v>
      </c>
      <c r="E425" s="230" t="s">
        <v>198</v>
      </c>
      <c r="F425" s="230" t="s">
        <v>1203</v>
      </c>
      <c r="G425" s="230">
        <v>619</v>
      </c>
      <c r="H425" s="230" t="s">
        <v>211</v>
      </c>
      <c r="I425" s="230" t="s">
        <v>253</v>
      </c>
      <c r="J425" s="230" t="s">
        <v>96</v>
      </c>
      <c r="K425" s="230" t="s">
        <v>1220</v>
      </c>
      <c r="L425" s="230" t="s">
        <v>1192</v>
      </c>
      <c r="M425" s="230" t="s">
        <v>1221</v>
      </c>
      <c r="N425" s="230" t="s">
        <v>203</v>
      </c>
      <c r="O425" s="158"/>
      <c r="P425" s="92"/>
      <c r="Q425" s="146"/>
      <c r="R425" s="92"/>
      <c r="S425" s="146"/>
      <c r="T425" s="92"/>
      <c r="U425" s="146"/>
      <c r="V425" s="92"/>
      <c r="W425" s="146"/>
      <c r="X425" s="92"/>
      <c r="Y425" s="146"/>
      <c r="Z425" s="92"/>
      <c r="AA425" s="146"/>
      <c r="AB425" s="92"/>
      <c r="AC425" s="146"/>
      <c r="AD425" s="92"/>
      <c r="AE425" s="146"/>
      <c r="AF425" s="187" t="str">
        <f t="shared" si="27"/>
        <v/>
      </c>
      <c r="AG425" s="54" t="b">
        <f t="shared" si="29"/>
        <v>0</v>
      </c>
      <c r="AH425" s="146"/>
      <c r="AI425" s="210" t="s">
        <v>6</v>
      </c>
      <c r="AJ425" s="97" t="str">
        <f t="shared" si="28"/>
        <v>GUARULHOS</v>
      </c>
      <c r="AK425" s="213" t="s">
        <v>39</v>
      </c>
      <c r="AL425" s="53">
        <v>0.55781412141333908</v>
      </c>
      <c r="AM425" s="53" t="str" cm="1">
        <f t="array" ref="AM425">IF(OR(O425&lt;&gt;"", SUMPRODUCT(($AN$2:$AN$5000=AN425)*($AL$2:$AL$5000&lt;=AL425)) &lt;= (COUNTIF($AN$2:$AN$5000,AN425)*0.5)), "SORTEADO", "-")</f>
        <v>-</v>
      </c>
      <c r="AN425" s="230" t="s">
        <v>1192</v>
      </c>
    </row>
    <row r="426" spans="1:40" ht="30" hidden="1" customHeight="1" x14ac:dyDescent="0.2">
      <c r="A426" s="230" t="s">
        <v>197</v>
      </c>
      <c r="B426" s="230">
        <v>2615717528</v>
      </c>
      <c r="C426" s="230" t="s">
        <v>105</v>
      </c>
      <c r="D426" s="230" t="s">
        <v>80</v>
      </c>
      <c r="E426" s="230" t="s">
        <v>198</v>
      </c>
      <c r="F426" s="230" t="s">
        <v>1222</v>
      </c>
      <c r="G426" s="230">
        <v>176</v>
      </c>
      <c r="H426" s="230" t="s">
        <v>362</v>
      </c>
      <c r="I426" s="230" t="s">
        <v>368</v>
      </c>
      <c r="J426" s="230" t="s">
        <v>254</v>
      </c>
      <c r="K426" s="230" t="s">
        <v>213</v>
      </c>
      <c r="L426" s="230" t="s">
        <v>1192</v>
      </c>
      <c r="M426" s="230" t="s">
        <v>1223</v>
      </c>
      <c r="N426" s="230" t="s">
        <v>303</v>
      </c>
      <c r="O426" s="158"/>
      <c r="P426" s="92"/>
      <c r="Q426" s="146"/>
      <c r="R426" s="92"/>
      <c r="S426" s="146"/>
      <c r="T426" s="92"/>
      <c r="U426" s="146"/>
      <c r="V426" s="92"/>
      <c r="W426" s="146"/>
      <c r="X426" s="92"/>
      <c r="Y426" s="146"/>
      <c r="Z426" s="92"/>
      <c r="AA426" s="146"/>
      <c r="AB426" s="92"/>
      <c r="AC426" s="146"/>
      <c r="AD426" s="92"/>
      <c r="AE426" s="146"/>
      <c r="AF426" s="187" t="str">
        <f t="shared" si="27"/>
        <v/>
      </c>
      <c r="AG426" s="54" t="b">
        <f t="shared" si="29"/>
        <v>0</v>
      </c>
      <c r="AH426" s="146"/>
      <c r="AI426" s="210" t="s">
        <v>6</v>
      </c>
      <c r="AJ426" s="97" t="str">
        <f t="shared" si="28"/>
        <v>GUARULHOS</v>
      </c>
      <c r="AK426" s="213" t="s">
        <v>39</v>
      </c>
      <c r="AL426" s="53">
        <v>0.44604861087801517</v>
      </c>
      <c r="AM426" s="53" t="str" cm="1">
        <f t="array" ref="AM426">IF(OR(O426&lt;&gt;"", SUMPRODUCT(($AN$2:$AN$5000=AN426)*($AL$2:$AL$5000&lt;=AL426)) &lt;= (COUNTIF($AN$2:$AN$5000,AN426)*0.5)), "SORTEADO", "-")</f>
        <v>-</v>
      </c>
      <c r="AN426" s="230" t="s">
        <v>1192</v>
      </c>
    </row>
    <row r="427" spans="1:40" ht="30" hidden="1" customHeight="1" x14ac:dyDescent="0.2">
      <c r="A427" s="230" t="s">
        <v>197</v>
      </c>
      <c r="B427" s="230">
        <v>2615734414</v>
      </c>
      <c r="C427" s="230" t="s">
        <v>102</v>
      </c>
      <c r="D427" s="230" t="s">
        <v>80</v>
      </c>
      <c r="E427" s="230" t="s">
        <v>198</v>
      </c>
      <c r="F427" s="230" t="s">
        <v>829</v>
      </c>
      <c r="G427" s="230">
        <v>1576</v>
      </c>
      <c r="H427" s="230"/>
      <c r="I427" s="230" t="s">
        <v>664</v>
      </c>
      <c r="J427" s="230" t="s">
        <v>270</v>
      </c>
      <c r="K427" s="230"/>
      <c r="L427" s="230" t="s">
        <v>1192</v>
      </c>
      <c r="M427" s="230" t="s">
        <v>1223</v>
      </c>
      <c r="N427" s="230" t="s">
        <v>244</v>
      </c>
      <c r="O427" s="158"/>
      <c r="P427" s="92"/>
      <c r="Q427" s="146"/>
      <c r="R427" s="92"/>
      <c r="S427" s="146"/>
      <c r="T427" s="92"/>
      <c r="U427" s="146"/>
      <c r="V427" s="92"/>
      <c r="W427" s="146"/>
      <c r="X427" s="92"/>
      <c r="Y427" s="146"/>
      <c r="Z427" s="92"/>
      <c r="AA427" s="146"/>
      <c r="AB427" s="92"/>
      <c r="AC427" s="146"/>
      <c r="AD427" s="92"/>
      <c r="AE427" s="146"/>
      <c r="AF427" s="187" t="str">
        <f t="shared" si="27"/>
        <v/>
      </c>
      <c r="AG427" s="54" t="b">
        <f t="shared" si="29"/>
        <v>0</v>
      </c>
      <c r="AH427" s="146"/>
      <c r="AI427" s="210" t="s">
        <v>6</v>
      </c>
      <c r="AJ427" s="97" t="str">
        <f t="shared" si="28"/>
        <v>GUARULHOS</v>
      </c>
      <c r="AK427" s="213" t="s">
        <v>39</v>
      </c>
      <c r="AL427" s="53">
        <v>0.95503792924848063</v>
      </c>
      <c r="AM427" s="53" t="str" cm="1">
        <f t="array" ref="AM427">IF(OR(O427&lt;&gt;"", SUMPRODUCT(($AN$2:$AN$5000=AN427)*($AL$2:$AL$5000&lt;=AL427)) &lt;= (COUNTIF($AN$2:$AN$5000,AN427)*0.5)), "SORTEADO", "-")</f>
        <v>-</v>
      </c>
      <c r="AN427" s="230" t="s">
        <v>1192</v>
      </c>
    </row>
    <row r="428" spans="1:40" ht="30" hidden="1" customHeight="1" x14ac:dyDescent="0.2">
      <c r="A428" s="230" t="s">
        <v>197</v>
      </c>
      <c r="B428" s="230">
        <v>2615722661</v>
      </c>
      <c r="C428" s="230" t="s">
        <v>105</v>
      </c>
      <c r="D428" s="230" t="s">
        <v>80</v>
      </c>
      <c r="E428" s="230" t="s">
        <v>198</v>
      </c>
      <c r="F428" s="230" t="s">
        <v>468</v>
      </c>
      <c r="G428" s="230">
        <v>131</v>
      </c>
      <c r="H428" s="230" t="s">
        <v>461</v>
      </c>
      <c r="I428" s="230" t="s">
        <v>713</v>
      </c>
      <c r="J428" s="230" t="s">
        <v>226</v>
      </c>
      <c r="K428" s="230" t="s">
        <v>1224</v>
      </c>
      <c r="L428" s="230" t="s">
        <v>1192</v>
      </c>
      <c r="M428" s="230" t="s">
        <v>1225</v>
      </c>
      <c r="N428" s="230" t="s">
        <v>244</v>
      </c>
      <c r="O428" s="158"/>
      <c r="P428" s="92"/>
      <c r="Q428" s="146"/>
      <c r="R428" s="92"/>
      <c r="S428" s="146"/>
      <c r="T428" s="92"/>
      <c r="U428" s="146"/>
      <c r="V428" s="92"/>
      <c r="W428" s="146"/>
      <c r="X428" s="92"/>
      <c r="Y428" s="146"/>
      <c r="Z428" s="92"/>
      <c r="AA428" s="146"/>
      <c r="AB428" s="92"/>
      <c r="AC428" s="146"/>
      <c r="AD428" s="92"/>
      <c r="AE428" s="146"/>
      <c r="AF428" s="187" t="str">
        <f t="shared" si="27"/>
        <v/>
      </c>
      <c r="AG428" s="54" t="b">
        <f t="shared" si="29"/>
        <v>0</v>
      </c>
      <c r="AH428" s="146"/>
      <c r="AI428" s="210" t="s">
        <v>6</v>
      </c>
      <c r="AJ428" s="97" t="str">
        <f t="shared" si="28"/>
        <v>GUARULHOS</v>
      </c>
      <c r="AK428" s="213" t="s">
        <v>39</v>
      </c>
      <c r="AL428" s="53">
        <v>0.68509776797414246</v>
      </c>
      <c r="AM428" s="53" t="str" cm="1">
        <f t="array" ref="AM428">IF(OR(O428&lt;&gt;"", SUMPRODUCT(($AN$2:$AN$5000=AN428)*($AL$2:$AL$5000&lt;=AL428)) &lt;= (COUNTIF($AN$2:$AN$5000,AN428)*0.5)), "SORTEADO", "-")</f>
        <v>-</v>
      </c>
      <c r="AN428" s="230" t="s">
        <v>1192</v>
      </c>
    </row>
    <row r="429" spans="1:40" ht="30" hidden="1" customHeight="1" x14ac:dyDescent="0.2">
      <c r="A429" s="230" t="s">
        <v>197</v>
      </c>
      <c r="B429" s="230">
        <v>2615735563</v>
      </c>
      <c r="C429" s="230" t="s">
        <v>100</v>
      </c>
      <c r="D429" s="230" t="s">
        <v>78</v>
      </c>
      <c r="E429" s="230" t="s">
        <v>198</v>
      </c>
      <c r="F429" s="230" t="s">
        <v>1226</v>
      </c>
      <c r="G429" s="230">
        <v>555</v>
      </c>
      <c r="H429" s="230" t="s">
        <v>206</v>
      </c>
      <c r="I429" s="230" t="s">
        <v>416</v>
      </c>
      <c r="J429" s="230" t="s">
        <v>248</v>
      </c>
      <c r="K429" s="230" t="s">
        <v>1227</v>
      </c>
      <c r="L429" s="230" t="s">
        <v>1192</v>
      </c>
      <c r="M429" s="230" t="s">
        <v>1228</v>
      </c>
      <c r="N429" s="230" t="s">
        <v>260</v>
      </c>
      <c r="O429" s="158"/>
      <c r="P429" s="92"/>
      <c r="Q429" s="146"/>
      <c r="R429" s="92"/>
      <c r="S429" s="146"/>
      <c r="T429" s="92"/>
      <c r="U429" s="146"/>
      <c r="V429" s="92"/>
      <c r="W429" s="146"/>
      <c r="X429" s="92"/>
      <c r="Y429" s="146"/>
      <c r="Z429" s="92"/>
      <c r="AA429" s="146"/>
      <c r="AB429" s="92"/>
      <c r="AC429" s="146"/>
      <c r="AD429" s="92"/>
      <c r="AE429" s="146"/>
      <c r="AF429" s="187" t="str">
        <f t="shared" si="27"/>
        <v/>
      </c>
      <c r="AG429" s="54" t="b">
        <f t="shared" si="29"/>
        <v>0</v>
      </c>
      <c r="AH429" s="146"/>
      <c r="AI429" s="210" t="s">
        <v>6</v>
      </c>
      <c r="AJ429" s="97" t="str">
        <f t="shared" si="28"/>
        <v>GUARULHOS</v>
      </c>
      <c r="AK429" s="213" t="s">
        <v>39</v>
      </c>
      <c r="AL429" s="53">
        <v>0.47755054597363922</v>
      </c>
      <c r="AM429" s="53" t="str" cm="1">
        <f t="array" ref="AM429">IF(OR(O429&lt;&gt;"", SUMPRODUCT(($AN$2:$AN$5000=AN429)*($AL$2:$AL$5000&lt;=AL429)) &lt;= (COUNTIF($AN$2:$AN$5000,AN429)*0.5)), "SORTEADO", "-")</f>
        <v>-</v>
      </c>
      <c r="AN429" s="230" t="s">
        <v>1192</v>
      </c>
    </row>
    <row r="430" spans="1:40" ht="30" customHeight="1" x14ac:dyDescent="0.2">
      <c r="A430" s="230" t="s">
        <v>197</v>
      </c>
      <c r="B430" s="230">
        <v>2690633637</v>
      </c>
      <c r="C430" s="230" t="s">
        <v>102</v>
      </c>
      <c r="D430" s="230" t="s">
        <v>80</v>
      </c>
      <c r="E430" s="230" t="s">
        <v>198</v>
      </c>
      <c r="F430" s="230" t="s">
        <v>1229</v>
      </c>
      <c r="G430" s="230">
        <v>115</v>
      </c>
      <c r="H430" s="230" t="s">
        <v>1230</v>
      </c>
      <c r="I430" s="230" t="s">
        <v>538</v>
      </c>
      <c r="J430" s="230" t="s">
        <v>270</v>
      </c>
      <c r="K430" s="230" t="s">
        <v>213</v>
      </c>
      <c r="L430" s="230" t="s">
        <v>1192</v>
      </c>
      <c r="M430" s="230" t="s">
        <v>1212</v>
      </c>
      <c r="N430" s="230" t="s">
        <v>287</v>
      </c>
      <c r="O430" s="158" t="s">
        <v>204</v>
      </c>
      <c r="P430" s="92"/>
      <c r="Q430" s="146" t="s">
        <v>204</v>
      </c>
      <c r="R430" s="92"/>
      <c r="S430" s="146" t="s">
        <v>204</v>
      </c>
      <c r="T430" s="92"/>
      <c r="U430" s="146" t="s">
        <v>204</v>
      </c>
      <c r="V430" s="92"/>
      <c r="W430" s="146" t="s">
        <v>204</v>
      </c>
      <c r="X430" s="92"/>
      <c r="Y430" s="146" t="s">
        <v>61</v>
      </c>
      <c r="Z430" s="92"/>
      <c r="AA430" s="146" t="s">
        <v>204</v>
      </c>
      <c r="AB430" s="92"/>
      <c r="AC430" s="146" t="s">
        <v>204</v>
      </c>
      <c r="AD430" s="92"/>
      <c r="AE430" s="146" t="s">
        <v>204</v>
      </c>
      <c r="AF430" s="187" t="str">
        <f t="shared" si="27"/>
        <v>C</v>
      </c>
      <c r="AG430" s="54" t="str">
        <f t="shared" si="29"/>
        <v>UTILIZOU O PDA CORRETAMENTE</v>
      </c>
      <c r="AH430" s="144" t="s">
        <v>204</v>
      </c>
      <c r="AI430" s="210" t="s">
        <v>6</v>
      </c>
      <c r="AJ430" s="97" t="str">
        <f t="shared" si="28"/>
        <v>GUARULHOS</v>
      </c>
      <c r="AK430" s="213" t="s">
        <v>39</v>
      </c>
      <c r="AL430" s="53">
        <v>0.19307281291221923</v>
      </c>
      <c r="AM430" s="53" t="str" cm="1">
        <f t="array" ref="AM430">IF(OR(O430&lt;&gt;"", SUMPRODUCT(($AN$2:$AN$5000=AN430)*($AL$2:$AL$5000&lt;=AL430)) &lt;= (COUNTIF($AN$2:$AN$5000,AN430)*0.5)), "SORTEADO", "-")</f>
        <v>SORTEADO</v>
      </c>
      <c r="AN430" s="230" t="s">
        <v>1192</v>
      </c>
    </row>
    <row r="431" spans="1:40" ht="30" customHeight="1" x14ac:dyDescent="0.2">
      <c r="A431" s="230" t="s">
        <v>197</v>
      </c>
      <c r="B431" s="230">
        <v>2615762823</v>
      </c>
      <c r="C431" s="230" t="s">
        <v>102</v>
      </c>
      <c r="D431" s="230" t="s">
        <v>80</v>
      </c>
      <c r="E431" s="230" t="s">
        <v>198</v>
      </c>
      <c r="F431" s="230" t="s">
        <v>1231</v>
      </c>
      <c r="G431" s="230">
        <v>21</v>
      </c>
      <c r="H431" s="230"/>
      <c r="I431" s="230" t="s">
        <v>650</v>
      </c>
      <c r="J431" s="230" t="s">
        <v>259</v>
      </c>
      <c r="K431" s="230"/>
      <c r="L431" s="230" t="s">
        <v>1192</v>
      </c>
      <c r="M431" s="230" t="s">
        <v>1232</v>
      </c>
      <c r="N431" s="230" t="s">
        <v>287</v>
      </c>
      <c r="O431" s="158" t="s">
        <v>204</v>
      </c>
      <c r="P431" s="92"/>
      <c r="Q431" s="146" t="s">
        <v>204</v>
      </c>
      <c r="R431" s="92"/>
      <c r="S431" s="146" t="s">
        <v>204</v>
      </c>
      <c r="T431" s="92"/>
      <c r="U431" s="146" t="s">
        <v>204</v>
      </c>
      <c r="V431" s="92"/>
      <c r="W431" s="146" t="s">
        <v>204</v>
      </c>
      <c r="X431" s="92"/>
      <c r="Y431" s="146" t="s">
        <v>61</v>
      </c>
      <c r="Z431" s="92"/>
      <c r="AA431" s="146" t="s">
        <v>204</v>
      </c>
      <c r="AB431" s="92"/>
      <c r="AC431" s="146" t="s">
        <v>204</v>
      </c>
      <c r="AD431" s="92"/>
      <c r="AE431" s="146" t="s">
        <v>204</v>
      </c>
      <c r="AF431" s="187" t="str">
        <f t="shared" si="27"/>
        <v>C</v>
      </c>
      <c r="AG431" s="54" t="str">
        <f t="shared" si="29"/>
        <v>UTILIZOU O PDA CORRETAMENTE</v>
      </c>
      <c r="AH431" s="144" t="s">
        <v>204</v>
      </c>
      <c r="AI431" s="210" t="s">
        <v>6</v>
      </c>
      <c r="AJ431" s="97" t="str">
        <f t="shared" si="28"/>
        <v>GUARULHOS</v>
      </c>
      <c r="AK431" s="213" t="s">
        <v>39</v>
      </c>
      <c r="AL431" s="53">
        <v>0.27733689392580174</v>
      </c>
      <c r="AM431" s="53" t="str" cm="1">
        <f t="array" ref="AM431">IF(OR(O431&lt;&gt;"", SUMPRODUCT(($AN$2:$AN$5000=AN431)*($AL$2:$AL$5000&lt;=AL431)) &lt;= (COUNTIF($AN$2:$AN$5000,AN431)*0.5)), "SORTEADO", "-")</f>
        <v>SORTEADO</v>
      </c>
      <c r="AN431" s="230" t="s">
        <v>1192</v>
      </c>
    </row>
    <row r="432" spans="1:40" ht="30" customHeight="1" x14ac:dyDescent="0.2">
      <c r="A432" s="230" t="s">
        <v>197</v>
      </c>
      <c r="B432" s="230">
        <v>2615717596</v>
      </c>
      <c r="C432" s="230" t="s">
        <v>100</v>
      </c>
      <c r="D432" s="230" t="s">
        <v>78</v>
      </c>
      <c r="E432" s="230" t="s">
        <v>198</v>
      </c>
      <c r="F432" s="230" t="s">
        <v>1233</v>
      </c>
      <c r="G432" s="230">
        <v>527</v>
      </c>
      <c r="H432" s="230" t="s">
        <v>213</v>
      </c>
      <c r="I432" s="230" t="s">
        <v>801</v>
      </c>
      <c r="J432" s="230" t="s">
        <v>248</v>
      </c>
      <c r="K432" s="230" t="s">
        <v>213</v>
      </c>
      <c r="L432" s="230" t="s">
        <v>1192</v>
      </c>
      <c r="M432" s="230" t="s">
        <v>1234</v>
      </c>
      <c r="N432" s="230" t="s">
        <v>263</v>
      </c>
      <c r="O432" s="157" t="s">
        <v>204</v>
      </c>
      <c r="P432" s="143"/>
      <c r="Q432" s="144" t="s">
        <v>204</v>
      </c>
      <c r="R432" s="143"/>
      <c r="S432" s="144" t="s">
        <v>204</v>
      </c>
      <c r="T432" s="143"/>
      <c r="U432" s="144" t="s">
        <v>204</v>
      </c>
      <c r="V432" s="143"/>
      <c r="W432" s="144" t="s">
        <v>204</v>
      </c>
      <c r="X432" s="143"/>
      <c r="Y432" s="144" t="s">
        <v>204</v>
      </c>
      <c r="Z432" s="143"/>
      <c r="AA432" s="144" t="s">
        <v>204</v>
      </c>
      <c r="AB432" s="143"/>
      <c r="AC432" s="144" t="s">
        <v>204</v>
      </c>
      <c r="AD432" s="56"/>
      <c r="AE432" s="144" t="s">
        <v>204</v>
      </c>
      <c r="AF432" s="187" t="str">
        <f t="shared" si="27"/>
        <v>C</v>
      </c>
      <c r="AG432" s="54" t="str">
        <f t="shared" si="29"/>
        <v>UTILIZOU O PDA CORRETAMENTE</v>
      </c>
      <c r="AH432" s="144" t="s">
        <v>204</v>
      </c>
      <c r="AI432" s="210" t="s">
        <v>6</v>
      </c>
      <c r="AJ432" s="97" t="str">
        <f t="shared" si="28"/>
        <v>GUARULHOS</v>
      </c>
      <c r="AK432" s="213" t="s">
        <v>39</v>
      </c>
      <c r="AL432" s="53">
        <v>0.41556643560039996</v>
      </c>
      <c r="AM432" s="53" t="str" cm="1">
        <f t="array" ref="AM432">IF(OR(O432&lt;&gt;"", SUMPRODUCT(($AN$2:$AN$5000=AN432)*($AL$2:$AL$5000&lt;=AL432)) &lt;= (COUNTIF($AN$2:$AN$5000,AN432)*0.5)), "SORTEADO", "-")</f>
        <v>SORTEADO</v>
      </c>
      <c r="AN432" s="230" t="s">
        <v>1192</v>
      </c>
    </row>
    <row r="433" spans="1:40" ht="30" hidden="1" customHeight="1" x14ac:dyDescent="0.2">
      <c r="A433" s="230" t="s">
        <v>197</v>
      </c>
      <c r="B433" s="230">
        <v>2615569283</v>
      </c>
      <c r="C433" s="230" t="s">
        <v>100</v>
      </c>
      <c r="D433" s="230" t="s">
        <v>78</v>
      </c>
      <c r="E433" s="230" t="s">
        <v>198</v>
      </c>
      <c r="F433" s="230" t="s">
        <v>1235</v>
      </c>
      <c r="G433" s="230">
        <v>135</v>
      </c>
      <c r="H433" s="230" t="s">
        <v>1236</v>
      </c>
      <c r="I433" s="230" t="s">
        <v>485</v>
      </c>
      <c r="J433" s="230" t="s">
        <v>248</v>
      </c>
      <c r="K433" s="230"/>
      <c r="L433" s="230" t="s">
        <v>1192</v>
      </c>
      <c r="M433" s="230" t="s">
        <v>1237</v>
      </c>
      <c r="N433" s="230" t="s">
        <v>263</v>
      </c>
      <c r="O433" s="158"/>
      <c r="P433" s="92"/>
      <c r="Q433" s="146"/>
      <c r="R433" s="92"/>
      <c r="S433" s="146"/>
      <c r="T433" s="92"/>
      <c r="U433" s="146"/>
      <c r="V433" s="92"/>
      <c r="W433" s="146"/>
      <c r="X433" s="92"/>
      <c r="Y433" s="146"/>
      <c r="Z433" s="92"/>
      <c r="AA433" s="146"/>
      <c r="AB433" s="92"/>
      <c r="AC433" s="146"/>
      <c r="AD433" s="92"/>
      <c r="AE433" s="146"/>
      <c r="AF433" s="187" t="str">
        <f t="shared" si="27"/>
        <v/>
      </c>
      <c r="AG433" s="54" t="b">
        <f t="shared" si="29"/>
        <v>0</v>
      </c>
      <c r="AH433" s="146"/>
      <c r="AI433" s="210" t="s">
        <v>6</v>
      </c>
      <c r="AJ433" s="97" t="str">
        <f t="shared" si="28"/>
        <v>GUARULHOS</v>
      </c>
      <c r="AK433" s="213" t="s">
        <v>39</v>
      </c>
      <c r="AL433" s="53">
        <v>0.85021994436959103</v>
      </c>
      <c r="AM433" s="53" t="str" cm="1">
        <f t="array" ref="AM433">IF(OR(O433&lt;&gt;"", SUMPRODUCT(($AN$2:$AN$5000=AN433)*($AL$2:$AL$5000&lt;=AL433)) &lt;= (COUNTIF($AN$2:$AN$5000,AN433)*0.5)), "SORTEADO", "-")</f>
        <v>-</v>
      </c>
      <c r="AN433" s="230" t="s">
        <v>1192</v>
      </c>
    </row>
    <row r="434" spans="1:40" ht="30" hidden="1" customHeight="1" x14ac:dyDescent="0.2">
      <c r="A434" s="230" t="s">
        <v>197</v>
      </c>
      <c r="B434" s="230">
        <v>2615847123</v>
      </c>
      <c r="C434" s="230" t="s">
        <v>100</v>
      </c>
      <c r="D434" s="230" t="s">
        <v>78</v>
      </c>
      <c r="E434" s="230" t="s">
        <v>198</v>
      </c>
      <c r="F434" s="230" t="s">
        <v>361</v>
      </c>
      <c r="G434" s="230">
        <v>30</v>
      </c>
      <c r="H434" s="230" t="s">
        <v>1238</v>
      </c>
      <c r="I434" s="230" t="s">
        <v>363</v>
      </c>
      <c r="J434" s="230" t="s">
        <v>248</v>
      </c>
      <c r="K434" s="237" t="s">
        <v>1239</v>
      </c>
      <c r="L434" s="230" t="s">
        <v>1192</v>
      </c>
      <c r="M434" s="230" t="s">
        <v>1240</v>
      </c>
      <c r="N434" s="230" t="s">
        <v>244</v>
      </c>
      <c r="O434" s="158"/>
      <c r="P434" s="92"/>
      <c r="Q434" s="146"/>
      <c r="R434" s="92"/>
      <c r="S434" s="146"/>
      <c r="T434" s="92"/>
      <c r="U434" s="146"/>
      <c r="V434" s="92"/>
      <c r="W434" s="146"/>
      <c r="X434" s="92"/>
      <c r="Y434" s="146"/>
      <c r="Z434" s="92"/>
      <c r="AA434" s="146"/>
      <c r="AB434" s="92"/>
      <c r="AC434" s="146"/>
      <c r="AD434" s="92"/>
      <c r="AE434" s="146"/>
      <c r="AF434" s="187" t="str">
        <f t="shared" si="27"/>
        <v/>
      </c>
      <c r="AG434" s="54" t="b">
        <f t="shared" si="29"/>
        <v>0</v>
      </c>
      <c r="AH434" s="146"/>
      <c r="AI434" s="210" t="s">
        <v>6</v>
      </c>
      <c r="AJ434" s="97" t="str">
        <f t="shared" si="28"/>
        <v>GUARULHOS</v>
      </c>
      <c r="AK434" s="213" t="s">
        <v>39</v>
      </c>
      <c r="AL434" s="53">
        <v>0.82317136585178263</v>
      </c>
      <c r="AM434" s="53" t="str" cm="1">
        <f t="array" ref="AM434">IF(OR(O434&lt;&gt;"", SUMPRODUCT(($AN$2:$AN$5000=AN434)*($AL$2:$AL$5000&lt;=AL434)) &lt;= (COUNTIF($AN$2:$AN$5000,AN434)*0.5)), "SORTEADO", "-")</f>
        <v>-</v>
      </c>
      <c r="AN434" s="230" t="s">
        <v>1192</v>
      </c>
    </row>
    <row r="435" spans="1:40" ht="30" hidden="1" customHeight="1" x14ac:dyDescent="0.2">
      <c r="A435" s="230" t="s">
        <v>197</v>
      </c>
      <c r="B435" s="230">
        <v>2615856472</v>
      </c>
      <c r="C435" s="230" t="s">
        <v>105</v>
      </c>
      <c r="D435" s="230" t="s">
        <v>80</v>
      </c>
      <c r="E435" s="230" t="s">
        <v>198</v>
      </c>
      <c r="F435" s="230" t="s">
        <v>468</v>
      </c>
      <c r="G435" s="230">
        <v>131</v>
      </c>
      <c r="H435" s="230" t="s">
        <v>461</v>
      </c>
      <c r="I435" s="230" t="s">
        <v>713</v>
      </c>
      <c r="J435" s="230" t="s">
        <v>226</v>
      </c>
      <c r="K435" s="230" t="s">
        <v>1241</v>
      </c>
      <c r="L435" s="230" t="s">
        <v>1192</v>
      </c>
      <c r="M435" s="230" t="s">
        <v>1242</v>
      </c>
      <c r="N435" s="230" t="s">
        <v>244</v>
      </c>
      <c r="O435" s="158"/>
      <c r="P435" s="92"/>
      <c r="Q435" s="146"/>
      <c r="R435" s="92"/>
      <c r="S435" s="146"/>
      <c r="T435" s="92"/>
      <c r="U435" s="146"/>
      <c r="V435" s="92"/>
      <c r="W435" s="146"/>
      <c r="X435" s="92"/>
      <c r="Y435" s="146"/>
      <c r="Z435" s="92"/>
      <c r="AA435" s="146"/>
      <c r="AB435" s="92"/>
      <c r="AC435" s="146"/>
      <c r="AD435" s="92"/>
      <c r="AE435" s="146"/>
      <c r="AF435" s="187" t="str">
        <f t="shared" si="27"/>
        <v/>
      </c>
      <c r="AG435" s="54" t="b">
        <f t="shared" si="29"/>
        <v>0</v>
      </c>
      <c r="AH435" s="146"/>
      <c r="AI435" s="210" t="s">
        <v>6</v>
      </c>
      <c r="AJ435" s="97" t="str">
        <f t="shared" si="28"/>
        <v>GUARULHOS</v>
      </c>
      <c r="AK435" s="213" t="s">
        <v>39</v>
      </c>
      <c r="AL435" s="53">
        <v>0.67486526123328949</v>
      </c>
      <c r="AM435" s="53" t="str" cm="1">
        <f t="array" ref="AM435">IF(OR(O435&lt;&gt;"", SUMPRODUCT(($AN$2:$AN$5000=AN435)*($AL$2:$AL$5000&lt;=AL435)) &lt;= (COUNTIF($AN$2:$AN$5000,AN435)*0.5)), "SORTEADO", "-")</f>
        <v>-</v>
      </c>
      <c r="AN435" s="230" t="s">
        <v>1192</v>
      </c>
    </row>
    <row r="436" spans="1:40" ht="30" hidden="1" customHeight="1" x14ac:dyDescent="0.2">
      <c r="A436" s="230" t="s">
        <v>197</v>
      </c>
      <c r="B436" s="230">
        <v>2615856608</v>
      </c>
      <c r="C436" s="230" t="s">
        <v>100</v>
      </c>
      <c r="D436" s="230" t="s">
        <v>78</v>
      </c>
      <c r="E436" s="230" t="s">
        <v>198</v>
      </c>
      <c r="F436" s="230" t="s">
        <v>468</v>
      </c>
      <c r="G436" s="230">
        <v>131</v>
      </c>
      <c r="H436" s="230" t="s">
        <v>461</v>
      </c>
      <c r="I436" s="230" t="s">
        <v>713</v>
      </c>
      <c r="J436" s="230" t="s">
        <v>248</v>
      </c>
      <c r="K436" s="237" t="s">
        <v>1243</v>
      </c>
      <c r="L436" s="230" t="s">
        <v>1192</v>
      </c>
      <c r="M436" s="230" t="s">
        <v>1244</v>
      </c>
      <c r="N436" s="230" t="s">
        <v>244</v>
      </c>
      <c r="O436" s="158"/>
      <c r="P436" s="92"/>
      <c r="Q436" s="146"/>
      <c r="R436" s="92"/>
      <c r="S436" s="146"/>
      <c r="T436" s="92"/>
      <c r="U436" s="146"/>
      <c r="V436" s="92"/>
      <c r="W436" s="146"/>
      <c r="X436" s="92"/>
      <c r="Y436" s="146"/>
      <c r="Z436" s="92"/>
      <c r="AA436" s="146"/>
      <c r="AB436" s="92"/>
      <c r="AC436" s="146"/>
      <c r="AD436" s="92"/>
      <c r="AE436" s="146"/>
      <c r="AF436" s="187" t="str">
        <f t="shared" si="27"/>
        <v/>
      </c>
      <c r="AG436" s="54" t="b">
        <f t="shared" si="29"/>
        <v>0</v>
      </c>
      <c r="AH436" s="146"/>
      <c r="AI436" s="210" t="s">
        <v>6</v>
      </c>
      <c r="AJ436" s="97" t="str">
        <f t="shared" si="28"/>
        <v>GUARULHOS</v>
      </c>
      <c r="AK436" s="213" t="s">
        <v>39</v>
      </c>
      <c r="AL436" s="53">
        <v>0.63176918888526279</v>
      </c>
      <c r="AM436" s="53" t="str" cm="1">
        <f t="array" ref="AM436">IF(OR(O436&lt;&gt;"", SUMPRODUCT(($AN$2:$AN$5000=AN436)*($AL$2:$AL$5000&lt;=AL436)) &lt;= (COUNTIF($AN$2:$AN$5000,AN436)*0.5)), "SORTEADO", "-")</f>
        <v>-</v>
      </c>
      <c r="AN436" s="230" t="s">
        <v>1192</v>
      </c>
    </row>
    <row r="437" spans="1:40" ht="30" customHeight="1" x14ac:dyDescent="0.2">
      <c r="A437" s="230" t="s">
        <v>197</v>
      </c>
      <c r="B437" s="230">
        <v>2615706603</v>
      </c>
      <c r="C437" s="230" t="s">
        <v>99</v>
      </c>
      <c r="D437" s="230" t="s">
        <v>80</v>
      </c>
      <c r="E437" s="230" t="s">
        <v>198</v>
      </c>
      <c r="F437" s="230" t="s">
        <v>1245</v>
      </c>
      <c r="G437" s="230">
        <v>62</v>
      </c>
      <c r="H437" s="230"/>
      <c r="I437" s="230" t="s">
        <v>513</v>
      </c>
      <c r="J437" s="230" t="s">
        <v>305</v>
      </c>
      <c r="K437" s="230" t="s">
        <v>1246</v>
      </c>
      <c r="L437" s="230" t="s">
        <v>1192</v>
      </c>
      <c r="M437" s="230" t="s">
        <v>1247</v>
      </c>
      <c r="N437" s="230" t="s">
        <v>250</v>
      </c>
      <c r="O437" s="157" t="s">
        <v>204</v>
      </c>
      <c r="P437" s="143"/>
      <c r="Q437" s="144" t="s">
        <v>204</v>
      </c>
      <c r="R437" s="143"/>
      <c r="S437" s="144" t="s">
        <v>204</v>
      </c>
      <c r="T437" s="143"/>
      <c r="U437" s="144" t="s">
        <v>204</v>
      </c>
      <c r="V437" s="143"/>
      <c r="W437" s="144" t="s">
        <v>204</v>
      </c>
      <c r="X437" s="143"/>
      <c r="Y437" s="144" t="s">
        <v>204</v>
      </c>
      <c r="Z437" s="143"/>
      <c r="AA437" s="144" t="s">
        <v>204</v>
      </c>
      <c r="AB437" s="143"/>
      <c r="AC437" s="144" t="s">
        <v>204</v>
      </c>
      <c r="AD437" s="56"/>
      <c r="AE437" s="144" t="s">
        <v>204</v>
      </c>
      <c r="AF437" s="187" t="str">
        <f t="shared" si="27"/>
        <v>C</v>
      </c>
      <c r="AG437" s="54" t="str">
        <f t="shared" si="29"/>
        <v>UTILIZOU O PDA CORRETAMENTE</v>
      </c>
      <c r="AH437" s="144" t="s">
        <v>204</v>
      </c>
      <c r="AI437" s="210" t="s">
        <v>6</v>
      </c>
      <c r="AJ437" s="97" t="str">
        <f t="shared" si="28"/>
        <v>GUARULHOS</v>
      </c>
      <c r="AK437" s="213" t="s">
        <v>39</v>
      </c>
      <c r="AL437" s="53">
        <v>0.21885987045263533</v>
      </c>
      <c r="AM437" s="53" t="str" cm="1">
        <f t="array" ref="AM437">IF(OR(O437&lt;&gt;"", SUMPRODUCT(($AN$2:$AN$5000=AN437)*($AL$2:$AL$5000&lt;=AL437)) &lt;= (COUNTIF($AN$2:$AN$5000,AN437)*0.5)), "SORTEADO", "-")</f>
        <v>SORTEADO</v>
      </c>
      <c r="AN437" s="230" t="s">
        <v>1192</v>
      </c>
    </row>
    <row r="438" spans="1:40" ht="30" hidden="1" customHeight="1" x14ac:dyDescent="0.2">
      <c r="A438" s="230" t="s">
        <v>197</v>
      </c>
      <c r="B438" s="230">
        <v>2615750685</v>
      </c>
      <c r="C438" s="230" t="s">
        <v>86</v>
      </c>
      <c r="D438" s="230" t="s">
        <v>79</v>
      </c>
      <c r="E438" s="230" t="s">
        <v>198</v>
      </c>
      <c r="F438" s="230" t="s">
        <v>1248</v>
      </c>
      <c r="G438" s="230">
        <v>138</v>
      </c>
      <c r="H438" s="230" t="s">
        <v>1249</v>
      </c>
      <c r="I438" s="230" t="s">
        <v>791</v>
      </c>
      <c r="J438" s="230" t="s">
        <v>510</v>
      </c>
      <c r="K438" s="230" t="s">
        <v>1250</v>
      </c>
      <c r="L438" s="230" t="s">
        <v>1192</v>
      </c>
      <c r="M438" s="230" t="s">
        <v>1251</v>
      </c>
      <c r="N438" s="230" t="s">
        <v>317</v>
      </c>
      <c r="O438" s="158" t="s">
        <v>61</v>
      </c>
      <c r="P438" s="92"/>
      <c r="Q438" s="146" t="s">
        <v>61</v>
      </c>
      <c r="R438" s="92"/>
      <c r="S438" s="146" t="s">
        <v>61</v>
      </c>
      <c r="T438" s="92"/>
      <c r="U438" s="146" t="s">
        <v>61</v>
      </c>
      <c r="V438" s="92"/>
      <c r="W438" s="146" t="s">
        <v>61</v>
      </c>
      <c r="X438" s="92"/>
      <c r="Y438" s="146" t="s">
        <v>61</v>
      </c>
      <c r="Z438" s="92"/>
      <c r="AA438" s="146" t="s">
        <v>61</v>
      </c>
      <c r="AB438" s="92"/>
      <c r="AC438" s="146" t="s">
        <v>61</v>
      </c>
      <c r="AD438" s="92"/>
      <c r="AE438" s="146" t="s">
        <v>61</v>
      </c>
      <c r="AF438" s="187" t="str">
        <f t="shared" si="27"/>
        <v>NA</v>
      </c>
      <c r="AG438" s="54" t="s">
        <v>1252</v>
      </c>
      <c r="AH438" s="146" t="s">
        <v>204</v>
      </c>
      <c r="AI438" s="210" t="s">
        <v>6</v>
      </c>
      <c r="AJ438" s="97" t="str">
        <f t="shared" si="28"/>
        <v>GUARULHOS</v>
      </c>
      <c r="AK438" s="213" t="s">
        <v>39</v>
      </c>
      <c r="AL438" s="53">
        <v>1.6683595314798461E-2</v>
      </c>
      <c r="AM438" s="53" t="str" cm="1">
        <f t="array" ref="AM438">IF(OR(O438&lt;&gt;"", SUMPRODUCT(($AN$2:$AN$5000=AN438)*($AL$2:$AL$5000&lt;=AL438)) &lt;= (COUNTIF($AN$2:$AN$5000,AN438)*0.5)), "SORTEADO", "-")</f>
        <v>SORTEADO</v>
      </c>
      <c r="AN438" s="230" t="s">
        <v>1192</v>
      </c>
    </row>
    <row r="439" spans="1:40" ht="30" hidden="1" customHeight="1" x14ac:dyDescent="0.2">
      <c r="A439" s="230" t="s">
        <v>197</v>
      </c>
      <c r="B439" s="230">
        <v>2615861318</v>
      </c>
      <c r="C439" s="230" t="s">
        <v>105</v>
      </c>
      <c r="D439" s="230" t="s">
        <v>80</v>
      </c>
      <c r="E439" s="230" t="s">
        <v>198</v>
      </c>
      <c r="F439" s="230" t="s">
        <v>1253</v>
      </c>
      <c r="G439" s="230">
        <v>192</v>
      </c>
      <c r="H439" s="230"/>
      <c r="I439" s="230" t="s">
        <v>692</v>
      </c>
      <c r="J439" s="230" t="s">
        <v>226</v>
      </c>
      <c r="K439" s="230" t="s">
        <v>1254</v>
      </c>
      <c r="L439" s="230" t="s">
        <v>1192</v>
      </c>
      <c r="M439" s="230" t="s">
        <v>1255</v>
      </c>
      <c r="N439" s="230" t="s">
        <v>241</v>
      </c>
      <c r="O439" s="158"/>
      <c r="P439" s="92"/>
      <c r="Q439" s="146"/>
      <c r="R439" s="92"/>
      <c r="S439" s="146"/>
      <c r="T439" s="92"/>
      <c r="U439" s="146"/>
      <c r="V439" s="92"/>
      <c r="W439" s="146"/>
      <c r="X439" s="92"/>
      <c r="Y439" s="146"/>
      <c r="Z439" s="92"/>
      <c r="AA439" s="146"/>
      <c r="AB439" s="92"/>
      <c r="AC439" s="146"/>
      <c r="AD439" s="92"/>
      <c r="AE439" s="146"/>
      <c r="AF439" s="187" t="str">
        <f t="shared" si="27"/>
        <v/>
      </c>
      <c r="AG439" s="54" t="b">
        <f t="shared" ref="AG439:AG486" si="30">IF(AND(AE439="C",AF439="C"),"UTILIZOU O PDA CORRETAMENTE",IF(AND(AE439="C",AF439="NC"),"UTILIZOU O PDA CORRETAMENTE. NÃO HÁ FOTOS DE TODAS AS ETAPAS",IF(AND(AE439="NC",AF439="NC"),"NÃO UTILIZOU O PDA",IF(AND(AE439="NA",AF439="NA"),"NÃO AVALIADO POR FALHA DE SINCRONISMO"))))</f>
        <v>0</v>
      </c>
      <c r="AH439" s="146"/>
      <c r="AI439" s="210" t="s">
        <v>6</v>
      </c>
      <c r="AJ439" s="97" t="str">
        <f t="shared" si="28"/>
        <v>GUARULHOS</v>
      </c>
      <c r="AK439" s="213" t="s">
        <v>39</v>
      </c>
      <c r="AL439" s="53">
        <v>0.9490225532049007</v>
      </c>
      <c r="AM439" s="53" t="str" cm="1">
        <f t="array" ref="AM439">IF(OR(O439&lt;&gt;"", SUMPRODUCT(($AN$2:$AN$5000=AN439)*($AL$2:$AL$5000&lt;=AL439)) &lt;= (COUNTIF($AN$2:$AN$5000,AN439)*0.5)), "SORTEADO", "-")</f>
        <v>-</v>
      </c>
      <c r="AN439" s="230" t="s">
        <v>1192</v>
      </c>
    </row>
    <row r="440" spans="1:40" ht="30" customHeight="1" x14ac:dyDescent="0.2">
      <c r="A440" s="230" t="s">
        <v>197</v>
      </c>
      <c r="B440" s="230">
        <v>2615871186</v>
      </c>
      <c r="C440" s="230" t="s">
        <v>104</v>
      </c>
      <c r="D440" s="230" t="s">
        <v>80</v>
      </c>
      <c r="E440" s="230" t="s">
        <v>198</v>
      </c>
      <c r="F440" s="230" t="s">
        <v>969</v>
      </c>
      <c r="G440" s="230">
        <v>186</v>
      </c>
      <c r="H440" s="230" t="s">
        <v>213</v>
      </c>
      <c r="I440" s="230" t="s">
        <v>971</v>
      </c>
      <c r="J440" s="230" t="s">
        <v>278</v>
      </c>
      <c r="K440" s="230" t="s">
        <v>1256</v>
      </c>
      <c r="L440" s="230" t="s">
        <v>1192</v>
      </c>
      <c r="M440" s="230" t="s">
        <v>1257</v>
      </c>
      <c r="N440" s="230" t="s">
        <v>348</v>
      </c>
      <c r="O440" s="158" t="s">
        <v>204</v>
      </c>
      <c r="P440" s="92"/>
      <c r="Q440" s="146" t="s">
        <v>204</v>
      </c>
      <c r="R440" s="92"/>
      <c r="S440" s="146" t="s">
        <v>204</v>
      </c>
      <c r="T440" s="92"/>
      <c r="U440" s="146" t="s">
        <v>204</v>
      </c>
      <c r="V440" s="92"/>
      <c r="W440" s="146" t="s">
        <v>204</v>
      </c>
      <c r="X440" s="92"/>
      <c r="Y440" s="146" t="s">
        <v>61</v>
      </c>
      <c r="Z440" s="92"/>
      <c r="AA440" s="146" t="s">
        <v>204</v>
      </c>
      <c r="AB440" s="92"/>
      <c r="AC440" s="146" t="s">
        <v>204</v>
      </c>
      <c r="AD440" s="92"/>
      <c r="AE440" s="146" t="s">
        <v>204</v>
      </c>
      <c r="AF440" s="187" t="str">
        <f t="shared" si="27"/>
        <v>C</v>
      </c>
      <c r="AG440" s="54" t="str">
        <f t="shared" si="30"/>
        <v>UTILIZOU O PDA CORRETAMENTE</v>
      </c>
      <c r="AH440" s="144" t="s">
        <v>204</v>
      </c>
      <c r="AI440" s="210" t="s">
        <v>6</v>
      </c>
      <c r="AJ440" s="97" t="str">
        <f t="shared" si="28"/>
        <v>GUARULHOS</v>
      </c>
      <c r="AK440" s="213" t="s">
        <v>39</v>
      </c>
      <c r="AL440" s="53">
        <v>5.1915478315076147E-2</v>
      </c>
      <c r="AM440" s="53" t="str" cm="1">
        <f t="array" ref="AM440">IF(OR(O440&lt;&gt;"", SUMPRODUCT(($AN$2:$AN$5000=AN440)*($AL$2:$AL$5000&lt;=AL440)) &lt;= (COUNTIF($AN$2:$AN$5000,AN440)*0.5)), "SORTEADO", "-")</f>
        <v>SORTEADO</v>
      </c>
      <c r="AN440" s="230" t="s">
        <v>1192</v>
      </c>
    </row>
    <row r="441" spans="1:40" ht="30" customHeight="1" x14ac:dyDescent="0.2">
      <c r="A441" s="230" t="s">
        <v>197</v>
      </c>
      <c r="B441" s="230">
        <v>2615594544</v>
      </c>
      <c r="C441" s="230" t="s">
        <v>99</v>
      </c>
      <c r="D441" s="230" t="s">
        <v>80</v>
      </c>
      <c r="E441" s="230" t="s">
        <v>198</v>
      </c>
      <c r="F441" s="230" t="s">
        <v>1258</v>
      </c>
      <c r="G441" s="230">
        <v>52</v>
      </c>
      <c r="H441" s="230" t="s">
        <v>206</v>
      </c>
      <c r="I441" s="230" t="s">
        <v>335</v>
      </c>
      <c r="J441" s="230" t="s">
        <v>305</v>
      </c>
      <c r="K441" s="230"/>
      <c r="L441" s="230" t="s">
        <v>1192</v>
      </c>
      <c r="M441" s="230" t="s">
        <v>1259</v>
      </c>
      <c r="N441" s="230" t="s">
        <v>260</v>
      </c>
      <c r="O441" s="157" t="s">
        <v>204</v>
      </c>
      <c r="P441" s="143"/>
      <c r="Q441" s="144" t="s">
        <v>204</v>
      </c>
      <c r="R441" s="143"/>
      <c r="S441" s="144" t="s">
        <v>204</v>
      </c>
      <c r="T441" s="143"/>
      <c r="U441" s="144" t="s">
        <v>204</v>
      </c>
      <c r="V441" s="143"/>
      <c r="W441" s="144" t="s">
        <v>204</v>
      </c>
      <c r="X441" s="143"/>
      <c r="Y441" s="144" t="s">
        <v>204</v>
      </c>
      <c r="Z441" s="143"/>
      <c r="AA441" s="144" t="s">
        <v>204</v>
      </c>
      <c r="AB441" s="143"/>
      <c r="AC441" s="144" t="s">
        <v>204</v>
      </c>
      <c r="AD441" s="56"/>
      <c r="AE441" s="144" t="s">
        <v>204</v>
      </c>
      <c r="AF441" s="187" t="str">
        <f t="shared" si="27"/>
        <v>C</v>
      </c>
      <c r="AG441" s="54" t="str">
        <f t="shared" si="30"/>
        <v>UTILIZOU O PDA CORRETAMENTE</v>
      </c>
      <c r="AH441" s="144" t="s">
        <v>204</v>
      </c>
      <c r="AI441" s="210" t="s">
        <v>6</v>
      </c>
      <c r="AJ441" s="97" t="str">
        <f t="shared" si="28"/>
        <v>GUARULHOS</v>
      </c>
      <c r="AK441" s="213" t="s">
        <v>39</v>
      </c>
      <c r="AL441" s="53">
        <v>6.6176479981403302E-2</v>
      </c>
      <c r="AM441" s="53" t="str" cm="1">
        <f t="array" ref="AM441">IF(OR(O441&lt;&gt;"", SUMPRODUCT(($AN$2:$AN$5000=AN441)*($AL$2:$AL$5000&lt;=AL441)) &lt;= (COUNTIF($AN$2:$AN$5000,AN441)*0.5)), "SORTEADO", "-")</f>
        <v>SORTEADO</v>
      </c>
      <c r="AN441" s="230" t="s">
        <v>1192</v>
      </c>
    </row>
    <row r="442" spans="1:40" ht="30" customHeight="1" x14ac:dyDescent="0.2">
      <c r="A442" s="230" t="s">
        <v>197</v>
      </c>
      <c r="B442" s="230">
        <v>2615880091</v>
      </c>
      <c r="C442" s="230" t="s">
        <v>102</v>
      </c>
      <c r="D442" s="230" t="s">
        <v>80</v>
      </c>
      <c r="E442" s="230" t="s">
        <v>198</v>
      </c>
      <c r="F442" s="230" t="s">
        <v>1260</v>
      </c>
      <c r="G442" s="230">
        <v>50</v>
      </c>
      <c r="H442" s="230" t="s">
        <v>1261</v>
      </c>
      <c r="I442" s="230" t="s">
        <v>1262</v>
      </c>
      <c r="J442" s="230" t="s">
        <v>270</v>
      </c>
      <c r="K442" s="230" t="s">
        <v>213</v>
      </c>
      <c r="L442" s="230" t="s">
        <v>1192</v>
      </c>
      <c r="M442" s="230" t="s">
        <v>1263</v>
      </c>
      <c r="N442" s="230" t="s">
        <v>250</v>
      </c>
      <c r="O442" s="158" t="s">
        <v>204</v>
      </c>
      <c r="P442" s="92"/>
      <c r="Q442" s="146" t="s">
        <v>204</v>
      </c>
      <c r="R442" s="92"/>
      <c r="S442" s="146" t="s">
        <v>204</v>
      </c>
      <c r="T442" s="92"/>
      <c r="U442" s="146" t="s">
        <v>204</v>
      </c>
      <c r="V442" s="92"/>
      <c r="W442" s="146" t="s">
        <v>204</v>
      </c>
      <c r="X442" s="92"/>
      <c r="Y442" s="146" t="s">
        <v>61</v>
      </c>
      <c r="Z442" s="92"/>
      <c r="AA442" s="146" t="s">
        <v>204</v>
      </c>
      <c r="AB442" s="92"/>
      <c r="AC442" s="146" t="s">
        <v>204</v>
      </c>
      <c r="AD442" s="92"/>
      <c r="AE442" s="146" t="s">
        <v>204</v>
      </c>
      <c r="AF442" s="187" t="str">
        <f t="shared" si="27"/>
        <v>C</v>
      </c>
      <c r="AG442" s="54" t="str">
        <f t="shared" si="30"/>
        <v>UTILIZOU O PDA CORRETAMENTE</v>
      </c>
      <c r="AH442" s="144" t="s">
        <v>204</v>
      </c>
      <c r="AI442" s="210" t="s">
        <v>6</v>
      </c>
      <c r="AJ442" s="97" t="str">
        <f t="shared" si="28"/>
        <v>GUARULHOS</v>
      </c>
      <c r="AK442" s="213" t="s">
        <v>39</v>
      </c>
      <c r="AL442" s="53">
        <v>0.40298539303877212</v>
      </c>
      <c r="AM442" s="53" t="str" cm="1">
        <f t="array" ref="AM442">IF(OR(O442&lt;&gt;"", SUMPRODUCT(($AN$2:$AN$5000=AN442)*($AL$2:$AL$5000&lt;=AL442)) &lt;= (COUNTIF($AN$2:$AN$5000,AN442)*0.5)), "SORTEADO", "-")</f>
        <v>SORTEADO</v>
      </c>
      <c r="AN442" s="230" t="s">
        <v>1192</v>
      </c>
    </row>
    <row r="443" spans="1:40" ht="30" hidden="1" customHeight="1" x14ac:dyDescent="0.2">
      <c r="A443" s="230" t="s">
        <v>197</v>
      </c>
      <c r="B443" s="230">
        <v>2615857778</v>
      </c>
      <c r="C443" s="230" t="s">
        <v>100</v>
      </c>
      <c r="D443" s="230" t="s">
        <v>78</v>
      </c>
      <c r="E443" s="230" t="s">
        <v>198</v>
      </c>
      <c r="F443" s="230" t="s">
        <v>966</v>
      </c>
      <c r="G443" s="230">
        <v>1558</v>
      </c>
      <c r="H443" s="230" t="s">
        <v>213</v>
      </c>
      <c r="I443" s="230" t="s">
        <v>588</v>
      </c>
      <c r="J443" s="230" t="s">
        <v>248</v>
      </c>
      <c r="K443" s="230" t="s">
        <v>1264</v>
      </c>
      <c r="L443" s="230" t="s">
        <v>1192</v>
      </c>
      <c r="M443" s="230" t="s">
        <v>1265</v>
      </c>
      <c r="N443" s="230" t="s">
        <v>348</v>
      </c>
      <c r="O443" s="158"/>
      <c r="P443" s="92"/>
      <c r="Q443" s="146"/>
      <c r="R443" s="92"/>
      <c r="S443" s="146"/>
      <c r="T443" s="92"/>
      <c r="U443" s="146"/>
      <c r="V443" s="92"/>
      <c r="W443" s="146"/>
      <c r="X443" s="92"/>
      <c r="Y443" s="146"/>
      <c r="Z443" s="92"/>
      <c r="AA443" s="146"/>
      <c r="AB443" s="92"/>
      <c r="AC443" s="146"/>
      <c r="AD443" s="92"/>
      <c r="AE443" s="146"/>
      <c r="AF443" s="187" t="str">
        <f t="shared" si="27"/>
        <v/>
      </c>
      <c r="AG443" s="54" t="b">
        <f t="shared" si="30"/>
        <v>0</v>
      </c>
      <c r="AH443" s="146"/>
      <c r="AI443" s="210" t="s">
        <v>6</v>
      </c>
      <c r="AJ443" s="97" t="str">
        <f t="shared" si="28"/>
        <v>GUARULHOS</v>
      </c>
      <c r="AK443" s="213" t="s">
        <v>39</v>
      </c>
      <c r="AL443" s="53">
        <v>0.44556116050805816</v>
      </c>
      <c r="AM443" s="53" t="str" cm="1">
        <f t="array" ref="AM443">IF(OR(O443&lt;&gt;"", SUMPRODUCT(($AN$2:$AN$5000=AN443)*($AL$2:$AL$5000&lt;=AL443)) &lt;= (COUNTIF($AN$2:$AN$5000,AN443)*0.5)), "SORTEADO", "-")</f>
        <v>-</v>
      </c>
      <c r="AN443" s="230" t="s">
        <v>1192</v>
      </c>
    </row>
    <row r="444" spans="1:40" ht="30" hidden="1" customHeight="1" x14ac:dyDescent="0.2">
      <c r="A444" s="230" t="s">
        <v>197</v>
      </c>
      <c r="B444" s="230">
        <v>2615850151</v>
      </c>
      <c r="C444" s="230" t="s">
        <v>102</v>
      </c>
      <c r="D444" s="230" t="s">
        <v>80</v>
      </c>
      <c r="E444" s="230" t="s">
        <v>198</v>
      </c>
      <c r="F444" s="230" t="s">
        <v>1266</v>
      </c>
      <c r="G444" s="230">
        <v>118</v>
      </c>
      <c r="H444" s="230" t="s">
        <v>1267</v>
      </c>
      <c r="I444" s="230" t="s">
        <v>971</v>
      </c>
      <c r="J444" s="230" t="s">
        <v>270</v>
      </c>
      <c r="K444" s="230" t="s">
        <v>532</v>
      </c>
      <c r="L444" s="230" t="s">
        <v>1192</v>
      </c>
      <c r="M444" s="230" t="s">
        <v>1268</v>
      </c>
      <c r="N444" s="230" t="s">
        <v>432</v>
      </c>
      <c r="O444" s="158"/>
      <c r="P444" s="92"/>
      <c r="Q444" s="146"/>
      <c r="R444" s="92"/>
      <c r="S444" s="146"/>
      <c r="T444" s="92"/>
      <c r="U444" s="146"/>
      <c r="V444" s="92"/>
      <c r="W444" s="146"/>
      <c r="X444" s="92"/>
      <c r="Y444" s="146"/>
      <c r="Z444" s="92"/>
      <c r="AA444" s="146"/>
      <c r="AB444" s="92"/>
      <c r="AC444" s="146"/>
      <c r="AD444" s="92"/>
      <c r="AE444" s="146"/>
      <c r="AF444" s="187" t="str">
        <f t="shared" si="27"/>
        <v/>
      </c>
      <c r="AG444" s="54" t="b">
        <f t="shared" si="30"/>
        <v>0</v>
      </c>
      <c r="AH444" s="146"/>
      <c r="AI444" s="210" t="s">
        <v>6</v>
      </c>
      <c r="AJ444" s="97" t="str">
        <f t="shared" si="28"/>
        <v>GUARULHOS</v>
      </c>
      <c r="AK444" s="213" t="s">
        <v>39</v>
      </c>
      <c r="AL444" s="53">
        <v>0.83615568364127713</v>
      </c>
      <c r="AM444" s="53" t="str" cm="1">
        <f t="array" ref="AM444">IF(OR(O444&lt;&gt;"", SUMPRODUCT(($AN$2:$AN$5000=AN444)*($AL$2:$AL$5000&lt;=AL444)) &lt;= (COUNTIF($AN$2:$AN$5000,AN444)*0.5)), "SORTEADO", "-")</f>
        <v>-</v>
      </c>
      <c r="AN444" s="230" t="s">
        <v>1192</v>
      </c>
    </row>
    <row r="445" spans="1:40" ht="30" hidden="1" customHeight="1" x14ac:dyDescent="0.2">
      <c r="A445" s="230" t="s">
        <v>197</v>
      </c>
      <c r="B445" s="230">
        <v>2615745781</v>
      </c>
      <c r="C445" s="230" t="s">
        <v>89</v>
      </c>
      <c r="D445" s="230" t="s">
        <v>77</v>
      </c>
      <c r="E445" s="230" t="s">
        <v>198</v>
      </c>
      <c r="F445" s="230" t="s">
        <v>1269</v>
      </c>
      <c r="G445" s="230">
        <v>111</v>
      </c>
      <c r="H445" s="230" t="s">
        <v>1270</v>
      </c>
      <c r="I445" s="230" t="s">
        <v>281</v>
      </c>
      <c r="J445" s="230" t="s">
        <v>346</v>
      </c>
      <c r="K445" s="230" t="s">
        <v>1271</v>
      </c>
      <c r="L445" s="230" t="s">
        <v>1192</v>
      </c>
      <c r="M445" s="230" t="s">
        <v>1272</v>
      </c>
      <c r="N445" s="230" t="s">
        <v>271</v>
      </c>
      <c r="O445" s="158"/>
      <c r="P445" s="92"/>
      <c r="Q445" s="146"/>
      <c r="R445" s="92"/>
      <c r="S445" s="146"/>
      <c r="T445" s="92"/>
      <c r="U445" s="146"/>
      <c r="V445" s="92"/>
      <c r="W445" s="146"/>
      <c r="X445" s="92"/>
      <c r="Y445" s="146"/>
      <c r="Z445" s="92"/>
      <c r="AA445" s="146"/>
      <c r="AB445" s="92"/>
      <c r="AC445" s="146"/>
      <c r="AD445" s="92"/>
      <c r="AE445" s="146"/>
      <c r="AF445" s="187" t="str">
        <f t="shared" si="27"/>
        <v/>
      </c>
      <c r="AG445" s="54" t="b">
        <f t="shared" si="30"/>
        <v>0</v>
      </c>
      <c r="AH445" s="146"/>
      <c r="AI445" s="210" t="s">
        <v>6</v>
      </c>
      <c r="AJ445" s="97" t="str">
        <f t="shared" si="28"/>
        <v>GUARULHOS</v>
      </c>
      <c r="AK445" s="213" t="s">
        <v>39</v>
      </c>
      <c r="AL445" s="53">
        <v>0.94222190503648007</v>
      </c>
      <c r="AM445" s="53" t="str" cm="1">
        <f t="array" ref="AM445">IF(OR(O445&lt;&gt;"", SUMPRODUCT(($AN$2:$AN$5000=AN445)*($AL$2:$AL$5000&lt;=AL445)) &lt;= (COUNTIF($AN$2:$AN$5000,AN445)*0.5)), "SORTEADO", "-")</f>
        <v>-</v>
      </c>
      <c r="AN445" s="230" t="s">
        <v>1192</v>
      </c>
    </row>
    <row r="446" spans="1:40" ht="30" customHeight="1" x14ac:dyDescent="0.2">
      <c r="A446" s="230" t="s">
        <v>197</v>
      </c>
      <c r="B446" s="230">
        <v>2615745781</v>
      </c>
      <c r="C446" s="230" t="s">
        <v>99</v>
      </c>
      <c r="D446" s="230" t="s">
        <v>80</v>
      </c>
      <c r="E446" s="230" t="s">
        <v>198</v>
      </c>
      <c r="F446" s="230" t="s">
        <v>1269</v>
      </c>
      <c r="G446" s="230">
        <v>111</v>
      </c>
      <c r="H446" s="230" t="s">
        <v>1270</v>
      </c>
      <c r="I446" s="230" t="s">
        <v>281</v>
      </c>
      <c r="J446" s="230" t="s">
        <v>305</v>
      </c>
      <c r="K446" s="237" t="s">
        <v>1273</v>
      </c>
      <c r="L446" s="230" t="s">
        <v>1192</v>
      </c>
      <c r="M446" s="230" t="s">
        <v>1274</v>
      </c>
      <c r="N446" s="230" t="s">
        <v>271</v>
      </c>
      <c r="O446" s="157" t="s">
        <v>204</v>
      </c>
      <c r="P446" s="143"/>
      <c r="Q446" s="144" t="s">
        <v>204</v>
      </c>
      <c r="R446" s="143"/>
      <c r="S446" s="144" t="s">
        <v>204</v>
      </c>
      <c r="T446" s="143"/>
      <c r="U446" s="144" t="s">
        <v>204</v>
      </c>
      <c r="V446" s="143"/>
      <c r="W446" s="144" t="s">
        <v>204</v>
      </c>
      <c r="X446" s="143"/>
      <c r="Y446" s="144" t="s">
        <v>204</v>
      </c>
      <c r="Z446" s="143"/>
      <c r="AA446" s="144" t="s">
        <v>204</v>
      </c>
      <c r="AB446" s="143"/>
      <c r="AC446" s="144" t="s">
        <v>204</v>
      </c>
      <c r="AD446" s="56"/>
      <c r="AE446" s="144" t="s">
        <v>204</v>
      </c>
      <c r="AF446" s="187" t="str">
        <f t="shared" si="27"/>
        <v>C</v>
      </c>
      <c r="AG446" s="54" t="str">
        <f t="shared" si="30"/>
        <v>UTILIZOU O PDA CORRETAMENTE</v>
      </c>
      <c r="AH446" s="144" t="s">
        <v>204</v>
      </c>
      <c r="AI446" s="210" t="s">
        <v>6</v>
      </c>
      <c r="AJ446" s="97" t="str">
        <f t="shared" si="28"/>
        <v>GUARULHOS</v>
      </c>
      <c r="AK446" s="213" t="s">
        <v>39</v>
      </c>
      <c r="AL446" s="53">
        <v>0.21697229372678761</v>
      </c>
      <c r="AM446" s="53" t="str" cm="1">
        <f t="array" ref="AM446">IF(OR(O446&lt;&gt;"", SUMPRODUCT(($AN$2:$AN$5000=AN446)*($AL$2:$AL$5000&lt;=AL446)) &lt;= (COUNTIF($AN$2:$AN$5000,AN446)*0.5)), "SORTEADO", "-")</f>
        <v>SORTEADO</v>
      </c>
      <c r="AN446" s="230" t="s">
        <v>1192</v>
      </c>
    </row>
    <row r="447" spans="1:40" ht="30" customHeight="1" x14ac:dyDescent="0.2">
      <c r="A447" s="230" t="s">
        <v>197</v>
      </c>
      <c r="B447" s="230">
        <v>2615524009</v>
      </c>
      <c r="C447" s="230" t="s">
        <v>95</v>
      </c>
      <c r="D447" s="230" t="s">
        <v>76</v>
      </c>
      <c r="E447" s="230" t="s">
        <v>198</v>
      </c>
      <c r="F447" s="230" t="s">
        <v>1275</v>
      </c>
      <c r="G447" s="230">
        <v>196</v>
      </c>
      <c r="H447" s="230" t="s">
        <v>1276</v>
      </c>
      <c r="I447" s="230" t="s">
        <v>1277</v>
      </c>
      <c r="J447" s="230" t="s">
        <v>95</v>
      </c>
      <c r="K447" s="230" t="s">
        <v>1278</v>
      </c>
      <c r="L447" s="230" t="s">
        <v>1192</v>
      </c>
      <c r="M447" s="230" t="s">
        <v>1279</v>
      </c>
      <c r="N447" s="230" t="s">
        <v>408</v>
      </c>
      <c r="O447" s="158" t="s">
        <v>204</v>
      </c>
      <c r="P447" s="92"/>
      <c r="Q447" s="146" t="s">
        <v>61</v>
      </c>
      <c r="R447" s="92"/>
      <c r="S447" s="146" t="s">
        <v>61</v>
      </c>
      <c r="T447" s="92"/>
      <c r="U447" s="146" t="s">
        <v>61</v>
      </c>
      <c r="V447" s="92"/>
      <c r="W447" s="146" t="s">
        <v>61</v>
      </c>
      <c r="X447" s="92"/>
      <c r="Y447" s="146" t="s">
        <v>61</v>
      </c>
      <c r="Z447" s="92"/>
      <c r="AA447" s="146" t="s">
        <v>204</v>
      </c>
      <c r="AB447" s="92"/>
      <c r="AC447" s="146" t="s">
        <v>204</v>
      </c>
      <c r="AD447" s="92"/>
      <c r="AE447" s="146" t="s">
        <v>204</v>
      </c>
      <c r="AF447" s="187" t="str">
        <f t="shared" si="27"/>
        <v>C</v>
      </c>
      <c r="AG447" s="54" t="str">
        <f t="shared" si="30"/>
        <v>UTILIZOU O PDA CORRETAMENTE</v>
      </c>
      <c r="AH447" s="146" t="s">
        <v>204</v>
      </c>
      <c r="AI447" s="210" t="s">
        <v>6</v>
      </c>
      <c r="AJ447" s="97" t="str">
        <f t="shared" si="28"/>
        <v>GUARULHOS</v>
      </c>
      <c r="AK447" s="213" t="s">
        <v>39</v>
      </c>
      <c r="AL447" s="53">
        <v>2.6561131413460615E-2</v>
      </c>
      <c r="AM447" s="53" t="str" cm="1">
        <f t="array" ref="AM447">IF(OR(O447&lt;&gt;"", SUMPRODUCT(($AN$2:$AN$5000=AN447)*($AL$2:$AL$5000&lt;=AL447)) &lt;= (COUNTIF($AN$2:$AN$5000,AN447)*0.5)), "SORTEADO", "-")</f>
        <v>SORTEADO</v>
      </c>
      <c r="AN447" s="230" t="s">
        <v>1192</v>
      </c>
    </row>
    <row r="448" spans="1:40" ht="30" customHeight="1" x14ac:dyDescent="0.2">
      <c r="A448" s="230" t="s">
        <v>197</v>
      </c>
      <c r="B448" s="230">
        <v>2615524005</v>
      </c>
      <c r="C448" s="230" t="s">
        <v>93</v>
      </c>
      <c r="D448" s="230" t="s">
        <v>76</v>
      </c>
      <c r="E448" s="230" t="s">
        <v>198</v>
      </c>
      <c r="F448" s="230" t="s">
        <v>1275</v>
      </c>
      <c r="G448" s="230">
        <v>196</v>
      </c>
      <c r="H448" s="230" t="s">
        <v>1280</v>
      </c>
      <c r="I448" s="230" t="s">
        <v>1277</v>
      </c>
      <c r="J448" s="230" t="s">
        <v>93</v>
      </c>
      <c r="K448" s="230" t="s">
        <v>1281</v>
      </c>
      <c r="L448" s="230" t="s">
        <v>1192</v>
      </c>
      <c r="M448" s="230" t="s">
        <v>1282</v>
      </c>
      <c r="N448" s="230" t="s">
        <v>408</v>
      </c>
      <c r="O448" s="158" t="s">
        <v>204</v>
      </c>
      <c r="P448" s="92"/>
      <c r="Q448" s="146" t="s">
        <v>61</v>
      </c>
      <c r="R448" s="92"/>
      <c r="S448" s="146" t="s">
        <v>61</v>
      </c>
      <c r="T448" s="92"/>
      <c r="U448" s="146" t="s">
        <v>61</v>
      </c>
      <c r="V448" s="92"/>
      <c r="W448" s="146" t="s">
        <v>61</v>
      </c>
      <c r="X448" s="92"/>
      <c r="Y448" s="146" t="s">
        <v>61</v>
      </c>
      <c r="Z448" s="92"/>
      <c r="AA448" s="146" t="s">
        <v>204</v>
      </c>
      <c r="AB448" s="92"/>
      <c r="AC448" s="146" t="s">
        <v>204</v>
      </c>
      <c r="AD448" s="92"/>
      <c r="AE448" s="146" t="s">
        <v>204</v>
      </c>
      <c r="AF448" s="187" t="str">
        <f t="shared" si="27"/>
        <v>C</v>
      </c>
      <c r="AG448" s="54" t="str">
        <f t="shared" si="30"/>
        <v>UTILIZOU O PDA CORRETAMENTE</v>
      </c>
      <c r="AH448" s="146" t="s">
        <v>204</v>
      </c>
      <c r="AI448" s="210" t="s">
        <v>6</v>
      </c>
      <c r="AJ448" s="97" t="str">
        <f t="shared" si="28"/>
        <v>GUARULHOS</v>
      </c>
      <c r="AK448" s="213" t="s">
        <v>39</v>
      </c>
      <c r="AL448" s="53">
        <v>0.42772701115653211</v>
      </c>
      <c r="AM448" s="53" t="str" cm="1">
        <f t="array" ref="AM448">IF(OR(O448&lt;&gt;"", SUMPRODUCT(($AN$2:$AN$5000=AN448)*($AL$2:$AL$5000&lt;=AL448)) &lt;= (COUNTIF($AN$2:$AN$5000,AN448)*0.5)), "SORTEADO", "-")</f>
        <v>SORTEADO</v>
      </c>
      <c r="AN448" s="230" t="s">
        <v>1192</v>
      </c>
    </row>
    <row r="449" spans="1:40" ht="30" customHeight="1" x14ac:dyDescent="0.2">
      <c r="A449" s="230" t="s">
        <v>197</v>
      </c>
      <c r="B449" s="230">
        <v>2615521319</v>
      </c>
      <c r="C449" s="230" t="s">
        <v>93</v>
      </c>
      <c r="D449" s="230" t="s">
        <v>76</v>
      </c>
      <c r="E449" s="230" t="s">
        <v>198</v>
      </c>
      <c r="F449" s="230" t="s">
        <v>1283</v>
      </c>
      <c r="G449" s="230">
        <v>123</v>
      </c>
      <c r="H449" s="230" t="s">
        <v>1284</v>
      </c>
      <c r="I449" s="230" t="s">
        <v>1285</v>
      </c>
      <c r="J449" s="230" t="s">
        <v>93</v>
      </c>
      <c r="K449" s="230" t="s">
        <v>213</v>
      </c>
      <c r="L449" s="230" t="s">
        <v>1192</v>
      </c>
      <c r="M449" s="230" t="s">
        <v>1286</v>
      </c>
      <c r="N449" s="230" t="s">
        <v>209</v>
      </c>
      <c r="O449" s="158" t="s">
        <v>204</v>
      </c>
      <c r="P449" s="92"/>
      <c r="Q449" s="146" t="s">
        <v>204</v>
      </c>
      <c r="R449" s="92"/>
      <c r="S449" s="146" t="s">
        <v>204</v>
      </c>
      <c r="T449" s="92"/>
      <c r="U449" s="146" t="s">
        <v>204</v>
      </c>
      <c r="V449" s="92"/>
      <c r="W449" s="146" t="s">
        <v>204</v>
      </c>
      <c r="X449" s="92"/>
      <c r="Y449" s="146" t="s">
        <v>61</v>
      </c>
      <c r="Z449" s="92"/>
      <c r="AA449" s="146" t="s">
        <v>204</v>
      </c>
      <c r="AB449" s="92"/>
      <c r="AC449" s="146" t="s">
        <v>204</v>
      </c>
      <c r="AD449" s="92"/>
      <c r="AE449" s="146" t="s">
        <v>204</v>
      </c>
      <c r="AF449" s="187" t="str">
        <f t="shared" si="27"/>
        <v>C</v>
      </c>
      <c r="AG449" s="54" t="str">
        <f t="shared" si="30"/>
        <v>UTILIZOU O PDA CORRETAMENTE</v>
      </c>
      <c r="AH449" s="146" t="s">
        <v>204</v>
      </c>
      <c r="AI449" s="210" t="s">
        <v>6</v>
      </c>
      <c r="AJ449" s="97" t="str">
        <f t="shared" si="28"/>
        <v>GUARULHOS</v>
      </c>
      <c r="AK449" s="213" t="s">
        <v>39</v>
      </c>
      <c r="AL449" s="53">
        <v>0.36774277361089025</v>
      </c>
      <c r="AM449" s="53" t="str" cm="1">
        <f t="array" ref="AM449">IF(OR(O449&lt;&gt;"", SUMPRODUCT(($AN$2:$AN$5000=AN449)*($AL$2:$AL$5000&lt;=AL449)) &lt;= (COUNTIF($AN$2:$AN$5000,AN449)*0.5)), "SORTEADO", "-")</f>
        <v>SORTEADO</v>
      </c>
      <c r="AN449" s="230" t="s">
        <v>1192</v>
      </c>
    </row>
    <row r="450" spans="1:40" ht="30" customHeight="1" x14ac:dyDescent="0.2">
      <c r="A450" s="230" t="s">
        <v>197</v>
      </c>
      <c r="B450" s="230">
        <v>2615521334</v>
      </c>
      <c r="C450" s="230" t="s">
        <v>95</v>
      </c>
      <c r="D450" s="230" t="s">
        <v>76</v>
      </c>
      <c r="E450" s="230" t="s">
        <v>198</v>
      </c>
      <c r="F450" s="230" t="s">
        <v>1283</v>
      </c>
      <c r="G450" s="230">
        <v>123</v>
      </c>
      <c r="H450" s="230" t="s">
        <v>1287</v>
      </c>
      <c r="I450" s="230" t="s">
        <v>1285</v>
      </c>
      <c r="J450" s="230" t="s">
        <v>95</v>
      </c>
      <c r="K450" s="230" t="s">
        <v>1288</v>
      </c>
      <c r="L450" s="230" t="s">
        <v>1192</v>
      </c>
      <c r="M450" s="230" t="s">
        <v>1289</v>
      </c>
      <c r="N450" s="230" t="s">
        <v>209</v>
      </c>
      <c r="O450" s="158" t="s">
        <v>204</v>
      </c>
      <c r="P450" s="92"/>
      <c r="Q450" s="146" t="s">
        <v>204</v>
      </c>
      <c r="R450" s="92"/>
      <c r="S450" s="146" t="s">
        <v>204</v>
      </c>
      <c r="T450" s="92"/>
      <c r="U450" s="146" t="s">
        <v>204</v>
      </c>
      <c r="V450" s="92"/>
      <c r="W450" s="146" t="s">
        <v>204</v>
      </c>
      <c r="X450" s="92"/>
      <c r="Y450" s="146" t="s">
        <v>61</v>
      </c>
      <c r="Z450" s="92"/>
      <c r="AA450" s="146" t="s">
        <v>204</v>
      </c>
      <c r="AB450" s="92"/>
      <c r="AC450" s="146" t="s">
        <v>204</v>
      </c>
      <c r="AD450" s="92"/>
      <c r="AE450" s="146" t="s">
        <v>204</v>
      </c>
      <c r="AF450" s="187" t="str">
        <f t="shared" si="27"/>
        <v>C</v>
      </c>
      <c r="AG450" s="54" t="str">
        <f t="shared" si="30"/>
        <v>UTILIZOU O PDA CORRETAMENTE</v>
      </c>
      <c r="AH450" s="146" t="s">
        <v>204</v>
      </c>
      <c r="AI450" s="210" t="s">
        <v>6</v>
      </c>
      <c r="AJ450" s="97" t="str">
        <f t="shared" si="28"/>
        <v>GUARULHOS</v>
      </c>
      <c r="AK450" s="213" t="s">
        <v>39</v>
      </c>
      <c r="AL450" s="53">
        <v>0.61151145912237947</v>
      </c>
      <c r="AM450" s="53" t="str" cm="1">
        <f t="array" ref="AM450">IF(OR(O450&lt;&gt;"", SUMPRODUCT(($AN$2:$AN$5000=AN450)*($AL$2:$AL$5000&lt;=AL450)) &lt;= (COUNTIF($AN$2:$AN$5000,AN450)*0.5)), "SORTEADO", "-")</f>
        <v>SORTEADO</v>
      </c>
      <c r="AN450" s="230" t="s">
        <v>1192</v>
      </c>
    </row>
    <row r="451" spans="1:40" ht="30" customHeight="1" x14ac:dyDescent="0.2">
      <c r="A451" s="230" t="s">
        <v>197</v>
      </c>
      <c r="B451" s="230">
        <v>2615521321</v>
      </c>
      <c r="C451" s="230" t="s">
        <v>95</v>
      </c>
      <c r="D451" s="230" t="s">
        <v>76</v>
      </c>
      <c r="E451" s="230" t="s">
        <v>198</v>
      </c>
      <c r="F451" s="230" t="s">
        <v>1283</v>
      </c>
      <c r="G451" s="230">
        <v>123</v>
      </c>
      <c r="H451" s="230" t="s">
        <v>1290</v>
      </c>
      <c r="I451" s="230" t="s">
        <v>1285</v>
      </c>
      <c r="J451" s="230" t="s">
        <v>95</v>
      </c>
      <c r="K451" s="230" t="s">
        <v>1288</v>
      </c>
      <c r="L451" s="230" t="s">
        <v>1192</v>
      </c>
      <c r="M451" s="230" t="s">
        <v>1291</v>
      </c>
      <c r="N451" s="230" t="s">
        <v>209</v>
      </c>
      <c r="O451" s="158" t="s">
        <v>204</v>
      </c>
      <c r="P451" s="92"/>
      <c r="Q451" s="146" t="s">
        <v>204</v>
      </c>
      <c r="R451" s="92"/>
      <c r="S451" s="146" t="s">
        <v>204</v>
      </c>
      <c r="T451" s="92"/>
      <c r="U451" s="146" t="s">
        <v>204</v>
      </c>
      <c r="V451" s="92"/>
      <c r="W451" s="146" t="s">
        <v>204</v>
      </c>
      <c r="X451" s="92"/>
      <c r="Y451" s="146" t="s">
        <v>61</v>
      </c>
      <c r="Z451" s="92"/>
      <c r="AA451" s="146" t="s">
        <v>204</v>
      </c>
      <c r="AB451" s="92"/>
      <c r="AC451" s="146" t="s">
        <v>204</v>
      </c>
      <c r="AD451" s="92"/>
      <c r="AE451" s="146" t="s">
        <v>204</v>
      </c>
      <c r="AF451" s="187" t="str">
        <f t="shared" si="27"/>
        <v>C</v>
      </c>
      <c r="AG451" s="54" t="str">
        <f t="shared" si="30"/>
        <v>UTILIZOU O PDA CORRETAMENTE</v>
      </c>
      <c r="AH451" s="146" t="s">
        <v>204</v>
      </c>
      <c r="AI451" s="210" t="s">
        <v>6</v>
      </c>
      <c r="AJ451" s="97" t="str">
        <f t="shared" si="28"/>
        <v>GUARULHOS</v>
      </c>
      <c r="AK451" s="213" t="s">
        <v>39</v>
      </c>
      <c r="AL451" s="53">
        <v>4.6211199806529324E-2</v>
      </c>
      <c r="AM451" s="53" t="str" cm="1">
        <f t="array" ref="AM451">IF(OR(O451&lt;&gt;"", SUMPRODUCT(($AN$2:$AN$5000=AN451)*($AL$2:$AL$5000&lt;=AL451)) &lt;= (COUNTIF($AN$2:$AN$5000,AN451)*0.5)), "SORTEADO", "-")</f>
        <v>SORTEADO</v>
      </c>
      <c r="AN451" s="230" t="s">
        <v>1192</v>
      </c>
    </row>
    <row r="452" spans="1:40" ht="30" customHeight="1" x14ac:dyDescent="0.2">
      <c r="A452" s="230" t="s">
        <v>197</v>
      </c>
      <c r="B452" s="230">
        <v>2615521325</v>
      </c>
      <c r="C452" s="230" t="s">
        <v>95</v>
      </c>
      <c r="D452" s="230" t="s">
        <v>76</v>
      </c>
      <c r="E452" s="230" t="s">
        <v>198</v>
      </c>
      <c r="F452" s="230" t="s">
        <v>1283</v>
      </c>
      <c r="G452" s="230">
        <v>123</v>
      </c>
      <c r="H452" s="230" t="s">
        <v>1292</v>
      </c>
      <c r="I452" s="230" t="s">
        <v>1285</v>
      </c>
      <c r="J452" s="230" t="s">
        <v>95</v>
      </c>
      <c r="K452" s="230" t="s">
        <v>1288</v>
      </c>
      <c r="L452" s="230" t="s">
        <v>1192</v>
      </c>
      <c r="M452" s="230" t="s">
        <v>1293</v>
      </c>
      <c r="N452" s="230" t="s">
        <v>209</v>
      </c>
      <c r="O452" s="158" t="s">
        <v>204</v>
      </c>
      <c r="P452" s="92"/>
      <c r="Q452" s="146" t="s">
        <v>204</v>
      </c>
      <c r="R452" s="92"/>
      <c r="S452" s="146" t="s">
        <v>204</v>
      </c>
      <c r="T452" s="92"/>
      <c r="U452" s="146" t="s">
        <v>204</v>
      </c>
      <c r="V452" s="92"/>
      <c r="W452" s="146" t="s">
        <v>204</v>
      </c>
      <c r="X452" s="92"/>
      <c r="Y452" s="146" t="s">
        <v>61</v>
      </c>
      <c r="Z452" s="92"/>
      <c r="AA452" s="146" t="s">
        <v>204</v>
      </c>
      <c r="AB452" s="92"/>
      <c r="AC452" s="146" t="s">
        <v>204</v>
      </c>
      <c r="AD452" s="92"/>
      <c r="AE452" s="146" t="s">
        <v>204</v>
      </c>
      <c r="AF452" s="187" t="str">
        <f t="shared" si="27"/>
        <v>C</v>
      </c>
      <c r="AG452" s="54" t="str">
        <f t="shared" si="30"/>
        <v>UTILIZOU O PDA CORRETAMENTE</v>
      </c>
      <c r="AH452" s="146" t="s">
        <v>204</v>
      </c>
      <c r="AI452" s="210" t="s">
        <v>6</v>
      </c>
      <c r="AJ452" s="97" t="str">
        <f t="shared" si="28"/>
        <v>GUARULHOS</v>
      </c>
      <c r="AK452" s="213" t="s">
        <v>39</v>
      </c>
      <c r="AL452" s="53">
        <v>0.33110737189202843</v>
      </c>
      <c r="AM452" s="53" t="str" cm="1">
        <f t="array" ref="AM452">IF(OR(O452&lt;&gt;"", SUMPRODUCT(($AN$2:$AN$5000=AN452)*($AL$2:$AL$5000&lt;=AL452)) &lt;= (COUNTIF($AN$2:$AN$5000,AN452)*0.5)), "SORTEADO", "-")</f>
        <v>SORTEADO</v>
      </c>
      <c r="AN452" s="230" t="s">
        <v>1192</v>
      </c>
    </row>
    <row r="453" spans="1:40" ht="30" hidden="1" customHeight="1" x14ac:dyDescent="0.2">
      <c r="A453" s="247" t="s">
        <v>197</v>
      </c>
      <c r="B453" s="247">
        <v>2615862293</v>
      </c>
      <c r="C453" s="247" t="s">
        <v>98</v>
      </c>
      <c r="D453" s="247" t="s">
        <v>80</v>
      </c>
      <c r="E453" s="247" t="s">
        <v>198</v>
      </c>
      <c r="F453" s="247" t="s">
        <v>1294</v>
      </c>
      <c r="G453" s="247">
        <v>121</v>
      </c>
      <c r="H453" s="247" t="s">
        <v>1295</v>
      </c>
      <c r="I453" s="247" t="s">
        <v>277</v>
      </c>
      <c r="J453" s="247" t="s">
        <v>297</v>
      </c>
      <c r="K453" s="247" t="s">
        <v>1296</v>
      </c>
      <c r="L453" s="247" t="s">
        <v>1192</v>
      </c>
      <c r="M453" s="247" t="s">
        <v>1297</v>
      </c>
      <c r="N453" s="247" t="s">
        <v>237</v>
      </c>
      <c r="O453" s="158"/>
      <c r="P453" s="92"/>
      <c r="Q453" s="146"/>
      <c r="R453" s="92"/>
      <c r="S453" s="146"/>
      <c r="T453" s="92"/>
      <c r="U453" s="146"/>
      <c r="V453" s="92"/>
      <c r="W453" s="146"/>
      <c r="X453" s="92"/>
      <c r="Y453" s="146"/>
      <c r="Z453" s="92"/>
      <c r="AA453" s="146"/>
      <c r="AB453" s="92"/>
      <c r="AC453" s="146"/>
      <c r="AD453" s="92"/>
      <c r="AE453" s="146"/>
      <c r="AF453" s="187" t="str">
        <f t="shared" si="27"/>
        <v/>
      </c>
      <c r="AG453" s="54" t="b">
        <f t="shared" si="30"/>
        <v>0</v>
      </c>
      <c r="AH453" s="146"/>
      <c r="AI453" s="210" t="s">
        <v>6</v>
      </c>
      <c r="AJ453" s="97" t="str">
        <f t="shared" si="28"/>
        <v>GUARULHOS</v>
      </c>
      <c r="AK453" s="213" t="s">
        <v>39</v>
      </c>
      <c r="AL453" s="53">
        <v>0.75109086431949623</v>
      </c>
      <c r="AM453" s="53" t="str" cm="1">
        <f t="array" ref="AM453">IF(OR(O453&lt;&gt;"", SUMPRODUCT(($AN$2:$AN$5000=AN453)*($AL$2:$AL$5000&lt;=AL453)) &lt;= (COUNTIF($AN$2:$AN$5000,AN453)*0.5)), "SORTEADO", "-")</f>
        <v>-</v>
      </c>
      <c r="AN453" s="247" t="s">
        <v>1192</v>
      </c>
    </row>
    <row r="454" spans="1:40" ht="30" hidden="1" customHeight="1" x14ac:dyDescent="0.2">
      <c r="A454" s="230" t="s">
        <v>197</v>
      </c>
      <c r="B454" s="231">
        <v>2611773653</v>
      </c>
      <c r="C454" s="231" t="s">
        <v>91</v>
      </c>
      <c r="D454" s="231" t="s">
        <v>76</v>
      </c>
      <c r="E454" s="231" t="s">
        <v>198</v>
      </c>
      <c r="F454" s="231" t="s">
        <v>1298</v>
      </c>
      <c r="G454" s="231">
        <v>30</v>
      </c>
      <c r="H454" s="231" t="s">
        <v>1299</v>
      </c>
      <c r="I454" s="231" t="s">
        <v>1300</v>
      </c>
      <c r="J454" s="231" t="s">
        <v>448</v>
      </c>
      <c r="K454" s="231" t="s">
        <v>497</v>
      </c>
      <c r="L454" s="231" t="s">
        <v>1301</v>
      </c>
      <c r="M454" s="231" t="s">
        <v>1302</v>
      </c>
      <c r="N454" s="231" t="s">
        <v>408</v>
      </c>
      <c r="O454" s="158"/>
      <c r="P454" s="92"/>
      <c r="Q454" s="146"/>
      <c r="R454" s="92"/>
      <c r="S454" s="146"/>
      <c r="T454" s="92"/>
      <c r="U454" s="146"/>
      <c r="V454" s="92"/>
      <c r="W454" s="146"/>
      <c r="X454" s="92"/>
      <c r="Y454" s="146"/>
      <c r="Z454" s="92"/>
      <c r="AA454" s="146"/>
      <c r="AB454" s="92"/>
      <c r="AC454" s="146"/>
      <c r="AD454" s="92"/>
      <c r="AE454" s="146"/>
      <c r="AF454" s="187" t="str">
        <f t="shared" si="27"/>
        <v/>
      </c>
      <c r="AG454" s="54" t="b">
        <f t="shared" si="30"/>
        <v>0</v>
      </c>
      <c r="AH454" s="146"/>
      <c r="AI454" s="210" t="s">
        <v>6</v>
      </c>
      <c r="AJ454" s="97" t="str">
        <f t="shared" si="28"/>
        <v>GUARULHOS</v>
      </c>
      <c r="AK454" s="213" t="s">
        <v>39</v>
      </c>
      <c r="AL454" s="53">
        <v>0.5093523111413677</v>
      </c>
      <c r="AM454" s="53" t="str" cm="1">
        <f t="array" ref="AM454">IF(OR(O454&lt;&gt;"", SUMPRODUCT(($AN$2:$AN$5000=AN454)*($AL$2:$AL$5000&lt;=AL454)) &lt;= (COUNTIF($AN$2:$AN$5000,AN454)*0.5)), "SORTEADO", "-")</f>
        <v>-</v>
      </c>
      <c r="AN454" s="231" t="s">
        <v>1301</v>
      </c>
    </row>
    <row r="455" spans="1:40" ht="30" customHeight="1" x14ac:dyDescent="0.2">
      <c r="A455" s="231" t="s">
        <v>197</v>
      </c>
      <c r="B455" s="231">
        <v>2615919257</v>
      </c>
      <c r="C455" s="231" t="s">
        <v>100</v>
      </c>
      <c r="D455" s="231" t="s">
        <v>78</v>
      </c>
      <c r="E455" s="231" t="s">
        <v>198</v>
      </c>
      <c r="F455" s="231" t="s">
        <v>1208</v>
      </c>
      <c r="G455" s="231">
        <v>634</v>
      </c>
      <c r="H455" s="231" t="s">
        <v>1303</v>
      </c>
      <c r="I455" s="231" t="s">
        <v>1210</v>
      </c>
      <c r="J455" s="231" t="s">
        <v>248</v>
      </c>
      <c r="K455" s="231"/>
      <c r="L455" s="231" t="s">
        <v>1301</v>
      </c>
      <c r="M455" s="231" t="s">
        <v>1304</v>
      </c>
      <c r="N455" s="231" t="s">
        <v>209</v>
      </c>
      <c r="O455" s="157" t="s">
        <v>204</v>
      </c>
      <c r="P455" s="143"/>
      <c r="Q455" s="144" t="s">
        <v>204</v>
      </c>
      <c r="R455" s="143"/>
      <c r="S455" s="144" t="s">
        <v>204</v>
      </c>
      <c r="T455" s="143"/>
      <c r="U455" s="144" t="s">
        <v>204</v>
      </c>
      <c r="V455" s="143"/>
      <c r="W455" s="144" t="s">
        <v>204</v>
      </c>
      <c r="X455" s="143"/>
      <c r="Y455" s="144" t="s">
        <v>204</v>
      </c>
      <c r="Z455" s="143"/>
      <c r="AA455" s="144" t="s">
        <v>204</v>
      </c>
      <c r="AB455" s="143"/>
      <c r="AC455" s="144" t="s">
        <v>204</v>
      </c>
      <c r="AD455" s="56"/>
      <c r="AE455" s="144" t="s">
        <v>204</v>
      </c>
      <c r="AF455" s="187" t="str">
        <f t="shared" ref="AF455:AF518" si="31">IF(AND(O455="",Q455="",S455="",U455="",W455="",Y455="",AA455="",AC455=""),"",IF(OR(AND(O455&lt;&gt;"NA",O455&lt;&gt;"C",O455&lt;&gt;"NC",O455&lt;&gt;"SF",O455&lt;&gt;""),AND(Q455&lt;&gt;"NA",Q455&lt;&gt;"C",Q455&lt;&gt;"NC",Q455&lt;&gt;"SF",Q455&lt;&gt;""),AND(S455&lt;&gt;"NA",S455&lt;&gt;"C",S455&lt;&gt;"NC",S455&lt;&gt;"SF",S455&lt;&gt;""),AND(U455&lt;&gt;"NA",U455&lt;&gt;"C",U455&lt;&gt;"NC",U455&lt;&gt;"SF",U455&lt;&gt;""),AND(W455&lt;&gt;"NA",W455&lt;&gt;"C",W455&lt;&gt;"NC",W455&lt;&gt;"SF",W455&lt;&gt;""),AND(Y455&lt;&gt;"NA",Y455&lt;&gt;"C",Y455&lt;&gt;"NC",Y455&lt;&gt;"SF",Y455&lt;&gt;""),AND(AA455&lt;&gt;"NA",AA455&lt;&gt;"C",AA455&lt;&gt;"NC",AA455&lt;&gt;"SF",AA455&lt;&gt;""),AND(AC455&lt;&gt;"NA",AC455&lt;&gt;"C",AC455&lt;&gt;"NC",AC455&lt;&gt;"SF",AC455&lt;&gt;"")),"FALSO",IF(AND(O455="NA",Q455="NA",S455="NA",U455="NA",W455="NA",Y455="NA",AA455="NA",AC455="NA"),"NA",IF(OR(O455="NC",Q455="NC",S455="NC",U455="NC",W455="NC",Y455="NC",AA455="NC",AC455="NC",O455="SF",Q455="SF",S455="SF",U455="SF",W455="SF",Y455="SF",AA455="SF",AC455="SF"),"NC",IF(OR(O455="C",Q455="C",S455="C",U455="C",W455="C",Y455="C",AA455="C",AC455="C"),"C","")))))</f>
        <v>C</v>
      </c>
      <c r="AG455" s="54" t="str">
        <f t="shared" si="30"/>
        <v>UTILIZOU O PDA CORRETAMENTE</v>
      </c>
      <c r="AH455" s="144" t="s">
        <v>204</v>
      </c>
      <c r="AI455" s="210" t="s">
        <v>6</v>
      </c>
      <c r="AJ455" s="97" t="str">
        <f t="shared" ref="AJ455:AJ518" si="32">E455</f>
        <v>GUARULHOS</v>
      </c>
      <c r="AK455" s="213" t="s">
        <v>39</v>
      </c>
      <c r="AL455" s="53">
        <v>0.25431338288579963</v>
      </c>
      <c r="AM455" s="53" t="str" cm="1">
        <f t="array" ref="AM455">IF(OR(O455&lt;&gt;"", SUMPRODUCT(($AN$2:$AN$5000=AN455)*($AL$2:$AL$5000&lt;=AL455)) &lt;= (COUNTIF($AN$2:$AN$5000,AN455)*0.5)), "SORTEADO", "-")</f>
        <v>SORTEADO</v>
      </c>
      <c r="AN455" s="231" t="s">
        <v>1301</v>
      </c>
    </row>
    <row r="456" spans="1:40" ht="30" customHeight="1" x14ac:dyDescent="0.2">
      <c r="A456" s="231" t="s">
        <v>197</v>
      </c>
      <c r="B456" s="231">
        <v>2615533667</v>
      </c>
      <c r="C456" s="231" t="s">
        <v>94</v>
      </c>
      <c r="D456" s="231" t="s">
        <v>76</v>
      </c>
      <c r="E456" s="231" t="s">
        <v>198</v>
      </c>
      <c r="F456" s="231" t="s">
        <v>365</v>
      </c>
      <c r="G456" s="231">
        <v>418</v>
      </c>
      <c r="H456" s="231" t="s">
        <v>418</v>
      </c>
      <c r="I456" s="231" t="s">
        <v>366</v>
      </c>
      <c r="J456" s="231" t="s">
        <v>94</v>
      </c>
      <c r="K456" s="231" t="s">
        <v>1305</v>
      </c>
      <c r="L456" s="231" t="s">
        <v>1301</v>
      </c>
      <c r="M456" s="231" t="s">
        <v>1306</v>
      </c>
      <c r="N456" s="231" t="s">
        <v>209</v>
      </c>
      <c r="O456" s="158" t="s">
        <v>204</v>
      </c>
      <c r="P456" s="92"/>
      <c r="Q456" s="146" t="s">
        <v>204</v>
      </c>
      <c r="R456" s="92"/>
      <c r="S456" s="146" t="s">
        <v>204</v>
      </c>
      <c r="T456" s="92"/>
      <c r="U456" s="146" t="s">
        <v>204</v>
      </c>
      <c r="V456" s="92"/>
      <c r="W456" s="146" t="s">
        <v>204</v>
      </c>
      <c r="X456" s="92"/>
      <c r="Y456" s="146" t="s">
        <v>61</v>
      </c>
      <c r="Z456" s="92"/>
      <c r="AA456" s="146" t="s">
        <v>210</v>
      </c>
      <c r="AB456" s="92" t="s">
        <v>618</v>
      </c>
      <c r="AC456" s="146" t="s">
        <v>204</v>
      </c>
      <c r="AD456" s="92"/>
      <c r="AE456" s="146" t="s">
        <v>204</v>
      </c>
      <c r="AF456" s="187" t="str">
        <f t="shared" si="31"/>
        <v>NC</v>
      </c>
      <c r="AG456" s="54" t="str">
        <f t="shared" si="30"/>
        <v>UTILIZOU O PDA CORRETAMENTE. NÃO HÁ FOTOS DE TODAS AS ETAPAS</v>
      </c>
      <c r="AH456" s="146" t="s">
        <v>204</v>
      </c>
      <c r="AI456" s="210" t="s">
        <v>6</v>
      </c>
      <c r="AJ456" s="97" t="str">
        <f t="shared" si="32"/>
        <v>GUARULHOS</v>
      </c>
      <c r="AK456" s="213" t="s">
        <v>39</v>
      </c>
      <c r="AL456" s="53">
        <v>0.7195961924911084</v>
      </c>
      <c r="AM456" s="53" t="str" cm="1">
        <f t="array" ref="AM456">IF(OR(O456&lt;&gt;"", SUMPRODUCT(($AN$2:$AN$5000=AN456)*($AL$2:$AL$5000&lt;=AL456)) &lt;= (COUNTIF($AN$2:$AN$5000,AN456)*0.5)), "SORTEADO", "-")</f>
        <v>SORTEADO</v>
      </c>
      <c r="AN456" s="231" t="s">
        <v>1301</v>
      </c>
    </row>
    <row r="457" spans="1:40" ht="30" customHeight="1" x14ac:dyDescent="0.2">
      <c r="A457" s="231" t="s">
        <v>197</v>
      </c>
      <c r="B457" s="231">
        <v>2615533717</v>
      </c>
      <c r="C457" s="231" t="s">
        <v>96</v>
      </c>
      <c r="D457" s="231" t="s">
        <v>76</v>
      </c>
      <c r="E457" s="231" t="s">
        <v>198</v>
      </c>
      <c r="F457" s="231" t="s">
        <v>365</v>
      </c>
      <c r="G457" s="231">
        <v>418</v>
      </c>
      <c r="H457" s="231" t="s">
        <v>1307</v>
      </c>
      <c r="I457" s="231" t="s">
        <v>366</v>
      </c>
      <c r="J457" s="231" t="s">
        <v>96</v>
      </c>
      <c r="K457" s="231">
        <v>2615533667</v>
      </c>
      <c r="L457" s="231" t="s">
        <v>1301</v>
      </c>
      <c r="M457" s="231" t="s">
        <v>1308</v>
      </c>
      <c r="N457" s="231" t="s">
        <v>209</v>
      </c>
      <c r="O457" s="158" t="s">
        <v>204</v>
      </c>
      <c r="P457" s="92"/>
      <c r="Q457" s="146" t="s">
        <v>204</v>
      </c>
      <c r="R457" s="92"/>
      <c r="S457" s="146" t="s">
        <v>204</v>
      </c>
      <c r="T457" s="92"/>
      <c r="U457" s="146" t="s">
        <v>204</v>
      </c>
      <c r="V457" s="92"/>
      <c r="W457" s="146" t="s">
        <v>204</v>
      </c>
      <c r="X457" s="92"/>
      <c r="Y457" s="146" t="s">
        <v>61</v>
      </c>
      <c r="Z457" s="92"/>
      <c r="AA457" s="146" t="s">
        <v>210</v>
      </c>
      <c r="AB457" s="92" t="s">
        <v>618</v>
      </c>
      <c r="AC457" s="146" t="s">
        <v>204</v>
      </c>
      <c r="AD457" s="92"/>
      <c r="AE457" s="146" t="s">
        <v>204</v>
      </c>
      <c r="AF457" s="187" t="str">
        <f t="shared" si="31"/>
        <v>NC</v>
      </c>
      <c r="AG457" s="54" t="str">
        <f t="shared" si="30"/>
        <v>UTILIZOU O PDA CORRETAMENTE. NÃO HÁ FOTOS DE TODAS AS ETAPAS</v>
      </c>
      <c r="AH457" s="146" t="s">
        <v>204</v>
      </c>
      <c r="AI457" s="210" t="s">
        <v>6</v>
      </c>
      <c r="AJ457" s="97" t="str">
        <f t="shared" si="32"/>
        <v>GUARULHOS</v>
      </c>
      <c r="AK457" s="213" t="s">
        <v>39</v>
      </c>
      <c r="AL457" s="53">
        <v>0.79687828105642289</v>
      </c>
      <c r="AM457" s="53" t="str" cm="1">
        <f t="array" ref="AM457">IF(OR(O457&lt;&gt;"", SUMPRODUCT(($AN$2:$AN$5000=AN457)*($AL$2:$AL$5000&lt;=AL457)) &lt;= (COUNTIF($AN$2:$AN$5000,AN457)*0.5)), "SORTEADO", "-")</f>
        <v>SORTEADO</v>
      </c>
      <c r="AN457" s="231" t="s">
        <v>1301</v>
      </c>
    </row>
    <row r="458" spans="1:40" ht="30" customHeight="1" x14ac:dyDescent="0.2">
      <c r="A458" s="231" t="s">
        <v>197</v>
      </c>
      <c r="B458" s="231">
        <v>2615533715</v>
      </c>
      <c r="C458" s="231" t="s">
        <v>96</v>
      </c>
      <c r="D458" s="231" t="s">
        <v>76</v>
      </c>
      <c r="E458" s="231" t="s">
        <v>198</v>
      </c>
      <c r="F458" s="231" t="s">
        <v>365</v>
      </c>
      <c r="G458" s="231">
        <v>418</v>
      </c>
      <c r="H458" s="231" t="s">
        <v>420</v>
      </c>
      <c r="I458" s="231" t="s">
        <v>366</v>
      </c>
      <c r="J458" s="231" t="s">
        <v>96</v>
      </c>
      <c r="K458" s="231">
        <v>2615533667</v>
      </c>
      <c r="L458" s="231" t="s">
        <v>1301</v>
      </c>
      <c r="M458" s="231" t="s">
        <v>1309</v>
      </c>
      <c r="N458" s="231" t="s">
        <v>209</v>
      </c>
      <c r="O458" s="158" t="s">
        <v>204</v>
      </c>
      <c r="P458" s="92"/>
      <c r="Q458" s="146" t="s">
        <v>204</v>
      </c>
      <c r="R458" s="92"/>
      <c r="S458" s="146" t="s">
        <v>204</v>
      </c>
      <c r="T458" s="92"/>
      <c r="U458" s="146" t="s">
        <v>204</v>
      </c>
      <c r="V458" s="92"/>
      <c r="W458" s="146" t="s">
        <v>204</v>
      </c>
      <c r="X458" s="92"/>
      <c r="Y458" s="146" t="s">
        <v>61</v>
      </c>
      <c r="Z458" s="92"/>
      <c r="AA458" s="146" t="s">
        <v>210</v>
      </c>
      <c r="AB458" s="92" t="s">
        <v>618</v>
      </c>
      <c r="AC458" s="146" t="s">
        <v>204</v>
      </c>
      <c r="AD458" s="92"/>
      <c r="AE458" s="146" t="s">
        <v>204</v>
      </c>
      <c r="AF458" s="187" t="str">
        <f t="shared" si="31"/>
        <v>NC</v>
      </c>
      <c r="AG458" s="54" t="str">
        <f t="shared" si="30"/>
        <v>UTILIZOU O PDA CORRETAMENTE. NÃO HÁ FOTOS DE TODAS AS ETAPAS</v>
      </c>
      <c r="AH458" s="146" t="s">
        <v>204</v>
      </c>
      <c r="AI458" s="210" t="s">
        <v>6</v>
      </c>
      <c r="AJ458" s="97" t="str">
        <f t="shared" si="32"/>
        <v>GUARULHOS</v>
      </c>
      <c r="AK458" s="213" t="s">
        <v>39</v>
      </c>
      <c r="AL458" s="53">
        <v>3.1821867191274555E-2</v>
      </c>
      <c r="AM458" s="53" t="str" cm="1">
        <f t="array" ref="AM458">IF(OR(O458&lt;&gt;"", SUMPRODUCT(($AN$2:$AN$5000=AN458)*($AL$2:$AL$5000&lt;=AL458)) &lt;= (COUNTIF($AN$2:$AN$5000,AN458)*0.5)), "SORTEADO", "-")</f>
        <v>SORTEADO</v>
      </c>
      <c r="AN458" s="231" t="s">
        <v>1301</v>
      </c>
    </row>
    <row r="459" spans="1:40" ht="30" customHeight="1" x14ac:dyDescent="0.2">
      <c r="A459" s="231" t="s">
        <v>197</v>
      </c>
      <c r="B459" s="231">
        <v>2615533668</v>
      </c>
      <c r="C459" s="231" t="s">
        <v>96</v>
      </c>
      <c r="D459" s="231" t="s">
        <v>76</v>
      </c>
      <c r="E459" s="231" t="s">
        <v>198</v>
      </c>
      <c r="F459" s="231" t="s">
        <v>365</v>
      </c>
      <c r="G459" s="231">
        <v>418</v>
      </c>
      <c r="H459" s="231" t="s">
        <v>422</v>
      </c>
      <c r="I459" s="231" t="s">
        <v>366</v>
      </c>
      <c r="J459" s="231" t="s">
        <v>96</v>
      </c>
      <c r="K459" s="231">
        <v>2615533667</v>
      </c>
      <c r="L459" s="231" t="s">
        <v>1301</v>
      </c>
      <c r="M459" s="231" t="s">
        <v>1310</v>
      </c>
      <c r="N459" s="231" t="s">
        <v>209</v>
      </c>
      <c r="O459" s="158" t="s">
        <v>204</v>
      </c>
      <c r="P459" s="92"/>
      <c r="Q459" s="146" t="s">
        <v>204</v>
      </c>
      <c r="R459" s="92"/>
      <c r="S459" s="146" t="s">
        <v>204</v>
      </c>
      <c r="T459" s="92"/>
      <c r="U459" s="146" t="s">
        <v>204</v>
      </c>
      <c r="V459" s="92"/>
      <c r="W459" s="146" t="s">
        <v>204</v>
      </c>
      <c r="X459" s="92"/>
      <c r="Y459" s="146" t="s">
        <v>61</v>
      </c>
      <c r="Z459" s="92"/>
      <c r="AA459" s="146" t="s">
        <v>210</v>
      </c>
      <c r="AB459" s="92" t="s">
        <v>618</v>
      </c>
      <c r="AC459" s="146" t="s">
        <v>204</v>
      </c>
      <c r="AD459" s="92"/>
      <c r="AE459" s="146" t="s">
        <v>204</v>
      </c>
      <c r="AF459" s="187" t="str">
        <f t="shared" si="31"/>
        <v>NC</v>
      </c>
      <c r="AG459" s="54" t="str">
        <f t="shared" si="30"/>
        <v>UTILIZOU O PDA CORRETAMENTE. NÃO HÁ FOTOS DE TODAS AS ETAPAS</v>
      </c>
      <c r="AH459" s="146" t="s">
        <v>204</v>
      </c>
      <c r="AI459" s="210" t="s">
        <v>6</v>
      </c>
      <c r="AJ459" s="97" t="str">
        <f t="shared" si="32"/>
        <v>GUARULHOS</v>
      </c>
      <c r="AK459" s="213" t="s">
        <v>39</v>
      </c>
      <c r="AL459" s="53">
        <v>0.66668570443383002</v>
      </c>
      <c r="AM459" s="53" t="str" cm="1">
        <f t="array" ref="AM459">IF(OR(O459&lt;&gt;"", SUMPRODUCT(($AN$2:$AN$5000=AN459)*($AL$2:$AL$5000&lt;=AL459)) &lt;= (COUNTIF($AN$2:$AN$5000,AN459)*0.5)), "SORTEADO", "-")</f>
        <v>SORTEADO</v>
      </c>
      <c r="AN459" s="231" t="s">
        <v>1301</v>
      </c>
    </row>
    <row r="460" spans="1:40" ht="30" customHeight="1" x14ac:dyDescent="0.2">
      <c r="A460" s="231" t="s">
        <v>197</v>
      </c>
      <c r="B460" s="231">
        <v>2615537591</v>
      </c>
      <c r="C460" s="231" t="s">
        <v>93</v>
      </c>
      <c r="D460" s="231" t="s">
        <v>76</v>
      </c>
      <c r="E460" s="231" t="s">
        <v>198</v>
      </c>
      <c r="F460" s="231" t="s">
        <v>1311</v>
      </c>
      <c r="G460" s="231">
        <v>87</v>
      </c>
      <c r="H460" s="231" t="s">
        <v>1312</v>
      </c>
      <c r="I460" s="231" t="s">
        <v>200</v>
      </c>
      <c r="J460" s="231" t="s">
        <v>93</v>
      </c>
      <c r="K460" s="231" t="s">
        <v>1313</v>
      </c>
      <c r="L460" s="231" t="s">
        <v>1301</v>
      </c>
      <c r="M460" s="231" t="s">
        <v>1314</v>
      </c>
      <c r="N460" s="231" t="s">
        <v>203</v>
      </c>
      <c r="O460" s="158" t="s">
        <v>204</v>
      </c>
      <c r="P460" s="92"/>
      <c r="Q460" s="146" t="s">
        <v>61</v>
      </c>
      <c r="R460" s="92"/>
      <c r="S460" s="146" t="s">
        <v>61</v>
      </c>
      <c r="T460" s="92"/>
      <c r="U460" s="146" t="s">
        <v>61</v>
      </c>
      <c r="V460" s="92"/>
      <c r="W460" s="146" t="s">
        <v>61</v>
      </c>
      <c r="X460" s="92"/>
      <c r="Y460" s="146" t="s">
        <v>61</v>
      </c>
      <c r="Z460" s="92"/>
      <c r="AA460" s="146" t="s">
        <v>204</v>
      </c>
      <c r="AB460" s="92"/>
      <c r="AC460" s="146" t="s">
        <v>204</v>
      </c>
      <c r="AD460" s="92"/>
      <c r="AE460" s="146" t="s">
        <v>204</v>
      </c>
      <c r="AF460" s="187" t="str">
        <f t="shared" si="31"/>
        <v>C</v>
      </c>
      <c r="AG460" s="54" t="str">
        <f t="shared" si="30"/>
        <v>UTILIZOU O PDA CORRETAMENTE</v>
      </c>
      <c r="AH460" s="146" t="s">
        <v>204</v>
      </c>
      <c r="AI460" s="210" t="s">
        <v>6</v>
      </c>
      <c r="AJ460" s="97" t="str">
        <f t="shared" si="32"/>
        <v>GUARULHOS</v>
      </c>
      <c r="AK460" s="213" t="s">
        <v>39</v>
      </c>
      <c r="AL460" s="53">
        <v>0.19960917237100351</v>
      </c>
      <c r="AM460" s="53" t="str" cm="1">
        <f t="array" ref="AM460">IF(OR(O460&lt;&gt;"", SUMPRODUCT(($AN$2:$AN$5000=AN460)*($AL$2:$AL$5000&lt;=AL460)) &lt;= (COUNTIF($AN$2:$AN$5000,AN460)*0.5)), "SORTEADO", "-")</f>
        <v>SORTEADO</v>
      </c>
      <c r="AN460" s="231" t="s">
        <v>1301</v>
      </c>
    </row>
    <row r="461" spans="1:40" ht="30" hidden="1" customHeight="1" x14ac:dyDescent="0.2">
      <c r="A461" s="231" t="s">
        <v>197</v>
      </c>
      <c r="B461" s="231">
        <v>2615522069</v>
      </c>
      <c r="C461" s="231" t="s">
        <v>93</v>
      </c>
      <c r="D461" s="231" t="s">
        <v>76</v>
      </c>
      <c r="E461" s="231" t="s">
        <v>198</v>
      </c>
      <c r="F461" s="231" t="s">
        <v>1315</v>
      </c>
      <c r="G461" s="231">
        <v>337</v>
      </c>
      <c r="H461" s="231" t="s">
        <v>1316</v>
      </c>
      <c r="I461" s="231" t="s">
        <v>315</v>
      </c>
      <c r="J461" s="231" t="s">
        <v>93</v>
      </c>
      <c r="K461" s="231"/>
      <c r="L461" s="231" t="s">
        <v>1301</v>
      </c>
      <c r="M461" s="231" t="s">
        <v>1317</v>
      </c>
      <c r="N461" s="231" t="s">
        <v>203</v>
      </c>
      <c r="O461" s="158"/>
      <c r="P461" s="92"/>
      <c r="Q461" s="146"/>
      <c r="R461" s="92"/>
      <c r="S461" s="146"/>
      <c r="T461" s="92"/>
      <c r="U461" s="146"/>
      <c r="V461" s="92"/>
      <c r="W461" s="146"/>
      <c r="X461" s="92"/>
      <c r="Y461" s="146"/>
      <c r="Z461" s="92"/>
      <c r="AA461" s="146"/>
      <c r="AB461" s="92"/>
      <c r="AC461" s="146"/>
      <c r="AD461" s="92"/>
      <c r="AE461" s="146"/>
      <c r="AF461" s="187" t="str">
        <f t="shared" si="31"/>
        <v/>
      </c>
      <c r="AG461" s="54" t="b">
        <f t="shared" si="30"/>
        <v>0</v>
      </c>
      <c r="AH461" s="146"/>
      <c r="AI461" s="210" t="s">
        <v>6</v>
      </c>
      <c r="AJ461" s="97" t="str">
        <f t="shared" si="32"/>
        <v>GUARULHOS</v>
      </c>
      <c r="AK461" s="213" t="s">
        <v>39</v>
      </c>
      <c r="AL461" s="53">
        <v>0.45742885862348348</v>
      </c>
      <c r="AM461" s="53" t="str" cm="1">
        <f t="array" ref="AM461">IF(OR(O461&lt;&gt;"", SUMPRODUCT(($AN$2:$AN$5000=AN461)*($AL$2:$AL$5000&lt;=AL461)) &lt;= (COUNTIF($AN$2:$AN$5000,AN461)*0.5)), "SORTEADO", "-")</f>
        <v>-</v>
      </c>
      <c r="AN461" s="231" t="s">
        <v>1301</v>
      </c>
    </row>
    <row r="462" spans="1:40" ht="30" hidden="1" customHeight="1" x14ac:dyDescent="0.2">
      <c r="A462" s="231" t="s">
        <v>197</v>
      </c>
      <c r="B462" s="231">
        <v>2615535569</v>
      </c>
      <c r="C462" s="231" t="s">
        <v>94</v>
      </c>
      <c r="D462" s="231" t="s">
        <v>76</v>
      </c>
      <c r="E462" s="231" t="s">
        <v>198</v>
      </c>
      <c r="F462" s="231" t="s">
        <v>1318</v>
      </c>
      <c r="G462" s="231">
        <v>1529</v>
      </c>
      <c r="H462" s="231" t="s">
        <v>206</v>
      </c>
      <c r="I462" s="231" t="s">
        <v>200</v>
      </c>
      <c r="J462" s="231" t="s">
        <v>94</v>
      </c>
      <c r="K462" s="231" t="s">
        <v>1319</v>
      </c>
      <c r="L462" s="231" t="s">
        <v>1301</v>
      </c>
      <c r="M462" s="231" t="s">
        <v>1320</v>
      </c>
      <c r="N462" s="231" t="s">
        <v>203</v>
      </c>
      <c r="O462" s="158"/>
      <c r="P462" s="92"/>
      <c r="Q462" s="146"/>
      <c r="R462" s="92"/>
      <c r="S462" s="146"/>
      <c r="T462" s="92"/>
      <c r="U462" s="146"/>
      <c r="V462" s="92"/>
      <c r="W462" s="146"/>
      <c r="X462" s="92"/>
      <c r="Y462" s="146"/>
      <c r="Z462" s="92"/>
      <c r="AA462" s="146"/>
      <c r="AB462" s="92"/>
      <c r="AC462" s="146"/>
      <c r="AD462" s="92"/>
      <c r="AE462" s="146"/>
      <c r="AF462" s="187" t="str">
        <f t="shared" si="31"/>
        <v/>
      </c>
      <c r="AG462" s="54" t="b">
        <f t="shared" si="30"/>
        <v>0</v>
      </c>
      <c r="AH462" s="146"/>
      <c r="AI462" s="210" t="s">
        <v>6</v>
      </c>
      <c r="AJ462" s="97" t="str">
        <f t="shared" si="32"/>
        <v>GUARULHOS</v>
      </c>
      <c r="AK462" s="213" t="s">
        <v>39</v>
      </c>
      <c r="AL462" s="53">
        <v>0.48015878165847359</v>
      </c>
      <c r="AM462" s="53" t="str" cm="1">
        <f t="array" ref="AM462">IF(OR(O462&lt;&gt;"", SUMPRODUCT(($AN$2:$AN$5000=AN462)*($AL$2:$AL$5000&lt;=AL462)) &lt;= (COUNTIF($AN$2:$AN$5000,AN462)*0.5)), "SORTEADO", "-")</f>
        <v>-</v>
      </c>
      <c r="AN462" s="231" t="s">
        <v>1301</v>
      </c>
    </row>
    <row r="463" spans="1:40" ht="30" customHeight="1" x14ac:dyDescent="0.2">
      <c r="A463" s="231" t="s">
        <v>197</v>
      </c>
      <c r="B463" s="231">
        <v>2615535578</v>
      </c>
      <c r="C463" s="231" t="s">
        <v>96</v>
      </c>
      <c r="D463" s="231" t="s">
        <v>76</v>
      </c>
      <c r="E463" s="231" t="s">
        <v>198</v>
      </c>
      <c r="F463" s="231" t="s">
        <v>1318</v>
      </c>
      <c r="G463" s="231">
        <v>1529</v>
      </c>
      <c r="H463" s="231" t="s">
        <v>211</v>
      </c>
      <c r="I463" s="231" t="s">
        <v>200</v>
      </c>
      <c r="J463" s="231" t="s">
        <v>96</v>
      </c>
      <c r="K463" s="231"/>
      <c r="L463" s="231" t="s">
        <v>1301</v>
      </c>
      <c r="M463" s="231" t="s">
        <v>1321</v>
      </c>
      <c r="N463" s="231" t="s">
        <v>203</v>
      </c>
      <c r="O463" s="158" t="s">
        <v>204</v>
      </c>
      <c r="P463" s="92"/>
      <c r="Q463" s="146" t="s">
        <v>204</v>
      </c>
      <c r="R463" s="92"/>
      <c r="S463" s="146" t="s">
        <v>204</v>
      </c>
      <c r="T463" s="92"/>
      <c r="U463" s="146" t="s">
        <v>204</v>
      </c>
      <c r="V463" s="92"/>
      <c r="W463" s="146" t="s">
        <v>204</v>
      </c>
      <c r="X463" s="92"/>
      <c r="Y463" s="146" t="s">
        <v>204</v>
      </c>
      <c r="Z463" s="92"/>
      <c r="AA463" s="146" t="s">
        <v>204</v>
      </c>
      <c r="AB463" s="92"/>
      <c r="AC463" s="146" t="s">
        <v>204</v>
      </c>
      <c r="AD463" s="92"/>
      <c r="AE463" s="146" t="s">
        <v>204</v>
      </c>
      <c r="AF463" s="187" t="str">
        <f t="shared" si="31"/>
        <v>C</v>
      </c>
      <c r="AG463" s="54" t="str">
        <f t="shared" si="30"/>
        <v>UTILIZOU O PDA CORRETAMENTE</v>
      </c>
      <c r="AH463" s="146"/>
      <c r="AI463" s="210" t="s">
        <v>6</v>
      </c>
      <c r="AJ463" s="97" t="str">
        <f t="shared" si="32"/>
        <v>GUARULHOS</v>
      </c>
      <c r="AK463" s="213" t="s">
        <v>39</v>
      </c>
      <c r="AL463" s="53">
        <v>0.13065507712993973</v>
      </c>
      <c r="AM463" s="53" t="str" cm="1">
        <f t="array" ref="AM463">IF(OR(O463&lt;&gt;"", SUMPRODUCT(($AN$2:$AN$5000=AN463)*($AL$2:$AL$5000&lt;=AL463)) &lt;= (COUNTIF($AN$2:$AN$5000,AN463)*0.5)), "SORTEADO", "-")</f>
        <v>SORTEADO</v>
      </c>
      <c r="AN463" s="231" t="s">
        <v>1301</v>
      </c>
    </row>
    <row r="464" spans="1:40" ht="30" hidden="1" customHeight="1" x14ac:dyDescent="0.2">
      <c r="A464" s="231" t="s">
        <v>197</v>
      </c>
      <c r="B464" s="231">
        <v>2615537597</v>
      </c>
      <c r="C464" s="231" t="s">
        <v>95</v>
      </c>
      <c r="D464" s="231" t="s">
        <v>76</v>
      </c>
      <c r="E464" s="231" t="s">
        <v>198</v>
      </c>
      <c r="F464" s="231" t="s">
        <v>1311</v>
      </c>
      <c r="G464" s="231">
        <v>87</v>
      </c>
      <c r="H464" s="231" t="s">
        <v>1322</v>
      </c>
      <c r="I464" s="231" t="s">
        <v>200</v>
      </c>
      <c r="J464" s="231" t="s">
        <v>95</v>
      </c>
      <c r="K464" s="231" t="s">
        <v>1323</v>
      </c>
      <c r="L464" s="231" t="s">
        <v>1301</v>
      </c>
      <c r="M464" s="231" t="s">
        <v>1324</v>
      </c>
      <c r="N464" s="231" t="s">
        <v>203</v>
      </c>
      <c r="O464" s="158"/>
      <c r="P464" s="92"/>
      <c r="Q464" s="146"/>
      <c r="R464" s="92"/>
      <c r="S464" s="146"/>
      <c r="T464" s="92"/>
      <c r="U464" s="146"/>
      <c r="V464" s="92"/>
      <c r="W464" s="146"/>
      <c r="X464" s="92"/>
      <c r="Y464" s="146"/>
      <c r="Z464" s="92"/>
      <c r="AA464" s="146"/>
      <c r="AB464" s="92"/>
      <c r="AC464" s="146"/>
      <c r="AD464" s="92"/>
      <c r="AE464" s="146"/>
      <c r="AF464" s="187" t="str">
        <f t="shared" si="31"/>
        <v/>
      </c>
      <c r="AG464" s="54" t="b">
        <f t="shared" si="30"/>
        <v>0</v>
      </c>
      <c r="AH464" s="146"/>
      <c r="AI464" s="210" t="s">
        <v>6</v>
      </c>
      <c r="AJ464" s="97" t="str">
        <f t="shared" si="32"/>
        <v>GUARULHOS</v>
      </c>
      <c r="AK464" s="213" t="s">
        <v>39</v>
      </c>
      <c r="AL464" s="53">
        <v>0.35246048887689707</v>
      </c>
      <c r="AM464" s="53" t="str" cm="1">
        <f t="array" ref="AM464">IF(OR(O464&lt;&gt;"", SUMPRODUCT(($AN$2:$AN$5000=AN464)*($AL$2:$AL$5000&lt;=AL464)) &lt;= (COUNTIF($AN$2:$AN$5000,AN464)*0.5)), "SORTEADO", "-")</f>
        <v>-</v>
      </c>
      <c r="AN464" s="231" t="s">
        <v>1301</v>
      </c>
    </row>
    <row r="465" spans="1:40" ht="30" customHeight="1" x14ac:dyDescent="0.2">
      <c r="A465" s="231" t="s">
        <v>197</v>
      </c>
      <c r="B465" s="231">
        <v>2615522079</v>
      </c>
      <c r="C465" s="231" t="s">
        <v>95</v>
      </c>
      <c r="D465" s="231" t="s">
        <v>76</v>
      </c>
      <c r="E465" s="231" t="s">
        <v>198</v>
      </c>
      <c r="F465" s="231" t="s">
        <v>1315</v>
      </c>
      <c r="G465" s="231">
        <v>337</v>
      </c>
      <c r="H465" s="231" t="s">
        <v>1325</v>
      </c>
      <c r="I465" s="231" t="s">
        <v>315</v>
      </c>
      <c r="J465" s="231" t="s">
        <v>95</v>
      </c>
      <c r="K465" s="231" t="s">
        <v>1326</v>
      </c>
      <c r="L465" s="231" t="s">
        <v>1301</v>
      </c>
      <c r="M465" s="231" t="s">
        <v>1327</v>
      </c>
      <c r="N465" s="231" t="s">
        <v>203</v>
      </c>
      <c r="O465" s="158" t="s">
        <v>204</v>
      </c>
      <c r="P465" s="92"/>
      <c r="Q465" s="146" t="s">
        <v>61</v>
      </c>
      <c r="R465" s="92"/>
      <c r="S465" s="146" t="s">
        <v>61</v>
      </c>
      <c r="T465" s="92"/>
      <c r="U465" s="146" t="s">
        <v>61</v>
      </c>
      <c r="V465" s="92"/>
      <c r="W465" s="146" t="s">
        <v>61</v>
      </c>
      <c r="X465" s="92"/>
      <c r="Y465" s="146" t="s">
        <v>61</v>
      </c>
      <c r="Z465" s="92"/>
      <c r="AA465" s="146" t="s">
        <v>204</v>
      </c>
      <c r="AB465" s="92"/>
      <c r="AC465" s="146" t="s">
        <v>204</v>
      </c>
      <c r="AD465" s="92"/>
      <c r="AE465" s="146" t="s">
        <v>204</v>
      </c>
      <c r="AF465" s="187" t="str">
        <f t="shared" si="31"/>
        <v>C</v>
      </c>
      <c r="AG465" s="54" t="str">
        <f t="shared" si="30"/>
        <v>UTILIZOU O PDA CORRETAMENTE</v>
      </c>
      <c r="AH465" s="146" t="s">
        <v>204</v>
      </c>
      <c r="AI465" s="210" t="s">
        <v>6</v>
      </c>
      <c r="AJ465" s="97" t="str">
        <f t="shared" si="32"/>
        <v>GUARULHOS</v>
      </c>
      <c r="AK465" s="213" t="s">
        <v>39</v>
      </c>
      <c r="AL465" s="53">
        <v>0.21818492819382351</v>
      </c>
      <c r="AM465" s="53" t="str" cm="1">
        <f t="array" ref="AM465">IF(OR(O465&lt;&gt;"", SUMPRODUCT(($AN$2:$AN$5000=AN465)*($AL$2:$AL$5000&lt;=AL465)) &lt;= (COUNTIF($AN$2:$AN$5000,AN465)*0.5)), "SORTEADO", "-")</f>
        <v>SORTEADO</v>
      </c>
      <c r="AN465" s="231" t="s">
        <v>1301</v>
      </c>
    </row>
    <row r="466" spans="1:40" ht="30" customHeight="1" x14ac:dyDescent="0.2">
      <c r="A466" s="231" t="s">
        <v>197</v>
      </c>
      <c r="B466" s="231">
        <v>2615522077</v>
      </c>
      <c r="C466" s="231" t="s">
        <v>95</v>
      </c>
      <c r="D466" s="231" t="s">
        <v>76</v>
      </c>
      <c r="E466" s="231" t="s">
        <v>198</v>
      </c>
      <c r="F466" s="231" t="s">
        <v>1315</v>
      </c>
      <c r="G466" s="231">
        <v>337</v>
      </c>
      <c r="H466" s="231" t="s">
        <v>1328</v>
      </c>
      <c r="I466" s="231" t="s">
        <v>315</v>
      </c>
      <c r="J466" s="231" t="s">
        <v>95</v>
      </c>
      <c r="K466" s="238" t="s">
        <v>1329</v>
      </c>
      <c r="L466" s="231" t="s">
        <v>1301</v>
      </c>
      <c r="M466" s="231" t="s">
        <v>1330</v>
      </c>
      <c r="N466" s="231" t="s">
        <v>203</v>
      </c>
      <c r="O466" s="158" t="s">
        <v>204</v>
      </c>
      <c r="P466" s="92"/>
      <c r="Q466" s="146" t="s">
        <v>61</v>
      </c>
      <c r="R466" s="92"/>
      <c r="S466" s="146" t="s">
        <v>61</v>
      </c>
      <c r="T466" s="92"/>
      <c r="U466" s="146" t="s">
        <v>61</v>
      </c>
      <c r="V466" s="92"/>
      <c r="W466" s="146" t="s">
        <v>61</v>
      </c>
      <c r="X466" s="92"/>
      <c r="Y466" s="146" t="s">
        <v>61</v>
      </c>
      <c r="Z466" s="92"/>
      <c r="AA466" s="146" t="s">
        <v>204</v>
      </c>
      <c r="AB466" s="92"/>
      <c r="AC466" s="146" t="s">
        <v>204</v>
      </c>
      <c r="AD466" s="92"/>
      <c r="AE466" s="146" t="s">
        <v>204</v>
      </c>
      <c r="AF466" s="187" t="str">
        <f t="shared" si="31"/>
        <v>C</v>
      </c>
      <c r="AG466" s="54" t="str">
        <f t="shared" si="30"/>
        <v>UTILIZOU O PDA CORRETAMENTE</v>
      </c>
      <c r="AH466" s="146" t="s">
        <v>204</v>
      </c>
      <c r="AI466" s="210" t="s">
        <v>6</v>
      </c>
      <c r="AJ466" s="97" t="str">
        <f t="shared" si="32"/>
        <v>GUARULHOS</v>
      </c>
      <c r="AK466" s="213" t="s">
        <v>39</v>
      </c>
      <c r="AL466" s="53">
        <v>8.55606449157299E-2</v>
      </c>
      <c r="AM466" s="53" t="str" cm="1">
        <f t="array" ref="AM466">IF(OR(O466&lt;&gt;"", SUMPRODUCT(($AN$2:$AN$5000=AN466)*($AL$2:$AL$5000&lt;=AL466)) &lt;= (COUNTIF($AN$2:$AN$5000,AN466)*0.5)), "SORTEADO", "-")</f>
        <v>SORTEADO</v>
      </c>
      <c r="AN466" s="231" t="s">
        <v>1301</v>
      </c>
    </row>
    <row r="467" spans="1:40" ht="30" hidden="1" customHeight="1" x14ac:dyDescent="0.2">
      <c r="A467" s="231" t="s">
        <v>197</v>
      </c>
      <c r="B467" s="231">
        <v>2615522072</v>
      </c>
      <c r="C467" s="231" t="s">
        <v>95</v>
      </c>
      <c r="D467" s="231" t="s">
        <v>76</v>
      </c>
      <c r="E467" s="231" t="s">
        <v>198</v>
      </c>
      <c r="F467" s="231" t="s">
        <v>1315</v>
      </c>
      <c r="G467" s="231">
        <v>337</v>
      </c>
      <c r="H467" s="231" t="s">
        <v>1331</v>
      </c>
      <c r="I467" s="231" t="s">
        <v>315</v>
      </c>
      <c r="J467" s="231" t="s">
        <v>95</v>
      </c>
      <c r="K467" s="231" t="s">
        <v>1332</v>
      </c>
      <c r="L467" s="231" t="s">
        <v>1301</v>
      </c>
      <c r="M467" s="231" t="s">
        <v>1333</v>
      </c>
      <c r="N467" s="231" t="s">
        <v>203</v>
      </c>
      <c r="O467" s="158"/>
      <c r="P467" s="92"/>
      <c r="Q467" s="146"/>
      <c r="R467" s="92"/>
      <c r="S467" s="146"/>
      <c r="T467" s="92"/>
      <c r="U467" s="146"/>
      <c r="V467" s="92"/>
      <c r="W467" s="146"/>
      <c r="X467" s="92"/>
      <c r="Y467" s="146"/>
      <c r="Z467" s="92"/>
      <c r="AA467" s="146"/>
      <c r="AB467" s="92"/>
      <c r="AC467" s="146"/>
      <c r="AD467" s="92"/>
      <c r="AE467" s="146"/>
      <c r="AF467" s="187" t="str">
        <f t="shared" si="31"/>
        <v/>
      </c>
      <c r="AG467" s="54" t="b">
        <f t="shared" si="30"/>
        <v>0</v>
      </c>
      <c r="AH467" s="146"/>
      <c r="AI467" s="210" t="s">
        <v>6</v>
      </c>
      <c r="AJ467" s="97" t="str">
        <f t="shared" si="32"/>
        <v>GUARULHOS</v>
      </c>
      <c r="AK467" s="213" t="s">
        <v>39</v>
      </c>
      <c r="AL467" s="53">
        <v>0.91411309541409436</v>
      </c>
      <c r="AM467" s="53" t="str" cm="1">
        <f t="array" ref="AM467">IF(OR(O467&lt;&gt;"", SUMPRODUCT(($AN$2:$AN$5000=AN467)*($AL$2:$AL$5000&lt;=AL467)) &lt;= (COUNTIF($AN$2:$AN$5000,AN467)*0.5)), "SORTEADO", "-")</f>
        <v>-</v>
      </c>
      <c r="AN467" s="231" t="s">
        <v>1301</v>
      </c>
    </row>
    <row r="468" spans="1:40" ht="30" customHeight="1" x14ac:dyDescent="0.2">
      <c r="A468" s="231" t="s">
        <v>197</v>
      </c>
      <c r="B468" s="231">
        <v>2615537608</v>
      </c>
      <c r="C468" s="231" t="s">
        <v>93</v>
      </c>
      <c r="D468" s="231" t="s">
        <v>76</v>
      </c>
      <c r="E468" s="231" t="s">
        <v>198</v>
      </c>
      <c r="F468" s="231" t="s">
        <v>718</v>
      </c>
      <c r="G468" s="231">
        <v>357</v>
      </c>
      <c r="H468" s="231" t="s">
        <v>1334</v>
      </c>
      <c r="I468" s="231" t="s">
        <v>315</v>
      </c>
      <c r="J468" s="231" t="s">
        <v>93</v>
      </c>
      <c r="K468" s="231" t="s">
        <v>213</v>
      </c>
      <c r="L468" s="231" t="s">
        <v>1301</v>
      </c>
      <c r="M468" s="231" t="s">
        <v>1335</v>
      </c>
      <c r="N468" s="231" t="s">
        <v>203</v>
      </c>
      <c r="O468" s="158" t="s">
        <v>204</v>
      </c>
      <c r="P468" s="92"/>
      <c r="Q468" s="146" t="s">
        <v>61</v>
      </c>
      <c r="R468" s="92"/>
      <c r="S468" s="146" t="s">
        <v>61</v>
      </c>
      <c r="T468" s="92"/>
      <c r="U468" s="146" t="s">
        <v>61</v>
      </c>
      <c r="V468" s="92"/>
      <c r="W468" s="146" t="s">
        <v>61</v>
      </c>
      <c r="X468" s="92"/>
      <c r="Y468" s="146" t="s">
        <v>61</v>
      </c>
      <c r="Z468" s="92"/>
      <c r="AA468" s="146" t="s">
        <v>204</v>
      </c>
      <c r="AB468" s="92"/>
      <c r="AC468" s="146" t="s">
        <v>204</v>
      </c>
      <c r="AD468" s="92"/>
      <c r="AE468" s="146" t="s">
        <v>204</v>
      </c>
      <c r="AF468" s="187" t="str">
        <f t="shared" si="31"/>
        <v>C</v>
      </c>
      <c r="AG468" s="54" t="str">
        <f t="shared" si="30"/>
        <v>UTILIZOU O PDA CORRETAMENTE</v>
      </c>
      <c r="AH468" s="146" t="s">
        <v>204</v>
      </c>
      <c r="AI468" s="210" t="s">
        <v>6</v>
      </c>
      <c r="AJ468" s="97" t="str">
        <f t="shared" si="32"/>
        <v>GUARULHOS</v>
      </c>
      <c r="AK468" s="213" t="s">
        <v>39</v>
      </c>
      <c r="AL468" s="53">
        <v>9.4793271683435876E-2</v>
      </c>
      <c r="AM468" s="53" t="str" cm="1">
        <f t="array" ref="AM468">IF(OR(O468&lt;&gt;"", SUMPRODUCT(($AN$2:$AN$5000=AN468)*($AL$2:$AL$5000&lt;=AL468)) &lt;= (COUNTIF($AN$2:$AN$5000,AN468)*0.5)), "SORTEADO", "-")</f>
        <v>SORTEADO</v>
      </c>
      <c r="AN468" s="231" t="s">
        <v>1301</v>
      </c>
    </row>
    <row r="469" spans="1:40" ht="30" customHeight="1" x14ac:dyDescent="0.2">
      <c r="A469" s="231" t="s">
        <v>197</v>
      </c>
      <c r="B469" s="231">
        <v>2615537613</v>
      </c>
      <c r="C469" s="231" t="s">
        <v>95</v>
      </c>
      <c r="D469" s="231" t="s">
        <v>76</v>
      </c>
      <c r="E469" s="231" t="s">
        <v>198</v>
      </c>
      <c r="F469" s="231" t="s">
        <v>718</v>
      </c>
      <c r="G469" s="231">
        <v>357</v>
      </c>
      <c r="H469" s="231" t="s">
        <v>1336</v>
      </c>
      <c r="I469" s="231" t="s">
        <v>315</v>
      </c>
      <c r="J469" s="231" t="s">
        <v>95</v>
      </c>
      <c r="K469" s="231" t="s">
        <v>1337</v>
      </c>
      <c r="L469" s="231" t="s">
        <v>1301</v>
      </c>
      <c r="M469" s="231" t="s">
        <v>1338</v>
      </c>
      <c r="N469" s="231" t="s">
        <v>203</v>
      </c>
      <c r="O469" s="158" t="s">
        <v>204</v>
      </c>
      <c r="P469" s="92"/>
      <c r="Q469" s="146" t="s">
        <v>61</v>
      </c>
      <c r="R469" s="92"/>
      <c r="S469" s="146" t="s">
        <v>61</v>
      </c>
      <c r="T469" s="92"/>
      <c r="U469" s="146" t="s">
        <v>61</v>
      </c>
      <c r="V469" s="92"/>
      <c r="W469" s="146" t="s">
        <v>61</v>
      </c>
      <c r="X469" s="92"/>
      <c r="Y469" s="146" t="s">
        <v>61</v>
      </c>
      <c r="Z469" s="92"/>
      <c r="AA469" s="146" t="s">
        <v>204</v>
      </c>
      <c r="AB469" s="92"/>
      <c r="AC469" s="146" t="s">
        <v>204</v>
      </c>
      <c r="AD469" s="92"/>
      <c r="AE469" s="146" t="s">
        <v>204</v>
      </c>
      <c r="AF469" s="187" t="str">
        <f t="shared" si="31"/>
        <v>C</v>
      </c>
      <c r="AG469" s="54" t="str">
        <f t="shared" si="30"/>
        <v>UTILIZOU O PDA CORRETAMENTE</v>
      </c>
      <c r="AH469" s="146" t="s">
        <v>204</v>
      </c>
      <c r="AI469" s="210" t="s">
        <v>6</v>
      </c>
      <c r="AJ469" s="97" t="str">
        <f t="shared" si="32"/>
        <v>GUARULHOS</v>
      </c>
      <c r="AK469" s="213" t="s">
        <v>39</v>
      </c>
      <c r="AL469" s="53">
        <v>2.8486028337392111E-2</v>
      </c>
      <c r="AM469" s="53" t="str" cm="1">
        <f t="array" ref="AM469">IF(OR(O469&lt;&gt;"", SUMPRODUCT(($AN$2:$AN$5000=AN469)*($AL$2:$AL$5000&lt;=AL469)) &lt;= (COUNTIF($AN$2:$AN$5000,AN469)*0.5)), "SORTEADO", "-")</f>
        <v>SORTEADO</v>
      </c>
      <c r="AN469" s="231" t="s">
        <v>1301</v>
      </c>
    </row>
    <row r="470" spans="1:40" ht="30" hidden="1" customHeight="1" x14ac:dyDescent="0.2">
      <c r="A470" s="231" t="s">
        <v>197</v>
      </c>
      <c r="B470" s="231">
        <v>2690729056</v>
      </c>
      <c r="C470" s="231" t="s">
        <v>106</v>
      </c>
      <c r="D470" s="231" t="s">
        <v>80</v>
      </c>
      <c r="E470" s="231" t="s">
        <v>198</v>
      </c>
      <c r="F470" s="231" t="s">
        <v>1339</v>
      </c>
      <c r="G470" s="231">
        <v>84</v>
      </c>
      <c r="H470" s="231" t="s">
        <v>1340</v>
      </c>
      <c r="I470" s="231" t="s">
        <v>379</v>
      </c>
      <c r="J470" s="231" t="s">
        <v>270</v>
      </c>
      <c r="K470" s="231" t="s">
        <v>213</v>
      </c>
      <c r="L470" s="231" t="s">
        <v>1301</v>
      </c>
      <c r="M470" s="231" t="s">
        <v>1341</v>
      </c>
      <c r="N470" s="231" t="s">
        <v>237</v>
      </c>
      <c r="O470" s="158"/>
      <c r="P470" s="92"/>
      <c r="Q470" s="146"/>
      <c r="R470" s="92"/>
      <c r="S470" s="146"/>
      <c r="T470" s="92"/>
      <c r="U470" s="146"/>
      <c r="V470" s="92"/>
      <c r="W470" s="146"/>
      <c r="X470" s="92"/>
      <c r="Y470" s="146"/>
      <c r="Z470" s="92"/>
      <c r="AA470" s="146"/>
      <c r="AB470" s="92"/>
      <c r="AC470" s="146"/>
      <c r="AD470" s="92"/>
      <c r="AE470" s="146"/>
      <c r="AF470" s="187" t="str">
        <f t="shared" si="31"/>
        <v/>
      </c>
      <c r="AG470" s="54" t="b">
        <f t="shared" si="30"/>
        <v>0</v>
      </c>
      <c r="AH470" s="146"/>
      <c r="AI470" s="210" t="s">
        <v>6</v>
      </c>
      <c r="AJ470" s="97" t="str">
        <f t="shared" si="32"/>
        <v>GUARULHOS</v>
      </c>
      <c r="AK470" s="213" t="s">
        <v>39</v>
      </c>
      <c r="AL470" s="53">
        <v>0.50603977428391234</v>
      </c>
      <c r="AM470" s="53" t="str" cm="1">
        <f t="array" ref="AM470">IF(OR(O470&lt;&gt;"", SUMPRODUCT(($AN$2:$AN$5000=AN470)*($AL$2:$AL$5000&lt;=AL470)) &lt;= (COUNTIF($AN$2:$AN$5000,AN470)*0.5)), "SORTEADO", "-")</f>
        <v>-</v>
      </c>
      <c r="AN470" s="231" t="s">
        <v>1301</v>
      </c>
    </row>
    <row r="471" spans="1:40" ht="30" customHeight="1" x14ac:dyDescent="0.2">
      <c r="A471" s="231" t="s">
        <v>197</v>
      </c>
      <c r="B471" s="231">
        <v>2690743094</v>
      </c>
      <c r="C471" s="231" t="s">
        <v>102</v>
      </c>
      <c r="D471" s="231" t="s">
        <v>80</v>
      </c>
      <c r="E471" s="231" t="s">
        <v>198</v>
      </c>
      <c r="F471" s="231" t="s">
        <v>1053</v>
      </c>
      <c r="G471" s="231">
        <v>87</v>
      </c>
      <c r="H471" s="231" t="s">
        <v>1054</v>
      </c>
      <c r="I471" s="231" t="s">
        <v>492</v>
      </c>
      <c r="J471" s="231" t="s">
        <v>270</v>
      </c>
      <c r="K471" s="231"/>
      <c r="L471" s="231" t="s">
        <v>1301</v>
      </c>
      <c r="M471" s="231" t="s">
        <v>1335</v>
      </c>
      <c r="N471" s="231" t="s">
        <v>237</v>
      </c>
      <c r="O471" s="158" t="s">
        <v>204</v>
      </c>
      <c r="P471" s="92"/>
      <c r="Q471" s="146" t="s">
        <v>204</v>
      </c>
      <c r="R471" s="92"/>
      <c r="S471" s="146" t="s">
        <v>204</v>
      </c>
      <c r="T471" s="92"/>
      <c r="U471" s="146" t="s">
        <v>204</v>
      </c>
      <c r="V471" s="92"/>
      <c r="W471" s="146" t="s">
        <v>204</v>
      </c>
      <c r="X471" s="92"/>
      <c r="Y471" s="146" t="s">
        <v>61</v>
      </c>
      <c r="Z471" s="92"/>
      <c r="AA471" s="146" t="s">
        <v>204</v>
      </c>
      <c r="AB471" s="92"/>
      <c r="AC471" s="146" t="s">
        <v>204</v>
      </c>
      <c r="AD471" s="92"/>
      <c r="AE471" s="146" t="s">
        <v>204</v>
      </c>
      <c r="AF471" s="187" t="str">
        <f t="shared" si="31"/>
        <v>C</v>
      </c>
      <c r="AG471" s="54" t="str">
        <f t="shared" si="30"/>
        <v>UTILIZOU O PDA CORRETAMENTE</v>
      </c>
      <c r="AH471" s="144" t="s">
        <v>204</v>
      </c>
      <c r="AI471" s="210" t="s">
        <v>6</v>
      </c>
      <c r="AJ471" s="97" t="str">
        <f t="shared" si="32"/>
        <v>GUARULHOS</v>
      </c>
      <c r="AK471" s="213" t="s">
        <v>39</v>
      </c>
      <c r="AL471" s="53">
        <v>5.3736864287202035E-2</v>
      </c>
      <c r="AM471" s="53" t="str" cm="1">
        <f t="array" ref="AM471">IF(OR(O471&lt;&gt;"", SUMPRODUCT(($AN$2:$AN$5000=AN471)*($AL$2:$AL$5000&lt;=AL471)) &lt;= (COUNTIF($AN$2:$AN$5000,AN471)*0.5)), "SORTEADO", "-")</f>
        <v>SORTEADO</v>
      </c>
      <c r="AN471" s="231" t="s">
        <v>1301</v>
      </c>
    </row>
    <row r="472" spans="1:40" ht="30" hidden="1" customHeight="1" x14ac:dyDescent="0.2">
      <c r="A472" s="231" t="s">
        <v>197</v>
      </c>
      <c r="B472" s="231">
        <v>2616049177</v>
      </c>
      <c r="C472" s="231" t="s">
        <v>102</v>
      </c>
      <c r="D472" s="231" t="s">
        <v>80</v>
      </c>
      <c r="E472" s="231" t="s">
        <v>198</v>
      </c>
      <c r="F472" s="231" t="s">
        <v>1342</v>
      </c>
      <c r="G472" s="231">
        <v>141</v>
      </c>
      <c r="H472" s="231" t="s">
        <v>217</v>
      </c>
      <c r="I472" s="231" t="s">
        <v>660</v>
      </c>
      <c r="J472" s="231" t="s">
        <v>259</v>
      </c>
      <c r="K472" s="231" t="s">
        <v>213</v>
      </c>
      <c r="L472" s="231" t="s">
        <v>1301</v>
      </c>
      <c r="M472" s="231" t="s">
        <v>1343</v>
      </c>
      <c r="N472" s="231" t="s">
        <v>237</v>
      </c>
      <c r="O472" s="158"/>
      <c r="P472" s="92"/>
      <c r="Q472" s="146"/>
      <c r="R472" s="92"/>
      <c r="S472" s="146"/>
      <c r="T472" s="92"/>
      <c r="U472" s="146"/>
      <c r="V472" s="92"/>
      <c r="W472" s="146"/>
      <c r="X472" s="92"/>
      <c r="Y472" s="146"/>
      <c r="Z472" s="92"/>
      <c r="AA472" s="146"/>
      <c r="AB472" s="92"/>
      <c r="AC472" s="146"/>
      <c r="AD472" s="92"/>
      <c r="AE472" s="146"/>
      <c r="AF472" s="187" t="str">
        <f t="shared" si="31"/>
        <v/>
      </c>
      <c r="AG472" s="54" t="b">
        <f t="shared" si="30"/>
        <v>0</v>
      </c>
      <c r="AH472" s="146"/>
      <c r="AI472" s="210" t="s">
        <v>6</v>
      </c>
      <c r="AJ472" s="97" t="str">
        <f t="shared" si="32"/>
        <v>GUARULHOS</v>
      </c>
      <c r="AK472" s="213" t="s">
        <v>39</v>
      </c>
      <c r="AL472" s="53">
        <v>0.56611677151360185</v>
      </c>
      <c r="AM472" s="53" t="str" cm="1">
        <f t="array" ref="AM472">IF(OR(O472&lt;&gt;"", SUMPRODUCT(($AN$2:$AN$5000=AN472)*($AL$2:$AL$5000&lt;=AL472)) &lt;= (COUNTIF($AN$2:$AN$5000,AN472)*0.5)), "SORTEADO", "-")</f>
        <v>-</v>
      </c>
      <c r="AN472" s="231" t="s">
        <v>1301</v>
      </c>
    </row>
    <row r="473" spans="1:40" ht="30" hidden="1" customHeight="1" x14ac:dyDescent="0.2">
      <c r="A473" s="231" t="s">
        <v>197</v>
      </c>
      <c r="B473" s="231">
        <v>2615964333</v>
      </c>
      <c r="C473" s="231" t="s">
        <v>105</v>
      </c>
      <c r="D473" s="231" t="s">
        <v>80</v>
      </c>
      <c r="E473" s="231" t="s">
        <v>198</v>
      </c>
      <c r="F473" s="231" t="s">
        <v>1344</v>
      </c>
      <c r="G473" s="231">
        <v>419</v>
      </c>
      <c r="H473" s="231"/>
      <c r="I473" s="231" t="s">
        <v>447</v>
      </c>
      <c r="J473" s="231" t="s">
        <v>254</v>
      </c>
      <c r="K473" s="231"/>
      <c r="L473" s="231" t="s">
        <v>1301</v>
      </c>
      <c r="M473" s="231" t="s">
        <v>1345</v>
      </c>
      <c r="N473" s="231" t="s">
        <v>322</v>
      </c>
      <c r="O473" s="158"/>
      <c r="P473" s="92"/>
      <c r="Q473" s="146"/>
      <c r="R473" s="92"/>
      <c r="S473" s="146"/>
      <c r="T473" s="92"/>
      <c r="U473" s="146"/>
      <c r="V473" s="92"/>
      <c r="W473" s="146"/>
      <c r="X473" s="92"/>
      <c r="Y473" s="146"/>
      <c r="Z473" s="92"/>
      <c r="AA473" s="146"/>
      <c r="AB473" s="92"/>
      <c r="AC473" s="146"/>
      <c r="AD473" s="92"/>
      <c r="AE473" s="146"/>
      <c r="AF473" s="187" t="str">
        <f t="shared" si="31"/>
        <v/>
      </c>
      <c r="AG473" s="54" t="b">
        <f t="shared" si="30"/>
        <v>0</v>
      </c>
      <c r="AH473" s="146"/>
      <c r="AI473" s="210" t="s">
        <v>6</v>
      </c>
      <c r="AJ473" s="97" t="str">
        <f t="shared" si="32"/>
        <v>GUARULHOS</v>
      </c>
      <c r="AK473" s="213" t="s">
        <v>39</v>
      </c>
      <c r="AL473" s="53">
        <v>0.93893741986945711</v>
      </c>
      <c r="AM473" s="53" t="str" cm="1">
        <f t="array" ref="AM473">IF(OR(O473&lt;&gt;"", SUMPRODUCT(($AN$2:$AN$5000=AN473)*($AL$2:$AL$5000&lt;=AL473)) &lt;= (COUNTIF($AN$2:$AN$5000,AN473)*0.5)), "SORTEADO", "-")</f>
        <v>-</v>
      </c>
      <c r="AN473" s="231" t="s">
        <v>1301</v>
      </c>
    </row>
    <row r="474" spans="1:40" ht="30" hidden="1" customHeight="1" x14ac:dyDescent="0.2">
      <c r="A474" s="231" t="s">
        <v>197</v>
      </c>
      <c r="B474" s="231">
        <v>2615935009</v>
      </c>
      <c r="C474" s="231" t="s">
        <v>105</v>
      </c>
      <c r="D474" s="231" t="s">
        <v>80</v>
      </c>
      <c r="E474" s="231" t="s">
        <v>198</v>
      </c>
      <c r="F474" s="231" t="s">
        <v>526</v>
      </c>
      <c r="G474" s="231">
        <v>145</v>
      </c>
      <c r="H474" s="231" t="s">
        <v>206</v>
      </c>
      <c r="I474" s="231" t="s">
        <v>331</v>
      </c>
      <c r="J474" s="231" t="s">
        <v>226</v>
      </c>
      <c r="K474" s="231" t="s">
        <v>213</v>
      </c>
      <c r="L474" s="231" t="s">
        <v>1301</v>
      </c>
      <c r="M474" s="231" t="s">
        <v>1346</v>
      </c>
      <c r="N474" s="231" t="s">
        <v>322</v>
      </c>
      <c r="O474" s="158"/>
      <c r="P474" s="92"/>
      <c r="Q474" s="146"/>
      <c r="R474" s="92"/>
      <c r="S474" s="146"/>
      <c r="T474" s="92"/>
      <c r="U474" s="146"/>
      <c r="V474" s="92"/>
      <c r="W474" s="146"/>
      <c r="X474" s="92"/>
      <c r="Y474" s="146"/>
      <c r="Z474" s="92"/>
      <c r="AA474" s="146"/>
      <c r="AB474" s="92"/>
      <c r="AC474" s="146"/>
      <c r="AD474" s="92"/>
      <c r="AE474" s="146"/>
      <c r="AF474" s="187" t="str">
        <f t="shared" si="31"/>
        <v/>
      </c>
      <c r="AG474" s="54" t="b">
        <f t="shared" si="30"/>
        <v>0</v>
      </c>
      <c r="AH474" s="146"/>
      <c r="AI474" s="210" t="s">
        <v>6</v>
      </c>
      <c r="AJ474" s="97" t="str">
        <f t="shared" si="32"/>
        <v>GUARULHOS</v>
      </c>
      <c r="AK474" s="213" t="s">
        <v>39</v>
      </c>
      <c r="AL474" s="53">
        <v>0.93638631603331757</v>
      </c>
      <c r="AM474" s="53" t="str" cm="1">
        <f t="array" ref="AM474">IF(OR(O474&lt;&gt;"", SUMPRODUCT(($AN$2:$AN$5000=AN474)*($AL$2:$AL$5000&lt;=AL474)) &lt;= (COUNTIF($AN$2:$AN$5000,AN474)*0.5)), "SORTEADO", "-")</f>
        <v>-</v>
      </c>
      <c r="AN474" s="231" t="s">
        <v>1301</v>
      </c>
    </row>
    <row r="475" spans="1:40" ht="30" customHeight="1" x14ac:dyDescent="0.2">
      <c r="A475" s="231" t="s">
        <v>197</v>
      </c>
      <c r="B475" s="231">
        <v>2615936731</v>
      </c>
      <c r="C475" s="231" t="s">
        <v>105</v>
      </c>
      <c r="D475" s="231" t="s">
        <v>80</v>
      </c>
      <c r="E475" s="231" t="s">
        <v>198</v>
      </c>
      <c r="F475" s="231" t="s">
        <v>1347</v>
      </c>
      <c r="G475" s="231">
        <v>4447</v>
      </c>
      <c r="H475" s="231" t="s">
        <v>1348</v>
      </c>
      <c r="I475" s="231" t="s">
        <v>394</v>
      </c>
      <c r="J475" s="231" t="s">
        <v>226</v>
      </c>
      <c r="K475" s="231"/>
      <c r="L475" s="231" t="s">
        <v>1301</v>
      </c>
      <c r="M475" s="231" t="s">
        <v>1349</v>
      </c>
      <c r="N475" s="231" t="s">
        <v>348</v>
      </c>
      <c r="O475" s="158" t="s">
        <v>204</v>
      </c>
      <c r="P475" s="92"/>
      <c r="Q475" s="146" t="s">
        <v>204</v>
      </c>
      <c r="R475" s="92"/>
      <c r="S475" s="146" t="s">
        <v>204</v>
      </c>
      <c r="T475" s="92"/>
      <c r="U475" s="146" t="s">
        <v>204</v>
      </c>
      <c r="V475" s="92"/>
      <c r="W475" s="146" t="s">
        <v>204</v>
      </c>
      <c r="X475" s="92"/>
      <c r="Y475" s="146" t="s">
        <v>61</v>
      </c>
      <c r="Z475" s="92"/>
      <c r="AA475" s="146" t="s">
        <v>204</v>
      </c>
      <c r="AB475" s="92"/>
      <c r="AC475" s="146" t="s">
        <v>204</v>
      </c>
      <c r="AD475" s="92"/>
      <c r="AE475" s="146" t="s">
        <v>204</v>
      </c>
      <c r="AF475" s="187" t="str">
        <f t="shared" si="31"/>
        <v>C</v>
      </c>
      <c r="AG475" s="54" t="str">
        <f t="shared" si="30"/>
        <v>UTILIZOU O PDA CORRETAMENTE</v>
      </c>
      <c r="AH475" s="144" t="s">
        <v>204</v>
      </c>
      <c r="AI475" s="210" t="s">
        <v>6</v>
      </c>
      <c r="AJ475" s="97" t="str">
        <f t="shared" si="32"/>
        <v>GUARULHOS</v>
      </c>
      <c r="AK475" s="213" t="s">
        <v>39</v>
      </c>
      <c r="AL475" s="53">
        <v>3.8319975233989556E-2</v>
      </c>
      <c r="AM475" s="53" t="str" cm="1">
        <f t="array" ref="AM475">IF(OR(O475&lt;&gt;"", SUMPRODUCT(($AN$2:$AN$5000=AN475)*($AL$2:$AL$5000&lt;=AL475)) &lt;= (COUNTIF($AN$2:$AN$5000,AN475)*0.5)), "SORTEADO", "-")</f>
        <v>SORTEADO</v>
      </c>
      <c r="AN475" s="231" t="s">
        <v>1301</v>
      </c>
    </row>
    <row r="476" spans="1:40" ht="30" hidden="1" customHeight="1" x14ac:dyDescent="0.2">
      <c r="A476" s="231" t="s">
        <v>197</v>
      </c>
      <c r="B476" s="231">
        <v>2615932367</v>
      </c>
      <c r="C476" s="231" t="s">
        <v>102</v>
      </c>
      <c r="D476" s="231" t="s">
        <v>80</v>
      </c>
      <c r="E476" s="231" t="s">
        <v>198</v>
      </c>
      <c r="F476" s="231" t="s">
        <v>1350</v>
      </c>
      <c r="G476" s="231">
        <v>275</v>
      </c>
      <c r="H476" s="231" t="s">
        <v>213</v>
      </c>
      <c r="I476" s="231" t="s">
        <v>531</v>
      </c>
      <c r="J476" s="231" t="s">
        <v>270</v>
      </c>
      <c r="K476" s="231" t="s">
        <v>213</v>
      </c>
      <c r="L476" s="231" t="s">
        <v>1301</v>
      </c>
      <c r="M476" s="231" t="s">
        <v>1351</v>
      </c>
      <c r="N476" s="231" t="s">
        <v>271</v>
      </c>
      <c r="O476" s="158"/>
      <c r="P476" s="92"/>
      <c r="Q476" s="146"/>
      <c r="R476" s="92"/>
      <c r="S476" s="146"/>
      <c r="T476" s="92"/>
      <c r="U476" s="146"/>
      <c r="V476" s="92"/>
      <c r="W476" s="146"/>
      <c r="X476" s="92"/>
      <c r="Y476" s="146"/>
      <c r="Z476" s="92"/>
      <c r="AA476" s="146"/>
      <c r="AB476" s="92"/>
      <c r="AC476" s="146"/>
      <c r="AD476" s="92"/>
      <c r="AE476" s="146"/>
      <c r="AF476" s="187" t="str">
        <f t="shared" si="31"/>
        <v/>
      </c>
      <c r="AG476" s="54" t="b">
        <f t="shared" si="30"/>
        <v>0</v>
      </c>
      <c r="AH476" s="146"/>
      <c r="AI476" s="210" t="s">
        <v>6</v>
      </c>
      <c r="AJ476" s="97" t="str">
        <f t="shared" si="32"/>
        <v>GUARULHOS</v>
      </c>
      <c r="AK476" s="213" t="s">
        <v>39</v>
      </c>
      <c r="AL476" s="53">
        <v>0.9522907246822282</v>
      </c>
      <c r="AM476" s="53" t="str" cm="1">
        <f t="array" ref="AM476">IF(OR(O476&lt;&gt;"", SUMPRODUCT(($AN$2:$AN$5000=AN476)*($AL$2:$AL$5000&lt;=AL476)) &lt;= (COUNTIF($AN$2:$AN$5000,AN476)*0.5)), "SORTEADO", "-")</f>
        <v>-</v>
      </c>
      <c r="AN476" s="231" t="s">
        <v>1301</v>
      </c>
    </row>
    <row r="477" spans="1:40" ht="30" customHeight="1" x14ac:dyDescent="0.2">
      <c r="A477" s="231" t="s">
        <v>197</v>
      </c>
      <c r="B477" s="231">
        <v>2690714986</v>
      </c>
      <c r="C477" s="231" t="s">
        <v>102</v>
      </c>
      <c r="D477" s="231" t="s">
        <v>80</v>
      </c>
      <c r="E477" s="231" t="s">
        <v>198</v>
      </c>
      <c r="F477" s="231" t="s">
        <v>1352</v>
      </c>
      <c r="G477" s="231">
        <v>853</v>
      </c>
      <c r="H477" s="231" t="s">
        <v>1353</v>
      </c>
      <c r="I477" s="231" t="s">
        <v>622</v>
      </c>
      <c r="J477" s="231" t="s">
        <v>270</v>
      </c>
      <c r="K477" s="231"/>
      <c r="L477" s="231" t="s">
        <v>1301</v>
      </c>
      <c r="M477" s="231" t="s">
        <v>1354</v>
      </c>
      <c r="N477" s="231" t="s">
        <v>250</v>
      </c>
      <c r="O477" s="158" t="s">
        <v>204</v>
      </c>
      <c r="P477" s="92"/>
      <c r="Q477" s="146" t="s">
        <v>204</v>
      </c>
      <c r="R477" s="92"/>
      <c r="S477" s="146" t="s">
        <v>204</v>
      </c>
      <c r="T477" s="92"/>
      <c r="U477" s="146" t="s">
        <v>204</v>
      </c>
      <c r="V477" s="92"/>
      <c r="W477" s="146" t="s">
        <v>204</v>
      </c>
      <c r="X477" s="92"/>
      <c r="Y477" s="146" t="s">
        <v>61</v>
      </c>
      <c r="Z477" s="92"/>
      <c r="AA477" s="146" t="s">
        <v>204</v>
      </c>
      <c r="AB477" s="92"/>
      <c r="AC477" s="146" t="s">
        <v>204</v>
      </c>
      <c r="AD477" s="92"/>
      <c r="AE477" s="146" t="s">
        <v>204</v>
      </c>
      <c r="AF477" s="187" t="str">
        <f t="shared" si="31"/>
        <v>C</v>
      </c>
      <c r="AG477" s="54" t="str">
        <f t="shared" si="30"/>
        <v>UTILIZOU O PDA CORRETAMENTE</v>
      </c>
      <c r="AH477" s="144" t="s">
        <v>204</v>
      </c>
      <c r="AI477" s="210" t="s">
        <v>6</v>
      </c>
      <c r="AJ477" s="97" t="str">
        <f t="shared" si="32"/>
        <v>GUARULHOS</v>
      </c>
      <c r="AK477" s="213" t="s">
        <v>39</v>
      </c>
      <c r="AL477" s="53">
        <v>7.882853507990395E-2</v>
      </c>
      <c r="AM477" s="53" t="str" cm="1">
        <f t="array" ref="AM477">IF(OR(O477&lt;&gt;"", SUMPRODUCT(($AN$2:$AN$5000=AN477)*($AL$2:$AL$5000&lt;=AL477)) &lt;= (COUNTIF($AN$2:$AN$5000,AN477)*0.5)), "SORTEADO", "-")</f>
        <v>SORTEADO</v>
      </c>
      <c r="AN477" s="231" t="s">
        <v>1301</v>
      </c>
    </row>
    <row r="478" spans="1:40" ht="30" hidden="1" customHeight="1" x14ac:dyDescent="0.2">
      <c r="A478" s="231" t="s">
        <v>197</v>
      </c>
      <c r="B478" s="231">
        <v>2690733515</v>
      </c>
      <c r="C478" s="231" t="s">
        <v>102</v>
      </c>
      <c r="D478" s="231" t="s">
        <v>80</v>
      </c>
      <c r="E478" s="231" t="s">
        <v>198</v>
      </c>
      <c r="F478" s="231" t="s">
        <v>1355</v>
      </c>
      <c r="G478" s="231">
        <v>142</v>
      </c>
      <c r="H478" s="231" t="s">
        <v>213</v>
      </c>
      <c r="I478" s="231" t="s">
        <v>588</v>
      </c>
      <c r="J478" s="231" t="s">
        <v>270</v>
      </c>
      <c r="K478" s="231" t="s">
        <v>213</v>
      </c>
      <c r="L478" s="231" t="s">
        <v>1301</v>
      </c>
      <c r="M478" s="231" t="s">
        <v>1356</v>
      </c>
      <c r="N478" s="231" t="s">
        <v>250</v>
      </c>
      <c r="O478" s="158"/>
      <c r="P478" s="92"/>
      <c r="Q478" s="146"/>
      <c r="R478" s="92"/>
      <c r="S478" s="146"/>
      <c r="T478" s="92"/>
      <c r="U478" s="146"/>
      <c r="V478" s="92"/>
      <c r="W478" s="146"/>
      <c r="X478" s="92"/>
      <c r="Y478" s="146"/>
      <c r="Z478" s="92"/>
      <c r="AA478" s="146"/>
      <c r="AB478" s="92"/>
      <c r="AC478" s="146"/>
      <c r="AD478" s="92"/>
      <c r="AE478" s="146"/>
      <c r="AF478" s="187" t="str">
        <f t="shared" si="31"/>
        <v/>
      </c>
      <c r="AG478" s="54" t="b">
        <f t="shared" si="30"/>
        <v>0</v>
      </c>
      <c r="AH478" s="146"/>
      <c r="AI478" s="210" t="s">
        <v>6</v>
      </c>
      <c r="AJ478" s="97" t="str">
        <f t="shared" si="32"/>
        <v>GUARULHOS</v>
      </c>
      <c r="AK478" s="213" t="s">
        <v>39</v>
      </c>
      <c r="AL478" s="53">
        <v>0.64335388780473168</v>
      </c>
      <c r="AM478" s="53" t="str" cm="1">
        <f t="array" ref="AM478">IF(OR(O478&lt;&gt;"", SUMPRODUCT(($AN$2:$AN$5000=AN478)*($AL$2:$AL$5000&lt;=AL478)) &lt;= (COUNTIF($AN$2:$AN$5000,AN478)*0.5)), "SORTEADO", "-")</f>
        <v>-</v>
      </c>
      <c r="AN478" s="231" t="s">
        <v>1301</v>
      </c>
    </row>
    <row r="479" spans="1:40" ht="30" customHeight="1" x14ac:dyDescent="0.2">
      <c r="A479" s="231" t="s">
        <v>197</v>
      </c>
      <c r="B479" s="231">
        <v>2690702461</v>
      </c>
      <c r="C479" s="231" t="s">
        <v>102</v>
      </c>
      <c r="D479" s="231" t="s">
        <v>80</v>
      </c>
      <c r="E479" s="231" t="s">
        <v>198</v>
      </c>
      <c r="F479" s="231" t="s">
        <v>1357</v>
      </c>
      <c r="G479" s="231">
        <v>146</v>
      </c>
      <c r="H479" s="231"/>
      <c r="I479" s="231" t="s">
        <v>1358</v>
      </c>
      <c r="J479" s="231" t="s">
        <v>270</v>
      </c>
      <c r="K479" s="231"/>
      <c r="L479" s="231" t="s">
        <v>1301</v>
      </c>
      <c r="M479" s="231" t="s">
        <v>1359</v>
      </c>
      <c r="N479" s="231" t="s">
        <v>228</v>
      </c>
      <c r="O479" s="158" t="s">
        <v>204</v>
      </c>
      <c r="P479" s="92"/>
      <c r="Q479" s="146" t="s">
        <v>204</v>
      </c>
      <c r="R479" s="92"/>
      <c r="S479" s="146" t="s">
        <v>204</v>
      </c>
      <c r="T479" s="92"/>
      <c r="U479" s="146" t="s">
        <v>204</v>
      </c>
      <c r="V479" s="92"/>
      <c r="W479" s="146" t="s">
        <v>204</v>
      </c>
      <c r="X479" s="92"/>
      <c r="Y479" s="146" t="s">
        <v>61</v>
      </c>
      <c r="Z479" s="92"/>
      <c r="AA479" s="146" t="s">
        <v>204</v>
      </c>
      <c r="AB479" s="92"/>
      <c r="AC479" s="146" t="s">
        <v>204</v>
      </c>
      <c r="AD479" s="92"/>
      <c r="AE479" s="146" t="s">
        <v>204</v>
      </c>
      <c r="AF479" s="187" t="str">
        <f t="shared" si="31"/>
        <v>C</v>
      </c>
      <c r="AG479" s="54" t="str">
        <f t="shared" si="30"/>
        <v>UTILIZOU O PDA CORRETAMENTE</v>
      </c>
      <c r="AH479" s="144" t="s">
        <v>204</v>
      </c>
      <c r="AI479" s="210" t="s">
        <v>6</v>
      </c>
      <c r="AJ479" s="97" t="str">
        <f t="shared" si="32"/>
        <v>GUARULHOS</v>
      </c>
      <c r="AK479" s="213" t="s">
        <v>39</v>
      </c>
      <c r="AL479" s="53">
        <v>8.1700937493974779E-2</v>
      </c>
      <c r="AM479" s="53" t="str" cm="1">
        <f t="array" ref="AM479">IF(OR(O479&lt;&gt;"", SUMPRODUCT(($AN$2:$AN$5000=AN479)*($AL$2:$AL$5000&lt;=AL479)) &lt;= (COUNTIF($AN$2:$AN$5000,AN479)*0.5)), "SORTEADO", "-")</f>
        <v>SORTEADO</v>
      </c>
      <c r="AN479" s="231" t="s">
        <v>1301</v>
      </c>
    </row>
    <row r="480" spans="1:40" ht="30" customHeight="1" x14ac:dyDescent="0.2">
      <c r="A480" s="231" t="s">
        <v>197</v>
      </c>
      <c r="B480" s="231">
        <v>2615935230</v>
      </c>
      <c r="C480" s="231" t="s">
        <v>104</v>
      </c>
      <c r="D480" s="231" t="s">
        <v>80</v>
      </c>
      <c r="E480" s="231" t="s">
        <v>198</v>
      </c>
      <c r="F480" s="231" t="s">
        <v>1275</v>
      </c>
      <c r="G480" s="231">
        <v>74</v>
      </c>
      <c r="H480" s="231" t="s">
        <v>1360</v>
      </c>
      <c r="I480" s="231" t="s">
        <v>1277</v>
      </c>
      <c r="J480" s="231" t="s">
        <v>278</v>
      </c>
      <c r="K480" s="231" t="s">
        <v>213</v>
      </c>
      <c r="L480" s="231" t="s">
        <v>1301</v>
      </c>
      <c r="M480" s="231" t="s">
        <v>1361</v>
      </c>
      <c r="N480" s="231" t="s">
        <v>241</v>
      </c>
      <c r="O480" s="158" t="s">
        <v>204</v>
      </c>
      <c r="P480" s="92"/>
      <c r="Q480" s="146" t="s">
        <v>204</v>
      </c>
      <c r="R480" s="92"/>
      <c r="S480" s="146" t="s">
        <v>204</v>
      </c>
      <c r="T480" s="92"/>
      <c r="U480" s="146" t="s">
        <v>204</v>
      </c>
      <c r="V480" s="92"/>
      <c r="W480" s="146" t="s">
        <v>204</v>
      </c>
      <c r="X480" s="92"/>
      <c r="Y480" s="146" t="s">
        <v>61</v>
      </c>
      <c r="Z480" s="92"/>
      <c r="AA480" s="146" t="s">
        <v>204</v>
      </c>
      <c r="AB480" s="92"/>
      <c r="AC480" s="146" t="s">
        <v>204</v>
      </c>
      <c r="AD480" s="92"/>
      <c r="AE480" s="146" t="s">
        <v>204</v>
      </c>
      <c r="AF480" s="187" t="str">
        <f t="shared" si="31"/>
        <v>C</v>
      </c>
      <c r="AG480" s="54" t="str">
        <f t="shared" si="30"/>
        <v>UTILIZOU O PDA CORRETAMENTE</v>
      </c>
      <c r="AH480" s="144" t="s">
        <v>204</v>
      </c>
      <c r="AI480" s="210" t="s">
        <v>6</v>
      </c>
      <c r="AJ480" s="97" t="str">
        <f t="shared" si="32"/>
        <v>GUARULHOS</v>
      </c>
      <c r="AK480" s="213" t="s">
        <v>39</v>
      </c>
      <c r="AL480" s="53">
        <v>8.9046801638771322E-2</v>
      </c>
      <c r="AM480" s="53" t="str" cm="1">
        <f t="array" ref="AM480">IF(OR(O480&lt;&gt;"", SUMPRODUCT(($AN$2:$AN$5000=AN480)*($AL$2:$AL$5000&lt;=AL480)) &lt;= (COUNTIF($AN$2:$AN$5000,AN480)*0.5)), "SORTEADO", "-")</f>
        <v>SORTEADO</v>
      </c>
      <c r="AN480" s="231" t="s">
        <v>1301</v>
      </c>
    </row>
    <row r="481" spans="1:40" ht="30" hidden="1" customHeight="1" x14ac:dyDescent="0.2">
      <c r="A481" s="231" t="s">
        <v>197</v>
      </c>
      <c r="B481" s="231">
        <v>2615879805</v>
      </c>
      <c r="C481" s="231" t="s">
        <v>100</v>
      </c>
      <c r="D481" s="231" t="s">
        <v>78</v>
      </c>
      <c r="E481" s="231" t="s">
        <v>198</v>
      </c>
      <c r="F481" s="231" t="s">
        <v>688</v>
      </c>
      <c r="G481" s="231">
        <v>242</v>
      </c>
      <c r="H481" s="231" t="s">
        <v>1362</v>
      </c>
      <c r="I481" s="231" t="s">
        <v>356</v>
      </c>
      <c r="J481" s="231" t="s">
        <v>248</v>
      </c>
      <c r="K481" s="231"/>
      <c r="L481" s="231" t="s">
        <v>1301</v>
      </c>
      <c r="M481" s="231" t="s">
        <v>1363</v>
      </c>
      <c r="N481" s="231" t="s">
        <v>263</v>
      </c>
      <c r="O481" s="158"/>
      <c r="P481" s="92"/>
      <c r="Q481" s="146"/>
      <c r="R481" s="92"/>
      <c r="S481" s="146"/>
      <c r="T481" s="92"/>
      <c r="U481" s="146"/>
      <c r="V481" s="92"/>
      <c r="W481" s="146"/>
      <c r="X481" s="92"/>
      <c r="Y481" s="146"/>
      <c r="Z481" s="92"/>
      <c r="AA481" s="146"/>
      <c r="AB481" s="92"/>
      <c r="AC481" s="146"/>
      <c r="AD481" s="92"/>
      <c r="AE481" s="146"/>
      <c r="AF481" s="187" t="str">
        <f t="shared" si="31"/>
        <v/>
      </c>
      <c r="AG481" s="54" t="b">
        <f t="shared" si="30"/>
        <v>0</v>
      </c>
      <c r="AH481" s="146"/>
      <c r="AI481" s="210" t="s">
        <v>6</v>
      </c>
      <c r="AJ481" s="97" t="str">
        <f t="shared" si="32"/>
        <v>GUARULHOS</v>
      </c>
      <c r="AK481" s="213" t="s">
        <v>39</v>
      </c>
      <c r="AL481" s="53">
        <v>0.6340099285746944</v>
      </c>
      <c r="AM481" s="53" t="str" cm="1">
        <f t="array" ref="AM481">IF(OR(O481&lt;&gt;"", SUMPRODUCT(($AN$2:$AN$5000=AN481)*($AL$2:$AL$5000&lt;=AL481)) &lt;= (COUNTIF($AN$2:$AN$5000,AN481)*0.5)), "SORTEADO", "-")</f>
        <v>-</v>
      </c>
      <c r="AN481" s="231" t="s">
        <v>1301</v>
      </c>
    </row>
    <row r="482" spans="1:40" ht="30" customHeight="1" x14ac:dyDescent="0.2">
      <c r="A482" s="231" t="s">
        <v>197</v>
      </c>
      <c r="B482" s="231">
        <v>2615897570</v>
      </c>
      <c r="C482" s="231" t="s">
        <v>100</v>
      </c>
      <c r="D482" s="231" t="s">
        <v>78</v>
      </c>
      <c r="E482" s="231" t="s">
        <v>198</v>
      </c>
      <c r="F482" s="231" t="s">
        <v>230</v>
      </c>
      <c r="G482" s="231">
        <v>131</v>
      </c>
      <c r="H482" s="231" t="s">
        <v>296</v>
      </c>
      <c r="I482" s="231" t="s">
        <v>231</v>
      </c>
      <c r="J482" s="231" t="s">
        <v>248</v>
      </c>
      <c r="K482" s="231" t="s">
        <v>213</v>
      </c>
      <c r="L482" s="231" t="s">
        <v>1301</v>
      </c>
      <c r="M482" s="231" t="s">
        <v>1364</v>
      </c>
      <c r="N482" s="231" t="s">
        <v>263</v>
      </c>
      <c r="O482" s="157" t="s">
        <v>204</v>
      </c>
      <c r="P482" s="143"/>
      <c r="Q482" s="144" t="s">
        <v>204</v>
      </c>
      <c r="R482" s="143"/>
      <c r="S482" s="144" t="s">
        <v>204</v>
      </c>
      <c r="T482" s="143"/>
      <c r="U482" s="144" t="s">
        <v>204</v>
      </c>
      <c r="V482" s="143"/>
      <c r="W482" s="144" t="s">
        <v>204</v>
      </c>
      <c r="X482" s="143"/>
      <c r="Y482" s="144" t="s">
        <v>204</v>
      </c>
      <c r="Z482" s="143"/>
      <c r="AA482" s="144" t="s">
        <v>204</v>
      </c>
      <c r="AB482" s="143"/>
      <c r="AC482" s="144" t="s">
        <v>204</v>
      </c>
      <c r="AD482" s="56"/>
      <c r="AE482" s="144" t="s">
        <v>204</v>
      </c>
      <c r="AF482" s="187" t="str">
        <f t="shared" si="31"/>
        <v>C</v>
      </c>
      <c r="AG482" s="54" t="str">
        <f t="shared" si="30"/>
        <v>UTILIZOU O PDA CORRETAMENTE</v>
      </c>
      <c r="AH482" s="144" t="s">
        <v>204</v>
      </c>
      <c r="AI482" s="210" t="s">
        <v>6</v>
      </c>
      <c r="AJ482" s="97" t="str">
        <f t="shared" si="32"/>
        <v>GUARULHOS</v>
      </c>
      <c r="AK482" s="213" t="s">
        <v>39</v>
      </c>
      <c r="AL482" s="53">
        <v>0.22321401151837517</v>
      </c>
      <c r="AM482" s="53" t="str" cm="1">
        <f t="array" ref="AM482">IF(OR(O482&lt;&gt;"", SUMPRODUCT(($AN$2:$AN$5000=AN482)*($AL$2:$AL$5000&lt;=AL482)) &lt;= (COUNTIF($AN$2:$AN$5000,AN482)*0.5)), "SORTEADO", "-")</f>
        <v>SORTEADO</v>
      </c>
      <c r="AN482" s="231" t="s">
        <v>1301</v>
      </c>
    </row>
    <row r="483" spans="1:40" ht="30" hidden="1" customHeight="1" x14ac:dyDescent="0.2">
      <c r="A483" s="231" t="s">
        <v>197</v>
      </c>
      <c r="B483" s="231">
        <v>2615899471</v>
      </c>
      <c r="C483" s="231" t="s">
        <v>84</v>
      </c>
      <c r="D483" s="231" t="s">
        <v>79</v>
      </c>
      <c r="E483" s="231" t="s">
        <v>198</v>
      </c>
      <c r="F483" s="231" t="s">
        <v>759</v>
      </c>
      <c r="G483" s="231">
        <v>1307</v>
      </c>
      <c r="H483" s="231"/>
      <c r="I483" s="231" t="s">
        <v>436</v>
      </c>
      <c r="J483" s="231" t="s">
        <v>392</v>
      </c>
      <c r="K483" s="231" t="s">
        <v>1365</v>
      </c>
      <c r="L483" s="231" t="s">
        <v>1301</v>
      </c>
      <c r="M483" s="231" t="s">
        <v>1366</v>
      </c>
      <c r="N483" s="231" t="s">
        <v>287</v>
      </c>
      <c r="O483" s="158" t="s">
        <v>61</v>
      </c>
      <c r="P483" s="92"/>
      <c r="Q483" s="146" t="s">
        <v>61</v>
      </c>
      <c r="R483" s="92"/>
      <c r="S483" s="146" t="s">
        <v>61</v>
      </c>
      <c r="T483" s="92"/>
      <c r="U483" s="146" t="s">
        <v>61</v>
      </c>
      <c r="V483" s="92"/>
      <c r="W483" s="146" t="s">
        <v>61</v>
      </c>
      <c r="X483" s="92"/>
      <c r="Y483" s="146" t="s">
        <v>61</v>
      </c>
      <c r="Z483" s="92"/>
      <c r="AA483" s="146" t="s">
        <v>61</v>
      </c>
      <c r="AB483" s="92"/>
      <c r="AC483" s="146" t="s">
        <v>61</v>
      </c>
      <c r="AD483" s="92"/>
      <c r="AE483" s="146" t="s">
        <v>61</v>
      </c>
      <c r="AF483" s="187" t="str">
        <f t="shared" si="31"/>
        <v>NA</v>
      </c>
      <c r="AG483" s="54" t="str">
        <f t="shared" si="30"/>
        <v>NÃO AVALIADO POR FALHA DE SINCRONISMO</v>
      </c>
      <c r="AH483" s="146" t="s">
        <v>204</v>
      </c>
      <c r="AI483" s="210" t="s">
        <v>6</v>
      </c>
      <c r="AJ483" s="97" t="str">
        <f t="shared" si="32"/>
        <v>GUARULHOS</v>
      </c>
      <c r="AK483" s="213" t="s">
        <v>39</v>
      </c>
      <c r="AL483" s="53">
        <v>-9.64E-2</v>
      </c>
      <c r="AM483" s="53" t="str" cm="1">
        <f t="array" ref="AM483">IF(OR(O483&lt;&gt;"", SUMPRODUCT(($AN$2:$AN$5000=AN483)*($AL$2:$AL$5000&lt;=AL483)) &lt;= (COUNTIF($AN$2:$AN$5000,AN483)*0.5)), "SORTEADO", "-")</f>
        <v>SORTEADO</v>
      </c>
      <c r="AN483" s="231" t="s">
        <v>1301</v>
      </c>
    </row>
    <row r="484" spans="1:40" ht="30" hidden="1" customHeight="1" x14ac:dyDescent="0.2">
      <c r="A484" s="231" t="s">
        <v>197</v>
      </c>
      <c r="B484" s="231">
        <v>2615899174</v>
      </c>
      <c r="C484" s="231" t="s">
        <v>84</v>
      </c>
      <c r="D484" s="231" t="s">
        <v>79</v>
      </c>
      <c r="E484" s="231" t="s">
        <v>198</v>
      </c>
      <c r="F484" s="231" t="s">
        <v>869</v>
      </c>
      <c r="G484" s="231">
        <v>20</v>
      </c>
      <c r="H484" s="231" t="s">
        <v>213</v>
      </c>
      <c r="I484" s="231" t="s">
        <v>436</v>
      </c>
      <c r="J484" s="231" t="s">
        <v>392</v>
      </c>
      <c r="K484" s="231" t="s">
        <v>1365</v>
      </c>
      <c r="L484" s="231" t="s">
        <v>1301</v>
      </c>
      <c r="M484" s="231" t="s">
        <v>1367</v>
      </c>
      <c r="N484" s="231" t="s">
        <v>287</v>
      </c>
      <c r="O484" s="158" t="s">
        <v>61</v>
      </c>
      <c r="P484" s="92"/>
      <c r="Q484" s="146" t="s">
        <v>61</v>
      </c>
      <c r="R484" s="92"/>
      <c r="S484" s="146" t="s">
        <v>61</v>
      </c>
      <c r="T484" s="92"/>
      <c r="U484" s="146" t="s">
        <v>61</v>
      </c>
      <c r="V484" s="92"/>
      <c r="W484" s="146" t="s">
        <v>61</v>
      </c>
      <c r="X484" s="92"/>
      <c r="Y484" s="146" t="s">
        <v>61</v>
      </c>
      <c r="Z484" s="92"/>
      <c r="AA484" s="146" t="s">
        <v>61</v>
      </c>
      <c r="AB484" s="92"/>
      <c r="AC484" s="146" t="s">
        <v>61</v>
      </c>
      <c r="AD484" s="92"/>
      <c r="AE484" s="146" t="s">
        <v>61</v>
      </c>
      <c r="AF484" s="187" t="str">
        <f t="shared" si="31"/>
        <v>NA</v>
      </c>
      <c r="AG484" s="54" t="str">
        <f t="shared" si="30"/>
        <v>NÃO AVALIADO POR FALHA DE SINCRONISMO</v>
      </c>
      <c r="AH484" s="146" t="s">
        <v>204</v>
      </c>
      <c r="AI484" s="210" t="s">
        <v>6</v>
      </c>
      <c r="AJ484" s="97" t="str">
        <f t="shared" si="32"/>
        <v>GUARULHOS</v>
      </c>
      <c r="AK484" s="213" t="s">
        <v>39</v>
      </c>
      <c r="AL484" s="53">
        <v>-9.6600000000000005E-2</v>
      </c>
      <c r="AM484" s="53" t="str" cm="1">
        <f t="array" ref="AM484">IF(OR(O484&lt;&gt;"", SUMPRODUCT(($AN$2:$AN$5000=AN484)*($AL$2:$AL$5000&lt;=AL484)) &lt;= (COUNTIF($AN$2:$AN$5000,AN484)*0.5)), "SORTEADO", "-")</f>
        <v>SORTEADO</v>
      </c>
      <c r="AN484" s="231" t="s">
        <v>1301</v>
      </c>
    </row>
    <row r="485" spans="1:40" ht="30" customHeight="1" x14ac:dyDescent="0.2">
      <c r="A485" s="231" t="s">
        <v>197</v>
      </c>
      <c r="B485" s="231">
        <v>2615899818</v>
      </c>
      <c r="C485" s="231" t="s">
        <v>696</v>
      </c>
      <c r="D485" s="231" t="s">
        <v>79</v>
      </c>
      <c r="E485" s="231" t="s">
        <v>198</v>
      </c>
      <c r="F485" s="231" t="s">
        <v>869</v>
      </c>
      <c r="G485" s="231">
        <v>20</v>
      </c>
      <c r="H485" s="231"/>
      <c r="I485" s="231" t="s">
        <v>436</v>
      </c>
      <c r="J485" s="231" t="s">
        <v>698</v>
      </c>
      <c r="K485" s="231" t="s">
        <v>1365</v>
      </c>
      <c r="L485" s="231" t="s">
        <v>1301</v>
      </c>
      <c r="M485" s="231" t="s">
        <v>1368</v>
      </c>
      <c r="N485" s="231" t="s">
        <v>287</v>
      </c>
      <c r="O485" s="158" t="s">
        <v>204</v>
      </c>
      <c r="P485" s="92"/>
      <c r="Q485" s="146" t="s">
        <v>204</v>
      </c>
      <c r="R485" s="92"/>
      <c r="S485" s="146" t="s">
        <v>204</v>
      </c>
      <c r="T485" s="92"/>
      <c r="U485" s="146" t="s">
        <v>204</v>
      </c>
      <c r="V485" s="92"/>
      <c r="W485" s="146" t="s">
        <v>204</v>
      </c>
      <c r="X485" s="92"/>
      <c r="Y485" s="146" t="s">
        <v>204</v>
      </c>
      <c r="Z485" s="92"/>
      <c r="AA485" s="146" t="s">
        <v>204</v>
      </c>
      <c r="AB485" s="92"/>
      <c r="AC485" s="146" t="s">
        <v>204</v>
      </c>
      <c r="AD485" s="92"/>
      <c r="AE485" s="146" t="s">
        <v>204</v>
      </c>
      <c r="AF485" s="187" t="str">
        <f t="shared" si="31"/>
        <v>C</v>
      </c>
      <c r="AG485" s="54" t="str">
        <f t="shared" si="30"/>
        <v>UTILIZOU O PDA CORRETAMENTE</v>
      </c>
      <c r="AH485" s="146" t="s">
        <v>204</v>
      </c>
      <c r="AI485" s="210" t="s">
        <v>6</v>
      </c>
      <c r="AJ485" s="97" t="str">
        <f t="shared" si="32"/>
        <v>GUARULHOS</v>
      </c>
      <c r="AK485" s="213" t="s">
        <v>39</v>
      </c>
      <c r="AL485" s="53">
        <v>-9.6799999999999997E-2</v>
      </c>
      <c r="AM485" s="53" t="str" cm="1">
        <f t="array" ref="AM485">IF(OR(O485&lt;&gt;"", SUMPRODUCT(($AN$2:$AN$5000=AN485)*($AL$2:$AL$5000&lt;=AL485)) &lt;= (COUNTIF($AN$2:$AN$5000,AN485)*0.5)), "SORTEADO", "-")</f>
        <v>SORTEADO</v>
      </c>
      <c r="AN485" s="231" t="s">
        <v>1301</v>
      </c>
    </row>
    <row r="486" spans="1:40" ht="30" customHeight="1" x14ac:dyDescent="0.2">
      <c r="A486" s="231" t="s">
        <v>197</v>
      </c>
      <c r="B486" s="231">
        <v>2615935393</v>
      </c>
      <c r="C486" s="231" t="s">
        <v>104</v>
      </c>
      <c r="D486" s="231" t="s">
        <v>80</v>
      </c>
      <c r="E486" s="231" t="s">
        <v>198</v>
      </c>
      <c r="F486" s="231" t="s">
        <v>1369</v>
      </c>
      <c r="G486" s="231">
        <v>250</v>
      </c>
      <c r="H486" s="231" t="s">
        <v>1370</v>
      </c>
      <c r="I486" s="231" t="s">
        <v>258</v>
      </c>
      <c r="J486" s="231" t="s">
        <v>226</v>
      </c>
      <c r="K486" s="231" t="s">
        <v>213</v>
      </c>
      <c r="L486" s="231" t="s">
        <v>1301</v>
      </c>
      <c r="M486" s="231" t="s">
        <v>1371</v>
      </c>
      <c r="N486" s="231" t="s">
        <v>303</v>
      </c>
      <c r="O486" s="158" t="s">
        <v>204</v>
      </c>
      <c r="P486" s="92"/>
      <c r="Q486" s="146" t="s">
        <v>204</v>
      </c>
      <c r="R486" s="92"/>
      <c r="S486" s="146" t="s">
        <v>204</v>
      </c>
      <c r="T486" s="92"/>
      <c r="U486" s="146" t="s">
        <v>204</v>
      </c>
      <c r="V486" s="92"/>
      <c r="W486" s="146" t="s">
        <v>204</v>
      </c>
      <c r="X486" s="92"/>
      <c r="Y486" s="146" t="s">
        <v>61</v>
      </c>
      <c r="Z486" s="92"/>
      <c r="AA486" s="146" t="s">
        <v>204</v>
      </c>
      <c r="AB486" s="92"/>
      <c r="AC486" s="146" t="s">
        <v>204</v>
      </c>
      <c r="AD486" s="92"/>
      <c r="AE486" s="146" t="s">
        <v>204</v>
      </c>
      <c r="AF486" s="187" t="str">
        <f t="shared" si="31"/>
        <v>C</v>
      </c>
      <c r="AG486" s="54" t="str">
        <f t="shared" si="30"/>
        <v>UTILIZOU O PDA CORRETAMENTE</v>
      </c>
      <c r="AH486" s="144" t="s">
        <v>204</v>
      </c>
      <c r="AI486" s="210" t="s">
        <v>6</v>
      </c>
      <c r="AJ486" s="97" t="str">
        <f t="shared" si="32"/>
        <v>GUARULHOS</v>
      </c>
      <c r="AK486" s="213" t="s">
        <v>39</v>
      </c>
      <c r="AL486" s="53">
        <v>0.31489630427661774</v>
      </c>
      <c r="AM486" s="53" t="str" cm="1">
        <f t="array" ref="AM486">IF(OR(O486&lt;&gt;"", SUMPRODUCT(($AN$2:$AN$5000=AN486)*($AL$2:$AL$5000&lt;=AL486)) &lt;= (COUNTIF($AN$2:$AN$5000,AN486)*0.5)), "SORTEADO", "-")</f>
        <v>SORTEADO</v>
      </c>
      <c r="AN486" s="231" t="s">
        <v>1301</v>
      </c>
    </row>
    <row r="487" spans="1:40" ht="30" hidden="1" customHeight="1" x14ac:dyDescent="0.2">
      <c r="A487" s="231" t="s">
        <v>197</v>
      </c>
      <c r="B487" s="231">
        <v>2615934498</v>
      </c>
      <c r="C487" s="231" t="s">
        <v>696</v>
      </c>
      <c r="D487" s="231" t="s">
        <v>79</v>
      </c>
      <c r="E487" s="231" t="s">
        <v>198</v>
      </c>
      <c r="F487" s="231" t="s">
        <v>946</v>
      </c>
      <c r="G487" s="231">
        <v>108</v>
      </c>
      <c r="H487" s="231"/>
      <c r="I487" s="231" t="s">
        <v>947</v>
      </c>
      <c r="J487" s="231" t="s">
        <v>698</v>
      </c>
      <c r="K487" s="238" t="s">
        <v>1372</v>
      </c>
      <c r="L487" s="231" t="s">
        <v>1301</v>
      </c>
      <c r="M487" s="231" t="s">
        <v>1373</v>
      </c>
      <c r="N487" s="231" t="s">
        <v>317</v>
      </c>
      <c r="O487" s="158" t="s">
        <v>61</v>
      </c>
      <c r="P487" s="92"/>
      <c r="Q487" s="146" t="s">
        <v>61</v>
      </c>
      <c r="R487" s="92"/>
      <c r="S487" s="146" t="s">
        <v>61</v>
      </c>
      <c r="T487" s="92"/>
      <c r="U487" s="146" t="s">
        <v>61</v>
      </c>
      <c r="V487" s="92"/>
      <c r="W487" s="146" t="s">
        <v>61</v>
      </c>
      <c r="X487" s="92"/>
      <c r="Y487" s="146" t="s">
        <v>61</v>
      </c>
      <c r="Z487" s="92"/>
      <c r="AA487" s="146" t="s">
        <v>61</v>
      </c>
      <c r="AB487" s="92"/>
      <c r="AC487" s="146" t="s">
        <v>61</v>
      </c>
      <c r="AD487" s="92"/>
      <c r="AE487" s="146" t="s">
        <v>61</v>
      </c>
      <c r="AF487" s="187" t="str">
        <f t="shared" si="31"/>
        <v>NA</v>
      </c>
      <c r="AG487" s="54" t="s">
        <v>311</v>
      </c>
      <c r="AH487" s="146" t="s">
        <v>204</v>
      </c>
      <c r="AI487" s="210" t="s">
        <v>6</v>
      </c>
      <c r="AJ487" s="97" t="str">
        <f t="shared" si="32"/>
        <v>GUARULHOS</v>
      </c>
      <c r="AK487" s="213" t="s">
        <v>39</v>
      </c>
      <c r="AL487" s="53">
        <v>-9.7199999999999995E-2</v>
      </c>
      <c r="AM487" s="53" t="str" cm="1">
        <f t="array" ref="AM487">IF(OR(O487&lt;&gt;"", SUMPRODUCT(($AN$2:$AN$5000=AN487)*($AL$2:$AL$5000&lt;=AL487)) &lt;= (COUNTIF($AN$2:$AN$5000,AN487)*0.5)), "SORTEADO", "-")</f>
        <v>SORTEADO</v>
      </c>
      <c r="AN487" s="231" t="s">
        <v>1301</v>
      </c>
    </row>
    <row r="488" spans="1:40" ht="30" hidden="1" customHeight="1" x14ac:dyDescent="0.2">
      <c r="A488" s="231" t="s">
        <v>197</v>
      </c>
      <c r="B488" s="231">
        <v>2615934669</v>
      </c>
      <c r="C488" s="231" t="s">
        <v>84</v>
      </c>
      <c r="D488" s="231" t="s">
        <v>79</v>
      </c>
      <c r="E488" s="231" t="s">
        <v>198</v>
      </c>
      <c r="F488" s="231" t="s">
        <v>1374</v>
      </c>
      <c r="G488" s="231">
        <v>164</v>
      </c>
      <c r="H488" s="231" t="s">
        <v>213</v>
      </c>
      <c r="I488" s="231" t="s">
        <v>947</v>
      </c>
      <c r="J488" s="231" t="s">
        <v>392</v>
      </c>
      <c r="K488" s="231" t="s">
        <v>1375</v>
      </c>
      <c r="L488" s="231" t="s">
        <v>1301</v>
      </c>
      <c r="M488" s="231" t="s">
        <v>1376</v>
      </c>
      <c r="N488" s="231" t="s">
        <v>317</v>
      </c>
      <c r="O488" s="158" t="s">
        <v>61</v>
      </c>
      <c r="P488" s="92"/>
      <c r="Q488" s="146" t="s">
        <v>61</v>
      </c>
      <c r="R488" s="92"/>
      <c r="S488" s="146" t="s">
        <v>61</v>
      </c>
      <c r="T488" s="92"/>
      <c r="U488" s="146" t="s">
        <v>61</v>
      </c>
      <c r="V488" s="92"/>
      <c r="W488" s="146" t="s">
        <v>61</v>
      </c>
      <c r="X488" s="92"/>
      <c r="Y488" s="146" t="s">
        <v>61</v>
      </c>
      <c r="Z488" s="92"/>
      <c r="AA488" s="146" t="s">
        <v>61</v>
      </c>
      <c r="AB488" s="92"/>
      <c r="AC488" s="146" t="s">
        <v>61</v>
      </c>
      <c r="AD488" s="92"/>
      <c r="AE488" s="146" t="s">
        <v>61</v>
      </c>
      <c r="AF488" s="187" t="str">
        <f t="shared" si="31"/>
        <v>NA</v>
      </c>
      <c r="AG488" s="54" t="str">
        <f>IF(AND(AE488="C",AF488="C"),"UTILIZOU O PDA CORRETAMENTE",IF(AND(AE488="C",AF488="NC"),"UTILIZOU O PDA CORRETAMENTE. NÃO HÁ FOTOS DE TODAS AS ETAPAS",IF(AND(AE488="NC",AF488="NC"),"NÃO UTILIZOU O PDA",IF(AND(AE488="NA",AF488="NA"),"NÃO AVALIADO POR FALHA DE SINCRONISMO"))))</f>
        <v>NÃO AVALIADO POR FALHA DE SINCRONISMO</v>
      </c>
      <c r="AH488" s="146" t="s">
        <v>204</v>
      </c>
      <c r="AI488" s="210" t="s">
        <v>6</v>
      </c>
      <c r="AJ488" s="97" t="str">
        <f t="shared" si="32"/>
        <v>GUARULHOS</v>
      </c>
      <c r="AK488" s="213" t="s">
        <v>39</v>
      </c>
      <c r="AL488" s="53">
        <v>-9.74E-2</v>
      </c>
      <c r="AM488" s="53" t="str" cm="1">
        <f t="array" ref="AM488">IF(OR(O488&lt;&gt;"", SUMPRODUCT(($AN$2:$AN$5000=AN488)*($AL$2:$AL$5000&lt;=AL488)) &lt;= (COUNTIF($AN$2:$AN$5000,AN488)*0.5)), "SORTEADO", "-")</f>
        <v>SORTEADO</v>
      </c>
      <c r="AN488" s="231" t="s">
        <v>1301</v>
      </c>
    </row>
    <row r="489" spans="1:40" ht="30" hidden="1" customHeight="1" x14ac:dyDescent="0.2">
      <c r="A489" s="231" t="s">
        <v>197</v>
      </c>
      <c r="B489" s="231">
        <v>2615880318</v>
      </c>
      <c r="C489" s="231" t="s">
        <v>696</v>
      </c>
      <c r="D489" s="231" t="s">
        <v>79</v>
      </c>
      <c r="E489" s="231" t="s">
        <v>198</v>
      </c>
      <c r="F489" s="231" t="s">
        <v>1377</v>
      </c>
      <c r="G489" s="231">
        <v>15</v>
      </c>
      <c r="H489" s="231"/>
      <c r="I489" s="231" t="s">
        <v>200</v>
      </c>
      <c r="J489" s="231" t="s">
        <v>698</v>
      </c>
      <c r="K489" s="238" t="s">
        <v>1378</v>
      </c>
      <c r="L489" s="231" t="s">
        <v>1301</v>
      </c>
      <c r="M489" s="231" t="s">
        <v>1379</v>
      </c>
      <c r="N489" s="231" t="s">
        <v>317</v>
      </c>
      <c r="O489" s="158" t="s">
        <v>61</v>
      </c>
      <c r="P489" s="92"/>
      <c r="Q489" s="146" t="s">
        <v>61</v>
      </c>
      <c r="R489" s="92"/>
      <c r="S489" s="146" t="s">
        <v>61</v>
      </c>
      <c r="T489" s="92"/>
      <c r="U489" s="146" t="s">
        <v>61</v>
      </c>
      <c r="V489" s="92"/>
      <c r="W489" s="146" t="s">
        <v>61</v>
      </c>
      <c r="X489" s="92"/>
      <c r="Y489" s="146" t="s">
        <v>61</v>
      </c>
      <c r="Z489" s="92"/>
      <c r="AA489" s="146" t="s">
        <v>61</v>
      </c>
      <c r="AB489" s="92"/>
      <c r="AC489" s="146" t="s">
        <v>61</v>
      </c>
      <c r="AD489" s="92"/>
      <c r="AE489" s="146" t="s">
        <v>61</v>
      </c>
      <c r="AF489" s="187" t="str">
        <f t="shared" si="31"/>
        <v>NA</v>
      </c>
      <c r="AG489" s="54" t="s">
        <v>311</v>
      </c>
      <c r="AH489" s="146" t="s">
        <v>204</v>
      </c>
      <c r="AI489" s="210" t="s">
        <v>6</v>
      </c>
      <c r="AJ489" s="97" t="str">
        <f t="shared" si="32"/>
        <v>GUARULHOS</v>
      </c>
      <c r="AK489" s="213" t="s">
        <v>39</v>
      </c>
      <c r="AL489" s="53">
        <v>-9.7600000000000006E-2</v>
      </c>
      <c r="AM489" s="53" t="str" cm="1">
        <f t="array" ref="AM489">IF(OR(O489&lt;&gt;"", SUMPRODUCT(($AN$2:$AN$5000=AN489)*($AL$2:$AL$5000&lt;=AL489)) &lt;= (COUNTIF($AN$2:$AN$5000,AN489)*0.5)), "SORTEADO", "-")</f>
        <v>SORTEADO</v>
      </c>
      <c r="AN489" s="231" t="s">
        <v>1301</v>
      </c>
    </row>
    <row r="490" spans="1:40" ht="30" hidden="1" customHeight="1" x14ac:dyDescent="0.2">
      <c r="A490" s="231" t="s">
        <v>197</v>
      </c>
      <c r="B490" s="231">
        <v>2615933714</v>
      </c>
      <c r="C490" s="231" t="s">
        <v>84</v>
      </c>
      <c r="D490" s="231" t="s">
        <v>79</v>
      </c>
      <c r="E490" s="231" t="s">
        <v>198</v>
      </c>
      <c r="F490" s="231" t="s">
        <v>946</v>
      </c>
      <c r="G490" s="231">
        <v>108</v>
      </c>
      <c r="H490" s="231" t="s">
        <v>213</v>
      </c>
      <c r="I490" s="231" t="s">
        <v>947</v>
      </c>
      <c r="J490" s="231" t="s">
        <v>392</v>
      </c>
      <c r="K490" s="231" t="s">
        <v>213</v>
      </c>
      <c r="L490" s="231" t="s">
        <v>1301</v>
      </c>
      <c r="M490" s="231" t="s">
        <v>1380</v>
      </c>
      <c r="N490" s="231" t="s">
        <v>317</v>
      </c>
      <c r="O490" s="158" t="s">
        <v>61</v>
      </c>
      <c r="P490" s="92"/>
      <c r="Q490" s="146" t="s">
        <v>61</v>
      </c>
      <c r="R490" s="92"/>
      <c r="S490" s="146" t="s">
        <v>61</v>
      </c>
      <c r="T490" s="92"/>
      <c r="U490" s="146" t="s">
        <v>61</v>
      </c>
      <c r="V490" s="92"/>
      <c r="W490" s="146" t="s">
        <v>61</v>
      </c>
      <c r="X490" s="92"/>
      <c r="Y490" s="146" t="s">
        <v>61</v>
      </c>
      <c r="Z490" s="92"/>
      <c r="AA490" s="146" t="s">
        <v>61</v>
      </c>
      <c r="AB490" s="92"/>
      <c r="AC490" s="146" t="s">
        <v>61</v>
      </c>
      <c r="AD490" s="92"/>
      <c r="AE490" s="146" t="s">
        <v>61</v>
      </c>
      <c r="AF490" s="187" t="str">
        <f t="shared" si="31"/>
        <v>NA</v>
      </c>
      <c r="AG490" s="54" t="str">
        <f>IF(AND(AE490="C",AF490="C"),"UTILIZOU O PDA CORRETAMENTE",IF(AND(AE490="C",AF490="NC"),"UTILIZOU O PDA CORRETAMENTE. NÃO HÁ FOTOS DE TODAS AS ETAPAS",IF(AND(AE490="NC",AF490="NC"),"NÃO UTILIZOU O PDA",IF(AND(AE490="NA",AF490="NA"),"NÃO AVALIADO POR FALHA DE SINCRONISMO"))))</f>
        <v>NÃO AVALIADO POR FALHA DE SINCRONISMO</v>
      </c>
      <c r="AH490" s="146" t="s">
        <v>204</v>
      </c>
      <c r="AI490" s="210" t="s">
        <v>6</v>
      </c>
      <c r="AJ490" s="97" t="str">
        <f t="shared" si="32"/>
        <v>GUARULHOS</v>
      </c>
      <c r="AK490" s="213" t="s">
        <v>39</v>
      </c>
      <c r="AL490" s="53">
        <v>-9.7799999999999998E-2</v>
      </c>
      <c r="AM490" s="53" t="str" cm="1">
        <f t="array" ref="AM490">IF(OR(O490&lt;&gt;"", SUMPRODUCT(($AN$2:$AN$5000=AN490)*($AL$2:$AL$5000&lt;=AL490)) &lt;= (COUNTIF($AN$2:$AN$5000,AN490)*0.5)), "SORTEADO", "-")</f>
        <v>SORTEADO</v>
      </c>
      <c r="AN490" s="231" t="s">
        <v>1301</v>
      </c>
    </row>
    <row r="491" spans="1:40" ht="30" hidden="1" customHeight="1" x14ac:dyDescent="0.2">
      <c r="A491" s="231" t="s">
        <v>197</v>
      </c>
      <c r="B491" s="231">
        <v>2615935879</v>
      </c>
      <c r="C491" s="231" t="s">
        <v>84</v>
      </c>
      <c r="D491" s="231" t="s">
        <v>79</v>
      </c>
      <c r="E491" s="231" t="s">
        <v>198</v>
      </c>
      <c r="F491" s="231" t="s">
        <v>1377</v>
      </c>
      <c r="G491" s="231">
        <v>15</v>
      </c>
      <c r="H491" s="231"/>
      <c r="I491" s="231" t="s">
        <v>200</v>
      </c>
      <c r="J491" s="231" t="s">
        <v>392</v>
      </c>
      <c r="K491" s="238" t="s">
        <v>1381</v>
      </c>
      <c r="L491" s="231" t="s">
        <v>1301</v>
      </c>
      <c r="M491" s="231" t="s">
        <v>1382</v>
      </c>
      <c r="N491" s="231" t="s">
        <v>317</v>
      </c>
      <c r="O491" s="158" t="s">
        <v>61</v>
      </c>
      <c r="P491" s="92"/>
      <c r="Q491" s="146" t="s">
        <v>61</v>
      </c>
      <c r="R491" s="92"/>
      <c r="S491" s="146" t="s">
        <v>61</v>
      </c>
      <c r="T491" s="92"/>
      <c r="U491" s="146" t="s">
        <v>61</v>
      </c>
      <c r="V491" s="92"/>
      <c r="W491" s="146" t="s">
        <v>61</v>
      </c>
      <c r="X491" s="92"/>
      <c r="Y491" s="146" t="s">
        <v>61</v>
      </c>
      <c r="Z491" s="92"/>
      <c r="AA491" s="146" t="s">
        <v>61</v>
      </c>
      <c r="AB491" s="92"/>
      <c r="AC491" s="146" t="s">
        <v>61</v>
      </c>
      <c r="AD491" s="92"/>
      <c r="AE491" s="146" t="s">
        <v>61</v>
      </c>
      <c r="AF491" s="187" t="str">
        <f t="shared" si="31"/>
        <v>NA</v>
      </c>
      <c r="AG491" s="54" t="str">
        <f>IF(AND(AE491="C",AF491="C"),"UTILIZOU O PDA CORRETAMENTE",IF(AND(AE491="C",AF491="NC"),"UTILIZOU O PDA CORRETAMENTE. NÃO HÁ FOTOS DE TODAS AS ETAPAS",IF(AND(AE491="NC",AF491="NC"),"NÃO UTILIZOU O PDA",IF(AND(AE491="NA",AF491="NA"),"NÃO AVALIADO POR FALHA DE SINCRONISMO"))))</f>
        <v>NÃO AVALIADO POR FALHA DE SINCRONISMO</v>
      </c>
      <c r="AH491" s="146" t="s">
        <v>204</v>
      </c>
      <c r="AI491" s="210" t="s">
        <v>6</v>
      </c>
      <c r="AJ491" s="97" t="str">
        <f t="shared" si="32"/>
        <v>GUARULHOS</v>
      </c>
      <c r="AK491" s="213" t="s">
        <v>39</v>
      </c>
      <c r="AL491" s="53">
        <v>-9.8000000000000004E-2</v>
      </c>
      <c r="AM491" s="53" t="str" cm="1">
        <f t="array" ref="AM491">IF(OR(O491&lt;&gt;"", SUMPRODUCT(($AN$2:$AN$5000=AN491)*($AL$2:$AL$5000&lt;=AL491)) &lt;= (COUNTIF($AN$2:$AN$5000,AN491)*0.5)), "SORTEADO", "-")</f>
        <v>SORTEADO</v>
      </c>
      <c r="AN491" s="231" t="s">
        <v>1301</v>
      </c>
    </row>
    <row r="492" spans="1:40" ht="30" hidden="1" customHeight="1" x14ac:dyDescent="0.2">
      <c r="A492" s="231" t="s">
        <v>197</v>
      </c>
      <c r="B492" s="231">
        <v>2615934567</v>
      </c>
      <c r="C492" s="231" t="s">
        <v>696</v>
      </c>
      <c r="D492" s="231" t="s">
        <v>79</v>
      </c>
      <c r="E492" s="231" t="s">
        <v>198</v>
      </c>
      <c r="F492" s="231" t="s">
        <v>1383</v>
      </c>
      <c r="G492" s="231">
        <v>11</v>
      </c>
      <c r="H492" s="231" t="s">
        <v>217</v>
      </c>
      <c r="I492" s="231" t="s">
        <v>947</v>
      </c>
      <c r="J492" s="231" t="s">
        <v>698</v>
      </c>
      <c r="K492" s="238" t="s">
        <v>1384</v>
      </c>
      <c r="L492" s="231" t="s">
        <v>1301</v>
      </c>
      <c r="M492" s="231" t="s">
        <v>1385</v>
      </c>
      <c r="N492" s="231" t="s">
        <v>317</v>
      </c>
      <c r="O492" s="158" t="s">
        <v>61</v>
      </c>
      <c r="P492" s="92"/>
      <c r="Q492" s="146" t="s">
        <v>61</v>
      </c>
      <c r="R492" s="92"/>
      <c r="S492" s="146" t="s">
        <v>61</v>
      </c>
      <c r="T492" s="92"/>
      <c r="U492" s="146" t="s">
        <v>61</v>
      </c>
      <c r="V492" s="92"/>
      <c r="W492" s="146" t="s">
        <v>61</v>
      </c>
      <c r="X492" s="92"/>
      <c r="Y492" s="146" t="s">
        <v>61</v>
      </c>
      <c r="Z492" s="92"/>
      <c r="AA492" s="146" t="s">
        <v>61</v>
      </c>
      <c r="AB492" s="92"/>
      <c r="AC492" s="146" t="s">
        <v>61</v>
      </c>
      <c r="AD492" s="92"/>
      <c r="AE492" s="146" t="s">
        <v>61</v>
      </c>
      <c r="AF492" s="187" t="str">
        <f t="shared" si="31"/>
        <v>NA</v>
      </c>
      <c r="AG492" s="54" t="s">
        <v>311</v>
      </c>
      <c r="AH492" s="146" t="s">
        <v>204</v>
      </c>
      <c r="AI492" s="210" t="s">
        <v>6</v>
      </c>
      <c r="AJ492" s="97" t="str">
        <f t="shared" si="32"/>
        <v>GUARULHOS</v>
      </c>
      <c r="AK492" s="213" t="s">
        <v>39</v>
      </c>
      <c r="AL492" s="53">
        <v>-9.8199999999999996E-2</v>
      </c>
      <c r="AM492" s="53" t="str" cm="1">
        <f t="array" ref="AM492">IF(OR(O492&lt;&gt;"", SUMPRODUCT(($AN$2:$AN$5000=AN492)*($AL$2:$AL$5000&lt;=AL492)) &lt;= (COUNTIF($AN$2:$AN$5000,AN492)*0.5)), "SORTEADO", "-")</f>
        <v>SORTEADO</v>
      </c>
      <c r="AN492" s="231" t="s">
        <v>1301</v>
      </c>
    </row>
    <row r="493" spans="1:40" ht="30" hidden="1" customHeight="1" x14ac:dyDescent="0.2">
      <c r="A493" s="231" t="s">
        <v>197</v>
      </c>
      <c r="B493" s="231">
        <v>2615934797</v>
      </c>
      <c r="C493" s="231" t="s">
        <v>696</v>
      </c>
      <c r="D493" s="231" t="s">
        <v>79</v>
      </c>
      <c r="E493" s="231" t="s">
        <v>198</v>
      </c>
      <c r="F493" s="231" t="s">
        <v>1374</v>
      </c>
      <c r="G493" s="231">
        <v>164</v>
      </c>
      <c r="H493" s="231"/>
      <c r="I493" s="231" t="s">
        <v>947</v>
      </c>
      <c r="J493" s="231" t="s">
        <v>698</v>
      </c>
      <c r="K493" s="238" t="s">
        <v>1386</v>
      </c>
      <c r="L493" s="231" t="s">
        <v>1301</v>
      </c>
      <c r="M493" s="231" t="s">
        <v>1387</v>
      </c>
      <c r="N493" s="231" t="s">
        <v>317</v>
      </c>
      <c r="O493" s="158" t="s">
        <v>61</v>
      </c>
      <c r="P493" s="92"/>
      <c r="Q493" s="146" t="s">
        <v>61</v>
      </c>
      <c r="R493" s="92"/>
      <c r="S493" s="146" t="s">
        <v>61</v>
      </c>
      <c r="T493" s="92"/>
      <c r="U493" s="146" t="s">
        <v>61</v>
      </c>
      <c r="V493" s="92"/>
      <c r="W493" s="146" t="s">
        <v>61</v>
      </c>
      <c r="X493" s="92"/>
      <c r="Y493" s="146" t="s">
        <v>61</v>
      </c>
      <c r="Z493" s="92"/>
      <c r="AA493" s="146" t="s">
        <v>61</v>
      </c>
      <c r="AB493" s="92"/>
      <c r="AC493" s="146" t="s">
        <v>61</v>
      </c>
      <c r="AD493" s="92"/>
      <c r="AE493" s="146" t="s">
        <v>61</v>
      </c>
      <c r="AF493" s="187" t="str">
        <f t="shared" si="31"/>
        <v>NA</v>
      </c>
      <c r="AG493" s="54" t="s">
        <v>311</v>
      </c>
      <c r="AH493" s="146" t="s">
        <v>204</v>
      </c>
      <c r="AI493" s="210" t="s">
        <v>6</v>
      </c>
      <c r="AJ493" s="97" t="str">
        <f t="shared" si="32"/>
        <v>GUARULHOS</v>
      </c>
      <c r="AK493" s="213" t="s">
        <v>39</v>
      </c>
      <c r="AL493" s="53">
        <v>-9.8400000000000001E-2</v>
      </c>
      <c r="AM493" s="53" t="str" cm="1">
        <f t="array" ref="AM493">IF(OR(O493&lt;&gt;"", SUMPRODUCT(($AN$2:$AN$5000=AN493)*($AL$2:$AL$5000&lt;=AL493)) &lt;= (COUNTIF($AN$2:$AN$5000,AN493)*0.5)), "SORTEADO", "-")</f>
        <v>SORTEADO</v>
      </c>
      <c r="AN493" s="231" t="s">
        <v>1301</v>
      </c>
    </row>
    <row r="494" spans="1:40" ht="30" hidden="1" customHeight="1" x14ac:dyDescent="0.2">
      <c r="A494" s="231" t="s">
        <v>197</v>
      </c>
      <c r="B494" s="231">
        <v>2615914156</v>
      </c>
      <c r="C494" s="231" t="s">
        <v>100</v>
      </c>
      <c r="D494" s="231" t="s">
        <v>78</v>
      </c>
      <c r="E494" s="231" t="s">
        <v>198</v>
      </c>
      <c r="F494" s="231" t="s">
        <v>361</v>
      </c>
      <c r="G494" s="231">
        <v>26</v>
      </c>
      <c r="H494" s="231" t="s">
        <v>1388</v>
      </c>
      <c r="I494" s="231" t="s">
        <v>363</v>
      </c>
      <c r="J494" s="231" t="s">
        <v>248</v>
      </c>
      <c r="K494" s="231" t="s">
        <v>1389</v>
      </c>
      <c r="L494" s="231" t="s">
        <v>1301</v>
      </c>
      <c r="M494" s="231" t="s">
        <v>1390</v>
      </c>
      <c r="N494" s="231" t="s">
        <v>615</v>
      </c>
      <c r="O494" s="158"/>
      <c r="P494" s="92"/>
      <c r="Q494" s="146"/>
      <c r="R494" s="92"/>
      <c r="S494" s="146"/>
      <c r="T494" s="92"/>
      <c r="U494" s="146"/>
      <c r="V494" s="92"/>
      <c r="W494" s="146"/>
      <c r="X494" s="92"/>
      <c r="Y494" s="146"/>
      <c r="Z494" s="92"/>
      <c r="AA494" s="146"/>
      <c r="AB494" s="92"/>
      <c r="AC494" s="146"/>
      <c r="AD494" s="92"/>
      <c r="AE494" s="146"/>
      <c r="AF494" s="187" t="str">
        <f t="shared" si="31"/>
        <v/>
      </c>
      <c r="AG494" s="54" t="b">
        <f t="shared" ref="AG494:AG501" si="33">IF(AND(AE494="C",AF494="C"),"UTILIZOU O PDA CORRETAMENTE",IF(AND(AE494="C",AF494="NC"),"UTILIZOU O PDA CORRETAMENTE. NÃO HÁ FOTOS DE TODAS AS ETAPAS",IF(AND(AE494="NC",AF494="NC"),"NÃO UTILIZOU O PDA",IF(AND(AE494="NA",AF494="NA"),"NÃO AVALIADO POR FALHA DE SINCRONISMO"))))</f>
        <v>0</v>
      </c>
      <c r="AH494" s="146"/>
      <c r="AI494" s="210" t="s">
        <v>6</v>
      </c>
      <c r="AJ494" s="97" t="str">
        <f t="shared" si="32"/>
        <v>GUARULHOS</v>
      </c>
      <c r="AK494" s="213" t="s">
        <v>39</v>
      </c>
      <c r="AL494" s="53">
        <v>0.68327445754836313</v>
      </c>
      <c r="AM494" s="53" t="str" cm="1">
        <f t="array" ref="AM494">IF(OR(O494&lt;&gt;"", SUMPRODUCT(($AN$2:$AN$5000=AN494)*($AL$2:$AL$5000&lt;=AL494)) &lt;= (COUNTIF($AN$2:$AN$5000,AN494)*0.5)), "SORTEADO", "-")</f>
        <v>-</v>
      </c>
      <c r="AN494" s="231" t="s">
        <v>1301</v>
      </c>
    </row>
    <row r="495" spans="1:40" ht="30" hidden="1" customHeight="1" x14ac:dyDescent="0.2">
      <c r="A495" s="231" t="s">
        <v>197</v>
      </c>
      <c r="B495" s="231">
        <v>2690757384</v>
      </c>
      <c r="C495" s="231" t="s">
        <v>102</v>
      </c>
      <c r="D495" s="231" t="s">
        <v>80</v>
      </c>
      <c r="E495" s="231" t="s">
        <v>198</v>
      </c>
      <c r="F495" s="231" t="s">
        <v>1391</v>
      </c>
      <c r="G495" s="231">
        <v>39</v>
      </c>
      <c r="H495" s="231" t="s">
        <v>206</v>
      </c>
      <c r="I495" s="231" t="s">
        <v>200</v>
      </c>
      <c r="J495" s="231" t="s">
        <v>270</v>
      </c>
      <c r="K495" s="231"/>
      <c r="L495" s="231" t="s">
        <v>1301</v>
      </c>
      <c r="M495" s="231" t="s">
        <v>1392</v>
      </c>
      <c r="N495" s="231" t="s">
        <v>244</v>
      </c>
      <c r="O495" s="158"/>
      <c r="P495" s="92"/>
      <c r="Q495" s="146"/>
      <c r="R495" s="92"/>
      <c r="S495" s="146"/>
      <c r="T495" s="92"/>
      <c r="U495" s="146"/>
      <c r="V495" s="92"/>
      <c r="W495" s="146"/>
      <c r="X495" s="92"/>
      <c r="Y495" s="146"/>
      <c r="Z495" s="92"/>
      <c r="AA495" s="146"/>
      <c r="AB495" s="92"/>
      <c r="AC495" s="146"/>
      <c r="AD495" s="92"/>
      <c r="AE495" s="146"/>
      <c r="AF495" s="187" t="str">
        <f t="shared" si="31"/>
        <v/>
      </c>
      <c r="AG495" s="54" t="b">
        <f t="shared" si="33"/>
        <v>0</v>
      </c>
      <c r="AH495" s="146"/>
      <c r="AI495" s="210" t="s">
        <v>6</v>
      </c>
      <c r="AJ495" s="97" t="str">
        <f t="shared" si="32"/>
        <v>GUARULHOS</v>
      </c>
      <c r="AK495" s="213" t="s">
        <v>39</v>
      </c>
      <c r="AL495" s="53">
        <v>0.93252193223448632</v>
      </c>
      <c r="AM495" s="53" t="str" cm="1">
        <f t="array" ref="AM495">IF(OR(O495&lt;&gt;"", SUMPRODUCT(($AN$2:$AN$5000=AN495)*($AL$2:$AL$5000&lt;=AL495)) &lt;= (COUNTIF($AN$2:$AN$5000,AN495)*0.5)), "SORTEADO", "-")</f>
        <v>-</v>
      </c>
      <c r="AN495" s="231" t="s">
        <v>1301</v>
      </c>
    </row>
    <row r="496" spans="1:40" ht="30" hidden="1" customHeight="1" x14ac:dyDescent="0.2">
      <c r="A496" s="231" t="s">
        <v>197</v>
      </c>
      <c r="B496" s="231">
        <v>2616166473</v>
      </c>
      <c r="C496" s="231" t="s">
        <v>105</v>
      </c>
      <c r="D496" s="231" t="s">
        <v>80</v>
      </c>
      <c r="E496" s="231" t="s">
        <v>198</v>
      </c>
      <c r="F496" s="231" t="s">
        <v>1253</v>
      </c>
      <c r="G496" s="231">
        <v>192</v>
      </c>
      <c r="H496" s="231"/>
      <c r="I496" s="231" t="s">
        <v>692</v>
      </c>
      <c r="J496" s="231" t="s">
        <v>226</v>
      </c>
      <c r="K496" s="231" t="s">
        <v>1393</v>
      </c>
      <c r="L496" s="231" t="s">
        <v>1301</v>
      </c>
      <c r="M496" s="231" t="s">
        <v>1394</v>
      </c>
      <c r="N496" s="231" t="s">
        <v>241</v>
      </c>
      <c r="O496" s="158"/>
      <c r="P496" s="92"/>
      <c r="Q496" s="146"/>
      <c r="R496" s="92"/>
      <c r="S496" s="146"/>
      <c r="T496" s="92"/>
      <c r="U496" s="146"/>
      <c r="V496" s="92"/>
      <c r="W496" s="146"/>
      <c r="X496" s="92"/>
      <c r="Y496" s="146"/>
      <c r="Z496" s="92"/>
      <c r="AA496" s="146"/>
      <c r="AB496" s="92"/>
      <c r="AC496" s="146"/>
      <c r="AD496" s="92"/>
      <c r="AE496" s="146"/>
      <c r="AF496" s="187" t="str">
        <f t="shared" si="31"/>
        <v/>
      </c>
      <c r="AG496" s="54" t="b">
        <f t="shared" si="33"/>
        <v>0</v>
      </c>
      <c r="AH496" s="146"/>
      <c r="AI496" s="210" t="s">
        <v>6</v>
      </c>
      <c r="AJ496" s="97" t="str">
        <f t="shared" si="32"/>
        <v>GUARULHOS</v>
      </c>
      <c r="AK496" s="213" t="s">
        <v>39</v>
      </c>
      <c r="AL496" s="53">
        <v>0.72508363336007775</v>
      </c>
      <c r="AM496" s="53" t="str" cm="1">
        <f t="array" ref="AM496">IF(OR(O496&lt;&gt;"", SUMPRODUCT(($AN$2:$AN$5000=AN496)*($AL$2:$AL$5000&lt;=AL496)) &lt;= (COUNTIF($AN$2:$AN$5000,AN496)*0.5)), "SORTEADO", "-")</f>
        <v>-</v>
      </c>
      <c r="AN496" s="231" t="s">
        <v>1301</v>
      </c>
    </row>
    <row r="497" spans="1:40" ht="30" hidden="1" customHeight="1" x14ac:dyDescent="0.2">
      <c r="A497" s="231" t="s">
        <v>197</v>
      </c>
      <c r="B497" s="231">
        <v>2616165271</v>
      </c>
      <c r="C497" s="231" t="s">
        <v>105</v>
      </c>
      <c r="D497" s="231" t="s">
        <v>80</v>
      </c>
      <c r="E497" s="231" t="s">
        <v>198</v>
      </c>
      <c r="F497" s="231" t="s">
        <v>1395</v>
      </c>
      <c r="G497" s="231">
        <v>660</v>
      </c>
      <c r="H497" s="231" t="s">
        <v>1396</v>
      </c>
      <c r="I497" s="231" t="s">
        <v>1397</v>
      </c>
      <c r="J497" s="231" t="s">
        <v>226</v>
      </c>
      <c r="K497" s="231" t="s">
        <v>1398</v>
      </c>
      <c r="L497" s="231" t="s">
        <v>1301</v>
      </c>
      <c r="M497" s="231" t="s">
        <v>1399</v>
      </c>
      <c r="N497" s="231" t="s">
        <v>615</v>
      </c>
      <c r="O497" s="158"/>
      <c r="P497" s="92"/>
      <c r="Q497" s="146"/>
      <c r="R497" s="92"/>
      <c r="S497" s="146"/>
      <c r="T497" s="92"/>
      <c r="U497" s="146"/>
      <c r="V497" s="92"/>
      <c r="W497" s="146"/>
      <c r="X497" s="92"/>
      <c r="Y497" s="146"/>
      <c r="Z497" s="92"/>
      <c r="AA497" s="146"/>
      <c r="AB497" s="92"/>
      <c r="AC497" s="146"/>
      <c r="AD497" s="92"/>
      <c r="AE497" s="146"/>
      <c r="AF497" s="187" t="str">
        <f t="shared" si="31"/>
        <v/>
      </c>
      <c r="AG497" s="54" t="b">
        <f t="shared" si="33"/>
        <v>0</v>
      </c>
      <c r="AH497" s="146"/>
      <c r="AI497" s="210" t="s">
        <v>6</v>
      </c>
      <c r="AJ497" s="97" t="str">
        <f t="shared" si="32"/>
        <v>GUARULHOS</v>
      </c>
      <c r="AK497" s="213" t="s">
        <v>39</v>
      </c>
      <c r="AL497" s="53">
        <v>0.50656107437186693</v>
      </c>
      <c r="AM497" s="53" t="str" cm="1">
        <f t="array" ref="AM497">IF(OR(O497&lt;&gt;"", SUMPRODUCT(($AN$2:$AN$5000=AN497)*($AL$2:$AL$5000&lt;=AL497)) &lt;= (COUNTIF($AN$2:$AN$5000,AN497)*0.5)), "SORTEADO", "-")</f>
        <v>-</v>
      </c>
      <c r="AN497" s="231" t="s">
        <v>1301</v>
      </c>
    </row>
    <row r="498" spans="1:40" ht="30" customHeight="1" x14ac:dyDescent="0.2">
      <c r="A498" s="231" t="s">
        <v>197</v>
      </c>
      <c r="B498" s="231">
        <v>2616164736</v>
      </c>
      <c r="C498" s="231" t="s">
        <v>105</v>
      </c>
      <c r="D498" s="231" t="s">
        <v>80</v>
      </c>
      <c r="E498" s="231" t="s">
        <v>198</v>
      </c>
      <c r="F498" s="231" t="s">
        <v>1400</v>
      </c>
      <c r="G498" s="231">
        <v>26</v>
      </c>
      <c r="H498" s="231" t="s">
        <v>1401</v>
      </c>
      <c r="I498" s="231" t="s">
        <v>214</v>
      </c>
      <c r="J498" s="231" t="s">
        <v>226</v>
      </c>
      <c r="K498" s="231" t="s">
        <v>1402</v>
      </c>
      <c r="L498" s="231" t="s">
        <v>1301</v>
      </c>
      <c r="M498" s="231" t="s">
        <v>1403</v>
      </c>
      <c r="N498" s="231" t="s">
        <v>244</v>
      </c>
      <c r="O498" s="158" t="s">
        <v>204</v>
      </c>
      <c r="P498" s="92"/>
      <c r="Q498" s="146" t="s">
        <v>204</v>
      </c>
      <c r="R498" s="92"/>
      <c r="S498" s="146" t="s">
        <v>204</v>
      </c>
      <c r="T498" s="92"/>
      <c r="U498" s="146" t="s">
        <v>204</v>
      </c>
      <c r="V498" s="92"/>
      <c r="W498" s="146" t="s">
        <v>204</v>
      </c>
      <c r="X498" s="92"/>
      <c r="Y498" s="146" t="s">
        <v>61</v>
      </c>
      <c r="Z498" s="92"/>
      <c r="AA498" s="146" t="s">
        <v>204</v>
      </c>
      <c r="AB498" s="92"/>
      <c r="AC498" s="146" t="s">
        <v>204</v>
      </c>
      <c r="AD498" s="92"/>
      <c r="AE498" s="146" t="s">
        <v>204</v>
      </c>
      <c r="AF498" s="187" t="str">
        <f t="shared" si="31"/>
        <v>C</v>
      </c>
      <c r="AG498" s="54" t="str">
        <f t="shared" si="33"/>
        <v>UTILIZOU O PDA CORRETAMENTE</v>
      </c>
      <c r="AH498" s="144" t="s">
        <v>204</v>
      </c>
      <c r="AI498" s="210" t="s">
        <v>6</v>
      </c>
      <c r="AJ498" s="97" t="str">
        <f t="shared" si="32"/>
        <v>GUARULHOS</v>
      </c>
      <c r="AK498" s="213" t="s">
        <v>39</v>
      </c>
      <c r="AL498" s="53">
        <v>6.2346508254824351E-2</v>
      </c>
      <c r="AM498" s="53" t="str" cm="1">
        <f t="array" ref="AM498">IF(OR(O498&lt;&gt;"", SUMPRODUCT(($AN$2:$AN$5000=AN498)*($AL$2:$AL$5000&lt;=AL498)) &lt;= (COUNTIF($AN$2:$AN$5000,AN498)*0.5)), "SORTEADO", "-")</f>
        <v>SORTEADO</v>
      </c>
      <c r="AN498" s="231" t="s">
        <v>1301</v>
      </c>
    </row>
    <row r="499" spans="1:40" ht="30" customHeight="1" x14ac:dyDescent="0.2">
      <c r="A499" s="231" t="s">
        <v>197</v>
      </c>
      <c r="B499" s="231">
        <v>2616172379</v>
      </c>
      <c r="C499" s="231" t="s">
        <v>100</v>
      </c>
      <c r="D499" s="231" t="s">
        <v>78</v>
      </c>
      <c r="E499" s="231" t="s">
        <v>198</v>
      </c>
      <c r="F499" s="231" t="s">
        <v>1404</v>
      </c>
      <c r="G499" s="231">
        <v>90</v>
      </c>
      <c r="H499" s="231" t="s">
        <v>213</v>
      </c>
      <c r="I499" s="231" t="s">
        <v>335</v>
      </c>
      <c r="J499" s="231" t="s">
        <v>248</v>
      </c>
      <c r="K499" s="231" t="s">
        <v>1405</v>
      </c>
      <c r="L499" s="231" t="s">
        <v>1301</v>
      </c>
      <c r="M499" s="231" t="s">
        <v>1406</v>
      </c>
      <c r="N499" s="231" t="s">
        <v>241</v>
      </c>
      <c r="O499" s="157" t="s">
        <v>204</v>
      </c>
      <c r="P499" s="143"/>
      <c r="Q499" s="144" t="s">
        <v>204</v>
      </c>
      <c r="R499" s="143"/>
      <c r="S499" s="144" t="s">
        <v>204</v>
      </c>
      <c r="T499" s="143"/>
      <c r="U499" s="144" t="s">
        <v>204</v>
      </c>
      <c r="V499" s="143"/>
      <c r="W499" s="144" t="s">
        <v>204</v>
      </c>
      <c r="X499" s="143"/>
      <c r="Y499" s="144" t="s">
        <v>204</v>
      </c>
      <c r="Z499" s="143"/>
      <c r="AA499" s="144" t="s">
        <v>204</v>
      </c>
      <c r="AB499" s="143"/>
      <c r="AC499" s="144" t="s">
        <v>204</v>
      </c>
      <c r="AD499" s="56"/>
      <c r="AE499" s="144" t="s">
        <v>204</v>
      </c>
      <c r="AF499" s="187" t="str">
        <f t="shared" si="31"/>
        <v>C</v>
      </c>
      <c r="AG499" s="54" t="str">
        <f t="shared" si="33"/>
        <v>UTILIZOU O PDA CORRETAMENTE</v>
      </c>
      <c r="AH499" s="144" t="s">
        <v>204</v>
      </c>
      <c r="AI499" s="210" t="s">
        <v>6</v>
      </c>
      <c r="AJ499" s="97" t="str">
        <f t="shared" si="32"/>
        <v>GUARULHOS</v>
      </c>
      <c r="AK499" s="213" t="s">
        <v>39</v>
      </c>
      <c r="AL499" s="53">
        <v>0.1558606834919688</v>
      </c>
      <c r="AM499" s="53" t="str" cm="1">
        <f t="array" ref="AM499">IF(OR(O499&lt;&gt;"", SUMPRODUCT(($AN$2:$AN$5000=AN499)*($AL$2:$AL$5000&lt;=AL499)) &lt;= (COUNTIF($AN$2:$AN$5000,AN499)*0.5)), "SORTEADO", "-")</f>
        <v>SORTEADO</v>
      </c>
      <c r="AN499" s="231" t="s">
        <v>1301</v>
      </c>
    </row>
    <row r="500" spans="1:40" ht="30" hidden="1" customHeight="1" x14ac:dyDescent="0.2">
      <c r="A500" s="231" t="s">
        <v>197</v>
      </c>
      <c r="B500" s="231">
        <v>2616168409</v>
      </c>
      <c r="C500" s="231" t="s">
        <v>106</v>
      </c>
      <c r="D500" s="231" t="s">
        <v>80</v>
      </c>
      <c r="E500" s="231" t="s">
        <v>198</v>
      </c>
      <c r="F500" s="231" t="s">
        <v>602</v>
      </c>
      <c r="G500" s="231">
        <v>267</v>
      </c>
      <c r="H500" s="231"/>
      <c r="I500" s="231" t="s">
        <v>531</v>
      </c>
      <c r="J500" s="231" t="s">
        <v>270</v>
      </c>
      <c r="K500" s="231" t="s">
        <v>1407</v>
      </c>
      <c r="L500" s="231" t="s">
        <v>1301</v>
      </c>
      <c r="M500" s="231" t="s">
        <v>1408</v>
      </c>
      <c r="N500" s="231" t="s">
        <v>432</v>
      </c>
      <c r="O500" s="158"/>
      <c r="P500" s="92"/>
      <c r="Q500" s="146"/>
      <c r="R500" s="92"/>
      <c r="S500" s="146"/>
      <c r="T500" s="92"/>
      <c r="U500" s="146"/>
      <c r="V500" s="92"/>
      <c r="W500" s="146"/>
      <c r="X500" s="92"/>
      <c r="Y500" s="146"/>
      <c r="Z500" s="92"/>
      <c r="AA500" s="146"/>
      <c r="AB500" s="92"/>
      <c r="AC500" s="146"/>
      <c r="AD500" s="92"/>
      <c r="AE500" s="146"/>
      <c r="AF500" s="187" t="str">
        <f t="shared" si="31"/>
        <v/>
      </c>
      <c r="AG500" s="54" t="b">
        <f t="shared" si="33"/>
        <v>0</v>
      </c>
      <c r="AH500" s="146"/>
      <c r="AI500" s="210" t="s">
        <v>6</v>
      </c>
      <c r="AJ500" s="97" t="str">
        <f t="shared" si="32"/>
        <v>GUARULHOS</v>
      </c>
      <c r="AK500" s="213" t="s">
        <v>39</v>
      </c>
      <c r="AL500" s="53">
        <v>0.67580388193158547</v>
      </c>
      <c r="AM500" s="53" t="str" cm="1">
        <f t="array" ref="AM500">IF(OR(O500&lt;&gt;"", SUMPRODUCT(($AN$2:$AN$5000=AN500)*($AL$2:$AL$5000&lt;=AL500)) &lt;= (COUNTIF($AN$2:$AN$5000,AN500)*0.5)), "SORTEADO", "-")</f>
        <v>-</v>
      </c>
      <c r="AN500" s="231" t="s">
        <v>1301</v>
      </c>
    </row>
    <row r="501" spans="1:40" ht="30" hidden="1" customHeight="1" x14ac:dyDescent="0.2">
      <c r="A501" s="231" t="s">
        <v>197</v>
      </c>
      <c r="B501" s="231">
        <v>2690762395</v>
      </c>
      <c r="C501" s="231" t="s">
        <v>103</v>
      </c>
      <c r="D501" s="231" t="s">
        <v>80</v>
      </c>
      <c r="E501" s="231" t="s">
        <v>198</v>
      </c>
      <c r="F501" s="231" t="s">
        <v>1409</v>
      </c>
      <c r="G501" s="231">
        <v>254</v>
      </c>
      <c r="H501" s="231" t="s">
        <v>213</v>
      </c>
      <c r="I501" s="231" t="s">
        <v>881</v>
      </c>
      <c r="J501" s="231" t="s">
        <v>270</v>
      </c>
      <c r="K501" s="238" t="s">
        <v>1410</v>
      </c>
      <c r="L501" s="231" t="s">
        <v>1301</v>
      </c>
      <c r="M501" s="231" t="s">
        <v>1411</v>
      </c>
      <c r="N501" s="231" t="s">
        <v>244</v>
      </c>
      <c r="O501" s="158"/>
      <c r="P501" s="92"/>
      <c r="Q501" s="146"/>
      <c r="R501" s="92"/>
      <c r="S501" s="146"/>
      <c r="T501" s="92"/>
      <c r="U501" s="146"/>
      <c r="V501" s="92"/>
      <c r="W501" s="146"/>
      <c r="X501" s="92"/>
      <c r="Y501" s="146"/>
      <c r="Z501" s="92"/>
      <c r="AA501" s="146"/>
      <c r="AB501" s="92"/>
      <c r="AC501" s="146"/>
      <c r="AD501" s="92"/>
      <c r="AE501" s="146"/>
      <c r="AF501" s="187" t="str">
        <f t="shared" si="31"/>
        <v/>
      </c>
      <c r="AG501" s="54" t="b">
        <f t="shared" si="33"/>
        <v>0</v>
      </c>
      <c r="AH501" s="146"/>
      <c r="AI501" s="210" t="s">
        <v>6</v>
      </c>
      <c r="AJ501" s="97" t="str">
        <f t="shared" si="32"/>
        <v>GUARULHOS</v>
      </c>
      <c r="AK501" s="213" t="s">
        <v>39</v>
      </c>
      <c r="AL501" s="53">
        <v>0.72915202707488325</v>
      </c>
      <c r="AM501" s="53" t="str" cm="1">
        <f t="array" ref="AM501">IF(OR(O501&lt;&gt;"", SUMPRODUCT(($AN$2:$AN$5000=AN501)*($AL$2:$AL$5000&lt;=AL501)) &lt;= (COUNTIF($AN$2:$AN$5000,AN501)*0.5)), "SORTEADO", "-")</f>
        <v>-</v>
      </c>
      <c r="AN501" s="231" t="s">
        <v>1301</v>
      </c>
    </row>
    <row r="502" spans="1:40" ht="30" hidden="1" customHeight="1" x14ac:dyDescent="0.2">
      <c r="A502" s="231" t="s">
        <v>197</v>
      </c>
      <c r="B502" s="231">
        <v>2615883592</v>
      </c>
      <c r="C502" s="231" t="s">
        <v>88</v>
      </c>
      <c r="D502" s="231" t="s">
        <v>77</v>
      </c>
      <c r="E502" s="231" t="s">
        <v>198</v>
      </c>
      <c r="F502" s="231" t="s">
        <v>1412</v>
      </c>
      <c r="G502" s="231">
        <v>86</v>
      </c>
      <c r="H502" s="231" t="s">
        <v>1413</v>
      </c>
      <c r="I502" s="231" t="s">
        <v>713</v>
      </c>
      <c r="J502" s="231" t="s">
        <v>401</v>
      </c>
      <c r="K502" s="231" t="s">
        <v>1414</v>
      </c>
      <c r="L502" s="231" t="s">
        <v>1301</v>
      </c>
      <c r="M502" s="231" t="s">
        <v>1320</v>
      </c>
      <c r="N502" s="231" t="s">
        <v>250</v>
      </c>
      <c r="O502" s="158" t="s">
        <v>61</v>
      </c>
      <c r="P502" s="146"/>
      <c r="Q502" s="146" t="s">
        <v>61</v>
      </c>
      <c r="R502" s="209"/>
      <c r="S502" s="146" t="s">
        <v>61</v>
      </c>
      <c r="T502" s="146"/>
      <c r="U502" s="146" t="s">
        <v>61</v>
      </c>
      <c r="V502" s="146"/>
      <c r="W502" s="146" t="s">
        <v>61</v>
      </c>
      <c r="X502" s="146"/>
      <c r="Y502" s="146" t="s">
        <v>61</v>
      </c>
      <c r="Z502" s="146"/>
      <c r="AA502" s="146" t="s">
        <v>61</v>
      </c>
      <c r="AB502" s="146"/>
      <c r="AC502" s="146" t="s">
        <v>61</v>
      </c>
      <c r="AD502" s="146"/>
      <c r="AE502" s="146" t="s">
        <v>61</v>
      </c>
      <c r="AF502" s="187" t="str">
        <f t="shared" si="31"/>
        <v>NA</v>
      </c>
      <c r="AG502" s="54" t="s">
        <v>311</v>
      </c>
      <c r="AH502" s="146" t="s">
        <v>204</v>
      </c>
      <c r="AI502" s="210" t="s">
        <v>6</v>
      </c>
      <c r="AJ502" s="97" t="str">
        <f t="shared" si="32"/>
        <v>GUARULHOS</v>
      </c>
      <c r="AK502" s="213" t="s">
        <v>39</v>
      </c>
      <c r="AL502" s="53">
        <v>0.18145551944670546</v>
      </c>
      <c r="AM502" s="53" t="str" cm="1">
        <f t="array" ref="AM502">IF(OR(O502&lt;&gt;"", SUMPRODUCT(($AN$2:$AN$5000=AN502)*($AL$2:$AL$5000&lt;=AL502)) &lt;= (COUNTIF($AN$2:$AN$5000,AN502)*0.5)), "SORTEADO", "-")</f>
        <v>SORTEADO</v>
      </c>
      <c r="AN502" s="231" t="s">
        <v>1301</v>
      </c>
    </row>
    <row r="503" spans="1:40" ht="30" hidden="1" customHeight="1" x14ac:dyDescent="0.2">
      <c r="A503" s="231" t="s">
        <v>197</v>
      </c>
      <c r="B503" s="231">
        <v>2615882652</v>
      </c>
      <c r="C503" s="231" t="s">
        <v>89</v>
      </c>
      <c r="D503" s="231" t="s">
        <v>77</v>
      </c>
      <c r="E503" s="231" t="s">
        <v>198</v>
      </c>
      <c r="F503" s="231" t="s">
        <v>1415</v>
      </c>
      <c r="G503" s="231">
        <v>342</v>
      </c>
      <c r="H503" s="231" t="s">
        <v>1416</v>
      </c>
      <c r="I503" s="231" t="s">
        <v>445</v>
      </c>
      <c r="J503" s="231" t="s">
        <v>346</v>
      </c>
      <c r="K503" s="238" t="s">
        <v>1417</v>
      </c>
      <c r="L503" s="231" t="s">
        <v>1301</v>
      </c>
      <c r="M503" s="231" t="s">
        <v>1418</v>
      </c>
      <c r="N503" s="231" t="s">
        <v>432</v>
      </c>
      <c r="O503" s="158"/>
      <c r="P503" s="92"/>
      <c r="Q503" s="146"/>
      <c r="R503" s="92"/>
      <c r="S503" s="146"/>
      <c r="T503" s="92"/>
      <c r="U503" s="146"/>
      <c r="V503" s="92"/>
      <c r="W503" s="146"/>
      <c r="X503" s="92"/>
      <c r="Y503" s="146"/>
      <c r="Z503" s="92"/>
      <c r="AA503" s="146"/>
      <c r="AB503" s="92"/>
      <c r="AC503" s="146"/>
      <c r="AD503" s="92"/>
      <c r="AE503" s="146"/>
      <c r="AF503" s="187" t="str">
        <f t="shared" si="31"/>
        <v/>
      </c>
      <c r="AG503" s="54" t="b">
        <f t="shared" ref="AG503:AG534" si="34">IF(AND(AE503="C",AF503="C"),"UTILIZOU O PDA CORRETAMENTE",IF(AND(AE503="C",AF503="NC"),"UTILIZOU O PDA CORRETAMENTE. NÃO HÁ FOTOS DE TODAS AS ETAPAS",IF(AND(AE503="NC",AF503="NC"),"NÃO UTILIZOU O PDA",IF(AND(AE503="NA",AF503="NA"),"NÃO AVALIADO POR FALHA DE SINCRONISMO"))))</f>
        <v>0</v>
      </c>
      <c r="AH503" s="146"/>
      <c r="AI503" s="210" t="s">
        <v>6</v>
      </c>
      <c r="AJ503" s="97" t="str">
        <f t="shared" si="32"/>
        <v>GUARULHOS</v>
      </c>
      <c r="AK503" s="213" t="s">
        <v>39</v>
      </c>
      <c r="AL503" s="53">
        <v>0.43223584993206032</v>
      </c>
      <c r="AM503" s="53" t="str" cm="1">
        <f t="array" ref="AM503">IF(OR(O503&lt;&gt;"", SUMPRODUCT(($AN$2:$AN$5000=AN503)*($AL$2:$AL$5000&lt;=AL503)) &lt;= (COUNTIF($AN$2:$AN$5000,AN503)*0.5)), "SORTEADO", "-")</f>
        <v>-</v>
      </c>
      <c r="AN503" s="231" t="s">
        <v>1301</v>
      </c>
    </row>
    <row r="504" spans="1:40" ht="30" customHeight="1" x14ac:dyDescent="0.2">
      <c r="A504" s="231" t="s">
        <v>197</v>
      </c>
      <c r="B504" s="231">
        <v>2615935557</v>
      </c>
      <c r="C504" s="231" t="s">
        <v>99</v>
      </c>
      <c r="D504" s="231" t="s">
        <v>80</v>
      </c>
      <c r="E504" s="231" t="s">
        <v>198</v>
      </c>
      <c r="F504" s="231" t="s">
        <v>1369</v>
      </c>
      <c r="G504" s="231">
        <v>256</v>
      </c>
      <c r="H504" s="231" t="s">
        <v>1419</v>
      </c>
      <c r="I504" s="231" t="s">
        <v>258</v>
      </c>
      <c r="J504" s="231" t="s">
        <v>305</v>
      </c>
      <c r="K504" s="231"/>
      <c r="L504" s="231" t="s">
        <v>1301</v>
      </c>
      <c r="M504" s="231" t="s">
        <v>1420</v>
      </c>
      <c r="N504" s="231" t="s">
        <v>303</v>
      </c>
      <c r="O504" s="157" t="s">
        <v>204</v>
      </c>
      <c r="P504" s="143"/>
      <c r="Q504" s="144" t="s">
        <v>204</v>
      </c>
      <c r="R504" s="143"/>
      <c r="S504" s="144" t="s">
        <v>204</v>
      </c>
      <c r="T504" s="143"/>
      <c r="U504" s="144" t="s">
        <v>204</v>
      </c>
      <c r="V504" s="143"/>
      <c r="W504" s="144" t="s">
        <v>204</v>
      </c>
      <c r="X504" s="143"/>
      <c r="Y504" s="144" t="s">
        <v>204</v>
      </c>
      <c r="Z504" s="143"/>
      <c r="AA504" s="144" t="s">
        <v>204</v>
      </c>
      <c r="AB504" s="143"/>
      <c r="AC504" s="144" t="s">
        <v>204</v>
      </c>
      <c r="AD504" s="56"/>
      <c r="AE504" s="144" t="s">
        <v>204</v>
      </c>
      <c r="AF504" s="187" t="str">
        <f t="shared" si="31"/>
        <v>C</v>
      </c>
      <c r="AG504" s="54" t="str">
        <f t="shared" si="34"/>
        <v>UTILIZOU O PDA CORRETAMENTE</v>
      </c>
      <c r="AH504" s="144" t="s">
        <v>204</v>
      </c>
      <c r="AI504" s="210" t="s">
        <v>6</v>
      </c>
      <c r="AJ504" s="97" t="str">
        <f t="shared" si="32"/>
        <v>GUARULHOS</v>
      </c>
      <c r="AK504" s="213" t="s">
        <v>39</v>
      </c>
      <c r="AL504" s="53">
        <v>0.2872723631268439</v>
      </c>
      <c r="AM504" s="53" t="str" cm="1">
        <f t="array" ref="AM504">IF(OR(O504&lt;&gt;"", SUMPRODUCT(($AN$2:$AN$5000=AN504)*($AL$2:$AL$5000&lt;=AL504)) &lt;= (COUNTIF($AN$2:$AN$5000,AN504)*0.5)), "SORTEADO", "-")</f>
        <v>SORTEADO</v>
      </c>
      <c r="AN504" s="231" t="s">
        <v>1301</v>
      </c>
    </row>
    <row r="505" spans="1:40" ht="30" customHeight="1" x14ac:dyDescent="0.2">
      <c r="A505" s="231" t="s">
        <v>197</v>
      </c>
      <c r="B505" s="231">
        <v>2616194567</v>
      </c>
      <c r="C505" s="231" t="s">
        <v>103</v>
      </c>
      <c r="D505" s="231" t="s">
        <v>80</v>
      </c>
      <c r="E505" s="231" t="s">
        <v>198</v>
      </c>
      <c r="F505" s="231" t="s">
        <v>333</v>
      </c>
      <c r="G505" s="231">
        <v>100</v>
      </c>
      <c r="H505" s="231" t="s">
        <v>213</v>
      </c>
      <c r="I505" s="231" t="s">
        <v>335</v>
      </c>
      <c r="J505" s="231" t="s">
        <v>270</v>
      </c>
      <c r="K505" s="231" t="s">
        <v>213</v>
      </c>
      <c r="L505" s="231" t="s">
        <v>1301</v>
      </c>
      <c r="M505" s="231" t="s">
        <v>1421</v>
      </c>
      <c r="N505" s="231" t="s">
        <v>244</v>
      </c>
      <c r="O505" s="158" t="s">
        <v>204</v>
      </c>
      <c r="P505" s="92"/>
      <c r="Q505" s="146" t="s">
        <v>204</v>
      </c>
      <c r="R505" s="92"/>
      <c r="S505" s="146" t="s">
        <v>204</v>
      </c>
      <c r="T505" s="92"/>
      <c r="U505" s="146" t="s">
        <v>204</v>
      </c>
      <c r="V505" s="92"/>
      <c r="W505" s="146" t="s">
        <v>204</v>
      </c>
      <c r="X505" s="92"/>
      <c r="Y505" s="146" t="s">
        <v>61</v>
      </c>
      <c r="Z505" s="92"/>
      <c r="AA505" s="146" t="s">
        <v>204</v>
      </c>
      <c r="AB505" s="92"/>
      <c r="AC505" s="146" t="s">
        <v>204</v>
      </c>
      <c r="AD505" s="92"/>
      <c r="AE505" s="146" t="s">
        <v>204</v>
      </c>
      <c r="AF505" s="187" t="str">
        <f t="shared" si="31"/>
        <v>C</v>
      </c>
      <c r="AG505" s="54" t="str">
        <f t="shared" si="34"/>
        <v>UTILIZOU O PDA CORRETAMENTE</v>
      </c>
      <c r="AH505" s="144" t="s">
        <v>204</v>
      </c>
      <c r="AI505" s="210" t="s">
        <v>6</v>
      </c>
      <c r="AJ505" s="97" t="str">
        <f t="shared" si="32"/>
        <v>GUARULHOS</v>
      </c>
      <c r="AK505" s="213" t="s">
        <v>39</v>
      </c>
      <c r="AL505" s="53">
        <v>3.0614383065246886E-2</v>
      </c>
      <c r="AM505" s="53" t="str" cm="1">
        <f t="array" ref="AM505">IF(OR(O505&lt;&gt;"", SUMPRODUCT(($AN$2:$AN$5000=AN505)*($AL$2:$AL$5000&lt;=AL505)) &lt;= (COUNTIF($AN$2:$AN$5000,AN505)*0.5)), "SORTEADO", "-")</f>
        <v>SORTEADO</v>
      </c>
      <c r="AN505" s="231" t="s">
        <v>1301</v>
      </c>
    </row>
    <row r="506" spans="1:40" ht="30" hidden="1" customHeight="1" x14ac:dyDescent="0.2">
      <c r="A506" s="231" t="s">
        <v>197</v>
      </c>
      <c r="B506" s="231">
        <v>2616200740</v>
      </c>
      <c r="C506" s="231" t="s">
        <v>100</v>
      </c>
      <c r="D506" s="231" t="s">
        <v>78</v>
      </c>
      <c r="E506" s="231" t="s">
        <v>198</v>
      </c>
      <c r="F506" s="231" t="s">
        <v>1391</v>
      </c>
      <c r="G506" s="231">
        <v>62</v>
      </c>
      <c r="H506" s="231"/>
      <c r="I506" s="231" t="s">
        <v>200</v>
      </c>
      <c r="J506" s="231" t="s">
        <v>248</v>
      </c>
      <c r="K506" s="231" t="s">
        <v>1422</v>
      </c>
      <c r="L506" s="231" t="s">
        <v>1301</v>
      </c>
      <c r="M506" s="231" t="s">
        <v>1423</v>
      </c>
      <c r="N506" s="231" t="s">
        <v>244</v>
      </c>
      <c r="O506" s="158"/>
      <c r="P506" s="92"/>
      <c r="Q506" s="146"/>
      <c r="R506" s="92"/>
      <c r="S506" s="146"/>
      <c r="T506" s="92"/>
      <c r="U506" s="146"/>
      <c r="V506" s="92"/>
      <c r="W506" s="146"/>
      <c r="X506" s="92"/>
      <c r="Y506" s="146"/>
      <c r="Z506" s="92"/>
      <c r="AA506" s="146"/>
      <c r="AB506" s="92"/>
      <c r="AC506" s="146"/>
      <c r="AD506" s="92"/>
      <c r="AE506" s="146"/>
      <c r="AF506" s="187" t="str">
        <f t="shared" si="31"/>
        <v/>
      </c>
      <c r="AG506" s="54" t="b">
        <f t="shared" si="34"/>
        <v>0</v>
      </c>
      <c r="AH506" s="146"/>
      <c r="AI506" s="210" t="s">
        <v>6</v>
      </c>
      <c r="AJ506" s="97" t="str">
        <f t="shared" si="32"/>
        <v>GUARULHOS</v>
      </c>
      <c r="AK506" s="213" t="s">
        <v>39</v>
      </c>
      <c r="AL506" s="53">
        <v>0.86127464656009312</v>
      </c>
      <c r="AM506" s="53" t="str" cm="1">
        <f t="array" ref="AM506">IF(OR(O506&lt;&gt;"", SUMPRODUCT(($AN$2:$AN$5000=AN506)*($AL$2:$AL$5000&lt;=AL506)) &lt;= (COUNTIF($AN$2:$AN$5000,AN506)*0.5)), "SORTEADO", "-")</f>
        <v>-</v>
      </c>
      <c r="AN506" s="231" t="s">
        <v>1301</v>
      </c>
    </row>
    <row r="507" spans="1:40" ht="30" hidden="1" customHeight="1" x14ac:dyDescent="0.2">
      <c r="A507" s="231" t="s">
        <v>197</v>
      </c>
      <c r="B507" s="231">
        <v>2616211356</v>
      </c>
      <c r="C507" s="231" t="s">
        <v>100</v>
      </c>
      <c r="D507" s="231" t="s">
        <v>78</v>
      </c>
      <c r="E507" s="231" t="s">
        <v>198</v>
      </c>
      <c r="F507" s="231" t="s">
        <v>1424</v>
      </c>
      <c r="G507" s="231">
        <v>56</v>
      </c>
      <c r="H507" s="231" t="s">
        <v>516</v>
      </c>
      <c r="I507" s="231" t="s">
        <v>258</v>
      </c>
      <c r="J507" s="231" t="s">
        <v>248</v>
      </c>
      <c r="K507" s="231" t="s">
        <v>1425</v>
      </c>
      <c r="L507" s="231" t="s">
        <v>1301</v>
      </c>
      <c r="M507" s="231" t="s">
        <v>1330</v>
      </c>
      <c r="N507" s="231" t="s">
        <v>260</v>
      </c>
      <c r="O507" s="158"/>
      <c r="P507" s="92"/>
      <c r="Q507" s="146"/>
      <c r="R507" s="92"/>
      <c r="S507" s="146"/>
      <c r="T507" s="92"/>
      <c r="U507" s="146"/>
      <c r="V507" s="92"/>
      <c r="W507" s="146"/>
      <c r="X507" s="92"/>
      <c r="Y507" s="146"/>
      <c r="Z507" s="92"/>
      <c r="AA507" s="146"/>
      <c r="AB507" s="92"/>
      <c r="AC507" s="146"/>
      <c r="AD507" s="92"/>
      <c r="AE507" s="146"/>
      <c r="AF507" s="187" t="str">
        <f t="shared" si="31"/>
        <v/>
      </c>
      <c r="AG507" s="54" t="b">
        <f t="shared" si="34"/>
        <v>0</v>
      </c>
      <c r="AH507" s="146"/>
      <c r="AI507" s="210" t="s">
        <v>6</v>
      </c>
      <c r="AJ507" s="97" t="str">
        <f t="shared" si="32"/>
        <v>GUARULHOS</v>
      </c>
      <c r="AK507" s="213" t="s">
        <v>39</v>
      </c>
      <c r="AL507" s="53">
        <v>0.79407111570996247</v>
      </c>
      <c r="AM507" s="53" t="str" cm="1">
        <f t="array" ref="AM507">IF(OR(O507&lt;&gt;"", SUMPRODUCT(($AN$2:$AN$5000=AN507)*($AL$2:$AL$5000&lt;=AL507)) &lt;= (COUNTIF($AN$2:$AN$5000,AN507)*0.5)), "SORTEADO", "-")</f>
        <v>-</v>
      </c>
      <c r="AN507" s="231" t="s">
        <v>1301</v>
      </c>
    </row>
    <row r="508" spans="1:40" ht="30" hidden="1" customHeight="1" x14ac:dyDescent="0.2">
      <c r="A508" s="231" t="s">
        <v>197</v>
      </c>
      <c r="B508" s="231">
        <v>2616209220</v>
      </c>
      <c r="C508" s="231" t="s">
        <v>105</v>
      </c>
      <c r="D508" s="231" t="s">
        <v>80</v>
      </c>
      <c r="E508" s="231" t="s">
        <v>198</v>
      </c>
      <c r="F508" s="231" t="s">
        <v>1424</v>
      </c>
      <c r="G508" s="231">
        <v>62</v>
      </c>
      <c r="H508" s="231" t="s">
        <v>1426</v>
      </c>
      <c r="I508" s="231" t="s">
        <v>258</v>
      </c>
      <c r="J508" s="231" t="s">
        <v>226</v>
      </c>
      <c r="K508" s="231" t="s">
        <v>1427</v>
      </c>
      <c r="L508" s="231" t="s">
        <v>1301</v>
      </c>
      <c r="M508" s="231" t="s">
        <v>1428</v>
      </c>
      <c r="N508" s="231" t="s">
        <v>260</v>
      </c>
      <c r="O508" s="158"/>
      <c r="P508" s="92"/>
      <c r="Q508" s="146"/>
      <c r="R508" s="92"/>
      <c r="S508" s="146"/>
      <c r="T508" s="92"/>
      <c r="U508" s="146"/>
      <c r="V508" s="92"/>
      <c r="W508" s="146"/>
      <c r="X508" s="92"/>
      <c r="Y508" s="146"/>
      <c r="Z508" s="92"/>
      <c r="AA508" s="146"/>
      <c r="AB508" s="92"/>
      <c r="AC508" s="146"/>
      <c r="AD508" s="92"/>
      <c r="AE508" s="146"/>
      <c r="AF508" s="187" t="str">
        <f t="shared" si="31"/>
        <v/>
      </c>
      <c r="AG508" s="54" t="b">
        <f t="shared" si="34"/>
        <v>0</v>
      </c>
      <c r="AH508" s="146"/>
      <c r="AI508" s="210" t="s">
        <v>6</v>
      </c>
      <c r="AJ508" s="97" t="str">
        <f t="shared" si="32"/>
        <v>GUARULHOS</v>
      </c>
      <c r="AK508" s="213" t="s">
        <v>39</v>
      </c>
      <c r="AL508" s="53">
        <v>0.96973013678558873</v>
      </c>
      <c r="AM508" s="53" t="str" cm="1">
        <f t="array" ref="AM508">IF(OR(O508&lt;&gt;"", SUMPRODUCT(($AN$2:$AN$5000=AN508)*($AL$2:$AL$5000&lt;=AL508)) &lt;= (COUNTIF($AN$2:$AN$5000,AN508)*0.5)), "SORTEADO", "-")</f>
        <v>-</v>
      </c>
      <c r="AN508" s="231" t="s">
        <v>1301</v>
      </c>
    </row>
    <row r="509" spans="1:40" ht="30" hidden="1" customHeight="1" x14ac:dyDescent="0.2">
      <c r="A509" s="231" t="s">
        <v>197</v>
      </c>
      <c r="B509" s="231">
        <v>2615932367</v>
      </c>
      <c r="C509" s="231" t="s">
        <v>89</v>
      </c>
      <c r="D509" s="231" t="s">
        <v>77</v>
      </c>
      <c r="E509" s="231" t="s">
        <v>198</v>
      </c>
      <c r="F509" s="231" t="s">
        <v>1350</v>
      </c>
      <c r="G509" s="231">
        <v>275</v>
      </c>
      <c r="H509" s="231" t="s">
        <v>213</v>
      </c>
      <c r="I509" s="231" t="s">
        <v>531</v>
      </c>
      <c r="J509" s="231" t="s">
        <v>346</v>
      </c>
      <c r="K509" s="231" t="s">
        <v>721</v>
      </c>
      <c r="L509" s="231" t="s">
        <v>1301</v>
      </c>
      <c r="M509" s="231" t="s">
        <v>1429</v>
      </c>
      <c r="N509" s="231" t="s">
        <v>271</v>
      </c>
      <c r="O509" s="158"/>
      <c r="P509" s="92"/>
      <c r="Q509" s="146"/>
      <c r="R509" s="92"/>
      <c r="S509" s="146"/>
      <c r="T509" s="92"/>
      <c r="U509" s="146"/>
      <c r="V509" s="92"/>
      <c r="W509" s="146"/>
      <c r="X509" s="92"/>
      <c r="Y509" s="146"/>
      <c r="Z509" s="92"/>
      <c r="AA509" s="146"/>
      <c r="AB509" s="92"/>
      <c r="AC509" s="146"/>
      <c r="AD509" s="92"/>
      <c r="AE509" s="146"/>
      <c r="AF509" s="187" t="str">
        <f t="shared" si="31"/>
        <v/>
      </c>
      <c r="AG509" s="54" t="b">
        <f t="shared" si="34"/>
        <v>0</v>
      </c>
      <c r="AH509" s="146"/>
      <c r="AI509" s="210" t="s">
        <v>6</v>
      </c>
      <c r="AJ509" s="97" t="str">
        <f t="shared" si="32"/>
        <v>GUARULHOS</v>
      </c>
      <c r="AK509" s="213" t="s">
        <v>39</v>
      </c>
      <c r="AL509" s="53">
        <v>0.86551727099778974</v>
      </c>
      <c r="AM509" s="53" t="str" cm="1">
        <f t="array" ref="AM509">IF(OR(O509&lt;&gt;"", SUMPRODUCT(($AN$2:$AN$5000=AN509)*($AL$2:$AL$5000&lt;=AL509)) &lt;= (COUNTIF($AN$2:$AN$5000,AN509)*0.5)), "SORTEADO", "-")</f>
        <v>-</v>
      </c>
      <c r="AN509" s="231" t="s">
        <v>1301</v>
      </c>
    </row>
    <row r="510" spans="1:40" ht="30" hidden="1" customHeight="1" x14ac:dyDescent="0.2">
      <c r="A510" s="231" t="s">
        <v>197</v>
      </c>
      <c r="B510" s="231">
        <v>2616210409</v>
      </c>
      <c r="C510" s="231" t="s">
        <v>100</v>
      </c>
      <c r="D510" s="231" t="s">
        <v>78</v>
      </c>
      <c r="E510" s="231" t="s">
        <v>198</v>
      </c>
      <c r="F510" s="231" t="s">
        <v>688</v>
      </c>
      <c r="G510" s="231">
        <v>243</v>
      </c>
      <c r="H510" s="231"/>
      <c r="I510" s="231" t="s">
        <v>356</v>
      </c>
      <c r="J510" s="231" t="s">
        <v>248</v>
      </c>
      <c r="K510" s="238" t="s">
        <v>1430</v>
      </c>
      <c r="L510" s="231" t="s">
        <v>1301</v>
      </c>
      <c r="M510" s="231" t="s">
        <v>1421</v>
      </c>
      <c r="N510" s="231" t="s">
        <v>263</v>
      </c>
      <c r="O510" s="158"/>
      <c r="P510" s="92"/>
      <c r="Q510" s="146"/>
      <c r="R510" s="92"/>
      <c r="S510" s="146"/>
      <c r="T510" s="92"/>
      <c r="U510" s="146"/>
      <c r="V510" s="92"/>
      <c r="W510" s="146"/>
      <c r="X510" s="92"/>
      <c r="Y510" s="146"/>
      <c r="Z510" s="92"/>
      <c r="AA510" s="146"/>
      <c r="AB510" s="92"/>
      <c r="AC510" s="146"/>
      <c r="AD510" s="92"/>
      <c r="AE510" s="146"/>
      <c r="AF510" s="187" t="str">
        <f t="shared" si="31"/>
        <v/>
      </c>
      <c r="AG510" s="54" t="b">
        <f t="shared" si="34"/>
        <v>0</v>
      </c>
      <c r="AH510" s="146"/>
      <c r="AI510" s="210" t="s">
        <v>6</v>
      </c>
      <c r="AJ510" s="97" t="str">
        <f t="shared" si="32"/>
        <v>GUARULHOS</v>
      </c>
      <c r="AK510" s="213" t="s">
        <v>39</v>
      </c>
      <c r="AL510" s="53">
        <v>0.40644273136051368</v>
      </c>
      <c r="AM510" s="53" t="str" cm="1">
        <f t="array" ref="AM510">IF(OR(O510&lt;&gt;"", SUMPRODUCT(($AN$2:$AN$5000=AN510)*($AL$2:$AL$5000&lt;=AL510)) &lt;= (COUNTIF($AN$2:$AN$5000,AN510)*0.5)), "SORTEADO", "-")</f>
        <v>-</v>
      </c>
      <c r="AN510" s="231" t="s">
        <v>1301</v>
      </c>
    </row>
    <row r="511" spans="1:40" ht="30" hidden="1" customHeight="1" x14ac:dyDescent="0.2">
      <c r="A511" s="231" t="s">
        <v>197</v>
      </c>
      <c r="B511" s="231">
        <v>2690772716</v>
      </c>
      <c r="C511" s="231" t="s">
        <v>98</v>
      </c>
      <c r="D511" s="231" t="s">
        <v>80</v>
      </c>
      <c r="E511" s="231" t="s">
        <v>198</v>
      </c>
      <c r="F511" s="231" t="s">
        <v>812</v>
      </c>
      <c r="G511" s="231">
        <v>883</v>
      </c>
      <c r="H511" s="231" t="s">
        <v>1431</v>
      </c>
      <c r="I511" s="231" t="s">
        <v>207</v>
      </c>
      <c r="J511" s="231" t="s">
        <v>297</v>
      </c>
      <c r="K511" s="231" t="s">
        <v>213</v>
      </c>
      <c r="L511" s="231" t="s">
        <v>1301</v>
      </c>
      <c r="M511" s="231" t="s">
        <v>1432</v>
      </c>
      <c r="N511" s="231" t="s">
        <v>263</v>
      </c>
      <c r="O511" s="158"/>
      <c r="P511" s="92"/>
      <c r="Q511" s="146"/>
      <c r="R511" s="92"/>
      <c r="S511" s="146"/>
      <c r="T511" s="92"/>
      <c r="U511" s="146"/>
      <c r="V511" s="92"/>
      <c r="W511" s="146"/>
      <c r="X511" s="92"/>
      <c r="Y511" s="146"/>
      <c r="Z511" s="92"/>
      <c r="AA511" s="146"/>
      <c r="AB511" s="92"/>
      <c r="AC511" s="146"/>
      <c r="AD511" s="92"/>
      <c r="AE511" s="146"/>
      <c r="AF511" s="187" t="str">
        <f t="shared" si="31"/>
        <v/>
      </c>
      <c r="AG511" s="54" t="b">
        <f t="shared" si="34"/>
        <v>0</v>
      </c>
      <c r="AH511" s="146"/>
      <c r="AI511" s="210" t="s">
        <v>6</v>
      </c>
      <c r="AJ511" s="97" t="str">
        <f t="shared" si="32"/>
        <v>GUARULHOS</v>
      </c>
      <c r="AK511" s="213" t="s">
        <v>39</v>
      </c>
      <c r="AL511" s="53">
        <v>0.97901205060490781</v>
      </c>
      <c r="AM511" s="53" t="str" cm="1">
        <f t="array" ref="AM511">IF(OR(O511&lt;&gt;"", SUMPRODUCT(($AN$2:$AN$5000=AN511)*($AL$2:$AL$5000&lt;=AL511)) &lt;= (COUNTIF($AN$2:$AN$5000,AN511)*0.5)), "SORTEADO", "-")</f>
        <v>-</v>
      </c>
      <c r="AN511" s="231" t="s">
        <v>1301</v>
      </c>
    </row>
    <row r="512" spans="1:40" ht="30" hidden="1" customHeight="1" x14ac:dyDescent="0.2">
      <c r="A512" s="231" t="s">
        <v>197</v>
      </c>
      <c r="B512" s="231">
        <v>2690748178</v>
      </c>
      <c r="C512" s="231" t="s">
        <v>98</v>
      </c>
      <c r="D512" s="231" t="s">
        <v>80</v>
      </c>
      <c r="E512" s="231" t="s">
        <v>198</v>
      </c>
      <c r="F512" s="231" t="s">
        <v>1433</v>
      </c>
      <c r="G512" s="231">
        <v>31</v>
      </c>
      <c r="H512" s="231" t="s">
        <v>1434</v>
      </c>
      <c r="I512" s="231" t="s">
        <v>1435</v>
      </c>
      <c r="J512" s="231" t="s">
        <v>297</v>
      </c>
      <c r="K512" s="231" t="s">
        <v>1436</v>
      </c>
      <c r="L512" s="231" t="s">
        <v>1301</v>
      </c>
      <c r="M512" s="231" t="s">
        <v>1437</v>
      </c>
      <c r="N512" s="231" t="s">
        <v>271</v>
      </c>
      <c r="O512" s="158"/>
      <c r="P512" s="92"/>
      <c r="Q512" s="146"/>
      <c r="R512" s="92"/>
      <c r="S512" s="146"/>
      <c r="T512" s="92"/>
      <c r="U512" s="146"/>
      <c r="V512" s="92"/>
      <c r="W512" s="146"/>
      <c r="X512" s="92"/>
      <c r="Y512" s="146"/>
      <c r="Z512" s="92"/>
      <c r="AA512" s="146"/>
      <c r="AB512" s="92"/>
      <c r="AC512" s="146"/>
      <c r="AD512" s="92"/>
      <c r="AE512" s="146"/>
      <c r="AF512" s="187" t="str">
        <f t="shared" si="31"/>
        <v/>
      </c>
      <c r="AG512" s="54" t="b">
        <f t="shared" si="34"/>
        <v>0</v>
      </c>
      <c r="AH512" s="146"/>
      <c r="AI512" s="210" t="s">
        <v>6</v>
      </c>
      <c r="AJ512" s="97" t="str">
        <f t="shared" si="32"/>
        <v>GUARULHOS</v>
      </c>
      <c r="AK512" s="213" t="s">
        <v>39</v>
      </c>
      <c r="AL512" s="53">
        <v>0.45286694971040886</v>
      </c>
      <c r="AM512" s="53" t="str" cm="1">
        <f t="array" ref="AM512">IF(OR(O512&lt;&gt;"", SUMPRODUCT(($AN$2:$AN$5000=AN512)*($AL$2:$AL$5000&lt;=AL512)) &lt;= (COUNTIF($AN$2:$AN$5000,AN512)*0.5)), "SORTEADO", "-")</f>
        <v>-</v>
      </c>
      <c r="AN512" s="231" t="s">
        <v>1301</v>
      </c>
    </row>
    <row r="513" spans="1:40" ht="30" hidden="1" customHeight="1" x14ac:dyDescent="0.2">
      <c r="A513" s="231" t="s">
        <v>197</v>
      </c>
      <c r="B513" s="231">
        <v>2615935709</v>
      </c>
      <c r="C513" s="231" t="s">
        <v>99</v>
      </c>
      <c r="D513" s="231" t="s">
        <v>80</v>
      </c>
      <c r="E513" s="231" t="s">
        <v>198</v>
      </c>
      <c r="F513" s="231" t="s">
        <v>1424</v>
      </c>
      <c r="G513" s="231">
        <v>62</v>
      </c>
      <c r="H513" s="231" t="s">
        <v>1426</v>
      </c>
      <c r="I513" s="231" t="s">
        <v>258</v>
      </c>
      <c r="J513" s="231" t="s">
        <v>305</v>
      </c>
      <c r="K513" s="231" t="s">
        <v>213</v>
      </c>
      <c r="L513" s="231" t="s">
        <v>1301</v>
      </c>
      <c r="M513" s="231" t="s">
        <v>1438</v>
      </c>
      <c r="N513" s="231" t="s">
        <v>260</v>
      </c>
      <c r="O513" s="158"/>
      <c r="P513" s="92"/>
      <c r="Q513" s="146"/>
      <c r="R513" s="92"/>
      <c r="S513" s="146"/>
      <c r="T513" s="92"/>
      <c r="U513" s="146"/>
      <c r="V513" s="92"/>
      <c r="W513" s="146"/>
      <c r="X513" s="92"/>
      <c r="Y513" s="146"/>
      <c r="Z513" s="92"/>
      <c r="AA513" s="146"/>
      <c r="AB513" s="92"/>
      <c r="AC513" s="146"/>
      <c r="AD513" s="92"/>
      <c r="AE513" s="146"/>
      <c r="AF513" s="187" t="str">
        <f t="shared" si="31"/>
        <v/>
      </c>
      <c r="AG513" s="54" t="b">
        <f t="shared" si="34"/>
        <v>0</v>
      </c>
      <c r="AH513" s="146"/>
      <c r="AI513" s="210" t="s">
        <v>6</v>
      </c>
      <c r="AJ513" s="97" t="str">
        <f t="shared" si="32"/>
        <v>GUARULHOS</v>
      </c>
      <c r="AK513" s="213" t="s">
        <v>39</v>
      </c>
      <c r="AL513" s="53">
        <v>0.63693385441150929</v>
      </c>
      <c r="AM513" s="53" t="str" cm="1">
        <f t="array" ref="AM513">IF(OR(O513&lt;&gt;"", SUMPRODUCT(($AN$2:$AN$5000=AN513)*($AL$2:$AL$5000&lt;=AL513)) &lt;= (COUNTIF($AN$2:$AN$5000,AN513)*0.5)), "SORTEADO", "-")</f>
        <v>-</v>
      </c>
      <c r="AN513" s="231" t="s">
        <v>1301</v>
      </c>
    </row>
    <row r="514" spans="1:40" ht="30" hidden="1" customHeight="1" x14ac:dyDescent="0.2">
      <c r="A514" s="231" t="s">
        <v>197</v>
      </c>
      <c r="B514" s="231">
        <v>2615935808</v>
      </c>
      <c r="C514" s="231" t="s">
        <v>875</v>
      </c>
      <c r="D514" s="231" t="s">
        <v>80</v>
      </c>
      <c r="E514" s="231" t="s">
        <v>198</v>
      </c>
      <c r="F514" s="231" t="s">
        <v>1439</v>
      </c>
      <c r="G514" s="231">
        <v>747</v>
      </c>
      <c r="H514" s="231"/>
      <c r="I514" s="231" t="s">
        <v>258</v>
      </c>
      <c r="J514" s="231" t="s">
        <v>876</v>
      </c>
      <c r="K514" s="231" t="s">
        <v>1440</v>
      </c>
      <c r="L514" s="231" t="s">
        <v>1301</v>
      </c>
      <c r="M514" s="231" t="s">
        <v>1421</v>
      </c>
      <c r="N514" s="231" t="s">
        <v>260</v>
      </c>
      <c r="O514" s="158"/>
      <c r="P514" s="92"/>
      <c r="Q514" s="146"/>
      <c r="R514" s="92"/>
      <c r="S514" s="146"/>
      <c r="T514" s="92"/>
      <c r="U514" s="146"/>
      <c r="V514" s="92"/>
      <c r="W514" s="146"/>
      <c r="X514" s="92"/>
      <c r="Y514" s="146"/>
      <c r="Z514" s="92"/>
      <c r="AA514" s="146"/>
      <c r="AB514" s="92"/>
      <c r="AC514" s="146"/>
      <c r="AD514" s="92"/>
      <c r="AE514" s="146"/>
      <c r="AF514" s="187" t="str">
        <f t="shared" si="31"/>
        <v/>
      </c>
      <c r="AG514" s="54" t="b">
        <f t="shared" si="34"/>
        <v>0</v>
      </c>
      <c r="AH514" s="146"/>
      <c r="AI514" s="210" t="s">
        <v>6</v>
      </c>
      <c r="AJ514" s="97" t="str">
        <f t="shared" si="32"/>
        <v>GUARULHOS</v>
      </c>
      <c r="AK514" s="213" t="s">
        <v>39</v>
      </c>
      <c r="AL514" s="53">
        <v>0.59626124079250753</v>
      </c>
      <c r="AM514" s="53" t="str" cm="1">
        <f t="array" ref="AM514">IF(OR(O514&lt;&gt;"", SUMPRODUCT(($AN$2:$AN$5000=AN514)*($AL$2:$AL$5000&lt;=AL514)) &lt;= (COUNTIF($AN$2:$AN$5000,AN514)*0.5)), "SORTEADO", "-")</f>
        <v>-</v>
      </c>
      <c r="AN514" s="231" t="s">
        <v>1301</v>
      </c>
    </row>
    <row r="515" spans="1:40" ht="30" hidden="1" customHeight="1" x14ac:dyDescent="0.2">
      <c r="A515" s="231" t="s">
        <v>197</v>
      </c>
      <c r="B515" s="231">
        <v>2613643701</v>
      </c>
      <c r="C515" s="231" t="s">
        <v>91</v>
      </c>
      <c r="D515" s="231" t="s">
        <v>76</v>
      </c>
      <c r="E515" s="231" t="s">
        <v>198</v>
      </c>
      <c r="F515" s="231" t="s">
        <v>1441</v>
      </c>
      <c r="G515" s="231">
        <v>258</v>
      </c>
      <c r="H515" s="231" t="s">
        <v>213</v>
      </c>
      <c r="I515" s="231" t="s">
        <v>368</v>
      </c>
      <c r="J515" s="231" t="s">
        <v>448</v>
      </c>
      <c r="K515" s="231" t="s">
        <v>497</v>
      </c>
      <c r="L515" s="231" t="s">
        <v>1442</v>
      </c>
      <c r="M515" s="231" t="s">
        <v>1443</v>
      </c>
      <c r="N515" s="231" t="s">
        <v>408</v>
      </c>
      <c r="O515" s="158"/>
      <c r="P515" s="92"/>
      <c r="Q515" s="146"/>
      <c r="R515" s="92"/>
      <c r="S515" s="146"/>
      <c r="T515" s="92"/>
      <c r="U515" s="146"/>
      <c r="V515" s="92"/>
      <c r="W515" s="146"/>
      <c r="X515" s="92"/>
      <c r="Y515" s="146"/>
      <c r="Z515" s="92"/>
      <c r="AA515" s="146"/>
      <c r="AB515" s="92"/>
      <c r="AC515" s="146"/>
      <c r="AD515" s="92"/>
      <c r="AE515" s="146"/>
      <c r="AF515" s="187" t="str">
        <f t="shared" si="31"/>
        <v/>
      </c>
      <c r="AG515" s="54" t="b">
        <f t="shared" si="34"/>
        <v>0</v>
      </c>
      <c r="AH515" s="146"/>
      <c r="AI515" s="210" t="s">
        <v>6</v>
      </c>
      <c r="AJ515" s="97" t="str">
        <f t="shared" si="32"/>
        <v>GUARULHOS</v>
      </c>
      <c r="AK515" s="213" t="s">
        <v>39</v>
      </c>
      <c r="AL515" s="53">
        <v>0.73606234088834754</v>
      </c>
      <c r="AM515" s="53" t="str" cm="1">
        <f t="array" ref="AM515">IF(OR(O515&lt;&gt;"", SUMPRODUCT(($AN$2:$AN$5000=AN515)*($AL$2:$AL$5000&lt;=AL515)) &lt;= (COUNTIF($AN$2:$AN$5000,AN515)*0.5)), "SORTEADO", "-")</f>
        <v>-</v>
      </c>
      <c r="AN515" s="231" t="s">
        <v>1442</v>
      </c>
    </row>
    <row r="516" spans="1:40" ht="30" customHeight="1" x14ac:dyDescent="0.2">
      <c r="A516" s="231" t="s">
        <v>197</v>
      </c>
      <c r="B516" s="231">
        <v>2616229883</v>
      </c>
      <c r="C516" s="231" t="s">
        <v>95</v>
      </c>
      <c r="D516" s="231" t="s">
        <v>76</v>
      </c>
      <c r="E516" s="231" t="s">
        <v>198</v>
      </c>
      <c r="F516" s="231" t="s">
        <v>1444</v>
      </c>
      <c r="G516" s="231">
        <v>330</v>
      </c>
      <c r="H516" s="231" t="s">
        <v>211</v>
      </c>
      <c r="I516" s="231" t="s">
        <v>1445</v>
      </c>
      <c r="J516" s="231" t="s">
        <v>95</v>
      </c>
      <c r="K516" s="231" t="s">
        <v>1446</v>
      </c>
      <c r="L516" s="231" t="s">
        <v>1442</v>
      </c>
      <c r="M516" s="231" t="s">
        <v>1447</v>
      </c>
      <c r="N516" s="231" t="s">
        <v>408</v>
      </c>
      <c r="O516" s="158" t="s">
        <v>204</v>
      </c>
      <c r="P516" s="92"/>
      <c r="Q516" s="146" t="s">
        <v>61</v>
      </c>
      <c r="R516" s="92"/>
      <c r="S516" s="146" t="s">
        <v>61</v>
      </c>
      <c r="T516" s="92"/>
      <c r="U516" s="146" t="s">
        <v>61</v>
      </c>
      <c r="V516" s="92"/>
      <c r="W516" s="146" t="s">
        <v>61</v>
      </c>
      <c r="X516" s="92"/>
      <c r="Y516" s="146" t="s">
        <v>61</v>
      </c>
      <c r="Z516" s="92"/>
      <c r="AA516" s="146" t="s">
        <v>204</v>
      </c>
      <c r="AB516" s="92"/>
      <c r="AC516" s="146" t="s">
        <v>204</v>
      </c>
      <c r="AD516" s="92"/>
      <c r="AE516" s="146" t="s">
        <v>204</v>
      </c>
      <c r="AF516" s="187" t="str">
        <f t="shared" si="31"/>
        <v>C</v>
      </c>
      <c r="AG516" s="54" t="str">
        <f t="shared" si="34"/>
        <v>UTILIZOU O PDA CORRETAMENTE</v>
      </c>
      <c r="AH516" s="146" t="s">
        <v>204</v>
      </c>
      <c r="AI516" s="210" t="s">
        <v>6</v>
      </c>
      <c r="AJ516" s="97" t="str">
        <f t="shared" si="32"/>
        <v>GUARULHOS</v>
      </c>
      <c r="AK516" s="213" t="s">
        <v>39</v>
      </c>
      <c r="AL516" s="53">
        <v>0.31503198337952099</v>
      </c>
      <c r="AM516" s="53" t="str" cm="1">
        <f t="array" ref="AM516">IF(OR(O516&lt;&gt;"", SUMPRODUCT(($AN$2:$AN$5000=AN516)*($AL$2:$AL$5000&lt;=AL516)) &lt;= (COUNTIF($AN$2:$AN$5000,AN516)*0.5)), "SORTEADO", "-")</f>
        <v>SORTEADO</v>
      </c>
      <c r="AN516" s="231" t="s">
        <v>1442</v>
      </c>
    </row>
    <row r="517" spans="1:40" ht="30" customHeight="1" x14ac:dyDescent="0.2">
      <c r="A517" s="231" t="s">
        <v>197</v>
      </c>
      <c r="B517" s="231">
        <v>2616229863</v>
      </c>
      <c r="C517" s="231" t="s">
        <v>93</v>
      </c>
      <c r="D517" s="231" t="s">
        <v>76</v>
      </c>
      <c r="E517" s="231" t="s">
        <v>198</v>
      </c>
      <c r="F517" s="231" t="s">
        <v>1444</v>
      </c>
      <c r="G517" s="231">
        <v>330</v>
      </c>
      <c r="H517" s="231" t="s">
        <v>206</v>
      </c>
      <c r="I517" s="231" t="s">
        <v>1445</v>
      </c>
      <c r="J517" s="231" t="s">
        <v>93</v>
      </c>
      <c r="K517" s="231" t="s">
        <v>1448</v>
      </c>
      <c r="L517" s="231" t="s">
        <v>1442</v>
      </c>
      <c r="M517" s="231" t="s">
        <v>1449</v>
      </c>
      <c r="N517" s="231" t="s">
        <v>408</v>
      </c>
      <c r="O517" s="158" t="s">
        <v>204</v>
      </c>
      <c r="P517" s="92"/>
      <c r="Q517" s="146" t="s">
        <v>61</v>
      </c>
      <c r="R517" s="92"/>
      <c r="S517" s="146" t="s">
        <v>61</v>
      </c>
      <c r="T517" s="92"/>
      <c r="U517" s="146" t="s">
        <v>61</v>
      </c>
      <c r="V517" s="92"/>
      <c r="W517" s="146" t="s">
        <v>61</v>
      </c>
      <c r="X517" s="92"/>
      <c r="Y517" s="146" t="s">
        <v>61</v>
      </c>
      <c r="Z517" s="92"/>
      <c r="AA517" s="146" t="s">
        <v>204</v>
      </c>
      <c r="AB517" s="92"/>
      <c r="AC517" s="146" t="s">
        <v>204</v>
      </c>
      <c r="AD517" s="92"/>
      <c r="AE517" s="146" t="s">
        <v>204</v>
      </c>
      <c r="AF517" s="187" t="str">
        <f t="shared" si="31"/>
        <v>C</v>
      </c>
      <c r="AG517" s="54" t="str">
        <f t="shared" si="34"/>
        <v>UTILIZOU O PDA CORRETAMENTE</v>
      </c>
      <c r="AH517" s="146" t="s">
        <v>204</v>
      </c>
      <c r="AI517" s="210" t="s">
        <v>6</v>
      </c>
      <c r="AJ517" s="97" t="str">
        <f t="shared" si="32"/>
        <v>GUARULHOS</v>
      </c>
      <c r="AK517" s="213" t="s">
        <v>39</v>
      </c>
      <c r="AL517" s="53">
        <v>0.39460188907381677</v>
      </c>
      <c r="AM517" s="53" t="str" cm="1">
        <f t="array" ref="AM517">IF(OR(O517&lt;&gt;"", SUMPRODUCT(($AN$2:$AN$5000=AN517)*($AL$2:$AL$5000&lt;=AL517)) &lt;= (COUNTIF($AN$2:$AN$5000,AN517)*0.5)), "SORTEADO", "-")</f>
        <v>SORTEADO</v>
      </c>
      <c r="AN517" s="231" t="s">
        <v>1442</v>
      </c>
    </row>
    <row r="518" spans="1:40" ht="30" customHeight="1" x14ac:dyDescent="0.2">
      <c r="A518" s="231" t="s">
        <v>197</v>
      </c>
      <c r="B518" s="231">
        <v>2613180289</v>
      </c>
      <c r="C518" s="231" t="s">
        <v>91</v>
      </c>
      <c r="D518" s="231" t="s">
        <v>76</v>
      </c>
      <c r="E518" s="231" t="s">
        <v>198</v>
      </c>
      <c r="F518" s="231" t="s">
        <v>245</v>
      </c>
      <c r="G518" s="231">
        <v>256</v>
      </c>
      <c r="H518" s="231" t="s">
        <v>1450</v>
      </c>
      <c r="I518" s="231" t="s">
        <v>247</v>
      </c>
      <c r="J518" s="231" t="s">
        <v>448</v>
      </c>
      <c r="K518" s="231"/>
      <c r="L518" s="231" t="s">
        <v>1442</v>
      </c>
      <c r="M518" s="231" t="s">
        <v>1451</v>
      </c>
      <c r="N518" s="231" t="s">
        <v>209</v>
      </c>
      <c r="O518" s="158" t="s">
        <v>204</v>
      </c>
      <c r="P518" s="92"/>
      <c r="Q518" s="146" t="s">
        <v>204</v>
      </c>
      <c r="R518" s="92"/>
      <c r="S518" s="146" t="s">
        <v>204</v>
      </c>
      <c r="T518" s="92"/>
      <c r="U518" s="146" t="s">
        <v>204</v>
      </c>
      <c r="V518" s="92"/>
      <c r="W518" s="146" t="s">
        <v>204</v>
      </c>
      <c r="X518" s="92"/>
      <c r="Y518" s="146" t="s">
        <v>742</v>
      </c>
      <c r="Z518" s="92"/>
      <c r="AA518" s="146" t="s">
        <v>204</v>
      </c>
      <c r="AB518" s="92"/>
      <c r="AC518" s="146" t="s">
        <v>204</v>
      </c>
      <c r="AD518" s="92"/>
      <c r="AE518" s="146" t="s">
        <v>204</v>
      </c>
      <c r="AF518" s="187" t="str">
        <f t="shared" si="31"/>
        <v>C</v>
      </c>
      <c r="AG518" s="54" t="str">
        <f t="shared" si="34"/>
        <v>UTILIZOU O PDA CORRETAMENTE</v>
      </c>
      <c r="AH518" s="146" t="s">
        <v>204</v>
      </c>
      <c r="AI518" s="210" t="s">
        <v>6</v>
      </c>
      <c r="AJ518" s="97" t="str">
        <f t="shared" si="32"/>
        <v>GUARULHOS</v>
      </c>
      <c r="AK518" s="213" t="s">
        <v>39</v>
      </c>
      <c r="AL518" s="53">
        <v>8.1478818786604457E-3</v>
      </c>
      <c r="AM518" s="53" t="str" cm="1">
        <f t="array" ref="AM518">IF(OR(O518&lt;&gt;"", SUMPRODUCT(($AN$2:$AN$5000=AN518)*($AL$2:$AL$5000&lt;=AL518)) &lt;= (COUNTIF($AN$2:$AN$5000,AN518)*0.5)), "SORTEADO", "-")</f>
        <v>SORTEADO</v>
      </c>
      <c r="AN518" s="231" t="s">
        <v>1442</v>
      </c>
    </row>
    <row r="519" spans="1:40" ht="30" customHeight="1" x14ac:dyDescent="0.2">
      <c r="A519" s="231" t="s">
        <v>197</v>
      </c>
      <c r="B519" s="231">
        <v>2615551444</v>
      </c>
      <c r="C519" s="231" t="s">
        <v>83</v>
      </c>
      <c r="D519" s="231" t="s">
        <v>76</v>
      </c>
      <c r="E519" s="231" t="s">
        <v>198</v>
      </c>
      <c r="F519" s="231" t="s">
        <v>1452</v>
      </c>
      <c r="G519" s="231">
        <v>415</v>
      </c>
      <c r="H519" s="231" t="s">
        <v>457</v>
      </c>
      <c r="I519" s="231" t="s">
        <v>416</v>
      </c>
      <c r="J519" s="231" t="s">
        <v>219</v>
      </c>
      <c r="K519" s="231" t="s">
        <v>1453</v>
      </c>
      <c r="L519" s="231" t="s">
        <v>1442</v>
      </c>
      <c r="M519" s="231" t="s">
        <v>1454</v>
      </c>
      <c r="N519" s="231" t="s">
        <v>203</v>
      </c>
      <c r="O519" s="158" t="s">
        <v>204</v>
      </c>
      <c r="P519" s="92"/>
      <c r="Q519" s="146" t="s">
        <v>204</v>
      </c>
      <c r="R519" s="92"/>
      <c r="S519" s="146" t="s">
        <v>204</v>
      </c>
      <c r="T519" s="92"/>
      <c r="U519" s="146" t="s">
        <v>204</v>
      </c>
      <c r="V519" s="92"/>
      <c r="W519" s="146" t="s">
        <v>204</v>
      </c>
      <c r="X519" s="92"/>
      <c r="Y519" s="146" t="s">
        <v>204</v>
      </c>
      <c r="Z519" s="92"/>
      <c r="AA519" s="146" t="s">
        <v>204</v>
      </c>
      <c r="AB519" s="92"/>
      <c r="AC519" s="146" t="s">
        <v>204</v>
      </c>
      <c r="AD519" s="92"/>
      <c r="AE519" s="146" t="s">
        <v>204</v>
      </c>
      <c r="AF519" s="187" t="str">
        <f t="shared" ref="AF519:AF582" si="35">IF(AND(O519="",Q519="",S519="",U519="",W519="",Y519="",AA519="",AC519=""),"",IF(OR(AND(O519&lt;&gt;"NA",O519&lt;&gt;"C",O519&lt;&gt;"NC",O519&lt;&gt;"SF",O519&lt;&gt;""),AND(Q519&lt;&gt;"NA",Q519&lt;&gt;"C",Q519&lt;&gt;"NC",Q519&lt;&gt;"SF",Q519&lt;&gt;""),AND(S519&lt;&gt;"NA",S519&lt;&gt;"C",S519&lt;&gt;"NC",S519&lt;&gt;"SF",S519&lt;&gt;""),AND(U519&lt;&gt;"NA",U519&lt;&gt;"C",U519&lt;&gt;"NC",U519&lt;&gt;"SF",U519&lt;&gt;""),AND(W519&lt;&gt;"NA",W519&lt;&gt;"C",W519&lt;&gt;"NC",W519&lt;&gt;"SF",W519&lt;&gt;""),AND(Y519&lt;&gt;"NA",Y519&lt;&gt;"C",Y519&lt;&gt;"NC",Y519&lt;&gt;"SF",Y519&lt;&gt;""),AND(AA519&lt;&gt;"NA",AA519&lt;&gt;"C",AA519&lt;&gt;"NC",AA519&lt;&gt;"SF",AA519&lt;&gt;""),AND(AC519&lt;&gt;"NA",AC519&lt;&gt;"C",AC519&lt;&gt;"NC",AC519&lt;&gt;"SF",AC519&lt;&gt;"")),"FALSO",IF(AND(O519="NA",Q519="NA",S519="NA",U519="NA",W519="NA",Y519="NA",AA519="NA",AC519="NA"),"NA",IF(OR(O519="NC",Q519="NC",S519="NC",U519="NC",W519="NC",Y519="NC",AA519="NC",AC519="NC",O519="SF",Q519="SF",S519="SF",U519="SF",W519="SF",Y519="SF",AA519="SF",AC519="SF"),"NC",IF(OR(O519="C",Q519="C",S519="C",U519="C",W519="C",Y519="C",AA519="C",AC519="C"),"C","")))))</f>
        <v>C</v>
      </c>
      <c r="AG519" s="54" t="str">
        <f t="shared" si="34"/>
        <v>UTILIZOU O PDA CORRETAMENTE</v>
      </c>
      <c r="AH519" s="146" t="s">
        <v>204</v>
      </c>
      <c r="AI519" s="210" t="s">
        <v>6</v>
      </c>
      <c r="AJ519" s="97" t="str">
        <f t="shared" ref="AJ519:AJ582" si="36">E519</f>
        <v>GUARULHOS</v>
      </c>
      <c r="AK519" s="213" t="s">
        <v>39</v>
      </c>
      <c r="AL519" s="53">
        <v>-0.1036</v>
      </c>
      <c r="AM519" s="53" t="str" cm="1">
        <f t="array" ref="AM519">IF(OR(O519&lt;&gt;"", SUMPRODUCT(($AN$2:$AN$5000=AN519)*($AL$2:$AL$5000&lt;=AL519)) &lt;= (COUNTIF($AN$2:$AN$5000,AN519)*0.5)), "SORTEADO", "-")</f>
        <v>SORTEADO</v>
      </c>
      <c r="AN519" s="231" t="s">
        <v>1442</v>
      </c>
    </row>
    <row r="520" spans="1:40" ht="30" customHeight="1" x14ac:dyDescent="0.2">
      <c r="A520" s="231" t="s">
        <v>197</v>
      </c>
      <c r="B520" s="231">
        <v>2615549102</v>
      </c>
      <c r="C520" s="231" t="s">
        <v>83</v>
      </c>
      <c r="D520" s="231" t="s">
        <v>76</v>
      </c>
      <c r="E520" s="231" t="s">
        <v>198</v>
      </c>
      <c r="F520" s="231" t="s">
        <v>1452</v>
      </c>
      <c r="G520" s="231">
        <v>415</v>
      </c>
      <c r="H520" s="231" t="s">
        <v>460</v>
      </c>
      <c r="I520" s="231" t="s">
        <v>416</v>
      </c>
      <c r="J520" s="231" t="s">
        <v>219</v>
      </c>
      <c r="K520" s="238" t="s">
        <v>1455</v>
      </c>
      <c r="L520" s="231" t="s">
        <v>1442</v>
      </c>
      <c r="M520" s="231" t="s">
        <v>1456</v>
      </c>
      <c r="N520" s="231" t="s">
        <v>203</v>
      </c>
      <c r="O520" s="158" t="s">
        <v>204</v>
      </c>
      <c r="P520" s="92"/>
      <c r="Q520" s="146" t="s">
        <v>204</v>
      </c>
      <c r="R520" s="92"/>
      <c r="S520" s="146" t="s">
        <v>204</v>
      </c>
      <c r="T520" s="92"/>
      <c r="U520" s="146" t="s">
        <v>204</v>
      </c>
      <c r="V520" s="92"/>
      <c r="W520" s="146" t="s">
        <v>204</v>
      </c>
      <c r="X520" s="92"/>
      <c r="Y520" s="146" t="s">
        <v>204</v>
      </c>
      <c r="Z520" s="92"/>
      <c r="AA520" s="146" t="s">
        <v>204</v>
      </c>
      <c r="AB520" s="92"/>
      <c r="AC520" s="146" t="s">
        <v>204</v>
      </c>
      <c r="AD520" s="92"/>
      <c r="AE520" s="146" t="s">
        <v>204</v>
      </c>
      <c r="AF520" s="187" t="str">
        <f t="shared" si="35"/>
        <v>C</v>
      </c>
      <c r="AG520" s="54" t="str">
        <f t="shared" si="34"/>
        <v>UTILIZOU O PDA CORRETAMENTE</v>
      </c>
      <c r="AH520" s="146" t="s">
        <v>204</v>
      </c>
      <c r="AI520" s="210" t="s">
        <v>6</v>
      </c>
      <c r="AJ520" s="97" t="str">
        <f t="shared" si="36"/>
        <v>GUARULHOS</v>
      </c>
      <c r="AK520" s="213" t="s">
        <v>39</v>
      </c>
      <c r="AL520" s="53">
        <v>-0.1038</v>
      </c>
      <c r="AM520" s="53" t="str" cm="1">
        <f t="array" ref="AM520">IF(OR(O520&lt;&gt;"", SUMPRODUCT(($AN$2:$AN$5000=AN520)*($AL$2:$AL$5000&lt;=AL520)) &lt;= (COUNTIF($AN$2:$AN$5000,AN520)*0.5)), "SORTEADO", "-")</f>
        <v>SORTEADO</v>
      </c>
      <c r="AN520" s="231" t="s">
        <v>1442</v>
      </c>
    </row>
    <row r="521" spans="1:40" ht="30" customHeight="1" x14ac:dyDescent="0.2">
      <c r="A521" s="231" t="s">
        <v>197</v>
      </c>
      <c r="B521" s="231">
        <v>2615550735</v>
      </c>
      <c r="C521" s="231" t="s">
        <v>83</v>
      </c>
      <c r="D521" s="231" t="s">
        <v>76</v>
      </c>
      <c r="E521" s="231" t="s">
        <v>198</v>
      </c>
      <c r="F521" s="231" t="s">
        <v>1452</v>
      </c>
      <c r="G521" s="231">
        <v>415</v>
      </c>
      <c r="H521" s="231" t="s">
        <v>459</v>
      </c>
      <c r="I521" s="231" t="s">
        <v>416</v>
      </c>
      <c r="J521" s="231" t="s">
        <v>219</v>
      </c>
      <c r="K521" s="231" t="s">
        <v>1453</v>
      </c>
      <c r="L521" s="231" t="s">
        <v>1442</v>
      </c>
      <c r="M521" s="231" t="s">
        <v>1457</v>
      </c>
      <c r="N521" s="231" t="s">
        <v>203</v>
      </c>
      <c r="O521" s="158" t="s">
        <v>204</v>
      </c>
      <c r="P521" s="92"/>
      <c r="Q521" s="146" t="s">
        <v>204</v>
      </c>
      <c r="R521" s="92"/>
      <c r="S521" s="146" t="s">
        <v>204</v>
      </c>
      <c r="T521" s="92"/>
      <c r="U521" s="146" t="s">
        <v>204</v>
      </c>
      <c r="V521" s="92"/>
      <c r="W521" s="146" t="s">
        <v>204</v>
      </c>
      <c r="X521" s="92"/>
      <c r="Y521" s="146" t="s">
        <v>204</v>
      </c>
      <c r="Z521" s="92"/>
      <c r="AA521" s="146" t="s">
        <v>204</v>
      </c>
      <c r="AB521" s="92"/>
      <c r="AC521" s="146" t="s">
        <v>204</v>
      </c>
      <c r="AD521" s="92"/>
      <c r="AE521" s="146" t="s">
        <v>204</v>
      </c>
      <c r="AF521" s="187" t="str">
        <f t="shared" si="35"/>
        <v>C</v>
      </c>
      <c r="AG521" s="54" t="str">
        <f t="shared" si="34"/>
        <v>UTILIZOU O PDA CORRETAMENTE</v>
      </c>
      <c r="AH521" s="146" t="s">
        <v>204</v>
      </c>
      <c r="AI521" s="210" t="s">
        <v>6</v>
      </c>
      <c r="AJ521" s="97" t="str">
        <f t="shared" si="36"/>
        <v>GUARULHOS</v>
      </c>
      <c r="AK521" s="213" t="s">
        <v>39</v>
      </c>
      <c r="AL521" s="53">
        <v>-0.104</v>
      </c>
      <c r="AM521" s="53" t="str" cm="1">
        <f t="array" ref="AM521">IF(OR(O521&lt;&gt;"", SUMPRODUCT(($AN$2:$AN$5000=AN521)*($AL$2:$AL$5000&lt;=AL521)) &lt;= (COUNTIF($AN$2:$AN$5000,AN521)*0.5)), "SORTEADO", "-")</f>
        <v>SORTEADO</v>
      </c>
      <c r="AN521" s="231" t="s">
        <v>1442</v>
      </c>
    </row>
    <row r="522" spans="1:40" ht="30" customHeight="1" x14ac:dyDescent="0.2">
      <c r="A522" s="231" t="s">
        <v>197</v>
      </c>
      <c r="B522" s="231">
        <v>2615552786</v>
      </c>
      <c r="C522" s="231" t="s">
        <v>83</v>
      </c>
      <c r="D522" s="231" t="s">
        <v>76</v>
      </c>
      <c r="E522" s="231" t="s">
        <v>198</v>
      </c>
      <c r="F522" s="231" t="s">
        <v>1452</v>
      </c>
      <c r="G522" s="231">
        <v>415</v>
      </c>
      <c r="H522" s="231" t="s">
        <v>1458</v>
      </c>
      <c r="I522" s="231" t="s">
        <v>416</v>
      </c>
      <c r="J522" s="231" t="s">
        <v>219</v>
      </c>
      <c r="K522" s="231" t="s">
        <v>1453</v>
      </c>
      <c r="L522" s="231" t="s">
        <v>1442</v>
      </c>
      <c r="M522" s="231" t="s">
        <v>1459</v>
      </c>
      <c r="N522" s="231" t="s">
        <v>203</v>
      </c>
      <c r="O522" s="158" t="s">
        <v>204</v>
      </c>
      <c r="P522" s="92"/>
      <c r="Q522" s="146" t="s">
        <v>204</v>
      </c>
      <c r="R522" s="92"/>
      <c r="S522" s="146" t="s">
        <v>204</v>
      </c>
      <c r="T522" s="92"/>
      <c r="U522" s="146" t="s">
        <v>204</v>
      </c>
      <c r="V522" s="92"/>
      <c r="W522" s="146" t="s">
        <v>204</v>
      </c>
      <c r="X522" s="92"/>
      <c r="Y522" s="146" t="s">
        <v>204</v>
      </c>
      <c r="Z522" s="92"/>
      <c r="AA522" s="146" t="s">
        <v>204</v>
      </c>
      <c r="AB522" s="92"/>
      <c r="AC522" s="146" t="s">
        <v>204</v>
      </c>
      <c r="AD522" s="92"/>
      <c r="AE522" s="146" t="s">
        <v>204</v>
      </c>
      <c r="AF522" s="187" t="str">
        <f t="shared" si="35"/>
        <v>C</v>
      </c>
      <c r="AG522" s="54" t="str">
        <f t="shared" si="34"/>
        <v>UTILIZOU O PDA CORRETAMENTE</v>
      </c>
      <c r="AH522" s="146" t="s">
        <v>204</v>
      </c>
      <c r="AI522" s="210" t="s">
        <v>6</v>
      </c>
      <c r="AJ522" s="97" t="str">
        <f t="shared" si="36"/>
        <v>GUARULHOS</v>
      </c>
      <c r="AK522" s="213" t="s">
        <v>39</v>
      </c>
      <c r="AL522" s="53">
        <v>-0.1042</v>
      </c>
      <c r="AM522" s="53" t="str" cm="1">
        <f t="array" ref="AM522">IF(OR(O522&lt;&gt;"", SUMPRODUCT(($AN$2:$AN$5000=AN522)*($AL$2:$AL$5000&lt;=AL522)) &lt;= (COUNTIF($AN$2:$AN$5000,AN522)*0.5)), "SORTEADO", "-")</f>
        <v>SORTEADO</v>
      </c>
      <c r="AN522" s="231" t="s">
        <v>1442</v>
      </c>
    </row>
    <row r="523" spans="1:40" ht="30" customHeight="1" x14ac:dyDescent="0.2">
      <c r="A523" s="231" t="s">
        <v>197</v>
      </c>
      <c r="B523" s="231">
        <v>2690799987</v>
      </c>
      <c r="C523" s="231" t="s">
        <v>102</v>
      </c>
      <c r="D523" s="231" t="s">
        <v>80</v>
      </c>
      <c r="E523" s="231" t="s">
        <v>198</v>
      </c>
      <c r="F523" s="231" t="s">
        <v>609</v>
      </c>
      <c r="G523" s="231">
        <v>56</v>
      </c>
      <c r="H523" s="231" t="s">
        <v>213</v>
      </c>
      <c r="I523" s="231" t="s">
        <v>611</v>
      </c>
      <c r="J523" s="231" t="s">
        <v>270</v>
      </c>
      <c r="K523" s="231" t="s">
        <v>213</v>
      </c>
      <c r="L523" s="231" t="s">
        <v>1442</v>
      </c>
      <c r="M523" s="231" t="s">
        <v>1460</v>
      </c>
      <c r="N523" s="231" t="s">
        <v>228</v>
      </c>
      <c r="O523" s="158" t="s">
        <v>204</v>
      </c>
      <c r="P523" s="92"/>
      <c r="Q523" s="146" t="s">
        <v>204</v>
      </c>
      <c r="R523" s="92"/>
      <c r="S523" s="146" t="s">
        <v>204</v>
      </c>
      <c r="T523" s="92"/>
      <c r="U523" s="146" t="s">
        <v>204</v>
      </c>
      <c r="V523" s="92"/>
      <c r="W523" s="146" t="s">
        <v>204</v>
      </c>
      <c r="X523" s="92"/>
      <c r="Y523" s="146" t="s">
        <v>61</v>
      </c>
      <c r="Z523" s="92"/>
      <c r="AA523" s="146" t="s">
        <v>204</v>
      </c>
      <c r="AB523" s="92"/>
      <c r="AC523" s="146" t="s">
        <v>204</v>
      </c>
      <c r="AD523" s="92"/>
      <c r="AE523" s="146" t="s">
        <v>204</v>
      </c>
      <c r="AF523" s="187" t="str">
        <f t="shared" si="35"/>
        <v>C</v>
      </c>
      <c r="AG523" s="54" t="str">
        <f t="shared" si="34"/>
        <v>UTILIZOU O PDA CORRETAMENTE</v>
      </c>
      <c r="AH523" s="144" t="s">
        <v>204</v>
      </c>
      <c r="AI523" s="210" t="s">
        <v>6</v>
      </c>
      <c r="AJ523" s="97" t="str">
        <f t="shared" si="36"/>
        <v>GUARULHOS</v>
      </c>
      <c r="AK523" s="213" t="s">
        <v>39</v>
      </c>
      <c r="AL523" s="53">
        <v>0.18674531605158673</v>
      </c>
      <c r="AM523" s="53" t="str" cm="1">
        <f t="array" ref="AM523">IF(OR(O523&lt;&gt;"", SUMPRODUCT(($AN$2:$AN$5000=AN523)*($AL$2:$AL$5000&lt;=AL523)) &lt;= (COUNTIF($AN$2:$AN$5000,AN523)*0.5)), "SORTEADO", "-")</f>
        <v>SORTEADO</v>
      </c>
      <c r="AN523" s="231" t="s">
        <v>1442</v>
      </c>
    </row>
    <row r="524" spans="1:40" ht="30" hidden="1" customHeight="1" x14ac:dyDescent="0.2">
      <c r="A524" s="231" t="s">
        <v>197</v>
      </c>
      <c r="B524" s="231">
        <v>2615962016</v>
      </c>
      <c r="C524" s="231" t="s">
        <v>105</v>
      </c>
      <c r="D524" s="231" t="s">
        <v>80</v>
      </c>
      <c r="E524" s="231" t="s">
        <v>198</v>
      </c>
      <c r="F524" s="231" t="s">
        <v>1461</v>
      </c>
      <c r="G524" s="231">
        <v>144</v>
      </c>
      <c r="H524" s="231"/>
      <c r="I524" s="231" t="s">
        <v>291</v>
      </c>
      <c r="J524" s="231" t="s">
        <v>226</v>
      </c>
      <c r="K524" s="231"/>
      <c r="L524" s="231" t="s">
        <v>1442</v>
      </c>
      <c r="M524" s="231" t="s">
        <v>1462</v>
      </c>
      <c r="N524" s="231" t="s">
        <v>348</v>
      </c>
      <c r="O524" s="158"/>
      <c r="P524" s="92"/>
      <c r="Q524" s="146"/>
      <c r="R524" s="92"/>
      <c r="S524" s="146"/>
      <c r="T524" s="92"/>
      <c r="U524" s="146"/>
      <c r="V524" s="92"/>
      <c r="W524" s="146"/>
      <c r="X524" s="92"/>
      <c r="Y524" s="146"/>
      <c r="Z524" s="92"/>
      <c r="AA524" s="146"/>
      <c r="AB524" s="92"/>
      <c r="AC524" s="146"/>
      <c r="AD524" s="92"/>
      <c r="AE524" s="146"/>
      <c r="AF524" s="187" t="str">
        <f t="shared" si="35"/>
        <v/>
      </c>
      <c r="AG524" s="54" t="b">
        <f t="shared" si="34"/>
        <v>0</v>
      </c>
      <c r="AH524" s="146"/>
      <c r="AI524" s="210" t="s">
        <v>6</v>
      </c>
      <c r="AJ524" s="97" t="str">
        <f t="shared" si="36"/>
        <v>GUARULHOS</v>
      </c>
      <c r="AK524" s="213" t="s">
        <v>39</v>
      </c>
      <c r="AL524" s="53">
        <v>0.5563104996234568</v>
      </c>
      <c r="AM524" s="53" t="str" cm="1">
        <f t="array" ref="AM524">IF(OR(O524&lt;&gt;"", SUMPRODUCT(($AN$2:$AN$5000=AN524)*($AL$2:$AL$5000&lt;=AL524)) &lt;= (COUNTIF($AN$2:$AN$5000,AN524)*0.5)), "SORTEADO", "-")</f>
        <v>-</v>
      </c>
      <c r="AN524" s="231" t="s">
        <v>1442</v>
      </c>
    </row>
    <row r="525" spans="1:40" ht="30" hidden="1" customHeight="1" x14ac:dyDescent="0.2">
      <c r="A525" s="231" t="s">
        <v>197</v>
      </c>
      <c r="B525" s="231">
        <v>2616236897</v>
      </c>
      <c r="C525" s="231" t="s">
        <v>105</v>
      </c>
      <c r="D525" s="231" t="s">
        <v>80</v>
      </c>
      <c r="E525" s="231" t="s">
        <v>198</v>
      </c>
      <c r="F525" s="231" t="s">
        <v>680</v>
      </c>
      <c r="G525" s="231">
        <v>74</v>
      </c>
      <c r="H525" s="231" t="s">
        <v>1463</v>
      </c>
      <c r="I525" s="231" t="s">
        <v>331</v>
      </c>
      <c r="J525" s="231" t="s">
        <v>226</v>
      </c>
      <c r="K525" s="231" t="s">
        <v>1464</v>
      </c>
      <c r="L525" s="231" t="s">
        <v>1442</v>
      </c>
      <c r="M525" s="231" t="s">
        <v>1465</v>
      </c>
      <c r="N525" s="231" t="s">
        <v>432</v>
      </c>
      <c r="O525" s="158"/>
      <c r="P525" s="92"/>
      <c r="Q525" s="146"/>
      <c r="R525" s="92"/>
      <c r="S525" s="146"/>
      <c r="T525" s="92"/>
      <c r="U525" s="146"/>
      <c r="V525" s="92"/>
      <c r="W525" s="146"/>
      <c r="X525" s="92"/>
      <c r="Y525" s="146"/>
      <c r="Z525" s="92"/>
      <c r="AA525" s="146"/>
      <c r="AB525" s="92"/>
      <c r="AC525" s="146"/>
      <c r="AD525" s="92"/>
      <c r="AE525" s="146"/>
      <c r="AF525" s="187" t="str">
        <f t="shared" si="35"/>
        <v/>
      </c>
      <c r="AG525" s="54" t="b">
        <f t="shared" si="34"/>
        <v>0</v>
      </c>
      <c r="AH525" s="146"/>
      <c r="AI525" s="210" t="s">
        <v>6</v>
      </c>
      <c r="AJ525" s="97" t="str">
        <f t="shared" si="36"/>
        <v>GUARULHOS</v>
      </c>
      <c r="AK525" s="213" t="s">
        <v>39</v>
      </c>
      <c r="AL525" s="53">
        <v>0.47779681796120577</v>
      </c>
      <c r="AM525" s="53" t="str" cm="1">
        <f t="array" ref="AM525">IF(OR(O525&lt;&gt;"", SUMPRODUCT(($AN$2:$AN$5000=AN525)*($AL$2:$AL$5000&lt;=AL525)) &lt;= (COUNTIF($AN$2:$AN$5000,AN525)*0.5)), "SORTEADO", "-")</f>
        <v>-</v>
      </c>
      <c r="AN525" s="231" t="s">
        <v>1442</v>
      </c>
    </row>
    <row r="526" spans="1:40" ht="30" hidden="1" customHeight="1" x14ac:dyDescent="0.2">
      <c r="A526" s="231" t="s">
        <v>197</v>
      </c>
      <c r="B526" s="231">
        <v>2690824795</v>
      </c>
      <c r="C526" s="231" t="s">
        <v>102</v>
      </c>
      <c r="D526" s="231" t="s">
        <v>80</v>
      </c>
      <c r="E526" s="231" t="s">
        <v>198</v>
      </c>
      <c r="F526" s="231" t="s">
        <v>1466</v>
      </c>
      <c r="G526" s="231">
        <v>256</v>
      </c>
      <c r="H526" s="231" t="s">
        <v>1467</v>
      </c>
      <c r="I526" s="231" t="s">
        <v>1468</v>
      </c>
      <c r="J526" s="231" t="s">
        <v>270</v>
      </c>
      <c r="K526" s="231" t="s">
        <v>974</v>
      </c>
      <c r="L526" s="231" t="s">
        <v>1442</v>
      </c>
      <c r="M526" s="231" t="s">
        <v>1469</v>
      </c>
      <c r="N526" s="231" t="s">
        <v>271</v>
      </c>
      <c r="O526" s="158"/>
      <c r="P526" s="92"/>
      <c r="Q526" s="146"/>
      <c r="R526" s="92"/>
      <c r="S526" s="146"/>
      <c r="T526" s="92"/>
      <c r="U526" s="146"/>
      <c r="V526" s="92"/>
      <c r="W526" s="146"/>
      <c r="X526" s="92"/>
      <c r="Y526" s="146"/>
      <c r="Z526" s="92"/>
      <c r="AA526" s="146"/>
      <c r="AB526" s="92"/>
      <c r="AC526" s="146"/>
      <c r="AD526" s="92"/>
      <c r="AE526" s="146"/>
      <c r="AF526" s="187" t="str">
        <f t="shared" si="35"/>
        <v/>
      </c>
      <c r="AG526" s="54" t="b">
        <f t="shared" si="34"/>
        <v>0</v>
      </c>
      <c r="AH526" s="146"/>
      <c r="AI526" s="210" t="s">
        <v>6</v>
      </c>
      <c r="AJ526" s="97" t="str">
        <f t="shared" si="36"/>
        <v>GUARULHOS</v>
      </c>
      <c r="AK526" s="213" t="s">
        <v>39</v>
      </c>
      <c r="AL526" s="53">
        <v>0.61064860526910536</v>
      </c>
      <c r="AM526" s="53" t="str" cm="1">
        <f t="array" ref="AM526">IF(OR(O526&lt;&gt;"", SUMPRODUCT(($AN$2:$AN$5000=AN526)*($AL$2:$AL$5000&lt;=AL526)) &lt;= (COUNTIF($AN$2:$AN$5000,AN526)*0.5)), "SORTEADO", "-")</f>
        <v>-</v>
      </c>
      <c r="AN526" s="231" t="s">
        <v>1442</v>
      </c>
    </row>
    <row r="527" spans="1:40" ht="30" customHeight="1" x14ac:dyDescent="0.2">
      <c r="A527" s="231" t="s">
        <v>197</v>
      </c>
      <c r="B527" s="231">
        <v>2690799633</v>
      </c>
      <c r="C527" s="231" t="s">
        <v>101</v>
      </c>
      <c r="D527" s="231" t="s">
        <v>80</v>
      </c>
      <c r="E527" s="231" t="s">
        <v>198</v>
      </c>
      <c r="F527" s="231" t="s">
        <v>1470</v>
      </c>
      <c r="G527" s="231">
        <v>226</v>
      </c>
      <c r="H527" s="231" t="s">
        <v>213</v>
      </c>
      <c r="I527" s="231" t="s">
        <v>281</v>
      </c>
      <c r="J527" s="231" t="s">
        <v>259</v>
      </c>
      <c r="K527" s="231" t="s">
        <v>213</v>
      </c>
      <c r="L527" s="231" t="s">
        <v>1442</v>
      </c>
      <c r="M527" s="231" t="s">
        <v>1471</v>
      </c>
      <c r="N527" s="231" t="s">
        <v>250</v>
      </c>
      <c r="O527" s="158" t="s">
        <v>204</v>
      </c>
      <c r="P527" s="92"/>
      <c r="Q527" s="146" t="s">
        <v>204</v>
      </c>
      <c r="R527" s="92"/>
      <c r="S527" s="146" t="s">
        <v>204</v>
      </c>
      <c r="T527" s="92"/>
      <c r="U527" s="146" t="s">
        <v>204</v>
      </c>
      <c r="V527" s="92"/>
      <c r="W527" s="146" t="s">
        <v>204</v>
      </c>
      <c r="X527" s="92"/>
      <c r="Y527" s="146" t="s">
        <v>61</v>
      </c>
      <c r="Z527" s="92"/>
      <c r="AA527" s="146" t="s">
        <v>204</v>
      </c>
      <c r="AB527" s="92"/>
      <c r="AC527" s="146" t="s">
        <v>204</v>
      </c>
      <c r="AD527" s="92"/>
      <c r="AE527" s="146" t="s">
        <v>204</v>
      </c>
      <c r="AF527" s="187" t="str">
        <f t="shared" si="35"/>
        <v>C</v>
      </c>
      <c r="AG527" s="54" t="str">
        <f t="shared" si="34"/>
        <v>UTILIZOU O PDA CORRETAMENTE</v>
      </c>
      <c r="AH527" s="144" t="s">
        <v>204</v>
      </c>
      <c r="AI527" s="210" t="s">
        <v>6</v>
      </c>
      <c r="AJ527" s="97" t="str">
        <f t="shared" si="36"/>
        <v>GUARULHOS</v>
      </c>
      <c r="AK527" s="213" t="s">
        <v>39</v>
      </c>
      <c r="AL527" s="53">
        <v>0.2408180124084387</v>
      </c>
      <c r="AM527" s="53" t="str" cm="1">
        <f t="array" ref="AM527">IF(OR(O527&lt;&gt;"", SUMPRODUCT(($AN$2:$AN$5000=AN527)*($AL$2:$AL$5000&lt;=AL527)) &lt;= (COUNTIF($AN$2:$AN$5000,AN527)*0.5)), "SORTEADO", "-")</f>
        <v>SORTEADO</v>
      </c>
      <c r="AN527" s="231" t="s">
        <v>1442</v>
      </c>
    </row>
    <row r="528" spans="1:40" ht="30" customHeight="1" x14ac:dyDescent="0.2">
      <c r="A528" s="231" t="s">
        <v>197</v>
      </c>
      <c r="B528" s="231">
        <v>2616226228</v>
      </c>
      <c r="C528" s="231" t="s">
        <v>105</v>
      </c>
      <c r="D528" s="231" t="s">
        <v>80</v>
      </c>
      <c r="E528" s="231" t="s">
        <v>198</v>
      </c>
      <c r="F528" s="231" t="s">
        <v>1472</v>
      </c>
      <c r="G528" s="231">
        <v>152</v>
      </c>
      <c r="H528" s="231" t="s">
        <v>1473</v>
      </c>
      <c r="I528" s="231" t="s">
        <v>301</v>
      </c>
      <c r="J528" s="231" t="s">
        <v>226</v>
      </c>
      <c r="K528" s="231"/>
      <c r="L528" s="231" t="s">
        <v>1442</v>
      </c>
      <c r="M528" s="231" t="s">
        <v>1474</v>
      </c>
      <c r="N528" s="231" t="s">
        <v>303</v>
      </c>
      <c r="O528" s="158" t="s">
        <v>204</v>
      </c>
      <c r="P528" s="92"/>
      <c r="Q528" s="146" t="s">
        <v>204</v>
      </c>
      <c r="R528" s="92"/>
      <c r="S528" s="146" t="s">
        <v>204</v>
      </c>
      <c r="T528" s="92"/>
      <c r="U528" s="146" t="s">
        <v>204</v>
      </c>
      <c r="V528" s="92"/>
      <c r="W528" s="146" t="s">
        <v>204</v>
      </c>
      <c r="X528" s="92"/>
      <c r="Y528" s="146" t="s">
        <v>61</v>
      </c>
      <c r="Z528" s="92"/>
      <c r="AA528" s="146" t="s">
        <v>204</v>
      </c>
      <c r="AB528" s="92"/>
      <c r="AC528" s="146" t="s">
        <v>204</v>
      </c>
      <c r="AD528" s="92"/>
      <c r="AE528" s="146" t="s">
        <v>204</v>
      </c>
      <c r="AF528" s="187" t="str">
        <f t="shared" si="35"/>
        <v>C</v>
      </c>
      <c r="AG528" s="54" t="str">
        <f t="shared" si="34"/>
        <v>UTILIZOU O PDA CORRETAMENTE</v>
      </c>
      <c r="AH528" s="144" t="s">
        <v>204</v>
      </c>
      <c r="AI528" s="210" t="s">
        <v>6</v>
      </c>
      <c r="AJ528" s="97" t="str">
        <f t="shared" si="36"/>
        <v>GUARULHOS</v>
      </c>
      <c r="AK528" s="213" t="s">
        <v>39</v>
      </c>
      <c r="AL528" s="53">
        <v>3.4088460755987926E-2</v>
      </c>
      <c r="AM528" s="53" t="str" cm="1">
        <f t="array" ref="AM528">IF(OR(O528&lt;&gt;"", SUMPRODUCT(($AN$2:$AN$5000=AN528)*($AL$2:$AL$5000&lt;=AL528)) &lt;= (COUNTIF($AN$2:$AN$5000,AN528)*0.5)), "SORTEADO", "-")</f>
        <v>SORTEADO</v>
      </c>
      <c r="AN528" s="231" t="s">
        <v>1442</v>
      </c>
    </row>
    <row r="529" spans="1:40" ht="30" customHeight="1" x14ac:dyDescent="0.2">
      <c r="A529" s="231" t="s">
        <v>197</v>
      </c>
      <c r="B529" s="231">
        <v>2616233970</v>
      </c>
      <c r="C529" s="231" t="s">
        <v>105</v>
      </c>
      <c r="D529" s="231" t="s">
        <v>80</v>
      </c>
      <c r="E529" s="231" t="s">
        <v>198</v>
      </c>
      <c r="F529" s="231" t="s">
        <v>1475</v>
      </c>
      <c r="G529" s="231">
        <v>60</v>
      </c>
      <c r="H529" s="231" t="s">
        <v>213</v>
      </c>
      <c r="I529" s="231" t="s">
        <v>301</v>
      </c>
      <c r="J529" s="231" t="s">
        <v>278</v>
      </c>
      <c r="K529" s="231" t="s">
        <v>213</v>
      </c>
      <c r="L529" s="231" t="s">
        <v>1442</v>
      </c>
      <c r="M529" s="231" t="s">
        <v>1476</v>
      </c>
      <c r="N529" s="231" t="s">
        <v>303</v>
      </c>
      <c r="O529" s="158" t="s">
        <v>204</v>
      </c>
      <c r="P529" s="92"/>
      <c r="Q529" s="146" t="s">
        <v>204</v>
      </c>
      <c r="R529" s="92"/>
      <c r="S529" s="146" t="s">
        <v>204</v>
      </c>
      <c r="T529" s="92"/>
      <c r="U529" s="146" t="s">
        <v>204</v>
      </c>
      <c r="V529" s="92"/>
      <c r="W529" s="146" t="s">
        <v>204</v>
      </c>
      <c r="X529" s="92"/>
      <c r="Y529" s="146" t="s">
        <v>61</v>
      </c>
      <c r="Z529" s="92"/>
      <c r="AA529" s="146" t="s">
        <v>204</v>
      </c>
      <c r="AB529" s="92"/>
      <c r="AC529" s="146" t="s">
        <v>204</v>
      </c>
      <c r="AD529" s="92"/>
      <c r="AE529" s="146" t="s">
        <v>204</v>
      </c>
      <c r="AF529" s="187" t="str">
        <f t="shared" si="35"/>
        <v>C</v>
      </c>
      <c r="AG529" s="54" t="str">
        <f t="shared" si="34"/>
        <v>UTILIZOU O PDA CORRETAMENTE</v>
      </c>
      <c r="AH529" s="144" t="s">
        <v>204</v>
      </c>
      <c r="AI529" s="210" t="s">
        <v>6</v>
      </c>
      <c r="AJ529" s="97" t="str">
        <f t="shared" si="36"/>
        <v>GUARULHOS</v>
      </c>
      <c r="AK529" s="213" t="s">
        <v>39</v>
      </c>
      <c r="AL529" s="53">
        <v>0.21771916378385348</v>
      </c>
      <c r="AM529" s="53" t="str" cm="1">
        <f t="array" ref="AM529">IF(OR(O529&lt;&gt;"", SUMPRODUCT(($AN$2:$AN$5000=AN529)*($AL$2:$AL$5000&lt;=AL529)) &lt;= (COUNTIF($AN$2:$AN$5000,AN529)*0.5)), "SORTEADO", "-")</f>
        <v>SORTEADO</v>
      </c>
      <c r="AN529" s="231" t="s">
        <v>1442</v>
      </c>
    </row>
    <row r="530" spans="1:40" ht="30" hidden="1" customHeight="1" x14ac:dyDescent="0.2">
      <c r="A530" s="231" t="s">
        <v>197</v>
      </c>
      <c r="B530" s="231">
        <v>2690831952</v>
      </c>
      <c r="C530" s="231" t="s">
        <v>102</v>
      </c>
      <c r="D530" s="231" t="s">
        <v>80</v>
      </c>
      <c r="E530" s="231" t="s">
        <v>198</v>
      </c>
      <c r="F530" s="231" t="s">
        <v>734</v>
      </c>
      <c r="G530" s="231">
        <v>412</v>
      </c>
      <c r="H530" s="231"/>
      <c r="I530" s="231" t="s">
        <v>253</v>
      </c>
      <c r="J530" s="231" t="s">
        <v>270</v>
      </c>
      <c r="K530" s="231"/>
      <c r="L530" s="231" t="s">
        <v>1442</v>
      </c>
      <c r="M530" s="231" t="s">
        <v>1477</v>
      </c>
      <c r="N530" s="231" t="s">
        <v>260</v>
      </c>
      <c r="O530" s="158"/>
      <c r="P530" s="92"/>
      <c r="Q530" s="146"/>
      <c r="R530" s="92"/>
      <c r="S530" s="146"/>
      <c r="T530" s="92"/>
      <c r="U530" s="146"/>
      <c r="V530" s="92"/>
      <c r="W530" s="146"/>
      <c r="X530" s="92"/>
      <c r="Y530" s="146"/>
      <c r="Z530" s="92"/>
      <c r="AA530" s="146"/>
      <c r="AB530" s="92"/>
      <c r="AC530" s="146"/>
      <c r="AD530" s="92"/>
      <c r="AE530" s="146"/>
      <c r="AF530" s="187" t="str">
        <f t="shared" si="35"/>
        <v/>
      </c>
      <c r="AG530" s="54" t="b">
        <f t="shared" si="34"/>
        <v>0</v>
      </c>
      <c r="AH530" s="146"/>
      <c r="AI530" s="210" t="s">
        <v>6</v>
      </c>
      <c r="AJ530" s="97" t="str">
        <f t="shared" si="36"/>
        <v>GUARULHOS</v>
      </c>
      <c r="AK530" s="213" t="s">
        <v>39</v>
      </c>
      <c r="AL530" s="53">
        <v>0.69926621053129157</v>
      </c>
      <c r="AM530" s="53" t="str" cm="1">
        <f t="array" ref="AM530">IF(OR(O530&lt;&gt;"", SUMPRODUCT(($AN$2:$AN$5000=AN530)*($AL$2:$AL$5000&lt;=AL530)) &lt;= (COUNTIF($AN$2:$AN$5000,AN530)*0.5)), "SORTEADO", "-")</f>
        <v>-</v>
      </c>
      <c r="AN530" s="231" t="s">
        <v>1442</v>
      </c>
    </row>
    <row r="531" spans="1:40" ht="30" hidden="1" customHeight="1" x14ac:dyDescent="0.2">
      <c r="A531" s="231" t="s">
        <v>197</v>
      </c>
      <c r="B531" s="231">
        <v>2616211831</v>
      </c>
      <c r="C531" s="231" t="s">
        <v>105</v>
      </c>
      <c r="D531" s="231" t="s">
        <v>80</v>
      </c>
      <c r="E531" s="231" t="s">
        <v>198</v>
      </c>
      <c r="F531" s="231" t="s">
        <v>1478</v>
      </c>
      <c r="G531" s="231">
        <v>609</v>
      </c>
      <c r="H531" s="231" t="s">
        <v>1479</v>
      </c>
      <c r="I531" s="231" t="s">
        <v>253</v>
      </c>
      <c r="J531" s="231" t="s">
        <v>278</v>
      </c>
      <c r="K531" s="231" t="s">
        <v>1480</v>
      </c>
      <c r="L531" s="231" t="s">
        <v>1442</v>
      </c>
      <c r="M531" s="231" t="s">
        <v>1481</v>
      </c>
      <c r="N531" s="231" t="s">
        <v>615</v>
      </c>
      <c r="O531" s="158"/>
      <c r="P531" s="92"/>
      <c r="Q531" s="146"/>
      <c r="R531" s="92"/>
      <c r="S531" s="146"/>
      <c r="T531" s="92"/>
      <c r="U531" s="146"/>
      <c r="V531" s="92"/>
      <c r="W531" s="146"/>
      <c r="X531" s="92"/>
      <c r="Y531" s="146"/>
      <c r="Z531" s="92"/>
      <c r="AA531" s="146"/>
      <c r="AB531" s="92"/>
      <c r="AC531" s="146"/>
      <c r="AD531" s="92"/>
      <c r="AE531" s="146"/>
      <c r="AF531" s="187" t="str">
        <f t="shared" si="35"/>
        <v/>
      </c>
      <c r="AG531" s="54" t="b">
        <f t="shared" si="34"/>
        <v>0</v>
      </c>
      <c r="AH531" s="146"/>
      <c r="AI531" s="210" t="s">
        <v>6</v>
      </c>
      <c r="AJ531" s="97" t="str">
        <f t="shared" si="36"/>
        <v>GUARULHOS</v>
      </c>
      <c r="AK531" s="213" t="s">
        <v>39</v>
      </c>
      <c r="AL531" s="53">
        <v>0.62791774002662126</v>
      </c>
      <c r="AM531" s="53" t="str" cm="1">
        <f t="array" ref="AM531">IF(OR(O531&lt;&gt;"", SUMPRODUCT(($AN$2:$AN$5000=AN531)*($AL$2:$AL$5000&lt;=AL531)) &lt;= (COUNTIF($AN$2:$AN$5000,AN531)*0.5)), "SORTEADO", "-")</f>
        <v>-</v>
      </c>
      <c r="AN531" s="231" t="s">
        <v>1442</v>
      </c>
    </row>
    <row r="532" spans="1:40" ht="30" customHeight="1" x14ac:dyDescent="0.2">
      <c r="A532" s="231" t="s">
        <v>197</v>
      </c>
      <c r="B532" s="231">
        <v>2616328247</v>
      </c>
      <c r="C532" s="231" t="s">
        <v>105</v>
      </c>
      <c r="D532" s="231" t="s">
        <v>80</v>
      </c>
      <c r="E532" s="231" t="s">
        <v>198</v>
      </c>
      <c r="F532" s="231" t="s">
        <v>365</v>
      </c>
      <c r="G532" s="231">
        <v>418</v>
      </c>
      <c r="H532" s="231" t="s">
        <v>418</v>
      </c>
      <c r="I532" s="231" t="s">
        <v>366</v>
      </c>
      <c r="J532" s="231" t="s">
        <v>226</v>
      </c>
      <c r="K532" s="231" t="s">
        <v>1482</v>
      </c>
      <c r="L532" s="231" t="s">
        <v>1442</v>
      </c>
      <c r="M532" s="231" t="s">
        <v>1483</v>
      </c>
      <c r="N532" s="231" t="s">
        <v>209</v>
      </c>
      <c r="O532" s="158" t="s">
        <v>204</v>
      </c>
      <c r="P532" s="92"/>
      <c r="Q532" s="146" t="s">
        <v>204</v>
      </c>
      <c r="R532" s="92"/>
      <c r="S532" s="146" t="s">
        <v>204</v>
      </c>
      <c r="T532" s="92"/>
      <c r="U532" s="146" t="s">
        <v>204</v>
      </c>
      <c r="V532" s="92"/>
      <c r="W532" s="146" t="s">
        <v>204</v>
      </c>
      <c r="X532" s="92"/>
      <c r="Y532" s="146" t="s">
        <v>61</v>
      </c>
      <c r="Z532" s="92"/>
      <c r="AA532" s="146" t="s">
        <v>204</v>
      </c>
      <c r="AB532" s="92"/>
      <c r="AC532" s="146" t="s">
        <v>204</v>
      </c>
      <c r="AD532" s="92"/>
      <c r="AE532" s="146" t="s">
        <v>204</v>
      </c>
      <c r="AF532" s="187" t="str">
        <f t="shared" si="35"/>
        <v>C</v>
      </c>
      <c r="AG532" s="54" t="str">
        <f t="shared" si="34"/>
        <v>UTILIZOU O PDA CORRETAMENTE</v>
      </c>
      <c r="AH532" s="144" t="s">
        <v>204</v>
      </c>
      <c r="AI532" s="210" t="s">
        <v>6</v>
      </c>
      <c r="AJ532" s="97" t="str">
        <f t="shared" si="36"/>
        <v>GUARULHOS</v>
      </c>
      <c r="AK532" s="213" t="s">
        <v>39</v>
      </c>
      <c r="AL532" s="53">
        <v>0.30659915251772696</v>
      </c>
      <c r="AM532" s="53" t="str" cm="1">
        <f t="array" ref="AM532">IF(OR(O532&lt;&gt;"", SUMPRODUCT(($AN$2:$AN$5000=AN532)*($AL$2:$AL$5000&lt;=AL532)) &lt;= (COUNTIF($AN$2:$AN$5000,AN532)*0.5)), "SORTEADO", "-")</f>
        <v>SORTEADO</v>
      </c>
      <c r="AN532" s="231" t="s">
        <v>1442</v>
      </c>
    </row>
    <row r="533" spans="1:40" ht="30" hidden="1" customHeight="1" x14ac:dyDescent="0.2">
      <c r="A533" s="231" t="s">
        <v>197</v>
      </c>
      <c r="B533" s="231">
        <v>2616327333</v>
      </c>
      <c r="C533" s="231" t="s">
        <v>100</v>
      </c>
      <c r="D533" s="231" t="s">
        <v>78</v>
      </c>
      <c r="E533" s="231" t="s">
        <v>198</v>
      </c>
      <c r="F533" s="231" t="s">
        <v>1369</v>
      </c>
      <c r="G533" s="231">
        <v>364</v>
      </c>
      <c r="H533" s="231" t="s">
        <v>1484</v>
      </c>
      <c r="I533" s="231" t="s">
        <v>258</v>
      </c>
      <c r="J533" s="231" t="s">
        <v>248</v>
      </c>
      <c r="K533" s="231" t="s">
        <v>380</v>
      </c>
      <c r="L533" s="231" t="s">
        <v>1442</v>
      </c>
      <c r="M533" s="231" t="s">
        <v>1485</v>
      </c>
      <c r="N533" s="231" t="s">
        <v>303</v>
      </c>
      <c r="O533" s="158"/>
      <c r="P533" s="92"/>
      <c r="Q533" s="146"/>
      <c r="R533" s="92"/>
      <c r="S533" s="146"/>
      <c r="T533" s="92"/>
      <c r="U533" s="146"/>
      <c r="V533" s="92"/>
      <c r="W533" s="146"/>
      <c r="X533" s="92"/>
      <c r="Y533" s="146"/>
      <c r="Z533" s="92"/>
      <c r="AA533" s="146"/>
      <c r="AB533" s="92"/>
      <c r="AC533" s="146"/>
      <c r="AD533" s="92"/>
      <c r="AE533" s="146"/>
      <c r="AF533" s="187" t="str">
        <f t="shared" si="35"/>
        <v/>
      </c>
      <c r="AG533" s="54" t="b">
        <f t="shared" si="34"/>
        <v>0</v>
      </c>
      <c r="AH533" s="146"/>
      <c r="AI533" s="210" t="s">
        <v>6</v>
      </c>
      <c r="AJ533" s="97" t="str">
        <f t="shared" si="36"/>
        <v>GUARULHOS</v>
      </c>
      <c r="AK533" s="213" t="s">
        <v>39</v>
      </c>
      <c r="AL533" s="53">
        <v>0.91558734059123814</v>
      </c>
      <c r="AM533" s="53" t="str" cm="1">
        <f t="array" ref="AM533">IF(OR(O533&lt;&gt;"", SUMPRODUCT(($AN$2:$AN$5000=AN533)*($AL$2:$AL$5000&lt;=AL533)) &lt;= (COUNTIF($AN$2:$AN$5000,AN533)*0.5)), "SORTEADO", "-")</f>
        <v>-</v>
      </c>
      <c r="AN533" s="231" t="s">
        <v>1442</v>
      </c>
    </row>
    <row r="534" spans="1:40" ht="30" hidden="1" customHeight="1" x14ac:dyDescent="0.2">
      <c r="A534" s="231" t="s">
        <v>197</v>
      </c>
      <c r="B534" s="231">
        <v>2616329155</v>
      </c>
      <c r="C534" s="231" t="s">
        <v>102</v>
      </c>
      <c r="D534" s="231" t="s">
        <v>80</v>
      </c>
      <c r="E534" s="231" t="s">
        <v>198</v>
      </c>
      <c r="F534" s="231" t="s">
        <v>1486</v>
      </c>
      <c r="G534" s="231">
        <v>71</v>
      </c>
      <c r="H534" s="231" t="s">
        <v>1487</v>
      </c>
      <c r="I534" s="231" t="s">
        <v>436</v>
      </c>
      <c r="J534" s="231" t="s">
        <v>270</v>
      </c>
      <c r="K534" s="231"/>
      <c r="L534" s="231" t="s">
        <v>1442</v>
      </c>
      <c r="M534" s="231" t="s">
        <v>1488</v>
      </c>
      <c r="N534" s="231" t="s">
        <v>381</v>
      </c>
      <c r="O534" s="158"/>
      <c r="P534" s="92"/>
      <c r="Q534" s="146"/>
      <c r="R534" s="92"/>
      <c r="S534" s="146"/>
      <c r="T534" s="92"/>
      <c r="U534" s="146"/>
      <c r="V534" s="92"/>
      <c r="W534" s="146"/>
      <c r="X534" s="92"/>
      <c r="Y534" s="146"/>
      <c r="Z534" s="92"/>
      <c r="AA534" s="146"/>
      <c r="AB534" s="92"/>
      <c r="AC534" s="146"/>
      <c r="AD534" s="92"/>
      <c r="AE534" s="146"/>
      <c r="AF534" s="187" t="str">
        <f t="shared" si="35"/>
        <v/>
      </c>
      <c r="AG534" s="54" t="b">
        <f t="shared" si="34"/>
        <v>0</v>
      </c>
      <c r="AH534" s="146"/>
      <c r="AI534" s="210" t="s">
        <v>6</v>
      </c>
      <c r="AJ534" s="97" t="str">
        <f t="shared" si="36"/>
        <v>GUARULHOS</v>
      </c>
      <c r="AK534" s="213" t="s">
        <v>39</v>
      </c>
      <c r="AL534" s="53">
        <v>0.77173313842984403</v>
      </c>
      <c r="AM534" s="53" t="str" cm="1">
        <f t="array" ref="AM534">IF(OR(O534&lt;&gt;"", SUMPRODUCT(($AN$2:$AN$5000=AN534)*($AL$2:$AL$5000&lt;=AL534)) &lt;= (COUNTIF($AN$2:$AN$5000,AN534)*0.5)), "SORTEADO", "-")</f>
        <v>-</v>
      </c>
      <c r="AN534" s="231" t="s">
        <v>1442</v>
      </c>
    </row>
    <row r="535" spans="1:40" ht="30" customHeight="1" x14ac:dyDescent="0.2">
      <c r="A535" s="231" t="s">
        <v>197</v>
      </c>
      <c r="B535" s="231">
        <v>2616322788</v>
      </c>
      <c r="C535" s="231" t="s">
        <v>102</v>
      </c>
      <c r="D535" s="231" t="s">
        <v>80</v>
      </c>
      <c r="E535" s="231" t="s">
        <v>198</v>
      </c>
      <c r="F535" s="231" t="s">
        <v>1489</v>
      </c>
      <c r="G535" s="231">
        <v>31</v>
      </c>
      <c r="H535" s="231" t="s">
        <v>1490</v>
      </c>
      <c r="I535" s="231" t="s">
        <v>331</v>
      </c>
      <c r="J535" s="231" t="s">
        <v>270</v>
      </c>
      <c r="K535" s="231" t="s">
        <v>532</v>
      </c>
      <c r="L535" s="231" t="s">
        <v>1442</v>
      </c>
      <c r="M535" s="231" t="s">
        <v>1447</v>
      </c>
      <c r="N535" s="231" t="s">
        <v>432</v>
      </c>
      <c r="O535" s="158" t="s">
        <v>204</v>
      </c>
      <c r="P535" s="92"/>
      <c r="Q535" s="146" t="s">
        <v>204</v>
      </c>
      <c r="R535" s="92"/>
      <c r="S535" s="146" t="s">
        <v>204</v>
      </c>
      <c r="T535" s="92"/>
      <c r="U535" s="146" t="s">
        <v>204</v>
      </c>
      <c r="V535" s="92"/>
      <c r="W535" s="146" t="s">
        <v>204</v>
      </c>
      <c r="X535" s="92"/>
      <c r="Y535" s="146" t="s">
        <v>61</v>
      </c>
      <c r="Z535" s="92"/>
      <c r="AA535" s="146" t="s">
        <v>204</v>
      </c>
      <c r="AB535" s="92"/>
      <c r="AC535" s="146" t="s">
        <v>204</v>
      </c>
      <c r="AD535" s="92"/>
      <c r="AE535" s="146" t="s">
        <v>204</v>
      </c>
      <c r="AF535" s="187" t="str">
        <f t="shared" si="35"/>
        <v>C</v>
      </c>
      <c r="AG535" s="54" t="str">
        <f t="shared" ref="AG535:AG566" si="37">IF(AND(AE535="C",AF535="C"),"UTILIZOU O PDA CORRETAMENTE",IF(AND(AE535="C",AF535="NC"),"UTILIZOU O PDA CORRETAMENTE. NÃO HÁ FOTOS DE TODAS AS ETAPAS",IF(AND(AE535="NC",AF535="NC"),"NÃO UTILIZOU O PDA",IF(AND(AE535="NA",AF535="NA"),"NÃO AVALIADO POR FALHA DE SINCRONISMO"))))</f>
        <v>UTILIZOU O PDA CORRETAMENTE</v>
      </c>
      <c r="AH535" s="144" t="s">
        <v>204</v>
      </c>
      <c r="AI535" s="210" t="s">
        <v>6</v>
      </c>
      <c r="AJ535" s="97" t="str">
        <f t="shared" si="36"/>
        <v>GUARULHOS</v>
      </c>
      <c r="AK535" s="213" t="s">
        <v>39</v>
      </c>
      <c r="AL535" s="53">
        <v>0.11148631441145429</v>
      </c>
      <c r="AM535" s="53" t="str" cm="1">
        <f t="array" ref="AM535">IF(OR(O535&lt;&gt;"", SUMPRODUCT(($AN$2:$AN$5000=AN535)*($AL$2:$AL$5000&lt;=AL535)) &lt;= (COUNTIF($AN$2:$AN$5000,AN535)*0.5)), "SORTEADO", "-")</f>
        <v>SORTEADO</v>
      </c>
      <c r="AN535" s="231" t="s">
        <v>1442</v>
      </c>
    </row>
    <row r="536" spans="1:40" ht="30" customHeight="1" x14ac:dyDescent="0.2">
      <c r="A536" s="231" t="s">
        <v>197</v>
      </c>
      <c r="B536" s="231">
        <v>2616326554</v>
      </c>
      <c r="C536" s="231" t="s">
        <v>105</v>
      </c>
      <c r="D536" s="231" t="s">
        <v>80</v>
      </c>
      <c r="E536" s="231" t="s">
        <v>198</v>
      </c>
      <c r="F536" s="231" t="s">
        <v>1475</v>
      </c>
      <c r="G536" s="231">
        <v>24</v>
      </c>
      <c r="H536" s="231"/>
      <c r="I536" s="231" t="s">
        <v>301</v>
      </c>
      <c r="J536" s="231" t="s">
        <v>467</v>
      </c>
      <c r="K536" s="231" t="s">
        <v>1491</v>
      </c>
      <c r="L536" s="231" t="s">
        <v>1442</v>
      </c>
      <c r="M536" s="231" t="s">
        <v>1492</v>
      </c>
      <c r="N536" s="231" t="s">
        <v>241</v>
      </c>
      <c r="O536" s="158" t="s">
        <v>204</v>
      </c>
      <c r="P536" s="92"/>
      <c r="Q536" s="146" t="s">
        <v>204</v>
      </c>
      <c r="R536" s="92"/>
      <c r="S536" s="146" t="s">
        <v>204</v>
      </c>
      <c r="T536" s="92"/>
      <c r="U536" s="146" t="s">
        <v>204</v>
      </c>
      <c r="V536" s="92"/>
      <c r="W536" s="146" t="s">
        <v>204</v>
      </c>
      <c r="X536" s="92"/>
      <c r="Y536" s="146" t="s">
        <v>61</v>
      </c>
      <c r="Z536" s="92"/>
      <c r="AA536" s="146" t="s">
        <v>204</v>
      </c>
      <c r="AB536" s="92"/>
      <c r="AC536" s="146" t="s">
        <v>204</v>
      </c>
      <c r="AD536" s="92"/>
      <c r="AE536" s="146" t="s">
        <v>204</v>
      </c>
      <c r="AF536" s="187" t="str">
        <f t="shared" si="35"/>
        <v>C</v>
      </c>
      <c r="AG536" s="54" t="str">
        <f t="shared" si="37"/>
        <v>UTILIZOU O PDA CORRETAMENTE</v>
      </c>
      <c r="AH536" s="144" t="s">
        <v>204</v>
      </c>
      <c r="AI536" s="210" t="s">
        <v>6</v>
      </c>
      <c r="AJ536" s="97" t="str">
        <f t="shared" si="36"/>
        <v>GUARULHOS</v>
      </c>
      <c r="AK536" s="213" t="s">
        <v>39</v>
      </c>
      <c r="AL536" s="53">
        <v>0.23670510092245001</v>
      </c>
      <c r="AM536" s="53" t="str" cm="1">
        <f t="array" ref="AM536">IF(OR(O536&lt;&gt;"", SUMPRODUCT(($AN$2:$AN$5000=AN536)*($AL$2:$AL$5000&lt;=AL536)) &lt;= (COUNTIF($AN$2:$AN$5000,AN536)*0.5)), "SORTEADO", "-")</f>
        <v>SORTEADO</v>
      </c>
      <c r="AN536" s="231" t="s">
        <v>1442</v>
      </c>
    </row>
    <row r="537" spans="1:40" ht="30" hidden="1" customHeight="1" x14ac:dyDescent="0.2">
      <c r="A537" s="231" t="s">
        <v>197</v>
      </c>
      <c r="B537" s="231">
        <v>2616190423</v>
      </c>
      <c r="C537" s="231" t="s">
        <v>89</v>
      </c>
      <c r="D537" s="231" t="s">
        <v>77</v>
      </c>
      <c r="E537" s="231" t="s">
        <v>198</v>
      </c>
      <c r="F537" s="231" t="s">
        <v>423</v>
      </c>
      <c r="G537" s="231">
        <v>256</v>
      </c>
      <c r="H537" s="231" t="s">
        <v>1493</v>
      </c>
      <c r="I537" s="231" t="s">
        <v>425</v>
      </c>
      <c r="J537" s="231" t="s">
        <v>346</v>
      </c>
      <c r="K537" s="231" t="s">
        <v>1494</v>
      </c>
      <c r="L537" s="231" t="s">
        <v>1442</v>
      </c>
      <c r="M537" s="231" t="s">
        <v>1495</v>
      </c>
      <c r="N537" s="231" t="s">
        <v>241</v>
      </c>
      <c r="O537" s="158"/>
      <c r="P537" s="92"/>
      <c r="Q537" s="146"/>
      <c r="R537" s="92"/>
      <c r="S537" s="146"/>
      <c r="T537" s="92"/>
      <c r="U537" s="146"/>
      <c r="V537" s="92"/>
      <c r="W537" s="146"/>
      <c r="X537" s="92"/>
      <c r="Y537" s="146"/>
      <c r="Z537" s="92"/>
      <c r="AA537" s="146"/>
      <c r="AB537" s="92"/>
      <c r="AC537" s="146"/>
      <c r="AD537" s="92"/>
      <c r="AE537" s="146"/>
      <c r="AF537" s="187" t="str">
        <f t="shared" si="35"/>
        <v/>
      </c>
      <c r="AG537" s="54" t="b">
        <f t="shared" si="37"/>
        <v>0</v>
      </c>
      <c r="AH537" s="146"/>
      <c r="AI537" s="210" t="s">
        <v>6</v>
      </c>
      <c r="AJ537" s="97" t="str">
        <f t="shared" si="36"/>
        <v>GUARULHOS</v>
      </c>
      <c r="AK537" s="213" t="s">
        <v>39</v>
      </c>
      <c r="AL537" s="53">
        <v>0.76077216573374939</v>
      </c>
      <c r="AM537" s="53" t="str" cm="1">
        <f t="array" ref="AM537">IF(OR(O537&lt;&gt;"", SUMPRODUCT(($AN$2:$AN$5000=AN537)*($AL$2:$AL$5000&lt;=AL537)) &lt;= (COUNTIF($AN$2:$AN$5000,AN537)*0.5)), "SORTEADO", "-")</f>
        <v>-</v>
      </c>
      <c r="AN537" s="231" t="s">
        <v>1442</v>
      </c>
    </row>
    <row r="538" spans="1:40" ht="30" hidden="1" customHeight="1" x14ac:dyDescent="0.2">
      <c r="A538" s="231" t="s">
        <v>197</v>
      </c>
      <c r="B538" s="231">
        <v>2616347161</v>
      </c>
      <c r="C538" s="231" t="s">
        <v>100</v>
      </c>
      <c r="D538" s="231" t="s">
        <v>78</v>
      </c>
      <c r="E538" s="231" t="s">
        <v>198</v>
      </c>
      <c r="F538" s="231" t="s">
        <v>1496</v>
      </c>
      <c r="G538" s="231">
        <v>333</v>
      </c>
      <c r="H538" s="231" t="s">
        <v>1497</v>
      </c>
      <c r="I538" s="231" t="s">
        <v>732</v>
      </c>
      <c r="J538" s="231" t="s">
        <v>248</v>
      </c>
      <c r="K538" s="231"/>
      <c r="L538" s="231" t="s">
        <v>1442</v>
      </c>
      <c r="M538" s="231" t="s">
        <v>1447</v>
      </c>
      <c r="N538" s="231" t="s">
        <v>237</v>
      </c>
      <c r="O538" s="158"/>
      <c r="P538" s="92"/>
      <c r="Q538" s="146"/>
      <c r="R538" s="92"/>
      <c r="S538" s="146"/>
      <c r="T538" s="92"/>
      <c r="U538" s="146"/>
      <c r="V538" s="92"/>
      <c r="W538" s="146"/>
      <c r="X538" s="92"/>
      <c r="Y538" s="146"/>
      <c r="Z538" s="92"/>
      <c r="AA538" s="146"/>
      <c r="AB538" s="92"/>
      <c r="AC538" s="146"/>
      <c r="AD538" s="92"/>
      <c r="AE538" s="146"/>
      <c r="AF538" s="187" t="str">
        <f t="shared" si="35"/>
        <v/>
      </c>
      <c r="AG538" s="54" t="b">
        <f t="shared" si="37"/>
        <v>0</v>
      </c>
      <c r="AH538" s="146"/>
      <c r="AI538" s="210" t="s">
        <v>6</v>
      </c>
      <c r="AJ538" s="97" t="str">
        <f t="shared" si="36"/>
        <v>GUARULHOS</v>
      </c>
      <c r="AK538" s="213" t="s">
        <v>39</v>
      </c>
      <c r="AL538" s="53">
        <v>0.72321865482778136</v>
      </c>
      <c r="AM538" s="53" t="str" cm="1">
        <f t="array" ref="AM538">IF(OR(O538&lt;&gt;"", SUMPRODUCT(($AN$2:$AN$5000=AN538)*($AL$2:$AL$5000&lt;=AL538)) &lt;= (COUNTIF($AN$2:$AN$5000,AN538)*0.5)), "SORTEADO", "-")</f>
        <v>-</v>
      </c>
      <c r="AN538" s="231" t="s">
        <v>1442</v>
      </c>
    </row>
    <row r="539" spans="1:40" ht="30" customHeight="1" x14ac:dyDescent="0.2">
      <c r="A539" s="231" t="s">
        <v>197</v>
      </c>
      <c r="B539" s="231">
        <v>2616347516</v>
      </c>
      <c r="C539" s="231" t="s">
        <v>105</v>
      </c>
      <c r="D539" s="231" t="s">
        <v>80</v>
      </c>
      <c r="E539" s="231" t="s">
        <v>198</v>
      </c>
      <c r="F539" s="231" t="s">
        <v>1498</v>
      </c>
      <c r="G539" s="231">
        <v>68</v>
      </c>
      <c r="H539" s="231" t="s">
        <v>1499</v>
      </c>
      <c r="I539" s="231" t="s">
        <v>664</v>
      </c>
      <c r="J539" s="231" t="s">
        <v>226</v>
      </c>
      <c r="K539" s="231" t="s">
        <v>321</v>
      </c>
      <c r="L539" s="231" t="s">
        <v>1442</v>
      </c>
      <c r="M539" s="231" t="s">
        <v>1500</v>
      </c>
      <c r="N539" s="231" t="s">
        <v>322</v>
      </c>
      <c r="O539" s="158" t="s">
        <v>204</v>
      </c>
      <c r="P539" s="92"/>
      <c r="Q539" s="146" t="s">
        <v>204</v>
      </c>
      <c r="R539" s="92"/>
      <c r="S539" s="146" t="s">
        <v>204</v>
      </c>
      <c r="T539" s="92"/>
      <c r="U539" s="146" t="s">
        <v>204</v>
      </c>
      <c r="V539" s="92"/>
      <c r="W539" s="146" t="s">
        <v>204</v>
      </c>
      <c r="X539" s="92"/>
      <c r="Y539" s="146" t="s">
        <v>61</v>
      </c>
      <c r="Z539" s="92"/>
      <c r="AA539" s="146" t="s">
        <v>204</v>
      </c>
      <c r="AB539" s="92"/>
      <c r="AC539" s="146" t="s">
        <v>204</v>
      </c>
      <c r="AD539" s="92"/>
      <c r="AE539" s="146" t="s">
        <v>204</v>
      </c>
      <c r="AF539" s="187" t="str">
        <f t="shared" si="35"/>
        <v>C</v>
      </c>
      <c r="AG539" s="54" t="str">
        <f t="shared" si="37"/>
        <v>UTILIZOU O PDA CORRETAMENTE</v>
      </c>
      <c r="AH539" s="144" t="s">
        <v>204</v>
      </c>
      <c r="AI539" s="210" t="s">
        <v>6</v>
      </c>
      <c r="AJ539" s="97" t="str">
        <f t="shared" si="36"/>
        <v>GUARULHOS</v>
      </c>
      <c r="AK539" s="213" t="s">
        <v>39</v>
      </c>
      <c r="AL539" s="53">
        <v>0.16389189107491831</v>
      </c>
      <c r="AM539" s="53" t="str" cm="1">
        <f t="array" ref="AM539">IF(OR(O539&lt;&gt;"", SUMPRODUCT(($AN$2:$AN$5000=AN539)*($AL$2:$AL$5000&lt;=AL539)) &lt;= (COUNTIF($AN$2:$AN$5000,AN539)*0.5)), "SORTEADO", "-")</f>
        <v>SORTEADO</v>
      </c>
      <c r="AN539" s="231" t="s">
        <v>1442</v>
      </c>
    </row>
    <row r="540" spans="1:40" ht="30" customHeight="1" x14ac:dyDescent="0.2">
      <c r="A540" s="231" t="s">
        <v>197</v>
      </c>
      <c r="B540" s="231">
        <v>2690852206</v>
      </c>
      <c r="C540" s="231" t="s">
        <v>102</v>
      </c>
      <c r="D540" s="231" t="s">
        <v>80</v>
      </c>
      <c r="E540" s="231" t="s">
        <v>198</v>
      </c>
      <c r="F540" s="231" t="s">
        <v>1501</v>
      </c>
      <c r="G540" s="231">
        <v>674</v>
      </c>
      <c r="H540" s="231" t="s">
        <v>1502</v>
      </c>
      <c r="I540" s="231" t="s">
        <v>480</v>
      </c>
      <c r="J540" s="231" t="s">
        <v>297</v>
      </c>
      <c r="K540" s="231"/>
      <c r="L540" s="231" t="s">
        <v>1442</v>
      </c>
      <c r="M540" s="231" t="s">
        <v>1503</v>
      </c>
      <c r="N540" s="231" t="s">
        <v>322</v>
      </c>
      <c r="O540" s="158" t="s">
        <v>204</v>
      </c>
      <c r="P540" s="92"/>
      <c r="Q540" s="146" t="s">
        <v>204</v>
      </c>
      <c r="R540" s="92"/>
      <c r="S540" s="146" t="s">
        <v>204</v>
      </c>
      <c r="T540" s="92"/>
      <c r="U540" s="146" t="s">
        <v>204</v>
      </c>
      <c r="V540" s="92"/>
      <c r="W540" s="146" t="s">
        <v>204</v>
      </c>
      <c r="X540" s="92"/>
      <c r="Y540" s="146" t="s">
        <v>61</v>
      </c>
      <c r="Z540" s="92"/>
      <c r="AA540" s="146" t="s">
        <v>204</v>
      </c>
      <c r="AB540" s="92"/>
      <c r="AC540" s="146" t="s">
        <v>204</v>
      </c>
      <c r="AD540" s="92"/>
      <c r="AE540" s="146" t="s">
        <v>204</v>
      </c>
      <c r="AF540" s="187" t="str">
        <f t="shared" si="35"/>
        <v>C</v>
      </c>
      <c r="AG540" s="54" t="str">
        <f t="shared" si="37"/>
        <v>UTILIZOU O PDA CORRETAMENTE</v>
      </c>
      <c r="AH540" s="144" t="s">
        <v>204</v>
      </c>
      <c r="AI540" s="210" t="s">
        <v>6</v>
      </c>
      <c r="AJ540" s="97" t="str">
        <f t="shared" si="36"/>
        <v>GUARULHOS</v>
      </c>
      <c r="AK540" s="213" t="s">
        <v>39</v>
      </c>
      <c r="AL540" s="53">
        <v>0.23898736016628619</v>
      </c>
      <c r="AM540" s="53" t="str" cm="1">
        <f t="array" ref="AM540">IF(OR(O540&lt;&gt;"", SUMPRODUCT(($AN$2:$AN$5000=AN540)*($AL$2:$AL$5000&lt;=AL540)) &lt;= (COUNTIF($AN$2:$AN$5000,AN540)*0.5)), "SORTEADO", "-")</f>
        <v>SORTEADO</v>
      </c>
      <c r="AN540" s="231" t="s">
        <v>1442</v>
      </c>
    </row>
    <row r="541" spans="1:40" ht="30" hidden="1" customHeight="1" x14ac:dyDescent="0.2">
      <c r="A541" s="231" t="s">
        <v>197</v>
      </c>
      <c r="B541" s="231">
        <v>2616232051</v>
      </c>
      <c r="C541" s="231" t="s">
        <v>99</v>
      </c>
      <c r="D541" s="231" t="s">
        <v>80</v>
      </c>
      <c r="E541" s="231" t="s">
        <v>198</v>
      </c>
      <c r="F541" s="231" t="s">
        <v>1504</v>
      </c>
      <c r="G541" s="231">
        <v>244</v>
      </c>
      <c r="H541" s="231" t="s">
        <v>309</v>
      </c>
      <c r="I541" s="231" t="s">
        <v>791</v>
      </c>
      <c r="J541" s="231" t="s">
        <v>305</v>
      </c>
      <c r="K541" s="231" t="s">
        <v>1505</v>
      </c>
      <c r="L541" s="231" t="s">
        <v>1442</v>
      </c>
      <c r="M541" s="231" t="s">
        <v>1506</v>
      </c>
      <c r="N541" s="231" t="s">
        <v>263</v>
      </c>
      <c r="O541" s="158"/>
      <c r="P541" s="92"/>
      <c r="Q541" s="146"/>
      <c r="R541" s="92"/>
      <c r="S541" s="146"/>
      <c r="T541" s="92"/>
      <c r="U541" s="146"/>
      <c r="V541" s="92"/>
      <c r="W541" s="146"/>
      <c r="X541" s="92"/>
      <c r="Y541" s="146"/>
      <c r="Z541" s="92"/>
      <c r="AA541" s="146"/>
      <c r="AB541" s="92"/>
      <c r="AC541" s="146"/>
      <c r="AD541" s="92"/>
      <c r="AE541" s="146"/>
      <c r="AF541" s="187" t="str">
        <f t="shared" si="35"/>
        <v/>
      </c>
      <c r="AG541" s="54" t="b">
        <f t="shared" si="37"/>
        <v>0</v>
      </c>
      <c r="AH541" s="146"/>
      <c r="AI541" s="210" t="s">
        <v>6</v>
      </c>
      <c r="AJ541" s="97" t="str">
        <f t="shared" si="36"/>
        <v>GUARULHOS</v>
      </c>
      <c r="AK541" s="213" t="s">
        <v>39</v>
      </c>
      <c r="AL541" s="53">
        <v>0.70819914003063922</v>
      </c>
      <c r="AM541" s="53" t="str" cm="1">
        <f t="array" ref="AM541">IF(OR(O541&lt;&gt;"", SUMPRODUCT(($AN$2:$AN$5000=AN541)*($AL$2:$AL$5000&lt;=AL541)) &lt;= (COUNTIF($AN$2:$AN$5000,AN541)*0.5)), "SORTEADO", "-")</f>
        <v>-</v>
      </c>
      <c r="AN541" s="231" t="s">
        <v>1442</v>
      </c>
    </row>
    <row r="542" spans="1:40" ht="30" customHeight="1" x14ac:dyDescent="0.2">
      <c r="A542" s="231" t="s">
        <v>197</v>
      </c>
      <c r="B542" s="231">
        <v>2616359788</v>
      </c>
      <c r="C542" s="231" t="s">
        <v>100</v>
      </c>
      <c r="D542" s="231" t="s">
        <v>78</v>
      </c>
      <c r="E542" s="231" t="s">
        <v>198</v>
      </c>
      <c r="F542" s="231" t="s">
        <v>399</v>
      </c>
      <c r="G542" s="231">
        <v>360</v>
      </c>
      <c r="H542" s="231" t="s">
        <v>1507</v>
      </c>
      <c r="I542" s="231" t="s">
        <v>394</v>
      </c>
      <c r="J542" s="231" t="s">
        <v>248</v>
      </c>
      <c r="K542" s="231" t="s">
        <v>1508</v>
      </c>
      <c r="L542" s="231" t="s">
        <v>1442</v>
      </c>
      <c r="M542" s="231" t="s">
        <v>1509</v>
      </c>
      <c r="N542" s="231" t="s">
        <v>408</v>
      </c>
      <c r="O542" s="157" t="s">
        <v>204</v>
      </c>
      <c r="P542" s="143"/>
      <c r="Q542" s="144" t="s">
        <v>204</v>
      </c>
      <c r="R542" s="143"/>
      <c r="S542" s="144" t="s">
        <v>204</v>
      </c>
      <c r="T542" s="143"/>
      <c r="U542" s="144" t="s">
        <v>204</v>
      </c>
      <c r="V542" s="143"/>
      <c r="W542" s="144" t="s">
        <v>204</v>
      </c>
      <c r="X542" s="143"/>
      <c r="Y542" s="144" t="s">
        <v>204</v>
      </c>
      <c r="Z542" s="143"/>
      <c r="AA542" s="144" t="s">
        <v>204</v>
      </c>
      <c r="AB542" s="143"/>
      <c r="AC542" s="144" t="s">
        <v>204</v>
      </c>
      <c r="AD542" s="56"/>
      <c r="AE542" s="144" t="s">
        <v>204</v>
      </c>
      <c r="AF542" s="187" t="str">
        <f t="shared" si="35"/>
        <v>C</v>
      </c>
      <c r="AG542" s="54" t="str">
        <f t="shared" si="37"/>
        <v>UTILIZOU O PDA CORRETAMENTE</v>
      </c>
      <c r="AH542" s="144" t="s">
        <v>204</v>
      </c>
      <c r="AI542" s="210" t="s">
        <v>6</v>
      </c>
      <c r="AJ542" s="97" t="str">
        <f t="shared" si="36"/>
        <v>GUARULHOS</v>
      </c>
      <c r="AK542" s="213" t="s">
        <v>39</v>
      </c>
      <c r="AL542" s="53">
        <v>7.532259870520408E-2</v>
      </c>
      <c r="AM542" s="53" t="str" cm="1">
        <f t="array" ref="AM542">IF(OR(O542&lt;&gt;"", SUMPRODUCT(($AN$2:$AN$5000=AN542)*($AL$2:$AL$5000&lt;=AL542)) &lt;= (COUNTIF($AN$2:$AN$5000,AN542)*0.5)), "SORTEADO", "-")</f>
        <v>SORTEADO</v>
      </c>
      <c r="AN542" s="231" t="s">
        <v>1442</v>
      </c>
    </row>
    <row r="543" spans="1:40" ht="30" hidden="1" customHeight="1" x14ac:dyDescent="0.2">
      <c r="A543" s="231" t="s">
        <v>197</v>
      </c>
      <c r="B543" s="231">
        <v>2690799987</v>
      </c>
      <c r="C543" s="231" t="s">
        <v>89</v>
      </c>
      <c r="D543" s="231" t="s">
        <v>77</v>
      </c>
      <c r="E543" s="231" t="s">
        <v>198</v>
      </c>
      <c r="F543" s="231" t="s">
        <v>609</v>
      </c>
      <c r="G543" s="231">
        <v>56</v>
      </c>
      <c r="H543" s="231" t="s">
        <v>213</v>
      </c>
      <c r="I543" s="231" t="s">
        <v>611</v>
      </c>
      <c r="J543" s="231" t="s">
        <v>346</v>
      </c>
      <c r="K543" s="231" t="s">
        <v>213</v>
      </c>
      <c r="L543" s="231" t="s">
        <v>1442</v>
      </c>
      <c r="M543" s="231" t="s">
        <v>1510</v>
      </c>
      <c r="N543" s="231" t="s">
        <v>228</v>
      </c>
      <c r="O543" s="158"/>
      <c r="P543" s="92"/>
      <c r="Q543" s="146"/>
      <c r="R543" s="92"/>
      <c r="S543" s="146"/>
      <c r="T543" s="92"/>
      <c r="U543" s="146"/>
      <c r="V543" s="92"/>
      <c r="W543" s="146"/>
      <c r="X543" s="92"/>
      <c r="Y543" s="146"/>
      <c r="Z543" s="92"/>
      <c r="AA543" s="146"/>
      <c r="AB543" s="92"/>
      <c r="AC543" s="146"/>
      <c r="AD543" s="92"/>
      <c r="AE543" s="146"/>
      <c r="AF543" s="187" t="str">
        <f t="shared" si="35"/>
        <v/>
      </c>
      <c r="AG543" s="54" t="b">
        <f t="shared" si="37"/>
        <v>0</v>
      </c>
      <c r="AH543" s="146"/>
      <c r="AI543" s="210" t="s">
        <v>6</v>
      </c>
      <c r="AJ543" s="97" t="str">
        <f t="shared" si="36"/>
        <v>GUARULHOS</v>
      </c>
      <c r="AK543" s="213" t="s">
        <v>39</v>
      </c>
      <c r="AL543" s="53">
        <v>0.54998427592511356</v>
      </c>
      <c r="AM543" s="53" t="str" cm="1">
        <f t="array" ref="AM543">IF(OR(O543&lt;&gt;"", SUMPRODUCT(($AN$2:$AN$5000=AN543)*($AL$2:$AL$5000&lt;=AL543)) &lt;= (COUNTIF($AN$2:$AN$5000,AN543)*0.5)), "SORTEADO", "-")</f>
        <v>-</v>
      </c>
      <c r="AN543" s="231" t="s">
        <v>1442</v>
      </c>
    </row>
    <row r="544" spans="1:40" ht="30" hidden="1" customHeight="1" x14ac:dyDescent="0.2">
      <c r="A544" s="231" t="s">
        <v>197</v>
      </c>
      <c r="B544" s="231">
        <v>2616326003</v>
      </c>
      <c r="C544" s="231" t="s">
        <v>99</v>
      </c>
      <c r="D544" s="231" t="s">
        <v>80</v>
      </c>
      <c r="E544" s="231" t="s">
        <v>198</v>
      </c>
      <c r="F544" s="231" t="s">
        <v>1511</v>
      </c>
      <c r="G544" s="231">
        <v>278</v>
      </c>
      <c r="H544" s="231" t="s">
        <v>252</v>
      </c>
      <c r="I544" s="231" t="s">
        <v>301</v>
      </c>
      <c r="J544" s="231" t="s">
        <v>305</v>
      </c>
      <c r="K544" s="231" t="s">
        <v>1512</v>
      </c>
      <c r="L544" s="231" t="s">
        <v>1442</v>
      </c>
      <c r="M544" s="231" t="s">
        <v>1513</v>
      </c>
      <c r="N544" s="231" t="s">
        <v>241</v>
      </c>
      <c r="O544" s="158"/>
      <c r="P544" s="92"/>
      <c r="Q544" s="146"/>
      <c r="R544" s="92"/>
      <c r="S544" s="146"/>
      <c r="T544" s="92"/>
      <c r="U544" s="146"/>
      <c r="V544" s="92"/>
      <c r="W544" s="146"/>
      <c r="X544" s="92"/>
      <c r="Y544" s="146"/>
      <c r="Z544" s="92"/>
      <c r="AA544" s="146"/>
      <c r="AB544" s="92"/>
      <c r="AC544" s="146"/>
      <c r="AD544" s="92"/>
      <c r="AE544" s="146"/>
      <c r="AF544" s="187" t="str">
        <f t="shared" si="35"/>
        <v/>
      </c>
      <c r="AG544" s="54" t="b">
        <f t="shared" si="37"/>
        <v>0</v>
      </c>
      <c r="AH544" s="146"/>
      <c r="AI544" s="210" t="s">
        <v>6</v>
      </c>
      <c r="AJ544" s="97" t="str">
        <f t="shared" si="36"/>
        <v>GUARULHOS</v>
      </c>
      <c r="AK544" s="213" t="s">
        <v>39</v>
      </c>
      <c r="AL544" s="53">
        <v>0.67062769102412112</v>
      </c>
      <c r="AM544" s="53" t="str" cm="1">
        <f t="array" ref="AM544">IF(OR(O544&lt;&gt;"", SUMPRODUCT(($AN$2:$AN$5000=AN544)*($AL$2:$AL$5000&lt;=AL544)) &lt;= (COUNTIF($AN$2:$AN$5000,AN544)*0.5)), "SORTEADO", "-")</f>
        <v>-</v>
      </c>
      <c r="AN544" s="231" t="s">
        <v>1442</v>
      </c>
    </row>
    <row r="545" spans="1:40" ht="30" hidden="1" customHeight="1" x14ac:dyDescent="0.2">
      <c r="A545" s="231" t="s">
        <v>197</v>
      </c>
      <c r="B545" s="231">
        <v>2690868842</v>
      </c>
      <c r="C545" s="231" t="s">
        <v>106</v>
      </c>
      <c r="D545" s="231" t="s">
        <v>80</v>
      </c>
      <c r="E545" s="231" t="s">
        <v>198</v>
      </c>
      <c r="F545" s="231" t="s">
        <v>1258</v>
      </c>
      <c r="G545" s="231">
        <v>90</v>
      </c>
      <c r="H545" s="231" t="s">
        <v>1514</v>
      </c>
      <c r="I545" s="231" t="s">
        <v>335</v>
      </c>
      <c r="J545" s="231" t="s">
        <v>259</v>
      </c>
      <c r="K545" s="231" t="s">
        <v>1515</v>
      </c>
      <c r="L545" s="231" t="s">
        <v>1442</v>
      </c>
      <c r="M545" s="231" t="s">
        <v>1516</v>
      </c>
      <c r="N545" s="231" t="s">
        <v>228</v>
      </c>
      <c r="O545" s="158"/>
      <c r="P545" s="92"/>
      <c r="Q545" s="146"/>
      <c r="R545" s="92"/>
      <c r="S545" s="146"/>
      <c r="T545" s="92"/>
      <c r="U545" s="146"/>
      <c r="V545" s="92"/>
      <c r="W545" s="146"/>
      <c r="X545" s="92"/>
      <c r="Y545" s="146"/>
      <c r="Z545" s="92"/>
      <c r="AA545" s="146"/>
      <c r="AB545" s="92"/>
      <c r="AC545" s="146"/>
      <c r="AD545" s="92"/>
      <c r="AE545" s="146"/>
      <c r="AF545" s="187" t="str">
        <f t="shared" si="35"/>
        <v/>
      </c>
      <c r="AG545" s="54" t="b">
        <f t="shared" si="37"/>
        <v>0</v>
      </c>
      <c r="AH545" s="146"/>
      <c r="AI545" s="210" t="s">
        <v>6</v>
      </c>
      <c r="AJ545" s="97" t="str">
        <f t="shared" si="36"/>
        <v>GUARULHOS</v>
      </c>
      <c r="AK545" s="213" t="s">
        <v>39</v>
      </c>
      <c r="AL545" s="53">
        <v>0.79292881312696462</v>
      </c>
      <c r="AM545" s="53" t="str" cm="1">
        <f t="array" ref="AM545">IF(OR(O545&lt;&gt;"", SUMPRODUCT(($AN$2:$AN$5000=AN545)*($AL$2:$AL$5000&lt;=AL545)) &lt;= (COUNTIF($AN$2:$AN$5000,AN545)*0.5)), "SORTEADO", "-")</f>
        <v>-</v>
      </c>
      <c r="AN545" s="231" t="s">
        <v>1442</v>
      </c>
    </row>
    <row r="546" spans="1:40" ht="30" customHeight="1" x14ac:dyDescent="0.2">
      <c r="A546" s="231" t="s">
        <v>197</v>
      </c>
      <c r="B546" s="231">
        <v>2690834372</v>
      </c>
      <c r="C546" s="231" t="s">
        <v>89</v>
      </c>
      <c r="D546" s="231" t="s">
        <v>77</v>
      </c>
      <c r="E546" s="231" t="s">
        <v>198</v>
      </c>
      <c r="F546" s="231" t="s">
        <v>1517</v>
      </c>
      <c r="G546" s="231">
        <v>274</v>
      </c>
      <c r="H546" s="231" t="s">
        <v>1518</v>
      </c>
      <c r="I546" s="231" t="s">
        <v>893</v>
      </c>
      <c r="J546" s="231" t="s">
        <v>346</v>
      </c>
      <c r="K546" s="231" t="s">
        <v>213</v>
      </c>
      <c r="L546" s="231" t="s">
        <v>1442</v>
      </c>
      <c r="M546" s="231" t="s">
        <v>1519</v>
      </c>
      <c r="N546" s="231" t="s">
        <v>228</v>
      </c>
      <c r="O546" s="158" t="s">
        <v>204</v>
      </c>
      <c r="P546" s="146"/>
      <c r="Q546" s="146" t="s">
        <v>204</v>
      </c>
      <c r="R546" s="209"/>
      <c r="S546" s="146" t="s">
        <v>204</v>
      </c>
      <c r="T546" s="146"/>
      <c r="U546" s="146" t="s">
        <v>204</v>
      </c>
      <c r="V546" s="146"/>
      <c r="W546" s="146" t="s">
        <v>204</v>
      </c>
      <c r="X546" s="146"/>
      <c r="Y546" s="146" t="s">
        <v>61</v>
      </c>
      <c r="Z546" s="146"/>
      <c r="AA546" s="146" t="s">
        <v>204</v>
      </c>
      <c r="AB546" s="146"/>
      <c r="AC546" s="146" t="s">
        <v>204</v>
      </c>
      <c r="AD546" s="146"/>
      <c r="AE546" s="146" t="s">
        <v>204</v>
      </c>
      <c r="AF546" s="187" t="str">
        <f t="shared" si="35"/>
        <v>C</v>
      </c>
      <c r="AG546" s="54" t="str">
        <f t="shared" si="37"/>
        <v>UTILIZOU O PDA CORRETAMENTE</v>
      </c>
      <c r="AH546" s="146" t="s">
        <v>204</v>
      </c>
      <c r="AI546" s="210" t="s">
        <v>6</v>
      </c>
      <c r="AJ546" s="97" t="str">
        <f t="shared" si="36"/>
        <v>GUARULHOS</v>
      </c>
      <c r="AK546" s="213" t="s">
        <v>39</v>
      </c>
      <c r="AL546" s="53">
        <v>0.31524107391226264</v>
      </c>
      <c r="AM546" s="53" t="str" cm="1">
        <f t="array" ref="AM546">IF(OR(O546&lt;&gt;"", SUMPRODUCT(($AN$2:$AN$5000=AN546)*($AL$2:$AL$5000&lt;=AL546)) &lt;= (COUNTIF($AN$2:$AN$5000,AN546)*0.5)), "SORTEADO", "-")</f>
        <v>SORTEADO</v>
      </c>
      <c r="AN546" s="231" t="s">
        <v>1442</v>
      </c>
    </row>
    <row r="547" spans="1:40" ht="30" hidden="1" customHeight="1" x14ac:dyDescent="0.2">
      <c r="A547" s="231" t="s">
        <v>197</v>
      </c>
      <c r="B547" s="231">
        <v>2690824795</v>
      </c>
      <c r="C547" s="231" t="s">
        <v>89</v>
      </c>
      <c r="D547" s="231" t="s">
        <v>77</v>
      </c>
      <c r="E547" s="231" t="s">
        <v>198</v>
      </c>
      <c r="F547" s="231" t="s">
        <v>1466</v>
      </c>
      <c r="G547" s="231">
        <v>256</v>
      </c>
      <c r="H547" s="231" t="s">
        <v>1467</v>
      </c>
      <c r="I547" s="231" t="s">
        <v>1468</v>
      </c>
      <c r="J547" s="231" t="s">
        <v>346</v>
      </c>
      <c r="K547" s="231" t="s">
        <v>1520</v>
      </c>
      <c r="L547" s="231" t="s">
        <v>1442</v>
      </c>
      <c r="M547" s="231" t="s">
        <v>1521</v>
      </c>
      <c r="N547" s="231" t="s">
        <v>271</v>
      </c>
      <c r="O547" s="158"/>
      <c r="P547" s="92"/>
      <c r="Q547" s="146"/>
      <c r="R547" s="92"/>
      <c r="S547" s="146"/>
      <c r="T547" s="92"/>
      <c r="U547" s="146"/>
      <c r="V547" s="92"/>
      <c r="W547" s="146"/>
      <c r="X547" s="92"/>
      <c r="Y547" s="146"/>
      <c r="Z547" s="92"/>
      <c r="AA547" s="146"/>
      <c r="AB547" s="92"/>
      <c r="AC547" s="146"/>
      <c r="AD547" s="92"/>
      <c r="AE547" s="146"/>
      <c r="AF547" s="187" t="str">
        <f t="shared" si="35"/>
        <v/>
      </c>
      <c r="AG547" s="54" t="b">
        <f t="shared" si="37"/>
        <v>0</v>
      </c>
      <c r="AH547" s="146"/>
      <c r="AI547" s="210" t="s">
        <v>6</v>
      </c>
      <c r="AJ547" s="97" t="str">
        <f t="shared" si="36"/>
        <v>GUARULHOS</v>
      </c>
      <c r="AK547" s="213" t="s">
        <v>39</v>
      </c>
      <c r="AL547" s="53">
        <v>0.65413775810897867</v>
      </c>
      <c r="AM547" s="53" t="str" cm="1">
        <f t="array" ref="AM547">IF(OR(O547&lt;&gt;"", SUMPRODUCT(($AN$2:$AN$5000=AN547)*($AL$2:$AL$5000&lt;=AL547)) &lt;= (COUNTIF($AN$2:$AN$5000,AN547)*0.5)), "SORTEADO", "-")</f>
        <v>-</v>
      </c>
      <c r="AN547" s="231" t="s">
        <v>1442</v>
      </c>
    </row>
    <row r="548" spans="1:40" ht="30" hidden="1" customHeight="1" x14ac:dyDescent="0.2">
      <c r="A548" s="231" t="s">
        <v>197</v>
      </c>
      <c r="B548" s="231">
        <v>2616329155</v>
      </c>
      <c r="C548" s="231" t="s">
        <v>88</v>
      </c>
      <c r="D548" s="231" t="s">
        <v>77</v>
      </c>
      <c r="E548" s="231" t="s">
        <v>198</v>
      </c>
      <c r="F548" s="231" t="s">
        <v>1486</v>
      </c>
      <c r="G548" s="231">
        <v>71</v>
      </c>
      <c r="H548" s="231" t="s">
        <v>1487</v>
      </c>
      <c r="I548" s="231" t="s">
        <v>436</v>
      </c>
      <c r="J548" s="231" t="s">
        <v>401</v>
      </c>
      <c r="K548" s="231" t="s">
        <v>1522</v>
      </c>
      <c r="L548" s="231" t="s">
        <v>1442</v>
      </c>
      <c r="M548" s="231" t="s">
        <v>1523</v>
      </c>
      <c r="N548" s="231" t="s">
        <v>381</v>
      </c>
      <c r="O548" s="158"/>
      <c r="P548" s="92"/>
      <c r="Q548" s="146"/>
      <c r="R548" s="92"/>
      <c r="S548" s="146"/>
      <c r="T548" s="92"/>
      <c r="U548" s="146"/>
      <c r="V548" s="92"/>
      <c r="W548" s="146"/>
      <c r="X548" s="92"/>
      <c r="Y548" s="146"/>
      <c r="Z548" s="92"/>
      <c r="AA548" s="146"/>
      <c r="AB548" s="92"/>
      <c r="AC548" s="146"/>
      <c r="AD548" s="92"/>
      <c r="AE548" s="146"/>
      <c r="AF548" s="187" t="str">
        <f t="shared" si="35"/>
        <v/>
      </c>
      <c r="AG548" s="54" t="b">
        <f t="shared" si="37"/>
        <v>0</v>
      </c>
      <c r="AH548" s="146"/>
      <c r="AI548" s="210" t="s">
        <v>6</v>
      </c>
      <c r="AJ548" s="97" t="str">
        <f t="shared" si="36"/>
        <v>GUARULHOS</v>
      </c>
      <c r="AK548" s="213" t="s">
        <v>39</v>
      </c>
      <c r="AL548" s="53">
        <v>0.55171087390187346</v>
      </c>
      <c r="AM548" s="53" t="str" cm="1">
        <f t="array" ref="AM548">IF(OR(O548&lt;&gt;"", SUMPRODUCT(($AN$2:$AN$5000=AN548)*($AL$2:$AL$5000&lt;=AL548)) &lt;= (COUNTIF($AN$2:$AN$5000,AN548)*0.5)), "SORTEADO", "-")</f>
        <v>-</v>
      </c>
      <c r="AN548" s="231" t="s">
        <v>1442</v>
      </c>
    </row>
    <row r="549" spans="1:40" ht="30" hidden="1" customHeight="1" x14ac:dyDescent="0.2">
      <c r="A549" s="231" t="s">
        <v>197</v>
      </c>
      <c r="B549" s="231">
        <v>2616232403</v>
      </c>
      <c r="C549" s="231" t="s">
        <v>99</v>
      </c>
      <c r="D549" s="231" t="s">
        <v>80</v>
      </c>
      <c r="E549" s="231" t="s">
        <v>198</v>
      </c>
      <c r="F549" s="231" t="s">
        <v>1524</v>
      </c>
      <c r="G549" s="231">
        <v>391</v>
      </c>
      <c r="H549" s="231" t="s">
        <v>1525</v>
      </c>
      <c r="I549" s="231" t="s">
        <v>791</v>
      </c>
      <c r="J549" s="231" t="s">
        <v>305</v>
      </c>
      <c r="K549" s="231" t="s">
        <v>213</v>
      </c>
      <c r="L549" s="231" t="s">
        <v>1442</v>
      </c>
      <c r="M549" s="231" t="s">
        <v>1526</v>
      </c>
      <c r="N549" s="231" t="s">
        <v>263</v>
      </c>
      <c r="O549" s="158"/>
      <c r="P549" s="92"/>
      <c r="Q549" s="146"/>
      <c r="R549" s="92"/>
      <c r="S549" s="146"/>
      <c r="T549" s="92"/>
      <c r="U549" s="146"/>
      <c r="V549" s="92"/>
      <c r="W549" s="146"/>
      <c r="X549" s="92"/>
      <c r="Y549" s="146"/>
      <c r="Z549" s="92"/>
      <c r="AA549" s="146"/>
      <c r="AB549" s="92"/>
      <c r="AC549" s="146"/>
      <c r="AD549" s="92"/>
      <c r="AE549" s="146"/>
      <c r="AF549" s="187" t="str">
        <f t="shared" si="35"/>
        <v/>
      </c>
      <c r="AG549" s="54" t="b">
        <f t="shared" si="37"/>
        <v>0</v>
      </c>
      <c r="AH549" s="146"/>
      <c r="AI549" s="210" t="s">
        <v>6</v>
      </c>
      <c r="AJ549" s="97" t="str">
        <f t="shared" si="36"/>
        <v>GUARULHOS</v>
      </c>
      <c r="AK549" s="213" t="s">
        <v>39</v>
      </c>
      <c r="AL549" s="53">
        <v>0.61259025174044068</v>
      </c>
      <c r="AM549" s="53" t="str" cm="1">
        <f t="array" ref="AM549">IF(OR(O549&lt;&gt;"", SUMPRODUCT(($AN$2:$AN$5000=AN549)*($AL$2:$AL$5000&lt;=AL549)) &lt;= (COUNTIF($AN$2:$AN$5000,AN549)*0.5)), "SORTEADO", "-")</f>
        <v>-</v>
      </c>
      <c r="AN549" s="231" t="s">
        <v>1442</v>
      </c>
    </row>
    <row r="550" spans="1:40" ht="30" hidden="1" customHeight="1" x14ac:dyDescent="0.2">
      <c r="A550" s="231" t="s">
        <v>197</v>
      </c>
      <c r="B550" s="231">
        <v>2616378248</v>
      </c>
      <c r="C550" s="231" t="s">
        <v>105</v>
      </c>
      <c r="D550" s="231" t="s">
        <v>80</v>
      </c>
      <c r="E550" s="231" t="s">
        <v>198</v>
      </c>
      <c r="F550" s="231" t="s">
        <v>1511</v>
      </c>
      <c r="G550" s="231">
        <v>371</v>
      </c>
      <c r="H550" s="231" t="s">
        <v>276</v>
      </c>
      <c r="I550" s="231" t="s">
        <v>301</v>
      </c>
      <c r="J550" s="231" t="s">
        <v>226</v>
      </c>
      <c r="K550" s="231" t="s">
        <v>1527</v>
      </c>
      <c r="L550" s="231" t="s">
        <v>1442</v>
      </c>
      <c r="M550" s="231" t="s">
        <v>1528</v>
      </c>
      <c r="N550" s="231" t="s">
        <v>287</v>
      </c>
      <c r="O550" s="158"/>
      <c r="P550" s="92"/>
      <c r="Q550" s="146"/>
      <c r="R550" s="92"/>
      <c r="S550" s="146"/>
      <c r="T550" s="92"/>
      <c r="U550" s="146"/>
      <c r="V550" s="92"/>
      <c r="W550" s="146"/>
      <c r="X550" s="92"/>
      <c r="Y550" s="146"/>
      <c r="Z550" s="92"/>
      <c r="AA550" s="146"/>
      <c r="AB550" s="92"/>
      <c r="AC550" s="146"/>
      <c r="AD550" s="92"/>
      <c r="AE550" s="146"/>
      <c r="AF550" s="187" t="str">
        <f t="shared" si="35"/>
        <v/>
      </c>
      <c r="AG550" s="54" t="b">
        <f t="shared" si="37"/>
        <v>0</v>
      </c>
      <c r="AH550" s="146"/>
      <c r="AI550" s="210" t="s">
        <v>6</v>
      </c>
      <c r="AJ550" s="97" t="str">
        <f t="shared" si="36"/>
        <v>GUARULHOS</v>
      </c>
      <c r="AK550" s="213" t="s">
        <v>39</v>
      </c>
      <c r="AL550" s="53">
        <v>0.4191287624313319</v>
      </c>
      <c r="AM550" s="53" t="str" cm="1">
        <f t="array" ref="AM550">IF(OR(O550&lt;&gt;"", SUMPRODUCT(($AN$2:$AN$5000=AN550)*($AL$2:$AL$5000&lt;=AL550)) &lt;= (COUNTIF($AN$2:$AN$5000,AN550)*0.5)), "SORTEADO", "-")</f>
        <v>-</v>
      </c>
      <c r="AN550" s="231" t="s">
        <v>1442</v>
      </c>
    </row>
    <row r="551" spans="1:40" ht="30" customHeight="1" x14ac:dyDescent="0.2">
      <c r="A551" s="231" t="s">
        <v>197</v>
      </c>
      <c r="B551" s="231">
        <v>2690884590</v>
      </c>
      <c r="C551" s="231" t="s">
        <v>102</v>
      </c>
      <c r="D551" s="231" t="s">
        <v>80</v>
      </c>
      <c r="E551" s="231" t="s">
        <v>198</v>
      </c>
      <c r="F551" s="231" t="s">
        <v>1529</v>
      </c>
      <c r="G551" s="231">
        <v>41</v>
      </c>
      <c r="H551" s="231" t="s">
        <v>213</v>
      </c>
      <c r="I551" s="231" t="s">
        <v>368</v>
      </c>
      <c r="J551" s="231" t="s">
        <v>270</v>
      </c>
      <c r="K551" s="231" t="s">
        <v>1530</v>
      </c>
      <c r="L551" s="231" t="s">
        <v>1531</v>
      </c>
      <c r="M551" s="231" t="s">
        <v>1532</v>
      </c>
      <c r="N551" s="231" t="s">
        <v>381</v>
      </c>
      <c r="O551" s="158" t="s">
        <v>204</v>
      </c>
      <c r="P551" s="92"/>
      <c r="Q551" s="146" t="s">
        <v>204</v>
      </c>
      <c r="R551" s="92"/>
      <c r="S551" s="146" t="s">
        <v>204</v>
      </c>
      <c r="T551" s="92"/>
      <c r="U551" s="146" t="s">
        <v>204</v>
      </c>
      <c r="V551" s="92"/>
      <c r="W551" s="146" t="s">
        <v>204</v>
      </c>
      <c r="X551" s="92"/>
      <c r="Y551" s="146" t="s">
        <v>61</v>
      </c>
      <c r="Z551" s="92"/>
      <c r="AA551" s="146" t="s">
        <v>204</v>
      </c>
      <c r="AB551" s="92"/>
      <c r="AC551" s="146" t="s">
        <v>204</v>
      </c>
      <c r="AD551" s="92"/>
      <c r="AE551" s="146" t="s">
        <v>204</v>
      </c>
      <c r="AF551" s="187" t="str">
        <f t="shared" si="35"/>
        <v>C</v>
      </c>
      <c r="AG551" s="54" t="str">
        <f t="shared" si="37"/>
        <v>UTILIZOU O PDA CORRETAMENTE</v>
      </c>
      <c r="AH551" s="144" t="s">
        <v>204</v>
      </c>
      <c r="AI551" s="210" t="s">
        <v>6</v>
      </c>
      <c r="AJ551" s="97" t="str">
        <f t="shared" si="36"/>
        <v>GUARULHOS</v>
      </c>
      <c r="AK551" s="213" t="s">
        <v>39</v>
      </c>
      <c r="AL551" s="53">
        <v>0.25976339950488558</v>
      </c>
      <c r="AM551" s="53" t="str" cm="1">
        <f t="array" ref="AM551">IF(OR(O551&lt;&gt;"", SUMPRODUCT(($AN$2:$AN$5000=AN551)*($AL$2:$AL$5000&lt;=AL551)) &lt;= (COUNTIF($AN$2:$AN$5000,AN551)*0.5)), "SORTEADO", "-")</f>
        <v>SORTEADO</v>
      </c>
      <c r="AN551" s="231" t="s">
        <v>1531</v>
      </c>
    </row>
    <row r="552" spans="1:40" ht="30" hidden="1" customHeight="1" x14ac:dyDescent="0.2">
      <c r="A552" s="231" t="s">
        <v>197</v>
      </c>
      <c r="B552" s="231">
        <v>2616411748</v>
      </c>
      <c r="C552" s="231" t="s">
        <v>98</v>
      </c>
      <c r="D552" s="231" t="s">
        <v>80</v>
      </c>
      <c r="E552" s="231" t="s">
        <v>198</v>
      </c>
      <c r="F552" s="231" t="s">
        <v>688</v>
      </c>
      <c r="G552" s="231">
        <v>302</v>
      </c>
      <c r="H552" s="231" t="s">
        <v>1533</v>
      </c>
      <c r="I552" s="231" t="s">
        <v>356</v>
      </c>
      <c r="J552" s="231" t="s">
        <v>297</v>
      </c>
      <c r="K552" s="231"/>
      <c r="L552" s="231" t="s">
        <v>1531</v>
      </c>
      <c r="M552" s="231" t="s">
        <v>1534</v>
      </c>
      <c r="N552" s="231" t="s">
        <v>263</v>
      </c>
      <c r="O552" s="158"/>
      <c r="P552" s="92"/>
      <c r="Q552" s="146"/>
      <c r="R552" s="92"/>
      <c r="S552" s="146"/>
      <c r="T552" s="92"/>
      <c r="U552" s="146"/>
      <c r="V552" s="92"/>
      <c r="W552" s="146"/>
      <c r="X552" s="92"/>
      <c r="Y552" s="146"/>
      <c r="Z552" s="92"/>
      <c r="AA552" s="146"/>
      <c r="AB552" s="92"/>
      <c r="AC552" s="146"/>
      <c r="AD552" s="92"/>
      <c r="AE552" s="146"/>
      <c r="AF552" s="187" t="str">
        <f t="shared" si="35"/>
        <v/>
      </c>
      <c r="AG552" s="54" t="b">
        <f t="shared" si="37"/>
        <v>0</v>
      </c>
      <c r="AH552" s="146"/>
      <c r="AI552" s="210" t="s">
        <v>6</v>
      </c>
      <c r="AJ552" s="97" t="str">
        <f t="shared" si="36"/>
        <v>GUARULHOS</v>
      </c>
      <c r="AK552" s="213" t="s">
        <v>39</v>
      </c>
      <c r="AL552" s="53">
        <v>0.6227495064506281</v>
      </c>
      <c r="AM552" s="53" t="str" cm="1">
        <f t="array" ref="AM552">IF(OR(O552&lt;&gt;"", SUMPRODUCT(($AN$2:$AN$5000=AN552)*($AL$2:$AL$5000&lt;=AL552)) &lt;= (COUNTIF($AN$2:$AN$5000,AN552)*0.5)), "SORTEADO", "-")</f>
        <v>-</v>
      </c>
      <c r="AN552" s="231" t="s">
        <v>1531</v>
      </c>
    </row>
    <row r="553" spans="1:40" ht="30" customHeight="1" x14ac:dyDescent="0.2">
      <c r="A553" s="231" t="s">
        <v>197</v>
      </c>
      <c r="B553" s="231">
        <v>2616412974</v>
      </c>
      <c r="C553" s="231" t="s">
        <v>98</v>
      </c>
      <c r="D553" s="231" t="s">
        <v>80</v>
      </c>
      <c r="E553" s="231" t="s">
        <v>198</v>
      </c>
      <c r="F553" s="231" t="s">
        <v>688</v>
      </c>
      <c r="G553" s="231">
        <v>310</v>
      </c>
      <c r="H553" s="231" t="s">
        <v>1535</v>
      </c>
      <c r="I553" s="231" t="s">
        <v>356</v>
      </c>
      <c r="J553" s="231" t="s">
        <v>297</v>
      </c>
      <c r="K553" s="231" t="s">
        <v>1536</v>
      </c>
      <c r="L553" s="231" t="s">
        <v>1531</v>
      </c>
      <c r="M553" s="231" t="s">
        <v>1537</v>
      </c>
      <c r="N553" s="231" t="s">
        <v>263</v>
      </c>
      <c r="O553" s="157" t="s">
        <v>204</v>
      </c>
      <c r="P553" s="143"/>
      <c r="Q553" s="144" t="s">
        <v>204</v>
      </c>
      <c r="R553" s="143"/>
      <c r="S553" s="144" t="s">
        <v>204</v>
      </c>
      <c r="T553" s="143"/>
      <c r="U553" s="144" t="s">
        <v>204</v>
      </c>
      <c r="V553" s="143"/>
      <c r="W553" s="144" t="s">
        <v>204</v>
      </c>
      <c r="X553" s="143"/>
      <c r="Y553" s="144" t="s">
        <v>204</v>
      </c>
      <c r="Z553" s="143"/>
      <c r="AA553" s="144" t="s">
        <v>204</v>
      </c>
      <c r="AB553" s="143"/>
      <c r="AC553" s="144" t="s">
        <v>204</v>
      </c>
      <c r="AD553" s="56"/>
      <c r="AE553" s="144" t="s">
        <v>204</v>
      </c>
      <c r="AF553" s="187" t="str">
        <f t="shared" si="35"/>
        <v>C</v>
      </c>
      <c r="AG553" s="54" t="str">
        <f t="shared" si="37"/>
        <v>UTILIZOU O PDA CORRETAMENTE</v>
      </c>
      <c r="AH553" s="144" t="s">
        <v>204</v>
      </c>
      <c r="AI553" s="210" t="s">
        <v>6</v>
      </c>
      <c r="AJ553" s="97" t="str">
        <f t="shared" si="36"/>
        <v>GUARULHOS</v>
      </c>
      <c r="AK553" s="213" t="s">
        <v>39</v>
      </c>
      <c r="AL553" s="53">
        <v>0.15207513173922005</v>
      </c>
      <c r="AM553" s="53" t="str" cm="1">
        <f t="array" ref="AM553">IF(OR(O553&lt;&gt;"", SUMPRODUCT(($AN$2:$AN$5000=AN553)*($AL$2:$AL$5000&lt;=AL553)) &lt;= (COUNTIF($AN$2:$AN$5000,AN553)*0.5)), "SORTEADO", "-")</f>
        <v>SORTEADO</v>
      </c>
      <c r="AN553" s="231" t="s">
        <v>1531</v>
      </c>
    </row>
    <row r="554" spans="1:40" ht="30" customHeight="1" x14ac:dyDescent="0.2">
      <c r="A554" s="231" t="s">
        <v>197</v>
      </c>
      <c r="B554" s="231">
        <v>2616389060</v>
      </c>
      <c r="C554" s="231" t="s">
        <v>105</v>
      </c>
      <c r="D554" s="231" t="s">
        <v>80</v>
      </c>
      <c r="E554" s="231" t="s">
        <v>198</v>
      </c>
      <c r="F554" s="231" t="s">
        <v>1538</v>
      </c>
      <c r="G554" s="231">
        <v>181</v>
      </c>
      <c r="H554" s="231" t="s">
        <v>1539</v>
      </c>
      <c r="I554" s="231" t="s">
        <v>791</v>
      </c>
      <c r="J554" s="231" t="s">
        <v>226</v>
      </c>
      <c r="K554" s="231"/>
      <c r="L554" s="231" t="s">
        <v>1531</v>
      </c>
      <c r="M554" s="231" t="s">
        <v>1540</v>
      </c>
      <c r="N554" s="231" t="s">
        <v>271</v>
      </c>
      <c r="O554" s="158" t="s">
        <v>204</v>
      </c>
      <c r="P554" s="92"/>
      <c r="Q554" s="146" t="s">
        <v>204</v>
      </c>
      <c r="R554" s="92"/>
      <c r="S554" s="146" t="s">
        <v>204</v>
      </c>
      <c r="T554" s="92"/>
      <c r="U554" s="146" t="s">
        <v>204</v>
      </c>
      <c r="V554" s="92"/>
      <c r="W554" s="146" t="s">
        <v>204</v>
      </c>
      <c r="X554" s="92"/>
      <c r="Y554" s="146" t="s">
        <v>61</v>
      </c>
      <c r="Z554" s="92"/>
      <c r="AA554" s="146" t="s">
        <v>204</v>
      </c>
      <c r="AB554" s="92"/>
      <c r="AC554" s="146" t="s">
        <v>204</v>
      </c>
      <c r="AD554" s="92"/>
      <c r="AE554" s="146" t="s">
        <v>204</v>
      </c>
      <c r="AF554" s="187" t="str">
        <f t="shared" si="35"/>
        <v>C</v>
      </c>
      <c r="AG554" s="54" t="str">
        <f t="shared" si="37"/>
        <v>UTILIZOU O PDA CORRETAMENTE</v>
      </c>
      <c r="AH554" s="144" t="s">
        <v>204</v>
      </c>
      <c r="AI554" s="210" t="s">
        <v>6</v>
      </c>
      <c r="AJ554" s="97" t="str">
        <f t="shared" si="36"/>
        <v>GUARULHOS</v>
      </c>
      <c r="AK554" s="213" t="s">
        <v>39</v>
      </c>
      <c r="AL554" s="53">
        <v>8.0554964141958507E-2</v>
      </c>
      <c r="AM554" s="53" t="str" cm="1">
        <f t="array" ref="AM554">IF(OR(O554&lt;&gt;"", SUMPRODUCT(($AN$2:$AN$5000=AN554)*($AL$2:$AL$5000&lt;=AL554)) &lt;= (COUNTIF($AN$2:$AN$5000,AN554)*0.5)), "SORTEADO", "-")</f>
        <v>SORTEADO</v>
      </c>
      <c r="AN554" s="231" t="s">
        <v>1531</v>
      </c>
    </row>
    <row r="555" spans="1:40" ht="30" hidden="1" customHeight="1" x14ac:dyDescent="0.2">
      <c r="A555" s="231" t="s">
        <v>197</v>
      </c>
      <c r="B555" s="231">
        <v>2615930868</v>
      </c>
      <c r="C555" s="231" t="s">
        <v>85</v>
      </c>
      <c r="D555" s="231" t="s">
        <v>76</v>
      </c>
      <c r="E555" s="231" t="s">
        <v>198</v>
      </c>
      <c r="F555" s="231" t="s">
        <v>1541</v>
      </c>
      <c r="G555" s="231">
        <v>129</v>
      </c>
      <c r="H555" s="231" t="s">
        <v>213</v>
      </c>
      <c r="I555" s="231" t="s">
        <v>200</v>
      </c>
      <c r="J555" s="231" t="s">
        <v>85</v>
      </c>
      <c r="K555" s="231" t="s">
        <v>1542</v>
      </c>
      <c r="L555" s="231" t="s">
        <v>1531</v>
      </c>
      <c r="M555" s="231" t="s">
        <v>1543</v>
      </c>
      <c r="N555" s="231" t="s">
        <v>209</v>
      </c>
      <c r="O555" s="158"/>
      <c r="P555" s="92"/>
      <c r="Q555" s="146"/>
      <c r="R555" s="92"/>
      <c r="S555" s="146"/>
      <c r="T555" s="92"/>
      <c r="U555" s="146"/>
      <c r="V555" s="92"/>
      <c r="W555" s="146"/>
      <c r="X555" s="92"/>
      <c r="Y555" s="146"/>
      <c r="Z555" s="92"/>
      <c r="AA555" s="146"/>
      <c r="AB555" s="92"/>
      <c r="AC555" s="146"/>
      <c r="AD555" s="92"/>
      <c r="AE555" s="146"/>
      <c r="AF555" s="187" t="str">
        <f t="shared" si="35"/>
        <v/>
      </c>
      <c r="AG555" s="54" t="b">
        <f t="shared" si="37"/>
        <v>0</v>
      </c>
      <c r="AH555" s="146"/>
      <c r="AI555" s="210" t="s">
        <v>6</v>
      </c>
      <c r="AJ555" s="97" t="str">
        <f t="shared" si="36"/>
        <v>GUARULHOS</v>
      </c>
      <c r="AK555" s="213" t="s">
        <v>39</v>
      </c>
      <c r="AL555" s="53">
        <v>0.59907092516251681</v>
      </c>
      <c r="AM555" s="53" t="str" cm="1">
        <f t="array" ref="AM555">IF(OR(O555&lt;&gt;"", SUMPRODUCT(($AN$2:$AN$5000=AN555)*($AL$2:$AL$5000&lt;=AL555)) &lt;= (COUNTIF($AN$2:$AN$5000,AN555)*0.5)), "SORTEADO", "-")</f>
        <v>-</v>
      </c>
      <c r="AN555" s="231" t="s">
        <v>1531</v>
      </c>
    </row>
    <row r="556" spans="1:40" ht="30" customHeight="1" x14ac:dyDescent="0.2">
      <c r="A556" s="231" t="s">
        <v>197</v>
      </c>
      <c r="B556" s="231">
        <v>2616228251</v>
      </c>
      <c r="C556" s="231" t="s">
        <v>93</v>
      </c>
      <c r="D556" s="231" t="s">
        <v>76</v>
      </c>
      <c r="E556" s="231" t="s">
        <v>198</v>
      </c>
      <c r="F556" s="231" t="s">
        <v>1544</v>
      </c>
      <c r="G556" s="231">
        <v>142</v>
      </c>
      <c r="H556" s="231" t="s">
        <v>1545</v>
      </c>
      <c r="I556" s="231" t="s">
        <v>1546</v>
      </c>
      <c r="J556" s="231" t="s">
        <v>93</v>
      </c>
      <c r="K556" s="231" t="s">
        <v>1547</v>
      </c>
      <c r="L556" s="231" t="s">
        <v>1531</v>
      </c>
      <c r="M556" s="231" t="s">
        <v>1548</v>
      </c>
      <c r="N556" s="231" t="s">
        <v>209</v>
      </c>
      <c r="O556" s="158" t="s">
        <v>204</v>
      </c>
      <c r="P556" s="92"/>
      <c r="Q556" s="146" t="s">
        <v>61</v>
      </c>
      <c r="R556" s="92"/>
      <c r="S556" s="146" t="s">
        <v>61</v>
      </c>
      <c r="T556" s="92"/>
      <c r="U556" s="146" t="s">
        <v>61</v>
      </c>
      <c r="V556" s="92"/>
      <c r="W556" s="146" t="s">
        <v>61</v>
      </c>
      <c r="X556" s="92"/>
      <c r="Y556" s="146" t="s">
        <v>61</v>
      </c>
      <c r="Z556" s="92"/>
      <c r="AA556" s="146" t="s">
        <v>204</v>
      </c>
      <c r="AB556" s="92"/>
      <c r="AC556" s="146" t="s">
        <v>204</v>
      </c>
      <c r="AD556" s="92"/>
      <c r="AE556" s="146" t="s">
        <v>204</v>
      </c>
      <c r="AF556" s="187" t="str">
        <f t="shared" si="35"/>
        <v>C</v>
      </c>
      <c r="AG556" s="54" t="str">
        <f t="shared" si="37"/>
        <v>UTILIZOU O PDA CORRETAMENTE</v>
      </c>
      <c r="AH556" s="146" t="s">
        <v>204</v>
      </c>
      <c r="AI556" s="210" t="s">
        <v>6</v>
      </c>
      <c r="AJ556" s="97" t="str">
        <f t="shared" si="36"/>
        <v>GUARULHOS</v>
      </c>
      <c r="AK556" s="213" t="s">
        <v>39</v>
      </c>
      <c r="AL556" s="53">
        <v>0.25651568424195648</v>
      </c>
      <c r="AM556" s="53" t="str" cm="1">
        <f t="array" ref="AM556">IF(OR(O556&lt;&gt;"", SUMPRODUCT(($AN$2:$AN$5000=AN556)*($AL$2:$AL$5000&lt;=AL556)) &lt;= (COUNTIF($AN$2:$AN$5000,AN556)*0.5)), "SORTEADO", "-")</f>
        <v>SORTEADO</v>
      </c>
      <c r="AN556" s="231" t="s">
        <v>1531</v>
      </c>
    </row>
    <row r="557" spans="1:40" ht="30" hidden="1" customHeight="1" x14ac:dyDescent="0.2">
      <c r="A557" s="231" t="s">
        <v>197</v>
      </c>
      <c r="B557" s="231">
        <v>2616228271</v>
      </c>
      <c r="C557" s="231" t="s">
        <v>95</v>
      </c>
      <c r="D557" s="231" t="s">
        <v>76</v>
      </c>
      <c r="E557" s="231" t="s">
        <v>198</v>
      </c>
      <c r="F557" s="231" t="s">
        <v>1544</v>
      </c>
      <c r="G557" s="231">
        <v>142</v>
      </c>
      <c r="H557" s="231" t="s">
        <v>1549</v>
      </c>
      <c r="I557" s="231" t="s">
        <v>1546</v>
      </c>
      <c r="J557" s="231" t="s">
        <v>95</v>
      </c>
      <c r="K557" s="231">
        <v>2616228251</v>
      </c>
      <c r="L557" s="231" t="s">
        <v>1531</v>
      </c>
      <c r="M557" s="231" t="s">
        <v>1550</v>
      </c>
      <c r="N557" s="231" t="s">
        <v>209</v>
      </c>
      <c r="O557" s="158"/>
      <c r="P557" s="92"/>
      <c r="Q557" s="146"/>
      <c r="R557" s="92"/>
      <c r="S557" s="146"/>
      <c r="T557" s="92"/>
      <c r="U557" s="146"/>
      <c r="V557" s="92"/>
      <c r="W557" s="146"/>
      <c r="X557" s="92"/>
      <c r="Y557" s="146"/>
      <c r="Z557" s="92"/>
      <c r="AA557" s="146"/>
      <c r="AB557" s="92"/>
      <c r="AC557" s="146"/>
      <c r="AD557" s="92"/>
      <c r="AE557" s="146"/>
      <c r="AF557" s="187" t="str">
        <f t="shared" si="35"/>
        <v/>
      </c>
      <c r="AG557" s="54" t="b">
        <f t="shared" si="37"/>
        <v>0</v>
      </c>
      <c r="AH557" s="146"/>
      <c r="AI557" s="210" t="s">
        <v>6</v>
      </c>
      <c r="AJ557" s="97" t="str">
        <f t="shared" si="36"/>
        <v>GUARULHOS</v>
      </c>
      <c r="AK557" s="213" t="s">
        <v>39</v>
      </c>
      <c r="AL557" s="53">
        <v>0.83588742556204865</v>
      </c>
      <c r="AM557" s="53" t="str" cm="1">
        <f t="array" ref="AM557">IF(OR(O557&lt;&gt;"", SUMPRODUCT(($AN$2:$AN$5000=AN557)*($AL$2:$AL$5000&lt;=AL557)) &lt;= (COUNTIF($AN$2:$AN$5000,AN557)*0.5)), "SORTEADO", "-")</f>
        <v>-</v>
      </c>
      <c r="AN557" s="231" t="s">
        <v>1531</v>
      </c>
    </row>
    <row r="558" spans="1:40" ht="30" customHeight="1" x14ac:dyDescent="0.2">
      <c r="A558" s="231" t="s">
        <v>197</v>
      </c>
      <c r="B558" s="231">
        <v>2690884101</v>
      </c>
      <c r="C558" s="231" t="s">
        <v>106</v>
      </c>
      <c r="D558" s="231" t="s">
        <v>80</v>
      </c>
      <c r="E558" s="231" t="s">
        <v>198</v>
      </c>
      <c r="F558" s="231" t="s">
        <v>940</v>
      </c>
      <c r="G558" s="231">
        <v>66</v>
      </c>
      <c r="H558" s="231" t="s">
        <v>1551</v>
      </c>
      <c r="I558" s="231" t="s">
        <v>893</v>
      </c>
      <c r="J558" s="231" t="s">
        <v>270</v>
      </c>
      <c r="K558" s="231"/>
      <c r="L558" s="231" t="s">
        <v>1531</v>
      </c>
      <c r="M558" s="231" t="s">
        <v>1552</v>
      </c>
      <c r="N558" s="231" t="s">
        <v>303</v>
      </c>
      <c r="O558" s="158" t="s">
        <v>204</v>
      </c>
      <c r="P558" s="92"/>
      <c r="Q558" s="146" t="s">
        <v>204</v>
      </c>
      <c r="R558" s="92"/>
      <c r="S558" s="146" t="s">
        <v>204</v>
      </c>
      <c r="T558" s="92"/>
      <c r="U558" s="146" t="s">
        <v>204</v>
      </c>
      <c r="V558" s="92"/>
      <c r="W558" s="146" t="s">
        <v>204</v>
      </c>
      <c r="X558" s="92"/>
      <c r="Y558" s="146" t="s">
        <v>61</v>
      </c>
      <c r="Z558" s="92"/>
      <c r="AA558" s="146" t="s">
        <v>204</v>
      </c>
      <c r="AB558" s="92"/>
      <c r="AC558" s="146" t="s">
        <v>204</v>
      </c>
      <c r="AD558" s="92"/>
      <c r="AE558" s="146" t="s">
        <v>204</v>
      </c>
      <c r="AF558" s="187" t="str">
        <f t="shared" si="35"/>
        <v>C</v>
      </c>
      <c r="AG558" s="54" t="str">
        <f t="shared" si="37"/>
        <v>UTILIZOU O PDA CORRETAMENTE</v>
      </c>
      <c r="AH558" s="144" t="s">
        <v>204</v>
      </c>
      <c r="AI558" s="210" t="s">
        <v>6</v>
      </c>
      <c r="AJ558" s="97" t="str">
        <f t="shared" si="36"/>
        <v>GUARULHOS</v>
      </c>
      <c r="AK558" s="213" t="s">
        <v>39</v>
      </c>
      <c r="AL558" s="53">
        <v>0.13760545692211612</v>
      </c>
      <c r="AM558" s="53" t="str" cm="1">
        <f t="array" ref="AM558">IF(OR(O558&lt;&gt;"", SUMPRODUCT(($AN$2:$AN$5000=AN558)*($AL$2:$AL$5000&lt;=AL558)) &lt;= (COUNTIF($AN$2:$AN$5000,AN558)*0.5)), "SORTEADO", "-")</f>
        <v>SORTEADO</v>
      </c>
      <c r="AN558" s="231" t="s">
        <v>1531</v>
      </c>
    </row>
    <row r="559" spans="1:40" ht="30" hidden="1" customHeight="1" x14ac:dyDescent="0.2">
      <c r="A559" s="231" t="s">
        <v>197</v>
      </c>
      <c r="B559" s="231">
        <v>2690888394</v>
      </c>
      <c r="C559" s="231" t="s">
        <v>102</v>
      </c>
      <c r="D559" s="231" t="s">
        <v>80</v>
      </c>
      <c r="E559" s="231" t="s">
        <v>198</v>
      </c>
      <c r="F559" s="231" t="s">
        <v>1553</v>
      </c>
      <c r="G559" s="231">
        <v>192</v>
      </c>
      <c r="H559" s="231" t="s">
        <v>213</v>
      </c>
      <c r="I559" s="231" t="s">
        <v>447</v>
      </c>
      <c r="J559" s="231" t="s">
        <v>270</v>
      </c>
      <c r="K559" s="231" t="s">
        <v>213</v>
      </c>
      <c r="L559" s="231" t="s">
        <v>1531</v>
      </c>
      <c r="M559" s="231" t="s">
        <v>1554</v>
      </c>
      <c r="N559" s="231" t="s">
        <v>303</v>
      </c>
      <c r="O559" s="158"/>
      <c r="P559" s="92"/>
      <c r="Q559" s="146"/>
      <c r="R559" s="92"/>
      <c r="S559" s="146"/>
      <c r="T559" s="92"/>
      <c r="U559" s="146"/>
      <c r="V559" s="92"/>
      <c r="W559" s="146"/>
      <c r="X559" s="92"/>
      <c r="Y559" s="146"/>
      <c r="Z559" s="92"/>
      <c r="AA559" s="146"/>
      <c r="AB559" s="92"/>
      <c r="AC559" s="146"/>
      <c r="AD559" s="92"/>
      <c r="AE559" s="146"/>
      <c r="AF559" s="187" t="str">
        <f t="shared" si="35"/>
        <v/>
      </c>
      <c r="AG559" s="54" t="b">
        <f t="shared" si="37"/>
        <v>0</v>
      </c>
      <c r="AH559" s="146"/>
      <c r="AI559" s="210" t="s">
        <v>6</v>
      </c>
      <c r="AJ559" s="97" t="str">
        <f t="shared" si="36"/>
        <v>GUARULHOS</v>
      </c>
      <c r="AK559" s="213" t="s">
        <v>39</v>
      </c>
      <c r="AL559" s="53">
        <v>0.30720124366610058</v>
      </c>
      <c r="AM559" s="53" t="str" cm="1">
        <f t="array" ref="AM559">IF(OR(O559&lt;&gt;"", SUMPRODUCT(($AN$2:$AN$5000=AN559)*($AL$2:$AL$5000&lt;=AL559)) &lt;= (COUNTIF($AN$2:$AN$5000,AN559)*0.5)), "SORTEADO", "-")</f>
        <v>-</v>
      </c>
      <c r="AN559" s="231" t="s">
        <v>1531</v>
      </c>
    </row>
    <row r="560" spans="1:40" ht="30" hidden="1" customHeight="1" x14ac:dyDescent="0.2">
      <c r="A560" s="231" t="s">
        <v>197</v>
      </c>
      <c r="B560" s="231">
        <v>2616457370</v>
      </c>
      <c r="C560" s="231" t="s">
        <v>102</v>
      </c>
      <c r="D560" s="231" t="s">
        <v>80</v>
      </c>
      <c r="E560" s="231" t="s">
        <v>198</v>
      </c>
      <c r="F560" s="231" t="s">
        <v>1555</v>
      </c>
      <c r="G560" s="231">
        <v>33</v>
      </c>
      <c r="H560" s="231" t="s">
        <v>1556</v>
      </c>
      <c r="I560" s="231" t="s">
        <v>269</v>
      </c>
      <c r="J560" s="231" t="s">
        <v>270</v>
      </c>
      <c r="K560" s="231"/>
      <c r="L560" s="231" t="s">
        <v>1531</v>
      </c>
      <c r="M560" s="231" t="s">
        <v>1557</v>
      </c>
      <c r="N560" s="231" t="s">
        <v>271</v>
      </c>
      <c r="O560" s="158"/>
      <c r="P560" s="92"/>
      <c r="Q560" s="146"/>
      <c r="R560" s="92"/>
      <c r="S560" s="146"/>
      <c r="T560" s="92"/>
      <c r="U560" s="146"/>
      <c r="V560" s="92"/>
      <c r="W560" s="146"/>
      <c r="X560" s="92"/>
      <c r="Y560" s="146"/>
      <c r="Z560" s="92"/>
      <c r="AA560" s="146"/>
      <c r="AB560" s="92"/>
      <c r="AC560" s="146"/>
      <c r="AD560" s="92"/>
      <c r="AE560" s="146"/>
      <c r="AF560" s="187" t="str">
        <f t="shared" si="35"/>
        <v/>
      </c>
      <c r="AG560" s="54" t="b">
        <f t="shared" si="37"/>
        <v>0</v>
      </c>
      <c r="AH560" s="146"/>
      <c r="AI560" s="210" t="s">
        <v>6</v>
      </c>
      <c r="AJ560" s="97" t="str">
        <f t="shared" si="36"/>
        <v>GUARULHOS</v>
      </c>
      <c r="AK560" s="213" t="s">
        <v>39</v>
      </c>
      <c r="AL560" s="53">
        <v>0.31596737981866763</v>
      </c>
      <c r="AM560" s="53" t="str" cm="1">
        <f t="array" ref="AM560">IF(OR(O560&lt;&gt;"", SUMPRODUCT(($AN$2:$AN$5000=AN560)*($AL$2:$AL$5000&lt;=AL560)) &lt;= (COUNTIF($AN$2:$AN$5000,AN560)*0.5)), "SORTEADO", "-")</f>
        <v>-</v>
      </c>
      <c r="AN560" s="231" t="s">
        <v>1531</v>
      </c>
    </row>
    <row r="561" spans="1:40" ht="30" customHeight="1" x14ac:dyDescent="0.2">
      <c r="A561" s="231" t="s">
        <v>197</v>
      </c>
      <c r="B561" s="231">
        <v>2690888394</v>
      </c>
      <c r="C561" s="231" t="s">
        <v>710</v>
      </c>
      <c r="D561" s="231" t="s">
        <v>80</v>
      </c>
      <c r="E561" s="231" t="s">
        <v>198</v>
      </c>
      <c r="F561" s="231" t="s">
        <v>1553</v>
      </c>
      <c r="G561" s="231">
        <v>192</v>
      </c>
      <c r="H561" s="231" t="s">
        <v>213</v>
      </c>
      <c r="I561" s="231" t="s">
        <v>447</v>
      </c>
      <c r="J561" s="231" t="s">
        <v>259</v>
      </c>
      <c r="K561" s="231" t="s">
        <v>409</v>
      </c>
      <c r="L561" s="231" t="s">
        <v>1531</v>
      </c>
      <c r="M561" s="231" t="s">
        <v>1558</v>
      </c>
      <c r="N561" s="231" t="s">
        <v>303</v>
      </c>
      <c r="O561" s="158" t="s">
        <v>204</v>
      </c>
      <c r="P561" s="92"/>
      <c r="Q561" s="146" t="s">
        <v>204</v>
      </c>
      <c r="R561" s="92"/>
      <c r="S561" s="146" t="s">
        <v>204</v>
      </c>
      <c r="T561" s="92"/>
      <c r="U561" s="146" t="s">
        <v>204</v>
      </c>
      <c r="V561" s="92"/>
      <c r="W561" s="146" t="s">
        <v>204</v>
      </c>
      <c r="X561" s="92"/>
      <c r="Y561" s="146" t="s">
        <v>61</v>
      </c>
      <c r="Z561" s="92"/>
      <c r="AA561" s="146" t="s">
        <v>204</v>
      </c>
      <c r="AB561" s="92"/>
      <c r="AC561" s="146" t="s">
        <v>204</v>
      </c>
      <c r="AD561" s="92"/>
      <c r="AE561" s="146" t="s">
        <v>204</v>
      </c>
      <c r="AF561" s="187" t="str">
        <f t="shared" si="35"/>
        <v>C</v>
      </c>
      <c r="AG561" s="54" t="str">
        <f t="shared" si="37"/>
        <v>UTILIZOU O PDA CORRETAMENTE</v>
      </c>
      <c r="AH561" s="144" t="s">
        <v>204</v>
      </c>
      <c r="AI561" s="210" t="s">
        <v>6</v>
      </c>
      <c r="AJ561" s="97" t="str">
        <f t="shared" si="36"/>
        <v>GUARULHOS</v>
      </c>
      <c r="AK561" s="213" t="s">
        <v>39</v>
      </c>
      <c r="AL561" s="53">
        <v>9.5089937096388688E-2</v>
      </c>
      <c r="AM561" s="53" t="str" cm="1">
        <f t="array" ref="AM561">IF(OR(O561&lt;&gt;"", SUMPRODUCT(($AN$2:$AN$5000=AN561)*($AL$2:$AL$5000&lt;=AL561)) &lt;= (COUNTIF($AN$2:$AN$5000,AN561)*0.5)), "SORTEADO", "-")</f>
        <v>SORTEADO</v>
      </c>
      <c r="AN561" s="231" t="s">
        <v>1531</v>
      </c>
    </row>
    <row r="562" spans="1:40" ht="30" hidden="1" customHeight="1" x14ac:dyDescent="0.2">
      <c r="A562" s="231" t="s">
        <v>197</v>
      </c>
      <c r="B562" s="231">
        <v>2690955910</v>
      </c>
      <c r="C562" s="231" t="s">
        <v>98</v>
      </c>
      <c r="D562" s="231" t="s">
        <v>80</v>
      </c>
      <c r="E562" s="231" t="s">
        <v>198</v>
      </c>
      <c r="F562" s="231" t="s">
        <v>1208</v>
      </c>
      <c r="G562" s="231">
        <v>489</v>
      </c>
      <c r="H562" s="231" t="s">
        <v>1559</v>
      </c>
      <c r="I562" s="231" t="s">
        <v>1210</v>
      </c>
      <c r="J562" s="231" t="s">
        <v>297</v>
      </c>
      <c r="K562" s="231" t="s">
        <v>1560</v>
      </c>
      <c r="L562" s="231" t="s">
        <v>1531</v>
      </c>
      <c r="M562" s="231" t="s">
        <v>1561</v>
      </c>
      <c r="N562" s="231" t="s">
        <v>244</v>
      </c>
      <c r="O562" s="158"/>
      <c r="P562" s="92"/>
      <c r="Q562" s="146"/>
      <c r="R562" s="92"/>
      <c r="S562" s="146"/>
      <c r="T562" s="92"/>
      <c r="U562" s="146"/>
      <c r="V562" s="92"/>
      <c r="W562" s="146"/>
      <c r="X562" s="92"/>
      <c r="Y562" s="146"/>
      <c r="Z562" s="92"/>
      <c r="AA562" s="146"/>
      <c r="AB562" s="92"/>
      <c r="AC562" s="146"/>
      <c r="AD562" s="92"/>
      <c r="AE562" s="146"/>
      <c r="AF562" s="187" t="str">
        <f t="shared" si="35"/>
        <v/>
      </c>
      <c r="AG562" s="54" t="b">
        <f t="shared" si="37"/>
        <v>0</v>
      </c>
      <c r="AH562" s="146"/>
      <c r="AI562" s="210" t="s">
        <v>6</v>
      </c>
      <c r="AJ562" s="97" t="str">
        <f t="shared" si="36"/>
        <v>GUARULHOS</v>
      </c>
      <c r="AK562" s="213" t="s">
        <v>39</v>
      </c>
      <c r="AL562" s="53">
        <v>0.62811395158323124</v>
      </c>
      <c r="AM562" s="53" t="str" cm="1">
        <f t="array" ref="AM562">IF(OR(O562&lt;&gt;"", SUMPRODUCT(($AN$2:$AN$5000=AN562)*($AL$2:$AL$5000&lt;=AL562)) &lt;= (COUNTIF($AN$2:$AN$5000,AN562)*0.5)), "SORTEADO", "-")</f>
        <v>-</v>
      </c>
      <c r="AN562" s="231" t="s">
        <v>1531</v>
      </c>
    </row>
    <row r="563" spans="1:40" ht="30" customHeight="1" x14ac:dyDescent="0.2">
      <c r="A563" s="231" t="s">
        <v>197</v>
      </c>
      <c r="B563" s="231">
        <v>2616188342</v>
      </c>
      <c r="C563" s="231" t="s">
        <v>85</v>
      </c>
      <c r="D563" s="231" t="s">
        <v>76</v>
      </c>
      <c r="E563" s="231" t="s">
        <v>198</v>
      </c>
      <c r="F563" s="231" t="s">
        <v>1562</v>
      </c>
      <c r="G563" s="231">
        <v>801</v>
      </c>
      <c r="H563" s="231" t="s">
        <v>213</v>
      </c>
      <c r="I563" s="231" t="s">
        <v>356</v>
      </c>
      <c r="J563" s="231" t="s">
        <v>85</v>
      </c>
      <c r="K563" s="231" t="s">
        <v>213</v>
      </c>
      <c r="L563" s="231" t="s">
        <v>1563</v>
      </c>
      <c r="M563" s="231" t="s">
        <v>1564</v>
      </c>
      <c r="N563" s="231" t="s">
        <v>209</v>
      </c>
      <c r="O563" s="158" t="s">
        <v>204</v>
      </c>
      <c r="P563" s="92"/>
      <c r="Q563" s="146" t="s">
        <v>204</v>
      </c>
      <c r="R563" s="92"/>
      <c r="S563" s="146" t="s">
        <v>204</v>
      </c>
      <c r="T563" s="92"/>
      <c r="U563" s="146" t="s">
        <v>204</v>
      </c>
      <c r="V563" s="92"/>
      <c r="W563" s="146" t="s">
        <v>204</v>
      </c>
      <c r="X563" s="92"/>
      <c r="Y563" s="146" t="s">
        <v>204</v>
      </c>
      <c r="Z563" s="92"/>
      <c r="AA563" s="146" t="s">
        <v>204</v>
      </c>
      <c r="AB563" s="92"/>
      <c r="AC563" s="146" t="s">
        <v>204</v>
      </c>
      <c r="AD563" s="92"/>
      <c r="AE563" s="146" t="s">
        <v>204</v>
      </c>
      <c r="AF563" s="187" t="str">
        <f t="shared" si="35"/>
        <v>C</v>
      </c>
      <c r="AG563" s="54" t="str">
        <f t="shared" si="37"/>
        <v>UTILIZOU O PDA CORRETAMENTE</v>
      </c>
      <c r="AH563" s="146" t="s">
        <v>204</v>
      </c>
      <c r="AI563" s="210" t="s">
        <v>6</v>
      </c>
      <c r="AJ563" s="97" t="str">
        <f t="shared" si="36"/>
        <v>GUARULHOS</v>
      </c>
      <c r="AK563" s="213" t="s">
        <v>39</v>
      </c>
      <c r="AL563" s="53">
        <v>0.16759351849891291</v>
      </c>
      <c r="AM563" s="53" t="str" cm="1">
        <f t="array" ref="AM563">IF(OR(O563&lt;&gt;"", SUMPRODUCT(($AN$2:$AN$5000=AN563)*($AL$2:$AL$5000&lt;=AL563)) &lt;= (COUNTIF($AN$2:$AN$5000,AN563)*0.5)), "SORTEADO", "-")</f>
        <v>SORTEADO</v>
      </c>
      <c r="AN563" s="231" t="s">
        <v>1563</v>
      </c>
    </row>
    <row r="564" spans="1:40" ht="30" hidden="1" customHeight="1" x14ac:dyDescent="0.2">
      <c r="A564" s="231" t="s">
        <v>197</v>
      </c>
      <c r="B564" s="231">
        <v>2615561726</v>
      </c>
      <c r="C564" s="231" t="s">
        <v>85</v>
      </c>
      <c r="D564" s="231" t="s">
        <v>76</v>
      </c>
      <c r="E564" s="231" t="s">
        <v>198</v>
      </c>
      <c r="F564" s="231" t="s">
        <v>434</v>
      </c>
      <c r="G564" s="231">
        <v>523</v>
      </c>
      <c r="H564" s="231" t="s">
        <v>1565</v>
      </c>
      <c r="I564" s="231" t="s">
        <v>436</v>
      </c>
      <c r="J564" s="231" t="s">
        <v>85</v>
      </c>
      <c r="K564" s="231" t="s">
        <v>1566</v>
      </c>
      <c r="L564" s="231" t="s">
        <v>1563</v>
      </c>
      <c r="M564" s="231" t="s">
        <v>1567</v>
      </c>
      <c r="N564" s="231" t="s">
        <v>209</v>
      </c>
      <c r="O564" s="158"/>
      <c r="P564" s="92"/>
      <c r="Q564" s="146"/>
      <c r="R564" s="92"/>
      <c r="S564" s="146"/>
      <c r="T564" s="92"/>
      <c r="U564" s="146"/>
      <c r="V564" s="92"/>
      <c r="W564" s="146"/>
      <c r="X564" s="92"/>
      <c r="Y564" s="146"/>
      <c r="Z564" s="92"/>
      <c r="AA564" s="146"/>
      <c r="AB564" s="92"/>
      <c r="AC564" s="146"/>
      <c r="AD564" s="92"/>
      <c r="AE564" s="146"/>
      <c r="AF564" s="187" t="str">
        <f t="shared" si="35"/>
        <v/>
      </c>
      <c r="AG564" s="54" t="b">
        <f t="shared" si="37"/>
        <v>0</v>
      </c>
      <c r="AH564" s="146"/>
      <c r="AI564" s="210" t="s">
        <v>6</v>
      </c>
      <c r="AJ564" s="97" t="str">
        <f t="shared" si="36"/>
        <v>GUARULHOS</v>
      </c>
      <c r="AK564" s="213" t="s">
        <v>39</v>
      </c>
      <c r="AL564" s="53">
        <v>0.54225324607793957</v>
      </c>
      <c r="AM564" s="53" t="str" cm="1">
        <f t="array" ref="AM564">IF(OR(O564&lt;&gt;"", SUMPRODUCT(($AN$2:$AN$5000=AN564)*($AL$2:$AL$5000&lt;=AL564)) &lt;= (COUNTIF($AN$2:$AN$5000,AN564)*0.5)), "SORTEADO", "-")</f>
        <v>-</v>
      </c>
      <c r="AN564" s="231" t="s">
        <v>1563</v>
      </c>
    </row>
    <row r="565" spans="1:40" ht="30" hidden="1" customHeight="1" x14ac:dyDescent="0.2">
      <c r="A565" s="231" t="s">
        <v>197</v>
      </c>
      <c r="B565" s="231">
        <v>2690989697</v>
      </c>
      <c r="C565" s="231" t="s">
        <v>102</v>
      </c>
      <c r="D565" s="231" t="s">
        <v>80</v>
      </c>
      <c r="E565" s="231" t="s">
        <v>198</v>
      </c>
      <c r="F565" s="231" t="s">
        <v>1475</v>
      </c>
      <c r="G565" s="231">
        <v>80</v>
      </c>
      <c r="H565" s="231" t="s">
        <v>213</v>
      </c>
      <c r="I565" s="231" t="s">
        <v>301</v>
      </c>
      <c r="J565" s="231" t="s">
        <v>259</v>
      </c>
      <c r="K565" s="231" t="s">
        <v>1568</v>
      </c>
      <c r="L565" s="231" t="s">
        <v>1563</v>
      </c>
      <c r="M565" s="231" t="s">
        <v>1569</v>
      </c>
      <c r="N565" s="231" t="s">
        <v>381</v>
      </c>
      <c r="O565" s="158"/>
      <c r="P565" s="92"/>
      <c r="Q565" s="146"/>
      <c r="R565" s="92"/>
      <c r="S565" s="146"/>
      <c r="T565" s="92"/>
      <c r="U565" s="146"/>
      <c r="V565" s="92"/>
      <c r="W565" s="146"/>
      <c r="X565" s="92"/>
      <c r="Y565" s="146"/>
      <c r="Z565" s="92"/>
      <c r="AA565" s="146"/>
      <c r="AB565" s="92"/>
      <c r="AC565" s="146"/>
      <c r="AD565" s="92"/>
      <c r="AE565" s="146"/>
      <c r="AF565" s="187" t="str">
        <f t="shared" si="35"/>
        <v/>
      </c>
      <c r="AG565" s="54" t="b">
        <f t="shared" si="37"/>
        <v>0</v>
      </c>
      <c r="AH565" s="146"/>
      <c r="AI565" s="210" t="s">
        <v>6</v>
      </c>
      <c r="AJ565" s="97" t="str">
        <f t="shared" si="36"/>
        <v>GUARULHOS</v>
      </c>
      <c r="AK565" s="213" t="s">
        <v>39</v>
      </c>
      <c r="AL565" s="53">
        <v>0.88498363639300481</v>
      </c>
      <c r="AM565" s="53" t="str" cm="1">
        <f t="array" ref="AM565">IF(OR(O565&lt;&gt;"", SUMPRODUCT(($AN$2:$AN$5000=AN565)*($AL$2:$AL$5000&lt;=AL565)) &lt;= (COUNTIF($AN$2:$AN$5000,AN565)*0.5)), "SORTEADO", "-")</f>
        <v>-</v>
      </c>
      <c r="AN565" s="231" t="s">
        <v>1563</v>
      </c>
    </row>
    <row r="566" spans="1:40" ht="30" hidden="1" customHeight="1" x14ac:dyDescent="0.2">
      <c r="A566" s="231" t="s">
        <v>197</v>
      </c>
      <c r="B566" s="231">
        <v>2616539924</v>
      </c>
      <c r="C566" s="231" t="s">
        <v>102</v>
      </c>
      <c r="D566" s="231" t="s">
        <v>80</v>
      </c>
      <c r="E566" s="231" t="s">
        <v>198</v>
      </c>
      <c r="F566" s="231" t="s">
        <v>1570</v>
      </c>
      <c r="G566" s="231">
        <v>351</v>
      </c>
      <c r="H566" s="231" t="s">
        <v>1571</v>
      </c>
      <c r="I566" s="231" t="s">
        <v>411</v>
      </c>
      <c r="J566" s="231" t="s">
        <v>270</v>
      </c>
      <c r="K566" s="231" t="s">
        <v>1572</v>
      </c>
      <c r="L566" s="231" t="s">
        <v>1563</v>
      </c>
      <c r="M566" s="231" t="s">
        <v>1573</v>
      </c>
      <c r="N566" s="231" t="s">
        <v>381</v>
      </c>
      <c r="O566" s="158"/>
      <c r="P566" s="92"/>
      <c r="Q566" s="146"/>
      <c r="R566" s="92"/>
      <c r="S566" s="146"/>
      <c r="T566" s="92"/>
      <c r="U566" s="146"/>
      <c r="V566" s="92"/>
      <c r="W566" s="146"/>
      <c r="X566" s="92"/>
      <c r="Y566" s="146"/>
      <c r="Z566" s="92"/>
      <c r="AA566" s="146"/>
      <c r="AB566" s="92"/>
      <c r="AC566" s="146"/>
      <c r="AD566" s="92"/>
      <c r="AE566" s="146"/>
      <c r="AF566" s="187" t="str">
        <f t="shared" si="35"/>
        <v/>
      </c>
      <c r="AG566" s="54" t="b">
        <f t="shared" si="37"/>
        <v>0</v>
      </c>
      <c r="AH566" s="146"/>
      <c r="AI566" s="210" t="s">
        <v>6</v>
      </c>
      <c r="AJ566" s="97" t="str">
        <f t="shared" si="36"/>
        <v>GUARULHOS</v>
      </c>
      <c r="AK566" s="213" t="s">
        <v>39</v>
      </c>
      <c r="AL566" s="53">
        <v>0.71233906452841622</v>
      </c>
      <c r="AM566" s="53" t="str" cm="1">
        <f t="array" ref="AM566">IF(OR(O566&lt;&gt;"", SUMPRODUCT(($AN$2:$AN$5000=AN566)*($AL$2:$AL$5000&lt;=AL566)) &lt;= (COUNTIF($AN$2:$AN$5000,AN566)*0.5)), "SORTEADO", "-")</f>
        <v>-</v>
      </c>
      <c r="AN566" s="231" t="s">
        <v>1563</v>
      </c>
    </row>
    <row r="567" spans="1:40" ht="30" hidden="1" customHeight="1" x14ac:dyDescent="0.2">
      <c r="A567" s="231" t="s">
        <v>197</v>
      </c>
      <c r="B567" s="231">
        <v>2690982891</v>
      </c>
      <c r="C567" s="231" t="s">
        <v>101</v>
      </c>
      <c r="D567" s="231" t="s">
        <v>80</v>
      </c>
      <c r="E567" s="231" t="s">
        <v>198</v>
      </c>
      <c r="F567" s="231" t="s">
        <v>1574</v>
      </c>
      <c r="G567" s="231">
        <v>144</v>
      </c>
      <c r="H567" s="231" t="s">
        <v>213</v>
      </c>
      <c r="I567" s="231" t="s">
        <v>1575</v>
      </c>
      <c r="J567" s="231" t="s">
        <v>259</v>
      </c>
      <c r="K567" s="231" t="s">
        <v>213</v>
      </c>
      <c r="L567" s="231" t="s">
        <v>1563</v>
      </c>
      <c r="M567" s="231" t="s">
        <v>1576</v>
      </c>
      <c r="N567" s="231" t="s">
        <v>260</v>
      </c>
      <c r="O567" s="158"/>
      <c r="P567" s="92"/>
      <c r="Q567" s="146"/>
      <c r="R567" s="92"/>
      <c r="S567" s="146"/>
      <c r="T567" s="92"/>
      <c r="U567" s="146"/>
      <c r="V567" s="92"/>
      <c r="W567" s="146"/>
      <c r="X567" s="92"/>
      <c r="Y567" s="146"/>
      <c r="Z567" s="92"/>
      <c r="AA567" s="146"/>
      <c r="AB567" s="92"/>
      <c r="AC567" s="146"/>
      <c r="AD567" s="92"/>
      <c r="AE567" s="146"/>
      <c r="AF567" s="187" t="str">
        <f t="shared" si="35"/>
        <v/>
      </c>
      <c r="AG567" s="54" t="b">
        <f t="shared" ref="AG567:AG598" si="38">IF(AND(AE567="C",AF567="C"),"UTILIZOU O PDA CORRETAMENTE",IF(AND(AE567="C",AF567="NC"),"UTILIZOU O PDA CORRETAMENTE. NÃO HÁ FOTOS DE TODAS AS ETAPAS",IF(AND(AE567="NC",AF567="NC"),"NÃO UTILIZOU O PDA",IF(AND(AE567="NA",AF567="NA"),"NÃO AVALIADO POR FALHA DE SINCRONISMO"))))</f>
        <v>0</v>
      </c>
      <c r="AH567" s="146"/>
      <c r="AI567" s="210" t="s">
        <v>6</v>
      </c>
      <c r="AJ567" s="97" t="str">
        <f t="shared" si="36"/>
        <v>GUARULHOS</v>
      </c>
      <c r="AK567" s="213" t="s">
        <v>39</v>
      </c>
      <c r="AL567" s="53">
        <v>0.62617071533256674</v>
      </c>
      <c r="AM567" s="53" t="str" cm="1">
        <f t="array" ref="AM567">IF(OR(O567&lt;&gt;"", SUMPRODUCT(($AN$2:$AN$5000=AN567)*($AL$2:$AL$5000&lt;=AL567)) &lt;= (COUNTIF($AN$2:$AN$5000,AN567)*0.5)), "SORTEADO", "-")</f>
        <v>-</v>
      </c>
      <c r="AN567" s="231" t="s">
        <v>1563</v>
      </c>
    </row>
    <row r="568" spans="1:40" ht="30" customHeight="1" x14ac:dyDescent="0.2">
      <c r="A568" s="231" t="s">
        <v>197</v>
      </c>
      <c r="B568" s="231">
        <v>2690989959</v>
      </c>
      <c r="C568" s="231" t="s">
        <v>101</v>
      </c>
      <c r="D568" s="231" t="s">
        <v>80</v>
      </c>
      <c r="E568" s="231" t="s">
        <v>198</v>
      </c>
      <c r="F568" s="231" t="s">
        <v>1173</v>
      </c>
      <c r="G568" s="231">
        <v>65</v>
      </c>
      <c r="H568" s="231" t="s">
        <v>1577</v>
      </c>
      <c r="I568" s="231" t="s">
        <v>416</v>
      </c>
      <c r="J568" s="231" t="s">
        <v>270</v>
      </c>
      <c r="K568" s="231" t="s">
        <v>1578</v>
      </c>
      <c r="L568" s="231" t="s">
        <v>1563</v>
      </c>
      <c r="M568" s="231" t="s">
        <v>1579</v>
      </c>
      <c r="N568" s="231" t="s">
        <v>260</v>
      </c>
      <c r="O568" s="158" t="s">
        <v>204</v>
      </c>
      <c r="P568" s="92"/>
      <c r="Q568" s="146" t="s">
        <v>204</v>
      </c>
      <c r="R568" s="92"/>
      <c r="S568" s="146" t="s">
        <v>204</v>
      </c>
      <c r="T568" s="92"/>
      <c r="U568" s="146" t="s">
        <v>204</v>
      </c>
      <c r="V568" s="92"/>
      <c r="W568" s="146" t="s">
        <v>204</v>
      </c>
      <c r="X568" s="92"/>
      <c r="Y568" s="146" t="s">
        <v>61</v>
      </c>
      <c r="Z568" s="92"/>
      <c r="AA568" s="146" t="s">
        <v>204</v>
      </c>
      <c r="AB568" s="92"/>
      <c r="AC568" s="146" t="s">
        <v>204</v>
      </c>
      <c r="AD568" s="92"/>
      <c r="AE568" s="146" t="s">
        <v>204</v>
      </c>
      <c r="AF568" s="187" t="str">
        <f t="shared" si="35"/>
        <v>C</v>
      </c>
      <c r="AG568" s="54" t="str">
        <f t="shared" si="38"/>
        <v>UTILIZOU O PDA CORRETAMENTE</v>
      </c>
      <c r="AH568" s="144" t="s">
        <v>204</v>
      </c>
      <c r="AI568" s="210" t="s">
        <v>6</v>
      </c>
      <c r="AJ568" s="97" t="str">
        <f t="shared" si="36"/>
        <v>GUARULHOS</v>
      </c>
      <c r="AK568" s="213" t="s">
        <v>39</v>
      </c>
      <c r="AL568" s="53">
        <v>0.44647855815614867</v>
      </c>
      <c r="AM568" s="53" t="str" cm="1">
        <f t="array" ref="AM568">IF(OR(O568&lt;&gt;"", SUMPRODUCT(($AN$2:$AN$5000=AN568)*($AL$2:$AL$5000&lt;=AL568)) &lt;= (COUNTIF($AN$2:$AN$5000,AN568)*0.5)), "SORTEADO", "-")</f>
        <v>SORTEADO</v>
      </c>
      <c r="AN568" s="231" t="s">
        <v>1563</v>
      </c>
    </row>
    <row r="569" spans="1:40" ht="30" customHeight="1" x14ac:dyDescent="0.2">
      <c r="A569" s="231" t="s">
        <v>197</v>
      </c>
      <c r="B569" s="231">
        <v>2690971043</v>
      </c>
      <c r="C569" s="231" t="s">
        <v>106</v>
      </c>
      <c r="D569" s="231" t="s">
        <v>80</v>
      </c>
      <c r="E569" s="231" t="s">
        <v>198</v>
      </c>
      <c r="F569" s="231" t="s">
        <v>1580</v>
      </c>
      <c r="G569" s="231">
        <v>23</v>
      </c>
      <c r="H569" s="231" t="s">
        <v>1581</v>
      </c>
      <c r="I569" s="231" t="s">
        <v>285</v>
      </c>
      <c r="J569" s="231" t="s">
        <v>297</v>
      </c>
      <c r="K569" s="231" t="s">
        <v>1582</v>
      </c>
      <c r="L569" s="231" t="s">
        <v>1563</v>
      </c>
      <c r="M569" s="231" t="s">
        <v>1583</v>
      </c>
      <c r="N569" s="231" t="s">
        <v>303</v>
      </c>
      <c r="O569" s="158" t="s">
        <v>204</v>
      </c>
      <c r="P569" s="92"/>
      <c r="Q569" s="146" t="s">
        <v>204</v>
      </c>
      <c r="R569" s="92"/>
      <c r="S569" s="146" t="s">
        <v>204</v>
      </c>
      <c r="T569" s="92"/>
      <c r="U569" s="146" t="s">
        <v>204</v>
      </c>
      <c r="V569" s="92"/>
      <c r="W569" s="146" t="s">
        <v>204</v>
      </c>
      <c r="X569" s="92"/>
      <c r="Y569" s="146" t="s">
        <v>61</v>
      </c>
      <c r="Z569" s="92"/>
      <c r="AA569" s="146" t="s">
        <v>204</v>
      </c>
      <c r="AB569" s="92"/>
      <c r="AC569" s="146" t="s">
        <v>204</v>
      </c>
      <c r="AD569" s="92"/>
      <c r="AE569" s="146" t="s">
        <v>204</v>
      </c>
      <c r="AF569" s="187" t="str">
        <f t="shared" si="35"/>
        <v>C</v>
      </c>
      <c r="AG569" s="54" t="str">
        <f t="shared" si="38"/>
        <v>UTILIZOU O PDA CORRETAMENTE</v>
      </c>
      <c r="AH569" s="144" t="s">
        <v>204</v>
      </c>
      <c r="AI569" s="210" t="s">
        <v>6</v>
      </c>
      <c r="AJ569" s="97" t="str">
        <f t="shared" si="36"/>
        <v>GUARULHOS</v>
      </c>
      <c r="AK569" s="213" t="s">
        <v>39</v>
      </c>
      <c r="AL569" s="53">
        <v>0.18491858315356258</v>
      </c>
      <c r="AM569" s="53" t="str" cm="1">
        <f t="array" ref="AM569">IF(OR(O569&lt;&gt;"", SUMPRODUCT(($AN$2:$AN$5000=AN569)*($AL$2:$AL$5000&lt;=AL569)) &lt;= (COUNTIF($AN$2:$AN$5000,AN569)*0.5)), "SORTEADO", "-")</f>
        <v>SORTEADO</v>
      </c>
      <c r="AN569" s="231" t="s">
        <v>1563</v>
      </c>
    </row>
    <row r="570" spans="1:40" ht="30" customHeight="1" x14ac:dyDescent="0.2">
      <c r="A570" s="231" t="s">
        <v>197</v>
      </c>
      <c r="B570" s="231">
        <v>2690964063</v>
      </c>
      <c r="C570" s="231" t="s">
        <v>102</v>
      </c>
      <c r="D570" s="231" t="s">
        <v>80</v>
      </c>
      <c r="E570" s="231" t="s">
        <v>198</v>
      </c>
      <c r="F570" s="231" t="s">
        <v>512</v>
      </c>
      <c r="G570" s="231">
        <v>158</v>
      </c>
      <c r="H570" s="231"/>
      <c r="I570" s="231" t="s">
        <v>1584</v>
      </c>
      <c r="J570" s="231" t="s">
        <v>270</v>
      </c>
      <c r="K570" s="231"/>
      <c r="L570" s="231" t="s">
        <v>1563</v>
      </c>
      <c r="M570" s="231" t="s">
        <v>1585</v>
      </c>
      <c r="N570" s="231" t="s">
        <v>317</v>
      </c>
      <c r="O570" s="158" t="s">
        <v>204</v>
      </c>
      <c r="P570" s="92"/>
      <c r="Q570" s="146" t="s">
        <v>204</v>
      </c>
      <c r="R570" s="92"/>
      <c r="S570" s="146" t="s">
        <v>204</v>
      </c>
      <c r="T570" s="92"/>
      <c r="U570" s="146" t="s">
        <v>204</v>
      </c>
      <c r="V570" s="92"/>
      <c r="W570" s="146" t="s">
        <v>204</v>
      </c>
      <c r="X570" s="92"/>
      <c r="Y570" s="146" t="s">
        <v>61</v>
      </c>
      <c r="Z570" s="92"/>
      <c r="AA570" s="146" t="s">
        <v>204</v>
      </c>
      <c r="AB570" s="92"/>
      <c r="AC570" s="146" t="s">
        <v>204</v>
      </c>
      <c r="AD570" s="92"/>
      <c r="AE570" s="146" t="s">
        <v>204</v>
      </c>
      <c r="AF570" s="187" t="str">
        <f t="shared" si="35"/>
        <v>C</v>
      </c>
      <c r="AG570" s="54" t="str">
        <f t="shared" si="38"/>
        <v>UTILIZOU O PDA CORRETAMENTE</v>
      </c>
      <c r="AH570" s="144" t="s">
        <v>204</v>
      </c>
      <c r="AI570" s="210" t="s">
        <v>6</v>
      </c>
      <c r="AJ570" s="97" t="str">
        <f t="shared" si="36"/>
        <v>GUARULHOS</v>
      </c>
      <c r="AK570" s="213" t="s">
        <v>39</v>
      </c>
      <c r="AL570" s="53">
        <v>5.1690975129064842E-2</v>
      </c>
      <c r="AM570" s="53" t="str" cm="1">
        <f t="array" ref="AM570">IF(OR(O570&lt;&gt;"", SUMPRODUCT(($AN$2:$AN$5000=AN570)*($AL$2:$AL$5000&lt;=AL570)) &lt;= (COUNTIF($AN$2:$AN$5000,AN570)*0.5)), "SORTEADO", "-")</f>
        <v>SORTEADO</v>
      </c>
      <c r="AN570" s="231" t="s">
        <v>1563</v>
      </c>
    </row>
    <row r="571" spans="1:40" ht="30" hidden="1" customHeight="1" x14ac:dyDescent="0.2">
      <c r="A571" s="231" t="s">
        <v>197</v>
      </c>
      <c r="B571" s="231">
        <v>2690973833</v>
      </c>
      <c r="C571" s="231" t="s">
        <v>101</v>
      </c>
      <c r="D571" s="231" t="s">
        <v>80</v>
      </c>
      <c r="E571" s="231" t="s">
        <v>198</v>
      </c>
      <c r="F571" s="231" t="s">
        <v>1586</v>
      </c>
      <c r="G571" s="231">
        <v>2</v>
      </c>
      <c r="H571" s="231" t="s">
        <v>213</v>
      </c>
      <c r="I571" s="231" t="s">
        <v>1587</v>
      </c>
      <c r="J571" s="231" t="s">
        <v>270</v>
      </c>
      <c r="K571" s="231" t="s">
        <v>1588</v>
      </c>
      <c r="L571" s="231" t="s">
        <v>1563</v>
      </c>
      <c r="M571" s="231" t="s">
        <v>1589</v>
      </c>
      <c r="N571" s="231" t="s">
        <v>263</v>
      </c>
      <c r="O571" s="158"/>
      <c r="P571" s="92"/>
      <c r="Q571" s="146"/>
      <c r="R571" s="92"/>
      <c r="S571" s="146"/>
      <c r="T571" s="92"/>
      <c r="U571" s="146"/>
      <c r="V571" s="92"/>
      <c r="W571" s="146"/>
      <c r="X571" s="92"/>
      <c r="Y571" s="146"/>
      <c r="Z571" s="92"/>
      <c r="AA571" s="146"/>
      <c r="AB571" s="92"/>
      <c r="AC571" s="146"/>
      <c r="AD571" s="92"/>
      <c r="AE571" s="146"/>
      <c r="AF571" s="187" t="str">
        <f t="shared" si="35"/>
        <v/>
      </c>
      <c r="AG571" s="54" t="b">
        <f t="shared" si="38"/>
        <v>0</v>
      </c>
      <c r="AH571" s="146"/>
      <c r="AI571" s="210" t="s">
        <v>6</v>
      </c>
      <c r="AJ571" s="97" t="str">
        <f t="shared" si="36"/>
        <v>GUARULHOS</v>
      </c>
      <c r="AK571" s="213" t="s">
        <v>39</v>
      </c>
      <c r="AL571" s="53">
        <v>0.54777373418758779</v>
      </c>
      <c r="AM571" s="53" t="str" cm="1">
        <f t="array" ref="AM571">IF(OR(O571&lt;&gt;"", SUMPRODUCT(($AN$2:$AN$5000=AN571)*($AL$2:$AL$5000&lt;=AL571)) &lt;= (COUNTIF($AN$2:$AN$5000,AN571)*0.5)), "SORTEADO", "-")</f>
        <v>-</v>
      </c>
      <c r="AN571" s="231" t="s">
        <v>1563</v>
      </c>
    </row>
    <row r="572" spans="1:40" ht="30" hidden="1" customHeight="1" x14ac:dyDescent="0.2">
      <c r="A572" s="231" t="s">
        <v>197</v>
      </c>
      <c r="B572" s="231">
        <v>2616543797</v>
      </c>
      <c r="C572" s="231" t="s">
        <v>100</v>
      </c>
      <c r="D572" s="231" t="s">
        <v>78</v>
      </c>
      <c r="E572" s="231" t="s">
        <v>198</v>
      </c>
      <c r="F572" s="231" t="s">
        <v>1355</v>
      </c>
      <c r="G572" s="231">
        <v>34</v>
      </c>
      <c r="H572" s="231" t="s">
        <v>362</v>
      </c>
      <c r="I572" s="231" t="s">
        <v>588</v>
      </c>
      <c r="J572" s="231" t="s">
        <v>248</v>
      </c>
      <c r="K572" s="231"/>
      <c r="L572" s="231" t="s">
        <v>1563</v>
      </c>
      <c r="M572" s="231" t="s">
        <v>1590</v>
      </c>
      <c r="N572" s="231" t="s">
        <v>317</v>
      </c>
      <c r="O572" s="158"/>
      <c r="P572" s="92"/>
      <c r="Q572" s="146"/>
      <c r="R572" s="92"/>
      <c r="S572" s="146"/>
      <c r="T572" s="92"/>
      <c r="U572" s="146"/>
      <c r="V572" s="92"/>
      <c r="W572" s="146"/>
      <c r="X572" s="92"/>
      <c r="Y572" s="146"/>
      <c r="Z572" s="92"/>
      <c r="AA572" s="146"/>
      <c r="AB572" s="92"/>
      <c r="AC572" s="146"/>
      <c r="AD572" s="92"/>
      <c r="AE572" s="146"/>
      <c r="AF572" s="187" t="str">
        <f t="shared" si="35"/>
        <v/>
      </c>
      <c r="AG572" s="54" t="b">
        <f t="shared" si="38"/>
        <v>0</v>
      </c>
      <c r="AH572" s="146"/>
      <c r="AI572" s="210" t="s">
        <v>6</v>
      </c>
      <c r="AJ572" s="97" t="str">
        <f t="shared" si="36"/>
        <v>GUARULHOS</v>
      </c>
      <c r="AK572" s="213" t="s">
        <v>39</v>
      </c>
      <c r="AL572" s="53">
        <v>0.66672617783487054</v>
      </c>
      <c r="AM572" s="53" t="str" cm="1">
        <f t="array" ref="AM572">IF(OR(O572&lt;&gt;"", SUMPRODUCT(($AN$2:$AN$5000=AN572)*($AL$2:$AL$5000&lt;=AL572)) &lt;= (COUNTIF($AN$2:$AN$5000,AN572)*0.5)), "SORTEADO", "-")</f>
        <v>-</v>
      </c>
      <c r="AN572" s="231" t="s">
        <v>1563</v>
      </c>
    </row>
    <row r="573" spans="1:40" ht="30" customHeight="1" x14ac:dyDescent="0.2">
      <c r="A573" s="231" t="s">
        <v>197</v>
      </c>
      <c r="B573" s="231">
        <v>2691001507</v>
      </c>
      <c r="C573" s="231" t="s">
        <v>103</v>
      </c>
      <c r="D573" s="231" t="s">
        <v>80</v>
      </c>
      <c r="E573" s="231" t="s">
        <v>198</v>
      </c>
      <c r="F573" s="231" t="s">
        <v>1377</v>
      </c>
      <c r="G573" s="231">
        <v>119</v>
      </c>
      <c r="H573" s="231" t="s">
        <v>213</v>
      </c>
      <c r="I573" s="231" t="s">
        <v>200</v>
      </c>
      <c r="J573" s="231" t="s">
        <v>297</v>
      </c>
      <c r="K573" s="231" t="s">
        <v>1591</v>
      </c>
      <c r="L573" s="231" t="s">
        <v>1563</v>
      </c>
      <c r="M573" s="231" t="s">
        <v>1592</v>
      </c>
      <c r="N573" s="231" t="s">
        <v>260</v>
      </c>
      <c r="O573" s="158" t="s">
        <v>204</v>
      </c>
      <c r="P573" s="92"/>
      <c r="Q573" s="146" t="s">
        <v>204</v>
      </c>
      <c r="R573" s="92"/>
      <c r="S573" s="146" t="s">
        <v>204</v>
      </c>
      <c r="T573" s="92"/>
      <c r="U573" s="146" t="s">
        <v>204</v>
      </c>
      <c r="V573" s="92"/>
      <c r="W573" s="146" t="s">
        <v>204</v>
      </c>
      <c r="X573" s="92"/>
      <c r="Y573" s="146" t="s">
        <v>61</v>
      </c>
      <c r="Z573" s="92"/>
      <c r="AA573" s="146" t="s">
        <v>204</v>
      </c>
      <c r="AB573" s="92"/>
      <c r="AC573" s="146" t="s">
        <v>204</v>
      </c>
      <c r="AD573" s="92"/>
      <c r="AE573" s="146" t="s">
        <v>204</v>
      </c>
      <c r="AF573" s="187" t="str">
        <f t="shared" si="35"/>
        <v>C</v>
      </c>
      <c r="AG573" s="54" t="str">
        <f t="shared" si="38"/>
        <v>UTILIZOU O PDA CORRETAMENTE</v>
      </c>
      <c r="AH573" s="144" t="s">
        <v>204</v>
      </c>
      <c r="AI573" s="210" t="s">
        <v>6</v>
      </c>
      <c r="AJ573" s="97" t="str">
        <f t="shared" si="36"/>
        <v>GUARULHOS</v>
      </c>
      <c r="AK573" s="213" t="s">
        <v>39</v>
      </c>
      <c r="AL573" s="53">
        <v>0.28291611964232599</v>
      </c>
      <c r="AM573" s="53" t="str" cm="1">
        <f t="array" ref="AM573">IF(OR(O573&lt;&gt;"", SUMPRODUCT(($AN$2:$AN$5000=AN573)*($AL$2:$AL$5000&lt;=AL573)) &lt;= (COUNTIF($AN$2:$AN$5000,AN573)*0.5)), "SORTEADO", "-")</f>
        <v>SORTEADO</v>
      </c>
      <c r="AN573" s="231" t="s">
        <v>1563</v>
      </c>
    </row>
    <row r="574" spans="1:40" ht="30" customHeight="1" x14ac:dyDescent="0.2">
      <c r="A574" s="231" t="s">
        <v>197</v>
      </c>
      <c r="B574" s="231">
        <v>2690971467</v>
      </c>
      <c r="C574" s="231" t="s">
        <v>98</v>
      </c>
      <c r="D574" s="231" t="s">
        <v>80</v>
      </c>
      <c r="E574" s="231" t="s">
        <v>198</v>
      </c>
      <c r="F574" s="231" t="s">
        <v>684</v>
      </c>
      <c r="G574" s="231">
        <v>19</v>
      </c>
      <c r="H574" s="231" t="s">
        <v>1507</v>
      </c>
      <c r="I574" s="231" t="s">
        <v>685</v>
      </c>
      <c r="J574" s="231" t="s">
        <v>297</v>
      </c>
      <c r="K574" s="231" t="s">
        <v>1593</v>
      </c>
      <c r="L574" s="231" t="s">
        <v>1563</v>
      </c>
      <c r="M574" s="231" t="s">
        <v>1594</v>
      </c>
      <c r="N574" s="231" t="s">
        <v>263</v>
      </c>
      <c r="O574" s="157" t="s">
        <v>204</v>
      </c>
      <c r="P574" s="143"/>
      <c r="Q574" s="144" t="s">
        <v>204</v>
      </c>
      <c r="R574" s="143"/>
      <c r="S574" s="144" t="s">
        <v>204</v>
      </c>
      <c r="T574" s="143"/>
      <c r="U574" s="144" t="s">
        <v>204</v>
      </c>
      <c r="V574" s="143"/>
      <c r="W574" s="144" t="s">
        <v>204</v>
      </c>
      <c r="X574" s="143"/>
      <c r="Y574" s="144" t="s">
        <v>204</v>
      </c>
      <c r="Z574" s="143"/>
      <c r="AA574" s="144" t="s">
        <v>204</v>
      </c>
      <c r="AB574" s="143"/>
      <c r="AC574" s="144" t="s">
        <v>204</v>
      </c>
      <c r="AD574" s="56"/>
      <c r="AE574" s="144" t="s">
        <v>204</v>
      </c>
      <c r="AF574" s="187" t="str">
        <f t="shared" si="35"/>
        <v>C</v>
      </c>
      <c r="AG574" s="54" t="str">
        <f t="shared" si="38"/>
        <v>UTILIZOU O PDA CORRETAMENTE</v>
      </c>
      <c r="AH574" s="144" t="s">
        <v>204</v>
      </c>
      <c r="AI574" s="210" t="s">
        <v>6</v>
      </c>
      <c r="AJ574" s="97" t="str">
        <f t="shared" si="36"/>
        <v>GUARULHOS</v>
      </c>
      <c r="AK574" s="213" t="s">
        <v>39</v>
      </c>
      <c r="AL574" s="53">
        <v>0.35868454513788217</v>
      </c>
      <c r="AM574" s="53" t="str" cm="1">
        <f t="array" ref="AM574">IF(OR(O574&lt;&gt;"", SUMPRODUCT(($AN$2:$AN$5000=AN574)*($AL$2:$AL$5000&lt;=AL574)) &lt;= (COUNTIF($AN$2:$AN$5000,AN574)*0.5)), "SORTEADO", "-")</f>
        <v>SORTEADO</v>
      </c>
      <c r="AN574" s="231" t="s">
        <v>1563</v>
      </c>
    </row>
    <row r="575" spans="1:40" ht="30" hidden="1" customHeight="1" x14ac:dyDescent="0.2">
      <c r="A575" s="231" t="s">
        <v>197</v>
      </c>
      <c r="B575" s="231">
        <v>2616567773</v>
      </c>
      <c r="C575" s="231" t="s">
        <v>105</v>
      </c>
      <c r="D575" s="231" t="s">
        <v>80</v>
      </c>
      <c r="E575" s="231" t="s">
        <v>198</v>
      </c>
      <c r="F575" s="231" t="s">
        <v>1570</v>
      </c>
      <c r="G575" s="231">
        <v>273</v>
      </c>
      <c r="H575" s="231" t="s">
        <v>1595</v>
      </c>
      <c r="I575" s="231" t="s">
        <v>411</v>
      </c>
      <c r="J575" s="231" t="s">
        <v>226</v>
      </c>
      <c r="K575" s="231" t="s">
        <v>1596</v>
      </c>
      <c r="L575" s="231" t="s">
        <v>1563</v>
      </c>
      <c r="M575" s="231" t="s">
        <v>1597</v>
      </c>
      <c r="N575" s="231" t="s">
        <v>381</v>
      </c>
      <c r="O575" s="158"/>
      <c r="P575" s="92"/>
      <c r="Q575" s="146"/>
      <c r="R575" s="92"/>
      <c r="S575" s="146"/>
      <c r="T575" s="92"/>
      <c r="U575" s="146"/>
      <c r="V575" s="92"/>
      <c r="W575" s="146"/>
      <c r="X575" s="92"/>
      <c r="Y575" s="146"/>
      <c r="Z575" s="92"/>
      <c r="AA575" s="146"/>
      <c r="AB575" s="92"/>
      <c r="AC575" s="146"/>
      <c r="AD575" s="92"/>
      <c r="AE575" s="146"/>
      <c r="AF575" s="187" t="str">
        <f t="shared" si="35"/>
        <v/>
      </c>
      <c r="AG575" s="54" t="b">
        <f t="shared" si="38"/>
        <v>0</v>
      </c>
      <c r="AH575" s="146"/>
      <c r="AI575" s="210" t="s">
        <v>6</v>
      </c>
      <c r="AJ575" s="97" t="str">
        <f t="shared" si="36"/>
        <v>GUARULHOS</v>
      </c>
      <c r="AK575" s="213" t="s">
        <v>39</v>
      </c>
      <c r="AL575" s="53">
        <v>0.97467245281863235</v>
      </c>
      <c r="AM575" s="53" t="str" cm="1">
        <f t="array" ref="AM575">IF(OR(O575&lt;&gt;"", SUMPRODUCT(($AN$2:$AN$5000=AN575)*($AL$2:$AL$5000&lt;=AL575)) &lt;= (COUNTIF($AN$2:$AN$5000,AN575)*0.5)), "SORTEADO", "-")</f>
        <v>-</v>
      </c>
      <c r="AN575" s="231" t="s">
        <v>1563</v>
      </c>
    </row>
    <row r="576" spans="1:40" ht="30" hidden="1" customHeight="1" x14ac:dyDescent="0.2">
      <c r="A576" s="231" t="s">
        <v>197</v>
      </c>
      <c r="B576" s="231">
        <v>2690990181</v>
      </c>
      <c r="C576" s="231" t="s">
        <v>102</v>
      </c>
      <c r="D576" s="231" t="s">
        <v>80</v>
      </c>
      <c r="E576" s="231" t="s">
        <v>198</v>
      </c>
      <c r="F576" s="231" t="s">
        <v>1598</v>
      </c>
      <c r="G576" s="231">
        <v>54</v>
      </c>
      <c r="H576" s="231" t="s">
        <v>1599</v>
      </c>
      <c r="I576" s="231" t="s">
        <v>489</v>
      </c>
      <c r="J576" s="231" t="s">
        <v>270</v>
      </c>
      <c r="K576" s="231"/>
      <c r="L576" s="231" t="s">
        <v>1563</v>
      </c>
      <c r="M576" s="231" t="s">
        <v>1600</v>
      </c>
      <c r="N576" s="231" t="s">
        <v>263</v>
      </c>
      <c r="O576" s="158"/>
      <c r="P576" s="92"/>
      <c r="Q576" s="146"/>
      <c r="R576" s="92"/>
      <c r="S576" s="146"/>
      <c r="T576" s="92"/>
      <c r="U576" s="146"/>
      <c r="V576" s="92"/>
      <c r="W576" s="146"/>
      <c r="X576" s="92"/>
      <c r="Y576" s="146"/>
      <c r="Z576" s="92"/>
      <c r="AA576" s="146"/>
      <c r="AB576" s="92"/>
      <c r="AC576" s="146"/>
      <c r="AD576" s="92"/>
      <c r="AE576" s="146"/>
      <c r="AF576" s="187" t="str">
        <f t="shared" si="35"/>
        <v/>
      </c>
      <c r="AG576" s="54" t="b">
        <f t="shared" si="38"/>
        <v>0</v>
      </c>
      <c r="AH576" s="146"/>
      <c r="AI576" s="210" t="s">
        <v>6</v>
      </c>
      <c r="AJ576" s="97" t="str">
        <f t="shared" si="36"/>
        <v>GUARULHOS</v>
      </c>
      <c r="AK576" s="213" t="s">
        <v>39</v>
      </c>
      <c r="AL576" s="53">
        <v>0.94450164842857787</v>
      </c>
      <c r="AM576" s="53" t="str" cm="1">
        <f t="array" ref="AM576">IF(OR(O576&lt;&gt;"", SUMPRODUCT(($AN$2:$AN$5000=AN576)*($AL$2:$AL$5000&lt;=AL576)) &lt;= (COUNTIF($AN$2:$AN$5000,AN576)*0.5)), "SORTEADO", "-")</f>
        <v>-</v>
      </c>
      <c r="AN576" s="231" t="s">
        <v>1563</v>
      </c>
    </row>
    <row r="577" spans="1:40" ht="30" hidden="1" customHeight="1" x14ac:dyDescent="0.2">
      <c r="A577" s="231" t="s">
        <v>197</v>
      </c>
      <c r="B577" s="231">
        <v>2616568086</v>
      </c>
      <c r="C577" s="231" t="s">
        <v>100</v>
      </c>
      <c r="D577" s="231" t="s">
        <v>78</v>
      </c>
      <c r="E577" s="231" t="s">
        <v>198</v>
      </c>
      <c r="F577" s="231" t="s">
        <v>1580</v>
      </c>
      <c r="G577" s="231">
        <v>20</v>
      </c>
      <c r="H577" s="231" t="s">
        <v>213</v>
      </c>
      <c r="I577" s="231" t="s">
        <v>285</v>
      </c>
      <c r="J577" s="231" t="s">
        <v>248</v>
      </c>
      <c r="K577" s="238" t="s">
        <v>1601</v>
      </c>
      <c r="L577" s="231" t="s">
        <v>1563</v>
      </c>
      <c r="M577" s="231" t="s">
        <v>1602</v>
      </c>
      <c r="N577" s="231" t="s">
        <v>303</v>
      </c>
      <c r="O577" s="158"/>
      <c r="P577" s="92"/>
      <c r="Q577" s="146"/>
      <c r="R577" s="92"/>
      <c r="S577" s="146"/>
      <c r="T577" s="92"/>
      <c r="U577" s="146"/>
      <c r="V577" s="92"/>
      <c r="W577" s="146"/>
      <c r="X577" s="92"/>
      <c r="Y577" s="146"/>
      <c r="Z577" s="92"/>
      <c r="AA577" s="146"/>
      <c r="AB577" s="92"/>
      <c r="AC577" s="146"/>
      <c r="AD577" s="92"/>
      <c r="AE577" s="146"/>
      <c r="AF577" s="187" t="str">
        <f t="shared" si="35"/>
        <v/>
      </c>
      <c r="AG577" s="54" t="b">
        <f t="shared" si="38"/>
        <v>0</v>
      </c>
      <c r="AH577" s="146"/>
      <c r="AI577" s="210" t="s">
        <v>6</v>
      </c>
      <c r="AJ577" s="97" t="str">
        <f t="shared" si="36"/>
        <v>GUARULHOS</v>
      </c>
      <c r="AK577" s="213" t="s">
        <v>39</v>
      </c>
      <c r="AL577" s="53">
        <v>0.92420499512446475</v>
      </c>
      <c r="AM577" s="53" t="str" cm="1">
        <f t="array" ref="AM577">IF(OR(O577&lt;&gt;"", SUMPRODUCT(($AN$2:$AN$5000=AN577)*($AL$2:$AL$5000&lt;=AL577)) &lt;= (COUNTIF($AN$2:$AN$5000,AN577)*0.5)), "SORTEADO", "-")</f>
        <v>-</v>
      </c>
      <c r="AN577" s="231" t="s">
        <v>1563</v>
      </c>
    </row>
    <row r="578" spans="1:40" ht="30" hidden="1" customHeight="1" x14ac:dyDescent="0.2">
      <c r="A578" s="231" t="s">
        <v>197</v>
      </c>
      <c r="B578" s="231">
        <v>2616568582</v>
      </c>
      <c r="C578" s="231" t="s">
        <v>100</v>
      </c>
      <c r="D578" s="231" t="s">
        <v>78</v>
      </c>
      <c r="E578" s="231" t="s">
        <v>198</v>
      </c>
      <c r="F578" s="231" t="s">
        <v>1603</v>
      </c>
      <c r="G578" s="231">
        <v>218</v>
      </c>
      <c r="H578" s="231" t="s">
        <v>1604</v>
      </c>
      <c r="I578" s="231" t="s">
        <v>1277</v>
      </c>
      <c r="J578" s="231" t="s">
        <v>248</v>
      </c>
      <c r="K578" s="238" t="s">
        <v>1605</v>
      </c>
      <c r="L578" s="231" t="s">
        <v>1563</v>
      </c>
      <c r="M578" s="231" t="s">
        <v>1592</v>
      </c>
      <c r="N578" s="231" t="s">
        <v>271</v>
      </c>
      <c r="O578" s="158"/>
      <c r="P578" s="92"/>
      <c r="Q578" s="146"/>
      <c r="R578" s="92"/>
      <c r="S578" s="146"/>
      <c r="T578" s="92"/>
      <c r="U578" s="146"/>
      <c r="V578" s="92"/>
      <c r="W578" s="146"/>
      <c r="X578" s="92"/>
      <c r="Y578" s="146"/>
      <c r="Z578" s="92"/>
      <c r="AA578" s="146"/>
      <c r="AB578" s="92"/>
      <c r="AC578" s="146"/>
      <c r="AD578" s="92"/>
      <c r="AE578" s="146"/>
      <c r="AF578" s="187" t="str">
        <f t="shared" si="35"/>
        <v/>
      </c>
      <c r="AG578" s="54" t="b">
        <f t="shared" si="38"/>
        <v>0</v>
      </c>
      <c r="AH578" s="146"/>
      <c r="AI578" s="210" t="s">
        <v>6</v>
      </c>
      <c r="AJ578" s="97" t="str">
        <f t="shared" si="36"/>
        <v>GUARULHOS</v>
      </c>
      <c r="AK578" s="213" t="s">
        <v>39</v>
      </c>
      <c r="AL578" s="53">
        <v>0.49784092342983144</v>
      </c>
      <c r="AM578" s="53" t="str" cm="1">
        <f t="array" ref="AM578">IF(OR(O578&lt;&gt;"", SUMPRODUCT(($AN$2:$AN$5000=AN578)*($AL$2:$AL$5000&lt;=AL578)) &lt;= (COUNTIF($AN$2:$AN$5000,AN578)*0.5)), "SORTEADO", "-")</f>
        <v>-</v>
      </c>
      <c r="AN578" s="231" t="s">
        <v>1563</v>
      </c>
    </row>
    <row r="579" spans="1:40" ht="30" customHeight="1" x14ac:dyDescent="0.2">
      <c r="A579" s="231" t="s">
        <v>197</v>
      </c>
      <c r="B579" s="231">
        <v>2616543038</v>
      </c>
      <c r="C579" s="231" t="s">
        <v>98</v>
      </c>
      <c r="D579" s="231" t="s">
        <v>80</v>
      </c>
      <c r="E579" s="231" t="s">
        <v>198</v>
      </c>
      <c r="F579" s="231" t="s">
        <v>1603</v>
      </c>
      <c r="G579" s="231">
        <v>419</v>
      </c>
      <c r="H579" s="231" t="s">
        <v>1606</v>
      </c>
      <c r="I579" s="231" t="s">
        <v>1277</v>
      </c>
      <c r="J579" s="231" t="s">
        <v>297</v>
      </c>
      <c r="K579" s="231" t="s">
        <v>1607</v>
      </c>
      <c r="L579" s="231" t="s">
        <v>1563</v>
      </c>
      <c r="M579" s="231" t="s">
        <v>1608</v>
      </c>
      <c r="N579" s="231" t="s">
        <v>271</v>
      </c>
      <c r="O579" s="157" t="s">
        <v>204</v>
      </c>
      <c r="P579" s="143"/>
      <c r="Q579" s="144" t="s">
        <v>204</v>
      </c>
      <c r="R579" s="143"/>
      <c r="S579" s="144" t="s">
        <v>204</v>
      </c>
      <c r="T579" s="143"/>
      <c r="U579" s="144" t="s">
        <v>204</v>
      </c>
      <c r="V579" s="143"/>
      <c r="W579" s="144" t="s">
        <v>204</v>
      </c>
      <c r="X579" s="143"/>
      <c r="Y579" s="144" t="s">
        <v>204</v>
      </c>
      <c r="Z579" s="143"/>
      <c r="AA579" s="144" t="s">
        <v>204</v>
      </c>
      <c r="AB579" s="143"/>
      <c r="AC579" s="144" t="s">
        <v>204</v>
      </c>
      <c r="AD579" s="56"/>
      <c r="AE579" s="144" t="s">
        <v>204</v>
      </c>
      <c r="AF579" s="187" t="str">
        <f t="shared" si="35"/>
        <v>C</v>
      </c>
      <c r="AG579" s="54" t="str">
        <f t="shared" si="38"/>
        <v>UTILIZOU O PDA CORRETAMENTE</v>
      </c>
      <c r="AH579" s="144" t="s">
        <v>204</v>
      </c>
      <c r="AI579" s="210" t="s">
        <v>6</v>
      </c>
      <c r="AJ579" s="97" t="str">
        <f t="shared" si="36"/>
        <v>GUARULHOS</v>
      </c>
      <c r="AK579" s="213" t="s">
        <v>39</v>
      </c>
      <c r="AL579" s="53">
        <v>0.22972631510540631</v>
      </c>
      <c r="AM579" s="53" t="str" cm="1">
        <f t="array" ref="AM579">IF(OR(O579&lt;&gt;"", SUMPRODUCT(($AN$2:$AN$5000=AN579)*($AL$2:$AL$5000&lt;=AL579)) &lt;= (COUNTIF($AN$2:$AN$5000,AN579)*0.5)), "SORTEADO", "-")</f>
        <v>SORTEADO</v>
      </c>
      <c r="AN579" s="231" t="s">
        <v>1563</v>
      </c>
    </row>
    <row r="580" spans="1:40" ht="30" customHeight="1" x14ac:dyDescent="0.2">
      <c r="A580" s="231" t="s">
        <v>197</v>
      </c>
      <c r="B580" s="231">
        <v>2616543038</v>
      </c>
      <c r="C580" s="231" t="s">
        <v>89</v>
      </c>
      <c r="D580" s="231" t="s">
        <v>77</v>
      </c>
      <c r="E580" s="231" t="s">
        <v>198</v>
      </c>
      <c r="F580" s="231" t="s">
        <v>1603</v>
      </c>
      <c r="G580" s="231">
        <v>419</v>
      </c>
      <c r="H580" s="231" t="s">
        <v>1606</v>
      </c>
      <c r="I580" s="231" t="s">
        <v>1277</v>
      </c>
      <c r="J580" s="231" t="s">
        <v>346</v>
      </c>
      <c r="K580" s="231" t="s">
        <v>1607</v>
      </c>
      <c r="L580" s="231" t="s">
        <v>1563</v>
      </c>
      <c r="M580" s="231" t="s">
        <v>1609</v>
      </c>
      <c r="N580" s="231" t="s">
        <v>271</v>
      </c>
      <c r="O580" s="158" t="s">
        <v>204</v>
      </c>
      <c r="P580" s="146"/>
      <c r="Q580" s="146" t="s">
        <v>204</v>
      </c>
      <c r="R580" s="209"/>
      <c r="S580" s="146" t="s">
        <v>204</v>
      </c>
      <c r="T580" s="146"/>
      <c r="U580" s="146" t="s">
        <v>204</v>
      </c>
      <c r="V580" s="146"/>
      <c r="W580" s="146" t="s">
        <v>204</v>
      </c>
      <c r="X580" s="146"/>
      <c r="Y580" s="146" t="s">
        <v>61</v>
      </c>
      <c r="Z580" s="146"/>
      <c r="AA580" s="146" t="s">
        <v>204</v>
      </c>
      <c r="AB580" s="146"/>
      <c r="AC580" s="146" t="s">
        <v>204</v>
      </c>
      <c r="AD580" s="146"/>
      <c r="AE580" s="146" t="s">
        <v>204</v>
      </c>
      <c r="AF580" s="187" t="str">
        <f t="shared" si="35"/>
        <v>C</v>
      </c>
      <c r="AG580" s="54" t="str">
        <f t="shared" si="38"/>
        <v>UTILIZOU O PDA CORRETAMENTE</v>
      </c>
      <c r="AH580" s="146" t="s">
        <v>204</v>
      </c>
      <c r="AI580" s="210" t="s">
        <v>6</v>
      </c>
      <c r="AJ580" s="97" t="str">
        <f t="shared" si="36"/>
        <v>GUARULHOS</v>
      </c>
      <c r="AK580" s="213" t="s">
        <v>39</v>
      </c>
      <c r="AL580" s="53">
        <v>0.42083138047714841</v>
      </c>
      <c r="AM580" s="53" t="str" cm="1">
        <f t="array" ref="AM580">IF(OR(O580&lt;&gt;"", SUMPRODUCT(($AN$2:$AN$5000=AN580)*($AL$2:$AL$5000&lt;=AL580)) &lt;= (COUNTIF($AN$2:$AN$5000,AN580)*0.5)), "SORTEADO", "-")</f>
        <v>SORTEADO</v>
      </c>
      <c r="AN580" s="231" t="s">
        <v>1563</v>
      </c>
    </row>
    <row r="581" spans="1:40" ht="30" customHeight="1" x14ac:dyDescent="0.2">
      <c r="A581" s="231" t="s">
        <v>197</v>
      </c>
      <c r="B581" s="231">
        <v>2616545277</v>
      </c>
      <c r="C581" s="231" t="s">
        <v>89</v>
      </c>
      <c r="D581" s="231" t="s">
        <v>77</v>
      </c>
      <c r="E581" s="231" t="s">
        <v>198</v>
      </c>
      <c r="F581" s="231" t="s">
        <v>867</v>
      </c>
      <c r="G581" s="231">
        <v>669</v>
      </c>
      <c r="H581" s="231" t="s">
        <v>1610</v>
      </c>
      <c r="I581" s="231" t="s">
        <v>1611</v>
      </c>
      <c r="J581" s="231" t="s">
        <v>346</v>
      </c>
      <c r="K581" s="231" t="s">
        <v>1612</v>
      </c>
      <c r="L581" s="231" t="s">
        <v>1563</v>
      </c>
      <c r="M581" s="231" t="s">
        <v>1613</v>
      </c>
      <c r="N581" s="231" t="s">
        <v>271</v>
      </c>
      <c r="O581" s="158" t="s">
        <v>204</v>
      </c>
      <c r="P581" s="146"/>
      <c r="Q581" s="146" t="s">
        <v>204</v>
      </c>
      <c r="R581" s="209"/>
      <c r="S581" s="146" t="s">
        <v>204</v>
      </c>
      <c r="T581" s="146"/>
      <c r="U581" s="146" t="s">
        <v>204</v>
      </c>
      <c r="V581" s="146"/>
      <c r="W581" s="146" t="s">
        <v>204</v>
      </c>
      <c r="X581" s="146"/>
      <c r="Y581" s="146" t="s">
        <v>61</v>
      </c>
      <c r="Z581" s="146"/>
      <c r="AA581" s="146" t="s">
        <v>204</v>
      </c>
      <c r="AB581" s="146"/>
      <c r="AC581" s="146" t="s">
        <v>204</v>
      </c>
      <c r="AD581" s="146"/>
      <c r="AE581" s="146" t="s">
        <v>204</v>
      </c>
      <c r="AF581" s="187" t="str">
        <f t="shared" si="35"/>
        <v>C</v>
      </c>
      <c r="AG581" s="54" t="str">
        <f t="shared" si="38"/>
        <v>UTILIZOU O PDA CORRETAMENTE</v>
      </c>
      <c r="AH581" s="146"/>
      <c r="AI581" s="210" t="s">
        <v>6</v>
      </c>
      <c r="AJ581" s="97" t="str">
        <f t="shared" si="36"/>
        <v>GUARULHOS</v>
      </c>
      <c r="AK581" s="213" t="s">
        <v>39</v>
      </c>
      <c r="AL581" s="53">
        <v>5.9348563136754851E-2</v>
      </c>
      <c r="AM581" s="53" t="str" cm="1">
        <f t="array" ref="AM581">IF(OR(O581&lt;&gt;"", SUMPRODUCT(($AN$2:$AN$5000=AN581)*($AL$2:$AL$5000&lt;=AL581)) &lt;= (COUNTIF($AN$2:$AN$5000,AN581)*0.5)), "SORTEADO", "-")</f>
        <v>SORTEADO</v>
      </c>
      <c r="AN581" s="231" t="s">
        <v>1563</v>
      </c>
    </row>
    <row r="582" spans="1:40" ht="30" customHeight="1" x14ac:dyDescent="0.2">
      <c r="A582" s="231" t="s">
        <v>197</v>
      </c>
      <c r="B582" s="231">
        <v>2616347767</v>
      </c>
      <c r="C582" s="231" t="s">
        <v>104</v>
      </c>
      <c r="D582" s="231" t="s">
        <v>80</v>
      </c>
      <c r="E582" s="231" t="s">
        <v>198</v>
      </c>
      <c r="F582" s="231" t="s">
        <v>1614</v>
      </c>
      <c r="G582" s="231">
        <v>217</v>
      </c>
      <c r="H582" s="231" t="s">
        <v>1615</v>
      </c>
      <c r="I582" s="231" t="s">
        <v>997</v>
      </c>
      <c r="J582" s="231" t="s">
        <v>278</v>
      </c>
      <c r="K582" s="231"/>
      <c r="L582" s="231" t="s">
        <v>1616</v>
      </c>
      <c r="M582" s="231" t="s">
        <v>1617</v>
      </c>
      <c r="N582" s="231" t="s">
        <v>237</v>
      </c>
      <c r="O582" s="158" t="s">
        <v>204</v>
      </c>
      <c r="P582" s="92"/>
      <c r="Q582" s="146" t="s">
        <v>204</v>
      </c>
      <c r="R582" s="92"/>
      <c r="S582" s="146" t="s">
        <v>204</v>
      </c>
      <c r="T582" s="92"/>
      <c r="U582" s="146" t="s">
        <v>204</v>
      </c>
      <c r="V582" s="92"/>
      <c r="W582" s="146" t="s">
        <v>204</v>
      </c>
      <c r="X582" s="92"/>
      <c r="Y582" s="146" t="s">
        <v>61</v>
      </c>
      <c r="Z582" s="92"/>
      <c r="AA582" s="146" t="s">
        <v>204</v>
      </c>
      <c r="AB582" s="92"/>
      <c r="AC582" s="146" t="s">
        <v>204</v>
      </c>
      <c r="AD582" s="92"/>
      <c r="AE582" s="146" t="s">
        <v>204</v>
      </c>
      <c r="AF582" s="187" t="str">
        <f t="shared" si="35"/>
        <v>C</v>
      </c>
      <c r="AG582" s="54" t="str">
        <f t="shared" si="38"/>
        <v>UTILIZOU O PDA CORRETAMENTE</v>
      </c>
      <c r="AH582" s="144" t="s">
        <v>204</v>
      </c>
      <c r="AI582" s="210" t="s">
        <v>6</v>
      </c>
      <c r="AJ582" s="97" t="str">
        <f t="shared" si="36"/>
        <v>GUARULHOS</v>
      </c>
      <c r="AK582" s="213" t="s">
        <v>39</v>
      </c>
      <c r="AL582" s="53">
        <v>1.1239629046962185E-2</v>
      </c>
      <c r="AM582" s="53" t="str" cm="1">
        <f t="array" ref="AM582">IF(OR(O582&lt;&gt;"", SUMPRODUCT(($AN$2:$AN$5000=AN582)*($AL$2:$AL$5000&lt;=AL582)) &lt;= (COUNTIF($AN$2:$AN$5000,AN582)*0.5)), "SORTEADO", "-")</f>
        <v>SORTEADO</v>
      </c>
      <c r="AN582" s="231" t="s">
        <v>1616</v>
      </c>
    </row>
    <row r="583" spans="1:40" ht="30" customHeight="1" x14ac:dyDescent="0.2">
      <c r="A583" s="231" t="s">
        <v>197</v>
      </c>
      <c r="B583" s="231">
        <v>2616232214</v>
      </c>
      <c r="C583" s="231" t="s">
        <v>104</v>
      </c>
      <c r="D583" s="231" t="s">
        <v>80</v>
      </c>
      <c r="E583" s="231" t="s">
        <v>198</v>
      </c>
      <c r="F583" s="231" t="s">
        <v>1618</v>
      </c>
      <c r="G583" s="231">
        <v>88</v>
      </c>
      <c r="H583" s="231" t="s">
        <v>213</v>
      </c>
      <c r="I583" s="231" t="s">
        <v>1619</v>
      </c>
      <c r="J583" s="231" t="s">
        <v>278</v>
      </c>
      <c r="K583" s="231" t="s">
        <v>213</v>
      </c>
      <c r="L583" s="231" t="s">
        <v>1616</v>
      </c>
      <c r="M583" s="231" t="s">
        <v>1620</v>
      </c>
      <c r="N583" s="231" t="s">
        <v>237</v>
      </c>
      <c r="O583" s="158" t="s">
        <v>204</v>
      </c>
      <c r="P583" s="92"/>
      <c r="Q583" s="146" t="s">
        <v>204</v>
      </c>
      <c r="R583" s="92"/>
      <c r="S583" s="146" t="s">
        <v>204</v>
      </c>
      <c r="T583" s="92"/>
      <c r="U583" s="146" t="s">
        <v>204</v>
      </c>
      <c r="V583" s="92"/>
      <c r="W583" s="146" t="s">
        <v>204</v>
      </c>
      <c r="X583" s="92"/>
      <c r="Y583" s="146" t="s">
        <v>61</v>
      </c>
      <c r="Z583" s="92"/>
      <c r="AA583" s="146" t="s">
        <v>204</v>
      </c>
      <c r="AB583" s="92"/>
      <c r="AC583" s="146" t="s">
        <v>204</v>
      </c>
      <c r="AD583" s="92"/>
      <c r="AE583" s="146" t="s">
        <v>204</v>
      </c>
      <c r="AF583" s="187" t="str">
        <f t="shared" ref="AF583:AF646" si="39">IF(AND(O583="",Q583="",S583="",U583="",W583="",Y583="",AA583="",AC583=""),"",IF(OR(AND(O583&lt;&gt;"NA",O583&lt;&gt;"C",O583&lt;&gt;"NC",O583&lt;&gt;"SF",O583&lt;&gt;""),AND(Q583&lt;&gt;"NA",Q583&lt;&gt;"C",Q583&lt;&gt;"NC",Q583&lt;&gt;"SF",Q583&lt;&gt;""),AND(S583&lt;&gt;"NA",S583&lt;&gt;"C",S583&lt;&gt;"NC",S583&lt;&gt;"SF",S583&lt;&gt;""),AND(U583&lt;&gt;"NA",U583&lt;&gt;"C",U583&lt;&gt;"NC",U583&lt;&gt;"SF",U583&lt;&gt;""),AND(W583&lt;&gt;"NA",W583&lt;&gt;"C",W583&lt;&gt;"NC",W583&lt;&gt;"SF",W583&lt;&gt;""),AND(Y583&lt;&gt;"NA",Y583&lt;&gt;"C",Y583&lt;&gt;"NC",Y583&lt;&gt;"SF",Y583&lt;&gt;""),AND(AA583&lt;&gt;"NA",AA583&lt;&gt;"C",AA583&lt;&gt;"NC",AA583&lt;&gt;"SF",AA583&lt;&gt;""),AND(AC583&lt;&gt;"NA",AC583&lt;&gt;"C",AC583&lt;&gt;"NC",AC583&lt;&gt;"SF",AC583&lt;&gt;"")),"FALSO",IF(AND(O583="NA",Q583="NA",S583="NA",U583="NA",W583="NA",Y583="NA",AA583="NA",AC583="NA"),"NA",IF(OR(O583="NC",Q583="NC",S583="NC",U583="NC",W583="NC",Y583="NC",AA583="NC",AC583="NC",O583="SF",Q583="SF",S583="SF",U583="SF",W583="SF",Y583="SF",AA583="SF",AC583="SF"),"NC",IF(OR(O583="C",Q583="C",S583="C",U583="C",W583="C",Y583="C",AA583="C",AC583="C"),"C","")))))</f>
        <v>C</v>
      </c>
      <c r="AG583" s="54" t="str">
        <f t="shared" si="38"/>
        <v>UTILIZOU O PDA CORRETAMENTE</v>
      </c>
      <c r="AH583" s="144" t="s">
        <v>204</v>
      </c>
      <c r="AI583" s="210" t="s">
        <v>6</v>
      </c>
      <c r="AJ583" s="97" t="str">
        <f t="shared" ref="AJ583:AJ646" si="40">E583</f>
        <v>GUARULHOS</v>
      </c>
      <c r="AK583" s="213" t="s">
        <v>39</v>
      </c>
      <c r="AL583" s="53">
        <v>0.29134322772540289</v>
      </c>
      <c r="AM583" s="53" t="str" cm="1">
        <f t="array" ref="AM583">IF(OR(O583&lt;&gt;"", SUMPRODUCT(($AN$2:$AN$5000=AN583)*($AL$2:$AL$5000&lt;=AL583)) &lt;= (COUNTIF($AN$2:$AN$5000,AN583)*0.5)), "SORTEADO", "-")</f>
        <v>SORTEADO</v>
      </c>
      <c r="AN583" s="231" t="s">
        <v>1616</v>
      </c>
    </row>
    <row r="584" spans="1:40" ht="30" hidden="1" customHeight="1" x14ac:dyDescent="0.2">
      <c r="A584" s="231" t="s">
        <v>197</v>
      </c>
      <c r="B584" s="231">
        <v>2691010374</v>
      </c>
      <c r="C584" s="231" t="s">
        <v>106</v>
      </c>
      <c r="D584" s="231" t="s">
        <v>80</v>
      </c>
      <c r="E584" s="231" t="s">
        <v>198</v>
      </c>
      <c r="F584" s="231" t="s">
        <v>1621</v>
      </c>
      <c r="G584" s="231">
        <v>31</v>
      </c>
      <c r="H584" s="231"/>
      <c r="I584" s="231" t="s">
        <v>683</v>
      </c>
      <c r="J584" s="231" t="s">
        <v>270</v>
      </c>
      <c r="K584" s="231"/>
      <c r="L584" s="231" t="s">
        <v>1616</v>
      </c>
      <c r="M584" s="231" t="s">
        <v>1622</v>
      </c>
      <c r="N584" s="231" t="s">
        <v>381</v>
      </c>
      <c r="O584" s="158"/>
      <c r="P584" s="92"/>
      <c r="Q584" s="146"/>
      <c r="R584" s="92"/>
      <c r="S584" s="146"/>
      <c r="T584" s="92"/>
      <c r="U584" s="146"/>
      <c r="V584" s="92"/>
      <c r="W584" s="146"/>
      <c r="X584" s="92"/>
      <c r="Y584" s="146"/>
      <c r="Z584" s="92"/>
      <c r="AA584" s="146"/>
      <c r="AB584" s="92"/>
      <c r="AC584" s="146"/>
      <c r="AD584" s="92"/>
      <c r="AE584" s="146"/>
      <c r="AF584" s="187" t="str">
        <f t="shared" si="39"/>
        <v/>
      </c>
      <c r="AG584" s="54" t="b">
        <f t="shared" si="38"/>
        <v>0</v>
      </c>
      <c r="AH584" s="146"/>
      <c r="AI584" s="210" t="s">
        <v>6</v>
      </c>
      <c r="AJ584" s="97" t="str">
        <f t="shared" si="40"/>
        <v>GUARULHOS</v>
      </c>
      <c r="AK584" s="213" t="s">
        <v>39</v>
      </c>
      <c r="AL584" s="53">
        <v>0.63509871810287954</v>
      </c>
      <c r="AM584" s="53" t="str" cm="1">
        <f t="array" ref="AM584">IF(OR(O584&lt;&gt;"", SUMPRODUCT(($AN$2:$AN$5000=AN584)*($AL$2:$AL$5000&lt;=AL584)) &lt;= (COUNTIF($AN$2:$AN$5000,AN584)*0.5)), "SORTEADO", "-")</f>
        <v>-</v>
      </c>
      <c r="AN584" s="231" t="s">
        <v>1616</v>
      </c>
    </row>
    <row r="585" spans="1:40" ht="30" hidden="1" customHeight="1" x14ac:dyDescent="0.2">
      <c r="A585" s="231" t="s">
        <v>197</v>
      </c>
      <c r="B585" s="231">
        <v>2616390594</v>
      </c>
      <c r="C585" s="231" t="s">
        <v>105</v>
      </c>
      <c r="D585" s="231" t="s">
        <v>80</v>
      </c>
      <c r="E585" s="231" t="s">
        <v>198</v>
      </c>
      <c r="F585" s="231" t="s">
        <v>1623</v>
      </c>
      <c r="G585" s="231">
        <v>41</v>
      </c>
      <c r="H585" s="231" t="s">
        <v>1624</v>
      </c>
      <c r="I585" s="231" t="s">
        <v>466</v>
      </c>
      <c r="J585" s="231" t="s">
        <v>254</v>
      </c>
      <c r="K585" s="231" t="s">
        <v>1256</v>
      </c>
      <c r="L585" s="231" t="s">
        <v>1616</v>
      </c>
      <c r="M585" s="231" t="s">
        <v>1625</v>
      </c>
      <c r="N585" s="231" t="s">
        <v>348</v>
      </c>
      <c r="O585" s="158"/>
      <c r="P585" s="92"/>
      <c r="Q585" s="146"/>
      <c r="R585" s="92"/>
      <c r="S585" s="146"/>
      <c r="T585" s="92"/>
      <c r="U585" s="146"/>
      <c r="V585" s="92"/>
      <c r="W585" s="146"/>
      <c r="X585" s="92"/>
      <c r="Y585" s="146"/>
      <c r="Z585" s="92"/>
      <c r="AA585" s="146"/>
      <c r="AB585" s="92"/>
      <c r="AC585" s="146"/>
      <c r="AD585" s="92"/>
      <c r="AE585" s="146"/>
      <c r="AF585" s="187" t="str">
        <f t="shared" si="39"/>
        <v/>
      </c>
      <c r="AG585" s="54" t="b">
        <f t="shared" si="38"/>
        <v>0</v>
      </c>
      <c r="AH585" s="146"/>
      <c r="AI585" s="210" t="s">
        <v>6</v>
      </c>
      <c r="AJ585" s="97" t="str">
        <f t="shared" si="40"/>
        <v>GUARULHOS</v>
      </c>
      <c r="AK585" s="213" t="s">
        <v>39</v>
      </c>
      <c r="AL585" s="53">
        <v>0.51092170421196748</v>
      </c>
      <c r="AM585" s="53" t="str" cm="1">
        <f t="array" ref="AM585">IF(OR(O585&lt;&gt;"", SUMPRODUCT(($AN$2:$AN$5000=AN585)*($AL$2:$AL$5000&lt;=AL585)) &lt;= (COUNTIF($AN$2:$AN$5000,AN585)*0.5)), "SORTEADO", "-")</f>
        <v>-</v>
      </c>
      <c r="AN585" s="231" t="s">
        <v>1616</v>
      </c>
    </row>
    <row r="586" spans="1:40" ht="30" customHeight="1" x14ac:dyDescent="0.2">
      <c r="A586" s="231" t="s">
        <v>197</v>
      </c>
      <c r="B586" s="231">
        <v>2616538653</v>
      </c>
      <c r="C586" s="231" t="s">
        <v>105</v>
      </c>
      <c r="D586" s="231" t="s">
        <v>80</v>
      </c>
      <c r="E586" s="231" t="s">
        <v>198</v>
      </c>
      <c r="F586" s="231" t="s">
        <v>1524</v>
      </c>
      <c r="G586" s="231">
        <v>288</v>
      </c>
      <c r="H586" s="231" t="s">
        <v>206</v>
      </c>
      <c r="I586" s="231" t="s">
        <v>791</v>
      </c>
      <c r="J586" s="231" t="s">
        <v>254</v>
      </c>
      <c r="K586" s="231" t="s">
        <v>1626</v>
      </c>
      <c r="L586" s="231" t="s">
        <v>1616</v>
      </c>
      <c r="M586" s="231" t="s">
        <v>1627</v>
      </c>
      <c r="N586" s="231" t="s">
        <v>271</v>
      </c>
      <c r="O586" s="158" t="s">
        <v>204</v>
      </c>
      <c r="P586" s="92"/>
      <c r="Q586" s="146" t="s">
        <v>204</v>
      </c>
      <c r="R586" s="92"/>
      <c r="S586" s="146" t="s">
        <v>204</v>
      </c>
      <c r="T586" s="92"/>
      <c r="U586" s="146" t="s">
        <v>204</v>
      </c>
      <c r="V586" s="92"/>
      <c r="W586" s="146" t="s">
        <v>204</v>
      </c>
      <c r="X586" s="92"/>
      <c r="Y586" s="146" t="s">
        <v>61</v>
      </c>
      <c r="Z586" s="92"/>
      <c r="AA586" s="146" t="s">
        <v>204</v>
      </c>
      <c r="AB586" s="92"/>
      <c r="AC586" s="146" t="s">
        <v>204</v>
      </c>
      <c r="AD586" s="92"/>
      <c r="AE586" s="146" t="s">
        <v>204</v>
      </c>
      <c r="AF586" s="187" t="str">
        <f t="shared" si="39"/>
        <v>C</v>
      </c>
      <c r="AG586" s="54" t="str">
        <f t="shared" si="38"/>
        <v>UTILIZOU O PDA CORRETAMENTE</v>
      </c>
      <c r="AH586" s="144" t="s">
        <v>204</v>
      </c>
      <c r="AI586" s="210" t="s">
        <v>6</v>
      </c>
      <c r="AJ586" s="97" t="str">
        <f t="shared" si="40"/>
        <v>GUARULHOS</v>
      </c>
      <c r="AK586" s="213" t="s">
        <v>39</v>
      </c>
      <c r="AL586" s="53">
        <v>0.27920905108907179</v>
      </c>
      <c r="AM586" s="53" t="str" cm="1">
        <f t="array" ref="AM586">IF(OR(O586&lt;&gt;"", SUMPRODUCT(($AN$2:$AN$5000=AN586)*($AL$2:$AL$5000&lt;=AL586)) &lt;= (COUNTIF($AN$2:$AN$5000,AN586)*0.5)), "SORTEADO", "-")</f>
        <v>SORTEADO</v>
      </c>
      <c r="AN586" s="231" t="s">
        <v>1616</v>
      </c>
    </row>
    <row r="587" spans="1:40" ht="30" customHeight="1" x14ac:dyDescent="0.2">
      <c r="A587" s="231" t="s">
        <v>197</v>
      </c>
      <c r="B587" s="231">
        <v>2616390566</v>
      </c>
      <c r="C587" s="231" t="s">
        <v>105</v>
      </c>
      <c r="D587" s="231" t="s">
        <v>80</v>
      </c>
      <c r="E587" s="231" t="s">
        <v>198</v>
      </c>
      <c r="F587" s="231" t="s">
        <v>1524</v>
      </c>
      <c r="G587" s="231">
        <v>288</v>
      </c>
      <c r="H587" s="231" t="s">
        <v>211</v>
      </c>
      <c r="I587" s="231" t="s">
        <v>791</v>
      </c>
      <c r="J587" s="231" t="s">
        <v>226</v>
      </c>
      <c r="K587" s="231" t="s">
        <v>213</v>
      </c>
      <c r="L587" s="231" t="s">
        <v>1616</v>
      </c>
      <c r="M587" s="231" t="s">
        <v>1628</v>
      </c>
      <c r="N587" s="231" t="s">
        <v>271</v>
      </c>
      <c r="O587" s="158" t="s">
        <v>204</v>
      </c>
      <c r="P587" s="92"/>
      <c r="Q587" s="146" t="s">
        <v>204</v>
      </c>
      <c r="R587" s="92"/>
      <c r="S587" s="146" t="s">
        <v>204</v>
      </c>
      <c r="T587" s="92"/>
      <c r="U587" s="146" t="s">
        <v>204</v>
      </c>
      <c r="V587" s="92"/>
      <c r="W587" s="146" t="s">
        <v>204</v>
      </c>
      <c r="X587" s="92"/>
      <c r="Y587" s="146" t="s">
        <v>61</v>
      </c>
      <c r="Z587" s="92"/>
      <c r="AA587" s="146" t="s">
        <v>204</v>
      </c>
      <c r="AB587" s="92"/>
      <c r="AC587" s="146" t="s">
        <v>204</v>
      </c>
      <c r="AD587" s="92"/>
      <c r="AE587" s="146" t="s">
        <v>204</v>
      </c>
      <c r="AF587" s="187" t="str">
        <f t="shared" si="39"/>
        <v>C</v>
      </c>
      <c r="AG587" s="54" t="str">
        <f t="shared" si="38"/>
        <v>UTILIZOU O PDA CORRETAMENTE</v>
      </c>
      <c r="AH587" s="144" t="s">
        <v>204</v>
      </c>
      <c r="AI587" s="210" t="s">
        <v>6</v>
      </c>
      <c r="AJ587" s="97" t="str">
        <f t="shared" si="40"/>
        <v>GUARULHOS</v>
      </c>
      <c r="AK587" s="213" t="s">
        <v>39</v>
      </c>
      <c r="AL587" s="53">
        <v>0.13080135804435344</v>
      </c>
      <c r="AM587" s="53" t="str" cm="1">
        <f t="array" ref="AM587">IF(OR(O587&lt;&gt;"", SUMPRODUCT(($AN$2:$AN$5000=AN587)*($AL$2:$AL$5000&lt;=AL587)) &lt;= (COUNTIF($AN$2:$AN$5000,AN587)*0.5)), "SORTEADO", "-")</f>
        <v>SORTEADO</v>
      </c>
      <c r="AN587" s="231" t="s">
        <v>1616</v>
      </c>
    </row>
    <row r="588" spans="1:40" ht="30" hidden="1" customHeight="1" x14ac:dyDescent="0.2">
      <c r="A588" s="231" t="s">
        <v>197</v>
      </c>
      <c r="B588" s="231">
        <v>2616378755</v>
      </c>
      <c r="C588" s="231" t="s">
        <v>105</v>
      </c>
      <c r="D588" s="231" t="s">
        <v>80</v>
      </c>
      <c r="E588" s="231" t="s">
        <v>198</v>
      </c>
      <c r="F588" s="231" t="s">
        <v>1629</v>
      </c>
      <c r="G588" s="231">
        <v>87</v>
      </c>
      <c r="H588" s="231" t="s">
        <v>1630</v>
      </c>
      <c r="I588" s="231" t="s">
        <v>881</v>
      </c>
      <c r="J588" s="231" t="s">
        <v>226</v>
      </c>
      <c r="K588" s="231"/>
      <c r="L588" s="231" t="s">
        <v>1616</v>
      </c>
      <c r="M588" s="231" t="s">
        <v>1631</v>
      </c>
      <c r="N588" s="231" t="s">
        <v>260</v>
      </c>
      <c r="O588" s="158"/>
      <c r="P588" s="92"/>
      <c r="Q588" s="146"/>
      <c r="R588" s="92"/>
      <c r="S588" s="146"/>
      <c r="T588" s="92"/>
      <c r="U588" s="146"/>
      <c r="V588" s="92"/>
      <c r="W588" s="146"/>
      <c r="X588" s="92"/>
      <c r="Y588" s="146"/>
      <c r="Z588" s="92"/>
      <c r="AA588" s="146"/>
      <c r="AB588" s="92"/>
      <c r="AC588" s="146"/>
      <c r="AD588" s="92"/>
      <c r="AE588" s="146"/>
      <c r="AF588" s="187" t="str">
        <f t="shared" si="39"/>
        <v/>
      </c>
      <c r="AG588" s="54" t="b">
        <f t="shared" si="38"/>
        <v>0</v>
      </c>
      <c r="AH588" s="146"/>
      <c r="AI588" s="210" t="s">
        <v>6</v>
      </c>
      <c r="AJ588" s="97" t="str">
        <f t="shared" si="40"/>
        <v>GUARULHOS</v>
      </c>
      <c r="AK588" s="213" t="s">
        <v>39</v>
      </c>
      <c r="AL588" s="53">
        <v>0.76194308119338217</v>
      </c>
      <c r="AM588" s="53" t="str" cm="1">
        <f t="array" ref="AM588">IF(OR(O588&lt;&gt;"", SUMPRODUCT(($AN$2:$AN$5000=AN588)*($AL$2:$AL$5000&lt;=AL588)) &lt;= (COUNTIF($AN$2:$AN$5000,AN588)*0.5)), "SORTEADO", "-")</f>
        <v>-</v>
      </c>
      <c r="AN588" s="231" t="s">
        <v>1616</v>
      </c>
    </row>
    <row r="589" spans="1:40" ht="30" hidden="1" customHeight="1" x14ac:dyDescent="0.2">
      <c r="A589" s="231" t="s">
        <v>197</v>
      </c>
      <c r="B589" s="231">
        <v>2616570864</v>
      </c>
      <c r="C589" s="231" t="s">
        <v>102</v>
      </c>
      <c r="D589" s="231" t="s">
        <v>80</v>
      </c>
      <c r="E589" s="231" t="s">
        <v>198</v>
      </c>
      <c r="F589" s="231" t="s">
        <v>1632</v>
      </c>
      <c r="G589" s="231">
        <v>344</v>
      </c>
      <c r="H589" s="231" t="s">
        <v>235</v>
      </c>
      <c r="I589" s="231" t="s">
        <v>1587</v>
      </c>
      <c r="J589" s="231" t="s">
        <v>270</v>
      </c>
      <c r="K589" s="231" t="s">
        <v>213</v>
      </c>
      <c r="L589" s="231" t="s">
        <v>1616</v>
      </c>
      <c r="M589" s="231" t="s">
        <v>1633</v>
      </c>
      <c r="N589" s="231" t="s">
        <v>228</v>
      </c>
      <c r="O589" s="158"/>
      <c r="P589" s="92"/>
      <c r="Q589" s="146"/>
      <c r="R589" s="92"/>
      <c r="S589" s="146"/>
      <c r="T589" s="92"/>
      <c r="U589" s="146"/>
      <c r="V589" s="92"/>
      <c r="W589" s="146"/>
      <c r="X589" s="92"/>
      <c r="Y589" s="146"/>
      <c r="Z589" s="92"/>
      <c r="AA589" s="146"/>
      <c r="AB589" s="92"/>
      <c r="AC589" s="146"/>
      <c r="AD589" s="92"/>
      <c r="AE589" s="146"/>
      <c r="AF589" s="187" t="str">
        <f t="shared" si="39"/>
        <v/>
      </c>
      <c r="AG589" s="54" t="b">
        <f t="shared" si="38"/>
        <v>0</v>
      </c>
      <c r="AH589" s="146"/>
      <c r="AI589" s="210" t="s">
        <v>6</v>
      </c>
      <c r="AJ589" s="97" t="str">
        <f t="shared" si="40"/>
        <v>GUARULHOS</v>
      </c>
      <c r="AK589" s="213" t="s">
        <v>39</v>
      </c>
      <c r="AL589" s="53">
        <v>0.63904912442879314</v>
      </c>
      <c r="AM589" s="53" t="str" cm="1">
        <f t="array" ref="AM589">IF(OR(O589&lt;&gt;"", SUMPRODUCT(($AN$2:$AN$5000=AN589)*($AL$2:$AL$5000&lt;=AL589)) &lt;= (COUNTIF($AN$2:$AN$5000,AN589)*0.5)), "SORTEADO", "-")</f>
        <v>-</v>
      </c>
      <c r="AN589" s="231" t="s">
        <v>1616</v>
      </c>
    </row>
    <row r="590" spans="1:40" ht="30" hidden="1" customHeight="1" x14ac:dyDescent="0.2">
      <c r="A590" s="231" t="s">
        <v>197</v>
      </c>
      <c r="B590" s="231">
        <v>2691010193</v>
      </c>
      <c r="C590" s="231" t="s">
        <v>102</v>
      </c>
      <c r="D590" s="231" t="s">
        <v>80</v>
      </c>
      <c r="E590" s="231" t="s">
        <v>198</v>
      </c>
      <c r="F590" s="231" t="s">
        <v>1634</v>
      </c>
      <c r="G590" s="231">
        <v>87</v>
      </c>
      <c r="H590" s="231"/>
      <c r="I590" s="231" t="s">
        <v>664</v>
      </c>
      <c r="J590" s="231" t="s">
        <v>270</v>
      </c>
      <c r="K590" s="231"/>
      <c r="L590" s="231" t="s">
        <v>1616</v>
      </c>
      <c r="M590" s="231" t="s">
        <v>1635</v>
      </c>
      <c r="N590" s="231" t="s">
        <v>260</v>
      </c>
      <c r="O590" s="158"/>
      <c r="P590" s="92"/>
      <c r="Q590" s="146"/>
      <c r="R590" s="92"/>
      <c r="S590" s="146"/>
      <c r="T590" s="92"/>
      <c r="U590" s="146"/>
      <c r="V590" s="92"/>
      <c r="W590" s="146"/>
      <c r="X590" s="92"/>
      <c r="Y590" s="146"/>
      <c r="Z590" s="92"/>
      <c r="AA590" s="146"/>
      <c r="AB590" s="92"/>
      <c r="AC590" s="146"/>
      <c r="AD590" s="92"/>
      <c r="AE590" s="146"/>
      <c r="AF590" s="187" t="str">
        <f t="shared" si="39"/>
        <v/>
      </c>
      <c r="AG590" s="54" t="b">
        <f t="shared" si="38"/>
        <v>0</v>
      </c>
      <c r="AH590" s="146"/>
      <c r="AI590" s="210" t="s">
        <v>6</v>
      </c>
      <c r="AJ590" s="97" t="str">
        <f t="shared" si="40"/>
        <v>GUARULHOS</v>
      </c>
      <c r="AK590" s="213" t="s">
        <v>39</v>
      </c>
      <c r="AL590" s="53">
        <v>0.84721611968188981</v>
      </c>
      <c r="AM590" s="53" t="str" cm="1">
        <f t="array" ref="AM590">IF(OR(O590&lt;&gt;"", SUMPRODUCT(($AN$2:$AN$5000=AN590)*($AL$2:$AL$5000&lt;=AL590)) &lt;= (COUNTIF($AN$2:$AN$5000,AN590)*0.5)), "SORTEADO", "-")</f>
        <v>-</v>
      </c>
      <c r="AN590" s="231" t="s">
        <v>1616</v>
      </c>
    </row>
    <row r="591" spans="1:40" ht="30" hidden="1" customHeight="1" x14ac:dyDescent="0.2">
      <c r="A591" s="231" t="s">
        <v>197</v>
      </c>
      <c r="B591" s="231">
        <v>2691013317</v>
      </c>
      <c r="C591" s="231" t="s">
        <v>102</v>
      </c>
      <c r="D591" s="231" t="s">
        <v>80</v>
      </c>
      <c r="E591" s="231" t="s">
        <v>198</v>
      </c>
      <c r="F591" s="231" t="s">
        <v>1636</v>
      </c>
      <c r="G591" s="231">
        <v>265</v>
      </c>
      <c r="H591" s="231" t="s">
        <v>1637</v>
      </c>
      <c r="I591" s="231" t="s">
        <v>538</v>
      </c>
      <c r="J591" s="231" t="s">
        <v>270</v>
      </c>
      <c r="K591" s="231" t="s">
        <v>213</v>
      </c>
      <c r="L591" s="231" t="s">
        <v>1616</v>
      </c>
      <c r="M591" s="231" t="s">
        <v>1638</v>
      </c>
      <c r="N591" s="231" t="s">
        <v>287</v>
      </c>
      <c r="O591" s="158"/>
      <c r="P591" s="92"/>
      <c r="Q591" s="146"/>
      <c r="R591" s="92"/>
      <c r="S591" s="146"/>
      <c r="T591" s="92"/>
      <c r="U591" s="146"/>
      <c r="V591" s="92"/>
      <c r="W591" s="146"/>
      <c r="X591" s="92"/>
      <c r="Y591" s="146"/>
      <c r="Z591" s="92"/>
      <c r="AA591" s="146"/>
      <c r="AB591" s="92"/>
      <c r="AC591" s="146"/>
      <c r="AD591" s="92"/>
      <c r="AE591" s="146"/>
      <c r="AF591" s="187" t="str">
        <f t="shared" si="39"/>
        <v/>
      </c>
      <c r="AG591" s="54" t="b">
        <f t="shared" si="38"/>
        <v>0</v>
      </c>
      <c r="AH591" s="146"/>
      <c r="AI591" s="210" t="s">
        <v>6</v>
      </c>
      <c r="AJ591" s="97" t="str">
        <f t="shared" si="40"/>
        <v>GUARULHOS</v>
      </c>
      <c r="AK591" s="213" t="s">
        <v>39</v>
      </c>
      <c r="AL591" s="53">
        <v>0.74233468966934713</v>
      </c>
      <c r="AM591" s="53" t="str" cm="1">
        <f t="array" ref="AM591">IF(OR(O591&lt;&gt;"", SUMPRODUCT(($AN$2:$AN$5000=AN591)*($AL$2:$AL$5000&lt;=AL591)) &lt;= (COUNTIF($AN$2:$AN$5000,AN591)*0.5)), "SORTEADO", "-")</f>
        <v>-</v>
      </c>
      <c r="AN591" s="231" t="s">
        <v>1616</v>
      </c>
    </row>
    <row r="592" spans="1:40" ht="30" hidden="1" customHeight="1" x14ac:dyDescent="0.2">
      <c r="A592" s="231" t="s">
        <v>197</v>
      </c>
      <c r="B592" s="231">
        <v>2615567547</v>
      </c>
      <c r="C592" s="231" t="s">
        <v>94</v>
      </c>
      <c r="D592" s="231" t="s">
        <v>76</v>
      </c>
      <c r="E592" s="231" t="s">
        <v>198</v>
      </c>
      <c r="F592" s="231" t="s">
        <v>1639</v>
      </c>
      <c r="G592" s="231">
        <v>129</v>
      </c>
      <c r="H592" s="231" t="s">
        <v>1280</v>
      </c>
      <c r="I592" s="231" t="s">
        <v>207</v>
      </c>
      <c r="J592" s="231" t="s">
        <v>94</v>
      </c>
      <c r="K592" s="231" t="s">
        <v>1640</v>
      </c>
      <c r="L592" s="231" t="s">
        <v>1616</v>
      </c>
      <c r="M592" s="231" t="s">
        <v>1641</v>
      </c>
      <c r="N592" s="231" t="s">
        <v>209</v>
      </c>
      <c r="O592" s="158"/>
      <c r="P592" s="92"/>
      <c r="Q592" s="146"/>
      <c r="R592" s="92"/>
      <c r="S592" s="146"/>
      <c r="T592" s="92"/>
      <c r="U592" s="146"/>
      <c r="V592" s="92"/>
      <c r="W592" s="146"/>
      <c r="X592" s="92"/>
      <c r="Y592" s="146"/>
      <c r="Z592" s="92"/>
      <c r="AA592" s="146"/>
      <c r="AB592" s="92"/>
      <c r="AC592" s="146"/>
      <c r="AD592" s="92"/>
      <c r="AE592" s="146"/>
      <c r="AF592" s="187" t="str">
        <f t="shared" si="39"/>
        <v/>
      </c>
      <c r="AG592" s="54" t="b">
        <f t="shared" si="38"/>
        <v>0</v>
      </c>
      <c r="AH592" s="146"/>
      <c r="AI592" s="210" t="s">
        <v>6</v>
      </c>
      <c r="AJ592" s="97" t="str">
        <f t="shared" si="40"/>
        <v>GUARULHOS</v>
      </c>
      <c r="AK592" s="213" t="s">
        <v>39</v>
      </c>
      <c r="AL592" s="53">
        <v>0.37713163115683568</v>
      </c>
      <c r="AM592" s="53" t="str" cm="1">
        <f t="array" ref="AM592">IF(OR(O592&lt;&gt;"", SUMPRODUCT(($AN$2:$AN$5000=AN592)*($AL$2:$AL$5000&lt;=AL592)) &lt;= (COUNTIF($AN$2:$AN$5000,AN592)*0.5)), "SORTEADO", "-")</f>
        <v>-</v>
      </c>
      <c r="AN592" s="231" t="s">
        <v>1616</v>
      </c>
    </row>
    <row r="593" spans="1:40" ht="30" hidden="1" customHeight="1" x14ac:dyDescent="0.2">
      <c r="A593" s="231" t="s">
        <v>197</v>
      </c>
      <c r="B593" s="231">
        <v>2615567571</v>
      </c>
      <c r="C593" s="231" t="s">
        <v>96</v>
      </c>
      <c r="D593" s="231" t="s">
        <v>79</v>
      </c>
      <c r="E593" s="231" t="s">
        <v>198</v>
      </c>
      <c r="F593" s="231" t="s">
        <v>1639</v>
      </c>
      <c r="G593" s="231">
        <v>129</v>
      </c>
      <c r="H593" s="231" t="s">
        <v>1276</v>
      </c>
      <c r="I593" s="231" t="s">
        <v>207</v>
      </c>
      <c r="J593" s="231" t="s">
        <v>96</v>
      </c>
      <c r="K593" s="231">
        <v>2615567547</v>
      </c>
      <c r="L593" s="231" t="s">
        <v>1616</v>
      </c>
      <c r="M593" s="231" t="s">
        <v>1642</v>
      </c>
      <c r="N593" s="231" t="s">
        <v>209</v>
      </c>
      <c r="O593" s="158"/>
      <c r="P593" s="92"/>
      <c r="Q593" s="146"/>
      <c r="R593" s="92"/>
      <c r="S593" s="146"/>
      <c r="T593" s="92"/>
      <c r="U593" s="146"/>
      <c r="V593" s="92"/>
      <c r="W593" s="146"/>
      <c r="X593" s="92"/>
      <c r="Y593" s="146"/>
      <c r="Z593" s="92"/>
      <c r="AA593" s="146"/>
      <c r="AB593" s="92"/>
      <c r="AC593" s="146"/>
      <c r="AD593" s="92"/>
      <c r="AE593" s="146"/>
      <c r="AF593" s="187" t="str">
        <f t="shared" si="39"/>
        <v/>
      </c>
      <c r="AG593" s="54" t="b">
        <f t="shared" si="38"/>
        <v>0</v>
      </c>
      <c r="AH593" s="146"/>
      <c r="AI593" s="210" t="s">
        <v>6</v>
      </c>
      <c r="AJ593" s="97" t="str">
        <f t="shared" si="40"/>
        <v>GUARULHOS</v>
      </c>
      <c r="AK593" s="213" t="s">
        <v>39</v>
      </c>
      <c r="AL593" s="53">
        <v>0.64988576389634445</v>
      </c>
      <c r="AM593" s="53" t="str" cm="1">
        <f t="array" ref="AM593">IF(OR(O593&lt;&gt;"", SUMPRODUCT(($AN$2:$AN$5000=AN593)*($AL$2:$AL$5000&lt;=AL593)) &lt;= (COUNTIF($AN$2:$AN$5000,AN593)*0.5)), "SORTEADO", "-")</f>
        <v>-</v>
      </c>
      <c r="AN593" s="231" t="s">
        <v>1616</v>
      </c>
    </row>
    <row r="594" spans="1:40" ht="30" customHeight="1" x14ac:dyDescent="0.2">
      <c r="A594" s="231" t="s">
        <v>197</v>
      </c>
      <c r="B594" s="231">
        <v>2616231509</v>
      </c>
      <c r="C594" s="231" t="s">
        <v>94</v>
      </c>
      <c r="D594" s="231" t="s">
        <v>76</v>
      </c>
      <c r="E594" s="231" t="s">
        <v>198</v>
      </c>
      <c r="F594" s="231" t="s">
        <v>1643</v>
      </c>
      <c r="G594" s="231">
        <v>16</v>
      </c>
      <c r="H594" s="231" t="s">
        <v>206</v>
      </c>
      <c r="I594" s="231" t="s">
        <v>1644</v>
      </c>
      <c r="J594" s="231" t="s">
        <v>94</v>
      </c>
      <c r="K594" s="238" t="s">
        <v>1645</v>
      </c>
      <c r="L594" s="231" t="s">
        <v>1616</v>
      </c>
      <c r="M594" s="231" t="s">
        <v>1646</v>
      </c>
      <c r="N594" s="231" t="s">
        <v>209</v>
      </c>
      <c r="O594" s="158" t="s">
        <v>204</v>
      </c>
      <c r="P594" s="92"/>
      <c r="Q594" s="146" t="s">
        <v>204</v>
      </c>
      <c r="R594" s="92"/>
      <c r="S594" s="146" t="s">
        <v>204</v>
      </c>
      <c r="T594" s="92"/>
      <c r="U594" s="146" t="s">
        <v>204</v>
      </c>
      <c r="V594" s="92"/>
      <c r="W594" s="146" t="s">
        <v>204</v>
      </c>
      <c r="X594" s="92"/>
      <c r="Y594" s="146" t="s">
        <v>204</v>
      </c>
      <c r="Z594" s="92"/>
      <c r="AA594" s="146" t="s">
        <v>204</v>
      </c>
      <c r="AB594" s="92"/>
      <c r="AC594" s="146" t="s">
        <v>204</v>
      </c>
      <c r="AD594" s="92"/>
      <c r="AE594" s="146" t="s">
        <v>204</v>
      </c>
      <c r="AF594" s="187" t="str">
        <f t="shared" si="39"/>
        <v>C</v>
      </c>
      <c r="AG594" s="54" t="str">
        <f t="shared" si="38"/>
        <v>UTILIZOU O PDA CORRETAMENTE</v>
      </c>
      <c r="AH594" s="146"/>
      <c r="AI594" s="210" t="s">
        <v>6</v>
      </c>
      <c r="AJ594" s="97" t="str">
        <f t="shared" si="40"/>
        <v>GUARULHOS</v>
      </c>
      <c r="AK594" s="213" t="s">
        <v>39</v>
      </c>
      <c r="AL594" s="53">
        <v>0.31883173100578699</v>
      </c>
      <c r="AM594" s="53" t="str" cm="1">
        <f t="array" ref="AM594">IF(OR(O594&lt;&gt;"", SUMPRODUCT(($AN$2:$AN$5000=AN594)*($AL$2:$AL$5000&lt;=AL594)) &lt;= (COUNTIF($AN$2:$AN$5000,AN594)*0.5)), "SORTEADO", "-")</f>
        <v>SORTEADO</v>
      </c>
      <c r="AN594" s="231" t="s">
        <v>1616</v>
      </c>
    </row>
    <row r="595" spans="1:40" ht="30" hidden="1" customHeight="1" x14ac:dyDescent="0.2">
      <c r="A595" s="231" t="s">
        <v>197</v>
      </c>
      <c r="B595" s="231">
        <v>2616231512</v>
      </c>
      <c r="C595" s="231" t="s">
        <v>96</v>
      </c>
      <c r="D595" s="231" t="s">
        <v>76</v>
      </c>
      <c r="E595" s="231" t="s">
        <v>198</v>
      </c>
      <c r="F595" s="231" t="s">
        <v>1643</v>
      </c>
      <c r="G595" s="231">
        <v>16</v>
      </c>
      <c r="H595" s="231" t="s">
        <v>211</v>
      </c>
      <c r="I595" s="231" t="s">
        <v>1644</v>
      </c>
      <c r="J595" s="231" t="s">
        <v>96</v>
      </c>
      <c r="K595" s="231">
        <v>2616231509</v>
      </c>
      <c r="L595" s="231" t="s">
        <v>1616</v>
      </c>
      <c r="M595" s="231" t="s">
        <v>1647</v>
      </c>
      <c r="N595" s="231" t="s">
        <v>209</v>
      </c>
      <c r="O595" s="158"/>
      <c r="P595" s="92"/>
      <c r="Q595" s="146"/>
      <c r="R595" s="92"/>
      <c r="S595" s="146"/>
      <c r="T595" s="92"/>
      <c r="U595" s="146"/>
      <c r="V595" s="92"/>
      <c r="W595" s="146"/>
      <c r="X595" s="92"/>
      <c r="Y595" s="146"/>
      <c r="Z595" s="92"/>
      <c r="AA595" s="146"/>
      <c r="AB595" s="92"/>
      <c r="AC595" s="146"/>
      <c r="AD595" s="92"/>
      <c r="AE595" s="146"/>
      <c r="AF595" s="187" t="str">
        <f t="shared" si="39"/>
        <v/>
      </c>
      <c r="AG595" s="54" t="b">
        <f t="shared" si="38"/>
        <v>0</v>
      </c>
      <c r="AH595" s="146"/>
      <c r="AI595" s="210" t="s">
        <v>6</v>
      </c>
      <c r="AJ595" s="97" t="str">
        <f t="shared" si="40"/>
        <v>GUARULHOS</v>
      </c>
      <c r="AK595" s="213" t="s">
        <v>39</v>
      </c>
      <c r="AL595" s="53">
        <v>0.46476792814754109</v>
      </c>
      <c r="AM595" s="53" t="str" cm="1">
        <f t="array" ref="AM595">IF(OR(O595&lt;&gt;"", SUMPRODUCT(($AN$2:$AN$5000=AN595)*($AL$2:$AL$5000&lt;=AL595)) &lt;= (COUNTIF($AN$2:$AN$5000,AN595)*0.5)), "SORTEADO", "-")</f>
        <v>-</v>
      </c>
      <c r="AN595" s="231" t="s">
        <v>1616</v>
      </c>
    </row>
    <row r="596" spans="1:40" ht="30" customHeight="1" x14ac:dyDescent="0.2">
      <c r="A596" s="231" t="s">
        <v>197</v>
      </c>
      <c r="B596" s="231">
        <v>2615565603</v>
      </c>
      <c r="C596" s="231" t="s">
        <v>94</v>
      </c>
      <c r="D596" s="231" t="s">
        <v>76</v>
      </c>
      <c r="E596" s="231" t="s">
        <v>198</v>
      </c>
      <c r="F596" s="231" t="s">
        <v>1648</v>
      </c>
      <c r="G596" s="231">
        <v>12</v>
      </c>
      <c r="H596" s="231" t="s">
        <v>206</v>
      </c>
      <c r="I596" s="231" t="s">
        <v>253</v>
      </c>
      <c r="J596" s="231" t="s">
        <v>94</v>
      </c>
      <c r="K596" s="231"/>
      <c r="L596" s="231" t="s">
        <v>1616</v>
      </c>
      <c r="M596" s="231" t="s">
        <v>1649</v>
      </c>
      <c r="N596" s="231" t="s">
        <v>203</v>
      </c>
      <c r="O596" s="158" t="s">
        <v>204</v>
      </c>
      <c r="P596" s="92"/>
      <c r="Q596" s="146" t="s">
        <v>204</v>
      </c>
      <c r="R596" s="92"/>
      <c r="S596" s="146" t="s">
        <v>204</v>
      </c>
      <c r="T596" s="92"/>
      <c r="U596" s="146" t="s">
        <v>204</v>
      </c>
      <c r="V596" s="92"/>
      <c r="W596" s="146" t="s">
        <v>204</v>
      </c>
      <c r="X596" s="92"/>
      <c r="Y596" s="146" t="s">
        <v>204</v>
      </c>
      <c r="Z596" s="92"/>
      <c r="AA596" s="146" t="s">
        <v>204</v>
      </c>
      <c r="AB596" s="92"/>
      <c r="AC596" s="146" t="s">
        <v>204</v>
      </c>
      <c r="AD596" s="92"/>
      <c r="AE596" s="146" t="s">
        <v>204</v>
      </c>
      <c r="AF596" s="187" t="str">
        <f t="shared" si="39"/>
        <v>C</v>
      </c>
      <c r="AG596" s="54" t="str">
        <f t="shared" si="38"/>
        <v>UTILIZOU O PDA CORRETAMENTE</v>
      </c>
      <c r="AH596" s="146"/>
      <c r="AI596" s="210" t="s">
        <v>6</v>
      </c>
      <c r="AJ596" s="97" t="str">
        <f t="shared" si="40"/>
        <v>GUARULHOS</v>
      </c>
      <c r="AK596" s="213" t="s">
        <v>39</v>
      </c>
      <c r="AL596" s="53">
        <v>0.29804867645776378</v>
      </c>
      <c r="AM596" s="53" t="str" cm="1">
        <f t="array" ref="AM596">IF(OR(O596&lt;&gt;"", SUMPRODUCT(($AN$2:$AN$5000=AN596)*($AL$2:$AL$5000&lt;=AL596)) &lt;= (COUNTIF($AN$2:$AN$5000,AN596)*0.5)), "SORTEADO", "-")</f>
        <v>SORTEADO</v>
      </c>
      <c r="AN596" s="231" t="s">
        <v>1616</v>
      </c>
    </row>
    <row r="597" spans="1:40" ht="30" hidden="1" customHeight="1" x14ac:dyDescent="0.2">
      <c r="A597" s="231" t="s">
        <v>197</v>
      </c>
      <c r="B597" s="231">
        <v>2615565605</v>
      </c>
      <c r="C597" s="231" t="s">
        <v>96</v>
      </c>
      <c r="D597" s="231" t="s">
        <v>76</v>
      </c>
      <c r="E597" s="231" t="s">
        <v>198</v>
      </c>
      <c r="F597" s="231" t="s">
        <v>1648</v>
      </c>
      <c r="G597" s="231">
        <v>12</v>
      </c>
      <c r="H597" s="231" t="s">
        <v>211</v>
      </c>
      <c r="I597" s="231" t="s">
        <v>253</v>
      </c>
      <c r="J597" s="231" t="s">
        <v>96</v>
      </c>
      <c r="K597" s="231" t="s">
        <v>1650</v>
      </c>
      <c r="L597" s="231" t="s">
        <v>1616</v>
      </c>
      <c r="M597" s="231" t="s">
        <v>1651</v>
      </c>
      <c r="N597" s="231" t="s">
        <v>203</v>
      </c>
      <c r="O597" s="158"/>
      <c r="P597" s="92"/>
      <c r="Q597" s="146"/>
      <c r="R597" s="92"/>
      <c r="S597" s="146"/>
      <c r="T597" s="92"/>
      <c r="U597" s="146"/>
      <c r="V597" s="92"/>
      <c r="W597" s="146"/>
      <c r="X597" s="92"/>
      <c r="Y597" s="146"/>
      <c r="Z597" s="92"/>
      <c r="AA597" s="146"/>
      <c r="AB597" s="92"/>
      <c r="AC597" s="146"/>
      <c r="AD597" s="92"/>
      <c r="AE597" s="146"/>
      <c r="AF597" s="187" t="str">
        <f t="shared" si="39"/>
        <v/>
      </c>
      <c r="AG597" s="54" t="b">
        <f t="shared" si="38"/>
        <v>0</v>
      </c>
      <c r="AH597" s="146"/>
      <c r="AI597" s="210" t="s">
        <v>6</v>
      </c>
      <c r="AJ597" s="97" t="str">
        <f t="shared" si="40"/>
        <v>GUARULHOS</v>
      </c>
      <c r="AK597" s="213" t="s">
        <v>39</v>
      </c>
      <c r="AL597" s="53">
        <v>0.66847140162054375</v>
      </c>
      <c r="AM597" s="53" t="str" cm="1">
        <f t="array" ref="AM597">IF(OR(O597&lt;&gt;"", SUMPRODUCT(($AN$2:$AN$5000=AN597)*($AL$2:$AL$5000&lt;=AL597)) &lt;= (COUNTIF($AN$2:$AN$5000,AN597)*0.5)), "SORTEADO", "-")</f>
        <v>-</v>
      </c>
      <c r="AN597" s="231" t="s">
        <v>1616</v>
      </c>
    </row>
    <row r="598" spans="1:40" ht="30" hidden="1" customHeight="1" x14ac:dyDescent="0.2">
      <c r="A598" s="231" t="s">
        <v>197</v>
      </c>
      <c r="B598" s="231">
        <v>2616194454</v>
      </c>
      <c r="C598" s="231" t="s">
        <v>85</v>
      </c>
      <c r="D598" s="231" t="s">
        <v>76</v>
      </c>
      <c r="E598" s="231" t="s">
        <v>198</v>
      </c>
      <c r="F598" s="231" t="s">
        <v>1478</v>
      </c>
      <c r="G598" s="231">
        <v>401</v>
      </c>
      <c r="H598" s="231"/>
      <c r="I598" s="231" t="s">
        <v>253</v>
      </c>
      <c r="J598" s="231" t="s">
        <v>85</v>
      </c>
      <c r="K598" s="231" t="s">
        <v>1652</v>
      </c>
      <c r="L598" s="231" t="s">
        <v>1616</v>
      </c>
      <c r="M598" s="231" t="s">
        <v>1653</v>
      </c>
      <c r="N598" s="231" t="s">
        <v>203</v>
      </c>
      <c r="O598" s="158"/>
      <c r="P598" s="92"/>
      <c r="Q598" s="146"/>
      <c r="R598" s="92"/>
      <c r="S598" s="146"/>
      <c r="T598" s="92"/>
      <c r="U598" s="146"/>
      <c r="V598" s="92"/>
      <c r="W598" s="146"/>
      <c r="X598" s="92"/>
      <c r="Y598" s="146"/>
      <c r="Z598" s="92"/>
      <c r="AA598" s="146"/>
      <c r="AB598" s="92"/>
      <c r="AC598" s="146"/>
      <c r="AD598" s="92"/>
      <c r="AE598" s="146"/>
      <c r="AF598" s="187" t="str">
        <f t="shared" si="39"/>
        <v/>
      </c>
      <c r="AG598" s="54" t="b">
        <f t="shared" si="38"/>
        <v>0</v>
      </c>
      <c r="AH598" s="146"/>
      <c r="AI598" s="210" t="s">
        <v>6</v>
      </c>
      <c r="AJ598" s="97" t="str">
        <f t="shared" si="40"/>
        <v>GUARULHOS</v>
      </c>
      <c r="AK598" s="213" t="s">
        <v>39</v>
      </c>
      <c r="AL598" s="53">
        <v>0.50397072330442716</v>
      </c>
      <c r="AM598" s="53" t="str" cm="1">
        <f t="array" ref="AM598">IF(OR(O598&lt;&gt;"", SUMPRODUCT(($AN$2:$AN$5000=AN598)*($AL$2:$AL$5000&lt;=AL598)) &lt;= (COUNTIF($AN$2:$AN$5000,AN598)*0.5)), "SORTEADO", "-")</f>
        <v>-</v>
      </c>
      <c r="AN598" s="231" t="s">
        <v>1616</v>
      </c>
    </row>
    <row r="599" spans="1:40" ht="30" customHeight="1" x14ac:dyDescent="0.2">
      <c r="A599" s="231" t="s">
        <v>197</v>
      </c>
      <c r="B599" s="231">
        <v>2616612840</v>
      </c>
      <c r="C599" s="231" t="s">
        <v>100</v>
      </c>
      <c r="D599" s="231" t="s">
        <v>78</v>
      </c>
      <c r="E599" s="231" t="s">
        <v>198</v>
      </c>
      <c r="F599" s="231" t="s">
        <v>1654</v>
      </c>
      <c r="G599" s="231">
        <v>111</v>
      </c>
      <c r="H599" s="231" t="s">
        <v>213</v>
      </c>
      <c r="I599" s="231" t="s">
        <v>411</v>
      </c>
      <c r="J599" s="231" t="s">
        <v>248</v>
      </c>
      <c r="K599" s="231" t="s">
        <v>1655</v>
      </c>
      <c r="L599" s="231" t="s">
        <v>1616</v>
      </c>
      <c r="M599" s="231" t="s">
        <v>1656</v>
      </c>
      <c r="N599" s="231" t="s">
        <v>432</v>
      </c>
      <c r="O599" s="157" t="s">
        <v>204</v>
      </c>
      <c r="P599" s="143"/>
      <c r="Q599" s="144" t="s">
        <v>204</v>
      </c>
      <c r="R599" s="143"/>
      <c r="S599" s="144" t="s">
        <v>204</v>
      </c>
      <c r="T599" s="143"/>
      <c r="U599" s="144" t="s">
        <v>204</v>
      </c>
      <c r="V599" s="143"/>
      <c r="W599" s="144" t="s">
        <v>204</v>
      </c>
      <c r="X599" s="143"/>
      <c r="Y599" s="144" t="s">
        <v>204</v>
      </c>
      <c r="Z599" s="143"/>
      <c r="AA599" s="144" t="s">
        <v>204</v>
      </c>
      <c r="AB599" s="143"/>
      <c r="AC599" s="144" t="s">
        <v>204</v>
      </c>
      <c r="AD599" s="56"/>
      <c r="AE599" s="144" t="s">
        <v>204</v>
      </c>
      <c r="AF599" s="187" t="str">
        <f t="shared" si="39"/>
        <v>C</v>
      </c>
      <c r="AG599" s="54" t="str">
        <f t="shared" ref="AG599:AG630" si="41">IF(AND(AE599="C",AF599="C"),"UTILIZOU O PDA CORRETAMENTE",IF(AND(AE599="C",AF599="NC"),"UTILIZOU O PDA CORRETAMENTE. NÃO HÁ FOTOS DE TODAS AS ETAPAS",IF(AND(AE599="NC",AF599="NC"),"NÃO UTILIZOU O PDA",IF(AND(AE599="NA",AF599="NA"),"NÃO AVALIADO POR FALHA DE SINCRONISMO"))))</f>
        <v>UTILIZOU O PDA CORRETAMENTE</v>
      </c>
      <c r="AH599" s="144" t="s">
        <v>204</v>
      </c>
      <c r="AI599" s="210" t="s">
        <v>6</v>
      </c>
      <c r="AJ599" s="97" t="str">
        <f t="shared" si="40"/>
        <v>GUARULHOS</v>
      </c>
      <c r="AK599" s="213" t="s">
        <v>39</v>
      </c>
      <c r="AL599" s="53">
        <v>0.29875886434935151</v>
      </c>
      <c r="AM599" s="53" t="str" cm="1">
        <f t="array" ref="AM599">IF(OR(O599&lt;&gt;"", SUMPRODUCT(($AN$2:$AN$5000=AN599)*($AL$2:$AL$5000&lt;=AL599)) &lt;= (COUNTIF($AN$2:$AN$5000,AN599)*0.5)), "SORTEADO", "-")</f>
        <v>SORTEADO</v>
      </c>
      <c r="AN599" s="231" t="s">
        <v>1616</v>
      </c>
    </row>
    <row r="600" spans="1:40" ht="30" customHeight="1" x14ac:dyDescent="0.2">
      <c r="A600" s="231" t="s">
        <v>197</v>
      </c>
      <c r="B600" s="231">
        <v>2616608539</v>
      </c>
      <c r="C600" s="231" t="s">
        <v>102</v>
      </c>
      <c r="D600" s="231" t="s">
        <v>80</v>
      </c>
      <c r="E600" s="231" t="s">
        <v>198</v>
      </c>
      <c r="F600" s="231" t="s">
        <v>1657</v>
      </c>
      <c r="G600" s="231">
        <v>58</v>
      </c>
      <c r="H600" s="231" t="s">
        <v>1267</v>
      </c>
      <c r="I600" s="231" t="s">
        <v>269</v>
      </c>
      <c r="J600" s="231" t="s">
        <v>259</v>
      </c>
      <c r="K600" s="231"/>
      <c r="L600" s="231" t="s">
        <v>1616</v>
      </c>
      <c r="M600" s="231" t="s">
        <v>1658</v>
      </c>
      <c r="N600" s="231" t="s">
        <v>381</v>
      </c>
      <c r="O600" s="158" t="s">
        <v>204</v>
      </c>
      <c r="P600" s="92"/>
      <c r="Q600" s="146" t="s">
        <v>204</v>
      </c>
      <c r="R600" s="92"/>
      <c r="S600" s="146" t="s">
        <v>204</v>
      </c>
      <c r="T600" s="92"/>
      <c r="U600" s="146" t="s">
        <v>204</v>
      </c>
      <c r="V600" s="92"/>
      <c r="W600" s="146" t="s">
        <v>204</v>
      </c>
      <c r="X600" s="92"/>
      <c r="Y600" s="146" t="s">
        <v>61</v>
      </c>
      <c r="Z600" s="92"/>
      <c r="AA600" s="146" t="s">
        <v>204</v>
      </c>
      <c r="AB600" s="92"/>
      <c r="AC600" s="146" t="s">
        <v>204</v>
      </c>
      <c r="AD600" s="92"/>
      <c r="AE600" s="146" t="s">
        <v>204</v>
      </c>
      <c r="AF600" s="187" t="str">
        <f t="shared" si="39"/>
        <v>C</v>
      </c>
      <c r="AG600" s="54" t="str">
        <f t="shared" si="41"/>
        <v>UTILIZOU O PDA CORRETAMENTE</v>
      </c>
      <c r="AH600" s="144" t="s">
        <v>204</v>
      </c>
      <c r="AI600" s="210" t="s">
        <v>6</v>
      </c>
      <c r="AJ600" s="97" t="str">
        <f t="shared" si="40"/>
        <v>GUARULHOS</v>
      </c>
      <c r="AK600" s="213" t="s">
        <v>39</v>
      </c>
      <c r="AL600" s="53">
        <v>0.34509390263299033</v>
      </c>
      <c r="AM600" s="53" t="str" cm="1">
        <f t="array" ref="AM600">IF(OR(O600&lt;&gt;"", SUMPRODUCT(($AN$2:$AN$5000=AN600)*($AL$2:$AL$5000&lt;=AL600)) &lt;= (COUNTIF($AN$2:$AN$5000,AN600)*0.5)), "SORTEADO", "-")</f>
        <v>SORTEADO</v>
      </c>
      <c r="AN600" s="231" t="s">
        <v>1616</v>
      </c>
    </row>
    <row r="601" spans="1:40" ht="30" customHeight="1" x14ac:dyDescent="0.2">
      <c r="A601" s="231" t="s">
        <v>197</v>
      </c>
      <c r="B601" s="231">
        <v>2616428177</v>
      </c>
      <c r="C601" s="231" t="s">
        <v>99</v>
      </c>
      <c r="D601" s="231" t="s">
        <v>80</v>
      </c>
      <c r="E601" s="231" t="s">
        <v>198</v>
      </c>
      <c r="F601" s="231" t="s">
        <v>969</v>
      </c>
      <c r="G601" s="231">
        <v>120</v>
      </c>
      <c r="H601" s="231" t="s">
        <v>252</v>
      </c>
      <c r="I601" s="231" t="s">
        <v>971</v>
      </c>
      <c r="J601" s="231" t="s">
        <v>305</v>
      </c>
      <c r="K601" s="231" t="s">
        <v>213</v>
      </c>
      <c r="L601" s="231" t="s">
        <v>1616</v>
      </c>
      <c r="M601" s="231" t="s">
        <v>1659</v>
      </c>
      <c r="N601" s="231" t="s">
        <v>263</v>
      </c>
      <c r="O601" s="157" t="s">
        <v>204</v>
      </c>
      <c r="P601" s="143"/>
      <c r="Q601" s="144" t="s">
        <v>204</v>
      </c>
      <c r="R601" s="143"/>
      <c r="S601" s="144" t="s">
        <v>204</v>
      </c>
      <c r="T601" s="143"/>
      <c r="U601" s="144" t="s">
        <v>204</v>
      </c>
      <c r="V601" s="143"/>
      <c r="W601" s="144" t="s">
        <v>204</v>
      </c>
      <c r="X601" s="143"/>
      <c r="Y601" s="144" t="s">
        <v>204</v>
      </c>
      <c r="Z601" s="143"/>
      <c r="AA601" s="144" t="s">
        <v>204</v>
      </c>
      <c r="AB601" s="143"/>
      <c r="AC601" s="144" t="s">
        <v>204</v>
      </c>
      <c r="AD601" s="56"/>
      <c r="AE601" s="144" t="s">
        <v>204</v>
      </c>
      <c r="AF601" s="187" t="str">
        <f t="shared" si="39"/>
        <v>C</v>
      </c>
      <c r="AG601" s="54" t="str">
        <f t="shared" si="41"/>
        <v>UTILIZOU O PDA CORRETAMENTE</v>
      </c>
      <c r="AH601" s="144" t="s">
        <v>204</v>
      </c>
      <c r="AI601" s="210" t="s">
        <v>6</v>
      </c>
      <c r="AJ601" s="97" t="str">
        <f t="shared" si="40"/>
        <v>GUARULHOS</v>
      </c>
      <c r="AK601" s="213" t="s">
        <v>39</v>
      </c>
      <c r="AL601" s="53">
        <v>0.31952114672626197</v>
      </c>
      <c r="AM601" s="53" t="str" cm="1">
        <f t="array" ref="AM601">IF(OR(O601&lt;&gt;"", SUMPRODUCT(($AN$2:$AN$5000=AN601)*($AL$2:$AL$5000&lt;=AL601)) &lt;= (COUNTIF($AN$2:$AN$5000,AN601)*0.5)), "SORTEADO", "-")</f>
        <v>SORTEADO</v>
      </c>
      <c r="AN601" s="231" t="s">
        <v>1616</v>
      </c>
    </row>
    <row r="602" spans="1:40" ht="30" customHeight="1" x14ac:dyDescent="0.2">
      <c r="A602" s="231" t="s">
        <v>197</v>
      </c>
      <c r="B602" s="231">
        <v>2691009204</v>
      </c>
      <c r="C602" s="231" t="s">
        <v>98</v>
      </c>
      <c r="D602" s="231" t="s">
        <v>80</v>
      </c>
      <c r="E602" s="231" t="s">
        <v>198</v>
      </c>
      <c r="F602" s="231" t="s">
        <v>1660</v>
      </c>
      <c r="G602" s="231">
        <v>9</v>
      </c>
      <c r="H602" s="231" t="s">
        <v>1661</v>
      </c>
      <c r="I602" s="231" t="s">
        <v>200</v>
      </c>
      <c r="J602" s="231" t="s">
        <v>297</v>
      </c>
      <c r="K602" s="231"/>
      <c r="L602" s="231" t="s">
        <v>1616</v>
      </c>
      <c r="M602" s="231" t="s">
        <v>1662</v>
      </c>
      <c r="N602" s="231" t="s">
        <v>244</v>
      </c>
      <c r="O602" s="157" t="s">
        <v>204</v>
      </c>
      <c r="P602" s="143"/>
      <c r="Q602" s="144" t="s">
        <v>204</v>
      </c>
      <c r="R602" s="143"/>
      <c r="S602" s="144" t="s">
        <v>204</v>
      </c>
      <c r="T602" s="143"/>
      <c r="U602" s="144" t="s">
        <v>204</v>
      </c>
      <c r="V602" s="143"/>
      <c r="W602" s="144" t="s">
        <v>204</v>
      </c>
      <c r="X602" s="143"/>
      <c r="Y602" s="144" t="s">
        <v>204</v>
      </c>
      <c r="Z602" s="143"/>
      <c r="AA602" s="144" t="s">
        <v>204</v>
      </c>
      <c r="AB602" s="143"/>
      <c r="AC602" s="144" t="s">
        <v>204</v>
      </c>
      <c r="AD602" s="56"/>
      <c r="AE602" s="144" t="s">
        <v>204</v>
      </c>
      <c r="AF602" s="187" t="str">
        <f t="shared" si="39"/>
        <v>C</v>
      </c>
      <c r="AG602" s="54" t="str">
        <f t="shared" si="41"/>
        <v>UTILIZOU O PDA CORRETAMENTE</v>
      </c>
      <c r="AH602" s="144" t="s">
        <v>204</v>
      </c>
      <c r="AI602" s="210" t="s">
        <v>6</v>
      </c>
      <c r="AJ602" s="97" t="str">
        <f t="shared" si="40"/>
        <v>GUARULHOS</v>
      </c>
      <c r="AK602" s="213" t="s">
        <v>39</v>
      </c>
      <c r="AL602" s="53">
        <v>0.32363716728370306</v>
      </c>
      <c r="AM602" s="53" t="str" cm="1">
        <f t="array" ref="AM602">IF(OR(O602&lt;&gt;"", SUMPRODUCT(($AN$2:$AN$5000=AN602)*($AL$2:$AL$5000&lt;=AL602)) &lt;= (COUNTIF($AN$2:$AN$5000,AN602)*0.5)), "SORTEADO", "-")</f>
        <v>SORTEADO</v>
      </c>
      <c r="AN602" s="231" t="s">
        <v>1616</v>
      </c>
    </row>
    <row r="603" spans="1:40" ht="30" customHeight="1" x14ac:dyDescent="0.2">
      <c r="A603" s="231" t="s">
        <v>197</v>
      </c>
      <c r="B603" s="231">
        <v>2616543328</v>
      </c>
      <c r="C603" s="231" t="s">
        <v>105</v>
      </c>
      <c r="D603" s="231" t="s">
        <v>80</v>
      </c>
      <c r="E603" s="231" t="s">
        <v>198</v>
      </c>
      <c r="F603" s="231" t="s">
        <v>1663</v>
      </c>
      <c r="G603" s="231">
        <v>87</v>
      </c>
      <c r="H603" s="231" t="s">
        <v>1664</v>
      </c>
      <c r="I603" s="231" t="s">
        <v>650</v>
      </c>
      <c r="J603" s="231" t="s">
        <v>278</v>
      </c>
      <c r="K603" s="231" t="s">
        <v>213</v>
      </c>
      <c r="L603" s="231" t="s">
        <v>1616</v>
      </c>
      <c r="M603" s="231" t="s">
        <v>1665</v>
      </c>
      <c r="N603" s="231" t="s">
        <v>287</v>
      </c>
      <c r="O603" s="158" t="s">
        <v>204</v>
      </c>
      <c r="P603" s="92"/>
      <c r="Q603" s="146" t="s">
        <v>204</v>
      </c>
      <c r="R603" s="92"/>
      <c r="S603" s="146" t="s">
        <v>204</v>
      </c>
      <c r="T603" s="92"/>
      <c r="U603" s="146" t="s">
        <v>204</v>
      </c>
      <c r="V603" s="92"/>
      <c r="W603" s="146" t="s">
        <v>204</v>
      </c>
      <c r="X603" s="92"/>
      <c r="Y603" s="146" t="s">
        <v>61</v>
      </c>
      <c r="Z603" s="92"/>
      <c r="AA603" s="146" t="s">
        <v>204</v>
      </c>
      <c r="AB603" s="92"/>
      <c r="AC603" s="146" t="s">
        <v>204</v>
      </c>
      <c r="AD603" s="92"/>
      <c r="AE603" s="146" t="s">
        <v>204</v>
      </c>
      <c r="AF603" s="187" t="str">
        <f t="shared" si="39"/>
        <v>C</v>
      </c>
      <c r="AG603" s="54" t="str">
        <f t="shared" si="41"/>
        <v>UTILIZOU O PDA CORRETAMENTE</v>
      </c>
      <c r="AH603" s="144" t="s">
        <v>204</v>
      </c>
      <c r="AI603" s="210" t="s">
        <v>6</v>
      </c>
      <c r="AJ603" s="97" t="str">
        <f t="shared" si="40"/>
        <v>GUARULHOS</v>
      </c>
      <c r="AK603" s="213" t="s">
        <v>39</v>
      </c>
      <c r="AL603" s="53">
        <v>0.30639184158250443</v>
      </c>
      <c r="AM603" s="53" t="str" cm="1">
        <f t="array" ref="AM603">IF(OR(O603&lt;&gt;"", SUMPRODUCT(($AN$2:$AN$5000=AN603)*($AL$2:$AL$5000&lt;=AL603)) &lt;= (COUNTIF($AN$2:$AN$5000,AN603)*0.5)), "SORTEADO", "-")</f>
        <v>SORTEADO</v>
      </c>
      <c r="AN603" s="231" t="s">
        <v>1616</v>
      </c>
    </row>
    <row r="604" spans="1:40" ht="30" customHeight="1" x14ac:dyDescent="0.2">
      <c r="A604" s="231" t="s">
        <v>197</v>
      </c>
      <c r="B604" s="231">
        <v>2616570864</v>
      </c>
      <c r="C604" s="231" t="s">
        <v>89</v>
      </c>
      <c r="D604" s="231" t="s">
        <v>77</v>
      </c>
      <c r="E604" s="231" t="s">
        <v>198</v>
      </c>
      <c r="F604" s="231" t="s">
        <v>1632</v>
      </c>
      <c r="G604" s="231">
        <v>344</v>
      </c>
      <c r="H604" s="231" t="s">
        <v>235</v>
      </c>
      <c r="I604" s="231" t="s">
        <v>1587</v>
      </c>
      <c r="J604" s="231" t="s">
        <v>346</v>
      </c>
      <c r="K604" s="231"/>
      <c r="L604" s="231" t="s">
        <v>1616</v>
      </c>
      <c r="M604" s="231" t="s">
        <v>1666</v>
      </c>
      <c r="N604" s="231" t="s">
        <v>228</v>
      </c>
      <c r="O604" s="158" t="s">
        <v>204</v>
      </c>
      <c r="P604" s="146"/>
      <c r="Q604" s="146" t="s">
        <v>204</v>
      </c>
      <c r="R604" s="209"/>
      <c r="S604" s="146" t="s">
        <v>204</v>
      </c>
      <c r="T604" s="146"/>
      <c r="U604" s="146" t="s">
        <v>204</v>
      </c>
      <c r="V604" s="146"/>
      <c r="W604" s="146" t="s">
        <v>204</v>
      </c>
      <c r="X604" s="146"/>
      <c r="Y604" s="146" t="s">
        <v>61</v>
      </c>
      <c r="Z604" s="146"/>
      <c r="AA604" s="146" t="s">
        <v>204</v>
      </c>
      <c r="AB604" s="146"/>
      <c r="AC604" s="146" t="s">
        <v>204</v>
      </c>
      <c r="AD604" s="146"/>
      <c r="AE604" s="146" t="s">
        <v>204</v>
      </c>
      <c r="AF604" s="187" t="str">
        <f t="shared" si="39"/>
        <v>C</v>
      </c>
      <c r="AG604" s="54" t="str">
        <f t="shared" si="41"/>
        <v>UTILIZOU O PDA CORRETAMENTE</v>
      </c>
      <c r="AH604" s="146"/>
      <c r="AI604" s="210" t="s">
        <v>6</v>
      </c>
      <c r="AJ604" s="97" t="str">
        <f t="shared" si="40"/>
        <v>GUARULHOS</v>
      </c>
      <c r="AK604" s="213" t="s">
        <v>39</v>
      </c>
      <c r="AL604" s="53">
        <v>0.22299322809960664</v>
      </c>
      <c r="AM604" s="53" t="str" cm="1">
        <f t="array" ref="AM604">IF(OR(O604&lt;&gt;"", SUMPRODUCT(($AN$2:$AN$5000=AN604)*($AL$2:$AL$5000&lt;=AL604)) &lt;= (COUNTIF($AN$2:$AN$5000,AN604)*0.5)), "SORTEADO", "-")</f>
        <v>SORTEADO</v>
      </c>
      <c r="AN604" s="231" t="s">
        <v>1616</v>
      </c>
    </row>
    <row r="605" spans="1:40" ht="30" hidden="1" customHeight="1" x14ac:dyDescent="0.2">
      <c r="A605" s="231" t="s">
        <v>197</v>
      </c>
      <c r="B605" s="231">
        <v>2616227501</v>
      </c>
      <c r="C605" s="231" t="s">
        <v>99</v>
      </c>
      <c r="D605" s="231" t="s">
        <v>80</v>
      </c>
      <c r="E605" s="231" t="s">
        <v>198</v>
      </c>
      <c r="F605" s="231" t="s">
        <v>1667</v>
      </c>
      <c r="G605" s="231">
        <v>0</v>
      </c>
      <c r="H605" s="231" t="s">
        <v>213</v>
      </c>
      <c r="I605" s="231" t="s">
        <v>301</v>
      </c>
      <c r="J605" s="231" t="s">
        <v>305</v>
      </c>
      <c r="K605" s="231" t="s">
        <v>213</v>
      </c>
      <c r="L605" s="231" t="s">
        <v>1616</v>
      </c>
      <c r="M605" s="231" t="s">
        <v>1668</v>
      </c>
      <c r="N605" s="231" t="s">
        <v>250</v>
      </c>
      <c r="O605" s="158"/>
      <c r="P605" s="92"/>
      <c r="Q605" s="146"/>
      <c r="R605" s="92"/>
      <c r="S605" s="146"/>
      <c r="T605" s="92"/>
      <c r="U605" s="146"/>
      <c r="V605" s="92"/>
      <c r="W605" s="146"/>
      <c r="X605" s="92"/>
      <c r="Y605" s="146"/>
      <c r="Z605" s="92"/>
      <c r="AA605" s="146"/>
      <c r="AB605" s="92"/>
      <c r="AC605" s="146"/>
      <c r="AD605" s="92"/>
      <c r="AE605" s="146"/>
      <c r="AF605" s="187" t="str">
        <f t="shared" si="39"/>
        <v/>
      </c>
      <c r="AG605" s="54" t="b">
        <f t="shared" si="41"/>
        <v>0</v>
      </c>
      <c r="AH605" s="146"/>
      <c r="AI605" s="210" t="s">
        <v>6</v>
      </c>
      <c r="AJ605" s="97" t="str">
        <f t="shared" si="40"/>
        <v>GUARULHOS</v>
      </c>
      <c r="AK605" s="213" t="s">
        <v>39</v>
      </c>
      <c r="AL605" s="53">
        <v>0.9278382123725718</v>
      </c>
      <c r="AM605" s="53" t="str" cm="1">
        <f t="array" ref="AM605">IF(OR(O605&lt;&gt;"", SUMPRODUCT(($AN$2:$AN$5000=AN605)*($AL$2:$AL$5000&lt;=AL605)) &lt;= (COUNTIF($AN$2:$AN$5000,AN605)*0.5)), "SORTEADO", "-")</f>
        <v>-</v>
      </c>
      <c r="AN605" s="231" t="s">
        <v>1616</v>
      </c>
    </row>
    <row r="606" spans="1:40" ht="30" hidden="1" customHeight="1" x14ac:dyDescent="0.2">
      <c r="A606" s="231" t="s">
        <v>197</v>
      </c>
      <c r="B606" s="231">
        <v>2616393122</v>
      </c>
      <c r="C606" s="231" t="s">
        <v>99</v>
      </c>
      <c r="D606" s="231" t="s">
        <v>80</v>
      </c>
      <c r="E606" s="231" t="s">
        <v>198</v>
      </c>
      <c r="F606" s="231" t="s">
        <v>1669</v>
      </c>
      <c r="G606" s="231">
        <v>161</v>
      </c>
      <c r="H606" s="231" t="s">
        <v>1670</v>
      </c>
      <c r="I606" s="231" t="s">
        <v>1671</v>
      </c>
      <c r="J606" s="231" t="s">
        <v>305</v>
      </c>
      <c r="K606" s="231" t="s">
        <v>409</v>
      </c>
      <c r="L606" s="231" t="s">
        <v>1616</v>
      </c>
      <c r="M606" s="231" t="s">
        <v>1672</v>
      </c>
      <c r="N606" s="231" t="s">
        <v>303</v>
      </c>
      <c r="O606" s="158"/>
      <c r="P606" s="92"/>
      <c r="Q606" s="146"/>
      <c r="R606" s="92"/>
      <c r="S606" s="146"/>
      <c r="T606" s="92"/>
      <c r="U606" s="146"/>
      <c r="V606" s="92"/>
      <c r="W606" s="146"/>
      <c r="X606" s="92"/>
      <c r="Y606" s="146"/>
      <c r="Z606" s="92"/>
      <c r="AA606" s="146"/>
      <c r="AB606" s="92"/>
      <c r="AC606" s="146"/>
      <c r="AD606" s="92"/>
      <c r="AE606" s="146"/>
      <c r="AF606" s="187" t="str">
        <f t="shared" si="39"/>
        <v/>
      </c>
      <c r="AG606" s="54" t="b">
        <f t="shared" si="41"/>
        <v>0</v>
      </c>
      <c r="AH606" s="146"/>
      <c r="AI606" s="210" t="s">
        <v>6</v>
      </c>
      <c r="AJ606" s="97" t="str">
        <f t="shared" si="40"/>
        <v>GUARULHOS</v>
      </c>
      <c r="AK606" s="213" t="s">
        <v>39</v>
      </c>
      <c r="AL606" s="53">
        <v>0.67935493617510645</v>
      </c>
      <c r="AM606" s="53" t="str" cm="1">
        <f t="array" ref="AM606">IF(OR(O606&lt;&gt;"", SUMPRODUCT(($AN$2:$AN$5000=AN606)*($AL$2:$AL$5000&lt;=AL606)) &lt;= (COUNTIF($AN$2:$AN$5000,AN606)*0.5)), "SORTEADO", "-")</f>
        <v>-</v>
      </c>
      <c r="AN606" s="231" t="s">
        <v>1616</v>
      </c>
    </row>
    <row r="607" spans="1:40" ht="30" customHeight="1" x14ac:dyDescent="0.2">
      <c r="A607" s="231" t="s">
        <v>197</v>
      </c>
      <c r="B607" s="231">
        <v>2691013543</v>
      </c>
      <c r="C607" s="231" t="s">
        <v>98</v>
      </c>
      <c r="D607" s="231" t="s">
        <v>80</v>
      </c>
      <c r="E607" s="231" t="s">
        <v>198</v>
      </c>
      <c r="F607" s="231" t="s">
        <v>1673</v>
      </c>
      <c r="G607" s="231">
        <v>111</v>
      </c>
      <c r="H607" s="231" t="s">
        <v>276</v>
      </c>
      <c r="I607" s="231" t="s">
        <v>919</v>
      </c>
      <c r="J607" s="231" t="s">
        <v>297</v>
      </c>
      <c r="K607" s="238" t="s">
        <v>1674</v>
      </c>
      <c r="L607" s="231" t="s">
        <v>1616</v>
      </c>
      <c r="M607" s="231" t="s">
        <v>1675</v>
      </c>
      <c r="N607" s="231" t="s">
        <v>432</v>
      </c>
      <c r="O607" s="157" t="s">
        <v>204</v>
      </c>
      <c r="P607" s="143"/>
      <c r="Q607" s="144" t="s">
        <v>204</v>
      </c>
      <c r="R607" s="143"/>
      <c r="S607" s="144" t="s">
        <v>204</v>
      </c>
      <c r="T607" s="143"/>
      <c r="U607" s="144" t="s">
        <v>204</v>
      </c>
      <c r="V607" s="143"/>
      <c r="W607" s="144" t="s">
        <v>204</v>
      </c>
      <c r="X607" s="143"/>
      <c r="Y607" s="144" t="s">
        <v>204</v>
      </c>
      <c r="Z607" s="143"/>
      <c r="AA607" s="144" t="s">
        <v>204</v>
      </c>
      <c r="AB607" s="143"/>
      <c r="AC607" s="144" t="s">
        <v>204</v>
      </c>
      <c r="AD607" s="56"/>
      <c r="AE607" s="144" t="s">
        <v>204</v>
      </c>
      <c r="AF607" s="187" t="str">
        <f t="shared" si="39"/>
        <v>C</v>
      </c>
      <c r="AG607" s="54" t="str">
        <f t="shared" si="41"/>
        <v>UTILIZOU O PDA CORRETAMENTE</v>
      </c>
      <c r="AH607" s="144" t="s">
        <v>204</v>
      </c>
      <c r="AI607" s="210" t="s">
        <v>6</v>
      </c>
      <c r="AJ607" s="97" t="str">
        <f t="shared" si="40"/>
        <v>GUARULHOS</v>
      </c>
      <c r="AK607" s="213" t="s">
        <v>39</v>
      </c>
      <c r="AL607" s="53">
        <v>8.9737336784688759E-2</v>
      </c>
      <c r="AM607" s="53" t="str" cm="1">
        <f t="array" ref="AM607">IF(OR(O607&lt;&gt;"", SUMPRODUCT(($AN$2:$AN$5000=AN607)*($AL$2:$AL$5000&lt;=AL607)) &lt;= (COUNTIF($AN$2:$AN$5000,AN607)*0.5)), "SORTEADO", "-")</f>
        <v>SORTEADO</v>
      </c>
      <c r="AN607" s="231" t="s">
        <v>1616</v>
      </c>
    </row>
    <row r="608" spans="1:40" ht="30" customHeight="1" x14ac:dyDescent="0.2">
      <c r="A608" s="231" t="s">
        <v>197</v>
      </c>
      <c r="B608" s="231">
        <v>2616643440</v>
      </c>
      <c r="C608" s="231" t="s">
        <v>105</v>
      </c>
      <c r="D608" s="231" t="s">
        <v>80</v>
      </c>
      <c r="E608" s="231" t="s">
        <v>198</v>
      </c>
      <c r="F608" s="231" t="s">
        <v>1676</v>
      </c>
      <c r="G608" s="231">
        <v>275</v>
      </c>
      <c r="H608" s="231"/>
      <c r="I608" s="231" t="s">
        <v>1677</v>
      </c>
      <c r="J608" s="231" t="s">
        <v>226</v>
      </c>
      <c r="K608" s="231" t="s">
        <v>1678</v>
      </c>
      <c r="L608" s="231" t="s">
        <v>1616</v>
      </c>
      <c r="M608" s="231" t="s">
        <v>1679</v>
      </c>
      <c r="N608" s="231" t="s">
        <v>244</v>
      </c>
      <c r="O608" s="158" t="s">
        <v>204</v>
      </c>
      <c r="P608" s="92"/>
      <c r="Q608" s="146" t="s">
        <v>204</v>
      </c>
      <c r="R608" s="92"/>
      <c r="S608" s="146" t="s">
        <v>204</v>
      </c>
      <c r="T608" s="92"/>
      <c r="U608" s="146" t="s">
        <v>204</v>
      </c>
      <c r="V608" s="92"/>
      <c r="W608" s="146" t="s">
        <v>204</v>
      </c>
      <c r="X608" s="92"/>
      <c r="Y608" s="146" t="s">
        <v>61</v>
      </c>
      <c r="Z608" s="92"/>
      <c r="AA608" s="146" t="s">
        <v>204</v>
      </c>
      <c r="AB608" s="92"/>
      <c r="AC608" s="146" t="s">
        <v>204</v>
      </c>
      <c r="AD608" s="92"/>
      <c r="AE608" s="146" t="s">
        <v>204</v>
      </c>
      <c r="AF608" s="187" t="str">
        <f t="shared" si="39"/>
        <v>C</v>
      </c>
      <c r="AG608" s="54" t="str">
        <f t="shared" si="41"/>
        <v>UTILIZOU O PDA CORRETAMENTE</v>
      </c>
      <c r="AH608" s="144" t="s">
        <v>204</v>
      </c>
      <c r="AI608" s="210" t="s">
        <v>6</v>
      </c>
      <c r="AJ608" s="97" t="str">
        <f t="shared" si="40"/>
        <v>GUARULHOS</v>
      </c>
      <c r="AK608" s="213" t="s">
        <v>39</v>
      </c>
      <c r="AL608" s="53">
        <v>0.25711368098116716</v>
      </c>
      <c r="AM608" s="53" t="str" cm="1">
        <f t="array" ref="AM608">IF(OR(O608&lt;&gt;"", SUMPRODUCT(($AN$2:$AN$5000=AN608)*($AL$2:$AL$5000&lt;=AL608)) &lt;= (COUNTIF($AN$2:$AN$5000,AN608)*0.5)), "SORTEADO", "-")</f>
        <v>SORTEADO</v>
      </c>
      <c r="AN608" s="231" t="s">
        <v>1616</v>
      </c>
    </row>
    <row r="609" spans="1:40" ht="30" customHeight="1" x14ac:dyDescent="0.2">
      <c r="A609" s="231" t="s">
        <v>197</v>
      </c>
      <c r="B609" s="231">
        <v>2616641937</v>
      </c>
      <c r="C609" s="231" t="s">
        <v>100</v>
      </c>
      <c r="D609" s="231" t="s">
        <v>78</v>
      </c>
      <c r="E609" s="231" t="s">
        <v>198</v>
      </c>
      <c r="F609" s="231" t="s">
        <v>1680</v>
      </c>
      <c r="G609" s="231">
        <v>126</v>
      </c>
      <c r="H609" s="231" t="s">
        <v>1559</v>
      </c>
      <c r="I609" s="231" t="s">
        <v>489</v>
      </c>
      <c r="J609" s="231" t="s">
        <v>248</v>
      </c>
      <c r="K609" s="231" t="s">
        <v>1681</v>
      </c>
      <c r="L609" s="231" t="s">
        <v>1616</v>
      </c>
      <c r="M609" s="231" t="s">
        <v>1682</v>
      </c>
      <c r="N609" s="231" t="s">
        <v>408</v>
      </c>
      <c r="O609" s="157" t="s">
        <v>204</v>
      </c>
      <c r="P609" s="143"/>
      <c r="Q609" s="144" t="s">
        <v>204</v>
      </c>
      <c r="R609" s="143"/>
      <c r="S609" s="144" t="s">
        <v>204</v>
      </c>
      <c r="T609" s="143"/>
      <c r="U609" s="144" t="s">
        <v>204</v>
      </c>
      <c r="V609" s="143"/>
      <c r="W609" s="144" t="s">
        <v>204</v>
      </c>
      <c r="X609" s="143"/>
      <c r="Y609" s="144" t="s">
        <v>204</v>
      </c>
      <c r="Z609" s="143"/>
      <c r="AA609" s="144" t="s">
        <v>204</v>
      </c>
      <c r="AB609" s="143"/>
      <c r="AC609" s="144" t="s">
        <v>204</v>
      </c>
      <c r="AD609" s="56"/>
      <c r="AE609" s="144" t="s">
        <v>204</v>
      </c>
      <c r="AF609" s="187" t="str">
        <f t="shared" si="39"/>
        <v>C</v>
      </c>
      <c r="AG609" s="54" t="str">
        <f t="shared" si="41"/>
        <v>UTILIZOU O PDA CORRETAMENTE</v>
      </c>
      <c r="AH609" s="144" t="s">
        <v>204</v>
      </c>
      <c r="AI609" s="210" t="s">
        <v>6</v>
      </c>
      <c r="AJ609" s="97" t="str">
        <f t="shared" si="40"/>
        <v>GUARULHOS</v>
      </c>
      <c r="AK609" s="213" t="s">
        <v>39</v>
      </c>
      <c r="AL609" s="53">
        <v>0.11170292413802518</v>
      </c>
      <c r="AM609" s="53" t="str" cm="1">
        <f t="array" ref="AM609">IF(OR(O609&lt;&gt;"", SUMPRODUCT(($AN$2:$AN$5000=AN609)*($AL$2:$AL$5000&lt;=AL609)) &lt;= (COUNTIF($AN$2:$AN$5000,AN609)*0.5)), "SORTEADO", "-")</f>
        <v>SORTEADO</v>
      </c>
      <c r="AN609" s="231" t="s">
        <v>1616</v>
      </c>
    </row>
    <row r="610" spans="1:40" ht="30" customHeight="1" x14ac:dyDescent="0.2">
      <c r="A610" s="231" t="s">
        <v>197</v>
      </c>
      <c r="B610" s="231">
        <v>2616645926</v>
      </c>
      <c r="C610" s="231" t="s">
        <v>100</v>
      </c>
      <c r="D610" s="231" t="s">
        <v>78</v>
      </c>
      <c r="E610" s="231" t="s">
        <v>198</v>
      </c>
      <c r="F610" s="231" t="s">
        <v>1683</v>
      </c>
      <c r="G610" s="231">
        <v>145</v>
      </c>
      <c r="H610" s="231" t="s">
        <v>1684</v>
      </c>
      <c r="I610" s="231" t="s">
        <v>1358</v>
      </c>
      <c r="J610" s="231" t="s">
        <v>248</v>
      </c>
      <c r="K610" s="231" t="s">
        <v>1508</v>
      </c>
      <c r="L610" s="231" t="s">
        <v>1616</v>
      </c>
      <c r="M610" s="231" t="s">
        <v>1685</v>
      </c>
      <c r="N610" s="231" t="s">
        <v>408</v>
      </c>
      <c r="O610" s="157" t="s">
        <v>204</v>
      </c>
      <c r="P610" s="143"/>
      <c r="Q610" s="144" t="s">
        <v>204</v>
      </c>
      <c r="R610" s="143"/>
      <c r="S610" s="144" t="s">
        <v>204</v>
      </c>
      <c r="T610" s="143"/>
      <c r="U610" s="144" t="s">
        <v>204</v>
      </c>
      <c r="V610" s="143"/>
      <c r="W610" s="144" t="s">
        <v>204</v>
      </c>
      <c r="X610" s="143"/>
      <c r="Y610" s="144" t="s">
        <v>204</v>
      </c>
      <c r="Z610" s="143"/>
      <c r="AA610" s="144" t="s">
        <v>204</v>
      </c>
      <c r="AB610" s="143"/>
      <c r="AC610" s="144" t="s">
        <v>204</v>
      </c>
      <c r="AD610" s="56"/>
      <c r="AE610" s="144" t="s">
        <v>204</v>
      </c>
      <c r="AF610" s="187" t="str">
        <f t="shared" si="39"/>
        <v>C</v>
      </c>
      <c r="AG610" s="54" t="str">
        <f t="shared" si="41"/>
        <v>UTILIZOU O PDA CORRETAMENTE</v>
      </c>
      <c r="AH610" s="144" t="s">
        <v>204</v>
      </c>
      <c r="AI610" s="210" t="s">
        <v>6</v>
      </c>
      <c r="AJ610" s="97" t="str">
        <f t="shared" si="40"/>
        <v>GUARULHOS</v>
      </c>
      <c r="AK610" s="213" t="s">
        <v>39</v>
      </c>
      <c r="AL610" s="53">
        <v>4.7589700533207324E-2</v>
      </c>
      <c r="AM610" s="53" t="str" cm="1">
        <f t="array" ref="AM610">IF(OR(O610&lt;&gt;"", SUMPRODUCT(($AN$2:$AN$5000=AN610)*($AL$2:$AL$5000&lt;=AL610)) &lt;= (COUNTIF($AN$2:$AN$5000,AN610)*0.5)), "SORTEADO", "-")</f>
        <v>SORTEADO</v>
      </c>
      <c r="AN610" s="231" t="s">
        <v>1616</v>
      </c>
    </row>
    <row r="611" spans="1:40" ht="30" hidden="1" customHeight="1" x14ac:dyDescent="0.2">
      <c r="A611" s="231" t="s">
        <v>197</v>
      </c>
      <c r="B611" s="231">
        <v>2616647187</v>
      </c>
      <c r="C611" s="231" t="s">
        <v>86</v>
      </c>
      <c r="D611" s="231" t="s">
        <v>79</v>
      </c>
      <c r="E611" s="231" t="s">
        <v>198</v>
      </c>
      <c r="F611" s="231" t="s">
        <v>1680</v>
      </c>
      <c r="G611" s="231">
        <v>126</v>
      </c>
      <c r="H611" s="231" t="s">
        <v>1686</v>
      </c>
      <c r="I611" s="231" t="s">
        <v>489</v>
      </c>
      <c r="J611" s="231" t="s">
        <v>1687</v>
      </c>
      <c r="K611" s="231" t="s">
        <v>1688</v>
      </c>
      <c r="L611" s="231" t="s">
        <v>1616</v>
      </c>
      <c r="M611" s="231" t="s">
        <v>1689</v>
      </c>
      <c r="N611" s="231" t="s">
        <v>408</v>
      </c>
      <c r="O611" s="158"/>
      <c r="P611" s="92"/>
      <c r="Q611" s="146"/>
      <c r="R611" s="92"/>
      <c r="S611" s="146"/>
      <c r="T611" s="92"/>
      <c r="U611" s="146"/>
      <c r="V611" s="92"/>
      <c r="W611" s="146"/>
      <c r="X611" s="92"/>
      <c r="Y611" s="146"/>
      <c r="Z611" s="92"/>
      <c r="AA611" s="146"/>
      <c r="AB611" s="92"/>
      <c r="AC611" s="146"/>
      <c r="AD611" s="92"/>
      <c r="AE611" s="146"/>
      <c r="AF611" s="187" t="str">
        <f t="shared" si="39"/>
        <v/>
      </c>
      <c r="AG611" s="54" t="b">
        <f t="shared" si="41"/>
        <v>0</v>
      </c>
      <c r="AH611" s="146"/>
      <c r="AI611" s="210" t="s">
        <v>6</v>
      </c>
      <c r="AJ611" s="97" t="str">
        <f t="shared" si="40"/>
        <v>GUARULHOS</v>
      </c>
      <c r="AK611" s="213" t="s">
        <v>39</v>
      </c>
      <c r="AL611" s="53">
        <v>0.36076479621825641</v>
      </c>
      <c r="AM611" s="53" t="str" cm="1">
        <f t="array" ref="AM611">IF(OR(O611&lt;&gt;"", SUMPRODUCT(($AN$2:$AN$5000=AN611)*($AL$2:$AL$5000&lt;=AL611)) &lt;= (COUNTIF($AN$2:$AN$5000,AN611)*0.5)), "SORTEADO", "-")</f>
        <v>-</v>
      </c>
      <c r="AN611" s="231" t="s">
        <v>1616</v>
      </c>
    </row>
    <row r="612" spans="1:40" ht="30" hidden="1" customHeight="1" x14ac:dyDescent="0.2">
      <c r="A612" s="231" t="s">
        <v>197</v>
      </c>
      <c r="B612" s="231">
        <v>2616437025</v>
      </c>
      <c r="C612" s="231" t="s">
        <v>99</v>
      </c>
      <c r="D612" s="231" t="s">
        <v>80</v>
      </c>
      <c r="E612" s="231" t="s">
        <v>198</v>
      </c>
      <c r="F612" s="231" t="s">
        <v>1690</v>
      </c>
      <c r="G612" s="231">
        <v>279</v>
      </c>
      <c r="H612" s="231" t="s">
        <v>1691</v>
      </c>
      <c r="I612" s="231" t="s">
        <v>971</v>
      </c>
      <c r="J612" s="231" t="s">
        <v>305</v>
      </c>
      <c r="K612" s="231" t="s">
        <v>213</v>
      </c>
      <c r="L612" s="231" t="s">
        <v>1616</v>
      </c>
      <c r="M612" s="231" t="s">
        <v>1692</v>
      </c>
      <c r="N612" s="231" t="s">
        <v>263</v>
      </c>
      <c r="O612" s="158"/>
      <c r="P612" s="92"/>
      <c r="Q612" s="146"/>
      <c r="R612" s="92"/>
      <c r="S612" s="146"/>
      <c r="T612" s="92"/>
      <c r="U612" s="146"/>
      <c r="V612" s="92"/>
      <c r="W612" s="146"/>
      <c r="X612" s="92"/>
      <c r="Y612" s="146"/>
      <c r="Z612" s="92"/>
      <c r="AA612" s="146"/>
      <c r="AB612" s="92"/>
      <c r="AC612" s="146"/>
      <c r="AD612" s="92"/>
      <c r="AE612" s="146"/>
      <c r="AF612" s="187" t="str">
        <f t="shared" si="39"/>
        <v/>
      </c>
      <c r="AG612" s="54" t="b">
        <f t="shared" si="41"/>
        <v>0</v>
      </c>
      <c r="AH612" s="146"/>
      <c r="AI612" s="210" t="s">
        <v>6</v>
      </c>
      <c r="AJ612" s="97" t="str">
        <f t="shared" si="40"/>
        <v>GUARULHOS</v>
      </c>
      <c r="AK612" s="213" t="s">
        <v>39</v>
      </c>
      <c r="AL612" s="53">
        <v>0.76307163125724331</v>
      </c>
      <c r="AM612" s="53" t="str" cm="1">
        <f t="array" ref="AM612">IF(OR(O612&lt;&gt;"", SUMPRODUCT(($AN$2:$AN$5000=AN612)*($AL$2:$AL$5000&lt;=AL612)) &lt;= (COUNTIF($AN$2:$AN$5000,AN612)*0.5)), "SORTEADO", "-")</f>
        <v>-</v>
      </c>
      <c r="AN612" s="231" t="s">
        <v>1616</v>
      </c>
    </row>
    <row r="613" spans="1:40" ht="30" hidden="1" customHeight="1" x14ac:dyDescent="0.2">
      <c r="A613" s="231" t="s">
        <v>197</v>
      </c>
      <c r="B613" s="231">
        <v>2616437025</v>
      </c>
      <c r="C613" s="231" t="s">
        <v>875</v>
      </c>
      <c r="D613" s="231" t="s">
        <v>80</v>
      </c>
      <c r="E613" s="231" t="s">
        <v>198</v>
      </c>
      <c r="F613" s="231" t="s">
        <v>1690</v>
      </c>
      <c r="G613" s="231">
        <v>279</v>
      </c>
      <c r="H613" s="231" t="s">
        <v>1691</v>
      </c>
      <c r="I613" s="231" t="s">
        <v>971</v>
      </c>
      <c r="J613" s="231" t="s">
        <v>876</v>
      </c>
      <c r="K613" s="231"/>
      <c r="L613" s="231" t="s">
        <v>1616</v>
      </c>
      <c r="M613" s="231" t="s">
        <v>1693</v>
      </c>
      <c r="N613" s="231" t="s">
        <v>263</v>
      </c>
      <c r="O613" s="158"/>
      <c r="P613" s="92"/>
      <c r="Q613" s="146"/>
      <c r="R613" s="92"/>
      <c r="S613" s="146"/>
      <c r="T613" s="92"/>
      <c r="U613" s="146"/>
      <c r="V613" s="92"/>
      <c r="W613" s="146"/>
      <c r="X613" s="92"/>
      <c r="Y613" s="146"/>
      <c r="Z613" s="92"/>
      <c r="AA613" s="146"/>
      <c r="AB613" s="92"/>
      <c r="AC613" s="146"/>
      <c r="AD613" s="92"/>
      <c r="AE613" s="146"/>
      <c r="AF613" s="187" t="str">
        <f t="shared" si="39"/>
        <v/>
      </c>
      <c r="AG613" s="54" t="b">
        <f t="shared" si="41"/>
        <v>0</v>
      </c>
      <c r="AH613" s="146"/>
      <c r="AI613" s="210" t="s">
        <v>6</v>
      </c>
      <c r="AJ613" s="97" t="str">
        <f t="shared" si="40"/>
        <v>GUARULHOS</v>
      </c>
      <c r="AK613" s="213" t="s">
        <v>39</v>
      </c>
      <c r="AL613" s="53">
        <v>0.40954874982217959</v>
      </c>
      <c r="AM613" s="53" t="str" cm="1">
        <f t="array" ref="AM613">IF(OR(O613&lt;&gt;"", SUMPRODUCT(($AN$2:$AN$5000=AN613)*($AL$2:$AL$5000&lt;=AL613)) &lt;= (COUNTIF($AN$2:$AN$5000,AN613)*0.5)), "SORTEADO", "-")</f>
        <v>-</v>
      </c>
      <c r="AN613" s="231" t="s">
        <v>1616</v>
      </c>
    </row>
    <row r="614" spans="1:40" ht="30" hidden="1" customHeight="1" x14ac:dyDescent="0.2">
      <c r="A614" s="231" t="s">
        <v>197</v>
      </c>
      <c r="B614" s="231">
        <v>2616435905</v>
      </c>
      <c r="C614" s="231" t="s">
        <v>99</v>
      </c>
      <c r="D614" s="231" t="s">
        <v>80</v>
      </c>
      <c r="E614" s="231" t="s">
        <v>198</v>
      </c>
      <c r="F614" s="231" t="s">
        <v>1694</v>
      </c>
      <c r="G614" s="231">
        <v>97</v>
      </c>
      <c r="H614" s="231" t="s">
        <v>1299</v>
      </c>
      <c r="I614" s="231" t="s">
        <v>1695</v>
      </c>
      <c r="J614" s="231" t="s">
        <v>305</v>
      </c>
      <c r="K614" s="231" t="s">
        <v>213</v>
      </c>
      <c r="L614" s="231" t="s">
        <v>1616</v>
      </c>
      <c r="M614" s="231" t="s">
        <v>1696</v>
      </c>
      <c r="N614" s="231" t="s">
        <v>250</v>
      </c>
      <c r="O614" s="158"/>
      <c r="P614" s="92"/>
      <c r="Q614" s="146"/>
      <c r="R614" s="92"/>
      <c r="S614" s="146"/>
      <c r="T614" s="92"/>
      <c r="U614" s="146"/>
      <c r="V614" s="92"/>
      <c r="W614" s="146"/>
      <c r="X614" s="92"/>
      <c r="Y614" s="146"/>
      <c r="Z614" s="92"/>
      <c r="AA614" s="146"/>
      <c r="AB614" s="92"/>
      <c r="AC614" s="146"/>
      <c r="AD614" s="92"/>
      <c r="AE614" s="146"/>
      <c r="AF614" s="187" t="str">
        <f t="shared" si="39"/>
        <v/>
      </c>
      <c r="AG614" s="54" t="b">
        <f t="shared" si="41"/>
        <v>0</v>
      </c>
      <c r="AH614" s="146"/>
      <c r="AI614" s="210" t="s">
        <v>6</v>
      </c>
      <c r="AJ614" s="97" t="str">
        <f t="shared" si="40"/>
        <v>GUARULHOS</v>
      </c>
      <c r="AK614" s="213" t="s">
        <v>39</v>
      </c>
      <c r="AL614" s="53">
        <v>0.42924001521333988</v>
      </c>
      <c r="AM614" s="53" t="str" cm="1">
        <f t="array" ref="AM614">IF(OR(O614&lt;&gt;"", SUMPRODUCT(($AN$2:$AN$5000=AN614)*($AL$2:$AL$5000&lt;=AL614)) &lt;= (COUNTIF($AN$2:$AN$5000,AN614)*0.5)), "SORTEADO", "-")</f>
        <v>-</v>
      </c>
      <c r="AN614" s="231" t="s">
        <v>1616</v>
      </c>
    </row>
    <row r="615" spans="1:40" ht="30" customHeight="1" x14ac:dyDescent="0.2">
      <c r="A615" s="231" t="s">
        <v>197</v>
      </c>
      <c r="B615" s="231">
        <v>2616642637</v>
      </c>
      <c r="C615" s="231" t="s">
        <v>103</v>
      </c>
      <c r="D615" s="231" t="s">
        <v>80</v>
      </c>
      <c r="E615" s="231" t="s">
        <v>198</v>
      </c>
      <c r="F615" s="231" t="s">
        <v>1697</v>
      </c>
      <c r="G615" s="231">
        <v>236</v>
      </c>
      <c r="H615" s="231" t="s">
        <v>1698</v>
      </c>
      <c r="I615" s="231" t="s">
        <v>335</v>
      </c>
      <c r="J615" s="231" t="s">
        <v>259</v>
      </c>
      <c r="K615" s="231" t="s">
        <v>1699</v>
      </c>
      <c r="L615" s="231" t="s">
        <v>1616</v>
      </c>
      <c r="M615" s="231" t="s">
        <v>1700</v>
      </c>
      <c r="N615" s="231" t="s">
        <v>615</v>
      </c>
      <c r="O615" s="158" t="s">
        <v>204</v>
      </c>
      <c r="P615" s="92"/>
      <c r="Q615" s="146" t="s">
        <v>204</v>
      </c>
      <c r="R615" s="92"/>
      <c r="S615" s="146" t="s">
        <v>204</v>
      </c>
      <c r="T615" s="92"/>
      <c r="U615" s="146" t="s">
        <v>204</v>
      </c>
      <c r="V615" s="92"/>
      <c r="W615" s="146" t="s">
        <v>204</v>
      </c>
      <c r="X615" s="92"/>
      <c r="Y615" s="146" t="s">
        <v>61</v>
      </c>
      <c r="Z615" s="92"/>
      <c r="AA615" s="146" t="s">
        <v>204</v>
      </c>
      <c r="AB615" s="92"/>
      <c r="AC615" s="146" t="s">
        <v>204</v>
      </c>
      <c r="AD615" s="92"/>
      <c r="AE615" s="146" t="s">
        <v>204</v>
      </c>
      <c r="AF615" s="187" t="str">
        <f t="shared" si="39"/>
        <v>C</v>
      </c>
      <c r="AG615" s="54" t="str">
        <f t="shared" si="41"/>
        <v>UTILIZOU O PDA CORRETAMENTE</v>
      </c>
      <c r="AH615" s="144" t="s">
        <v>204</v>
      </c>
      <c r="AI615" s="210" t="s">
        <v>6</v>
      </c>
      <c r="AJ615" s="97" t="str">
        <f t="shared" si="40"/>
        <v>GUARULHOS</v>
      </c>
      <c r="AK615" s="213" t="s">
        <v>39</v>
      </c>
      <c r="AL615" s="53">
        <v>0.1922974000319011</v>
      </c>
      <c r="AM615" s="53" t="str" cm="1">
        <f t="array" ref="AM615">IF(OR(O615&lt;&gt;"", SUMPRODUCT(($AN$2:$AN$5000=AN615)*($AL$2:$AL$5000&lt;=AL615)) &lt;= (COUNTIF($AN$2:$AN$5000,AN615)*0.5)), "SORTEADO", "-")</f>
        <v>SORTEADO</v>
      </c>
      <c r="AN615" s="231" t="s">
        <v>1616</v>
      </c>
    </row>
    <row r="616" spans="1:40" ht="30" hidden="1" customHeight="1" x14ac:dyDescent="0.2">
      <c r="A616" s="231" t="s">
        <v>197</v>
      </c>
      <c r="B616" s="231">
        <v>2616652154</v>
      </c>
      <c r="C616" s="231" t="s">
        <v>105</v>
      </c>
      <c r="D616" s="231" t="s">
        <v>80</v>
      </c>
      <c r="E616" s="231" t="s">
        <v>198</v>
      </c>
      <c r="F616" s="231" t="s">
        <v>1654</v>
      </c>
      <c r="G616" s="231">
        <v>107</v>
      </c>
      <c r="H616" s="231" t="s">
        <v>213</v>
      </c>
      <c r="I616" s="231" t="s">
        <v>411</v>
      </c>
      <c r="J616" s="231" t="s">
        <v>226</v>
      </c>
      <c r="K616" s="238" t="s">
        <v>1701</v>
      </c>
      <c r="L616" s="231" t="s">
        <v>1616</v>
      </c>
      <c r="M616" s="231" t="s">
        <v>1702</v>
      </c>
      <c r="N616" s="231" t="s">
        <v>432</v>
      </c>
      <c r="O616" s="158"/>
      <c r="P616" s="92"/>
      <c r="Q616" s="146"/>
      <c r="R616" s="92"/>
      <c r="S616" s="146"/>
      <c r="T616" s="92"/>
      <c r="U616" s="146"/>
      <c r="V616" s="92"/>
      <c r="W616" s="146"/>
      <c r="X616" s="92"/>
      <c r="Y616" s="146"/>
      <c r="Z616" s="92"/>
      <c r="AA616" s="146"/>
      <c r="AB616" s="92"/>
      <c r="AC616" s="146"/>
      <c r="AD616" s="92"/>
      <c r="AE616" s="146"/>
      <c r="AF616" s="187" t="str">
        <f t="shared" si="39"/>
        <v/>
      </c>
      <c r="AG616" s="54" t="b">
        <f t="shared" si="41"/>
        <v>0</v>
      </c>
      <c r="AH616" s="146"/>
      <c r="AI616" s="210" t="s">
        <v>6</v>
      </c>
      <c r="AJ616" s="97" t="str">
        <f t="shared" si="40"/>
        <v>GUARULHOS</v>
      </c>
      <c r="AK616" s="213" t="s">
        <v>39</v>
      </c>
      <c r="AL616" s="53">
        <v>0.94427157238353976</v>
      </c>
      <c r="AM616" s="53" t="str" cm="1">
        <f t="array" ref="AM616">IF(OR(O616&lt;&gt;"", SUMPRODUCT(($AN$2:$AN$5000=AN616)*($AL$2:$AL$5000&lt;=AL616)) &lt;= (COUNTIF($AN$2:$AN$5000,AN616)*0.5)), "SORTEADO", "-")</f>
        <v>-</v>
      </c>
      <c r="AN616" s="231" t="s">
        <v>1616</v>
      </c>
    </row>
    <row r="617" spans="1:40" ht="30" customHeight="1" x14ac:dyDescent="0.2">
      <c r="A617" s="231" t="s">
        <v>197</v>
      </c>
      <c r="B617" s="231">
        <v>2691022539</v>
      </c>
      <c r="C617" s="231" t="s">
        <v>89</v>
      </c>
      <c r="D617" s="231" t="s">
        <v>77</v>
      </c>
      <c r="E617" s="231" t="s">
        <v>198</v>
      </c>
      <c r="F617" s="231" t="s">
        <v>641</v>
      </c>
      <c r="G617" s="231">
        <v>201</v>
      </c>
      <c r="H617" s="231"/>
      <c r="I617" s="231" t="s">
        <v>643</v>
      </c>
      <c r="J617" s="231" t="s">
        <v>346</v>
      </c>
      <c r="K617" s="231" t="s">
        <v>1703</v>
      </c>
      <c r="L617" s="231" t="s">
        <v>1616</v>
      </c>
      <c r="M617" s="231" t="s">
        <v>1704</v>
      </c>
      <c r="N617" s="231" t="s">
        <v>244</v>
      </c>
      <c r="O617" s="158" t="s">
        <v>204</v>
      </c>
      <c r="P617" s="146"/>
      <c r="Q617" s="146" t="s">
        <v>204</v>
      </c>
      <c r="R617" s="209"/>
      <c r="S617" s="146" t="s">
        <v>204</v>
      </c>
      <c r="T617" s="146"/>
      <c r="U617" s="146" t="s">
        <v>204</v>
      </c>
      <c r="V617" s="146"/>
      <c r="W617" s="146" t="s">
        <v>204</v>
      </c>
      <c r="X617" s="146"/>
      <c r="Y617" s="146" t="s">
        <v>61</v>
      </c>
      <c r="Z617" s="146"/>
      <c r="AA617" s="146" t="s">
        <v>204</v>
      </c>
      <c r="AB617" s="146"/>
      <c r="AC617" s="146" t="s">
        <v>204</v>
      </c>
      <c r="AD617" s="146"/>
      <c r="AE617" s="146" t="s">
        <v>204</v>
      </c>
      <c r="AF617" s="187" t="str">
        <f t="shared" si="39"/>
        <v>C</v>
      </c>
      <c r="AG617" s="54" t="str">
        <f t="shared" si="41"/>
        <v>UTILIZOU O PDA CORRETAMENTE</v>
      </c>
      <c r="AH617" s="146"/>
      <c r="AI617" s="210" t="s">
        <v>6</v>
      </c>
      <c r="AJ617" s="97" t="str">
        <f t="shared" si="40"/>
        <v>GUARULHOS</v>
      </c>
      <c r="AK617" s="213" t="s">
        <v>39</v>
      </c>
      <c r="AL617" s="53">
        <v>0.30694194830687838</v>
      </c>
      <c r="AM617" s="53" t="str" cm="1">
        <f t="array" ref="AM617">IF(OR(O617&lt;&gt;"", SUMPRODUCT(($AN$2:$AN$5000=AN617)*($AL$2:$AL$5000&lt;=AL617)) &lt;= (COUNTIF($AN$2:$AN$5000,AN617)*0.5)), "SORTEADO", "-")</f>
        <v>SORTEADO</v>
      </c>
      <c r="AN617" s="231" t="s">
        <v>1616</v>
      </c>
    </row>
    <row r="618" spans="1:40" ht="30" hidden="1" customHeight="1" x14ac:dyDescent="0.2">
      <c r="A618" s="231" t="s">
        <v>197</v>
      </c>
      <c r="B618" s="231">
        <v>2616606890</v>
      </c>
      <c r="C618" s="231" t="s">
        <v>105</v>
      </c>
      <c r="D618" s="231" t="s">
        <v>80</v>
      </c>
      <c r="E618" s="231" t="s">
        <v>198</v>
      </c>
      <c r="F618" s="231" t="s">
        <v>1705</v>
      </c>
      <c r="G618" s="231">
        <v>51</v>
      </c>
      <c r="H618" s="231" t="s">
        <v>213</v>
      </c>
      <c r="I618" s="231" t="s">
        <v>326</v>
      </c>
      <c r="J618" s="231" t="s">
        <v>226</v>
      </c>
      <c r="K618" s="231" t="s">
        <v>213</v>
      </c>
      <c r="L618" s="231" t="s">
        <v>1706</v>
      </c>
      <c r="M618" s="231" t="s">
        <v>1707</v>
      </c>
      <c r="N618" s="231" t="s">
        <v>237</v>
      </c>
      <c r="O618" s="158"/>
      <c r="P618" s="92"/>
      <c r="Q618" s="146"/>
      <c r="R618" s="92"/>
      <c r="S618" s="146"/>
      <c r="T618" s="92"/>
      <c r="U618" s="146"/>
      <c r="V618" s="92"/>
      <c r="W618" s="146"/>
      <c r="X618" s="92"/>
      <c r="Y618" s="146"/>
      <c r="Z618" s="92"/>
      <c r="AA618" s="146"/>
      <c r="AB618" s="92"/>
      <c r="AC618" s="146"/>
      <c r="AD618" s="92"/>
      <c r="AE618" s="146"/>
      <c r="AF618" s="187" t="str">
        <f t="shared" si="39"/>
        <v/>
      </c>
      <c r="AG618" s="54" t="b">
        <f t="shared" si="41"/>
        <v>0</v>
      </c>
      <c r="AH618" s="146"/>
      <c r="AI618" s="210" t="s">
        <v>6</v>
      </c>
      <c r="AJ618" s="97" t="str">
        <f t="shared" si="40"/>
        <v>GUARULHOS</v>
      </c>
      <c r="AK618" s="213" t="s">
        <v>39</v>
      </c>
      <c r="AL618" s="53">
        <v>0.41892869080309425</v>
      </c>
      <c r="AM618" s="53" t="str" cm="1">
        <f t="array" ref="AM618">IF(OR(O618&lt;&gt;"", SUMPRODUCT(($AN$2:$AN$5000=AN618)*($AL$2:$AL$5000&lt;=AL618)) &lt;= (COUNTIF($AN$2:$AN$5000,AN618)*0.5)), "SORTEADO", "-")</f>
        <v>-</v>
      </c>
      <c r="AN618" s="231" t="s">
        <v>1706</v>
      </c>
    </row>
    <row r="619" spans="1:40" ht="30" customHeight="1" x14ac:dyDescent="0.2">
      <c r="A619" s="231" t="s">
        <v>197</v>
      </c>
      <c r="B619" s="231">
        <v>2691081875</v>
      </c>
      <c r="C619" s="231" t="s">
        <v>102</v>
      </c>
      <c r="D619" s="231" t="s">
        <v>80</v>
      </c>
      <c r="E619" s="231" t="s">
        <v>198</v>
      </c>
      <c r="F619" s="231" t="s">
        <v>662</v>
      </c>
      <c r="G619" s="231">
        <v>365</v>
      </c>
      <c r="H619" s="231" t="s">
        <v>578</v>
      </c>
      <c r="I619" s="231" t="s">
        <v>664</v>
      </c>
      <c r="J619" s="231" t="s">
        <v>270</v>
      </c>
      <c r="K619" s="231"/>
      <c r="L619" s="231" t="s">
        <v>1706</v>
      </c>
      <c r="M619" s="231" t="s">
        <v>1708</v>
      </c>
      <c r="N619" s="231" t="s">
        <v>244</v>
      </c>
      <c r="O619" s="158" t="s">
        <v>204</v>
      </c>
      <c r="P619" s="92"/>
      <c r="Q619" s="146" t="s">
        <v>204</v>
      </c>
      <c r="R619" s="92"/>
      <c r="S619" s="146" t="s">
        <v>204</v>
      </c>
      <c r="T619" s="92"/>
      <c r="U619" s="146" t="s">
        <v>204</v>
      </c>
      <c r="V619" s="92"/>
      <c r="W619" s="146" t="s">
        <v>204</v>
      </c>
      <c r="X619" s="92"/>
      <c r="Y619" s="146" t="s">
        <v>61</v>
      </c>
      <c r="Z619" s="92"/>
      <c r="AA619" s="146" t="s">
        <v>204</v>
      </c>
      <c r="AB619" s="92"/>
      <c r="AC619" s="146" t="s">
        <v>204</v>
      </c>
      <c r="AD619" s="92"/>
      <c r="AE619" s="146" t="s">
        <v>204</v>
      </c>
      <c r="AF619" s="187" t="str">
        <f t="shared" si="39"/>
        <v>C</v>
      </c>
      <c r="AG619" s="54" t="str">
        <f t="shared" si="41"/>
        <v>UTILIZOU O PDA CORRETAMENTE</v>
      </c>
      <c r="AH619" s="144" t="s">
        <v>204</v>
      </c>
      <c r="AI619" s="210" t="s">
        <v>6</v>
      </c>
      <c r="AJ619" s="97" t="str">
        <f t="shared" si="40"/>
        <v>GUARULHOS</v>
      </c>
      <c r="AK619" s="213" t="s">
        <v>39</v>
      </c>
      <c r="AL619" s="53">
        <v>0.30709898976108874</v>
      </c>
      <c r="AM619" s="53" t="str" cm="1">
        <f t="array" ref="AM619">IF(OR(O619&lt;&gt;"", SUMPRODUCT(($AN$2:$AN$5000=AN619)*($AL$2:$AL$5000&lt;=AL619)) &lt;= (COUNTIF($AN$2:$AN$5000,AN619)*0.5)), "SORTEADO", "-")</f>
        <v>SORTEADO</v>
      </c>
      <c r="AN619" s="231" t="s">
        <v>1706</v>
      </c>
    </row>
    <row r="620" spans="1:40" ht="30" customHeight="1" x14ac:dyDescent="0.2">
      <c r="A620" s="231" t="s">
        <v>197</v>
      </c>
      <c r="B620" s="231">
        <v>2691080717</v>
      </c>
      <c r="C620" s="231" t="s">
        <v>102</v>
      </c>
      <c r="D620" s="231" t="s">
        <v>80</v>
      </c>
      <c r="E620" s="231" t="s">
        <v>198</v>
      </c>
      <c r="F620" s="231" t="s">
        <v>1697</v>
      </c>
      <c r="G620" s="231">
        <v>45</v>
      </c>
      <c r="H620" s="231" t="s">
        <v>1709</v>
      </c>
      <c r="I620" s="231" t="s">
        <v>335</v>
      </c>
      <c r="J620" s="231" t="s">
        <v>297</v>
      </c>
      <c r="K620" s="231" t="s">
        <v>213</v>
      </c>
      <c r="L620" s="231" t="s">
        <v>1706</v>
      </c>
      <c r="M620" s="231" t="s">
        <v>1710</v>
      </c>
      <c r="N620" s="231" t="s">
        <v>348</v>
      </c>
      <c r="O620" s="158" t="s">
        <v>204</v>
      </c>
      <c r="P620" s="92"/>
      <c r="Q620" s="146" t="s">
        <v>204</v>
      </c>
      <c r="R620" s="92"/>
      <c r="S620" s="146" t="s">
        <v>204</v>
      </c>
      <c r="T620" s="92"/>
      <c r="U620" s="146" t="s">
        <v>204</v>
      </c>
      <c r="V620" s="92"/>
      <c r="W620" s="146" t="s">
        <v>204</v>
      </c>
      <c r="X620" s="92"/>
      <c r="Y620" s="146" t="s">
        <v>61</v>
      </c>
      <c r="Z620" s="92"/>
      <c r="AA620" s="146" t="s">
        <v>204</v>
      </c>
      <c r="AB620" s="92"/>
      <c r="AC620" s="146" t="s">
        <v>204</v>
      </c>
      <c r="AD620" s="92"/>
      <c r="AE620" s="146" t="s">
        <v>204</v>
      </c>
      <c r="AF620" s="187" t="str">
        <f t="shared" si="39"/>
        <v>C</v>
      </c>
      <c r="AG620" s="54" t="str">
        <f t="shared" si="41"/>
        <v>UTILIZOU O PDA CORRETAMENTE</v>
      </c>
      <c r="AH620" s="144" t="s">
        <v>204</v>
      </c>
      <c r="AI620" s="210" t="s">
        <v>6</v>
      </c>
      <c r="AJ620" s="97" t="str">
        <f t="shared" si="40"/>
        <v>GUARULHOS</v>
      </c>
      <c r="AK620" s="213" t="s">
        <v>39</v>
      </c>
      <c r="AL620" s="53">
        <v>0.33901151129598717</v>
      </c>
      <c r="AM620" s="53" t="str" cm="1">
        <f t="array" ref="AM620">IF(OR(O620&lt;&gt;"", SUMPRODUCT(($AN$2:$AN$5000=AN620)*($AL$2:$AL$5000&lt;=AL620)) &lt;= (COUNTIF($AN$2:$AN$5000,AN620)*0.5)), "SORTEADO", "-")</f>
        <v>SORTEADO</v>
      </c>
      <c r="AN620" s="231" t="s">
        <v>1706</v>
      </c>
    </row>
    <row r="621" spans="1:40" ht="30" hidden="1" customHeight="1" x14ac:dyDescent="0.2">
      <c r="A621" s="231" t="s">
        <v>197</v>
      </c>
      <c r="B621" s="231">
        <v>2691100886</v>
      </c>
      <c r="C621" s="231" t="s">
        <v>102</v>
      </c>
      <c r="D621" s="231" t="s">
        <v>80</v>
      </c>
      <c r="E621" s="231" t="s">
        <v>198</v>
      </c>
      <c r="F621" s="231" t="s">
        <v>1711</v>
      </c>
      <c r="G621" s="231">
        <v>47</v>
      </c>
      <c r="H621" s="231" t="s">
        <v>1712</v>
      </c>
      <c r="I621" s="231" t="s">
        <v>243</v>
      </c>
      <c r="J621" s="231" t="s">
        <v>259</v>
      </c>
      <c r="K621" s="231" t="s">
        <v>1713</v>
      </c>
      <c r="L621" s="231" t="s">
        <v>1706</v>
      </c>
      <c r="M621" s="231" t="s">
        <v>1714</v>
      </c>
      <c r="N621" s="231" t="s">
        <v>348</v>
      </c>
      <c r="O621" s="158"/>
      <c r="P621" s="92"/>
      <c r="Q621" s="146"/>
      <c r="R621" s="92"/>
      <c r="S621" s="146"/>
      <c r="T621" s="92"/>
      <c r="U621" s="146"/>
      <c r="V621" s="92"/>
      <c r="W621" s="146"/>
      <c r="X621" s="92"/>
      <c r="Y621" s="146"/>
      <c r="Z621" s="92"/>
      <c r="AA621" s="146"/>
      <c r="AB621" s="92"/>
      <c r="AC621" s="146"/>
      <c r="AD621" s="92"/>
      <c r="AE621" s="146"/>
      <c r="AF621" s="187" t="str">
        <f t="shared" si="39"/>
        <v/>
      </c>
      <c r="AG621" s="54" t="b">
        <f t="shared" si="41"/>
        <v>0</v>
      </c>
      <c r="AH621" s="146"/>
      <c r="AI621" s="210" t="s">
        <v>6</v>
      </c>
      <c r="AJ621" s="97" t="str">
        <f t="shared" si="40"/>
        <v>GUARULHOS</v>
      </c>
      <c r="AK621" s="213" t="s">
        <v>39</v>
      </c>
      <c r="AL621" s="53">
        <v>0.96645563194613104</v>
      </c>
      <c r="AM621" s="53" t="str" cm="1">
        <f t="array" ref="AM621">IF(OR(O621&lt;&gt;"", SUMPRODUCT(($AN$2:$AN$5000=AN621)*($AL$2:$AL$5000&lt;=AL621)) &lt;= (COUNTIF($AN$2:$AN$5000,AN621)*0.5)), "SORTEADO", "-")</f>
        <v>-</v>
      </c>
      <c r="AN621" s="231" t="s">
        <v>1706</v>
      </c>
    </row>
    <row r="622" spans="1:40" ht="30" customHeight="1" x14ac:dyDescent="0.2">
      <c r="A622" s="231" t="s">
        <v>197</v>
      </c>
      <c r="B622" s="231">
        <v>2616643965</v>
      </c>
      <c r="C622" s="231" t="s">
        <v>102</v>
      </c>
      <c r="D622" s="231" t="s">
        <v>80</v>
      </c>
      <c r="E622" s="231" t="s">
        <v>198</v>
      </c>
      <c r="F622" s="231" t="s">
        <v>662</v>
      </c>
      <c r="G622" s="231">
        <v>371</v>
      </c>
      <c r="H622" s="231" t="s">
        <v>1715</v>
      </c>
      <c r="I622" s="231" t="s">
        <v>664</v>
      </c>
      <c r="J622" s="231" t="s">
        <v>270</v>
      </c>
      <c r="K622" s="231" t="s">
        <v>213</v>
      </c>
      <c r="L622" s="231" t="s">
        <v>1706</v>
      </c>
      <c r="M622" s="231" t="s">
        <v>1716</v>
      </c>
      <c r="N622" s="231" t="s">
        <v>244</v>
      </c>
      <c r="O622" s="158" t="s">
        <v>204</v>
      </c>
      <c r="P622" s="92"/>
      <c r="Q622" s="146" t="s">
        <v>204</v>
      </c>
      <c r="R622" s="92"/>
      <c r="S622" s="146" t="s">
        <v>204</v>
      </c>
      <c r="T622" s="92"/>
      <c r="U622" s="146" t="s">
        <v>204</v>
      </c>
      <c r="V622" s="92"/>
      <c r="W622" s="146" t="s">
        <v>204</v>
      </c>
      <c r="X622" s="92"/>
      <c r="Y622" s="146" t="s">
        <v>61</v>
      </c>
      <c r="Z622" s="92"/>
      <c r="AA622" s="146" t="s">
        <v>204</v>
      </c>
      <c r="AB622" s="92"/>
      <c r="AC622" s="146" t="s">
        <v>204</v>
      </c>
      <c r="AD622" s="92"/>
      <c r="AE622" s="146" t="s">
        <v>204</v>
      </c>
      <c r="AF622" s="187" t="str">
        <f t="shared" si="39"/>
        <v>C</v>
      </c>
      <c r="AG622" s="54" t="str">
        <f t="shared" si="41"/>
        <v>UTILIZOU O PDA CORRETAMENTE</v>
      </c>
      <c r="AH622" s="144" t="s">
        <v>204</v>
      </c>
      <c r="AI622" s="210" t="s">
        <v>6</v>
      </c>
      <c r="AJ622" s="97" t="str">
        <f t="shared" si="40"/>
        <v>GUARULHOS</v>
      </c>
      <c r="AK622" s="213" t="s">
        <v>39</v>
      </c>
      <c r="AL622" s="53">
        <v>0.40330652858423011</v>
      </c>
      <c r="AM622" s="53" t="str" cm="1">
        <f t="array" ref="AM622">IF(OR(O622&lt;&gt;"", SUMPRODUCT(($AN$2:$AN$5000=AN622)*($AL$2:$AL$5000&lt;=AL622)) &lt;= (COUNTIF($AN$2:$AN$5000,AN622)*0.5)), "SORTEADO", "-")</f>
        <v>SORTEADO</v>
      </c>
      <c r="AN622" s="231" t="s">
        <v>1706</v>
      </c>
    </row>
    <row r="623" spans="1:40" ht="30" hidden="1" customHeight="1" x14ac:dyDescent="0.2">
      <c r="A623" s="231" t="s">
        <v>197</v>
      </c>
      <c r="B623" s="231">
        <v>2616652938</v>
      </c>
      <c r="C623" s="231" t="s">
        <v>102</v>
      </c>
      <c r="D623" s="231" t="s">
        <v>80</v>
      </c>
      <c r="E623" s="231" t="s">
        <v>198</v>
      </c>
      <c r="F623" s="231" t="s">
        <v>1344</v>
      </c>
      <c r="G623" s="231">
        <v>356</v>
      </c>
      <c r="H623" s="231" t="s">
        <v>1717</v>
      </c>
      <c r="I623" s="231" t="s">
        <v>447</v>
      </c>
      <c r="J623" s="231" t="s">
        <v>270</v>
      </c>
      <c r="K623" s="231" t="s">
        <v>532</v>
      </c>
      <c r="L623" s="231" t="s">
        <v>1706</v>
      </c>
      <c r="M623" s="231" t="s">
        <v>1718</v>
      </c>
      <c r="N623" s="231" t="s">
        <v>432</v>
      </c>
      <c r="O623" s="158"/>
      <c r="P623" s="92"/>
      <c r="Q623" s="146"/>
      <c r="R623" s="92"/>
      <c r="S623" s="146"/>
      <c r="T623" s="92"/>
      <c r="U623" s="146"/>
      <c r="V623" s="92"/>
      <c r="W623" s="146"/>
      <c r="X623" s="92"/>
      <c r="Y623" s="146"/>
      <c r="Z623" s="92"/>
      <c r="AA623" s="146"/>
      <c r="AB623" s="92"/>
      <c r="AC623" s="146"/>
      <c r="AD623" s="92"/>
      <c r="AE623" s="146"/>
      <c r="AF623" s="187" t="str">
        <f t="shared" si="39"/>
        <v/>
      </c>
      <c r="AG623" s="54" t="b">
        <f t="shared" si="41"/>
        <v>0</v>
      </c>
      <c r="AH623" s="146"/>
      <c r="AI623" s="210" t="s">
        <v>6</v>
      </c>
      <c r="AJ623" s="97" t="str">
        <f t="shared" si="40"/>
        <v>GUARULHOS</v>
      </c>
      <c r="AK623" s="213" t="s">
        <v>39</v>
      </c>
      <c r="AL623" s="53">
        <v>0.79260950367835648</v>
      </c>
      <c r="AM623" s="53" t="str" cm="1">
        <f t="array" ref="AM623">IF(OR(O623&lt;&gt;"", SUMPRODUCT(($AN$2:$AN$5000=AN623)*($AL$2:$AL$5000&lt;=AL623)) &lt;= (COUNTIF($AN$2:$AN$5000,AN623)*0.5)), "SORTEADO", "-")</f>
        <v>-</v>
      </c>
      <c r="AN623" s="231" t="s">
        <v>1706</v>
      </c>
    </row>
    <row r="624" spans="1:40" ht="30" hidden="1" customHeight="1" x14ac:dyDescent="0.2">
      <c r="A624" s="231" t="s">
        <v>197</v>
      </c>
      <c r="B624" s="231">
        <v>2691116361</v>
      </c>
      <c r="C624" s="231" t="s">
        <v>102</v>
      </c>
      <c r="D624" s="231" t="s">
        <v>80</v>
      </c>
      <c r="E624" s="231" t="s">
        <v>198</v>
      </c>
      <c r="F624" s="231" t="s">
        <v>1719</v>
      </c>
      <c r="G624" s="231">
        <v>10</v>
      </c>
      <c r="H624" s="231" t="s">
        <v>213</v>
      </c>
      <c r="I624" s="231" t="s">
        <v>791</v>
      </c>
      <c r="J624" s="231" t="s">
        <v>270</v>
      </c>
      <c r="K624" s="231" t="s">
        <v>974</v>
      </c>
      <c r="L624" s="231" t="s">
        <v>1706</v>
      </c>
      <c r="M624" s="231" t="s">
        <v>1720</v>
      </c>
      <c r="N624" s="231" t="s">
        <v>271</v>
      </c>
      <c r="O624" s="158"/>
      <c r="P624" s="92"/>
      <c r="Q624" s="146"/>
      <c r="R624" s="92"/>
      <c r="S624" s="146"/>
      <c r="T624" s="92"/>
      <c r="U624" s="146"/>
      <c r="V624" s="92"/>
      <c r="W624" s="146"/>
      <c r="X624" s="92"/>
      <c r="Y624" s="146"/>
      <c r="Z624" s="92"/>
      <c r="AA624" s="146"/>
      <c r="AB624" s="92"/>
      <c r="AC624" s="146"/>
      <c r="AD624" s="92"/>
      <c r="AE624" s="146"/>
      <c r="AF624" s="187" t="str">
        <f t="shared" si="39"/>
        <v/>
      </c>
      <c r="AG624" s="54" t="b">
        <f t="shared" si="41"/>
        <v>0</v>
      </c>
      <c r="AH624" s="146"/>
      <c r="AI624" s="210" t="s">
        <v>6</v>
      </c>
      <c r="AJ624" s="97" t="str">
        <f t="shared" si="40"/>
        <v>GUARULHOS</v>
      </c>
      <c r="AK624" s="213" t="s">
        <v>39</v>
      </c>
      <c r="AL624" s="53">
        <v>0.51132038867568819</v>
      </c>
      <c r="AM624" s="53" t="str" cm="1">
        <f t="array" ref="AM624">IF(OR(O624&lt;&gt;"", SUMPRODUCT(($AN$2:$AN$5000=AN624)*($AL$2:$AL$5000&lt;=AL624)) &lt;= (COUNTIF($AN$2:$AN$5000,AN624)*0.5)), "SORTEADO", "-")</f>
        <v>-</v>
      </c>
      <c r="AN624" s="231" t="s">
        <v>1706</v>
      </c>
    </row>
    <row r="625" spans="1:40" ht="30" hidden="1" customHeight="1" x14ac:dyDescent="0.2">
      <c r="A625" s="231" t="s">
        <v>197</v>
      </c>
      <c r="B625" s="231">
        <v>2616640611</v>
      </c>
      <c r="C625" s="231" t="s">
        <v>106</v>
      </c>
      <c r="D625" s="231" t="s">
        <v>80</v>
      </c>
      <c r="E625" s="231" t="s">
        <v>198</v>
      </c>
      <c r="F625" s="231" t="s">
        <v>556</v>
      </c>
      <c r="G625" s="231">
        <v>124</v>
      </c>
      <c r="H625" s="231" t="s">
        <v>206</v>
      </c>
      <c r="I625" s="231" t="s">
        <v>557</v>
      </c>
      <c r="J625" s="231" t="s">
        <v>270</v>
      </c>
      <c r="K625" s="231" t="s">
        <v>891</v>
      </c>
      <c r="L625" s="231" t="s">
        <v>1706</v>
      </c>
      <c r="M625" s="231" t="s">
        <v>1721</v>
      </c>
      <c r="N625" s="231" t="s">
        <v>432</v>
      </c>
      <c r="O625" s="158"/>
      <c r="P625" s="92"/>
      <c r="Q625" s="146"/>
      <c r="R625" s="92"/>
      <c r="S625" s="146"/>
      <c r="T625" s="92"/>
      <c r="U625" s="146"/>
      <c r="V625" s="92"/>
      <c r="W625" s="146"/>
      <c r="X625" s="92"/>
      <c r="Y625" s="146"/>
      <c r="Z625" s="92"/>
      <c r="AA625" s="146"/>
      <c r="AB625" s="92"/>
      <c r="AC625" s="146"/>
      <c r="AD625" s="92"/>
      <c r="AE625" s="146"/>
      <c r="AF625" s="187" t="str">
        <f t="shared" si="39"/>
        <v/>
      </c>
      <c r="AG625" s="54" t="b">
        <f t="shared" si="41"/>
        <v>0</v>
      </c>
      <c r="AH625" s="146"/>
      <c r="AI625" s="210" t="s">
        <v>6</v>
      </c>
      <c r="AJ625" s="97" t="str">
        <f t="shared" si="40"/>
        <v>GUARULHOS</v>
      </c>
      <c r="AK625" s="213" t="s">
        <v>39</v>
      </c>
      <c r="AL625" s="53">
        <v>0.40788318597398199</v>
      </c>
      <c r="AM625" s="53" t="str" cm="1">
        <f t="array" ref="AM625">IF(OR(O625&lt;&gt;"", SUMPRODUCT(($AN$2:$AN$5000=AN625)*($AL$2:$AL$5000&lt;=AL625)) &lt;= (COUNTIF($AN$2:$AN$5000,AN625)*0.5)), "SORTEADO", "-")</f>
        <v>-</v>
      </c>
      <c r="AN625" s="231" t="s">
        <v>1706</v>
      </c>
    </row>
    <row r="626" spans="1:40" ht="30" customHeight="1" x14ac:dyDescent="0.2">
      <c r="A626" s="231" t="s">
        <v>197</v>
      </c>
      <c r="B626" s="231">
        <v>2616344963</v>
      </c>
      <c r="C626" s="231" t="s">
        <v>91</v>
      </c>
      <c r="D626" s="231" t="s">
        <v>76</v>
      </c>
      <c r="E626" s="231" t="s">
        <v>198</v>
      </c>
      <c r="F626" s="231" t="s">
        <v>1722</v>
      </c>
      <c r="G626" s="231">
        <v>53</v>
      </c>
      <c r="H626" s="231" t="s">
        <v>1723</v>
      </c>
      <c r="I626" s="231" t="s">
        <v>214</v>
      </c>
      <c r="J626" s="231" t="s">
        <v>448</v>
      </c>
      <c r="K626" s="231" t="s">
        <v>213</v>
      </c>
      <c r="L626" s="231" t="s">
        <v>1706</v>
      </c>
      <c r="M626" s="231" t="s">
        <v>1724</v>
      </c>
      <c r="N626" s="231" t="s">
        <v>215</v>
      </c>
      <c r="O626" s="158" t="s">
        <v>204</v>
      </c>
      <c r="P626" s="92"/>
      <c r="Q626" s="146" t="s">
        <v>204</v>
      </c>
      <c r="R626" s="92"/>
      <c r="S626" s="146" t="s">
        <v>204</v>
      </c>
      <c r="T626" s="92"/>
      <c r="U626" s="146" t="s">
        <v>204</v>
      </c>
      <c r="V626" s="92"/>
      <c r="W626" s="146" t="s">
        <v>204</v>
      </c>
      <c r="X626" s="92"/>
      <c r="Y626" s="146" t="s">
        <v>742</v>
      </c>
      <c r="Z626" s="92"/>
      <c r="AA626" s="146" t="s">
        <v>204</v>
      </c>
      <c r="AB626" s="92"/>
      <c r="AC626" s="146" t="s">
        <v>204</v>
      </c>
      <c r="AD626" s="92"/>
      <c r="AE626" s="146" t="s">
        <v>204</v>
      </c>
      <c r="AF626" s="187" t="str">
        <f t="shared" si="39"/>
        <v>C</v>
      </c>
      <c r="AG626" s="54" t="str">
        <f t="shared" si="41"/>
        <v>UTILIZOU O PDA CORRETAMENTE</v>
      </c>
      <c r="AH626" s="146" t="s">
        <v>204</v>
      </c>
      <c r="AI626" s="210" t="s">
        <v>6</v>
      </c>
      <c r="AJ626" s="97" t="str">
        <f t="shared" si="40"/>
        <v>GUARULHOS</v>
      </c>
      <c r="AK626" s="213" t="s">
        <v>39</v>
      </c>
      <c r="AL626" s="53">
        <v>0.13370860089480785</v>
      </c>
      <c r="AM626" s="53" t="str" cm="1">
        <f t="array" ref="AM626">IF(OR(O626&lt;&gt;"", SUMPRODUCT(($AN$2:$AN$5000=AN626)*($AL$2:$AL$5000&lt;=AL626)) &lt;= (COUNTIF($AN$2:$AN$5000,AN626)*0.5)), "SORTEADO", "-")</f>
        <v>SORTEADO</v>
      </c>
      <c r="AN626" s="231" t="s">
        <v>1706</v>
      </c>
    </row>
    <row r="627" spans="1:40" ht="30" customHeight="1" x14ac:dyDescent="0.2">
      <c r="A627" s="231" t="s">
        <v>197</v>
      </c>
      <c r="B627" s="231">
        <v>2616642070</v>
      </c>
      <c r="C627" s="231" t="s">
        <v>100</v>
      </c>
      <c r="D627" s="231" t="s">
        <v>78</v>
      </c>
      <c r="E627" s="231" t="s">
        <v>198</v>
      </c>
      <c r="F627" s="231" t="s">
        <v>355</v>
      </c>
      <c r="G627" s="231">
        <v>349</v>
      </c>
      <c r="H627" s="231" t="s">
        <v>1725</v>
      </c>
      <c r="I627" s="231" t="s">
        <v>356</v>
      </c>
      <c r="J627" s="231" t="s">
        <v>248</v>
      </c>
      <c r="K627" s="231"/>
      <c r="L627" s="231" t="s">
        <v>1706</v>
      </c>
      <c r="M627" s="231" t="s">
        <v>1726</v>
      </c>
      <c r="N627" s="231" t="s">
        <v>228</v>
      </c>
      <c r="O627" s="157" t="s">
        <v>204</v>
      </c>
      <c r="P627" s="143"/>
      <c r="Q627" s="144" t="s">
        <v>204</v>
      </c>
      <c r="R627" s="143"/>
      <c r="S627" s="144" t="s">
        <v>204</v>
      </c>
      <c r="T627" s="143"/>
      <c r="U627" s="144" t="s">
        <v>204</v>
      </c>
      <c r="V627" s="143"/>
      <c r="W627" s="144" t="s">
        <v>204</v>
      </c>
      <c r="X627" s="143"/>
      <c r="Y627" s="144" t="s">
        <v>204</v>
      </c>
      <c r="Z627" s="143"/>
      <c r="AA627" s="144" t="s">
        <v>204</v>
      </c>
      <c r="AB627" s="143"/>
      <c r="AC627" s="144" t="s">
        <v>204</v>
      </c>
      <c r="AD627" s="56"/>
      <c r="AE627" s="144" t="s">
        <v>204</v>
      </c>
      <c r="AF627" s="187" t="str">
        <f t="shared" si="39"/>
        <v>C</v>
      </c>
      <c r="AG627" s="54" t="str">
        <f t="shared" si="41"/>
        <v>UTILIZOU O PDA CORRETAMENTE</v>
      </c>
      <c r="AH627" s="144" t="s">
        <v>204</v>
      </c>
      <c r="AI627" s="210" t="s">
        <v>6</v>
      </c>
      <c r="AJ627" s="97" t="str">
        <f t="shared" si="40"/>
        <v>GUARULHOS</v>
      </c>
      <c r="AK627" s="213" t="s">
        <v>39</v>
      </c>
      <c r="AL627" s="53">
        <v>4.725197476459142E-2</v>
      </c>
      <c r="AM627" s="53" t="str" cm="1">
        <f t="array" ref="AM627">IF(OR(O627&lt;&gt;"", SUMPRODUCT(($AN$2:$AN$5000=AN627)*($AL$2:$AL$5000&lt;=AL627)) &lt;= (COUNTIF($AN$2:$AN$5000,AN627)*0.5)), "SORTEADO", "-")</f>
        <v>SORTEADO</v>
      </c>
      <c r="AN627" s="231" t="s">
        <v>1706</v>
      </c>
    </row>
    <row r="628" spans="1:40" ht="30" hidden="1" customHeight="1" x14ac:dyDescent="0.2">
      <c r="A628" s="231" t="s">
        <v>197</v>
      </c>
      <c r="B628" s="231">
        <v>2616347886</v>
      </c>
      <c r="C628" s="231" t="s">
        <v>100</v>
      </c>
      <c r="D628" s="231" t="s">
        <v>78</v>
      </c>
      <c r="E628" s="231" t="s">
        <v>198</v>
      </c>
      <c r="F628" s="231" t="s">
        <v>1727</v>
      </c>
      <c r="G628" s="231">
        <v>198</v>
      </c>
      <c r="H628" s="231" t="s">
        <v>1728</v>
      </c>
      <c r="I628" s="231" t="s">
        <v>356</v>
      </c>
      <c r="J628" s="231" t="s">
        <v>248</v>
      </c>
      <c r="K628" s="231" t="s">
        <v>213</v>
      </c>
      <c r="L628" s="231" t="s">
        <v>1706</v>
      </c>
      <c r="M628" s="231" t="s">
        <v>1729</v>
      </c>
      <c r="N628" s="231" t="s">
        <v>228</v>
      </c>
      <c r="O628" s="158"/>
      <c r="P628" s="92"/>
      <c r="Q628" s="146"/>
      <c r="R628" s="92"/>
      <c r="S628" s="146"/>
      <c r="T628" s="92"/>
      <c r="U628" s="146"/>
      <c r="V628" s="92"/>
      <c r="W628" s="146"/>
      <c r="X628" s="92"/>
      <c r="Y628" s="146"/>
      <c r="Z628" s="92"/>
      <c r="AA628" s="146"/>
      <c r="AB628" s="92"/>
      <c r="AC628" s="146"/>
      <c r="AD628" s="92"/>
      <c r="AE628" s="146"/>
      <c r="AF628" s="187" t="str">
        <f t="shared" si="39"/>
        <v/>
      </c>
      <c r="AG628" s="54" t="b">
        <f t="shared" si="41"/>
        <v>0</v>
      </c>
      <c r="AH628" s="146"/>
      <c r="AI628" s="210" t="s">
        <v>6</v>
      </c>
      <c r="AJ628" s="97" t="str">
        <f t="shared" si="40"/>
        <v>GUARULHOS</v>
      </c>
      <c r="AK628" s="213" t="s">
        <v>39</v>
      </c>
      <c r="AL628" s="53">
        <v>0.73385708193332067</v>
      </c>
      <c r="AM628" s="53" t="str" cm="1">
        <f t="array" ref="AM628">IF(OR(O628&lt;&gt;"", SUMPRODUCT(($AN$2:$AN$5000=AN628)*($AL$2:$AL$5000&lt;=AL628)) &lt;= (COUNTIF($AN$2:$AN$5000,AN628)*0.5)), "SORTEADO", "-")</f>
        <v>-</v>
      </c>
      <c r="AN628" s="231" t="s">
        <v>1706</v>
      </c>
    </row>
    <row r="629" spans="1:40" ht="30" customHeight="1" x14ac:dyDescent="0.2">
      <c r="A629" s="231" t="s">
        <v>197</v>
      </c>
      <c r="B629" s="231">
        <v>2616388364</v>
      </c>
      <c r="C629" s="231" t="s">
        <v>83</v>
      </c>
      <c r="D629" s="231" t="s">
        <v>76</v>
      </c>
      <c r="E629" s="231" t="s">
        <v>198</v>
      </c>
      <c r="F629" s="231" t="s">
        <v>1722</v>
      </c>
      <c r="G629" s="231">
        <v>53</v>
      </c>
      <c r="H629" s="231" t="s">
        <v>1458</v>
      </c>
      <c r="I629" s="231" t="s">
        <v>622</v>
      </c>
      <c r="J629" s="231" t="s">
        <v>219</v>
      </c>
      <c r="K629" s="231" t="s">
        <v>1730</v>
      </c>
      <c r="L629" s="231" t="s">
        <v>1706</v>
      </c>
      <c r="M629" s="231" t="s">
        <v>1731</v>
      </c>
      <c r="N629" s="231" t="s">
        <v>215</v>
      </c>
      <c r="O629" s="158" t="s">
        <v>204</v>
      </c>
      <c r="P629" s="92"/>
      <c r="Q629" s="146" t="s">
        <v>204</v>
      </c>
      <c r="R629" s="92"/>
      <c r="S629" s="146" t="s">
        <v>204</v>
      </c>
      <c r="T629" s="92"/>
      <c r="U629" s="146" t="s">
        <v>204</v>
      </c>
      <c r="V629" s="92"/>
      <c r="W629" s="146" t="s">
        <v>204</v>
      </c>
      <c r="X629" s="92"/>
      <c r="Y629" s="146" t="s">
        <v>204</v>
      </c>
      <c r="Z629" s="92"/>
      <c r="AA629" s="146" t="s">
        <v>204</v>
      </c>
      <c r="AB629" s="92"/>
      <c r="AC629" s="146" t="s">
        <v>204</v>
      </c>
      <c r="AD629" s="92"/>
      <c r="AE629" s="146" t="s">
        <v>204</v>
      </c>
      <c r="AF629" s="187" t="str">
        <f t="shared" si="39"/>
        <v>C</v>
      </c>
      <c r="AG629" s="54" t="str">
        <f t="shared" si="41"/>
        <v>UTILIZOU O PDA CORRETAMENTE</v>
      </c>
      <c r="AH629" s="146" t="s">
        <v>204</v>
      </c>
      <c r="AI629" s="210" t="s">
        <v>6</v>
      </c>
      <c r="AJ629" s="97" t="str">
        <f t="shared" si="40"/>
        <v>GUARULHOS</v>
      </c>
      <c r="AK629" s="213" t="s">
        <v>39</v>
      </c>
      <c r="AL629" s="53">
        <v>-0.12559999999999999</v>
      </c>
      <c r="AM629" s="53" t="str" cm="1">
        <f t="array" ref="AM629">IF(OR(O629&lt;&gt;"", SUMPRODUCT(($AN$2:$AN$5000=AN629)*($AL$2:$AL$5000&lt;=AL629)) &lt;= (COUNTIF($AN$2:$AN$5000,AN629)*0.5)), "SORTEADO", "-")</f>
        <v>SORTEADO</v>
      </c>
      <c r="AN629" s="231" t="s">
        <v>1706</v>
      </c>
    </row>
    <row r="630" spans="1:40" ht="30" customHeight="1" x14ac:dyDescent="0.2">
      <c r="A630" s="231" t="s">
        <v>197</v>
      </c>
      <c r="B630" s="231">
        <v>2616384514</v>
      </c>
      <c r="C630" s="231" t="s">
        <v>83</v>
      </c>
      <c r="D630" s="231" t="s">
        <v>76</v>
      </c>
      <c r="E630" s="231" t="s">
        <v>198</v>
      </c>
      <c r="F630" s="231" t="s">
        <v>1722</v>
      </c>
      <c r="G630" s="231">
        <v>53</v>
      </c>
      <c r="H630" s="231" t="s">
        <v>457</v>
      </c>
      <c r="I630" s="231" t="s">
        <v>622</v>
      </c>
      <c r="J630" s="231" t="s">
        <v>219</v>
      </c>
      <c r="K630" s="231" t="s">
        <v>1730</v>
      </c>
      <c r="L630" s="231" t="s">
        <v>1706</v>
      </c>
      <c r="M630" s="231" t="s">
        <v>1732</v>
      </c>
      <c r="N630" s="231" t="s">
        <v>215</v>
      </c>
      <c r="O630" s="158" t="s">
        <v>204</v>
      </c>
      <c r="P630" s="92"/>
      <c r="Q630" s="146" t="s">
        <v>204</v>
      </c>
      <c r="R630" s="92"/>
      <c r="S630" s="146" t="s">
        <v>204</v>
      </c>
      <c r="T630" s="92"/>
      <c r="U630" s="146" t="s">
        <v>204</v>
      </c>
      <c r="V630" s="92"/>
      <c r="W630" s="146" t="s">
        <v>204</v>
      </c>
      <c r="X630" s="92"/>
      <c r="Y630" s="146" t="s">
        <v>204</v>
      </c>
      <c r="Z630" s="92"/>
      <c r="AA630" s="146" t="s">
        <v>204</v>
      </c>
      <c r="AB630" s="92"/>
      <c r="AC630" s="146" t="s">
        <v>204</v>
      </c>
      <c r="AD630" s="92"/>
      <c r="AE630" s="146" t="s">
        <v>204</v>
      </c>
      <c r="AF630" s="187" t="str">
        <f t="shared" si="39"/>
        <v>C</v>
      </c>
      <c r="AG630" s="54" t="str">
        <f t="shared" si="41"/>
        <v>UTILIZOU O PDA CORRETAMENTE</v>
      </c>
      <c r="AH630" s="146" t="s">
        <v>204</v>
      </c>
      <c r="AI630" s="210" t="s">
        <v>6</v>
      </c>
      <c r="AJ630" s="97" t="str">
        <f t="shared" si="40"/>
        <v>GUARULHOS</v>
      </c>
      <c r="AK630" s="213" t="s">
        <v>39</v>
      </c>
      <c r="AL630" s="53">
        <v>-0.1258</v>
      </c>
      <c r="AM630" s="53" t="str" cm="1">
        <f t="array" ref="AM630">IF(OR(O630&lt;&gt;"", SUMPRODUCT(($AN$2:$AN$5000=AN630)*($AL$2:$AL$5000&lt;=AL630)) &lt;= (COUNTIF($AN$2:$AN$5000,AN630)*0.5)), "SORTEADO", "-")</f>
        <v>SORTEADO</v>
      </c>
      <c r="AN630" s="231" t="s">
        <v>1706</v>
      </c>
    </row>
    <row r="631" spans="1:40" ht="30" customHeight="1" x14ac:dyDescent="0.2">
      <c r="A631" s="231" t="s">
        <v>197</v>
      </c>
      <c r="B631" s="231">
        <v>2616381468</v>
      </c>
      <c r="C631" s="231" t="s">
        <v>83</v>
      </c>
      <c r="D631" s="231" t="s">
        <v>76</v>
      </c>
      <c r="E631" s="231" t="s">
        <v>198</v>
      </c>
      <c r="F631" s="231" t="s">
        <v>1722</v>
      </c>
      <c r="G631" s="231">
        <v>53</v>
      </c>
      <c r="H631" s="231" t="s">
        <v>459</v>
      </c>
      <c r="I631" s="231" t="s">
        <v>622</v>
      </c>
      <c r="J631" s="231" t="s">
        <v>219</v>
      </c>
      <c r="K631" s="231" t="s">
        <v>1730</v>
      </c>
      <c r="L631" s="231" t="s">
        <v>1706</v>
      </c>
      <c r="M631" s="231" t="s">
        <v>1733</v>
      </c>
      <c r="N631" s="231" t="s">
        <v>215</v>
      </c>
      <c r="O631" s="158" t="s">
        <v>204</v>
      </c>
      <c r="P631" s="92"/>
      <c r="Q631" s="146" t="s">
        <v>204</v>
      </c>
      <c r="R631" s="92"/>
      <c r="S631" s="146" t="s">
        <v>204</v>
      </c>
      <c r="T631" s="92"/>
      <c r="U631" s="146" t="s">
        <v>204</v>
      </c>
      <c r="V631" s="92"/>
      <c r="W631" s="146" t="s">
        <v>204</v>
      </c>
      <c r="X631" s="92"/>
      <c r="Y631" s="146" t="s">
        <v>204</v>
      </c>
      <c r="Z631" s="92"/>
      <c r="AA631" s="146" t="s">
        <v>204</v>
      </c>
      <c r="AB631" s="92"/>
      <c r="AC631" s="146" t="s">
        <v>204</v>
      </c>
      <c r="AD631" s="92"/>
      <c r="AE631" s="146" t="s">
        <v>204</v>
      </c>
      <c r="AF631" s="187" t="str">
        <f t="shared" si="39"/>
        <v>C</v>
      </c>
      <c r="AG631" s="54" t="str">
        <f t="shared" ref="AG631:AG662" si="42">IF(AND(AE631="C",AF631="C"),"UTILIZOU O PDA CORRETAMENTE",IF(AND(AE631="C",AF631="NC"),"UTILIZOU O PDA CORRETAMENTE. NÃO HÁ FOTOS DE TODAS AS ETAPAS",IF(AND(AE631="NC",AF631="NC"),"NÃO UTILIZOU O PDA",IF(AND(AE631="NA",AF631="NA"),"NÃO AVALIADO POR FALHA DE SINCRONISMO"))))</f>
        <v>UTILIZOU O PDA CORRETAMENTE</v>
      </c>
      <c r="AH631" s="146" t="s">
        <v>204</v>
      </c>
      <c r="AI631" s="210" t="s">
        <v>6</v>
      </c>
      <c r="AJ631" s="97" t="str">
        <f t="shared" si="40"/>
        <v>GUARULHOS</v>
      </c>
      <c r="AK631" s="213" t="s">
        <v>39</v>
      </c>
      <c r="AL631" s="53">
        <v>-0.126</v>
      </c>
      <c r="AM631" s="53" t="str" cm="1">
        <f t="array" ref="AM631">IF(OR(O631&lt;&gt;"", SUMPRODUCT(($AN$2:$AN$5000=AN631)*($AL$2:$AL$5000&lt;=AL631)) &lt;= (COUNTIF($AN$2:$AN$5000,AN631)*0.5)), "SORTEADO", "-")</f>
        <v>SORTEADO</v>
      </c>
      <c r="AN631" s="231" t="s">
        <v>1706</v>
      </c>
    </row>
    <row r="632" spans="1:40" ht="30" customHeight="1" x14ac:dyDescent="0.2">
      <c r="A632" s="231" t="s">
        <v>197</v>
      </c>
      <c r="B632" s="231">
        <v>2616378024</v>
      </c>
      <c r="C632" s="231" t="s">
        <v>83</v>
      </c>
      <c r="D632" s="231" t="s">
        <v>76</v>
      </c>
      <c r="E632" s="231" t="s">
        <v>198</v>
      </c>
      <c r="F632" s="231" t="s">
        <v>1722</v>
      </c>
      <c r="G632" s="231">
        <v>53</v>
      </c>
      <c r="H632" s="231" t="s">
        <v>460</v>
      </c>
      <c r="I632" s="231" t="s">
        <v>622</v>
      </c>
      <c r="J632" s="231" t="s">
        <v>219</v>
      </c>
      <c r="K632" s="231" t="s">
        <v>1730</v>
      </c>
      <c r="L632" s="231" t="s">
        <v>1706</v>
      </c>
      <c r="M632" s="231" t="s">
        <v>1734</v>
      </c>
      <c r="N632" s="231" t="s">
        <v>215</v>
      </c>
      <c r="O632" s="158" t="s">
        <v>204</v>
      </c>
      <c r="P632" s="92"/>
      <c r="Q632" s="146" t="s">
        <v>204</v>
      </c>
      <c r="R632" s="92"/>
      <c r="S632" s="146" t="s">
        <v>204</v>
      </c>
      <c r="T632" s="92"/>
      <c r="U632" s="146" t="s">
        <v>204</v>
      </c>
      <c r="V632" s="92"/>
      <c r="W632" s="146" t="s">
        <v>204</v>
      </c>
      <c r="X632" s="92"/>
      <c r="Y632" s="146" t="s">
        <v>204</v>
      </c>
      <c r="Z632" s="92"/>
      <c r="AA632" s="146" t="s">
        <v>204</v>
      </c>
      <c r="AB632" s="92"/>
      <c r="AC632" s="146" t="s">
        <v>204</v>
      </c>
      <c r="AD632" s="92"/>
      <c r="AE632" s="146" t="s">
        <v>204</v>
      </c>
      <c r="AF632" s="187" t="str">
        <f t="shared" si="39"/>
        <v>C</v>
      </c>
      <c r="AG632" s="54" t="str">
        <f t="shared" si="42"/>
        <v>UTILIZOU O PDA CORRETAMENTE</v>
      </c>
      <c r="AH632" s="146" t="s">
        <v>204</v>
      </c>
      <c r="AI632" s="210" t="s">
        <v>6</v>
      </c>
      <c r="AJ632" s="97" t="str">
        <f t="shared" si="40"/>
        <v>GUARULHOS</v>
      </c>
      <c r="AK632" s="213" t="s">
        <v>39</v>
      </c>
      <c r="AL632" s="53">
        <v>-0.12620000000000001</v>
      </c>
      <c r="AM632" s="53" t="str" cm="1">
        <f t="array" ref="AM632">IF(OR(O632&lt;&gt;"", SUMPRODUCT(($AN$2:$AN$5000=AN632)*($AL$2:$AL$5000&lt;=AL632)) &lt;= (COUNTIF($AN$2:$AN$5000,AN632)*0.5)), "SORTEADO", "-")</f>
        <v>SORTEADO</v>
      </c>
      <c r="AN632" s="231" t="s">
        <v>1706</v>
      </c>
    </row>
    <row r="633" spans="1:40" ht="30" customHeight="1" x14ac:dyDescent="0.2">
      <c r="A633" s="231" t="s">
        <v>197</v>
      </c>
      <c r="B633" s="231">
        <v>2616376340</v>
      </c>
      <c r="C633" s="231" t="s">
        <v>83</v>
      </c>
      <c r="D633" s="231" t="s">
        <v>76</v>
      </c>
      <c r="E633" s="231" t="s">
        <v>198</v>
      </c>
      <c r="F633" s="231" t="s">
        <v>1722</v>
      </c>
      <c r="G633" s="231">
        <v>53</v>
      </c>
      <c r="H633" s="231" t="s">
        <v>461</v>
      </c>
      <c r="I633" s="231" t="s">
        <v>622</v>
      </c>
      <c r="J633" s="231" t="s">
        <v>219</v>
      </c>
      <c r="K633" s="231" t="s">
        <v>1730</v>
      </c>
      <c r="L633" s="231" t="s">
        <v>1706</v>
      </c>
      <c r="M633" s="231" t="s">
        <v>1735</v>
      </c>
      <c r="N633" s="231" t="s">
        <v>215</v>
      </c>
      <c r="O633" s="158" t="s">
        <v>204</v>
      </c>
      <c r="P633" s="92"/>
      <c r="Q633" s="146" t="s">
        <v>204</v>
      </c>
      <c r="R633" s="92"/>
      <c r="S633" s="146" t="s">
        <v>204</v>
      </c>
      <c r="T633" s="92"/>
      <c r="U633" s="146" t="s">
        <v>204</v>
      </c>
      <c r="V633" s="92"/>
      <c r="W633" s="146" t="s">
        <v>204</v>
      </c>
      <c r="X633" s="92"/>
      <c r="Y633" s="146" t="s">
        <v>204</v>
      </c>
      <c r="Z633" s="92"/>
      <c r="AA633" s="146" t="s">
        <v>204</v>
      </c>
      <c r="AB633" s="92"/>
      <c r="AC633" s="146" t="s">
        <v>204</v>
      </c>
      <c r="AD633" s="92"/>
      <c r="AE633" s="146" t="s">
        <v>204</v>
      </c>
      <c r="AF633" s="187" t="str">
        <f t="shared" si="39"/>
        <v>C</v>
      </c>
      <c r="AG633" s="54" t="str">
        <f t="shared" si="42"/>
        <v>UTILIZOU O PDA CORRETAMENTE</v>
      </c>
      <c r="AH633" s="146" t="s">
        <v>204</v>
      </c>
      <c r="AI633" s="210" t="s">
        <v>6</v>
      </c>
      <c r="AJ633" s="97" t="str">
        <f t="shared" si="40"/>
        <v>GUARULHOS</v>
      </c>
      <c r="AK633" s="213" t="s">
        <v>39</v>
      </c>
      <c r="AL633" s="53">
        <v>-0.12640000000000001</v>
      </c>
      <c r="AM633" s="53" t="str" cm="1">
        <f t="array" ref="AM633">IF(OR(O633&lt;&gt;"", SUMPRODUCT(($AN$2:$AN$5000=AN633)*($AL$2:$AL$5000&lt;=AL633)) &lt;= (COUNTIF($AN$2:$AN$5000,AN633)*0.5)), "SORTEADO", "-")</f>
        <v>SORTEADO</v>
      </c>
      <c r="AN633" s="231" t="s">
        <v>1706</v>
      </c>
    </row>
    <row r="634" spans="1:40" ht="30" customHeight="1" x14ac:dyDescent="0.2">
      <c r="A634" s="231" t="s">
        <v>197</v>
      </c>
      <c r="B634" s="231">
        <v>2616375858</v>
      </c>
      <c r="C634" s="231" t="s">
        <v>83</v>
      </c>
      <c r="D634" s="231" t="s">
        <v>76</v>
      </c>
      <c r="E634" s="231" t="s">
        <v>198</v>
      </c>
      <c r="F634" s="231" t="s">
        <v>1722</v>
      </c>
      <c r="G634" s="231">
        <v>53</v>
      </c>
      <c r="H634" s="231" t="s">
        <v>217</v>
      </c>
      <c r="I634" s="231" t="s">
        <v>622</v>
      </c>
      <c r="J634" s="231" t="s">
        <v>219</v>
      </c>
      <c r="K634" s="231" t="s">
        <v>213</v>
      </c>
      <c r="L634" s="231" t="s">
        <v>1706</v>
      </c>
      <c r="M634" s="231" t="s">
        <v>1736</v>
      </c>
      <c r="N634" s="231" t="s">
        <v>215</v>
      </c>
      <c r="O634" s="158" t="s">
        <v>204</v>
      </c>
      <c r="P634" s="92"/>
      <c r="Q634" s="146" t="s">
        <v>204</v>
      </c>
      <c r="R634" s="92"/>
      <c r="S634" s="146" t="s">
        <v>204</v>
      </c>
      <c r="T634" s="92"/>
      <c r="U634" s="146" t="s">
        <v>204</v>
      </c>
      <c r="V634" s="92"/>
      <c r="W634" s="146" t="s">
        <v>204</v>
      </c>
      <c r="X634" s="92"/>
      <c r="Y634" s="146" t="s">
        <v>204</v>
      </c>
      <c r="Z634" s="92"/>
      <c r="AA634" s="146" t="s">
        <v>204</v>
      </c>
      <c r="AB634" s="92"/>
      <c r="AC634" s="146" t="s">
        <v>204</v>
      </c>
      <c r="AD634" s="92"/>
      <c r="AE634" s="146" t="s">
        <v>204</v>
      </c>
      <c r="AF634" s="187" t="str">
        <f t="shared" si="39"/>
        <v>C</v>
      </c>
      <c r="AG634" s="54" t="str">
        <f t="shared" si="42"/>
        <v>UTILIZOU O PDA CORRETAMENTE</v>
      </c>
      <c r="AH634" s="146" t="s">
        <v>204</v>
      </c>
      <c r="AI634" s="210" t="s">
        <v>6</v>
      </c>
      <c r="AJ634" s="97" t="str">
        <f t="shared" si="40"/>
        <v>GUARULHOS</v>
      </c>
      <c r="AK634" s="213" t="s">
        <v>39</v>
      </c>
      <c r="AL634" s="53">
        <v>-0.12659999999999999</v>
      </c>
      <c r="AM634" s="53" t="str" cm="1">
        <f t="array" ref="AM634">IF(OR(O634&lt;&gt;"", SUMPRODUCT(($AN$2:$AN$5000=AN634)*($AL$2:$AL$5000&lt;=AL634)) &lt;= (COUNTIF($AN$2:$AN$5000,AN634)*0.5)), "SORTEADO", "-")</f>
        <v>SORTEADO</v>
      </c>
      <c r="AN634" s="231" t="s">
        <v>1706</v>
      </c>
    </row>
    <row r="635" spans="1:40" ht="30" hidden="1" customHeight="1" x14ac:dyDescent="0.2">
      <c r="A635" s="231" t="s">
        <v>197</v>
      </c>
      <c r="B635" s="231">
        <v>2616238596</v>
      </c>
      <c r="C635" s="231" t="s">
        <v>91</v>
      </c>
      <c r="D635" s="231" t="s">
        <v>76</v>
      </c>
      <c r="E635" s="231" t="s">
        <v>198</v>
      </c>
      <c r="F635" s="231" t="s">
        <v>1737</v>
      </c>
      <c r="G635" s="231">
        <v>20</v>
      </c>
      <c r="H635" s="231" t="s">
        <v>1738</v>
      </c>
      <c r="I635" s="231" t="s">
        <v>394</v>
      </c>
      <c r="J635" s="231" t="s">
        <v>448</v>
      </c>
      <c r="K635" s="231"/>
      <c r="L635" s="231" t="s">
        <v>1706</v>
      </c>
      <c r="M635" s="231" t="s">
        <v>1739</v>
      </c>
      <c r="N635" s="231" t="s">
        <v>408</v>
      </c>
      <c r="O635" s="158"/>
      <c r="P635" s="92"/>
      <c r="Q635" s="146"/>
      <c r="R635" s="92"/>
      <c r="S635" s="146"/>
      <c r="T635" s="92"/>
      <c r="U635" s="146"/>
      <c r="V635" s="92"/>
      <c r="W635" s="146"/>
      <c r="X635" s="92"/>
      <c r="Y635" s="146"/>
      <c r="Z635" s="92"/>
      <c r="AA635" s="146"/>
      <c r="AB635" s="92"/>
      <c r="AC635" s="146"/>
      <c r="AD635" s="92"/>
      <c r="AE635" s="146"/>
      <c r="AF635" s="187" t="str">
        <f t="shared" si="39"/>
        <v/>
      </c>
      <c r="AG635" s="54" t="b">
        <f t="shared" si="42"/>
        <v>0</v>
      </c>
      <c r="AH635" s="146"/>
      <c r="AI635" s="210" t="s">
        <v>6</v>
      </c>
      <c r="AJ635" s="97" t="str">
        <f t="shared" si="40"/>
        <v>GUARULHOS</v>
      </c>
      <c r="AK635" s="213" t="s">
        <v>39</v>
      </c>
      <c r="AL635" s="53">
        <v>0.54273222129025811</v>
      </c>
      <c r="AM635" s="53" t="str" cm="1">
        <f t="array" ref="AM635">IF(OR(O635&lt;&gt;"", SUMPRODUCT(($AN$2:$AN$5000=AN635)*($AL$2:$AL$5000&lt;=AL635)) &lt;= (COUNTIF($AN$2:$AN$5000,AN635)*0.5)), "SORTEADO", "-")</f>
        <v>-</v>
      </c>
      <c r="AN635" s="231" t="s">
        <v>1706</v>
      </c>
    </row>
    <row r="636" spans="1:40" ht="30" customHeight="1" x14ac:dyDescent="0.2">
      <c r="A636" s="231" t="s">
        <v>197</v>
      </c>
      <c r="B636" s="231">
        <v>2616241373</v>
      </c>
      <c r="C636" s="231" t="s">
        <v>96</v>
      </c>
      <c r="D636" s="231" t="s">
        <v>76</v>
      </c>
      <c r="E636" s="231" t="s">
        <v>198</v>
      </c>
      <c r="F636" s="231" t="s">
        <v>1496</v>
      </c>
      <c r="G636" s="231">
        <v>310</v>
      </c>
      <c r="H636" s="231" t="s">
        <v>1740</v>
      </c>
      <c r="I636" s="231" t="s">
        <v>732</v>
      </c>
      <c r="J636" s="231" t="s">
        <v>96</v>
      </c>
      <c r="K636" s="231" t="s">
        <v>1741</v>
      </c>
      <c r="L636" s="231" t="s">
        <v>1706</v>
      </c>
      <c r="M636" s="231" t="s">
        <v>1742</v>
      </c>
      <c r="N636" s="231" t="s">
        <v>408</v>
      </c>
      <c r="O636" s="158" t="s">
        <v>204</v>
      </c>
      <c r="P636" s="92"/>
      <c r="Q636" s="146" t="s">
        <v>204</v>
      </c>
      <c r="R636" s="92"/>
      <c r="S636" s="146" t="s">
        <v>204</v>
      </c>
      <c r="T636" s="92"/>
      <c r="U636" s="146" t="s">
        <v>204</v>
      </c>
      <c r="V636" s="92"/>
      <c r="W636" s="146" t="s">
        <v>204</v>
      </c>
      <c r="X636" s="92"/>
      <c r="Y636" s="146" t="s">
        <v>204</v>
      </c>
      <c r="Z636" s="92"/>
      <c r="AA636" s="146" t="s">
        <v>204</v>
      </c>
      <c r="AB636" s="92"/>
      <c r="AC636" s="146" t="s">
        <v>204</v>
      </c>
      <c r="AD636" s="92"/>
      <c r="AE636" s="146" t="s">
        <v>204</v>
      </c>
      <c r="AF636" s="187" t="str">
        <f t="shared" si="39"/>
        <v>C</v>
      </c>
      <c r="AG636" s="54" t="str">
        <f t="shared" si="42"/>
        <v>UTILIZOU O PDA CORRETAMENTE</v>
      </c>
      <c r="AH636" s="146"/>
      <c r="AI636" s="210" t="s">
        <v>6</v>
      </c>
      <c r="AJ636" s="97" t="str">
        <f t="shared" si="40"/>
        <v>GUARULHOS</v>
      </c>
      <c r="AK636" s="213" t="s">
        <v>39</v>
      </c>
      <c r="AL636" s="53">
        <v>5.1677340631459567E-2</v>
      </c>
      <c r="AM636" s="53" t="str" cm="1">
        <f t="array" ref="AM636">IF(OR(O636&lt;&gt;"", SUMPRODUCT(($AN$2:$AN$5000=AN636)*($AL$2:$AL$5000&lt;=AL636)) &lt;= (COUNTIF($AN$2:$AN$5000,AN636)*0.5)), "SORTEADO", "-")</f>
        <v>SORTEADO</v>
      </c>
      <c r="AN636" s="231" t="s">
        <v>1706</v>
      </c>
    </row>
    <row r="637" spans="1:40" ht="30" hidden="1" customHeight="1" x14ac:dyDescent="0.2">
      <c r="A637" s="231" t="s">
        <v>197</v>
      </c>
      <c r="B637" s="231">
        <v>2616396927</v>
      </c>
      <c r="C637" s="231" t="s">
        <v>229</v>
      </c>
      <c r="D637" s="231" t="s">
        <v>76</v>
      </c>
      <c r="E637" s="231" t="s">
        <v>198</v>
      </c>
      <c r="F637" s="231" t="s">
        <v>1743</v>
      </c>
      <c r="G637" s="231">
        <v>504</v>
      </c>
      <c r="H637" s="231" t="s">
        <v>206</v>
      </c>
      <c r="I637" s="231" t="s">
        <v>1744</v>
      </c>
      <c r="J637" s="231" t="s">
        <v>232</v>
      </c>
      <c r="K637" s="231"/>
      <c r="L637" s="231" t="s">
        <v>1706</v>
      </c>
      <c r="M637" s="231" t="s">
        <v>1745</v>
      </c>
      <c r="N637" s="231" t="s">
        <v>209</v>
      </c>
      <c r="O637" s="158"/>
      <c r="P637" s="92"/>
      <c r="Q637" s="146"/>
      <c r="R637" s="92"/>
      <c r="S637" s="146"/>
      <c r="T637" s="92"/>
      <c r="U637" s="146"/>
      <c r="V637" s="92"/>
      <c r="W637" s="146"/>
      <c r="X637" s="92"/>
      <c r="Y637" s="146"/>
      <c r="Z637" s="92"/>
      <c r="AA637" s="146"/>
      <c r="AB637" s="92"/>
      <c r="AC637" s="146"/>
      <c r="AD637" s="92"/>
      <c r="AE637" s="146"/>
      <c r="AF637" s="187" t="str">
        <f t="shared" si="39"/>
        <v/>
      </c>
      <c r="AG637" s="54" t="b">
        <f t="shared" si="42"/>
        <v>0</v>
      </c>
      <c r="AH637" s="146"/>
      <c r="AI637" s="210" t="s">
        <v>6</v>
      </c>
      <c r="AJ637" s="97" t="str">
        <f t="shared" si="40"/>
        <v>GUARULHOS</v>
      </c>
      <c r="AK637" s="213" t="s">
        <v>39</v>
      </c>
      <c r="AL637" s="53">
        <v>0.61033589847661407</v>
      </c>
      <c r="AM637" s="53" t="str" cm="1">
        <f t="array" ref="AM637">IF(OR(O637&lt;&gt;"", SUMPRODUCT(($AN$2:$AN$5000=AN637)*($AL$2:$AL$5000&lt;=AL637)) &lt;= (COUNTIF($AN$2:$AN$5000,AN637)*0.5)), "SORTEADO", "-")</f>
        <v>-</v>
      </c>
      <c r="AN637" s="231" t="s">
        <v>1706</v>
      </c>
    </row>
    <row r="638" spans="1:40" ht="30" hidden="1" customHeight="1" x14ac:dyDescent="0.2">
      <c r="A638" s="231" t="s">
        <v>197</v>
      </c>
      <c r="B638" s="231">
        <v>2616396932</v>
      </c>
      <c r="C638" s="231" t="s">
        <v>229</v>
      </c>
      <c r="D638" s="231" t="s">
        <v>76</v>
      </c>
      <c r="E638" s="231" t="s">
        <v>198</v>
      </c>
      <c r="F638" s="231" t="s">
        <v>1743</v>
      </c>
      <c r="G638" s="231">
        <v>504</v>
      </c>
      <c r="H638" s="231" t="s">
        <v>211</v>
      </c>
      <c r="I638" s="231" t="s">
        <v>1744</v>
      </c>
      <c r="J638" s="231" t="s">
        <v>232</v>
      </c>
      <c r="K638" s="231">
        <v>2616396927</v>
      </c>
      <c r="L638" s="231" t="s">
        <v>1706</v>
      </c>
      <c r="M638" s="231" t="s">
        <v>1746</v>
      </c>
      <c r="N638" s="231" t="s">
        <v>209</v>
      </c>
      <c r="O638" s="158"/>
      <c r="P638" s="92"/>
      <c r="Q638" s="146"/>
      <c r="R638" s="92"/>
      <c r="S638" s="146"/>
      <c r="T638" s="92"/>
      <c r="U638" s="146"/>
      <c r="V638" s="92"/>
      <c r="W638" s="146"/>
      <c r="X638" s="92"/>
      <c r="Y638" s="146"/>
      <c r="Z638" s="92"/>
      <c r="AA638" s="146"/>
      <c r="AB638" s="92"/>
      <c r="AC638" s="146"/>
      <c r="AD638" s="92"/>
      <c r="AE638" s="146"/>
      <c r="AF638" s="187" t="str">
        <f t="shared" si="39"/>
        <v/>
      </c>
      <c r="AG638" s="54" t="b">
        <f t="shared" si="42"/>
        <v>0</v>
      </c>
      <c r="AH638" s="146"/>
      <c r="AI638" s="210" t="s">
        <v>6</v>
      </c>
      <c r="AJ638" s="97" t="str">
        <f t="shared" si="40"/>
        <v>GUARULHOS</v>
      </c>
      <c r="AK638" s="213" t="s">
        <v>39</v>
      </c>
      <c r="AL638" s="53">
        <v>0.40523781197384467</v>
      </c>
      <c r="AM638" s="53" t="str" cm="1">
        <f t="array" ref="AM638">IF(OR(O638&lt;&gt;"", SUMPRODUCT(($AN$2:$AN$5000=AN638)*($AL$2:$AL$5000&lt;=AL638)) &lt;= (COUNTIF($AN$2:$AN$5000,AN638)*0.5)), "SORTEADO", "-")</f>
        <v>-</v>
      </c>
      <c r="AN638" s="231" t="s">
        <v>1706</v>
      </c>
    </row>
    <row r="639" spans="1:40" ht="30" hidden="1" customHeight="1" x14ac:dyDescent="0.2">
      <c r="A639" s="231" t="s">
        <v>197</v>
      </c>
      <c r="B639" s="231">
        <v>2616241316</v>
      </c>
      <c r="C639" s="231" t="s">
        <v>94</v>
      </c>
      <c r="D639" s="231" t="s">
        <v>76</v>
      </c>
      <c r="E639" s="231" t="s">
        <v>198</v>
      </c>
      <c r="F639" s="231" t="s">
        <v>1496</v>
      </c>
      <c r="G639" s="231">
        <v>310</v>
      </c>
      <c r="H639" s="231" t="s">
        <v>1747</v>
      </c>
      <c r="I639" s="231" t="s">
        <v>732</v>
      </c>
      <c r="J639" s="231" t="s">
        <v>94</v>
      </c>
      <c r="K639" s="231"/>
      <c r="L639" s="231" t="s">
        <v>1706</v>
      </c>
      <c r="M639" s="231" t="s">
        <v>1748</v>
      </c>
      <c r="N639" s="231" t="s">
        <v>408</v>
      </c>
      <c r="O639" s="158"/>
      <c r="P639" s="92"/>
      <c r="Q639" s="146"/>
      <c r="R639" s="92"/>
      <c r="S639" s="146"/>
      <c r="T639" s="92"/>
      <c r="U639" s="146"/>
      <c r="V639" s="92"/>
      <c r="W639" s="146"/>
      <c r="X639" s="92"/>
      <c r="Y639" s="146"/>
      <c r="Z639" s="92"/>
      <c r="AA639" s="146"/>
      <c r="AB639" s="92"/>
      <c r="AC639" s="146"/>
      <c r="AD639" s="92"/>
      <c r="AE639" s="146"/>
      <c r="AF639" s="187" t="str">
        <f t="shared" si="39"/>
        <v/>
      </c>
      <c r="AG639" s="54" t="b">
        <f t="shared" si="42"/>
        <v>0</v>
      </c>
      <c r="AH639" s="146"/>
      <c r="AI639" s="210" t="s">
        <v>6</v>
      </c>
      <c r="AJ639" s="97" t="str">
        <f t="shared" si="40"/>
        <v>GUARULHOS</v>
      </c>
      <c r="AK639" s="213" t="s">
        <v>39</v>
      </c>
      <c r="AL639" s="53">
        <v>0.95920905052772176</v>
      </c>
      <c r="AM639" s="53" t="str" cm="1">
        <f t="array" ref="AM639">IF(OR(O639&lt;&gt;"", SUMPRODUCT(($AN$2:$AN$5000=AN639)*($AL$2:$AL$5000&lt;=AL639)) &lt;= (COUNTIF($AN$2:$AN$5000,AN639)*0.5)), "SORTEADO", "-")</f>
        <v>-</v>
      </c>
      <c r="AN639" s="231" t="s">
        <v>1706</v>
      </c>
    </row>
    <row r="640" spans="1:40" ht="30" hidden="1" customHeight="1" x14ac:dyDescent="0.2">
      <c r="A640" s="231" t="s">
        <v>197</v>
      </c>
      <c r="B640" s="231">
        <v>2616631729</v>
      </c>
      <c r="C640" s="231" t="s">
        <v>102</v>
      </c>
      <c r="D640" s="231" t="s">
        <v>80</v>
      </c>
      <c r="E640" s="231" t="s">
        <v>198</v>
      </c>
      <c r="F640" s="231" t="s">
        <v>1096</v>
      </c>
      <c r="G640" s="231">
        <v>97</v>
      </c>
      <c r="H640" s="231" t="s">
        <v>1749</v>
      </c>
      <c r="I640" s="231" t="s">
        <v>1750</v>
      </c>
      <c r="J640" s="231" t="s">
        <v>270</v>
      </c>
      <c r="K640" s="231" t="s">
        <v>213</v>
      </c>
      <c r="L640" s="231" t="s">
        <v>1706</v>
      </c>
      <c r="M640" s="231" t="s">
        <v>1751</v>
      </c>
      <c r="N640" s="231" t="s">
        <v>260</v>
      </c>
      <c r="O640" s="158"/>
      <c r="P640" s="92"/>
      <c r="Q640" s="146"/>
      <c r="R640" s="92"/>
      <c r="S640" s="146"/>
      <c r="T640" s="92"/>
      <c r="U640" s="146"/>
      <c r="V640" s="92"/>
      <c r="W640" s="146"/>
      <c r="X640" s="92"/>
      <c r="Y640" s="146"/>
      <c r="Z640" s="92"/>
      <c r="AA640" s="146"/>
      <c r="AB640" s="92"/>
      <c r="AC640" s="146"/>
      <c r="AD640" s="92"/>
      <c r="AE640" s="146"/>
      <c r="AF640" s="187" t="str">
        <f t="shared" si="39"/>
        <v/>
      </c>
      <c r="AG640" s="54" t="b">
        <f t="shared" si="42"/>
        <v>0</v>
      </c>
      <c r="AH640" s="146"/>
      <c r="AI640" s="210" t="s">
        <v>6</v>
      </c>
      <c r="AJ640" s="97" t="str">
        <f t="shared" si="40"/>
        <v>GUARULHOS</v>
      </c>
      <c r="AK640" s="213" t="s">
        <v>39</v>
      </c>
      <c r="AL640" s="53">
        <v>0.70692533486886178</v>
      </c>
      <c r="AM640" s="53" t="str" cm="1">
        <f t="array" ref="AM640">IF(OR(O640&lt;&gt;"", SUMPRODUCT(($AN$2:$AN$5000=AN640)*($AL$2:$AL$5000&lt;=AL640)) &lt;= (COUNTIF($AN$2:$AN$5000,AN640)*0.5)), "SORTEADO", "-")</f>
        <v>-</v>
      </c>
      <c r="AN640" s="231" t="s">
        <v>1706</v>
      </c>
    </row>
    <row r="641" spans="1:40" ht="30" customHeight="1" x14ac:dyDescent="0.2">
      <c r="A641" s="231" t="s">
        <v>197</v>
      </c>
      <c r="B641" s="231">
        <v>2691125242</v>
      </c>
      <c r="C641" s="231" t="s">
        <v>102</v>
      </c>
      <c r="D641" s="231" t="s">
        <v>80</v>
      </c>
      <c r="E641" s="231" t="s">
        <v>198</v>
      </c>
      <c r="F641" s="231" t="s">
        <v>1752</v>
      </c>
      <c r="G641" s="231">
        <v>560</v>
      </c>
      <c r="H641" s="231"/>
      <c r="I641" s="231" t="s">
        <v>1753</v>
      </c>
      <c r="J641" s="231" t="s">
        <v>259</v>
      </c>
      <c r="K641" s="231" t="s">
        <v>1754</v>
      </c>
      <c r="L641" s="231" t="s">
        <v>1706</v>
      </c>
      <c r="M641" s="231" t="s">
        <v>1755</v>
      </c>
      <c r="N641" s="231" t="s">
        <v>260</v>
      </c>
      <c r="O641" s="158" t="s">
        <v>204</v>
      </c>
      <c r="P641" s="92"/>
      <c r="Q641" s="146" t="s">
        <v>204</v>
      </c>
      <c r="R641" s="92"/>
      <c r="S641" s="146" t="s">
        <v>204</v>
      </c>
      <c r="T641" s="92"/>
      <c r="U641" s="146" t="s">
        <v>204</v>
      </c>
      <c r="V641" s="92"/>
      <c r="W641" s="146" t="s">
        <v>204</v>
      </c>
      <c r="X641" s="92"/>
      <c r="Y641" s="146" t="s">
        <v>61</v>
      </c>
      <c r="Z641" s="92"/>
      <c r="AA641" s="146" t="s">
        <v>204</v>
      </c>
      <c r="AB641" s="92"/>
      <c r="AC641" s="146" t="s">
        <v>204</v>
      </c>
      <c r="AD641" s="92"/>
      <c r="AE641" s="146" t="s">
        <v>204</v>
      </c>
      <c r="AF641" s="187" t="str">
        <f t="shared" si="39"/>
        <v>C</v>
      </c>
      <c r="AG641" s="54" t="str">
        <f t="shared" si="42"/>
        <v>UTILIZOU O PDA CORRETAMENTE</v>
      </c>
      <c r="AH641" s="144" t="s">
        <v>204</v>
      </c>
      <c r="AI641" s="210" t="s">
        <v>6</v>
      </c>
      <c r="AJ641" s="97" t="str">
        <f t="shared" si="40"/>
        <v>GUARULHOS</v>
      </c>
      <c r="AK641" s="213" t="s">
        <v>39</v>
      </c>
      <c r="AL641" s="53">
        <v>0.1255406160865471</v>
      </c>
      <c r="AM641" s="53" t="str" cm="1">
        <f t="array" ref="AM641">IF(OR(O641&lt;&gt;"", SUMPRODUCT(($AN$2:$AN$5000=AN641)*($AL$2:$AL$5000&lt;=AL641)) &lt;= (COUNTIF($AN$2:$AN$5000,AN641)*0.5)), "SORTEADO", "-")</f>
        <v>SORTEADO</v>
      </c>
      <c r="AN641" s="231" t="s">
        <v>1706</v>
      </c>
    </row>
    <row r="642" spans="1:40" ht="30" hidden="1" customHeight="1" x14ac:dyDescent="0.2">
      <c r="A642" s="231" t="s">
        <v>197</v>
      </c>
      <c r="B642" s="231">
        <v>2691118741</v>
      </c>
      <c r="C642" s="231" t="s">
        <v>102</v>
      </c>
      <c r="D642" s="231" t="s">
        <v>80</v>
      </c>
      <c r="E642" s="231" t="s">
        <v>198</v>
      </c>
      <c r="F642" s="231" t="s">
        <v>1496</v>
      </c>
      <c r="G642" s="231">
        <v>43</v>
      </c>
      <c r="H642" s="231" t="s">
        <v>1756</v>
      </c>
      <c r="I642" s="231" t="s">
        <v>732</v>
      </c>
      <c r="J642" s="231" t="s">
        <v>270</v>
      </c>
      <c r="K642" s="231" t="s">
        <v>213</v>
      </c>
      <c r="L642" s="231" t="s">
        <v>1706</v>
      </c>
      <c r="M642" s="231" t="s">
        <v>1757</v>
      </c>
      <c r="N642" s="231" t="s">
        <v>287</v>
      </c>
      <c r="O642" s="158"/>
      <c r="P642" s="92"/>
      <c r="Q642" s="146"/>
      <c r="R642" s="92"/>
      <c r="S642" s="146"/>
      <c r="T642" s="92"/>
      <c r="U642" s="146"/>
      <c r="V642" s="92"/>
      <c r="W642" s="146"/>
      <c r="X642" s="92"/>
      <c r="Y642" s="146"/>
      <c r="Z642" s="92"/>
      <c r="AA642" s="146"/>
      <c r="AB642" s="92"/>
      <c r="AC642" s="146"/>
      <c r="AD642" s="92"/>
      <c r="AE642" s="146"/>
      <c r="AF642" s="187" t="str">
        <f t="shared" si="39"/>
        <v/>
      </c>
      <c r="AG642" s="54" t="b">
        <f t="shared" si="42"/>
        <v>0</v>
      </c>
      <c r="AH642" s="146"/>
      <c r="AI642" s="210" t="s">
        <v>6</v>
      </c>
      <c r="AJ642" s="97" t="str">
        <f t="shared" si="40"/>
        <v>GUARULHOS</v>
      </c>
      <c r="AK642" s="213" t="s">
        <v>39</v>
      </c>
      <c r="AL642" s="53">
        <v>0.7586196296383878</v>
      </c>
      <c r="AM642" s="53" t="str" cm="1">
        <f t="array" ref="AM642">IF(OR(O642&lt;&gt;"", SUMPRODUCT(($AN$2:$AN$5000=AN642)*($AL$2:$AL$5000&lt;=AL642)) &lt;= (COUNTIF($AN$2:$AN$5000,AN642)*0.5)), "SORTEADO", "-")</f>
        <v>-</v>
      </c>
      <c r="AN642" s="231" t="s">
        <v>1706</v>
      </c>
    </row>
    <row r="643" spans="1:40" ht="30" hidden="1" customHeight="1" x14ac:dyDescent="0.2">
      <c r="A643" s="231" t="s">
        <v>197</v>
      </c>
      <c r="B643" s="231">
        <v>2691085796</v>
      </c>
      <c r="C643" s="231" t="s">
        <v>101</v>
      </c>
      <c r="D643" s="231" t="s">
        <v>80</v>
      </c>
      <c r="E643" s="231" t="s">
        <v>198</v>
      </c>
      <c r="F643" s="231" t="s">
        <v>1758</v>
      </c>
      <c r="G643" s="231">
        <v>327</v>
      </c>
      <c r="H643" s="231" t="s">
        <v>1759</v>
      </c>
      <c r="I643" s="231" t="s">
        <v>1760</v>
      </c>
      <c r="J643" s="231" t="s">
        <v>259</v>
      </c>
      <c r="K643" s="231"/>
      <c r="L643" s="231" t="s">
        <v>1706</v>
      </c>
      <c r="M643" s="231" t="s">
        <v>1761</v>
      </c>
      <c r="N643" s="231" t="s">
        <v>237</v>
      </c>
      <c r="O643" s="158"/>
      <c r="P643" s="92"/>
      <c r="Q643" s="146"/>
      <c r="R643" s="92"/>
      <c r="S643" s="146"/>
      <c r="T643" s="92"/>
      <c r="U643" s="146"/>
      <c r="V643" s="92"/>
      <c r="W643" s="146"/>
      <c r="X643" s="92"/>
      <c r="Y643" s="146"/>
      <c r="Z643" s="92"/>
      <c r="AA643" s="146"/>
      <c r="AB643" s="92"/>
      <c r="AC643" s="146"/>
      <c r="AD643" s="92"/>
      <c r="AE643" s="146"/>
      <c r="AF643" s="187" t="str">
        <f t="shared" si="39"/>
        <v/>
      </c>
      <c r="AG643" s="54" t="b">
        <f t="shared" si="42"/>
        <v>0</v>
      </c>
      <c r="AH643" s="146"/>
      <c r="AI643" s="210" t="s">
        <v>6</v>
      </c>
      <c r="AJ643" s="97" t="str">
        <f t="shared" si="40"/>
        <v>GUARULHOS</v>
      </c>
      <c r="AK643" s="213" t="s">
        <v>39</v>
      </c>
      <c r="AL643" s="53">
        <v>0.55479250894371968</v>
      </c>
      <c r="AM643" s="53" t="str" cm="1">
        <f t="array" ref="AM643">IF(OR(O643&lt;&gt;"", SUMPRODUCT(($AN$2:$AN$5000=AN643)*($AL$2:$AL$5000&lt;=AL643)) &lt;= (COUNTIF($AN$2:$AN$5000,AN643)*0.5)), "SORTEADO", "-")</f>
        <v>-</v>
      </c>
      <c r="AN643" s="231" t="s">
        <v>1706</v>
      </c>
    </row>
    <row r="644" spans="1:40" ht="30" customHeight="1" x14ac:dyDescent="0.2">
      <c r="A644" s="231" t="s">
        <v>197</v>
      </c>
      <c r="B644" s="231">
        <v>2616746622</v>
      </c>
      <c r="C644" s="231" t="s">
        <v>100</v>
      </c>
      <c r="D644" s="231" t="s">
        <v>78</v>
      </c>
      <c r="E644" s="231" t="s">
        <v>198</v>
      </c>
      <c r="F644" s="231" t="s">
        <v>230</v>
      </c>
      <c r="G644" s="231">
        <v>125</v>
      </c>
      <c r="H644" s="231" t="s">
        <v>1762</v>
      </c>
      <c r="I644" s="231" t="s">
        <v>231</v>
      </c>
      <c r="J644" s="231" t="s">
        <v>248</v>
      </c>
      <c r="K644" s="231" t="s">
        <v>213</v>
      </c>
      <c r="L644" s="231" t="s">
        <v>1706</v>
      </c>
      <c r="M644" s="231" t="s">
        <v>1763</v>
      </c>
      <c r="N644" s="231" t="s">
        <v>263</v>
      </c>
      <c r="O644" s="157" t="s">
        <v>204</v>
      </c>
      <c r="P644" s="143"/>
      <c r="Q644" s="144" t="s">
        <v>204</v>
      </c>
      <c r="R644" s="143"/>
      <c r="S644" s="144" t="s">
        <v>204</v>
      </c>
      <c r="T644" s="143"/>
      <c r="U644" s="144" t="s">
        <v>204</v>
      </c>
      <c r="V644" s="143"/>
      <c r="W644" s="144" t="s">
        <v>204</v>
      </c>
      <c r="X644" s="143"/>
      <c r="Y644" s="144" t="s">
        <v>204</v>
      </c>
      <c r="Z644" s="143"/>
      <c r="AA644" s="144" t="s">
        <v>204</v>
      </c>
      <c r="AB644" s="143"/>
      <c r="AC644" s="144" t="s">
        <v>204</v>
      </c>
      <c r="AD644" s="56"/>
      <c r="AE644" s="144" t="s">
        <v>204</v>
      </c>
      <c r="AF644" s="187" t="str">
        <f t="shared" si="39"/>
        <v>C</v>
      </c>
      <c r="AG644" s="54" t="str">
        <f t="shared" si="42"/>
        <v>UTILIZOU O PDA CORRETAMENTE</v>
      </c>
      <c r="AH644" s="144" t="s">
        <v>204</v>
      </c>
      <c r="AI644" s="210" t="s">
        <v>6</v>
      </c>
      <c r="AJ644" s="97" t="str">
        <f t="shared" si="40"/>
        <v>GUARULHOS</v>
      </c>
      <c r="AK644" s="213" t="s">
        <v>39</v>
      </c>
      <c r="AL644" s="53">
        <v>0.26786229659367988</v>
      </c>
      <c r="AM644" s="53" t="str" cm="1">
        <f t="array" ref="AM644">IF(OR(O644&lt;&gt;"", SUMPRODUCT(($AN$2:$AN$5000=AN644)*($AL$2:$AL$5000&lt;=AL644)) &lt;= (COUNTIF($AN$2:$AN$5000,AN644)*0.5)), "SORTEADO", "-")</f>
        <v>SORTEADO</v>
      </c>
      <c r="AN644" s="231" t="s">
        <v>1706</v>
      </c>
    </row>
    <row r="645" spans="1:40" ht="30" hidden="1" customHeight="1" x14ac:dyDescent="0.2">
      <c r="A645" s="231" t="s">
        <v>197</v>
      </c>
      <c r="B645" s="231">
        <v>2616746318</v>
      </c>
      <c r="C645" s="231" t="s">
        <v>105</v>
      </c>
      <c r="D645" s="231" t="s">
        <v>80</v>
      </c>
      <c r="E645" s="231" t="s">
        <v>198</v>
      </c>
      <c r="F645" s="231" t="s">
        <v>662</v>
      </c>
      <c r="G645" s="231">
        <v>365</v>
      </c>
      <c r="H645" s="231" t="s">
        <v>1764</v>
      </c>
      <c r="I645" s="231" t="s">
        <v>664</v>
      </c>
      <c r="J645" s="231" t="s">
        <v>226</v>
      </c>
      <c r="K645" s="231" t="s">
        <v>1765</v>
      </c>
      <c r="L645" s="231" t="s">
        <v>1706</v>
      </c>
      <c r="M645" s="231" t="s">
        <v>1766</v>
      </c>
      <c r="N645" s="231" t="s">
        <v>244</v>
      </c>
      <c r="O645" s="158"/>
      <c r="P645" s="92"/>
      <c r="Q645" s="146"/>
      <c r="R645" s="92"/>
      <c r="S645" s="146"/>
      <c r="T645" s="92"/>
      <c r="U645" s="146"/>
      <c r="V645" s="92"/>
      <c r="W645" s="146"/>
      <c r="X645" s="92"/>
      <c r="Y645" s="146"/>
      <c r="Z645" s="92"/>
      <c r="AA645" s="146"/>
      <c r="AB645" s="92"/>
      <c r="AC645" s="146"/>
      <c r="AD645" s="92"/>
      <c r="AE645" s="146"/>
      <c r="AF645" s="187" t="str">
        <f t="shared" si="39"/>
        <v/>
      </c>
      <c r="AG645" s="54" t="b">
        <f t="shared" si="42"/>
        <v>0</v>
      </c>
      <c r="AH645" s="146"/>
      <c r="AI645" s="210" t="s">
        <v>6</v>
      </c>
      <c r="AJ645" s="97" t="str">
        <f t="shared" si="40"/>
        <v>GUARULHOS</v>
      </c>
      <c r="AK645" s="213" t="s">
        <v>39</v>
      </c>
      <c r="AL645" s="53">
        <v>0.75125056268584356</v>
      </c>
      <c r="AM645" s="53" t="str" cm="1">
        <f t="array" ref="AM645">IF(OR(O645&lt;&gt;"", SUMPRODUCT(($AN$2:$AN$5000=AN645)*($AL$2:$AL$5000&lt;=AL645)) &lt;= (COUNTIF($AN$2:$AN$5000,AN645)*0.5)), "SORTEADO", "-")</f>
        <v>-</v>
      </c>
      <c r="AN645" s="231" t="s">
        <v>1706</v>
      </c>
    </row>
    <row r="646" spans="1:40" ht="30" customHeight="1" x14ac:dyDescent="0.2">
      <c r="A646" s="231" t="s">
        <v>197</v>
      </c>
      <c r="B646" s="231">
        <v>2691085714</v>
      </c>
      <c r="C646" s="231" t="s">
        <v>98</v>
      </c>
      <c r="D646" s="231" t="s">
        <v>80</v>
      </c>
      <c r="E646" s="231" t="s">
        <v>198</v>
      </c>
      <c r="F646" s="231" t="s">
        <v>1767</v>
      </c>
      <c r="G646" s="231">
        <v>39</v>
      </c>
      <c r="H646" s="231" t="s">
        <v>206</v>
      </c>
      <c r="I646" s="231" t="s">
        <v>1768</v>
      </c>
      <c r="J646" s="231" t="s">
        <v>297</v>
      </c>
      <c r="K646" s="231" t="s">
        <v>1769</v>
      </c>
      <c r="L646" s="231" t="s">
        <v>1706</v>
      </c>
      <c r="M646" s="231" t="s">
        <v>1770</v>
      </c>
      <c r="N646" s="231" t="s">
        <v>432</v>
      </c>
      <c r="O646" s="157" t="s">
        <v>204</v>
      </c>
      <c r="P646" s="143"/>
      <c r="Q646" s="144" t="s">
        <v>204</v>
      </c>
      <c r="R646" s="143"/>
      <c r="S646" s="144" t="s">
        <v>204</v>
      </c>
      <c r="T646" s="143"/>
      <c r="U646" s="144" t="s">
        <v>204</v>
      </c>
      <c r="V646" s="143"/>
      <c r="W646" s="144" t="s">
        <v>204</v>
      </c>
      <c r="X646" s="143"/>
      <c r="Y646" s="144" t="s">
        <v>204</v>
      </c>
      <c r="Z646" s="143"/>
      <c r="AA646" s="144" t="s">
        <v>204</v>
      </c>
      <c r="AB646" s="143"/>
      <c r="AC646" s="144" t="s">
        <v>204</v>
      </c>
      <c r="AD646" s="56"/>
      <c r="AE646" s="144" t="s">
        <v>204</v>
      </c>
      <c r="AF646" s="187" t="str">
        <f t="shared" si="39"/>
        <v>C</v>
      </c>
      <c r="AG646" s="54" t="str">
        <f t="shared" si="42"/>
        <v>UTILIZOU O PDA CORRETAMENTE</v>
      </c>
      <c r="AH646" s="144" t="s">
        <v>204</v>
      </c>
      <c r="AI646" s="210" t="s">
        <v>6</v>
      </c>
      <c r="AJ646" s="97" t="str">
        <f t="shared" si="40"/>
        <v>GUARULHOS</v>
      </c>
      <c r="AK646" s="213" t="s">
        <v>39</v>
      </c>
      <c r="AL646" s="53">
        <v>6.8305493793104133E-2</v>
      </c>
      <c r="AM646" s="53" t="str" cm="1">
        <f t="array" ref="AM646">IF(OR(O646&lt;&gt;"", SUMPRODUCT(($AN$2:$AN$5000=AN646)*($AL$2:$AL$5000&lt;=AL646)) &lt;= (COUNTIF($AN$2:$AN$5000,AN646)*0.5)), "SORTEADO", "-")</f>
        <v>SORTEADO</v>
      </c>
      <c r="AN646" s="231" t="s">
        <v>1706</v>
      </c>
    </row>
    <row r="647" spans="1:40" ht="30" hidden="1" customHeight="1" x14ac:dyDescent="0.2">
      <c r="A647" s="231" t="s">
        <v>197</v>
      </c>
      <c r="B647" s="231">
        <v>2691135564</v>
      </c>
      <c r="C647" s="231" t="s">
        <v>102</v>
      </c>
      <c r="D647" s="231" t="s">
        <v>80</v>
      </c>
      <c r="E647" s="231" t="s">
        <v>198</v>
      </c>
      <c r="F647" s="231" t="s">
        <v>1517</v>
      </c>
      <c r="G647" s="231">
        <v>231</v>
      </c>
      <c r="H647" s="231"/>
      <c r="I647" s="231" t="s">
        <v>893</v>
      </c>
      <c r="J647" s="231" t="s">
        <v>270</v>
      </c>
      <c r="K647" s="231"/>
      <c r="L647" s="231" t="s">
        <v>1706</v>
      </c>
      <c r="M647" s="231" t="s">
        <v>1771</v>
      </c>
      <c r="N647" s="231" t="s">
        <v>287</v>
      </c>
      <c r="O647" s="158"/>
      <c r="P647" s="92"/>
      <c r="Q647" s="146"/>
      <c r="R647" s="92"/>
      <c r="S647" s="146"/>
      <c r="T647" s="92"/>
      <c r="U647" s="146"/>
      <c r="V647" s="92"/>
      <c r="W647" s="146"/>
      <c r="X647" s="92"/>
      <c r="Y647" s="146"/>
      <c r="Z647" s="92"/>
      <c r="AA647" s="146"/>
      <c r="AB647" s="92"/>
      <c r="AC647" s="146"/>
      <c r="AD647" s="92"/>
      <c r="AE647" s="146"/>
      <c r="AF647" s="187" t="str">
        <f t="shared" ref="AF647:AF710" si="43">IF(AND(O647="",Q647="",S647="",U647="",W647="",Y647="",AA647="",AC647=""),"",IF(OR(AND(O647&lt;&gt;"NA",O647&lt;&gt;"C",O647&lt;&gt;"NC",O647&lt;&gt;"SF",O647&lt;&gt;""),AND(Q647&lt;&gt;"NA",Q647&lt;&gt;"C",Q647&lt;&gt;"NC",Q647&lt;&gt;"SF",Q647&lt;&gt;""),AND(S647&lt;&gt;"NA",S647&lt;&gt;"C",S647&lt;&gt;"NC",S647&lt;&gt;"SF",S647&lt;&gt;""),AND(U647&lt;&gt;"NA",U647&lt;&gt;"C",U647&lt;&gt;"NC",U647&lt;&gt;"SF",U647&lt;&gt;""),AND(W647&lt;&gt;"NA",W647&lt;&gt;"C",W647&lt;&gt;"NC",W647&lt;&gt;"SF",W647&lt;&gt;""),AND(Y647&lt;&gt;"NA",Y647&lt;&gt;"C",Y647&lt;&gt;"NC",Y647&lt;&gt;"SF",Y647&lt;&gt;""),AND(AA647&lt;&gt;"NA",AA647&lt;&gt;"C",AA647&lt;&gt;"NC",AA647&lt;&gt;"SF",AA647&lt;&gt;""),AND(AC647&lt;&gt;"NA",AC647&lt;&gt;"C",AC647&lt;&gt;"NC",AC647&lt;&gt;"SF",AC647&lt;&gt;"")),"FALSO",IF(AND(O647="NA",Q647="NA",S647="NA",U647="NA",W647="NA",Y647="NA",AA647="NA",AC647="NA"),"NA",IF(OR(O647="NC",Q647="NC",S647="NC",U647="NC",W647="NC",Y647="NC",AA647="NC",AC647="NC",O647="SF",Q647="SF",S647="SF",U647="SF",W647="SF",Y647="SF",AA647="SF",AC647="SF"),"NC",IF(OR(O647="C",Q647="C",S647="C",U647="C",W647="C",Y647="C",AA647="C",AC647="C"),"C","")))))</f>
        <v/>
      </c>
      <c r="AG647" s="54" t="b">
        <f t="shared" si="42"/>
        <v>0</v>
      </c>
      <c r="AH647" s="146"/>
      <c r="AI647" s="210" t="s">
        <v>6</v>
      </c>
      <c r="AJ647" s="97" t="str">
        <f t="shared" ref="AJ647:AJ710" si="44">E647</f>
        <v>GUARULHOS</v>
      </c>
      <c r="AK647" s="213" t="s">
        <v>39</v>
      </c>
      <c r="AL647" s="53">
        <v>0.67788627387324574</v>
      </c>
      <c r="AM647" s="53" t="str" cm="1">
        <f t="array" ref="AM647">IF(OR(O647&lt;&gt;"", SUMPRODUCT(($AN$2:$AN$5000=AN647)*($AL$2:$AL$5000&lt;=AL647)) &lt;= (COUNTIF($AN$2:$AN$5000,AN647)*0.5)), "SORTEADO", "-")</f>
        <v>-</v>
      </c>
      <c r="AN647" s="231" t="s">
        <v>1706</v>
      </c>
    </row>
    <row r="648" spans="1:40" ht="30" hidden="1" customHeight="1" x14ac:dyDescent="0.2">
      <c r="A648" s="231" t="s">
        <v>197</v>
      </c>
      <c r="B648" s="231">
        <v>2616615745</v>
      </c>
      <c r="C648" s="231" t="s">
        <v>99</v>
      </c>
      <c r="D648" s="231" t="s">
        <v>80</v>
      </c>
      <c r="E648" s="231" t="s">
        <v>198</v>
      </c>
      <c r="F648" s="231" t="s">
        <v>1772</v>
      </c>
      <c r="G648" s="231">
        <v>130</v>
      </c>
      <c r="H648" s="231" t="s">
        <v>213</v>
      </c>
      <c r="I648" s="231" t="s">
        <v>281</v>
      </c>
      <c r="J648" s="231" t="s">
        <v>305</v>
      </c>
      <c r="K648" s="231" t="s">
        <v>1773</v>
      </c>
      <c r="L648" s="231" t="s">
        <v>1706</v>
      </c>
      <c r="M648" s="231" t="s">
        <v>1774</v>
      </c>
      <c r="N648" s="231" t="s">
        <v>271</v>
      </c>
      <c r="O648" s="158"/>
      <c r="P648" s="92"/>
      <c r="Q648" s="146"/>
      <c r="R648" s="92"/>
      <c r="S648" s="146"/>
      <c r="T648" s="92"/>
      <c r="U648" s="146"/>
      <c r="V648" s="92"/>
      <c r="W648" s="146"/>
      <c r="X648" s="92"/>
      <c r="Y648" s="146"/>
      <c r="Z648" s="92"/>
      <c r="AA648" s="146"/>
      <c r="AB648" s="92"/>
      <c r="AC648" s="146"/>
      <c r="AD648" s="92"/>
      <c r="AE648" s="146"/>
      <c r="AF648" s="187" t="str">
        <f t="shared" si="43"/>
        <v/>
      </c>
      <c r="AG648" s="54" t="b">
        <f t="shared" si="42"/>
        <v>0</v>
      </c>
      <c r="AH648" s="146"/>
      <c r="AI648" s="210" t="s">
        <v>6</v>
      </c>
      <c r="AJ648" s="97" t="str">
        <f t="shared" si="44"/>
        <v>GUARULHOS</v>
      </c>
      <c r="AK648" s="213" t="s">
        <v>39</v>
      </c>
      <c r="AL648" s="53">
        <v>0.86504002182510686</v>
      </c>
      <c r="AM648" s="53" t="str" cm="1">
        <f t="array" ref="AM648">IF(OR(O648&lt;&gt;"", SUMPRODUCT(($AN$2:$AN$5000=AN648)*($AL$2:$AL$5000&lt;=AL648)) &lt;= (COUNTIF($AN$2:$AN$5000,AN648)*0.5)), "SORTEADO", "-")</f>
        <v>-</v>
      </c>
      <c r="AN648" s="231" t="s">
        <v>1706</v>
      </c>
    </row>
    <row r="649" spans="1:40" ht="30" customHeight="1" x14ac:dyDescent="0.2">
      <c r="A649" s="231" t="s">
        <v>197</v>
      </c>
      <c r="B649" s="231">
        <v>2616755088</v>
      </c>
      <c r="C649" s="231" t="s">
        <v>100</v>
      </c>
      <c r="D649" s="231" t="s">
        <v>78</v>
      </c>
      <c r="E649" s="231" t="s">
        <v>198</v>
      </c>
      <c r="F649" s="231" t="s">
        <v>230</v>
      </c>
      <c r="G649" s="231">
        <v>118</v>
      </c>
      <c r="H649" s="231" t="s">
        <v>1775</v>
      </c>
      <c r="I649" s="231" t="s">
        <v>231</v>
      </c>
      <c r="J649" s="231" t="s">
        <v>248</v>
      </c>
      <c r="K649" s="238" t="s">
        <v>1776</v>
      </c>
      <c r="L649" s="231" t="s">
        <v>1706</v>
      </c>
      <c r="M649" s="231" t="s">
        <v>1777</v>
      </c>
      <c r="N649" s="231" t="s">
        <v>263</v>
      </c>
      <c r="O649" s="157" t="s">
        <v>204</v>
      </c>
      <c r="P649" s="143"/>
      <c r="Q649" s="144" t="s">
        <v>204</v>
      </c>
      <c r="R649" s="143"/>
      <c r="S649" s="144" t="s">
        <v>204</v>
      </c>
      <c r="T649" s="143"/>
      <c r="U649" s="144" t="s">
        <v>204</v>
      </c>
      <c r="V649" s="143"/>
      <c r="W649" s="144" t="s">
        <v>204</v>
      </c>
      <c r="X649" s="143"/>
      <c r="Y649" s="144" t="s">
        <v>204</v>
      </c>
      <c r="Z649" s="143"/>
      <c r="AA649" s="144" t="s">
        <v>204</v>
      </c>
      <c r="AB649" s="143"/>
      <c r="AC649" s="144" t="s">
        <v>204</v>
      </c>
      <c r="AD649" s="56"/>
      <c r="AE649" s="144" t="s">
        <v>204</v>
      </c>
      <c r="AF649" s="187" t="str">
        <f t="shared" si="43"/>
        <v>C</v>
      </c>
      <c r="AG649" s="54" t="str">
        <f t="shared" si="42"/>
        <v>UTILIZOU O PDA CORRETAMENTE</v>
      </c>
      <c r="AH649" s="144" t="s">
        <v>204</v>
      </c>
      <c r="AI649" s="210" t="s">
        <v>6</v>
      </c>
      <c r="AJ649" s="97" t="str">
        <f t="shared" si="44"/>
        <v>GUARULHOS</v>
      </c>
      <c r="AK649" s="213" t="s">
        <v>39</v>
      </c>
      <c r="AL649" s="53">
        <v>0.31436496400313274</v>
      </c>
      <c r="AM649" s="53" t="str" cm="1">
        <f t="array" ref="AM649">IF(OR(O649&lt;&gt;"", SUMPRODUCT(($AN$2:$AN$5000=AN649)*($AL$2:$AL$5000&lt;=AL649)) &lt;= (COUNTIF($AN$2:$AN$5000,AN649)*0.5)), "SORTEADO", "-")</f>
        <v>SORTEADO</v>
      </c>
      <c r="AN649" s="231" t="s">
        <v>1706</v>
      </c>
    </row>
    <row r="650" spans="1:40" ht="30" hidden="1" customHeight="1" x14ac:dyDescent="0.2">
      <c r="A650" s="240" t="s">
        <v>197</v>
      </c>
      <c r="B650" s="240">
        <v>2616616138</v>
      </c>
      <c r="C650" s="240" t="s">
        <v>99</v>
      </c>
      <c r="D650" s="240" t="s">
        <v>80</v>
      </c>
      <c r="E650" s="240" t="s">
        <v>198</v>
      </c>
      <c r="F650" s="240" t="s">
        <v>1347</v>
      </c>
      <c r="G650" s="240">
        <v>268</v>
      </c>
      <c r="H650" s="240" t="s">
        <v>1778</v>
      </c>
      <c r="I650" s="240" t="s">
        <v>281</v>
      </c>
      <c r="J650" s="240" t="s">
        <v>305</v>
      </c>
      <c r="K650" s="240" t="s">
        <v>1779</v>
      </c>
      <c r="L650" s="240" t="s">
        <v>1706</v>
      </c>
      <c r="M650" s="240" t="s">
        <v>1780</v>
      </c>
      <c r="N650" s="240" t="s">
        <v>271</v>
      </c>
      <c r="O650" s="158"/>
      <c r="P650" s="92"/>
      <c r="Q650" s="146"/>
      <c r="R650" s="92"/>
      <c r="S650" s="146"/>
      <c r="T650" s="92"/>
      <c r="U650" s="146"/>
      <c r="V650" s="92"/>
      <c r="W650" s="146"/>
      <c r="X650" s="92"/>
      <c r="Y650" s="146"/>
      <c r="Z650" s="92"/>
      <c r="AA650" s="146"/>
      <c r="AB650" s="92"/>
      <c r="AC650" s="146"/>
      <c r="AD650" s="92"/>
      <c r="AE650" s="146"/>
      <c r="AF650" s="187" t="str">
        <f t="shared" si="43"/>
        <v/>
      </c>
      <c r="AG650" s="54" t="b">
        <f t="shared" si="42"/>
        <v>0</v>
      </c>
      <c r="AH650" s="146"/>
      <c r="AI650" s="210" t="s">
        <v>6</v>
      </c>
      <c r="AJ650" s="97" t="str">
        <f t="shared" si="44"/>
        <v>GUARULHOS</v>
      </c>
      <c r="AK650" s="213" t="s">
        <v>39</v>
      </c>
      <c r="AL650" s="53">
        <v>0.40907952713632734</v>
      </c>
      <c r="AM650" s="53" t="str" cm="1">
        <f t="array" ref="AM650">IF(OR(O650&lt;&gt;"", SUMPRODUCT(($AN$2:$AN$5000=AN650)*($AL$2:$AL$5000&lt;=AL650)) &lt;= (COUNTIF($AN$2:$AN$5000,AN650)*0.5)), "SORTEADO", "-")</f>
        <v>-</v>
      </c>
      <c r="AN650" s="240" t="s">
        <v>1706</v>
      </c>
    </row>
    <row r="651" spans="1:40" ht="30" hidden="1" customHeight="1" x14ac:dyDescent="0.2">
      <c r="A651" s="230" t="s">
        <v>197</v>
      </c>
      <c r="B651" s="230">
        <v>2616192602</v>
      </c>
      <c r="C651" s="230" t="s">
        <v>1781</v>
      </c>
      <c r="D651" s="230" t="s">
        <v>78</v>
      </c>
      <c r="E651" s="230" t="s">
        <v>198</v>
      </c>
      <c r="F651" s="230" t="s">
        <v>1782</v>
      </c>
      <c r="G651" s="230">
        <v>61</v>
      </c>
      <c r="H651" s="230" t="s">
        <v>213</v>
      </c>
      <c r="I651" s="230" t="s">
        <v>301</v>
      </c>
      <c r="J651" s="230" t="s">
        <v>1783</v>
      </c>
      <c r="K651" s="230" t="s">
        <v>1784</v>
      </c>
      <c r="L651" s="230" t="s">
        <v>1785</v>
      </c>
      <c r="M651" s="230" t="s">
        <v>1786</v>
      </c>
      <c r="N651" s="230" t="s">
        <v>317</v>
      </c>
      <c r="O651" s="158"/>
      <c r="P651" s="92"/>
      <c r="Q651" s="146"/>
      <c r="R651" s="92"/>
      <c r="S651" s="146"/>
      <c r="T651" s="92"/>
      <c r="U651" s="146"/>
      <c r="V651" s="92"/>
      <c r="W651" s="146"/>
      <c r="X651" s="92"/>
      <c r="Y651" s="146"/>
      <c r="Z651" s="92"/>
      <c r="AA651" s="146"/>
      <c r="AB651" s="92"/>
      <c r="AC651" s="146"/>
      <c r="AD651" s="92"/>
      <c r="AE651" s="146"/>
      <c r="AF651" s="187" t="str">
        <f t="shared" si="43"/>
        <v/>
      </c>
      <c r="AG651" s="54" t="b">
        <f t="shared" si="42"/>
        <v>0</v>
      </c>
      <c r="AH651" s="146"/>
      <c r="AI651" s="210" t="s">
        <v>6</v>
      </c>
      <c r="AJ651" s="97" t="str">
        <f t="shared" si="44"/>
        <v>GUARULHOS</v>
      </c>
      <c r="AK651" s="213" t="s">
        <v>39</v>
      </c>
      <c r="AL651" s="53">
        <v>0.44015281539988915</v>
      </c>
      <c r="AM651" s="53" t="str" cm="1">
        <f t="array" ref="AM651">IF(OR(O651&lt;&gt;"", SUMPRODUCT(($AN$2:$AN$5000=AN651)*($AL$2:$AL$5000&lt;=AL651)) &lt;= (COUNTIF($AN$2:$AN$5000,AN651)*0.5)), "SORTEADO", "-")</f>
        <v>-</v>
      </c>
      <c r="AN651" s="230" t="s">
        <v>1785</v>
      </c>
    </row>
    <row r="652" spans="1:40" ht="30" hidden="1" customHeight="1" x14ac:dyDescent="0.2">
      <c r="A652" s="230" t="s">
        <v>197</v>
      </c>
      <c r="B652" s="230">
        <v>2616220127</v>
      </c>
      <c r="C652" s="230" t="s">
        <v>1781</v>
      </c>
      <c r="D652" s="230" t="s">
        <v>78</v>
      </c>
      <c r="E652" s="230" t="s">
        <v>198</v>
      </c>
      <c r="F652" s="230" t="s">
        <v>1126</v>
      </c>
      <c r="G652" s="230">
        <v>61</v>
      </c>
      <c r="H652" s="230" t="s">
        <v>1787</v>
      </c>
      <c r="I652" s="230" t="s">
        <v>1128</v>
      </c>
      <c r="J652" s="230" t="s">
        <v>1783</v>
      </c>
      <c r="K652" s="230" t="s">
        <v>1788</v>
      </c>
      <c r="L652" s="230" t="s">
        <v>1785</v>
      </c>
      <c r="M652" s="230" t="s">
        <v>1789</v>
      </c>
      <c r="N652" s="230" t="s">
        <v>317</v>
      </c>
      <c r="O652" s="158" t="s">
        <v>61</v>
      </c>
      <c r="P652" s="92"/>
      <c r="Q652" s="146" t="s">
        <v>61</v>
      </c>
      <c r="R652" s="92"/>
      <c r="S652" s="146" t="s">
        <v>61</v>
      </c>
      <c r="T652" s="92"/>
      <c r="U652" s="146" t="s">
        <v>61</v>
      </c>
      <c r="V652" s="92"/>
      <c r="W652" s="146" t="s">
        <v>61</v>
      </c>
      <c r="X652" s="92"/>
      <c r="Y652" s="146" t="s">
        <v>61</v>
      </c>
      <c r="Z652" s="92"/>
      <c r="AA652" s="146" t="s">
        <v>61</v>
      </c>
      <c r="AB652" s="92"/>
      <c r="AC652" s="146" t="s">
        <v>61</v>
      </c>
      <c r="AD652" s="92"/>
      <c r="AE652" s="146" t="s">
        <v>61</v>
      </c>
      <c r="AF652" s="187" t="str">
        <f t="shared" si="43"/>
        <v>NA</v>
      </c>
      <c r="AG652" s="54" t="str">
        <f t="shared" si="42"/>
        <v>NÃO AVALIADO POR FALHA DE SINCRONISMO</v>
      </c>
      <c r="AH652" s="146" t="s">
        <v>204</v>
      </c>
      <c r="AI652" s="210" t="s">
        <v>6</v>
      </c>
      <c r="AJ652" s="97" t="str">
        <f t="shared" si="44"/>
        <v>GUARULHOS</v>
      </c>
      <c r="AK652" s="213" t="s">
        <v>39</v>
      </c>
      <c r="AL652" s="53">
        <v>0.3447325256407815</v>
      </c>
      <c r="AM652" s="53" t="str" cm="1">
        <f t="array" ref="AM652">IF(OR(O652&lt;&gt;"", SUMPRODUCT(($AN$2:$AN$5000=AN652)*($AL$2:$AL$5000&lt;=AL652)) &lt;= (COUNTIF($AN$2:$AN$5000,AN652)*0.5)), "SORTEADO", "-")</f>
        <v>SORTEADO</v>
      </c>
      <c r="AN652" s="230" t="s">
        <v>1785</v>
      </c>
    </row>
    <row r="653" spans="1:40" ht="30" hidden="1" customHeight="1" x14ac:dyDescent="0.2">
      <c r="A653" s="230" t="s">
        <v>197</v>
      </c>
      <c r="B653" s="230">
        <v>2616189531</v>
      </c>
      <c r="C653" s="230" t="s">
        <v>1781</v>
      </c>
      <c r="D653" s="230" t="s">
        <v>78</v>
      </c>
      <c r="E653" s="230" t="s">
        <v>198</v>
      </c>
      <c r="F653" s="230" t="s">
        <v>1782</v>
      </c>
      <c r="G653" s="230">
        <v>51</v>
      </c>
      <c r="H653" s="230" t="s">
        <v>1790</v>
      </c>
      <c r="I653" s="230" t="s">
        <v>301</v>
      </c>
      <c r="J653" s="230" t="s">
        <v>1783</v>
      </c>
      <c r="K653" s="230" t="s">
        <v>1791</v>
      </c>
      <c r="L653" s="230" t="s">
        <v>1785</v>
      </c>
      <c r="M653" s="230" t="s">
        <v>1792</v>
      </c>
      <c r="N653" s="230" t="s">
        <v>317</v>
      </c>
      <c r="O653" s="158"/>
      <c r="P653" s="92"/>
      <c r="Q653" s="146"/>
      <c r="R653" s="92"/>
      <c r="S653" s="146"/>
      <c r="T653" s="92"/>
      <c r="U653" s="146"/>
      <c r="V653" s="92"/>
      <c r="W653" s="146"/>
      <c r="X653" s="92"/>
      <c r="Y653" s="146"/>
      <c r="Z653" s="92"/>
      <c r="AA653" s="146"/>
      <c r="AB653" s="92"/>
      <c r="AC653" s="146"/>
      <c r="AD653" s="92"/>
      <c r="AE653" s="146"/>
      <c r="AF653" s="187" t="str">
        <f t="shared" si="43"/>
        <v/>
      </c>
      <c r="AG653" s="54" t="b">
        <f t="shared" si="42"/>
        <v>0</v>
      </c>
      <c r="AH653" s="146"/>
      <c r="AI653" s="210" t="s">
        <v>6</v>
      </c>
      <c r="AJ653" s="97" t="str">
        <f t="shared" si="44"/>
        <v>GUARULHOS</v>
      </c>
      <c r="AK653" s="213" t="s">
        <v>39</v>
      </c>
      <c r="AL653" s="53">
        <v>0.47882426258780497</v>
      </c>
      <c r="AM653" s="53" t="str" cm="1">
        <f t="array" ref="AM653">IF(OR(O653&lt;&gt;"", SUMPRODUCT(($AN$2:$AN$5000=AN653)*($AL$2:$AL$5000&lt;=AL653)) &lt;= (COUNTIF($AN$2:$AN$5000,AN653)*0.5)), "SORTEADO", "-")</f>
        <v>-</v>
      </c>
      <c r="AN653" s="230" t="s">
        <v>1785</v>
      </c>
    </row>
    <row r="654" spans="1:40" ht="30" hidden="1" customHeight="1" x14ac:dyDescent="0.2">
      <c r="A654" s="230" t="s">
        <v>197</v>
      </c>
      <c r="B654" s="230">
        <v>2616221468</v>
      </c>
      <c r="C654" s="230" t="s">
        <v>1781</v>
      </c>
      <c r="D654" s="230" t="s">
        <v>78</v>
      </c>
      <c r="E654" s="230" t="s">
        <v>198</v>
      </c>
      <c r="F654" s="230" t="s">
        <v>1126</v>
      </c>
      <c r="G654" s="230">
        <v>52</v>
      </c>
      <c r="H654" s="230" t="s">
        <v>1793</v>
      </c>
      <c r="I654" s="230" t="s">
        <v>1128</v>
      </c>
      <c r="J654" s="230" t="s">
        <v>1783</v>
      </c>
      <c r="K654" s="230" t="s">
        <v>1788</v>
      </c>
      <c r="L654" s="230" t="s">
        <v>1785</v>
      </c>
      <c r="M654" s="230" t="s">
        <v>1794</v>
      </c>
      <c r="N654" s="230" t="s">
        <v>317</v>
      </c>
      <c r="O654" s="158" t="s">
        <v>61</v>
      </c>
      <c r="P654" s="92"/>
      <c r="Q654" s="146" t="s">
        <v>61</v>
      </c>
      <c r="R654" s="92"/>
      <c r="S654" s="146" t="s">
        <v>61</v>
      </c>
      <c r="T654" s="92"/>
      <c r="U654" s="146" t="s">
        <v>61</v>
      </c>
      <c r="V654" s="92"/>
      <c r="W654" s="146" t="s">
        <v>61</v>
      </c>
      <c r="X654" s="92"/>
      <c r="Y654" s="146" t="s">
        <v>61</v>
      </c>
      <c r="Z654" s="92"/>
      <c r="AA654" s="146" t="s">
        <v>61</v>
      </c>
      <c r="AB654" s="92"/>
      <c r="AC654" s="146" t="s">
        <v>61</v>
      </c>
      <c r="AD654" s="92"/>
      <c r="AE654" s="146" t="s">
        <v>61</v>
      </c>
      <c r="AF654" s="187" t="str">
        <f t="shared" si="43"/>
        <v>NA</v>
      </c>
      <c r="AG654" s="54" t="str">
        <f t="shared" si="42"/>
        <v>NÃO AVALIADO POR FALHA DE SINCRONISMO</v>
      </c>
      <c r="AH654" s="146" t="s">
        <v>204</v>
      </c>
      <c r="AI654" s="210" t="s">
        <v>6</v>
      </c>
      <c r="AJ654" s="97" t="str">
        <f t="shared" si="44"/>
        <v>GUARULHOS</v>
      </c>
      <c r="AK654" s="213" t="s">
        <v>39</v>
      </c>
      <c r="AL654" s="53">
        <v>0.21381950153740581</v>
      </c>
      <c r="AM654" s="53" t="str" cm="1">
        <f t="array" ref="AM654">IF(OR(O654&lt;&gt;"", SUMPRODUCT(($AN$2:$AN$5000=AN654)*($AL$2:$AL$5000&lt;=AL654)) &lt;= (COUNTIF($AN$2:$AN$5000,AN654)*0.5)), "SORTEADO", "-")</f>
        <v>SORTEADO</v>
      </c>
      <c r="AN654" s="230" t="s">
        <v>1785</v>
      </c>
    </row>
    <row r="655" spans="1:40" ht="30" hidden="1" customHeight="1" x14ac:dyDescent="0.2">
      <c r="A655" s="230" t="s">
        <v>197</v>
      </c>
      <c r="B655" s="230">
        <v>2616221108</v>
      </c>
      <c r="C655" s="230" t="s">
        <v>1781</v>
      </c>
      <c r="D655" s="230" t="s">
        <v>78</v>
      </c>
      <c r="E655" s="230" t="s">
        <v>198</v>
      </c>
      <c r="F655" s="230" t="s">
        <v>1126</v>
      </c>
      <c r="G655" s="230">
        <v>38</v>
      </c>
      <c r="H655" s="230" t="s">
        <v>1127</v>
      </c>
      <c r="I655" s="230" t="s">
        <v>1128</v>
      </c>
      <c r="J655" s="230" t="s">
        <v>1783</v>
      </c>
      <c r="K655" s="230" t="s">
        <v>1795</v>
      </c>
      <c r="L655" s="230" t="s">
        <v>1785</v>
      </c>
      <c r="M655" s="230" t="s">
        <v>1796</v>
      </c>
      <c r="N655" s="230" t="s">
        <v>317</v>
      </c>
      <c r="O655" s="158" t="s">
        <v>61</v>
      </c>
      <c r="P655" s="92"/>
      <c r="Q655" s="146" t="s">
        <v>61</v>
      </c>
      <c r="R655" s="92"/>
      <c r="S655" s="146" t="s">
        <v>61</v>
      </c>
      <c r="T655" s="92"/>
      <c r="U655" s="146" t="s">
        <v>61</v>
      </c>
      <c r="V655" s="92"/>
      <c r="W655" s="146" t="s">
        <v>61</v>
      </c>
      <c r="X655" s="92"/>
      <c r="Y655" s="146" t="s">
        <v>61</v>
      </c>
      <c r="Z655" s="92"/>
      <c r="AA655" s="146" t="s">
        <v>61</v>
      </c>
      <c r="AB655" s="92"/>
      <c r="AC655" s="146" t="s">
        <v>61</v>
      </c>
      <c r="AD655" s="92"/>
      <c r="AE655" s="146" t="s">
        <v>61</v>
      </c>
      <c r="AF655" s="187" t="str">
        <f t="shared" si="43"/>
        <v>NA</v>
      </c>
      <c r="AG655" s="54" t="str">
        <f t="shared" si="42"/>
        <v>NÃO AVALIADO POR FALHA DE SINCRONISMO</v>
      </c>
      <c r="AH655" s="146" t="s">
        <v>204</v>
      </c>
      <c r="AI655" s="210" t="s">
        <v>6</v>
      </c>
      <c r="AJ655" s="97" t="str">
        <f t="shared" si="44"/>
        <v>GUARULHOS</v>
      </c>
      <c r="AK655" s="213" t="s">
        <v>39</v>
      </c>
      <c r="AL655" s="53">
        <v>0.27617623534221902</v>
      </c>
      <c r="AM655" s="53" t="str" cm="1">
        <f t="array" ref="AM655">IF(OR(O655&lt;&gt;"", SUMPRODUCT(($AN$2:$AN$5000=AN655)*($AL$2:$AL$5000&lt;=AL655)) &lt;= (COUNTIF($AN$2:$AN$5000,AN655)*0.5)), "SORTEADO", "-")</f>
        <v>SORTEADO</v>
      </c>
      <c r="AN655" s="230" t="s">
        <v>1785</v>
      </c>
    </row>
    <row r="656" spans="1:40" ht="30" hidden="1" customHeight="1" x14ac:dyDescent="0.2">
      <c r="A656" s="230" t="s">
        <v>197</v>
      </c>
      <c r="B656" s="230">
        <v>2616535999</v>
      </c>
      <c r="C656" s="230" t="s">
        <v>105</v>
      </c>
      <c r="D656" s="230" t="s">
        <v>80</v>
      </c>
      <c r="E656" s="230" t="s">
        <v>198</v>
      </c>
      <c r="F656" s="230" t="s">
        <v>1797</v>
      </c>
      <c r="G656" s="230">
        <v>377</v>
      </c>
      <c r="H656" s="230"/>
      <c r="I656" s="230" t="s">
        <v>730</v>
      </c>
      <c r="J656" s="230" t="s">
        <v>226</v>
      </c>
      <c r="K656" s="230"/>
      <c r="L656" s="230" t="s">
        <v>1785</v>
      </c>
      <c r="M656" s="230" t="s">
        <v>1798</v>
      </c>
      <c r="N656" s="230" t="s">
        <v>237</v>
      </c>
      <c r="O656" s="158"/>
      <c r="P656" s="92"/>
      <c r="Q656" s="146"/>
      <c r="R656" s="92"/>
      <c r="S656" s="146"/>
      <c r="T656" s="92"/>
      <c r="U656" s="146"/>
      <c r="V656" s="92"/>
      <c r="W656" s="146"/>
      <c r="X656" s="92"/>
      <c r="Y656" s="146"/>
      <c r="Z656" s="92"/>
      <c r="AA656" s="146"/>
      <c r="AB656" s="92"/>
      <c r="AC656" s="146"/>
      <c r="AD656" s="92"/>
      <c r="AE656" s="146"/>
      <c r="AF656" s="187" t="str">
        <f t="shared" si="43"/>
        <v/>
      </c>
      <c r="AG656" s="54" t="b">
        <f t="shared" si="42"/>
        <v>0</v>
      </c>
      <c r="AH656" s="146"/>
      <c r="AI656" s="210" t="s">
        <v>6</v>
      </c>
      <c r="AJ656" s="97" t="str">
        <f t="shared" si="44"/>
        <v>GUARULHOS</v>
      </c>
      <c r="AK656" s="213" t="s">
        <v>39</v>
      </c>
      <c r="AL656" s="53">
        <v>0.53614182677752031</v>
      </c>
      <c r="AM656" s="53" t="str" cm="1">
        <f t="array" ref="AM656">IF(OR(O656&lt;&gt;"", SUMPRODUCT(($AN$2:$AN$5000=AN656)*($AL$2:$AL$5000&lt;=AL656)) &lt;= (COUNTIF($AN$2:$AN$5000,AN656)*0.5)), "SORTEADO", "-")</f>
        <v>-</v>
      </c>
      <c r="AN656" s="230" t="s">
        <v>1785</v>
      </c>
    </row>
    <row r="657" spans="1:40" ht="30" hidden="1" customHeight="1" x14ac:dyDescent="0.2">
      <c r="A657" s="230" t="s">
        <v>197</v>
      </c>
      <c r="B657" s="230">
        <v>2616753883</v>
      </c>
      <c r="C657" s="230" t="s">
        <v>102</v>
      </c>
      <c r="D657" s="230" t="s">
        <v>80</v>
      </c>
      <c r="E657" s="230" t="s">
        <v>198</v>
      </c>
      <c r="F657" s="230" t="s">
        <v>1441</v>
      </c>
      <c r="G657" s="230">
        <v>425</v>
      </c>
      <c r="H657" s="230" t="s">
        <v>213</v>
      </c>
      <c r="I657" s="230" t="s">
        <v>368</v>
      </c>
      <c r="J657" s="230" t="s">
        <v>270</v>
      </c>
      <c r="K657" s="230" t="s">
        <v>213</v>
      </c>
      <c r="L657" s="230" t="s">
        <v>1785</v>
      </c>
      <c r="M657" s="230" t="s">
        <v>1799</v>
      </c>
      <c r="N657" s="230" t="s">
        <v>381</v>
      </c>
      <c r="O657" s="158"/>
      <c r="P657" s="92"/>
      <c r="Q657" s="146"/>
      <c r="R657" s="92"/>
      <c r="S657" s="146"/>
      <c r="T657" s="92"/>
      <c r="U657" s="146"/>
      <c r="V657" s="92"/>
      <c r="W657" s="146"/>
      <c r="X657" s="92"/>
      <c r="Y657" s="146"/>
      <c r="Z657" s="92"/>
      <c r="AA657" s="146"/>
      <c r="AB657" s="92"/>
      <c r="AC657" s="146"/>
      <c r="AD657" s="92"/>
      <c r="AE657" s="146"/>
      <c r="AF657" s="187" t="str">
        <f t="shared" si="43"/>
        <v/>
      </c>
      <c r="AG657" s="54" t="b">
        <f t="shared" si="42"/>
        <v>0</v>
      </c>
      <c r="AH657" s="146"/>
      <c r="AI657" s="210" t="s">
        <v>6</v>
      </c>
      <c r="AJ657" s="97" t="str">
        <f t="shared" si="44"/>
        <v>GUARULHOS</v>
      </c>
      <c r="AK657" s="213" t="s">
        <v>39</v>
      </c>
      <c r="AL657" s="53">
        <v>0.62860959595155075</v>
      </c>
      <c r="AM657" s="53" t="str" cm="1">
        <f t="array" ref="AM657">IF(OR(O657&lt;&gt;"", SUMPRODUCT(($AN$2:$AN$5000=AN657)*($AL$2:$AL$5000&lt;=AL657)) &lt;= (COUNTIF($AN$2:$AN$5000,AN657)*0.5)), "SORTEADO", "-")</f>
        <v>-</v>
      </c>
      <c r="AN657" s="230" t="s">
        <v>1785</v>
      </c>
    </row>
    <row r="658" spans="1:40" ht="30" customHeight="1" x14ac:dyDescent="0.2">
      <c r="A658" s="230" t="s">
        <v>197</v>
      </c>
      <c r="B658" s="230">
        <v>2616757354</v>
      </c>
      <c r="C658" s="230" t="s">
        <v>98</v>
      </c>
      <c r="D658" s="230" t="s">
        <v>80</v>
      </c>
      <c r="E658" s="230" t="s">
        <v>198</v>
      </c>
      <c r="F658" s="230" t="s">
        <v>1800</v>
      </c>
      <c r="G658" s="230">
        <v>86</v>
      </c>
      <c r="H658" s="230" t="s">
        <v>1801</v>
      </c>
      <c r="I658" s="230" t="s">
        <v>489</v>
      </c>
      <c r="J658" s="230" t="s">
        <v>297</v>
      </c>
      <c r="K658" s="230" t="s">
        <v>1802</v>
      </c>
      <c r="L658" s="230" t="s">
        <v>1785</v>
      </c>
      <c r="M658" s="230" t="s">
        <v>1803</v>
      </c>
      <c r="N658" s="230" t="s">
        <v>348</v>
      </c>
      <c r="O658" s="157" t="s">
        <v>204</v>
      </c>
      <c r="P658" s="143"/>
      <c r="Q658" s="144" t="s">
        <v>204</v>
      </c>
      <c r="R658" s="143"/>
      <c r="S658" s="144" t="s">
        <v>204</v>
      </c>
      <c r="T658" s="143"/>
      <c r="U658" s="144" t="s">
        <v>204</v>
      </c>
      <c r="V658" s="143"/>
      <c r="W658" s="144" t="s">
        <v>204</v>
      </c>
      <c r="X658" s="143"/>
      <c r="Y658" s="144" t="s">
        <v>204</v>
      </c>
      <c r="Z658" s="143"/>
      <c r="AA658" s="144" t="s">
        <v>204</v>
      </c>
      <c r="AB658" s="143"/>
      <c r="AC658" s="144" t="s">
        <v>204</v>
      </c>
      <c r="AD658" s="56"/>
      <c r="AE658" s="144" t="s">
        <v>204</v>
      </c>
      <c r="AF658" s="187" t="str">
        <f t="shared" si="43"/>
        <v>C</v>
      </c>
      <c r="AG658" s="54" t="str">
        <f t="shared" si="42"/>
        <v>UTILIZOU O PDA CORRETAMENTE</v>
      </c>
      <c r="AH658" s="144" t="s">
        <v>204</v>
      </c>
      <c r="AI658" s="210" t="s">
        <v>6</v>
      </c>
      <c r="AJ658" s="97" t="str">
        <f t="shared" si="44"/>
        <v>GUARULHOS</v>
      </c>
      <c r="AK658" s="213" t="s">
        <v>39</v>
      </c>
      <c r="AL658" s="53">
        <v>4.2687006136915562E-2</v>
      </c>
      <c r="AM658" s="53" t="str" cm="1">
        <f t="array" ref="AM658">IF(OR(O658&lt;&gt;"", SUMPRODUCT(($AN$2:$AN$5000=AN658)*($AL$2:$AL$5000&lt;=AL658)) &lt;= (COUNTIF($AN$2:$AN$5000,AN658)*0.5)), "SORTEADO", "-")</f>
        <v>SORTEADO</v>
      </c>
      <c r="AN658" s="230" t="s">
        <v>1785</v>
      </c>
    </row>
    <row r="659" spans="1:40" ht="30" customHeight="1" x14ac:dyDescent="0.2">
      <c r="A659" s="230" t="s">
        <v>197</v>
      </c>
      <c r="B659" s="230">
        <v>2616757303</v>
      </c>
      <c r="C659" s="230" t="s">
        <v>82</v>
      </c>
      <c r="D659" s="230" t="s">
        <v>80</v>
      </c>
      <c r="E659" s="230" t="s">
        <v>198</v>
      </c>
      <c r="F659" s="230" t="s">
        <v>1804</v>
      </c>
      <c r="G659" s="230">
        <v>300</v>
      </c>
      <c r="H659" s="230" t="s">
        <v>213</v>
      </c>
      <c r="I659" s="230" t="s">
        <v>730</v>
      </c>
      <c r="J659" s="230" t="s">
        <v>270</v>
      </c>
      <c r="K659" s="230" t="s">
        <v>532</v>
      </c>
      <c r="L659" s="230" t="s">
        <v>1785</v>
      </c>
      <c r="M659" s="230" t="s">
        <v>1805</v>
      </c>
      <c r="N659" s="230" t="s">
        <v>432</v>
      </c>
      <c r="O659" s="158" t="s">
        <v>204</v>
      </c>
      <c r="P659" s="92"/>
      <c r="Q659" s="146" t="s">
        <v>204</v>
      </c>
      <c r="R659" s="92"/>
      <c r="S659" s="146" t="s">
        <v>204</v>
      </c>
      <c r="T659" s="92"/>
      <c r="U659" s="146" t="s">
        <v>204</v>
      </c>
      <c r="V659" s="92"/>
      <c r="W659" s="146" t="s">
        <v>204</v>
      </c>
      <c r="X659" s="92"/>
      <c r="Y659" s="146" t="s">
        <v>61</v>
      </c>
      <c r="Z659" s="92"/>
      <c r="AA659" s="146" t="s">
        <v>204</v>
      </c>
      <c r="AB659" s="92"/>
      <c r="AC659" s="146" t="s">
        <v>204</v>
      </c>
      <c r="AD659" s="92"/>
      <c r="AE659" s="146" t="s">
        <v>204</v>
      </c>
      <c r="AF659" s="187" t="str">
        <f t="shared" si="43"/>
        <v>C</v>
      </c>
      <c r="AG659" s="54" t="str">
        <f t="shared" si="42"/>
        <v>UTILIZOU O PDA CORRETAMENTE</v>
      </c>
      <c r="AH659" s="146" t="s">
        <v>204</v>
      </c>
      <c r="AI659" s="210" t="s">
        <v>6</v>
      </c>
      <c r="AJ659" s="97" t="str">
        <f t="shared" si="44"/>
        <v>GUARULHOS</v>
      </c>
      <c r="AK659" s="213" t="s">
        <v>39</v>
      </c>
      <c r="AL659" s="53">
        <v>-0.13159999999999999</v>
      </c>
      <c r="AM659" s="53" t="str" cm="1">
        <f t="array" ref="AM659">IF(OR(O659&lt;&gt;"", SUMPRODUCT(($AN$2:$AN$5000=AN659)*($AL$2:$AL$5000&lt;=AL659)) &lt;= (COUNTIF($AN$2:$AN$5000,AN659)*0.5)), "SORTEADO", "-")</f>
        <v>SORTEADO</v>
      </c>
      <c r="AN659" s="230" t="s">
        <v>1785</v>
      </c>
    </row>
    <row r="660" spans="1:40" ht="30" customHeight="1" x14ac:dyDescent="0.2">
      <c r="A660" s="230" t="s">
        <v>197</v>
      </c>
      <c r="B660" s="230">
        <v>2616618136</v>
      </c>
      <c r="C660" s="230" t="s">
        <v>104</v>
      </c>
      <c r="D660" s="230" t="s">
        <v>80</v>
      </c>
      <c r="E660" s="230" t="s">
        <v>198</v>
      </c>
      <c r="F660" s="230" t="s">
        <v>1806</v>
      </c>
      <c r="G660" s="230">
        <v>946</v>
      </c>
      <c r="H660" s="230"/>
      <c r="I660" s="230" t="s">
        <v>394</v>
      </c>
      <c r="J660" s="230" t="s">
        <v>467</v>
      </c>
      <c r="K660" s="230"/>
      <c r="L660" s="230" t="s">
        <v>1785</v>
      </c>
      <c r="M660" s="230" t="s">
        <v>1807</v>
      </c>
      <c r="N660" s="230" t="s">
        <v>303</v>
      </c>
      <c r="O660" s="158" t="s">
        <v>204</v>
      </c>
      <c r="P660" s="92"/>
      <c r="Q660" s="146" t="s">
        <v>204</v>
      </c>
      <c r="R660" s="92"/>
      <c r="S660" s="146" t="s">
        <v>204</v>
      </c>
      <c r="T660" s="92"/>
      <c r="U660" s="146" t="s">
        <v>204</v>
      </c>
      <c r="V660" s="92"/>
      <c r="W660" s="146" t="s">
        <v>204</v>
      </c>
      <c r="X660" s="92"/>
      <c r="Y660" s="146" t="s">
        <v>61</v>
      </c>
      <c r="Z660" s="92"/>
      <c r="AA660" s="146" t="s">
        <v>204</v>
      </c>
      <c r="AB660" s="92"/>
      <c r="AC660" s="146" t="s">
        <v>204</v>
      </c>
      <c r="AD660" s="92"/>
      <c r="AE660" s="146" t="s">
        <v>204</v>
      </c>
      <c r="AF660" s="187" t="str">
        <f t="shared" si="43"/>
        <v>C</v>
      </c>
      <c r="AG660" s="54" t="str">
        <f t="shared" si="42"/>
        <v>UTILIZOU O PDA CORRETAMENTE</v>
      </c>
      <c r="AH660" s="144" t="s">
        <v>204</v>
      </c>
      <c r="AI660" s="210" t="s">
        <v>6</v>
      </c>
      <c r="AJ660" s="97" t="str">
        <f t="shared" si="44"/>
        <v>GUARULHOS</v>
      </c>
      <c r="AK660" s="213" t="s">
        <v>39</v>
      </c>
      <c r="AL660" s="53">
        <v>0.39812756668880922</v>
      </c>
      <c r="AM660" s="53" t="str" cm="1">
        <f t="array" ref="AM660">IF(OR(O660&lt;&gt;"", SUMPRODUCT(($AN$2:$AN$5000=AN660)*($AL$2:$AL$5000&lt;=AL660)) &lt;= (COUNTIF($AN$2:$AN$5000,AN660)*0.5)), "SORTEADO", "-")</f>
        <v>SORTEADO</v>
      </c>
      <c r="AN660" s="230" t="s">
        <v>1785</v>
      </c>
    </row>
    <row r="661" spans="1:40" ht="30" hidden="1" customHeight="1" x14ac:dyDescent="0.2">
      <c r="A661" s="230" t="s">
        <v>197</v>
      </c>
      <c r="B661" s="230">
        <v>2616330316</v>
      </c>
      <c r="C661" s="230" t="s">
        <v>96</v>
      </c>
      <c r="D661" s="230" t="s">
        <v>76</v>
      </c>
      <c r="E661" s="230" t="s">
        <v>198</v>
      </c>
      <c r="F661" s="230" t="s">
        <v>1808</v>
      </c>
      <c r="G661" s="230">
        <v>112</v>
      </c>
      <c r="H661" s="230" t="s">
        <v>211</v>
      </c>
      <c r="I661" s="230" t="s">
        <v>1809</v>
      </c>
      <c r="J661" s="230" t="s">
        <v>96</v>
      </c>
      <c r="K661" s="230" t="s">
        <v>1810</v>
      </c>
      <c r="L661" s="230" t="s">
        <v>1785</v>
      </c>
      <c r="M661" s="230" t="s">
        <v>1811</v>
      </c>
      <c r="N661" s="230" t="s">
        <v>203</v>
      </c>
      <c r="O661" s="158"/>
      <c r="P661" s="92"/>
      <c r="Q661" s="146"/>
      <c r="R661" s="92"/>
      <c r="S661" s="146"/>
      <c r="T661" s="92"/>
      <c r="U661" s="146"/>
      <c r="V661" s="92"/>
      <c r="W661" s="146"/>
      <c r="X661" s="92"/>
      <c r="Y661" s="146"/>
      <c r="Z661" s="92"/>
      <c r="AA661" s="146"/>
      <c r="AB661" s="92"/>
      <c r="AC661" s="146"/>
      <c r="AD661" s="92"/>
      <c r="AE661" s="146"/>
      <c r="AF661" s="187" t="str">
        <f t="shared" si="43"/>
        <v/>
      </c>
      <c r="AG661" s="54" t="b">
        <f t="shared" si="42"/>
        <v>0</v>
      </c>
      <c r="AH661" s="146"/>
      <c r="AI661" s="210" t="s">
        <v>6</v>
      </c>
      <c r="AJ661" s="97" t="str">
        <f t="shared" si="44"/>
        <v>GUARULHOS</v>
      </c>
      <c r="AK661" s="213" t="s">
        <v>39</v>
      </c>
      <c r="AL661" s="53">
        <v>0.96543292190742913</v>
      </c>
      <c r="AM661" s="53" t="str" cm="1">
        <f t="array" ref="AM661">IF(OR(O661&lt;&gt;"", SUMPRODUCT(($AN$2:$AN$5000=AN661)*($AL$2:$AL$5000&lt;=AL661)) &lt;= (COUNTIF($AN$2:$AN$5000,AN661)*0.5)), "SORTEADO", "-")</f>
        <v>-</v>
      </c>
      <c r="AN661" s="230" t="s">
        <v>1785</v>
      </c>
    </row>
    <row r="662" spans="1:40" ht="30" customHeight="1" x14ac:dyDescent="0.2">
      <c r="A662" s="230" t="s">
        <v>197</v>
      </c>
      <c r="B662" s="230">
        <v>2616330314</v>
      </c>
      <c r="C662" s="230" t="s">
        <v>94</v>
      </c>
      <c r="D662" s="230" t="s">
        <v>76</v>
      </c>
      <c r="E662" s="230" t="s">
        <v>198</v>
      </c>
      <c r="F662" s="230" t="s">
        <v>1808</v>
      </c>
      <c r="G662" s="230">
        <v>112</v>
      </c>
      <c r="H662" s="230" t="s">
        <v>206</v>
      </c>
      <c r="I662" s="230" t="s">
        <v>1809</v>
      </c>
      <c r="J662" s="230" t="s">
        <v>94</v>
      </c>
      <c r="K662" s="230" t="s">
        <v>1812</v>
      </c>
      <c r="L662" s="230" t="s">
        <v>1785</v>
      </c>
      <c r="M662" s="230" t="s">
        <v>1813</v>
      </c>
      <c r="N662" s="230" t="s">
        <v>203</v>
      </c>
      <c r="O662" s="158" t="s">
        <v>204</v>
      </c>
      <c r="P662" s="92"/>
      <c r="Q662" s="146" t="s">
        <v>204</v>
      </c>
      <c r="R662" s="92"/>
      <c r="S662" s="146" t="s">
        <v>204</v>
      </c>
      <c r="T662" s="92"/>
      <c r="U662" s="146" t="s">
        <v>204</v>
      </c>
      <c r="V662" s="92"/>
      <c r="W662" s="146" t="s">
        <v>204</v>
      </c>
      <c r="X662" s="92"/>
      <c r="Y662" s="146" t="s">
        <v>204</v>
      </c>
      <c r="Z662" s="92"/>
      <c r="AA662" s="146" t="s">
        <v>204</v>
      </c>
      <c r="AB662" s="92"/>
      <c r="AC662" s="146" t="s">
        <v>204</v>
      </c>
      <c r="AD662" s="92"/>
      <c r="AE662" s="146" t="s">
        <v>204</v>
      </c>
      <c r="AF662" s="187" t="str">
        <f t="shared" si="43"/>
        <v>C</v>
      </c>
      <c r="AG662" s="54" t="str">
        <f t="shared" si="42"/>
        <v>UTILIZOU O PDA CORRETAMENTE</v>
      </c>
      <c r="AH662" s="146"/>
      <c r="AI662" s="210" t="s">
        <v>6</v>
      </c>
      <c r="AJ662" s="97" t="str">
        <f t="shared" si="44"/>
        <v>GUARULHOS</v>
      </c>
      <c r="AK662" s="213" t="s">
        <v>39</v>
      </c>
      <c r="AL662" s="53">
        <v>0.15986352523689928</v>
      </c>
      <c r="AM662" s="53" t="str" cm="1">
        <f t="array" ref="AM662">IF(OR(O662&lt;&gt;"", SUMPRODUCT(($AN$2:$AN$5000=AN662)*($AL$2:$AL$5000&lt;=AL662)) &lt;= (COUNTIF($AN$2:$AN$5000,AN662)*0.5)), "SORTEADO", "-")</f>
        <v>SORTEADO</v>
      </c>
      <c r="AN662" s="230" t="s">
        <v>1785</v>
      </c>
    </row>
    <row r="663" spans="1:40" ht="30" hidden="1" customHeight="1" x14ac:dyDescent="0.2">
      <c r="A663" s="230" t="s">
        <v>197</v>
      </c>
      <c r="B663" s="230">
        <v>2616397846</v>
      </c>
      <c r="C663" s="230" t="s">
        <v>85</v>
      </c>
      <c r="D663" s="230" t="s">
        <v>76</v>
      </c>
      <c r="E663" s="230" t="s">
        <v>198</v>
      </c>
      <c r="F663" s="230" t="s">
        <v>1814</v>
      </c>
      <c r="G663" s="230">
        <v>23</v>
      </c>
      <c r="H663" s="230" t="s">
        <v>213</v>
      </c>
      <c r="I663" s="230" t="s">
        <v>664</v>
      </c>
      <c r="J663" s="230" t="s">
        <v>85</v>
      </c>
      <c r="K663" s="230" t="s">
        <v>1815</v>
      </c>
      <c r="L663" s="230" t="s">
        <v>1785</v>
      </c>
      <c r="M663" s="230" t="s">
        <v>1816</v>
      </c>
      <c r="N663" s="230" t="s">
        <v>203</v>
      </c>
      <c r="O663" s="158"/>
      <c r="P663" s="92"/>
      <c r="Q663" s="146"/>
      <c r="R663" s="92"/>
      <c r="S663" s="146"/>
      <c r="T663" s="92"/>
      <c r="U663" s="146"/>
      <c r="V663" s="92"/>
      <c r="W663" s="146"/>
      <c r="X663" s="92"/>
      <c r="Y663" s="146"/>
      <c r="Z663" s="92"/>
      <c r="AA663" s="146"/>
      <c r="AB663" s="92"/>
      <c r="AC663" s="146"/>
      <c r="AD663" s="92"/>
      <c r="AE663" s="146"/>
      <c r="AF663" s="187" t="str">
        <f t="shared" si="43"/>
        <v/>
      </c>
      <c r="AG663" s="54" t="b">
        <f t="shared" ref="AG663:AG692" si="45">IF(AND(AE663="C",AF663="C"),"UTILIZOU O PDA CORRETAMENTE",IF(AND(AE663="C",AF663="NC"),"UTILIZOU O PDA CORRETAMENTE. NÃO HÁ FOTOS DE TODAS AS ETAPAS",IF(AND(AE663="NC",AF663="NC"),"NÃO UTILIZOU O PDA",IF(AND(AE663="NA",AF663="NA"),"NÃO AVALIADO POR FALHA DE SINCRONISMO"))))</f>
        <v>0</v>
      </c>
      <c r="AH663" s="146"/>
      <c r="AI663" s="210" t="s">
        <v>6</v>
      </c>
      <c r="AJ663" s="97" t="str">
        <f t="shared" si="44"/>
        <v>GUARULHOS</v>
      </c>
      <c r="AK663" s="213" t="s">
        <v>39</v>
      </c>
      <c r="AL663" s="53">
        <v>0.92387522573877578</v>
      </c>
      <c r="AM663" s="53" t="str" cm="1">
        <f t="array" ref="AM663">IF(OR(O663&lt;&gt;"", SUMPRODUCT(($AN$2:$AN$5000=AN663)*($AL$2:$AL$5000&lt;=AL663)) &lt;= (COUNTIF($AN$2:$AN$5000,AN663)*0.5)), "SORTEADO", "-")</f>
        <v>-</v>
      </c>
      <c r="AN663" s="230" t="s">
        <v>1785</v>
      </c>
    </row>
    <row r="664" spans="1:40" ht="30" customHeight="1" x14ac:dyDescent="0.2">
      <c r="A664" s="230" t="s">
        <v>197</v>
      </c>
      <c r="B664" s="230">
        <v>2616647306</v>
      </c>
      <c r="C664" s="230" t="s">
        <v>100</v>
      </c>
      <c r="D664" s="230" t="s">
        <v>78</v>
      </c>
      <c r="E664" s="230" t="s">
        <v>198</v>
      </c>
      <c r="F664" s="230" t="s">
        <v>1817</v>
      </c>
      <c r="G664" s="230">
        <v>157</v>
      </c>
      <c r="H664" s="230"/>
      <c r="I664" s="230" t="s">
        <v>772</v>
      </c>
      <c r="J664" s="230" t="s">
        <v>248</v>
      </c>
      <c r="K664" s="230" t="s">
        <v>1818</v>
      </c>
      <c r="L664" s="230" t="s">
        <v>1785</v>
      </c>
      <c r="M664" s="230" t="s">
        <v>1819</v>
      </c>
      <c r="N664" s="230" t="s">
        <v>287</v>
      </c>
      <c r="O664" s="157" t="s">
        <v>204</v>
      </c>
      <c r="P664" s="143"/>
      <c r="Q664" s="144" t="s">
        <v>204</v>
      </c>
      <c r="R664" s="143"/>
      <c r="S664" s="144" t="s">
        <v>204</v>
      </c>
      <c r="T664" s="143"/>
      <c r="U664" s="144" t="s">
        <v>204</v>
      </c>
      <c r="V664" s="143"/>
      <c r="W664" s="144" t="s">
        <v>204</v>
      </c>
      <c r="X664" s="143"/>
      <c r="Y664" s="144" t="s">
        <v>204</v>
      </c>
      <c r="Z664" s="143"/>
      <c r="AA664" s="144" t="s">
        <v>204</v>
      </c>
      <c r="AB664" s="143"/>
      <c r="AC664" s="144" t="s">
        <v>204</v>
      </c>
      <c r="AD664" s="56"/>
      <c r="AE664" s="144" t="s">
        <v>204</v>
      </c>
      <c r="AF664" s="187" t="str">
        <f t="shared" si="43"/>
        <v>C</v>
      </c>
      <c r="AG664" s="54" t="str">
        <f t="shared" si="45"/>
        <v>UTILIZOU O PDA CORRETAMENTE</v>
      </c>
      <c r="AH664" s="144" t="s">
        <v>204</v>
      </c>
      <c r="AI664" s="210" t="s">
        <v>6</v>
      </c>
      <c r="AJ664" s="97" t="str">
        <f t="shared" si="44"/>
        <v>GUARULHOS</v>
      </c>
      <c r="AK664" s="213" t="s">
        <v>39</v>
      </c>
      <c r="AL664" s="53">
        <v>0.3775172660132724</v>
      </c>
      <c r="AM664" s="53" t="str" cm="1">
        <f t="array" ref="AM664">IF(OR(O664&lt;&gt;"", SUMPRODUCT(($AN$2:$AN$5000=AN664)*($AL$2:$AL$5000&lt;=AL664)) &lt;= (COUNTIF($AN$2:$AN$5000,AN664)*0.5)), "SORTEADO", "-")</f>
        <v>SORTEADO</v>
      </c>
      <c r="AN664" s="230" t="s">
        <v>1785</v>
      </c>
    </row>
    <row r="665" spans="1:40" ht="30" customHeight="1" x14ac:dyDescent="0.2">
      <c r="A665" s="230" t="s">
        <v>197</v>
      </c>
      <c r="B665" s="230">
        <v>2616647376</v>
      </c>
      <c r="C665" s="230" t="s">
        <v>100</v>
      </c>
      <c r="D665" s="230" t="s">
        <v>78</v>
      </c>
      <c r="E665" s="230" t="s">
        <v>198</v>
      </c>
      <c r="F665" s="230" t="s">
        <v>1817</v>
      </c>
      <c r="G665" s="230">
        <v>180</v>
      </c>
      <c r="H665" s="230" t="s">
        <v>1820</v>
      </c>
      <c r="I665" s="230" t="s">
        <v>772</v>
      </c>
      <c r="J665" s="230" t="s">
        <v>248</v>
      </c>
      <c r="K665" s="230" t="s">
        <v>1821</v>
      </c>
      <c r="L665" s="230" t="s">
        <v>1785</v>
      </c>
      <c r="M665" s="230" t="s">
        <v>1822</v>
      </c>
      <c r="N665" s="230" t="s">
        <v>287</v>
      </c>
      <c r="O665" s="157" t="s">
        <v>204</v>
      </c>
      <c r="P665" s="143"/>
      <c r="Q665" s="144" t="s">
        <v>204</v>
      </c>
      <c r="R665" s="143"/>
      <c r="S665" s="144" t="s">
        <v>204</v>
      </c>
      <c r="T665" s="143"/>
      <c r="U665" s="144" t="s">
        <v>204</v>
      </c>
      <c r="V665" s="143"/>
      <c r="W665" s="144" t="s">
        <v>204</v>
      </c>
      <c r="X665" s="143"/>
      <c r="Y665" s="144" t="s">
        <v>204</v>
      </c>
      <c r="Z665" s="143"/>
      <c r="AA665" s="144" t="s">
        <v>204</v>
      </c>
      <c r="AB665" s="143"/>
      <c r="AC665" s="144" t="s">
        <v>204</v>
      </c>
      <c r="AD665" s="56"/>
      <c r="AE665" s="144" t="s">
        <v>204</v>
      </c>
      <c r="AF665" s="187" t="str">
        <f t="shared" si="43"/>
        <v>C</v>
      </c>
      <c r="AG665" s="54" t="str">
        <f t="shared" si="45"/>
        <v>UTILIZOU O PDA CORRETAMENTE</v>
      </c>
      <c r="AH665" s="144" t="s">
        <v>204</v>
      </c>
      <c r="AI665" s="210" t="s">
        <v>6</v>
      </c>
      <c r="AJ665" s="97" t="str">
        <f t="shared" si="44"/>
        <v>GUARULHOS</v>
      </c>
      <c r="AK665" s="213" t="s">
        <v>39</v>
      </c>
      <c r="AL665" s="53">
        <v>0.29620567437315959</v>
      </c>
      <c r="AM665" s="53" t="str" cm="1">
        <f t="array" ref="AM665">IF(OR(O665&lt;&gt;"", SUMPRODUCT(($AN$2:$AN$5000=AN665)*($AL$2:$AL$5000&lt;=AL665)) &lt;= (COUNTIF($AN$2:$AN$5000,AN665)*0.5)), "SORTEADO", "-")</f>
        <v>SORTEADO</v>
      </c>
      <c r="AN665" s="230" t="s">
        <v>1785</v>
      </c>
    </row>
    <row r="666" spans="1:40" ht="30" hidden="1" customHeight="1" x14ac:dyDescent="0.2">
      <c r="A666" s="230" t="s">
        <v>197</v>
      </c>
      <c r="B666" s="230">
        <v>2616194179</v>
      </c>
      <c r="C666" s="230" t="s">
        <v>1781</v>
      </c>
      <c r="D666" s="230" t="s">
        <v>78</v>
      </c>
      <c r="E666" s="230" t="s">
        <v>198</v>
      </c>
      <c r="F666" s="230" t="s">
        <v>553</v>
      </c>
      <c r="G666" s="230">
        <v>55</v>
      </c>
      <c r="H666" s="230"/>
      <c r="I666" s="230" t="s">
        <v>554</v>
      </c>
      <c r="J666" s="230" t="s">
        <v>1783</v>
      </c>
      <c r="K666" s="230" t="s">
        <v>1823</v>
      </c>
      <c r="L666" s="230" t="s">
        <v>1785</v>
      </c>
      <c r="M666" s="230" t="s">
        <v>1824</v>
      </c>
      <c r="N666" s="230" t="s">
        <v>317</v>
      </c>
      <c r="O666" s="158"/>
      <c r="P666" s="92"/>
      <c r="Q666" s="146"/>
      <c r="R666" s="92"/>
      <c r="S666" s="146"/>
      <c r="T666" s="92"/>
      <c r="U666" s="146"/>
      <c r="V666" s="92"/>
      <c r="W666" s="146"/>
      <c r="X666" s="92"/>
      <c r="Y666" s="146"/>
      <c r="Z666" s="92"/>
      <c r="AA666" s="146"/>
      <c r="AB666" s="92"/>
      <c r="AC666" s="146"/>
      <c r="AD666" s="92"/>
      <c r="AE666" s="146"/>
      <c r="AF666" s="187" t="str">
        <f t="shared" si="43"/>
        <v/>
      </c>
      <c r="AG666" s="54" t="b">
        <f t="shared" si="45"/>
        <v>0</v>
      </c>
      <c r="AH666" s="146"/>
      <c r="AI666" s="210" t="s">
        <v>6</v>
      </c>
      <c r="AJ666" s="97" t="str">
        <f t="shared" si="44"/>
        <v>GUARULHOS</v>
      </c>
      <c r="AK666" s="213" t="s">
        <v>39</v>
      </c>
      <c r="AL666" s="53">
        <v>0.60760993419479858</v>
      </c>
      <c r="AM666" s="53" t="str" cm="1">
        <f t="array" ref="AM666">IF(OR(O666&lt;&gt;"", SUMPRODUCT(($AN$2:$AN$5000=AN666)*($AL$2:$AL$5000&lt;=AL666)) &lt;= (COUNTIF($AN$2:$AN$5000,AN666)*0.5)), "SORTEADO", "-")</f>
        <v>-</v>
      </c>
      <c r="AN666" s="230" t="s">
        <v>1785</v>
      </c>
    </row>
    <row r="667" spans="1:40" ht="30" customHeight="1" x14ac:dyDescent="0.2">
      <c r="A667" s="230" t="s">
        <v>197</v>
      </c>
      <c r="B667" s="230">
        <v>2616822246</v>
      </c>
      <c r="C667" s="230" t="s">
        <v>105</v>
      </c>
      <c r="D667" s="230" t="s">
        <v>80</v>
      </c>
      <c r="E667" s="230" t="s">
        <v>198</v>
      </c>
      <c r="F667" s="230" t="s">
        <v>641</v>
      </c>
      <c r="G667" s="230">
        <v>201</v>
      </c>
      <c r="H667" s="230" t="s">
        <v>213</v>
      </c>
      <c r="I667" s="230" t="s">
        <v>643</v>
      </c>
      <c r="J667" s="230" t="s">
        <v>226</v>
      </c>
      <c r="K667" s="230" t="s">
        <v>213</v>
      </c>
      <c r="L667" s="230" t="s">
        <v>1785</v>
      </c>
      <c r="M667" s="230" t="s">
        <v>1825</v>
      </c>
      <c r="N667" s="230" t="s">
        <v>244</v>
      </c>
      <c r="O667" s="158" t="s">
        <v>204</v>
      </c>
      <c r="P667" s="92"/>
      <c r="Q667" s="146" t="s">
        <v>204</v>
      </c>
      <c r="R667" s="92"/>
      <c r="S667" s="146" t="s">
        <v>204</v>
      </c>
      <c r="T667" s="92"/>
      <c r="U667" s="146" t="s">
        <v>204</v>
      </c>
      <c r="V667" s="92"/>
      <c r="W667" s="146" t="s">
        <v>204</v>
      </c>
      <c r="X667" s="92"/>
      <c r="Y667" s="146" t="s">
        <v>61</v>
      </c>
      <c r="Z667" s="92"/>
      <c r="AA667" s="146" t="s">
        <v>204</v>
      </c>
      <c r="AB667" s="92"/>
      <c r="AC667" s="146" t="s">
        <v>204</v>
      </c>
      <c r="AD667" s="92"/>
      <c r="AE667" s="146" t="s">
        <v>204</v>
      </c>
      <c r="AF667" s="187" t="str">
        <f t="shared" si="43"/>
        <v>C</v>
      </c>
      <c r="AG667" s="54" t="str">
        <f t="shared" si="45"/>
        <v>UTILIZOU O PDA CORRETAMENTE</v>
      </c>
      <c r="AH667" s="144" t="s">
        <v>204</v>
      </c>
      <c r="AI667" s="210" t="s">
        <v>6</v>
      </c>
      <c r="AJ667" s="97" t="str">
        <f t="shared" si="44"/>
        <v>GUARULHOS</v>
      </c>
      <c r="AK667" s="213" t="s">
        <v>39</v>
      </c>
      <c r="AL667" s="53">
        <v>0.30814787647255149</v>
      </c>
      <c r="AM667" s="53" t="str" cm="1">
        <f t="array" ref="AM667">IF(OR(O667&lt;&gt;"", SUMPRODUCT(($AN$2:$AN$5000=AN667)*($AL$2:$AL$5000&lt;=AL667)) &lt;= (COUNTIF($AN$2:$AN$5000,AN667)*0.5)), "SORTEADO", "-")</f>
        <v>SORTEADO</v>
      </c>
      <c r="AN667" s="230" t="s">
        <v>1785</v>
      </c>
    </row>
    <row r="668" spans="1:40" ht="30" hidden="1" customHeight="1" x14ac:dyDescent="0.2">
      <c r="A668" s="230" t="s">
        <v>197</v>
      </c>
      <c r="B668" s="230">
        <v>2616823415</v>
      </c>
      <c r="C668" s="230" t="s">
        <v>100</v>
      </c>
      <c r="D668" s="230" t="s">
        <v>78</v>
      </c>
      <c r="E668" s="230" t="s">
        <v>198</v>
      </c>
      <c r="F668" s="230" t="s">
        <v>1355</v>
      </c>
      <c r="G668" s="230">
        <v>168</v>
      </c>
      <c r="H668" s="230" t="s">
        <v>362</v>
      </c>
      <c r="I668" s="230" t="s">
        <v>588</v>
      </c>
      <c r="J668" s="230" t="s">
        <v>248</v>
      </c>
      <c r="K668" s="230"/>
      <c r="L668" s="230" t="s">
        <v>1785</v>
      </c>
      <c r="M668" s="230" t="s">
        <v>1826</v>
      </c>
      <c r="N668" s="230" t="s">
        <v>228</v>
      </c>
      <c r="O668" s="158"/>
      <c r="P668" s="92"/>
      <c r="Q668" s="146"/>
      <c r="R668" s="92"/>
      <c r="S668" s="146"/>
      <c r="T668" s="92"/>
      <c r="U668" s="146"/>
      <c r="V668" s="92"/>
      <c r="W668" s="146"/>
      <c r="X668" s="92"/>
      <c r="Y668" s="146"/>
      <c r="Z668" s="92"/>
      <c r="AA668" s="146"/>
      <c r="AB668" s="92"/>
      <c r="AC668" s="146"/>
      <c r="AD668" s="92"/>
      <c r="AE668" s="146"/>
      <c r="AF668" s="187" t="str">
        <f t="shared" si="43"/>
        <v/>
      </c>
      <c r="AG668" s="54" t="b">
        <f t="shared" si="45"/>
        <v>0</v>
      </c>
      <c r="AH668" s="146"/>
      <c r="AI668" s="210" t="s">
        <v>6</v>
      </c>
      <c r="AJ668" s="97" t="str">
        <f t="shared" si="44"/>
        <v>GUARULHOS</v>
      </c>
      <c r="AK668" s="213" t="s">
        <v>39</v>
      </c>
      <c r="AL668" s="53">
        <v>0.52082015902355905</v>
      </c>
      <c r="AM668" s="53" t="str" cm="1">
        <f t="array" ref="AM668">IF(OR(O668&lt;&gt;"", SUMPRODUCT(($AN$2:$AN$5000=AN668)*($AL$2:$AL$5000&lt;=AL668)) &lt;= (COUNTIF($AN$2:$AN$5000,AN668)*0.5)), "SORTEADO", "-")</f>
        <v>-</v>
      </c>
      <c r="AN668" s="230" t="s">
        <v>1785</v>
      </c>
    </row>
    <row r="669" spans="1:40" ht="30" hidden="1" customHeight="1" x14ac:dyDescent="0.2">
      <c r="A669" s="230" t="s">
        <v>197</v>
      </c>
      <c r="B669" s="230">
        <v>2691179531</v>
      </c>
      <c r="C669" s="230" t="s">
        <v>102</v>
      </c>
      <c r="D669" s="230" t="s">
        <v>80</v>
      </c>
      <c r="E669" s="230" t="s">
        <v>198</v>
      </c>
      <c r="F669" s="230" t="s">
        <v>724</v>
      </c>
      <c r="G669" s="230">
        <v>56</v>
      </c>
      <c r="H669" s="230" t="s">
        <v>213</v>
      </c>
      <c r="I669" s="230" t="s">
        <v>509</v>
      </c>
      <c r="J669" s="230" t="s">
        <v>259</v>
      </c>
      <c r="K669" s="230" t="s">
        <v>1827</v>
      </c>
      <c r="L669" s="230" t="s">
        <v>1785</v>
      </c>
      <c r="M669" s="230" t="s">
        <v>1828</v>
      </c>
      <c r="N669" s="230" t="s">
        <v>381</v>
      </c>
      <c r="O669" s="158"/>
      <c r="P669" s="92"/>
      <c r="Q669" s="146"/>
      <c r="R669" s="92"/>
      <c r="S669" s="146"/>
      <c r="T669" s="92"/>
      <c r="U669" s="146"/>
      <c r="V669" s="92"/>
      <c r="W669" s="146"/>
      <c r="X669" s="92"/>
      <c r="Y669" s="146"/>
      <c r="Z669" s="92"/>
      <c r="AA669" s="146"/>
      <c r="AB669" s="92"/>
      <c r="AC669" s="146"/>
      <c r="AD669" s="92"/>
      <c r="AE669" s="146"/>
      <c r="AF669" s="187" t="str">
        <f t="shared" si="43"/>
        <v/>
      </c>
      <c r="AG669" s="54" t="b">
        <f t="shared" si="45"/>
        <v>0</v>
      </c>
      <c r="AH669" s="146"/>
      <c r="AI669" s="210" t="s">
        <v>6</v>
      </c>
      <c r="AJ669" s="97" t="str">
        <f t="shared" si="44"/>
        <v>GUARULHOS</v>
      </c>
      <c r="AK669" s="213" t="s">
        <v>39</v>
      </c>
      <c r="AL669" s="53">
        <v>0.59407928979261071</v>
      </c>
      <c r="AM669" s="53" t="str" cm="1">
        <f t="array" ref="AM669">IF(OR(O669&lt;&gt;"", SUMPRODUCT(($AN$2:$AN$5000=AN669)*($AL$2:$AL$5000&lt;=AL669)) &lt;= (COUNTIF($AN$2:$AN$5000,AN669)*0.5)), "SORTEADO", "-")</f>
        <v>-</v>
      </c>
      <c r="AN669" s="230" t="s">
        <v>1785</v>
      </c>
    </row>
    <row r="670" spans="1:40" ht="30" customHeight="1" x14ac:dyDescent="0.2">
      <c r="A670" s="230" t="s">
        <v>197</v>
      </c>
      <c r="B670" s="230">
        <v>2691177661</v>
      </c>
      <c r="C670" s="230" t="s">
        <v>102</v>
      </c>
      <c r="D670" s="230" t="s">
        <v>80</v>
      </c>
      <c r="E670" s="230" t="s">
        <v>198</v>
      </c>
      <c r="F670" s="230" t="s">
        <v>1829</v>
      </c>
      <c r="G670" s="230">
        <v>125</v>
      </c>
      <c r="H670" s="230" t="s">
        <v>1830</v>
      </c>
      <c r="I670" s="230" t="s">
        <v>1587</v>
      </c>
      <c r="J670" s="230" t="s">
        <v>270</v>
      </c>
      <c r="K670" s="230"/>
      <c r="L670" s="230" t="s">
        <v>1785</v>
      </c>
      <c r="M670" s="230" t="s">
        <v>1831</v>
      </c>
      <c r="N670" s="230" t="s">
        <v>228</v>
      </c>
      <c r="O670" s="158" t="s">
        <v>204</v>
      </c>
      <c r="P670" s="92"/>
      <c r="Q670" s="146" t="s">
        <v>204</v>
      </c>
      <c r="R670" s="92"/>
      <c r="S670" s="146" t="s">
        <v>204</v>
      </c>
      <c r="T670" s="92"/>
      <c r="U670" s="146" t="s">
        <v>204</v>
      </c>
      <c r="V670" s="92"/>
      <c r="W670" s="146" t="s">
        <v>204</v>
      </c>
      <c r="X670" s="92"/>
      <c r="Y670" s="146" t="s">
        <v>61</v>
      </c>
      <c r="Z670" s="92"/>
      <c r="AA670" s="146" t="s">
        <v>204</v>
      </c>
      <c r="AB670" s="92"/>
      <c r="AC670" s="146" t="s">
        <v>204</v>
      </c>
      <c r="AD670" s="92"/>
      <c r="AE670" s="146" t="s">
        <v>204</v>
      </c>
      <c r="AF670" s="187" t="str">
        <f t="shared" si="43"/>
        <v>C</v>
      </c>
      <c r="AG670" s="54" t="str">
        <f t="shared" si="45"/>
        <v>UTILIZOU O PDA CORRETAMENTE</v>
      </c>
      <c r="AH670" s="144" t="s">
        <v>204</v>
      </c>
      <c r="AI670" s="210" t="s">
        <v>6</v>
      </c>
      <c r="AJ670" s="97" t="str">
        <f t="shared" si="44"/>
        <v>GUARULHOS</v>
      </c>
      <c r="AK670" s="213" t="s">
        <v>39</v>
      </c>
      <c r="AL670" s="53">
        <v>0.35227586857056747</v>
      </c>
      <c r="AM670" s="53" t="str" cm="1">
        <f t="array" ref="AM670">IF(OR(O670&lt;&gt;"", SUMPRODUCT(($AN$2:$AN$5000=AN670)*($AL$2:$AL$5000&lt;=AL670)) &lt;= (COUNTIF($AN$2:$AN$5000,AN670)*0.5)), "SORTEADO", "-")</f>
        <v>SORTEADO</v>
      </c>
      <c r="AN670" s="230" t="s">
        <v>1785</v>
      </c>
    </row>
    <row r="671" spans="1:40" ht="30" customHeight="1" x14ac:dyDescent="0.2">
      <c r="A671" s="230" t="s">
        <v>197</v>
      </c>
      <c r="B671" s="230">
        <v>2616827312</v>
      </c>
      <c r="C671" s="230" t="s">
        <v>105</v>
      </c>
      <c r="D671" s="230" t="s">
        <v>80</v>
      </c>
      <c r="E671" s="230" t="s">
        <v>198</v>
      </c>
      <c r="F671" s="230" t="s">
        <v>1832</v>
      </c>
      <c r="G671" s="230">
        <v>0</v>
      </c>
      <c r="H671" s="230" t="s">
        <v>213</v>
      </c>
      <c r="I671" s="230" t="s">
        <v>258</v>
      </c>
      <c r="J671" s="230" t="s">
        <v>226</v>
      </c>
      <c r="K671" s="230" t="s">
        <v>1833</v>
      </c>
      <c r="L671" s="230" t="s">
        <v>1785</v>
      </c>
      <c r="M671" s="230" t="s">
        <v>1834</v>
      </c>
      <c r="N671" s="230" t="s">
        <v>322</v>
      </c>
      <c r="O671" s="158" t="s">
        <v>204</v>
      </c>
      <c r="P671" s="92"/>
      <c r="Q671" s="146" t="s">
        <v>204</v>
      </c>
      <c r="R671" s="92"/>
      <c r="S671" s="146" t="s">
        <v>204</v>
      </c>
      <c r="T671" s="92"/>
      <c r="U671" s="146" t="s">
        <v>204</v>
      </c>
      <c r="V671" s="92"/>
      <c r="W671" s="146" t="s">
        <v>204</v>
      </c>
      <c r="X671" s="92"/>
      <c r="Y671" s="146" t="s">
        <v>61</v>
      </c>
      <c r="Z671" s="92"/>
      <c r="AA671" s="146" t="s">
        <v>204</v>
      </c>
      <c r="AB671" s="92"/>
      <c r="AC671" s="146" t="s">
        <v>204</v>
      </c>
      <c r="AD671" s="92"/>
      <c r="AE671" s="146" t="s">
        <v>204</v>
      </c>
      <c r="AF671" s="187" t="str">
        <f t="shared" si="43"/>
        <v>C</v>
      </c>
      <c r="AG671" s="54" t="str">
        <f t="shared" si="45"/>
        <v>UTILIZOU O PDA CORRETAMENTE</v>
      </c>
      <c r="AH671" s="144" t="s">
        <v>204</v>
      </c>
      <c r="AI671" s="210" t="s">
        <v>6</v>
      </c>
      <c r="AJ671" s="97" t="str">
        <f t="shared" si="44"/>
        <v>GUARULHOS</v>
      </c>
      <c r="AK671" s="213" t="s">
        <v>39</v>
      </c>
      <c r="AL671" s="53">
        <v>0.34777893992511777</v>
      </c>
      <c r="AM671" s="53" t="str" cm="1">
        <f t="array" ref="AM671">IF(OR(O671&lt;&gt;"", SUMPRODUCT(($AN$2:$AN$5000=AN671)*($AL$2:$AL$5000&lt;=AL671)) &lt;= (COUNTIF($AN$2:$AN$5000,AN671)*0.5)), "SORTEADO", "-")</f>
        <v>SORTEADO</v>
      </c>
      <c r="AN671" s="230" t="s">
        <v>1785</v>
      </c>
    </row>
    <row r="672" spans="1:40" ht="30" customHeight="1" x14ac:dyDescent="0.2">
      <c r="A672" s="230" t="s">
        <v>197</v>
      </c>
      <c r="B672" s="230">
        <v>2691183769</v>
      </c>
      <c r="C672" s="230" t="s">
        <v>101</v>
      </c>
      <c r="D672" s="230" t="s">
        <v>80</v>
      </c>
      <c r="E672" s="230" t="s">
        <v>198</v>
      </c>
      <c r="F672" s="230" t="s">
        <v>1835</v>
      </c>
      <c r="G672" s="230">
        <v>73</v>
      </c>
      <c r="H672" s="230" t="s">
        <v>1836</v>
      </c>
      <c r="I672" s="230" t="s">
        <v>207</v>
      </c>
      <c r="J672" s="230" t="s">
        <v>270</v>
      </c>
      <c r="K672" s="230"/>
      <c r="L672" s="230" t="s">
        <v>1785</v>
      </c>
      <c r="M672" s="230" t="s">
        <v>1837</v>
      </c>
      <c r="N672" s="230" t="s">
        <v>250</v>
      </c>
      <c r="O672" s="158" t="s">
        <v>204</v>
      </c>
      <c r="P672" s="92"/>
      <c r="Q672" s="146" t="s">
        <v>204</v>
      </c>
      <c r="R672" s="92"/>
      <c r="S672" s="146" t="s">
        <v>204</v>
      </c>
      <c r="T672" s="92"/>
      <c r="U672" s="146" t="s">
        <v>204</v>
      </c>
      <c r="V672" s="92"/>
      <c r="W672" s="146" t="s">
        <v>204</v>
      </c>
      <c r="X672" s="92"/>
      <c r="Y672" s="146" t="s">
        <v>61</v>
      </c>
      <c r="Z672" s="92"/>
      <c r="AA672" s="146" t="s">
        <v>204</v>
      </c>
      <c r="AB672" s="92"/>
      <c r="AC672" s="146" t="s">
        <v>204</v>
      </c>
      <c r="AD672" s="92"/>
      <c r="AE672" s="146" t="s">
        <v>204</v>
      </c>
      <c r="AF672" s="187" t="str">
        <f t="shared" si="43"/>
        <v>C</v>
      </c>
      <c r="AG672" s="54" t="str">
        <f t="shared" si="45"/>
        <v>UTILIZOU O PDA CORRETAMENTE</v>
      </c>
      <c r="AH672" s="144" t="s">
        <v>204</v>
      </c>
      <c r="AI672" s="210" t="s">
        <v>6</v>
      </c>
      <c r="AJ672" s="97" t="str">
        <f t="shared" si="44"/>
        <v>GUARULHOS</v>
      </c>
      <c r="AK672" s="213" t="s">
        <v>39</v>
      </c>
      <c r="AL672" s="53">
        <v>0.11342510334196199</v>
      </c>
      <c r="AM672" s="53" t="str" cm="1">
        <f t="array" ref="AM672">IF(OR(O672&lt;&gt;"", SUMPRODUCT(($AN$2:$AN$5000=AN672)*($AL$2:$AL$5000&lt;=AL672)) &lt;= (COUNTIF($AN$2:$AN$5000,AN672)*0.5)), "SORTEADO", "-")</f>
        <v>SORTEADO</v>
      </c>
      <c r="AN672" s="230" t="s">
        <v>1785</v>
      </c>
    </row>
    <row r="673" spans="1:40" ht="30" hidden="1" customHeight="1" x14ac:dyDescent="0.2">
      <c r="A673" s="230" t="s">
        <v>197</v>
      </c>
      <c r="B673" s="230">
        <v>2616834018</v>
      </c>
      <c r="C673" s="230" t="s">
        <v>100</v>
      </c>
      <c r="D673" s="230" t="s">
        <v>78</v>
      </c>
      <c r="E673" s="230" t="s">
        <v>198</v>
      </c>
      <c r="F673" s="230" t="s">
        <v>1817</v>
      </c>
      <c r="G673" s="230">
        <v>190</v>
      </c>
      <c r="H673" s="230" t="s">
        <v>213</v>
      </c>
      <c r="I673" s="230" t="s">
        <v>772</v>
      </c>
      <c r="J673" s="230" t="s">
        <v>248</v>
      </c>
      <c r="K673" s="230" t="s">
        <v>1838</v>
      </c>
      <c r="L673" s="230" t="s">
        <v>1785</v>
      </c>
      <c r="M673" s="230" t="s">
        <v>1828</v>
      </c>
      <c r="N673" s="230" t="s">
        <v>348</v>
      </c>
      <c r="O673" s="158"/>
      <c r="P673" s="92"/>
      <c r="Q673" s="146"/>
      <c r="R673" s="92"/>
      <c r="S673" s="146"/>
      <c r="T673" s="92"/>
      <c r="U673" s="146"/>
      <c r="V673" s="92"/>
      <c r="W673" s="146"/>
      <c r="X673" s="92"/>
      <c r="Y673" s="146"/>
      <c r="Z673" s="92"/>
      <c r="AA673" s="146"/>
      <c r="AB673" s="92"/>
      <c r="AC673" s="146"/>
      <c r="AD673" s="92"/>
      <c r="AE673" s="146"/>
      <c r="AF673" s="187" t="str">
        <f t="shared" si="43"/>
        <v/>
      </c>
      <c r="AG673" s="54" t="b">
        <f t="shared" si="45"/>
        <v>0</v>
      </c>
      <c r="AH673" s="146"/>
      <c r="AI673" s="210" t="s">
        <v>6</v>
      </c>
      <c r="AJ673" s="97" t="str">
        <f t="shared" si="44"/>
        <v>GUARULHOS</v>
      </c>
      <c r="AK673" s="213" t="s">
        <v>39</v>
      </c>
      <c r="AL673" s="53">
        <v>0.54181444027315973</v>
      </c>
      <c r="AM673" s="53" t="str" cm="1">
        <f t="array" ref="AM673">IF(OR(O673&lt;&gt;"", SUMPRODUCT(($AN$2:$AN$5000=AN673)*($AL$2:$AL$5000&lt;=AL673)) &lt;= (COUNTIF($AN$2:$AN$5000,AN673)*0.5)), "SORTEADO", "-")</f>
        <v>-</v>
      </c>
      <c r="AN673" s="230" t="s">
        <v>1785</v>
      </c>
    </row>
    <row r="674" spans="1:40" ht="30" hidden="1" customHeight="1" x14ac:dyDescent="0.2">
      <c r="A674" s="230" t="s">
        <v>197</v>
      </c>
      <c r="B674" s="230">
        <v>2616836164</v>
      </c>
      <c r="C674" s="230" t="s">
        <v>104</v>
      </c>
      <c r="D674" s="230" t="s">
        <v>80</v>
      </c>
      <c r="E674" s="230" t="s">
        <v>198</v>
      </c>
      <c r="F674" s="230" t="s">
        <v>1496</v>
      </c>
      <c r="G674" s="230">
        <v>49</v>
      </c>
      <c r="H674" s="230" t="s">
        <v>715</v>
      </c>
      <c r="I674" s="230" t="s">
        <v>732</v>
      </c>
      <c r="J674" s="230" t="s">
        <v>226</v>
      </c>
      <c r="K674" s="230"/>
      <c r="L674" s="230" t="s">
        <v>1785</v>
      </c>
      <c r="M674" s="230" t="s">
        <v>1839</v>
      </c>
      <c r="N674" s="230" t="s">
        <v>237</v>
      </c>
      <c r="O674" s="158"/>
      <c r="P674" s="92"/>
      <c r="Q674" s="146"/>
      <c r="R674" s="92"/>
      <c r="S674" s="146"/>
      <c r="T674" s="92"/>
      <c r="U674" s="146"/>
      <c r="V674" s="92"/>
      <c r="W674" s="146"/>
      <c r="X674" s="92"/>
      <c r="Y674" s="146"/>
      <c r="Z674" s="92"/>
      <c r="AA674" s="146"/>
      <c r="AB674" s="92"/>
      <c r="AC674" s="146"/>
      <c r="AD674" s="92"/>
      <c r="AE674" s="146"/>
      <c r="AF674" s="187" t="str">
        <f t="shared" si="43"/>
        <v/>
      </c>
      <c r="AG674" s="54" t="b">
        <f t="shared" si="45"/>
        <v>0</v>
      </c>
      <c r="AH674" s="146"/>
      <c r="AI674" s="210" t="s">
        <v>6</v>
      </c>
      <c r="AJ674" s="97" t="str">
        <f t="shared" si="44"/>
        <v>GUARULHOS</v>
      </c>
      <c r="AK674" s="213" t="s">
        <v>39</v>
      </c>
      <c r="AL674" s="53">
        <v>0.6580897530558284</v>
      </c>
      <c r="AM674" s="53" t="str" cm="1">
        <f t="array" ref="AM674">IF(OR(O674&lt;&gt;"", SUMPRODUCT(($AN$2:$AN$5000=AN674)*($AL$2:$AL$5000&lt;=AL674)) &lt;= (COUNTIF($AN$2:$AN$5000,AN674)*0.5)), "SORTEADO", "-")</f>
        <v>-</v>
      </c>
      <c r="AN674" s="230" t="s">
        <v>1785</v>
      </c>
    </row>
    <row r="675" spans="1:40" ht="30" customHeight="1" x14ac:dyDescent="0.2">
      <c r="A675" s="230" t="s">
        <v>197</v>
      </c>
      <c r="B675" s="230">
        <v>2616836368</v>
      </c>
      <c r="C675" s="230" t="s">
        <v>104</v>
      </c>
      <c r="D675" s="230" t="s">
        <v>80</v>
      </c>
      <c r="E675" s="230" t="s">
        <v>198</v>
      </c>
      <c r="F675" s="230" t="s">
        <v>1496</v>
      </c>
      <c r="G675" s="230">
        <v>43</v>
      </c>
      <c r="H675" s="230" t="s">
        <v>1840</v>
      </c>
      <c r="I675" s="230" t="s">
        <v>732</v>
      </c>
      <c r="J675" s="230" t="s">
        <v>226</v>
      </c>
      <c r="K675" s="230" t="s">
        <v>213</v>
      </c>
      <c r="L675" s="230" t="s">
        <v>1785</v>
      </c>
      <c r="M675" s="230" t="s">
        <v>1841</v>
      </c>
      <c r="N675" s="230" t="s">
        <v>237</v>
      </c>
      <c r="O675" s="158" t="s">
        <v>204</v>
      </c>
      <c r="P675" s="92"/>
      <c r="Q675" s="146" t="s">
        <v>204</v>
      </c>
      <c r="R675" s="92"/>
      <c r="S675" s="146" t="s">
        <v>204</v>
      </c>
      <c r="T675" s="92"/>
      <c r="U675" s="146" t="s">
        <v>204</v>
      </c>
      <c r="V675" s="92"/>
      <c r="W675" s="146" t="s">
        <v>204</v>
      </c>
      <c r="X675" s="92"/>
      <c r="Y675" s="146" t="s">
        <v>61</v>
      </c>
      <c r="Z675" s="92"/>
      <c r="AA675" s="146" t="s">
        <v>204</v>
      </c>
      <c r="AB675" s="92"/>
      <c r="AC675" s="146" t="s">
        <v>204</v>
      </c>
      <c r="AD675" s="92"/>
      <c r="AE675" s="146" t="s">
        <v>204</v>
      </c>
      <c r="AF675" s="187" t="str">
        <f t="shared" si="43"/>
        <v>C</v>
      </c>
      <c r="AG675" s="54" t="str">
        <f t="shared" si="45"/>
        <v>UTILIZOU O PDA CORRETAMENTE</v>
      </c>
      <c r="AH675" s="144" t="s">
        <v>204</v>
      </c>
      <c r="AI675" s="210" t="s">
        <v>6</v>
      </c>
      <c r="AJ675" s="97" t="str">
        <f t="shared" si="44"/>
        <v>GUARULHOS</v>
      </c>
      <c r="AK675" s="213" t="s">
        <v>39</v>
      </c>
      <c r="AL675" s="53">
        <v>0.40402926991922139</v>
      </c>
      <c r="AM675" s="53" t="str" cm="1">
        <f t="array" ref="AM675">IF(OR(O675&lt;&gt;"", SUMPRODUCT(($AN$2:$AN$5000=AN675)*($AL$2:$AL$5000&lt;=AL675)) &lt;= (COUNTIF($AN$2:$AN$5000,AN675)*0.5)), "SORTEADO", "-")</f>
        <v>SORTEADO</v>
      </c>
      <c r="AN675" s="230" t="s">
        <v>1785</v>
      </c>
    </row>
    <row r="676" spans="1:40" ht="30" hidden="1" customHeight="1" x14ac:dyDescent="0.2">
      <c r="A676" s="230" t="s">
        <v>197</v>
      </c>
      <c r="B676" s="230">
        <v>2616838996</v>
      </c>
      <c r="C676" s="230" t="s">
        <v>104</v>
      </c>
      <c r="D676" s="230" t="s">
        <v>80</v>
      </c>
      <c r="E676" s="230" t="s">
        <v>198</v>
      </c>
      <c r="F676" s="230" t="s">
        <v>1842</v>
      </c>
      <c r="G676" s="230">
        <v>369</v>
      </c>
      <c r="H676" s="230" t="s">
        <v>1843</v>
      </c>
      <c r="I676" s="230" t="s">
        <v>1445</v>
      </c>
      <c r="J676" s="230" t="s">
        <v>226</v>
      </c>
      <c r="K676" s="230"/>
      <c r="L676" s="230" t="s">
        <v>1785</v>
      </c>
      <c r="M676" s="230" t="s">
        <v>1844</v>
      </c>
      <c r="N676" s="230" t="s">
        <v>250</v>
      </c>
      <c r="O676" s="158"/>
      <c r="P676" s="92"/>
      <c r="Q676" s="146"/>
      <c r="R676" s="92"/>
      <c r="S676" s="146"/>
      <c r="T676" s="92"/>
      <c r="U676" s="146"/>
      <c r="V676" s="92"/>
      <c r="W676" s="146"/>
      <c r="X676" s="92"/>
      <c r="Y676" s="146"/>
      <c r="Z676" s="92"/>
      <c r="AA676" s="146"/>
      <c r="AB676" s="92"/>
      <c r="AC676" s="146"/>
      <c r="AD676" s="92"/>
      <c r="AE676" s="146"/>
      <c r="AF676" s="187" t="str">
        <f t="shared" si="43"/>
        <v/>
      </c>
      <c r="AG676" s="54" t="b">
        <f t="shared" si="45"/>
        <v>0</v>
      </c>
      <c r="AH676" s="146"/>
      <c r="AI676" s="210" t="s">
        <v>6</v>
      </c>
      <c r="AJ676" s="97" t="str">
        <f t="shared" si="44"/>
        <v>GUARULHOS</v>
      </c>
      <c r="AK676" s="213" t="s">
        <v>39</v>
      </c>
      <c r="AL676" s="53">
        <v>0.84921519099438725</v>
      </c>
      <c r="AM676" s="53" t="str" cm="1">
        <f t="array" ref="AM676">IF(OR(O676&lt;&gt;"", SUMPRODUCT(($AN$2:$AN$5000=AN676)*($AL$2:$AL$5000&lt;=AL676)) &lt;= (COUNTIF($AN$2:$AN$5000,AN676)*0.5)), "SORTEADO", "-")</f>
        <v>-</v>
      </c>
      <c r="AN676" s="230" t="s">
        <v>1785</v>
      </c>
    </row>
    <row r="677" spans="1:40" ht="30" hidden="1" customHeight="1" x14ac:dyDescent="0.2">
      <c r="A677" s="230" t="s">
        <v>197</v>
      </c>
      <c r="B677" s="230">
        <v>2616846685</v>
      </c>
      <c r="C677" s="230" t="s">
        <v>100</v>
      </c>
      <c r="D677" s="230" t="s">
        <v>78</v>
      </c>
      <c r="E677" s="230" t="s">
        <v>198</v>
      </c>
      <c r="F677" s="230" t="s">
        <v>1845</v>
      </c>
      <c r="G677" s="230">
        <v>160</v>
      </c>
      <c r="H677" s="230" t="s">
        <v>206</v>
      </c>
      <c r="I677" s="230" t="s">
        <v>588</v>
      </c>
      <c r="J677" s="230" t="s">
        <v>248</v>
      </c>
      <c r="K677" s="230" t="s">
        <v>1846</v>
      </c>
      <c r="L677" s="230" t="s">
        <v>1785</v>
      </c>
      <c r="M677" s="230" t="s">
        <v>1847</v>
      </c>
      <c r="N677" s="230" t="s">
        <v>241</v>
      </c>
      <c r="O677" s="158"/>
      <c r="P677" s="92"/>
      <c r="Q677" s="146"/>
      <c r="R677" s="92"/>
      <c r="S677" s="146"/>
      <c r="T677" s="92"/>
      <c r="U677" s="146"/>
      <c r="V677" s="92"/>
      <c r="W677" s="146"/>
      <c r="X677" s="92"/>
      <c r="Y677" s="146"/>
      <c r="Z677" s="92"/>
      <c r="AA677" s="146"/>
      <c r="AB677" s="92"/>
      <c r="AC677" s="146"/>
      <c r="AD677" s="92"/>
      <c r="AE677" s="146"/>
      <c r="AF677" s="187" t="str">
        <f t="shared" si="43"/>
        <v/>
      </c>
      <c r="AG677" s="54" t="b">
        <f t="shared" si="45"/>
        <v>0</v>
      </c>
      <c r="AH677" s="146"/>
      <c r="AI677" s="210" t="s">
        <v>6</v>
      </c>
      <c r="AJ677" s="97" t="str">
        <f t="shared" si="44"/>
        <v>GUARULHOS</v>
      </c>
      <c r="AK677" s="213" t="s">
        <v>39</v>
      </c>
      <c r="AL677" s="53">
        <v>0.99580349991896389</v>
      </c>
      <c r="AM677" s="53" t="str" cm="1">
        <f t="array" ref="AM677">IF(OR(O677&lt;&gt;"", SUMPRODUCT(($AN$2:$AN$5000=AN677)*($AL$2:$AL$5000&lt;=AL677)) &lt;= (COUNTIF($AN$2:$AN$5000,AN677)*0.5)), "SORTEADO", "-")</f>
        <v>-</v>
      </c>
      <c r="AN677" s="230" t="s">
        <v>1785</v>
      </c>
    </row>
    <row r="678" spans="1:40" ht="30" hidden="1" customHeight="1" x14ac:dyDescent="0.2">
      <c r="A678" s="230" t="s">
        <v>197</v>
      </c>
      <c r="B678" s="230">
        <v>2691196755</v>
      </c>
      <c r="C678" s="230" t="s">
        <v>102</v>
      </c>
      <c r="D678" s="230" t="s">
        <v>80</v>
      </c>
      <c r="E678" s="230" t="s">
        <v>198</v>
      </c>
      <c r="F678" s="230" t="s">
        <v>1848</v>
      </c>
      <c r="G678" s="230">
        <v>232</v>
      </c>
      <c r="H678" s="230" t="s">
        <v>1849</v>
      </c>
      <c r="I678" s="230" t="s">
        <v>301</v>
      </c>
      <c r="J678" s="230" t="s">
        <v>270</v>
      </c>
      <c r="K678" s="230"/>
      <c r="L678" s="230" t="s">
        <v>1785</v>
      </c>
      <c r="M678" s="230" t="s">
        <v>1850</v>
      </c>
      <c r="N678" s="230" t="s">
        <v>303</v>
      </c>
      <c r="O678" s="158"/>
      <c r="P678" s="92"/>
      <c r="Q678" s="146"/>
      <c r="R678" s="92"/>
      <c r="S678" s="146"/>
      <c r="T678" s="92"/>
      <c r="U678" s="146"/>
      <c r="V678" s="92"/>
      <c r="W678" s="146"/>
      <c r="X678" s="92"/>
      <c r="Y678" s="146"/>
      <c r="Z678" s="92"/>
      <c r="AA678" s="146"/>
      <c r="AB678" s="92"/>
      <c r="AC678" s="146"/>
      <c r="AD678" s="92"/>
      <c r="AE678" s="146"/>
      <c r="AF678" s="187" t="str">
        <f t="shared" si="43"/>
        <v/>
      </c>
      <c r="AG678" s="54" t="b">
        <f t="shared" si="45"/>
        <v>0</v>
      </c>
      <c r="AH678" s="146"/>
      <c r="AI678" s="210" t="s">
        <v>6</v>
      </c>
      <c r="AJ678" s="97" t="str">
        <f t="shared" si="44"/>
        <v>GUARULHOS</v>
      </c>
      <c r="AK678" s="213" t="s">
        <v>39</v>
      </c>
      <c r="AL678" s="53">
        <v>0.57817016916812702</v>
      </c>
      <c r="AM678" s="53" t="str" cm="1">
        <f t="array" ref="AM678">IF(OR(O678&lt;&gt;"", SUMPRODUCT(($AN$2:$AN$5000=AN678)*($AL$2:$AL$5000&lt;=AL678)) &lt;= (COUNTIF($AN$2:$AN$5000,AN678)*0.5)), "SORTEADO", "-")</f>
        <v>-</v>
      </c>
      <c r="AN678" s="230" t="s">
        <v>1785</v>
      </c>
    </row>
    <row r="679" spans="1:40" ht="30" customHeight="1" x14ac:dyDescent="0.2">
      <c r="A679" s="230" t="s">
        <v>197</v>
      </c>
      <c r="B679" s="230">
        <v>2691200537</v>
      </c>
      <c r="C679" s="230" t="s">
        <v>102</v>
      </c>
      <c r="D679" s="230" t="s">
        <v>80</v>
      </c>
      <c r="E679" s="230" t="s">
        <v>198</v>
      </c>
      <c r="F679" s="230" t="s">
        <v>1851</v>
      </c>
      <c r="G679" s="230">
        <v>38</v>
      </c>
      <c r="H679" s="230" t="s">
        <v>1852</v>
      </c>
      <c r="I679" s="230" t="s">
        <v>411</v>
      </c>
      <c r="J679" s="230" t="s">
        <v>270</v>
      </c>
      <c r="K679" s="230" t="s">
        <v>213</v>
      </c>
      <c r="L679" s="230" t="s">
        <v>1785</v>
      </c>
      <c r="M679" s="230" t="s">
        <v>1853</v>
      </c>
      <c r="N679" s="230" t="s">
        <v>271</v>
      </c>
      <c r="O679" s="158" t="s">
        <v>204</v>
      </c>
      <c r="P679" s="92"/>
      <c r="Q679" s="146" t="s">
        <v>204</v>
      </c>
      <c r="R679" s="92"/>
      <c r="S679" s="146" t="s">
        <v>204</v>
      </c>
      <c r="T679" s="92"/>
      <c r="U679" s="146" t="s">
        <v>204</v>
      </c>
      <c r="V679" s="92"/>
      <c r="W679" s="146" t="s">
        <v>204</v>
      </c>
      <c r="X679" s="92"/>
      <c r="Y679" s="146" t="s">
        <v>61</v>
      </c>
      <c r="Z679" s="92"/>
      <c r="AA679" s="146" t="s">
        <v>204</v>
      </c>
      <c r="AB679" s="92"/>
      <c r="AC679" s="146" t="s">
        <v>204</v>
      </c>
      <c r="AD679" s="92"/>
      <c r="AE679" s="146" t="s">
        <v>204</v>
      </c>
      <c r="AF679" s="187" t="str">
        <f t="shared" si="43"/>
        <v>C</v>
      </c>
      <c r="AG679" s="54" t="str">
        <f t="shared" si="45"/>
        <v>UTILIZOU O PDA CORRETAMENTE</v>
      </c>
      <c r="AH679" s="144" t="s">
        <v>204</v>
      </c>
      <c r="AI679" s="210" t="s">
        <v>6</v>
      </c>
      <c r="AJ679" s="97" t="str">
        <f t="shared" si="44"/>
        <v>GUARULHOS</v>
      </c>
      <c r="AK679" s="213" t="s">
        <v>39</v>
      </c>
      <c r="AL679" s="53">
        <v>8.51133626171795E-2</v>
      </c>
      <c r="AM679" s="53" t="str" cm="1">
        <f t="array" ref="AM679">IF(OR(O679&lt;&gt;"", SUMPRODUCT(($AN$2:$AN$5000=AN679)*($AL$2:$AL$5000&lt;=AL679)) &lt;= (COUNTIF($AN$2:$AN$5000,AN679)*0.5)), "SORTEADO", "-")</f>
        <v>SORTEADO</v>
      </c>
      <c r="AN679" s="230" t="s">
        <v>1785</v>
      </c>
    </row>
    <row r="680" spans="1:40" ht="30" hidden="1" customHeight="1" x14ac:dyDescent="0.2">
      <c r="A680" s="230" t="s">
        <v>197</v>
      </c>
      <c r="B680" s="230">
        <v>2691141275</v>
      </c>
      <c r="C680" s="230" t="s">
        <v>89</v>
      </c>
      <c r="D680" s="230" t="s">
        <v>77</v>
      </c>
      <c r="E680" s="230" t="s">
        <v>198</v>
      </c>
      <c r="F680" s="230" t="s">
        <v>1854</v>
      </c>
      <c r="G680" s="230">
        <v>30</v>
      </c>
      <c r="H680" s="230"/>
      <c r="I680" s="230" t="s">
        <v>416</v>
      </c>
      <c r="J680" s="230" t="s">
        <v>346</v>
      </c>
      <c r="K680" s="230"/>
      <c r="L680" s="230" t="s">
        <v>1785</v>
      </c>
      <c r="M680" s="230" t="s">
        <v>1855</v>
      </c>
      <c r="N680" s="230" t="s">
        <v>260</v>
      </c>
      <c r="O680" s="158"/>
      <c r="P680" s="92"/>
      <c r="Q680" s="146"/>
      <c r="R680" s="92"/>
      <c r="S680" s="146"/>
      <c r="T680" s="92"/>
      <c r="U680" s="146"/>
      <c r="V680" s="92"/>
      <c r="W680" s="146"/>
      <c r="X680" s="92"/>
      <c r="Y680" s="146"/>
      <c r="Z680" s="92"/>
      <c r="AA680" s="146"/>
      <c r="AB680" s="92"/>
      <c r="AC680" s="146"/>
      <c r="AD680" s="92"/>
      <c r="AE680" s="146"/>
      <c r="AF680" s="187" t="str">
        <f t="shared" si="43"/>
        <v/>
      </c>
      <c r="AG680" s="54" t="b">
        <f t="shared" si="45"/>
        <v>0</v>
      </c>
      <c r="AH680" s="146"/>
      <c r="AI680" s="210" t="s">
        <v>6</v>
      </c>
      <c r="AJ680" s="97" t="str">
        <f t="shared" si="44"/>
        <v>GUARULHOS</v>
      </c>
      <c r="AK680" s="213" t="s">
        <v>39</v>
      </c>
      <c r="AL680" s="53">
        <v>0.45412721963811864</v>
      </c>
      <c r="AM680" s="53" t="str" cm="1">
        <f t="array" ref="AM680">IF(OR(O680&lt;&gt;"", SUMPRODUCT(($AN$2:$AN$5000=AN680)*($AL$2:$AL$5000&lt;=AL680)) &lt;= (COUNTIF($AN$2:$AN$5000,AN680)*0.5)), "SORTEADO", "-")</f>
        <v>-</v>
      </c>
      <c r="AN680" s="230" t="s">
        <v>1785</v>
      </c>
    </row>
    <row r="681" spans="1:40" ht="30" customHeight="1" x14ac:dyDescent="0.2">
      <c r="A681" s="230" t="s">
        <v>197</v>
      </c>
      <c r="B681" s="230">
        <v>2691141275</v>
      </c>
      <c r="C681" s="230" t="s">
        <v>98</v>
      </c>
      <c r="D681" s="230" t="s">
        <v>80</v>
      </c>
      <c r="E681" s="230" t="s">
        <v>198</v>
      </c>
      <c r="F681" s="230" t="s">
        <v>1854</v>
      </c>
      <c r="G681" s="230">
        <v>30</v>
      </c>
      <c r="H681" s="230" t="s">
        <v>213</v>
      </c>
      <c r="I681" s="230" t="s">
        <v>416</v>
      </c>
      <c r="J681" s="230" t="s">
        <v>297</v>
      </c>
      <c r="K681" s="230" t="s">
        <v>213</v>
      </c>
      <c r="L681" s="230" t="s">
        <v>1785</v>
      </c>
      <c r="M681" s="230" t="s">
        <v>1856</v>
      </c>
      <c r="N681" s="230" t="s">
        <v>260</v>
      </c>
      <c r="O681" s="157" t="s">
        <v>204</v>
      </c>
      <c r="P681" s="143"/>
      <c r="Q681" s="144" t="s">
        <v>204</v>
      </c>
      <c r="R681" s="143"/>
      <c r="S681" s="144" t="s">
        <v>204</v>
      </c>
      <c r="T681" s="143"/>
      <c r="U681" s="144" t="s">
        <v>204</v>
      </c>
      <c r="V681" s="143"/>
      <c r="W681" s="144" t="s">
        <v>204</v>
      </c>
      <c r="X681" s="143"/>
      <c r="Y681" s="144" t="s">
        <v>204</v>
      </c>
      <c r="Z681" s="143"/>
      <c r="AA681" s="144" t="s">
        <v>204</v>
      </c>
      <c r="AB681" s="143"/>
      <c r="AC681" s="144" t="s">
        <v>204</v>
      </c>
      <c r="AD681" s="56"/>
      <c r="AE681" s="144" t="s">
        <v>204</v>
      </c>
      <c r="AF681" s="187" t="str">
        <f t="shared" si="43"/>
        <v>C</v>
      </c>
      <c r="AG681" s="54" t="str">
        <f t="shared" si="45"/>
        <v>UTILIZOU O PDA CORRETAMENTE</v>
      </c>
      <c r="AH681" s="144" t="s">
        <v>204</v>
      </c>
      <c r="AI681" s="210" t="s">
        <v>6</v>
      </c>
      <c r="AJ681" s="97" t="str">
        <f t="shared" si="44"/>
        <v>GUARULHOS</v>
      </c>
      <c r="AK681" s="213" t="s">
        <v>39</v>
      </c>
      <c r="AL681" s="53">
        <v>0.28617354545478324</v>
      </c>
      <c r="AM681" s="53" t="str" cm="1">
        <f t="array" ref="AM681">IF(OR(O681&lt;&gt;"", SUMPRODUCT(($AN$2:$AN$5000=AN681)*($AL$2:$AL$5000&lt;=AL681)) &lt;= (COUNTIF($AN$2:$AN$5000,AN681)*0.5)), "SORTEADO", "-")</f>
        <v>SORTEADO</v>
      </c>
      <c r="AN681" s="230" t="s">
        <v>1785</v>
      </c>
    </row>
    <row r="682" spans="1:40" ht="30" customHeight="1" x14ac:dyDescent="0.2">
      <c r="A682" s="230" t="s">
        <v>197</v>
      </c>
      <c r="B682" s="230">
        <v>2616856520</v>
      </c>
      <c r="C682" s="230" t="s">
        <v>100</v>
      </c>
      <c r="D682" s="230" t="s">
        <v>78</v>
      </c>
      <c r="E682" s="230" t="s">
        <v>198</v>
      </c>
      <c r="F682" s="230" t="s">
        <v>361</v>
      </c>
      <c r="G682" s="230">
        <v>8</v>
      </c>
      <c r="H682" s="230" t="s">
        <v>213</v>
      </c>
      <c r="I682" s="230" t="s">
        <v>363</v>
      </c>
      <c r="J682" s="230" t="s">
        <v>248</v>
      </c>
      <c r="K682" s="230" t="s">
        <v>1857</v>
      </c>
      <c r="L682" s="230" t="s">
        <v>1785</v>
      </c>
      <c r="M682" s="230" t="s">
        <v>1858</v>
      </c>
      <c r="N682" s="230" t="s">
        <v>260</v>
      </c>
      <c r="O682" s="157" t="s">
        <v>204</v>
      </c>
      <c r="P682" s="143"/>
      <c r="Q682" s="144" t="s">
        <v>204</v>
      </c>
      <c r="R682" s="143"/>
      <c r="S682" s="144" t="s">
        <v>204</v>
      </c>
      <c r="T682" s="143"/>
      <c r="U682" s="144" t="s">
        <v>204</v>
      </c>
      <c r="V682" s="143"/>
      <c r="W682" s="144" t="s">
        <v>204</v>
      </c>
      <c r="X682" s="143"/>
      <c r="Y682" s="144" t="s">
        <v>204</v>
      </c>
      <c r="Z682" s="143"/>
      <c r="AA682" s="144" t="s">
        <v>204</v>
      </c>
      <c r="AB682" s="143"/>
      <c r="AC682" s="144" t="s">
        <v>204</v>
      </c>
      <c r="AD682" s="56"/>
      <c r="AE682" s="144" t="s">
        <v>204</v>
      </c>
      <c r="AF682" s="187" t="str">
        <f t="shared" si="43"/>
        <v>C</v>
      </c>
      <c r="AG682" s="54" t="str">
        <f t="shared" si="45"/>
        <v>UTILIZOU O PDA CORRETAMENTE</v>
      </c>
      <c r="AH682" s="144" t="s">
        <v>204</v>
      </c>
      <c r="AI682" s="210" t="s">
        <v>6</v>
      </c>
      <c r="AJ682" s="97" t="str">
        <f t="shared" si="44"/>
        <v>GUARULHOS</v>
      </c>
      <c r="AK682" s="213" t="s">
        <v>39</v>
      </c>
      <c r="AL682" s="53">
        <v>0.31960110232526207</v>
      </c>
      <c r="AM682" s="53" t="str" cm="1">
        <f t="array" ref="AM682">IF(OR(O682&lt;&gt;"", SUMPRODUCT(($AN$2:$AN$5000=AN682)*($AL$2:$AL$5000&lt;=AL682)) &lt;= (COUNTIF($AN$2:$AN$5000,AN682)*0.5)), "SORTEADO", "-")</f>
        <v>SORTEADO</v>
      </c>
      <c r="AN682" s="230" t="s">
        <v>1785</v>
      </c>
    </row>
    <row r="683" spans="1:40" ht="30" hidden="1" customHeight="1" x14ac:dyDescent="0.2">
      <c r="A683" s="230" t="s">
        <v>197</v>
      </c>
      <c r="B683" s="230">
        <v>2616857102</v>
      </c>
      <c r="C683" s="230" t="s">
        <v>100</v>
      </c>
      <c r="D683" s="230" t="s">
        <v>78</v>
      </c>
      <c r="E683" s="230" t="s">
        <v>198</v>
      </c>
      <c r="F683" s="230" t="s">
        <v>361</v>
      </c>
      <c r="G683" s="230">
        <v>26</v>
      </c>
      <c r="H683" s="230" t="s">
        <v>1859</v>
      </c>
      <c r="I683" s="230" t="s">
        <v>363</v>
      </c>
      <c r="J683" s="230" t="s">
        <v>248</v>
      </c>
      <c r="K683" s="230" t="s">
        <v>1860</v>
      </c>
      <c r="L683" s="230" t="s">
        <v>1785</v>
      </c>
      <c r="M683" s="230" t="s">
        <v>1861</v>
      </c>
      <c r="N683" s="230" t="s">
        <v>260</v>
      </c>
      <c r="O683" s="158"/>
      <c r="P683" s="92"/>
      <c r="Q683" s="146"/>
      <c r="R683" s="92"/>
      <c r="S683" s="146"/>
      <c r="T683" s="92"/>
      <c r="U683" s="146"/>
      <c r="V683" s="92"/>
      <c r="W683" s="146"/>
      <c r="X683" s="92"/>
      <c r="Y683" s="146"/>
      <c r="Z683" s="92"/>
      <c r="AA683" s="146"/>
      <c r="AB683" s="92"/>
      <c r="AC683" s="146"/>
      <c r="AD683" s="92"/>
      <c r="AE683" s="146"/>
      <c r="AF683" s="187" t="str">
        <f t="shared" si="43"/>
        <v/>
      </c>
      <c r="AG683" s="54" t="b">
        <f t="shared" si="45"/>
        <v>0</v>
      </c>
      <c r="AH683" s="146"/>
      <c r="AI683" s="210" t="s">
        <v>6</v>
      </c>
      <c r="AJ683" s="97" t="str">
        <f t="shared" si="44"/>
        <v>GUARULHOS</v>
      </c>
      <c r="AK683" s="213" t="s">
        <v>39</v>
      </c>
      <c r="AL683" s="53">
        <v>0.51042526808124478</v>
      </c>
      <c r="AM683" s="53" t="str" cm="1">
        <f t="array" ref="AM683">IF(OR(O683&lt;&gt;"", SUMPRODUCT(($AN$2:$AN$5000=AN683)*($AL$2:$AL$5000&lt;=AL683)) &lt;= (COUNTIF($AN$2:$AN$5000,AN683)*0.5)), "SORTEADO", "-")</f>
        <v>-</v>
      </c>
      <c r="AN683" s="230" t="s">
        <v>1785</v>
      </c>
    </row>
    <row r="684" spans="1:40" ht="30" hidden="1" customHeight="1" x14ac:dyDescent="0.2">
      <c r="A684" s="230" t="s">
        <v>197</v>
      </c>
      <c r="B684" s="230">
        <v>2616856923</v>
      </c>
      <c r="C684" s="230" t="s">
        <v>100</v>
      </c>
      <c r="D684" s="230" t="s">
        <v>78</v>
      </c>
      <c r="E684" s="230" t="s">
        <v>198</v>
      </c>
      <c r="F684" s="230" t="s">
        <v>361</v>
      </c>
      <c r="G684" s="230">
        <v>25</v>
      </c>
      <c r="H684" s="230" t="s">
        <v>827</v>
      </c>
      <c r="I684" s="230" t="s">
        <v>363</v>
      </c>
      <c r="J684" s="230" t="s">
        <v>248</v>
      </c>
      <c r="K684" s="230" t="s">
        <v>1857</v>
      </c>
      <c r="L684" s="230" t="s">
        <v>1785</v>
      </c>
      <c r="M684" s="230" t="s">
        <v>1862</v>
      </c>
      <c r="N684" s="230" t="s">
        <v>260</v>
      </c>
      <c r="O684" s="158"/>
      <c r="P684" s="92"/>
      <c r="Q684" s="146"/>
      <c r="R684" s="92"/>
      <c r="S684" s="146"/>
      <c r="T684" s="92"/>
      <c r="U684" s="146"/>
      <c r="V684" s="92"/>
      <c r="W684" s="146"/>
      <c r="X684" s="92"/>
      <c r="Y684" s="146"/>
      <c r="Z684" s="92"/>
      <c r="AA684" s="146"/>
      <c r="AB684" s="92"/>
      <c r="AC684" s="146"/>
      <c r="AD684" s="92"/>
      <c r="AE684" s="146"/>
      <c r="AF684" s="187" t="str">
        <f t="shared" si="43"/>
        <v/>
      </c>
      <c r="AG684" s="54" t="b">
        <f t="shared" si="45"/>
        <v>0</v>
      </c>
      <c r="AH684" s="146"/>
      <c r="AI684" s="210" t="s">
        <v>6</v>
      </c>
      <c r="AJ684" s="97" t="str">
        <f t="shared" si="44"/>
        <v>GUARULHOS</v>
      </c>
      <c r="AK684" s="213" t="s">
        <v>39</v>
      </c>
      <c r="AL684" s="53">
        <v>0.66462432404041505</v>
      </c>
      <c r="AM684" s="53" t="str" cm="1">
        <f t="array" ref="AM684">IF(OR(O684&lt;&gt;"", SUMPRODUCT(($AN$2:$AN$5000=AN684)*($AL$2:$AL$5000&lt;=AL684)) &lt;= (COUNTIF($AN$2:$AN$5000,AN684)*0.5)), "SORTEADO", "-")</f>
        <v>-</v>
      </c>
      <c r="AN684" s="230" t="s">
        <v>1785</v>
      </c>
    </row>
    <row r="685" spans="1:40" ht="30" hidden="1" customHeight="1" x14ac:dyDescent="0.2">
      <c r="A685" s="230" t="s">
        <v>197</v>
      </c>
      <c r="B685" s="230">
        <v>2616857253</v>
      </c>
      <c r="C685" s="230" t="s">
        <v>100</v>
      </c>
      <c r="D685" s="230" t="s">
        <v>78</v>
      </c>
      <c r="E685" s="230" t="s">
        <v>198</v>
      </c>
      <c r="F685" s="230" t="s">
        <v>361</v>
      </c>
      <c r="G685" s="230">
        <v>30</v>
      </c>
      <c r="H685" s="230" t="s">
        <v>362</v>
      </c>
      <c r="I685" s="230" t="s">
        <v>363</v>
      </c>
      <c r="J685" s="230" t="s">
        <v>248</v>
      </c>
      <c r="K685" s="230" t="s">
        <v>1863</v>
      </c>
      <c r="L685" s="230" t="s">
        <v>1785</v>
      </c>
      <c r="M685" s="230" t="s">
        <v>1864</v>
      </c>
      <c r="N685" s="230" t="s">
        <v>260</v>
      </c>
      <c r="O685" s="158"/>
      <c r="P685" s="92"/>
      <c r="Q685" s="146"/>
      <c r="R685" s="92"/>
      <c r="S685" s="146"/>
      <c r="T685" s="92"/>
      <c r="U685" s="146"/>
      <c r="V685" s="92"/>
      <c r="W685" s="146"/>
      <c r="X685" s="92"/>
      <c r="Y685" s="146"/>
      <c r="Z685" s="92"/>
      <c r="AA685" s="146"/>
      <c r="AB685" s="92"/>
      <c r="AC685" s="146"/>
      <c r="AD685" s="92"/>
      <c r="AE685" s="146"/>
      <c r="AF685" s="187" t="str">
        <f t="shared" si="43"/>
        <v/>
      </c>
      <c r="AG685" s="54" t="b">
        <f t="shared" si="45"/>
        <v>0</v>
      </c>
      <c r="AH685" s="146"/>
      <c r="AI685" s="210" t="s">
        <v>6</v>
      </c>
      <c r="AJ685" s="97" t="str">
        <f t="shared" si="44"/>
        <v>GUARULHOS</v>
      </c>
      <c r="AK685" s="213" t="s">
        <v>39</v>
      </c>
      <c r="AL685" s="53">
        <v>0.81237495757914124</v>
      </c>
      <c r="AM685" s="53" t="str" cm="1">
        <f t="array" ref="AM685">IF(OR(O685&lt;&gt;"", SUMPRODUCT(($AN$2:$AN$5000=AN685)*($AL$2:$AL$5000&lt;=AL685)) &lt;= (COUNTIF($AN$2:$AN$5000,AN685)*0.5)), "SORTEADO", "-")</f>
        <v>-</v>
      </c>
      <c r="AN685" s="230" t="s">
        <v>1785</v>
      </c>
    </row>
    <row r="686" spans="1:40" ht="30" customHeight="1" x14ac:dyDescent="0.2">
      <c r="A686" s="230" t="s">
        <v>197</v>
      </c>
      <c r="B686" s="230">
        <v>2616857374</v>
      </c>
      <c r="C686" s="230" t="s">
        <v>100</v>
      </c>
      <c r="D686" s="230" t="s">
        <v>78</v>
      </c>
      <c r="E686" s="230" t="s">
        <v>198</v>
      </c>
      <c r="F686" s="230" t="s">
        <v>361</v>
      </c>
      <c r="G686" s="230">
        <v>33</v>
      </c>
      <c r="H686" s="230" t="s">
        <v>213</v>
      </c>
      <c r="I686" s="230" t="s">
        <v>363</v>
      </c>
      <c r="J686" s="230" t="s">
        <v>248</v>
      </c>
      <c r="K686" s="230" t="s">
        <v>1865</v>
      </c>
      <c r="L686" s="230" t="s">
        <v>1785</v>
      </c>
      <c r="M686" s="230" t="s">
        <v>1866</v>
      </c>
      <c r="N686" s="230" t="s">
        <v>260</v>
      </c>
      <c r="O686" s="157" t="s">
        <v>204</v>
      </c>
      <c r="P686" s="143"/>
      <c r="Q686" s="144" t="s">
        <v>204</v>
      </c>
      <c r="R686" s="143"/>
      <c r="S686" s="144" t="s">
        <v>204</v>
      </c>
      <c r="T686" s="143"/>
      <c r="U686" s="144" t="s">
        <v>204</v>
      </c>
      <c r="V686" s="143"/>
      <c r="W686" s="144" t="s">
        <v>204</v>
      </c>
      <c r="X686" s="143"/>
      <c r="Y686" s="144" t="s">
        <v>204</v>
      </c>
      <c r="Z686" s="143"/>
      <c r="AA686" s="144" t="s">
        <v>204</v>
      </c>
      <c r="AB686" s="143"/>
      <c r="AC686" s="144" t="s">
        <v>204</v>
      </c>
      <c r="AD686" s="56"/>
      <c r="AE686" s="144" t="s">
        <v>204</v>
      </c>
      <c r="AF686" s="187" t="str">
        <f t="shared" si="43"/>
        <v>C</v>
      </c>
      <c r="AG686" s="54" t="str">
        <f t="shared" si="45"/>
        <v>UTILIZOU O PDA CORRETAMENTE</v>
      </c>
      <c r="AH686" s="144" t="s">
        <v>204</v>
      </c>
      <c r="AI686" s="210" t="s">
        <v>6</v>
      </c>
      <c r="AJ686" s="97" t="str">
        <f t="shared" si="44"/>
        <v>GUARULHOS</v>
      </c>
      <c r="AK686" s="213" t="s">
        <v>39</v>
      </c>
      <c r="AL686" s="53">
        <v>0.37162188124153417</v>
      </c>
      <c r="AM686" s="53" t="str" cm="1">
        <f t="array" ref="AM686">IF(OR(O686&lt;&gt;"", SUMPRODUCT(($AN$2:$AN$5000=AN686)*($AL$2:$AL$5000&lt;=AL686)) &lt;= (COUNTIF($AN$2:$AN$5000,AN686)*0.5)), "SORTEADO", "-")</f>
        <v>SORTEADO</v>
      </c>
      <c r="AN686" s="230" t="s">
        <v>1785</v>
      </c>
    </row>
    <row r="687" spans="1:40" ht="30" hidden="1" customHeight="1" x14ac:dyDescent="0.2">
      <c r="A687" s="230" t="s">
        <v>197</v>
      </c>
      <c r="B687" s="230">
        <v>2616855520</v>
      </c>
      <c r="C687" s="230" t="s">
        <v>106</v>
      </c>
      <c r="D687" s="230" t="s">
        <v>80</v>
      </c>
      <c r="E687" s="230" t="s">
        <v>198</v>
      </c>
      <c r="F687" s="230" t="s">
        <v>966</v>
      </c>
      <c r="G687" s="230">
        <v>1451</v>
      </c>
      <c r="H687" s="230" t="s">
        <v>1867</v>
      </c>
      <c r="I687" s="230" t="s">
        <v>588</v>
      </c>
      <c r="J687" s="230" t="s">
        <v>259</v>
      </c>
      <c r="K687" s="230" t="s">
        <v>1868</v>
      </c>
      <c r="L687" s="230" t="s">
        <v>1785</v>
      </c>
      <c r="M687" s="230" t="s">
        <v>1869</v>
      </c>
      <c r="N687" s="230" t="s">
        <v>615</v>
      </c>
      <c r="O687" s="158"/>
      <c r="P687" s="92"/>
      <c r="Q687" s="146"/>
      <c r="R687" s="92"/>
      <c r="S687" s="146"/>
      <c r="T687" s="92"/>
      <c r="U687" s="146"/>
      <c r="V687" s="92"/>
      <c r="W687" s="146"/>
      <c r="X687" s="92"/>
      <c r="Y687" s="146"/>
      <c r="Z687" s="92"/>
      <c r="AA687" s="146"/>
      <c r="AB687" s="92"/>
      <c r="AC687" s="146"/>
      <c r="AD687" s="92"/>
      <c r="AE687" s="146"/>
      <c r="AF687" s="187" t="str">
        <f t="shared" si="43"/>
        <v/>
      </c>
      <c r="AG687" s="54" t="b">
        <f t="shared" si="45"/>
        <v>0</v>
      </c>
      <c r="AH687" s="146"/>
      <c r="AI687" s="210" t="s">
        <v>6</v>
      </c>
      <c r="AJ687" s="97" t="str">
        <f t="shared" si="44"/>
        <v>GUARULHOS</v>
      </c>
      <c r="AK687" s="213" t="s">
        <v>39</v>
      </c>
      <c r="AL687" s="53">
        <v>0.46586135142587703</v>
      </c>
      <c r="AM687" s="53" t="str" cm="1">
        <f t="array" ref="AM687">IF(OR(O687&lt;&gt;"", SUMPRODUCT(($AN$2:$AN$5000=AN687)*($AL$2:$AL$5000&lt;=AL687)) &lt;= (COUNTIF($AN$2:$AN$5000,AN687)*0.5)), "SORTEADO", "-")</f>
        <v>-</v>
      </c>
      <c r="AN687" s="230" t="s">
        <v>1785</v>
      </c>
    </row>
    <row r="688" spans="1:40" ht="30" customHeight="1" x14ac:dyDescent="0.2">
      <c r="A688" s="230" t="s">
        <v>197</v>
      </c>
      <c r="B688" s="230">
        <v>2616615906</v>
      </c>
      <c r="C688" s="230" t="s">
        <v>99</v>
      </c>
      <c r="D688" s="230" t="s">
        <v>80</v>
      </c>
      <c r="E688" s="230" t="s">
        <v>198</v>
      </c>
      <c r="F688" s="230" t="s">
        <v>1870</v>
      </c>
      <c r="G688" s="230">
        <v>32</v>
      </c>
      <c r="H688" s="230" t="s">
        <v>854</v>
      </c>
      <c r="I688" s="230" t="s">
        <v>997</v>
      </c>
      <c r="J688" s="230" t="s">
        <v>305</v>
      </c>
      <c r="K688" s="230" t="s">
        <v>1871</v>
      </c>
      <c r="L688" s="230" t="s">
        <v>1785</v>
      </c>
      <c r="M688" s="230" t="s">
        <v>1872</v>
      </c>
      <c r="N688" s="230" t="s">
        <v>271</v>
      </c>
      <c r="O688" s="157" t="s">
        <v>204</v>
      </c>
      <c r="P688" s="143"/>
      <c r="Q688" s="144" t="s">
        <v>204</v>
      </c>
      <c r="R688" s="143"/>
      <c r="S688" s="144" t="s">
        <v>204</v>
      </c>
      <c r="T688" s="143"/>
      <c r="U688" s="144" t="s">
        <v>204</v>
      </c>
      <c r="V688" s="143"/>
      <c r="W688" s="144" t="s">
        <v>204</v>
      </c>
      <c r="X688" s="143"/>
      <c r="Y688" s="144" t="s">
        <v>204</v>
      </c>
      <c r="Z688" s="143"/>
      <c r="AA688" s="144" t="s">
        <v>204</v>
      </c>
      <c r="AB688" s="143"/>
      <c r="AC688" s="144" t="s">
        <v>204</v>
      </c>
      <c r="AD688" s="56"/>
      <c r="AE688" s="144" t="s">
        <v>204</v>
      </c>
      <c r="AF688" s="187" t="str">
        <f t="shared" si="43"/>
        <v>C</v>
      </c>
      <c r="AG688" s="54" t="str">
        <f t="shared" si="45"/>
        <v>UTILIZOU O PDA CORRETAMENTE</v>
      </c>
      <c r="AH688" s="144" t="s">
        <v>204</v>
      </c>
      <c r="AI688" s="210" t="s">
        <v>6</v>
      </c>
      <c r="AJ688" s="97" t="str">
        <f t="shared" si="44"/>
        <v>GUARULHOS</v>
      </c>
      <c r="AK688" s="213" t="s">
        <v>39</v>
      </c>
      <c r="AL688" s="53">
        <v>0.42239652844235953</v>
      </c>
      <c r="AM688" s="53" t="str" cm="1">
        <f t="array" ref="AM688">IF(OR(O688&lt;&gt;"", SUMPRODUCT(($AN$2:$AN$5000=AN688)*($AL$2:$AL$5000&lt;=AL688)) &lt;= (COUNTIF($AN$2:$AN$5000,AN688)*0.5)), "SORTEADO", "-")</f>
        <v>SORTEADO</v>
      </c>
      <c r="AN688" s="230" t="s">
        <v>1785</v>
      </c>
    </row>
    <row r="689" spans="1:40" ht="30" customHeight="1" x14ac:dyDescent="0.2">
      <c r="A689" s="230" t="s">
        <v>197</v>
      </c>
      <c r="B689" s="230">
        <v>2616861752</v>
      </c>
      <c r="C689" s="230" t="s">
        <v>104</v>
      </c>
      <c r="D689" s="230" t="s">
        <v>80</v>
      </c>
      <c r="E689" s="230" t="s">
        <v>198</v>
      </c>
      <c r="F689" s="230" t="s">
        <v>1800</v>
      </c>
      <c r="G689" s="230">
        <v>50</v>
      </c>
      <c r="H689" s="230"/>
      <c r="I689" s="230" t="s">
        <v>483</v>
      </c>
      <c r="J689" s="230" t="s">
        <v>278</v>
      </c>
      <c r="K689" s="230"/>
      <c r="L689" s="230" t="s">
        <v>1785</v>
      </c>
      <c r="M689" s="230" t="s">
        <v>1873</v>
      </c>
      <c r="N689" s="230" t="s">
        <v>237</v>
      </c>
      <c r="O689" s="158" t="s">
        <v>204</v>
      </c>
      <c r="P689" s="92"/>
      <c r="Q689" s="146" t="s">
        <v>204</v>
      </c>
      <c r="R689" s="92"/>
      <c r="S689" s="146" t="s">
        <v>204</v>
      </c>
      <c r="T689" s="92"/>
      <c r="U689" s="146" t="s">
        <v>204</v>
      </c>
      <c r="V689" s="92"/>
      <c r="W689" s="146" t="s">
        <v>204</v>
      </c>
      <c r="X689" s="92"/>
      <c r="Y689" s="146" t="s">
        <v>61</v>
      </c>
      <c r="Z689" s="92"/>
      <c r="AA689" s="146" t="s">
        <v>204</v>
      </c>
      <c r="AB689" s="92"/>
      <c r="AC689" s="146" t="s">
        <v>204</v>
      </c>
      <c r="AD689" s="92"/>
      <c r="AE689" s="146" t="s">
        <v>204</v>
      </c>
      <c r="AF689" s="187" t="str">
        <f t="shared" si="43"/>
        <v>C</v>
      </c>
      <c r="AG689" s="54" t="str">
        <f t="shared" si="45"/>
        <v>UTILIZOU O PDA CORRETAMENTE</v>
      </c>
      <c r="AH689" s="144" t="s">
        <v>204</v>
      </c>
      <c r="AI689" s="210" t="s">
        <v>6</v>
      </c>
      <c r="AJ689" s="97" t="str">
        <f t="shared" si="44"/>
        <v>GUARULHOS</v>
      </c>
      <c r="AK689" s="213" t="s">
        <v>39</v>
      </c>
      <c r="AL689" s="53">
        <v>0.22292895687336067</v>
      </c>
      <c r="AM689" s="53" t="str" cm="1">
        <f t="array" ref="AM689">IF(OR(O689&lt;&gt;"", SUMPRODUCT(($AN$2:$AN$5000=AN689)*($AL$2:$AL$5000&lt;=AL689)) &lt;= (COUNTIF($AN$2:$AN$5000,AN689)*0.5)), "SORTEADO", "-")</f>
        <v>SORTEADO</v>
      </c>
      <c r="AN689" s="230" t="s">
        <v>1785</v>
      </c>
    </row>
    <row r="690" spans="1:40" ht="30" hidden="1" customHeight="1" x14ac:dyDescent="0.2">
      <c r="A690" s="230" t="s">
        <v>197</v>
      </c>
      <c r="B690" s="230">
        <v>2691234500</v>
      </c>
      <c r="C690" s="230" t="s">
        <v>101</v>
      </c>
      <c r="D690" s="230" t="s">
        <v>80</v>
      </c>
      <c r="E690" s="230" t="s">
        <v>198</v>
      </c>
      <c r="F690" s="230" t="s">
        <v>1874</v>
      </c>
      <c r="G690" s="230">
        <v>135</v>
      </c>
      <c r="H690" s="230"/>
      <c r="I690" s="230" t="s">
        <v>1875</v>
      </c>
      <c r="J690" s="230" t="s">
        <v>270</v>
      </c>
      <c r="K690" s="230"/>
      <c r="L690" s="230" t="s">
        <v>1785</v>
      </c>
      <c r="M690" s="230" t="s">
        <v>1876</v>
      </c>
      <c r="N690" s="230" t="s">
        <v>322</v>
      </c>
      <c r="O690" s="158"/>
      <c r="P690" s="92"/>
      <c r="Q690" s="146"/>
      <c r="R690" s="92"/>
      <c r="S690" s="146"/>
      <c r="T690" s="92"/>
      <c r="U690" s="146"/>
      <c r="V690" s="92"/>
      <c r="W690" s="146"/>
      <c r="X690" s="92"/>
      <c r="Y690" s="146"/>
      <c r="Z690" s="92"/>
      <c r="AA690" s="146"/>
      <c r="AB690" s="92"/>
      <c r="AC690" s="146"/>
      <c r="AD690" s="92"/>
      <c r="AE690" s="146"/>
      <c r="AF690" s="187" t="str">
        <f t="shared" si="43"/>
        <v/>
      </c>
      <c r="AG690" s="54" t="b">
        <f t="shared" si="45"/>
        <v>0</v>
      </c>
      <c r="AH690" s="146"/>
      <c r="AI690" s="210" t="s">
        <v>6</v>
      </c>
      <c r="AJ690" s="97" t="str">
        <f t="shared" si="44"/>
        <v>GUARULHOS</v>
      </c>
      <c r="AK690" s="213" t="s">
        <v>39</v>
      </c>
      <c r="AL690" s="53">
        <v>0.95720955508664785</v>
      </c>
      <c r="AM690" s="53" t="str" cm="1">
        <f t="array" ref="AM690">IF(OR(O690&lt;&gt;"", SUMPRODUCT(($AN$2:$AN$5000=AN690)*($AL$2:$AL$5000&lt;=AL690)) &lt;= (COUNTIF($AN$2:$AN$5000,AN690)*0.5)), "SORTEADO", "-")</f>
        <v>-</v>
      </c>
      <c r="AN690" s="230" t="s">
        <v>1785</v>
      </c>
    </row>
    <row r="691" spans="1:40" ht="30" customHeight="1" x14ac:dyDescent="0.2">
      <c r="A691" s="230" t="s">
        <v>197</v>
      </c>
      <c r="B691" s="230">
        <v>2616865917</v>
      </c>
      <c r="C691" s="230" t="s">
        <v>105</v>
      </c>
      <c r="D691" s="230" t="s">
        <v>80</v>
      </c>
      <c r="E691" s="230" t="s">
        <v>198</v>
      </c>
      <c r="F691" s="230" t="s">
        <v>1877</v>
      </c>
      <c r="G691" s="230">
        <v>258</v>
      </c>
      <c r="H691" s="230" t="s">
        <v>1878</v>
      </c>
      <c r="I691" s="230" t="s">
        <v>822</v>
      </c>
      <c r="J691" s="230" t="s">
        <v>226</v>
      </c>
      <c r="K691" s="230" t="s">
        <v>213</v>
      </c>
      <c r="L691" s="230" t="s">
        <v>1785</v>
      </c>
      <c r="M691" s="230" t="s">
        <v>1844</v>
      </c>
      <c r="N691" s="230" t="s">
        <v>287</v>
      </c>
      <c r="O691" s="158" t="s">
        <v>204</v>
      </c>
      <c r="P691" s="92"/>
      <c r="Q691" s="146" t="s">
        <v>204</v>
      </c>
      <c r="R691" s="92"/>
      <c r="S691" s="146" t="s">
        <v>204</v>
      </c>
      <c r="T691" s="92"/>
      <c r="U691" s="146" t="s">
        <v>204</v>
      </c>
      <c r="V691" s="92"/>
      <c r="W691" s="146" t="s">
        <v>204</v>
      </c>
      <c r="X691" s="92"/>
      <c r="Y691" s="146" t="s">
        <v>61</v>
      </c>
      <c r="Z691" s="92"/>
      <c r="AA691" s="146" t="s">
        <v>204</v>
      </c>
      <c r="AB691" s="92"/>
      <c r="AC691" s="146" t="s">
        <v>204</v>
      </c>
      <c r="AD691" s="92"/>
      <c r="AE691" s="146" t="s">
        <v>204</v>
      </c>
      <c r="AF691" s="187" t="str">
        <f t="shared" si="43"/>
        <v>C</v>
      </c>
      <c r="AG691" s="54" t="str">
        <f t="shared" si="45"/>
        <v>UTILIZOU O PDA CORRETAMENTE</v>
      </c>
      <c r="AH691" s="144" t="s">
        <v>204</v>
      </c>
      <c r="AI691" s="210" t="s">
        <v>6</v>
      </c>
      <c r="AJ691" s="97" t="str">
        <f t="shared" si="44"/>
        <v>GUARULHOS</v>
      </c>
      <c r="AK691" s="213" t="s">
        <v>39</v>
      </c>
      <c r="AL691" s="53">
        <v>0.36596670640527873</v>
      </c>
      <c r="AM691" s="53" t="str" cm="1">
        <f t="array" ref="AM691">IF(OR(O691&lt;&gt;"", SUMPRODUCT(($AN$2:$AN$5000=AN691)*($AL$2:$AL$5000&lt;=AL691)) &lt;= (COUNTIF($AN$2:$AN$5000,AN691)*0.5)), "SORTEADO", "-")</f>
        <v>SORTEADO</v>
      </c>
      <c r="AN691" s="230" t="s">
        <v>1785</v>
      </c>
    </row>
    <row r="692" spans="1:40" ht="30" hidden="1" customHeight="1" x14ac:dyDescent="0.2">
      <c r="A692" s="230" t="s">
        <v>197</v>
      </c>
      <c r="B692" s="230">
        <v>2616870757</v>
      </c>
      <c r="C692" s="230" t="s">
        <v>105</v>
      </c>
      <c r="D692" s="230" t="s">
        <v>80</v>
      </c>
      <c r="E692" s="230" t="s">
        <v>198</v>
      </c>
      <c r="F692" s="230" t="s">
        <v>361</v>
      </c>
      <c r="G692" s="230">
        <v>36</v>
      </c>
      <c r="H692" s="230" t="s">
        <v>362</v>
      </c>
      <c r="I692" s="230" t="s">
        <v>363</v>
      </c>
      <c r="J692" s="230" t="s">
        <v>226</v>
      </c>
      <c r="K692" s="230" t="s">
        <v>1879</v>
      </c>
      <c r="L692" s="230" t="s">
        <v>1785</v>
      </c>
      <c r="M692" s="230" t="s">
        <v>1880</v>
      </c>
      <c r="N692" s="230" t="s">
        <v>260</v>
      </c>
      <c r="O692" s="158"/>
      <c r="P692" s="92"/>
      <c r="Q692" s="146"/>
      <c r="R692" s="92"/>
      <c r="S692" s="146"/>
      <c r="T692" s="92"/>
      <c r="U692" s="146"/>
      <c r="V692" s="92"/>
      <c r="W692" s="146"/>
      <c r="X692" s="92"/>
      <c r="Y692" s="146"/>
      <c r="Z692" s="92"/>
      <c r="AA692" s="146"/>
      <c r="AB692" s="92"/>
      <c r="AC692" s="146"/>
      <c r="AD692" s="92"/>
      <c r="AE692" s="146"/>
      <c r="AF692" s="187" t="str">
        <f t="shared" si="43"/>
        <v/>
      </c>
      <c r="AG692" s="54" t="b">
        <f t="shared" si="45"/>
        <v>0</v>
      </c>
      <c r="AH692" s="146"/>
      <c r="AI692" s="210" t="s">
        <v>6</v>
      </c>
      <c r="AJ692" s="97" t="str">
        <f t="shared" si="44"/>
        <v>GUARULHOS</v>
      </c>
      <c r="AK692" s="213" t="s">
        <v>39</v>
      </c>
      <c r="AL692" s="53">
        <v>0.56326390399128601</v>
      </c>
      <c r="AM692" s="53" t="str" cm="1">
        <f t="array" ref="AM692">IF(OR(O692&lt;&gt;"", SUMPRODUCT(($AN$2:$AN$5000=AN692)*($AL$2:$AL$5000&lt;=AL692)) &lt;= (COUNTIF($AN$2:$AN$5000,AN692)*0.5)), "SORTEADO", "-")</f>
        <v>-</v>
      </c>
      <c r="AN692" s="230" t="s">
        <v>1785</v>
      </c>
    </row>
    <row r="693" spans="1:40" ht="30" hidden="1" customHeight="1" x14ac:dyDescent="0.2">
      <c r="A693" s="230" t="s">
        <v>197</v>
      </c>
      <c r="B693" s="230">
        <v>2616874872</v>
      </c>
      <c r="C693" s="230" t="s">
        <v>696</v>
      </c>
      <c r="D693" s="230" t="s">
        <v>79</v>
      </c>
      <c r="E693" s="230" t="s">
        <v>198</v>
      </c>
      <c r="F693" s="230" t="s">
        <v>1832</v>
      </c>
      <c r="G693" s="230">
        <v>120</v>
      </c>
      <c r="H693" s="230" t="s">
        <v>296</v>
      </c>
      <c r="I693" s="230" t="s">
        <v>258</v>
      </c>
      <c r="J693" s="230" t="s">
        <v>698</v>
      </c>
      <c r="K693" s="230" t="s">
        <v>1881</v>
      </c>
      <c r="L693" s="230" t="s">
        <v>1785</v>
      </c>
      <c r="M693" s="230" t="s">
        <v>1882</v>
      </c>
      <c r="N693" s="230" t="s">
        <v>322</v>
      </c>
      <c r="O693" s="158" t="s">
        <v>61</v>
      </c>
      <c r="P693" s="92"/>
      <c r="Q693" s="146" t="s">
        <v>61</v>
      </c>
      <c r="R693" s="92"/>
      <c r="S693" s="146" t="s">
        <v>61</v>
      </c>
      <c r="T693" s="92"/>
      <c r="U693" s="146" t="s">
        <v>61</v>
      </c>
      <c r="V693" s="92"/>
      <c r="W693" s="146" t="s">
        <v>61</v>
      </c>
      <c r="X693" s="92"/>
      <c r="Y693" s="146" t="s">
        <v>61</v>
      </c>
      <c r="Z693" s="92"/>
      <c r="AA693" s="146" t="s">
        <v>61</v>
      </c>
      <c r="AB693" s="92"/>
      <c r="AC693" s="146" t="s">
        <v>61</v>
      </c>
      <c r="AD693" s="92"/>
      <c r="AE693" s="146" t="s">
        <v>61</v>
      </c>
      <c r="AF693" s="187" t="str">
        <f t="shared" si="43"/>
        <v>NA</v>
      </c>
      <c r="AG693" s="54" t="s">
        <v>311</v>
      </c>
      <c r="AH693" s="146" t="s">
        <v>204</v>
      </c>
      <c r="AI693" s="210" t="s">
        <v>6</v>
      </c>
      <c r="AJ693" s="97" t="str">
        <f t="shared" si="44"/>
        <v>GUARULHOS</v>
      </c>
      <c r="AK693" s="213" t="s">
        <v>39</v>
      </c>
      <c r="AL693" s="53">
        <v>-0.1384</v>
      </c>
      <c r="AM693" s="53" t="str" cm="1">
        <f t="array" ref="AM693">IF(OR(O693&lt;&gt;"", SUMPRODUCT(($AN$2:$AN$5000=AN693)*($AL$2:$AL$5000&lt;=AL693)) &lt;= (COUNTIF($AN$2:$AN$5000,AN693)*0.5)), "SORTEADO", "-")</f>
        <v>SORTEADO</v>
      </c>
      <c r="AN693" s="230" t="s">
        <v>1785</v>
      </c>
    </row>
    <row r="694" spans="1:40" ht="30" hidden="1" customHeight="1" x14ac:dyDescent="0.2">
      <c r="A694" s="230" t="s">
        <v>197</v>
      </c>
      <c r="B694" s="230">
        <v>2691171541</v>
      </c>
      <c r="C694" s="230" t="s">
        <v>98</v>
      </c>
      <c r="D694" s="230" t="s">
        <v>80</v>
      </c>
      <c r="E694" s="230" t="s">
        <v>198</v>
      </c>
      <c r="F694" s="230" t="s">
        <v>1636</v>
      </c>
      <c r="G694" s="230">
        <v>265</v>
      </c>
      <c r="H694" s="230" t="s">
        <v>1637</v>
      </c>
      <c r="I694" s="230" t="s">
        <v>538</v>
      </c>
      <c r="J694" s="230" t="s">
        <v>297</v>
      </c>
      <c r="K694" s="230" t="s">
        <v>437</v>
      </c>
      <c r="L694" s="230" t="s">
        <v>1785</v>
      </c>
      <c r="M694" s="230" t="s">
        <v>1883</v>
      </c>
      <c r="N694" s="230" t="s">
        <v>432</v>
      </c>
      <c r="O694" s="158"/>
      <c r="P694" s="92"/>
      <c r="Q694" s="146"/>
      <c r="R694" s="92"/>
      <c r="S694" s="146"/>
      <c r="T694" s="92"/>
      <c r="U694" s="146"/>
      <c r="V694" s="92"/>
      <c r="W694" s="146"/>
      <c r="X694" s="92"/>
      <c r="Y694" s="146"/>
      <c r="Z694" s="92"/>
      <c r="AA694" s="146"/>
      <c r="AB694" s="92"/>
      <c r="AC694" s="146"/>
      <c r="AD694" s="92"/>
      <c r="AE694" s="146"/>
      <c r="AF694" s="187" t="str">
        <f t="shared" si="43"/>
        <v/>
      </c>
      <c r="AG694" s="54" t="b">
        <f t="shared" ref="AG694:AG711" si="46">IF(AND(AE694="C",AF694="C"),"UTILIZOU O PDA CORRETAMENTE",IF(AND(AE694="C",AF694="NC"),"UTILIZOU O PDA CORRETAMENTE. NÃO HÁ FOTOS DE TODAS AS ETAPAS",IF(AND(AE694="NC",AF694="NC"),"NÃO UTILIZOU O PDA",IF(AND(AE694="NA",AF694="NA"),"NÃO AVALIADO POR FALHA DE SINCRONISMO"))))</f>
        <v>0</v>
      </c>
      <c r="AH694" s="146"/>
      <c r="AI694" s="210" t="s">
        <v>6</v>
      </c>
      <c r="AJ694" s="97" t="str">
        <f t="shared" si="44"/>
        <v>GUARULHOS</v>
      </c>
      <c r="AK694" s="213" t="s">
        <v>39</v>
      </c>
      <c r="AL694" s="53">
        <v>0.79281017013800958</v>
      </c>
      <c r="AM694" s="53" t="str" cm="1">
        <f t="array" ref="AM694">IF(OR(O694&lt;&gt;"", SUMPRODUCT(($AN$2:$AN$5000=AN694)*($AL$2:$AL$5000&lt;=AL694)) &lt;= (COUNTIF($AN$2:$AN$5000,AN694)*0.5)), "SORTEADO", "-")</f>
        <v>-</v>
      </c>
      <c r="AN694" s="230" t="s">
        <v>1785</v>
      </c>
    </row>
    <row r="695" spans="1:40" ht="30" hidden="1" customHeight="1" x14ac:dyDescent="0.2">
      <c r="A695" s="230" t="s">
        <v>197</v>
      </c>
      <c r="B695" s="230">
        <v>2691200537</v>
      </c>
      <c r="C695" s="230" t="s">
        <v>89</v>
      </c>
      <c r="D695" s="230" t="s">
        <v>77</v>
      </c>
      <c r="E695" s="230" t="s">
        <v>198</v>
      </c>
      <c r="F695" s="230" t="s">
        <v>1851</v>
      </c>
      <c r="G695" s="230">
        <v>38</v>
      </c>
      <c r="H695" s="230" t="s">
        <v>1852</v>
      </c>
      <c r="I695" s="230" t="s">
        <v>411</v>
      </c>
      <c r="J695" s="230" t="s">
        <v>346</v>
      </c>
      <c r="K695" s="230" t="s">
        <v>1884</v>
      </c>
      <c r="L695" s="230" t="s">
        <v>1785</v>
      </c>
      <c r="M695" s="230" t="s">
        <v>1885</v>
      </c>
      <c r="N695" s="230" t="s">
        <v>271</v>
      </c>
      <c r="O695" s="158"/>
      <c r="P695" s="92"/>
      <c r="Q695" s="146"/>
      <c r="R695" s="92"/>
      <c r="S695" s="146"/>
      <c r="T695" s="92"/>
      <c r="U695" s="146"/>
      <c r="V695" s="92"/>
      <c r="W695" s="146"/>
      <c r="X695" s="92"/>
      <c r="Y695" s="146"/>
      <c r="Z695" s="92"/>
      <c r="AA695" s="146"/>
      <c r="AB695" s="92"/>
      <c r="AC695" s="146"/>
      <c r="AD695" s="92"/>
      <c r="AE695" s="146"/>
      <c r="AF695" s="187" t="str">
        <f t="shared" si="43"/>
        <v/>
      </c>
      <c r="AG695" s="54" t="b">
        <f t="shared" si="46"/>
        <v>0</v>
      </c>
      <c r="AH695" s="146"/>
      <c r="AI695" s="210" t="s">
        <v>6</v>
      </c>
      <c r="AJ695" s="97" t="str">
        <f t="shared" si="44"/>
        <v>GUARULHOS</v>
      </c>
      <c r="AK695" s="213" t="s">
        <v>39</v>
      </c>
      <c r="AL695" s="53">
        <v>0.75286322896554858</v>
      </c>
      <c r="AM695" s="53" t="str" cm="1">
        <f t="array" ref="AM695">IF(OR(O695&lt;&gt;"", SUMPRODUCT(($AN$2:$AN$5000=AN695)*($AL$2:$AL$5000&lt;=AL695)) &lt;= (COUNTIF($AN$2:$AN$5000,AN695)*0.5)), "SORTEADO", "-")</f>
        <v>-</v>
      </c>
      <c r="AN695" s="230" t="s">
        <v>1785</v>
      </c>
    </row>
    <row r="696" spans="1:40" ht="30" customHeight="1" x14ac:dyDescent="0.2">
      <c r="A696" s="242" t="s">
        <v>197</v>
      </c>
      <c r="B696" s="242">
        <v>2691196755</v>
      </c>
      <c r="C696" s="242" t="s">
        <v>89</v>
      </c>
      <c r="D696" s="242" t="s">
        <v>77</v>
      </c>
      <c r="E696" s="242" t="s">
        <v>198</v>
      </c>
      <c r="F696" s="242" t="s">
        <v>1848</v>
      </c>
      <c r="G696" s="242">
        <v>232</v>
      </c>
      <c r="H696" s="242" t="s">
        <v>1849</v>
      </c>
      <c r="I696" s="242" t="s">
        <v>301</v>
      </c>
      <c r="J696" s="242" t="s">
        <v>346</v>
      </c>
      <c r="K696" s="242" t="s">
        <v>409</v>
      </c>
      <c r="L696" s="242" t="s">
        <v>1785</v>
      </c>
      <c r="M696" s="242" t="s">
        <v>1886</v>
      </c>
      <c r="N696" s="242" t="s">
        <v>303</v>
      </c>
      <c r="O696" s="158" t="s">
        <v>204</v>
      </c>
      <c r="P696" s="146"/>
      <c r="Q696" s="146" t="s">
        <v>204</v>
      </c>
      <c r="R696" s="209"/>
      <c r="S696" s="146" t="s">
        <v>204</v>
      </c>
      <c r="T696" s="146"/>
      <c r="U696" s="146" t="s">
        <v>204</v>
      </c>
      <c r="V696" s="146"/>
      <c r="W696" s="146" t="s">
        <v>204</v>
      </c>
      <c r="X696" s="146"/>
      <c r="Y696" s="146" t="s">
        <v>61</v>
      </c>
      <c r="Z696" s="146"/>
      <c r="AA696" s="146" t="s">
        <v>204</v>
      </c>
      <c r="AB696" s="146"/>
      <c r="AC696" s="146" t="s">
        <v>204</v>
      </c>
      <c r="AD696" s="146"/>
      <c r="AE696" s="146" t="s">
        <v>204</v>
      </c>
      <c r="AF696" s="187" t="str">
        <f t="shared" si="43"/>
        <v>C</v>
      </c>
      <c r="AG696" s="54" t="str">
        <f t="shared" si="46"/>
        <v>UTILIZOU O PDA CORRETAMENTE</v>
      </c>
      <c r="AH696" s="146"/>
      <c r="AI696" s="210" t="s">
        <v>6</v>
      </c>
      <c r="AJ696" s="97" t="str">
        <f t="shared" si="44"/>
        <v>GUARULHOS</v>
      </c>
      <c r="AK696" s="213" t="s">
        <v>39</v>
      </c>
      <c r="AL696" s="53">
        <v>0.27456581074483311</v>
      </c>
      <c r="AM696" s="53" t="str" cm="1">
        <f t="array" ref="AM696">IF(OR(O696&lt;&gt;"", SUMPRODUCT(($AN$2:$AN$5000=AN696)*($AL$2:$AL$5000&lt;=AL696)) &lt;= (COUNTIF($AN$2:$AN$5000,AN696)*0.5)), "SORTEADO", "-")</f>
        <v>SORTEADO</v>
      </c>
      <c r="AN696" s="242" t="s">
        <v>1785</v>
      </c>
    </row>
    <row r="697" spans="1:40" ht="30" hidden="1" customHeight="1" x14ac:dyDescent="0.2">
      <c r="A697" s="230" t="s">
        <v>197</v>
      </c>
      <c r="B697" s="230">
        <v>2616909281</v>
      </c>
      <c r="C697" s="230" t="s">
        <v>105</v>
      </c>
      <c r="D697" s="230" t="s">
        <v>80</v>
      </c>
      <c r="E697" s="230" t="s">
        <v>198</v>
      </c>
      <c r="F697" s="230" t="s">
        <v>1887</v>
      </c>
      <c r="G697" s="230">
        <v>325</v>
      </c>
      <c r="H697" s="230" t="s">
        <v>213</v>
      </c>
      <c r="I697" s="230" t="s">
        <v>1445</v>
      </c>
      <c r="J697" s="230" t="s">
        <v>226</v>
      </c>
      <c r="K697" s="230" t="s">
        <v>213</v>
      </c>
      <c r="L697" s="230" t="s">
        <v>1888</v>
      </c>
      <c r="M697" s="230" t="s">
        <v>1889</v>
      </c>
      <c r="N697" s="230" t="s">
        <v>381</v>
      </c>
      <c r="O697" s="158"/>
      <c r="P697" s="92"/>
      <c r="Q697" s="146"/>
      <c r="R697" s="92"/>
      <c r="S697" s="146"/>
      <c r="T697" s="92"/>
      <c r="U697" s="146"/>
      <c r="V697" s="92"/>
      <c r="W697" s="146"/>
      <c r="X697" s="92"/>
      <c r="Y697" s="146"/>
      <c r="Z697" s="92"/>
      <c r="AA697" s="146"/>
      <c r="AB697" s="92"/>
      <c r="AC697" s="146"/>
      <c r="AD697" s="92"/>
      <c r="AE697" s="146"/>
      <c r="AF697" s="187" t="str">
        <f t="shared" si="43"/>
        <v/>
      </c>
      <c r="AG697" s="54" t="b">
        <f t="shared" si="46"/>
        <v>0</v>
      </c>
      <c r="AH697" s="146"/>
      <c r="AI697" s="210" t="s">
        <v>6</v>
      </c>
      <c r="AJ697" s="97" t="str">
        <f t="shared" si="44"/>
        <v>GUARULHOS</v>
      </c>
      <c r="AK697" s="213" t="s">
        <v>39</v>
      </c>
      <c r="AL697" s="53">
        <v>0.63463248518062176</v>
      </c>
      <c r="AM697" s="53" t="str" cm="1">
        <f t="array" ref="AM697">IF(OR(O697&lt;&gt;"", SUMPRODUCT(($AN$2:$AN$5000=AN697)*($AL$2:$AL$5000&lt;=AL697)) &lt;= (COUNTIF($AN$2:$AN$5000,AN697)*0.5)), "SORTEADO", "-")</f>
        <v>-</v>
      </c>
      <c r="AN697" s="230" t="s">
        <v>1888</v>
      </c>
    </row>
    <row r="698" spans="1:40" ht="30" customHeight="1" x14ac:dyDescent="0.2">
      <c r="A698" s="230" t="s">
        <v>197</v>
      </c>
      <c r="B698" s="230">
        <v>2617181655</v>
      </c>
      <c r="C698" s="230" t="s">
        <v>105</v>
      </c>
      <c r="D698" s="230" t="s">
        <v>80</v>
      </c>
      <c r="E698" s="230" t="s">
        <v>198</v>
      </c>
      <c r="F698" s="230" t="s">
        <v>1890</v>
      </c>
      <c r="G698" s="230">
        <v>17</v>
      </c>
      <c r="H698" s="230" t="s">
        <v>1891</v>
      </c>
      <c r="I698" s="230" t="s">
        <v>1892</v>
      </c>
      <c r="J698" s="230" t="s">
        <v>226</v>
      </c>
      <c r="K698" s="230"/>
      <c r="L698" s="230" t="s">
        <v>1888</v>
      </c>
      <c r="M698" s="230" t="s">
        <v>1893</v>
      </c>
      <c r="N698" s="230" t="s">
        <v>381</v>
      </c>
      <c r="O698" s="158" t="s">
        <v>204</v>
      </c>
      <c r="P698" s="92"/>
      <c r="Q698" s="146" t="s">
        <v>204</v>
      </c>
      <c r="R698" s="92"/>
      <c r="S698" s="146" t="s">
        <v>204</v>
      </c>
      <c r="T698" s="92"/>
      <c r="U698" s="146" t="s">
        <v>204</v>
      </c>
      <c r="V698" s="92"/>
      <c r="W698" s="146" t="s">
        <v>204</v>
      </c>
      <c r="X698" s="92"/>
      <c r="Y698" s="146" t="s">
        <v>61</v>
      </c>
      <c r="Z698" s="92"/>
      <c r="AA698" s="146" t="s">
        <v>204</v>
      </c>
      <c r="AB698" s="92"/>
      <c r="AC698" s="146" t="s">
        <v>204</v>
      </c>
      <c r="AD698" s="92"/>
      <c r="AE698" s="146" t="s">
        <v>204</v>
      </c>
      <c r="AF698" s="187" t="str">
        <f t="shared" si="43"/>
        <v>C</v>
      </c>
      <c r="AG698" s="54" t="str">
        <f t="shared" si="46"/>
        <v>UTILIZOU O PDA CORRETAMENTE</v>
      </c>
      <c r="AH698" s="144" t="s">
        <v>204</v>
      </c>
      <c r="AI698" s="210" t="s">
        <v>6</v>
      </c>
      <c r="AJ698" s="97" t="str">
        <f t="shared" si="44"/>
        <v>GUARULHOS</v>
      </c>
      <c r="AK698" s="213" t="s">
        <v>39</v>
      </c>
      <c r="AL698" s="53">
        <v>0.1388622765576808</v>
      </c>
      <c r="AM698" s="53" t="str" cm="1">
        <f t="array" ref="AM698">IF(OR(O698&lt;&gt;"", SUMPRODUCT(($AN$2:$AN$5000=AN698)*($AL$2:$AL$5000&lt;=AL698)) &lt;= (COUNTIF($AN$2:$AN$5000,AN698)*0.5)), "SORTEADO", "-")</f>
        <v>SORTEADO</v>
      </c>
      <c r="AN698" s="230" t="s">
        <v>1888</v>
      </c>
    </row>
    <row r="699" spans="1:40" ht="30" customHeight="1" x14ac:dyDescent="0.2">
      <c r="A699" s="230" t="s">
        <v>197</v>
      </c>
      <c r="B699" s="230">
        <v>2691357530</v>
      </c>
      <c r="C699" s="230" t="s">
        <v>102</v>
      </c>
      <c r="D699" s="230" t="s">
        <v>80</v>
      </c>
      <c r="E699" s="230" t="s">
        <v>198</v>
      </c>
      <c r="F699" s="230" t="s">
        <v>752</v>
      </c>
      <c r="G699" s="230">
        <v>202</v>
      </c>
      <c r="H699" s="230" t="s">
        <v>206</v>
      </c>
      <c r="I699" s="230" t="s">
        <v>200</v>
      </c>
      <c r="J699" s="230" t="s">
        <v>259</v>
      </c>
      <c r="K699" s="230" t="s">
        <v>213</v>
      </c>
      <c r="L699" s="230" t="s">
        <v>1888</v>
      </c>
      <c r="M699" s="230" t="s">
        <v>1894</v>
      </c>
      <c r="N699" s="230" t="s">
        <v>244</v>
      </c>
      <c r="O699" s="158" t="s">
        <v>204</v>
      </c>
      <c r="P699" s="92"/>
      <c r="Q699" s="146" t="s">
        <v>204</v>
      </c>
      <c r="R699" s="92"/>
      <c r="S699" s="146" t="s">
        <v>204</v>
      </c>
      <c r="T699" s="92"/>
      <c r="U699" s="146" t="s">
        <v>204</v>
      </c>
      <c r="V699" s="92"/>
      <c r="W699" s="146" t="s">
        <v>204</v>
      </c>
      <c r="X699" s="92"/>
      <c r="Y699" s="146" t="s">
        <v>61</v>
      </c>
      <c r="Z699" s="92"/>
      <c r="AA699" s="146" t="s">
        <v>204</v>
      </c>
      <c r="AB699" s="92"/>
      <c r="AC699" s="146" t="s">
        <v>204</v>
      </c>
      <c r="AD699" s="92"/>
      <c r="AE699" s="146" t="s">
        <v>204</v>
      </c>
      <c r="AF699" s="187" t="str">
        <f t="shared" si="43"/>
        <v>C</v>
      </c>
      <c r="AG699" s="54" t="str">
        <f t="shared" si="46"/>
        <v>UTILIZOU O PDA CORRETAMENTE</v>
      </c>
      <c r="AH699" s="144" t="s">
        <v>204</v>
      </c>
      <c r="AI699" s="210" t="s">
        <v>6</v>
      </c>
      <c r="AJ699" s="97" t="str">
        <f t="shared" si="44"/>
        <v>GUARULHOS</v>
      </c>
      <c r="AK699" s="213" t="s">
        <v>39</v>
      </c>
      <c r="AL699" s="53">
        <v>0.39955469279472355</v>
      </c>
      <c r="AM699" s="53" t="str" cm="1">
        <f t="array" ref="AM699">IF(OR(O699&lt;&gt;"", SUMPRODUCT(($AN$2:$AN$5000=AN699)*($AL$2:$AL$5000&lt;=AL699)) &lt;= (COUNTIF($AN$2:$AN$5000,AN699)*0.5)), "SORTEADO", "-")</f>
        <v>SORTEADO</v>
      </c>
      <c r="AN699" s="230" t="s">
        <v>1888</v>
      </c>
    </row>
    <row r="700" spans="1:40" ht="30" customHeight="1" x14ac:dyDescent="0.2">
      <c r="A700" s="230" t="s">
        <v>197</v>
      </c>
      <c r="B700" s="230">
        <v>2617176365</v>
      </c>
      <c r="C700" s="230" t="s">
        <v>105</v>
      </c>
      <c r="D700" s="230" t="s">
        <v>80</v>
      </c>
      <c r="E700" s="230" t="s">
        <v>198</v>
      </c>
      <c r="F700" s="230" t="s">
        <v>641</v>
      </c>
      <c r="G700" s="230">
        <v>201</v>
      </c>
      <c r="H700" s="230"/>
      <c r="I700" s="230" t="s">
        <v>643</v>
      </c>
      <c r="J700" s="230" t="s">
        <v>226</v>
      </c>
      <c r="K700" s="230" t="s">
        <v>1895</v>
      </c>
      <c r="L700" s="230" t="s">
        <v>1888</v>
      </c>
      <c r="M700" s="230" t="s">
        <v>1896</v>
      </c>
      <c r="N700" s="230" t="s">
        <v>244</v>
      </c>
      <c r="O700" s="158" t="s">
        <v>204</v>
      </c>
      <c r="P700" s="92"/>
      <c r="Q700" s="146" t="s">
        <v>204</v>
      </c>
      <c r="R700" s="92"/>
      <c r="S700" s="146" t="s">
        <v>204</v>
      </c>
      <c r="T700" s="92"/>
      <c r="U700" s="146" t="s">
        <v>204</v>
      </c>
      <c r="V700" s="92"/>
      <c r="W700" s="146" t="s">
        <v>204</v>
      </c>
      <c r="X700" s="92"/>
      <c r="Y700" s="146" t="s">
        <v>61</v>
      </c>
      <c r="Z700" s="92"/>
      <c r="AA700" s="146" t="s">
        <v>204</v>
      </c>
      <c r="AB700" s="92"/>
      <c r="AC700" s="146" t="s">
        <v>204</v>
      </c>
      <c r="AD700" s="92"/>
      <c r="AE700" s="146" t="s">
        <v>204</v>
      </c>
      <c r="AF700" s="187" t="str">
        <f t="shared" si="43"/>
        <v>C</v>
      </c>
      <c r="AG700" s="54" t="str">
        <f t="shared" si="46"/>
        <v>UTILIZOU O PDA CORRETAMENTE</v>
      </c>
      <c r="AH700" s="144" t="s">
        <v>204</v>
      </c>
      <c r="AI700" s="210" t="s">
        <v>6</v>
      </c>
      <c r="AJ700" s="97" t="str">
        <f t="shared" si="44"/>
        <v>GUARULHOS</v>
      </c>
      <c r="AK700" s="213" t="s">
        <v>39</v>
      </c>
      <c r="AL700" s="53">
        <v>0.41508091379040191</v>
      </c>
      <c r="AM700" s="53" t="str" cm="1">
        <f t="array" ref="AM700">IF(OR(O700&lt;&gt;"", SUMPRODUCT(($AN$2:$AN$5000=AN700)*($AL$2:$AL$5000&lt;=AL700)) &lt;= (COUNTIF($AN$2:$AN$5000,AN700)*0.5)), "SORTEADO", "-")</f>
        <v>SORTEADO</v>
      </c>
      <c r="AN700" s="230" t="s">
        <v>1888</v>
      </c>
    </row>
    <row r="701" spans="1:40" ht="30" hidden="1" customHeight="1" x14ac:dyDescent="0.2">
      <c r="A701" s="230" t="s">
        <v>197</v>
      </c>
      <c r="B701" s="230">
        <v>2617183120</v>
      </c>
      <c r="C701" s="230" t="s">
        <v>102</v>
      </c>
      <c r="D701" s="230" t="s">
        <v>80</v>
      </c>
      <c r="E701" s="230" t="s">
        <v>198</v>
      </c>
      <c r="F701" s="230" t="s">
        <v>1897</v>
      </c>
      <c r="G701" s="230">
        <v>110</v>
      </c>
      <c r="H701" s="230" t="s">
        <v>1898</v>
      </c>
      <c r="I701" s="230" t="s">
        <v>207</v>
      </c>
      <c r="J701" s="230" t="s">
        <v>270</v>
      </c>
      <c r="K701" s="230" t="s">
        <v>213</v>
      </c>
      <c r="L701" s="230" t="s">
        <v>1888</v>
      </c>
      <c r="M701" s="230" t="s">
        <v>1899</v>
      </c>
      <c r="N701" s="230" t="s">
        <v>228</v>
      </c>
      <c r="O701" s="158"/>
      <c r="P701" s="92"/>
      <c r="Q701" s="146"/>
      <c r="R701" s="92"/>
      <c r="S701" s="146"/>
      <c r="T701" s="92"/>
      <c r="U701" s="146"/>
      <c r="V701" s="92"/>
      <c r="W701" s="146"/>
      <c r="X701" s="92"/>
      <c r="Y701" s="146"/>
      <c r="Z701" s="92"/>
      <c r="AA701" s="146"/>
      <c r="AB701" s="92"/>
      <c r="AC701" s="146"/>
      <c r="AD701" s="92"/>
      <c r="AE701" s="146"/>
      <c r="AF701" s="187" t="str">
        <f t="shared" si="43"/>
        <v/>
      </c>
      <c r="AG701" s="54" t="b">
        <f t="shared" si="46"/>
        <v>0</v>
      </c>
      <c r="AH701" s="146"/>
      <c r="AI701" s="210" t="s">
        <v>6</v>
      </c>
      <c r="AJ701" s="97" t="str">
        <f t="shared" si="44"/>
        <v>GUARULHOS</v>
      </c>
      <c r="AK701" s="213" t="s">
        <v>39</v>
      </c>
      <c r="AL701" s="53">
        <v>0.88151735416890342</v>
      </c>
      <c r="AM701" s="53" t="str" cm="1">
        <f t="array" ref="AM701">IF(OR(O701&lt;&gt;"", SUMPRODUCT(($AN$2:$AN$5000=AN701)*($AL$2:$AL$5000&lt;=AL701)) &lt;= (COUNTIF($AN$2:$AN$5000,AN701)*0.5)), "SORTEADO", "-")</f>
        <v>-</v>
      </c>
      <c r="AN701" s="230" t="s">
        <v>1888</v>
      </c>
    </row>
    <row r="702" spans="1:40" ht="30" hidden="1" customHeight="1" x14ac:dyDescent="0.2">
      <c r="A702" s="230" t="s">
        <v>197</v>
      </c>
      <c r="B702" s="230">
        <v>2617168548</v>
      </c>
      <c r="C702" s="230" t="s">
        <v>102</v>
      </c>
      <c r="D702" s="230" t="s">
        <v>80</v>
      </c>
      <c r="E702" s="230" t="s">
        <v>198</v>
      </c>
      <c r="F702" s="230" t="s">
        <v>838</v>
      </c>
      <c r="G702" s="230">
        <v>122</v>
      </c>
      <c r="H702" s="230"/>
      <c r="I702" s="230" t="s">
        <v>326</v>
      </c>
      <c r="J702" s="230" t="s">
        <v>270</v>
      </c>
      <c r="K702" s="230"/>
      <c r="L702" s="230" t="s">
        <v>1888</v>
      </c>
      <c r="M702" s="230" t="s">
        <v>1900</v>
      </c>
      <c r="N702" s="230" t="s">
        <v>250</v>
      </c>
      <c r="O702" s="158"/>
      <c r="P702" s="92"/>
      <c r="Q702" s="146"/>
      <c r="R702" s="92"/>
      <c r="S702" s="146"/>
      <c r="T702" s="92"/>
      <c r="U702" s="146"/>
      <c r="V702" s="92"/>
      <c r="W702" s="146"/>
      <c r="X702" s="92"/>
      <c r="Y702" s="146"/>
      <c r="Z702" s="92"/>
      <c r="AA702" s="146"/>
      <c r="AB702" s="92"/>
      <c r="AC702" s="146"/>
      <c r="AD702" s="92"/>
      <c r="AE702" s="146"/>
      <c r="AF702" s="187" t="str">
        <f t="shared" si="43"/>
        <v/>
      </c>
      <c r="AG702" s="54" t="b">
        <f t="shared" si="46"/>
        <v>0</v>
      </c>
      <c r="AH702" s="146"/>
      <c r="AI702" s="210" t="s">
        <v>6</v>
      </c>
      <c r="AJ702" s="97" t="str">
        <f t="shared" si="44"/>
        <v>GUARULHOS</v>
      </c>
      <c r="AK702" s="213" t="s">
        <v>39</v>
      </c>
      <c r="AL702" s="53">
        <v>0.93045254556611623</v>
      </c>
      <c r="AM702" s="53" t="str" cm="1">
        <f t="array" ref="AM702">IF(OR(O702&lt;&gt;"", SUMPRODUCT(($AN$2:$AN$5000=AN702)*($AL$2:$AL$5000&lt;=AL702)) &lt;= (COUNTIF($AN$2:$AN$5000,AN702)*0.5)), "SORTEADO", "-")</f>
        <v>-</v>
      </c>
      <c r="AN702" s="230" t="s">
        <v>1888</v>
      </c>
    </row>
    <row r="703" spans="1:40" ht="30" hidden="1" customHeight="1" x14ac:dyDescent="0.2">
      <c r="A703" s="230" t="s">
        <v>197</v>
      </c>
      <c r="B703" s="230">
        <v>2617121133</v>
      </c>
      <c r="C703" s="230" t="s">
        <v>104</v>
      </c>
      <c r="D703" s="230" t="s">
        <v>80</v>
      </c>
      <c r="E703" s="230" t="s">
        <v>198</v>
      </c>
      <c r="F703" s="230" t="s">
        <v>1901</v>
      </c>
      <c r="G703" s="230">
        <v>149</v>
      </c>
      <c r="H703" s="230" t="s">
        <v>479</v>
      </c>
      <c r="I703" s="230" t="s">
        <v>1445</v>
      </c>
      <c r="J703" s="230" t="s">
        <v>226</v>
      </c>
      <c r="K703" s="230" t="s">
        <v>213</v>
      </c>
      <c r="L703" s="230" t="s">
        <v>1888</v>
      </c>
      <c r="M703" s="230" t="s">
        <v>1902</v>
      </c>
      <c r="N703" s="230" t="s">
        <v>260</v>
      </c>
      <c r="O703" s="158"/>
      <c r="P703" s="92"/>
      <c r="Q703" s="146"/>
      <c r="R703" s="92"/>
      <c r="S703" s="146"/>
      <c r="T703" s="92"/>
      <c r="U703" s="146"/>
      <c r="V703" s="92"/>
      <c r="W703" s="146"/>
      <c r="X703" s="92"/>
      <c r="Y703" s="146"/>
      <c r="Z703" s="92"/>
      <c r="AA703" s="146"/>
      <c r="AB703" s="92"/>
      <c r="AC703" s="146"/>
      <c r="AD703" s="92"/>
      <c r="AE703" s="146"/>
      <c r="AF703" s="187" t="str">
        <f t="shared" si="43"/>
        <v/>
      </c>
      <c r="AG703" s="54" t="b">
        <f t="shared" si="46"/>
        <v>0</v>
      </c>
      <c r="AH703" s="146"/>
      <c r="AI703" s="210" t="s">
        <v>6</v>
      </c>
      <c r="AJ703" s="97" t="str">
        <f t="shared" si="44"/>
        <v>GUARULHOS</v>
      </c>
      <c r="AK703" s="213" t="s">
        <v>39</v>
      </c>
      <c r="AL703" s="53">
        <v>0.94633086690480961</v>
      </c>
      <c r="AM703" s="53" t="str" cm="1">
        <f t="array" ref="AM703">IF(OR(O703&lt;&gt;"", SUMPRODUCT(($AN$2:$AN$5000=AN703)*($AL$2:$AL$5000&lt;=AL703)) &lt;= (COUNTIF($AN$2:$AN$5000,AN703)*0.5)), "SORTEADO", "-")</f>
        <v>-</v>
      </c>
      <c r="AN703" s="230" t="s">
        <v>1888</v>
      </c>
    </row>
    <row r="704" spans="1:40" ht="30" hidden="1" customHeight="1" x14ac:dyDescent="0.2">
      <c r="A704" s="230" t="s">
        <v>197</v>
      </c>
      <c r="B704" s="230">
        <v>2691390660</v>
      </c>
      <c r="C704" s="230" t="s">
        <v>102</v>
      </c>
      <c r="D704" s="230" t="s">
        <v>80</v>
      </c>
      <c r="E704" s="230" t="s">
        <v>198</v>
      </c>
      <c r="F704" s="230" t="s">
        <v>1903</v>
      </c>
      <c r="G704" s="230">
        <v>65</v>
      </c>
      <c r="H704" s="230" t="s">
        <v>1904</v>
      </c>
      <c r="I704" s="230" t="s">
        <v>1905</v>
      </c>
      <c r="J704" s="230" t="s">
        <v>270</v>
      </c>
      <c r="K704" s="230"/>
      <c r="L704" s="230" t="s">
        <v>1888</v>
      </c>
      <c r="M704" s="230" t="s">
        <v>1906</v>
      </c>
      <c r="N704" s="230" t="s">
        <v>228</v>
      </c>
      <c r="O704" s="158"/>
      <c r="P704" s="92"/>
      <c r="Q704" s="146"/>
      <c r="R704" s="92"/>
      <c r="S704" s="146"/>
      <c r="T704" s="92"/>
      <c r="U704" s="146"/>
      <c r="V704" s="92"/>
      <c r="W704" s="146"/>
      <c r="X704" s="92"/>
      <c r="Y704" s="146"/>
      <c r="Z704" s="92"/>
      <c r="AA704" s="146"/>
      <c r="AB704" s="92"/>
      <c r="AC704" s="146"/>
      <c r="AD704" s="92"/>
      <c r="AE704" s="146"/>
      <c r="AF704" s="187" t="str">
        <f t="shared" si="43"/>
        <v/>
      </c>
      <c r="AG704" s="54" t="b">
        <f t="shared" si="46"/>
        <v>0</v>
      </c>
      <c r="AH704" s="146"/>
      <c r="AI704" s="210" t="s">
        <v>6</v>
      </c>
      <c r="AJ704" s="97" t="str">
        <f t="shared" si="44"/>
        <v>GUARULHOS</v>
      </c>
      <c r="AK704" s="213" t="s">
        <v>39</v>
      </c>
      <c r="AL704" s="53">
        <v>0.49022497251228603</v>
      </c>
      <c r="AM704" s="53" t="str" cm="1">
        <f t="array" ref="AM704">IF(OR(O704&lt;&gt;"", SUMPRODUCT(($AN$2:$AN$5000=AN704)*($AL$2:$AL$5000&lt;=AL704)) &lt;= (COUNTIF($AN$2:$AN$5000,AN704)*0.5)), "SORTEADO", "-")</f>
        <v>-</v>
      </c>
      <c r="AN704" s="230" t="s">
        <v>1888</v>
      </c>
    </row>
    <row r="705" spans="1:40" ht="30" customHeight="1" x14ac:dyDescent="0.2">
      <c r="A705" s="230" t="s">
        <v>197</v>
      </c>
      <c r="B705" s="230">
        <v>2691368050</v>
      </c>
      <c r="C705" s="230" t="s">
        <v>106</v>
      </c>
      <c r="D705" s="230" t="s">
        <v>80</v>
      </c>
      <c r="E705" s="230" t="s">
        <v>198</v>
      </c>
      <c r="F705" s="230" t="s">
        <v>1907</v>
      </c>
      <c r="G705" s="230">
        <v>251</v>
      </c>
      <c r="H705" s="230" t="s">
        <v>1908</v>
      </c>
      <c r="I705" s="230" t="s">
        <v>1575</v>
      </c>
      <c r="J705" s="230" t="s">
        <v>259</v>
      </c>
      <c r="K705" s="230" t="s">
        <v>213</v>
      </c>
      <c r="L705" s="230" t="s">
        <v>1888</v>
      </c>
      <c r="M705" s="230" t="s">
        <v>1909</v>
      </c>
      <c r="N705" s="230" t="s">
        <v>241</v>
      </c>
      <c r="O705" s="158" t="s">
        <v>204</v>
      </c>
      <c r="P705" s="92"/>
      <c r="Q705" s="146" t="s">
        <v>204</v>
      </c>
      <c r="R705" s="92"/>
      <c r="S705" s="146" t="s">
        <v>204</v>
      </c>
      <c r="T705" s="92"/>
      <c r="U705" s="146" t="s">
        <v>204</v>
      </c>
      <c r="V705" s="92"/>
      <c r="W705" s="146" t="s">
        <v>204</v>
      </c>
      <c r="X705" s="92"/>
      <c r="Y705" s="146" t="s">
        <v>61</v>
      </c>
      <c r="Z705" s="92"/>
      <c r="AA705" s="146" t="s">
        <v>204</v>
      </c>
      <c r="AB705" s="92"/>
      <c r="AC705" s="146" t="s">
        <v>204</v>
      </c>
      <c r="AD705" s="92"/>
      <c r="AE705" s="146" t="s">
        <v>204</v>
      </c>
      <c r="AF705" s="187" t="str">
        <f t="shared" si="43"/>
        <v>C</v>
      </c>
      <c r="AG705" s="54" t="str">
        <f t="shared" si="46"/>
        <v>UTILIZOU O PDA CORRETAMENTE</v>
      </c>
      <c r="AH705" s="144" t="s">
        <v>204</v>
      </c>
      <c r="AI705" s="210" t="s">
        <v>6</v>
      </c>
      <c r="AJ705" s="97" t="str">
        <f t="shared" si="44"/>
        <v>GUARULHOS</v>
      </c>
      <c r="AK705" s="213" t="s">
        <v>39</v>
      </c>
      <c r="AL705" s="53">
        <v>0.11605542250629763</v>
      </c>
      <c r="AM705" s="53" t="str" cm="1">
        <f t="array" ref="AM705">IF(OR(O705&lt;&gt;"", SUMPRODUCT(($AN$2:$AN$5000=AN705)*($AL$2:$AL$5000&lt;=AL705)) &lt;= (COUNTIF($AN$2:$AN$5000,AN705)*0.5)), "SORTEADO", "-")</f>
        <v>SORTEADO</v>
      </c>
      <c r="AN705" s="230" t="s">
        <v>1888</v>
      </c>
    </row>
    <row r="706" spans="1:40" ht="30" customHeight="1" x14ac:dyDescent="0.2">
      <c r="A706" s="230" t="s">
        <v>197</v>
      </c>
      <c r="B706" s="230">
        <v>2617147042</v>
      </c>
      <c r="C706" s="230" t="s">
        <v>106</v>
      </c>
      <c r="D706" s="230" t="s">
        <v>80</v>
      </c>
      <c r="E706" s="230" t="s">
        <v>198</v>
      </c>
      <c r="F706" s="230" t="s">
        <v>1910</v>
      </c>
      <c r="G706" s="230">
        <v>211</v>
      </c>
      <c r="H706" s="230" t="s">
        <v>1911</v>
      </c>
      <c r="I706" s="230" t="s">
        <v>231</v>
      </c>
      <c r="J706" s="230" t="s">
        <v>259</v>
      </c>
      <c r="K706" s="230"/>
      <c r="L706" s="230" t="s">
        <v>1888</v>
      </c>
      <c r="M706" s="230" t="s">
        <v>1912</v>
      </c>
      <c r="N706" s="230" t="s">
        <v>241</v>
      </c>
      <c r="O706" s="158" t="s">
        <v>204</v>
      </c>
      <c r="P706" s="92"/>
      <c r="Q706" s="146" t="s">
        <v>204</v>
      </c>
      <c r="R706" s="92"/>
      <c r="S706" s="146" t="s">
        <v>204</v>
      </c>
      <c r="T706" s="92"/>
      <c r="U706" s="146" t="s">
        <v>204</v>
      </c>
      <c r="V706" s="92"/>
      <c r="W706" s="146" t="s">
        <v>204</v>
      </c>
      <c r="X706" s="92"/>
      <c r="Y706" s="146" t="s">
        <v>61</v>
      </c>
      <c r="Z706" s="92"/>
      <c r="AA706" s="146" t="s">
        <v>204</v>
      </c>
      <c r="AB706" s="92"/>
      <c r="AC706" s="146" t="s">
        <v>204</v>
      </c>
      <c r="AD706" s="92"/>
      <c r="AE706" s="146" t="s">
        <v>204</v>
      </c>
      <c r="AF706" s="187" t="str">
        <f t="shared" si="43"/>
        <v>C</v>
      </c>
      <c r="AG706" s="54" t="str">
        <f t="shared" si="46"/>
        <v>UTILIZOU O PDA CORRETAMENTE</v>
      </c>
      <c r="AH706" s="144" t="s">
        <v>204</v>
      </c>
      <c r="AI706" s="210" t="s">
        <v>6</v>
      </c>
      <c r="AJ706" s="97" t="str">
        <f t="shared" si="44"/>
        <v>GUARULHOS</v>
      </c>
      <c r="AK706" s="213" t="s">
        <v>39</v>
      </c>
      <c r="AL706" s="53">
        <v>0.3156777678115712</v>
      </c>
      <c r="AM706" s="53" t="str" cm="1">
        <f t="array" ref="AM706">IF(OR(O706&lt;&gt;"", SUMPRODUCT(($AN$2:$AN$5000=AN706)*($AL$2:$AL$5000&lt;=AL706)) &lt;= (COUNTIF($AN$2:$AN$5000,AN706)*0.5)), "SORTEADO", "-")</f>
        <v>SORTEADO</v>
      </c>
      <c r="AN706" s="230" t="s">
        <v>1888</v>
      </c>
    </row>
    <row r="707" spans="1:40" ht="30" customHeight="1" x14ac:dyDescent="0.2">
      <c r="A707" s="230" t="s">
        <v>197</v>
      </c>
      <c r="B707" s="230">
        <v>2691408628</v>
      </c>
      <c r="C707" s="230" t="s">
        <v>106</v>
      </c>
      <c r="D707" s="230" t="s">
        <v>80</v>
      </c>
      <c r="E707" s="230" t="s">
        <v>198</v>
      </c>
      <c r="F707" s="230" t="s">
        <v>1913</v>
      </c>
      <c r="G707" s="230">
        <v>305</v>
      </c>
      <c r="H707" s="230" t="s">
        <v>1914</v>
      </c>
      <c r="I707" s="230" t="s">
        <v>1744</v>
      </c>
      <c r="J707" s="230" t="s">
        <v>259</v>
      </c>
      <c r="K707" s="230" t="s">
        <v>213</v>
      </c>
      <c r="L707" s="230" t="s">
        <v>1888</v>
      </c>
      <c r="M707" s="230" t="s">
        <v>1915</v>
      </c>
      <c r="N707" s="230" t="s">
        <v>241</v>
      </c>
      <c r="O707" s="158" t="s">
        <v>204</v>
      </c>
      <c r="P707" s="92"/>
      <c r="Q707" s="146" t="s">
        <v>204</v>
      </c>
      <c r="R707" s="92"/>
      <c r="S707" s="146" t="s">
        <v>204</v>
      </c>
      <c r="T707" s="92"/>
      <c r="U707" s="146" t="s">
        <v>204</v>
      </c>
      <c r="V707" s="92"/>
      <c r="W707" s="146" t="s">
        <v>204</v>
      </c>
      <c r="X707" s="92"/>
      <c r="Y707" s="146" t="s">
        <v>61</v>
      </c>
      <c r="Z707" s="92"/>
      <c r="AA707" s="146" t="s">
        <v>204</v>
      </c>
      <c r="AB707" s="92"/>
      <c r="AC707" s="146" t="s">
        <v>204</v>
      </c>
      <c r="AD707" s="92"/>
      <c r="AE707" s="146" t="s">
        <v>204</v>
      </c>
      <c r="AF707" s="187" t="str">
        <f t="shared" si="43"/>
        <v>C</v>
      </c>
      <c r="AG707" s="54" t="str">
        <f t="shared" si="46"/>
        <v>UTILIZOU O PDA CORRETAMENTE</v>
      </c>
      <c r="AH707" s="144" t="s">
        <v>204</v>
      </c>
      <c r="AI707" s="210" t="s">
        <v>6</v>
      </c>
      <c r="AJ707" s="97" t="str">
        <f t="shared" si="44"/>
        <v>GUARULHOS</v>
      </c>
      <c r="AK707" s="213" t="s">
        <v>39</v>
      </c>
      <c r="AL707" s="53">
        <v>0.41636427931259179</v>
      </c>
      <c r="AM707" s="53" t="str" cm="1">
        <f t="array" ref="AM707">IF(OR(O707&lt;&gt;"", SUMPRODUCT(($AN$2:$AN$5000=AN707)*($AL$2:$AL$5000&lt;=AL707)) &lt;= (COUNTIF($AN$2:$AN$5000,AN707)*0.5)), "SORTEADO", "-")</f>
        <v>SORTEADO</v>
      </c>
      <c r="AN707" s="230" t="s">
        <v>1888</v>
      </c>
    </row>
    <row r="708" spans="1:40" ht="30" hidden="1" customHeight="1" x14ac:dyDescent="0.2">
      <c r="A708" s="230" t="s">
        <v>197</v>
      </c>
      <c r="B708" s="230">
        <v>2691373308</v>
      </c>
      <c r="C708" s="230" t="s">
        <v>102</v>
      </c>
      <c r="D708" s="230" t="s">
        <v>80</v>
      </c>
      <c r="E708" s="230" t="s">
        <v>198</v>
      </c>
      <c r="F708" s="230" t="s">
        <v>1916</v>
      </c>
      <c r="G708" s="230">
        <v>21</v>
      </c>
      <c r="H708" s="230" t="s">
        <v>1917</v>
      </c>
      <c r="I708" s="230" t="s">
        <v>411</v>
      </c>
      <c r="J708" s="230" t="s">
        <v>270</v>
      </c>
      <c r="K708" s="230"/>
      <c r="L708" s="230" t="s">
        <v>1888</v>
      </c>
      <c r="M708" s="230" t="s">
        <v>1918</v>
      </c>
      <c r="N708" s="230" t="s">
        <v>303</v>
      </c>
      <c r="O708" s="158"/>
      <c r="P708" s="92"/>
      <c r="Q708" s="146"/>
      <c r="R708" s="92"/>
      <c r="S708" s="146"/>
      <c r="T708" s="92"/>
      <c r="U708" s="146"/>
      <c r="V708" s="92"/>
      <c r="W708" s="146"/>
      <c r="X708" s="92"/>
      <c r="Y708" s="146"/>
      <c r="Z708" s="92"/>
      <c r="AA708" s="146"/>
      <c r="AB708" s="92"/>
      <c r="AC708" s="146"/>
      <c r="AD708" s="92"/>
      <c r="AE708" s="146"/>
      <c r="AF708" s="187" t="str">
        <f t="shared" si="43"/>
        <v/>
      </c>
      <c r="AG708" s="54" t="b">
        <f t="shared" si="46"/>
        <v>0</v>
      </c>
      <c r="AH708" s="146"/>
      <c r="AI708" s="210" t="s">
        <v>6</v>
      </c>
      <c r="AJ708" s="97" t="str">
        <f t="shared" si="44"/>
        <v>GUARULHOS</v>
      </c>
      <c r="AK708" s="213" t="s">
        <v>39</v>
      </c>
      <c r="AL708" s="53">
        <v>0.7217169818638729</v>
      </c>
      <c r="AM708" s="53" t="str" cm="1">
        <f t="array" ref="AM708">IF(OR(O708&lt;&gt;"", SUMPRODUCT(($AN$2:$AN$5000=AN708)*($AL$2:$AL$5000&lt;=AL708)) &lt;= (COUNTIF($AN$2:$AN$5000,AN708)*0.5)), "SORTEADO", "-")</f>
        <v>-</v>
      </c>
      <c r="AN708" s="230" t="s">
        <v>1888</v>
      </c>
    </row>
    <row r="709" spans="1:40" ht="30" hidden="1" customHeight="1" x14ac:dyDescent="0.2">
      <c r="A709" s="230" t="s">
        <v>197</v>
      </c>
      <c r="B709" s="230">
        <v>2616861283</v>
      </c>
      <c r="C709" s="230" t="s">
        <v>104</v>
      </c>
      <c r="D709" s="230" t="s">
        <v>80</v>
      </c>
      <c r="E709" s="230" t="s">
        <v>198</v>
      </c>
      <c r="F709" s="230" t="s">
        <v>1919</v>
      </c>
      <c r="G709" s="230">
        <v>250</v>
      </c>
      <c r="H709" s="230" t="s">
        <v>1920</v>
      </c>
      <c r="I709" s="230" t="s">
        <v>1921</v>
      </c>
      <c r="J709" s="230" t="s">
        <v>278</v>
      </c>
      <c r="K709" s="230" t="s">
        <v>1922</v>
      </c>
      <c r="L709" s="230" t="s">
        <v>1888</v>
      </c>
      <c r="M709" s="230" t="s">
        <v>1923</v>
      </c>
      <c r="N709" s="230" t="s">
        <v>287</v>
      </c>
      <c r="O709" s="158"/>
      <c r="P709" s="92"/>
      <c r="Q709" s="146"/>
      <c r="R709" s="92"/>
      <c r="S709" s="146"/>
      <c r="T709" s="92"/>
      <c r="U709" s="146"/>
      <c r="V709" s="92"/>
      <c r="W709" s="146"/>
      <c r="X709" s="92"/>
      <c r="Y709" s="146"/>
      <c r="Z709" s="92"/>
      <c r="AA709" s="146"/>
      <c r="AB709" s="92"/>
      <c r="AC709" s="146"/>
      <c r="AD709" s="92"/>
      <c r="AE709" s="146"/>
      <c r="AF709" s="187" t="str">
        <f t="shared" si="43"/>
        <v/>
      </c>
      <c r="AG709" s="54" t="b">
        <f t="shared" si="46"/>
        <v>0</v>
      </c>
      <c r="AH709" s="146"/>
      <c r="AI709" s="210" t="s">
        <v>6</v>
      </c>
      <c r="AJ709" s="97" t="str">
        <f t="shared" si="44"/>
        <v>GUARULHOS</v>
      </c>
      <c r="AK709" s="213" t="s">
        <v>39</v>
      </c>
      <c r="AL709" s="53">
        <v>0.85413011364734004</v>
      </c>
      <c r="AM709" s="53" t="str" cm="1">
        <f t="array" ref="AM709">IF(OR(O709&lt;&gt;"", SUMPRODUCT(($AN$2:$AN$5000=AN709)*($AL$2:$AL$5000&lt;=AL709)) &lt;= (COUNTIF($AN$2:$AN$5000,AN709)*0.5)), "SORTEADO", "-")</f>
        <v>-</v>
      </c>
      <c r="AN709" s="230" t="s">
        <v>1888</v>
      </c>
    </row>
    <row r="710" spans="1:40" ht="30" hidden="1" customHeight="1" x14ac:dyDescent="0.2">
      <c r="A710" s="230" t="s">
        <v>197</v>
      </c>
      <c r="B710" s="230">
        <v>2617160804</v>
      </c>
      <c r="C710" s="230" t="s">
        <v>104</v>
      </c>
      <c r="D710" s="230" t="s">
        <v>80</v>
      </c>
      <c r="E710" s="230" t="s">
        <v>198</v>
      </c>
      <c r="F710" s="230" t="s">
        <v>1924</v>
      </c>
      <c r="G710" s="230">
        <v>115</v>
      </c>
      <c r="H710" s="230"/>
      <c r="I710" s="230" t="s">
        <v>277</v>
      </c>
      <c r="J710" s="230" t="s">
        <v>226</v>
      </c>
      <c r="K710" s="230" t="s">
        <v>1925</v>
      </c>
      <c r="L710" s="230" t="s">
        <v>1888</v>
      </c>
      <c r="M710" s="230" t="s">
        <v>1926</v>
      </c>
      <c r="N710" s="230" t="s">
        <v>287</v>
      </c>
      <c r="O710" s="158"/>
      <c r="P710" s="92"/>
      <c r="Q710" s="146"/>
      <c r="R710" s="92"/>
      <c r="S710" s="146"/>
      <c r="T710" s="92"/>
      <c r="U710" s="146"/>
      <c r="V710" s="92"/>
      <c r="W710" s="146"/>
      <c r="X710" s="92"/>
      <c r="Y710" s="146"/>
      <c r="Z710" s="92"/>
      <c r="AA710" s="146"/>
      <c r="AB710" s="92"/>
      <c r="AC710" s="146"/>
      <c r="AD710" s="92"/>
      <c r="AE710" s="146"/>
      <c r="AF710" s="187" t="str">
        <f t="shared" si="43"/>
        <v/>
      </c>
      <c r="AG710" s="54" t="b">
        <f t="shared" si="46"/>
        <v>0</v>
      </c>
      <c r="AH710" s="146"/>
      <c r="AI710" s="210" t="s">
        <v>6</v>
      </c>
      <c r="AJ710" s="97" t="str">
        <f t="shared" si="44"/>
        <v>GUARULHOS</v>
      </c>
      <c r="AK710" s="213" t="s">
        <v>39</v>
      </c>
      <c r="AL710" s="53">
        <v>0.52879658285623377</v>
      </c>
      <c r="AM710" s="53" t="str" cm="1">
        <f t="array" ref="AM710">IF(OR(O710&lt;&gt;"", SUMPRODUCT(($AN$2:$AN$5000=AN710)*($AL$2:$AL$5000&lt;=AL710)) &lt;= (COUNTIF($AN$2:$AN$5000,AN710)*0.5)), "SORTEADO", "-")</f>
        <v>-</v>
      </c>
      <c r="AN710" s="230" t="s">
        <v>1888</v>
      </c>
    </row>
    <row r="711" spans="1:40" ht="30" hidden="1" customHeight="1" x14ac:dyDescent="0.2">
      <c r="A711" s="230" t="s">
        <v>197</v>
      </c>
      <c r="B711" s="230">
        <v>2617179325</v>
      </c>
      <c r="C711" s="230" t="s">
        <v>105</v>
      </c>
      <c r="D711" s="230" t="s">
        <v>80</v>
      </c>
      <c r="E711" s="230" t="s">
        <v>198</v>
      </c>
      <c r="F711" s="230" t="s">
        <v>1927</v>
      </c>
      <c r="G711" s="230">
        <v>378</v>
      </c>
      <c r="H711" s="230" t="s">
        <v>1928</v>
      </c>
      <c r="I711" s="230" t="s">
        <v>436</v>
      </c>
      <c r="J711" s="230" t="s">
        <v>226</v>
      </c>
      <c r="K711" s="230" t="s">
        <v>213</v>
      </c>
      <c r="L711" s="230" t="s">
        <v>1888</v>
      </c>
      <c r="M711" s="230" t="s">
        <v>1929</v>
      </c>
      <c r="N711" s="230" t="s">
        <v>263</v>
      </c>
      <c r="O711" s="158"/>
      <c r="P711" s="92"/>
      <c r="Q711" s="146"/>
      <c r="R711" s="92"/>
      <c r="S711" s="146"/>
      <c r="T711" s="92"/>
      <c r="U711" s="146"/>
      <c r="V711" s="92"/>
      <c r="W711" s="146"/>
      <c r="X711" s="92"/>
      <c r="Y711" s="146"/>
      <c r="Z711" s="92"/>
      <c r="AA711" s="146"/>
      <c r="AB711" s="92"/>
      <c r="AC711" s="146"/>
      <c r="AD711" s="92"/>
      <c r="AE711" s="146"/>
      <c r="AF711" s="187" t="str">
        <f t="shared" ref="AF711:AF774" si="47">IF(AND(O711="",Q711="",S711="",U711="",W711="",Y711="",AA711="",AC711=""),"",IF(OR(AND(O711&lt;&gt;"NA",O711&lt;&gt;"C",O711&lt;&gt;"NC",O711&lt;&gt;"SF",O711&lt;&gt;""),AND(Q711&lt;&gt;"NA",Q711&lt;&gt;"C",Q711&lt;&gt;"NC",Q711&lt;&gt;"SF",Q711&lt;&gt;""),AND(S711&lt;&gt;"NA",S711&lt;&gt;"C",S711&lt;&gt;"NC",S711&lt;&gt;"SF",S711&lt;&gt;""),AND(U711&lt;&gt;"NA",U711&lt;&gt;"C",U711&lt;&gt;"NC",U711&lt;&gt;"SF",U711&lt;&gt;""),AND(W711&lt;&gt;"NA",W711&lt;&gt;"C",W711&lt;&gt;"NC",W711&lt;&gt;"SF",W711&lt;&gt;""),AND(Y711&lt;&gt;"NA",Y711&lt;&gt;"C",Y711&lt;&gt;"NC",Y711&lt;&gt;"SF",Y711&lt;&gt;""),AND(AA711&lt;&gt;"NA",AA711&lt;&gt;"C",AA711&lt;&gt;"NC",AA711&lt;&gt;"SF",AA711&lt;&gt;""),AND(AC711&lt;&gt;"NA",AC711&lt;&gt;"C",AC711&lt;&gt;"NC",AC711&lt;&gt;"SF",AC711&lt;&gt;"")),"FALSO",IF(AND(O711="NA",Q711="NA",S711="NA",U711="NA",W711="NA",Y711="NA",AA711="NA",AC711="NA"),"NA",IF(OR(O711="NC",Q711="NC",S711="NC",U711="NC",W711="NC",Y711="NC",AA711="NC",AC711="NC",O711="SF",Q711="SF",S711="SF",U711="SF",W711="SF",Y711="SF",AA711="SF",AC711="SF"),"NC",IF(OR(O711="C",Q711="C",S711="C",U711="C",W711="C",Y711="C",AA711="C",AC711="C"),"C","")))))</f>
        <v/>
      </c>
      <c r="AG711" s="54" t="b">
        <f t="shared" si="46"/>
        <v>0</v>
      </c>
      <c r="AH711" s="146"/>
      <c r="AI711" s="210" t="s">
        <v>6</v>
      </c>
      <c r="AJ711" s="97" t="str">
        <f t="shared" ref="AJ711:AJ774" si="48">E711</f>
        <v>GUARULHOS</v>
      </c>
      <c r="AK711" s="213" t="s">
        <v>39</v>
      </c>
      <c r="AL711" s="53">
        <v>0.70716967579093626</v>
      </c>
      <c r="AM711" s="53" t="str" cm="1">
        <f t="array" ref="AM711">IF(OR(O711&lt;&gt;"", SUMPRODUCT(($AN$2:$AN$5000=AN711)*($AL$2:$AL$5000&lt;=AL711)) &lt;= (COUNTIF($AN$2:$AN$5000,AN711)*0.5)), "SORTEADO", "-")</f>
        <v>-</v>
      </c>
      <c r="AN711" s="230" t="s">
        <v>1888</v>
      </c>
    </row>
    <row r="712" spans="1:40" ht="30" hidden="1" customHeight="1" x14ac:dyDescent="0.2">
      <c r="A712" s="230" t="s">
        <v>197</v>
      </c>
      <c r="B712" s="230">
        <v>2616875206</v>
      </c>
      <c r="C712" s="230" t="s">
        <v>86</v>
      </c>
      <c r="D712" s="230" t="s">
        <v>79</v>
      </c>
      <c r="E712" s="230" t="s">
        <v>198</v>
      </c>
      <c r="F712" s="230" t="s">
        <v>1930</v>
      </c>
      <c r="G712" s="230">
        <v>130</v>
      </c>
      <c r="H712" s="230" t="s">
        <v>252</v>
      </c>
      <c r="I712" s="230" t="s">
        <v>650</v>
      </c>
      <c r="J712" s="230" t="s">
        <v>510</v>
      </c>
      <c r="K712" s="230" t="s">
        <v>1931</v>
      </c>
      <c r="L712" s="230" t="s">
        <v>1888</v>
      </c>
      <c r="M712" s="230" t="s">
        <v>1932</v>
      </c>
      <c r="N712" s="230" t="s">
        <v>1104</v>
      </c>
      <c r="O712" s="158" t="s">
        <v>61</v>
      </c>
      <c r="P712" s="92"/>
      <c r="Q712" s="146" t="s">
        <v>61</v>
      </c>
      <c r="R712" s="92"/>
      <c r="S712" s="146" t="s">
        <v>61</v>
      </c>
      <c r="T712" s="92"/>
      <c r="U712" s="146" t="s">
        <v>61</v>
      </c>
      <c r="V712" s="92"/>
      <c r="W712" s="146" t="s">
        <v>61</v>
      </c>
      <c r="X712" s="92"/>
      <c r="Y712" s="146" t="s">
        <v>61</v>
      </c>
      <c r="Z712" s="92"/>
      <c r="AA712" s="146" t="s">
        <v>61</v>
      </c>
      <c r="AB712" s="92"/>
      <c r="AC712" s="146" t="s">
        <v>61</v>
      </c>
      <c r="AD712" s="92"/>
      <c r="AE712" s="146" t="s">
        <v>61</v>
      </c>
      <c r="AF712" s="187" t="str">
        <f t="shared" si="47"/>
        <v>NA</v>
      </c>
      <c r="AG712" s="54" t="s">
        <v>1933</v>
      </c>
      <c r="AH712" s="146" t="s">
        <v>204</v>
      </c>
      <c r="AI712" s="210" t="s">
        <v>6</v>
      </c>
      <c r="AJ712" s="97" t="str">
        <f t="shared" si="48"/>
        <v>GUARULHOS</v>
      </c>
      <c r="AK712" s="213" t="s">
        <v>39</v>
      </c>
      <c r="AL712" s="53">
        <v>0.10947750036063875</v>
      </c>
      <c r="AM712" s="53" t="str" cm="1">
        <f t="array" ref="AM712">IF(OR(O712&lt;&gt;"", SUMPRODUCT(($AN$2:$AN$5000=AN712)*($AL$2:$AL$5000&lt;=AL712)) &lt;= (COUNTIF($AN$2:$AN$5000,AN712)*0.5)), "SORTEADO", "-")</f>
        <v>SORTEADO</v>
      </c>
      <c r="AN712" s="230" t="s">
        <v>1888</v>
      </c>
    </row>
    <row r="713" spans="1:40" ht="30" hidden="1" customHeight="1" x14ac:dyDescent="0.2">
      <c r="A713" s="230" t="s">
        <v>197</v>
      </c>
      <c r="B713" s="230">
        <v>2616875627</v>
      </c>
      <c r="C713" s="230" t="s">
        <v>696</v>
      </c>
      <c r="D713" s="230" t="s">
        <v>79</v>
      </c>
      <c r="E713" s="230" t="s">
        <v>198</v>
      </c>
      <c r="F713" s="230" t="s">
        <v>1614</v>
      </c>
      <c r="G713" s="230">
        <v>97</v>
      </c>
      <c r="H713" s="230" t="s">
        <v>1934</v>
      </c>
      <c r="I713" s="230" t="s">
        <v>997</v>
      </c>
      <c r="J713" s="230" t="s">
        <v>698</v>
      </c>
      <c r="K713" s="230" t="s">
        <v>1107</v>
      </c>
      <c r="L713" s="230" t="s">
        <v>1935</v>
      </c>
      <c r="M713" s="230" t="s">
        <v>1936</v>
      </c>
      <c r="N713" s="230" t="s">
        <v>1104</v>
      </c>
      <c r="O713" s="158" t="s">
        <v>61</v>
      </c>
      <c r="P713" s="92"/>
      <c r="Q713" s="146" t="s">
        <v>61</v>
      </c>
      <c r="R713" s="92"/>
      <c r="S713" s="146" t="s">
        <v>61</v>
      </c>
      <c r="T713" s="92"/>
      <c r="U713" s="146" t="s">
        <v>61</v>
      </c>
      <c r="V713" s="92"/>
      <c r="W713" s="146" t="s">
        <v>61</v>
      </c>
      <c r="X713" s="92"/>
      <c r="Y713" s="146" t="s">
        <v>61</v>
      </c>
      <c r="Z713" s="92"/>
      <c r="AA713" s="146" t="s">
        <v>61</v>
      </c>
      <c r="AB713" s="92"/>
      <c r="AC713" s="146" t="s">
        <v>61</v>
      </c>
      <c r="AD713" s="92"/>
      <c r="AE713" s="146" t="s">
        <v>61</v>
      </c>
      <c r="AF713" s="187" t="str">
        <f t="shared" si="47"/>
        <v>NA</v>
      </c>
      <c r="AG713" s="54" t="s">
        <v>1937</v>
      </c>
      <c r="AH713" s="146" t="s">
        <v>204</v>
      </c>
      <c r="AI713" s="210" t="s">
        <v>6</v>
      </c>
      <c r="AJ713" s="97" t="str">
        <f t="shared" si="48"/>
        <v>GUARULHOS</v>
      </c>
      <c r="AK713" s="213" t="s">
        <v>39</v>
      </c>
      <c r="AL713" s="53">
        <v>0.34428031490885957</v>
      </c>
      <c r="AM713" s="53" t="str" cm="1">
        <f t="array" ref="AM713">IF(OR(O713&lt;&gt;"", SUMPRODUCT(($AN$2:$AN$5000=AN713)*($AL$2:$AL$5000&lt;=AL713)) &lt;= (COUNTIF($AN$2:$AN$5000,AN713)*0.5)), "SORTEADO", "-")</f>
        <v>SORTEADO</v>
      </c>
      <c r="AN713" s="230" t="s">
        <v>1935</v>
      </c>
    </row>
    <row r="714" spans="1:40" ht="30" hidden="1" customHeight="1" x14ac:dyDescent="0.2">
      <c r="A714" s="230" t="s">
        <v>197</v>
      </c>
      <c r="B714" s="230">
        <v>2616888359</v>
      </c>
      <c r="C714" s="230" t="s">
        <v>696</v>
      </c>
      <c r="D714" s="230" t="s">
        <v>79</v>
      </c>
      <c r="E714" s="230" t="s">
        <v>198</v>
      </c>
      <c r="F714" s="230" t="s">
        <v>1938</v>
      </c>
      <c r="G714" s="230">
        <v>50</v>
      </c>
      <c r="H714" s="230"/>
      <c r="I714" s="230" t="s">
        <v>1939</v>
      </c>
      <c r="J714" s="230" t="s">
        <v>698</v>
      </c>
      <c r="K714" s="230" t="s">
        <v>1107</v>
      </c>
      <c r="L714" s="230" t="s">
        <v>1935</v>
      </c>
      <c r="M714" s="230" t="s">
        <v>1940</v>
      </c>
      <c r="N714" s="230" t="s">
        <v>1104</v>
      </c>
      <c r="O714" s="158" t="s">
        <v>61</v>
      </c>
      <c r="P714" s="92"/>
      <c r="Q714" s="146" t="s">
        <v>61</v>
      </c>
      <c r="R714" s="92"/>
      <c r="S714" s="146" t="s">
        <v>61</v>
      </c>
      <c r="T714" s="92"/>
      <c r="U714" s="146" t="s">
        <v>61</v>
      </c>
      <c r="V714" s="92"/>
      <c r="W714" s="146" t="s">
        <v>61</v>
      </c>
      <c r="X714" s="92"/>
      <c r="Y714" s="146" t="s">
        <v>61</v>
      </c>
      <c r="Z714" s="92"/>
      <c r="AA714" s="146" t="s">
        <v>61</v>
      </c>
      <c r="AB714" s="92"/>
      <c r="AC714" s="146" t="s">
        <v>61</v>
      </c>
      <c r="AD714" s="92"/>
      <c r="AE714" s="146" t="s">
        <v>61</v>
      </c>
      <c r="AF714" s="187" t="str">
        <f t="shared" si="47"/>
        <v>NA</v>
      </c>
      <c r="AG714" s="54" t="s">
        <v>1937</v>
      </c>
      <c r="AH714" s="146" t="s">
        <v>204</v>
      </c>
      <c r="AI714" s="210" t="s">
        <v>6</v>
      </c>
      <c r="AJ714" s="97" t="str">
        <f t="shared" si="48"/>
        <v>GUARULHOS</v>
      </c>
      <c r="AK714" s="213" t="s">
        <v>39</v>
      </c>
      <c r="AL714" s="53">
        <v>0.39962034789951884</v>
      </c>
      <c r="AM714" s="53" t="str" cm="1">
        <f t="array" ref="AM714">IF(OR(O714&lt;&gt;"", SUMPRODUCT(($AN$2:$AN$5000=AN714)*($AL$2:$AL$5000&lt;=AL714)) &lt;= (COUNTIF($AN$2:$AN$5000,AN714)*0.5)), "SORTEADO", "-")</f>
        <v>SORTEADO</v>
      </c>
      <c r="AN714" s="230" t="s">
        <v>1935</v>
      </c>
    </row>
    <row r="715" spans="1:40" ht="30" hidden="1" customHeight="1" x14ac:dyDescent="0.2">
      <c r="A715" s="230" t="s">
        <v>197</v>
      </c>
      <c r="B715" s="230">
        <v>2616886265</v>
      </c>
      <c r="C715" s="230" t="s">
        <v>84</v>
      </c>
      <c r="D715" s="230" t="s">
        <v>79</v>
      </c>
      <c r="E715" s="230" t="s">
        <v>198</v>
      </c>
      <c r="F715" s="230" t="s">
        <v>1938</v>
      </c>
      <c r="G715" s="230">
        <v>50</v>
      </c>
      <c r="H715" s="230" t="s">
        <v>213</v>
      </c>
      <c r="I715" s="230" t="s">
        <v>1939</v>
      </c>
      <c r="J715" s="230" t="s">
        <v>392</v>
      </c>
      <c r="K715" s="230" t="s">
        <v>1107</v>
      </c>
      <c r="L715" s="230" t="s">
        <v>1935</v>
      </c>
      <c r="M715" s="230" t="s">
        <v>1941</v>
      </c>
      <c r="N715" s="230" t="s">
        <v>1104</v>
      </c>
      <c r="O715" s="158" t="s">
        <v>61</v>
      </c>
      <c r="P715" s="92"/>
      <c r="Q715" s="146" t="s">
        <v>61</v>
      </c>
      <c r="R715" s="92"/>
      <c r="S715" s="146" t="s">
        <v>61</v>
      </c>
      <c r="T715" s="92"/>
      <c r="U715" s="146" t="s">
        <v>61</v>
      </c>
      <c r="V715" s="92"/>
      <c r="W715" s="146" t="s">
        <v>61</v>
      </c>
      <c r="X715" s="92"/>
      <c r="Y715" s="146" t="s">
        <v>61</v>
      </c>
      <c r="Z715" s="92"/>
      <c r="AA715" s="146" t="s">
        <v>61</v>
      </c>
      <c r="AB715" s="92"/>
      <c r="AC715" s="146" t="s">
        <v>61</v>
      </c>
      <c r="AD715" s="92"/>
      <c r="AE715" s="146" t="s">
        <v>61</v>
      </c>
      <c r="AF715" s="187" t="str">
        <f t="shared" si="47"/>
        <v>NA</v>
      </c>
      <c r="AG715" s="54" t="s">
        <v>311</v>
      </c>
      <c r="AH715" s="146" t="s">
        <v>204</v>
      </c>
      <c r="AI715" s="210" t="s">
        <v>6</v>
      </c>
      <c r="AJ715" s="97" t="str">
        <f t="shared" si="48"/>
        <v>GUARULHOS</v>
      </c>
      <c r="AK715" s="213" t="s">
        <v>39</v>
      </c>
      <c r="AL715" s="53">
        <v>4.550539205448223E-2</v>
      </c>
      <c r="AM715" s="53" t="str" cm="1">
        <f t="array" ref="AM715">IF(OR(O715&lt;&gt;"", SUMPRODUCT(($AN$2:$AN$5000=AN715)*($AL$2:$AL$5000&lt;=AL715)) &lt;= (COUNTIF($AN$2:$AN$5000,AN715)*0.5)), "SORTEADO", "-")</f>
        <v>SORTEADO</v>
      </c>
      <c r="AN715" s="230" t="s">
        <v>1935</v>
      </c>
    </row>
    <row r="716" spans="1:40" ht="30" hidden="1" customHeight="1" x14ac:dyDescent="0.2">
      <c r="A716" s="230" t="s">
        <v>197</v>
      </c>
      <c r="B716" s="230">
        <v>2617180589</v>
      </c>
      <c r="C716" s="230" t="s">
        <v>382</v>
      </c>
      <c r="D716" s="230" t="s">
        <v>79</v>
      </c>
      <c r="E716" s="230" t="s">
        <v>198</v>
      </c>
      <c r="F716" s="230" t="s">
        <v>1942</v>
      </c>
      <c r="G716" s="230">
        <v>33</v>
      </c>
      <c r="H716" s="230" t="s">
        <v>1943</v>
      </c>
      <c r="I716" s="230" t="s">
        <v>1944</v>
      </c>
      <c r="J716" s="230" t="s">
        <v>384</v>
      </c>
      <c r="K716" s="230" t="s">
        <v>1945</v>
      </c>
      <c r="L716" s="230" t="s">
        <v>1888</v>
      </c>
      <c r="M716" s="230" t="s">
        <v>1946</v>
      </c>
      <c r="N716" s="230" t="s">
        <v>1104</v>
      </c>
      <c r="O716" s="158"/>
      <c r="P716" s="92"/>
      <c r="Q716" s="146"/>
      <c r="R716" s="92"/>
      <c r="S716" s="146"/>
      <c r="T716" s="92"/>
      <c r="U716" s="146"/>
      <c r="V716" s="92"/>
      <c r="W716" s="146"/>
      <c r="X716" s="92"/>
      <c r="Y716" s="146"/>
      <c r="Z716" s="92"/>
      <c r="AA716" s="146"/>
      <c r="AB716" s="92"/>
      <c r="AC716" s="146"/>
      <c r="AD716" s="92"/>
      <c r="AE716" s="146"/>
      <c r="AF716" s="187" t="str">
        <f t="shared" si="47"/>
        <v/>
      </c>
      <c r="AG716" s="54" t="b">
        <f t="shared" ref="AG716:AG722" si="49">IF(AND(AE716="C",AF716="C"),"UTILIZOU O PDA CORRETAMENTE",IF(AND(AE716="C",AF716="NC"),"UTILIZOU O PDA CORRETAMENTE. NÃO HÁ FOTOS DE TODAS AS ETAPAS",IF(AND(AE716="NC",AF716="NC"),"NÃO UTILIZOU O PDA",IF(AND(AE716="NA",AF716="NA"),"NÃO AVALIADO POR FALHA DE SINCRONISMO"))))</f>
        <v>0</v>
      </c>
      <c r="AH716" s="146"/>
      <c r="AI716" s="210" t="s">
        <v>6</v>
      </c>
      <c r="AJ716" s="97" t="str">
        <f t="shared" si="48"/>
        <v>GUARULHOS</v>
      </c>
      <c r="AK716" s="213" t="s">
        <v>39</v>
      </c>
      <c r="AL716" s="53">
        <v>0.66121603047911837</v>
      </c>
      <c r="AM716" s="53" t="str" cm="1">
        <f t="array" ref="AM716">IF(OR(O716&lt;&gt;"", SUMPRODUCT(($AN$2:$AN$5000=AN716)*($AL$2:$AL$5000&lt;=AL716)) &lt;= (COUNTIF($AN$2:$AN$5000,AN716)*0.5)), "SORTEADO", "-")</f>
        <v>-</v>
      </c>
      <c r="AN716" s="230" t="s">
        <v>1888</v>
      </c>
    </row>
    <row r="717" spans="1:40" ht="30" hidden="1" customHeight="1" x14ac:dyDescent="0.2">
      <c r="A717" s="230" t="s">
        <v>197</v>
      </c>
      <c r="B717" s="230">
        <v>2616876075</v>
      </c>
      <c r="C717" s="230" t="s">
        <v>87</v>
      </c>
      <c r="D717" s="230" t="s">
        <v>79</v>
      </c>
      <c r="E717" s="230" t="s">
        <v>198</v>
      </c>
      <c r="F717" s="230" t="s">
        <v>1614</v>
      </c>
      <c r="G717" s="230">
        <v>72</v>
      </c>
      <c r="H717" s="230" t="s">
        <v>213</v>
      </c>
      <c r="I717" s="230" t="s">
        <v>997</v>
      </c>
      <c r="J717" s="230" t="s">
        <v>1947</v>
      </c>
      <c r="K717" s="230" t="s">
        <v>1948</v>
      </c>
      <c r="L717" s="230" t="s">
        <v>1888</v>
      </c>
      <c r="M717" s="230" t="s">
        <v>1949</v>
      </c>
      <c r="N717" s="230" t="s">
        <v>1104</v>
      </c>
      <c r="O717" s="158"/>
      <c r="P717" s="92"/>
      <c r="Q717" s="146"/>
      <c r="R717" s="92"/>
      <c r="S717" s="146"/>
      <c r="T717" s="92"/>
      <c r="U717" s="146"/>
      <c r="V717" s="92"/>
      <c r="W717" s="146"/>
      <c r="X717" s="92"/>
      <c r="Y717" s="146"/>
      <c r="Z717" s="92"/>
      <c r="AA717" s="146"/>
      <c r="AB717" s="92"/>
      <c r="AC717" s="146"/>
      <c r="AD717" s="92"/>
      <c r="AE717" s="146"/>
      <c r="AF717" s="187" t="str">
        <f t="shared" si="47"/>
        <v/>
      </c>
      <c r="AG717" s="54" t="b">
        <f t="shared" si="49"/>
        <v>0</v>
      </c>
      <c r="AH717" s="146"/>
      <c r="AI717" s="210" t="s">
        <v>6</v>
      </c>
      <c r="AJ717" s="97" t="str">
        <f t="shared" si="48"/>
        <v>GUARULHOS</v>
      </c>
      <c r="AK717" s="213" t="s">
        <v>39</v>
      </c>
      <c r="AL717" s="53">
        <v>0.70213770768022987</v>
      </c>
      <c r="AM717" s="53" t="str" cm="1">
        <f t="array" ref="AM717">IF(OR(O717&lt;&gt;"", SUMPRODUCT(($AN$2:$AN$5000=AN717)*($AL$2:$AL$5000&lt;=AL717)) &lt;= (COUNTIF($AN$2:$AN$5000,AN717)*0.5)), "SORTEADO", "-")</f>
        <v>-</v>
      </c>
      <c r="AN717" s="230" t="s">
        <v>1888</v>
      </c>
    </row>
    <row r="718" spans="1:40" ht="30" hidden="1" customHeight="1" x14ac:dyDescent="0.2">
      <c r="A718" s="230" t="s">
        <v>197</v>
      </c>
      <c r="B718" s="230">
        <v>2616861311</v>
      </c>
      <c r="C718" s="230" t="s">
        <v>93</v>
      </c>
      <c r="D718" s="230" t="s">
        <v>76</v>
      </c>
      <c r="E718" s="230" t="s">
        <v>198</v>
      </c>
      <c r="F718" s="230" t="s">
        <v>1950</v>
      </c>
      <c r="G718" s="230">
        <v>642</v>
      </c>
      <c r="H718" s="230" t="s">
        <v>1951</v>
      </c>
      <c r="I718" s="230" t="s">
        <v>1445</v>
      </c>
      <c r="J718" s="230" t="s">
        <v>93</v>
      </c>
      <c r="K718" s="230" t="s">
        <v>1952</v>
      </c>
      <c r="L718" s="230" t="s">
        <v>1888</v>
      </c>
      <c r="M718" s="230" t="s">
        <v>1953</v>
      </c>
      <c r="N718" s="230" t="s">
        <v>408</v>
      </c>
      <c r="O718" s="158"/>
      <c r="P718" s="92"/>
      <c r="Q718" s="146"/>
      <c r="R718" s="92"/>
      <c r="S718" s="146"/>
      <c r="T718" s="92"/>
      <c r="U718" s="146"/>
      <c r="V718" s="92"/>
      <c r="W718" s="146"/>
      <c r="X718" s="92"/>
      <c r="Y718" s="146"/>
      <c r="Z718" s="92"/>
      <c r="AA718" s="146"/>
      <c r="AB718" s="92"/>
      <c r="AC718" s="146"/>
      <c r="AD718" s="92"/>
      <c r="AE718" s="146"/>
      <c r="AF718" s="187" t="str">
        <f t="shared" si="47"/>
        <v/>
      </c>
      <c r="AG718" s="54" t="b">
        <f t="shared" si="49"/>
        <v>0</v>
      </c>
      <c r="AH718" s="146"/>
      <c r="AI718" s="210" t="s">
        <v>6</v>
      </c>
      <c r="AJ718" s="97" t="str">
        <f t="shared" si="48"/>
        <v>GUARULHOS</v>
      </c>
      <c r="AK718" s="213" t="s">
        <v>39</v>
      </c>
      <c r="AL718" s="53">
        <v>0.83687286935952276</v>
      </c>
      <c r="AM718" s="53" t="str" cm="1">
        <f t="array" ref="AM718">IF(OR(O718&lt;&gt;"", SUMPRODUCT(($AN$2:$AN$5000=AN718)*($AL$2:$AL$5000&lt;=AL718)) &lt;= (COUNTIF($AN$2:$AN$5000,AN718)*0.5)), "SORTEADO", "-")</f>
        <v>-</v>
      </c>
      <c r="AN718" s="230" t="s">
        <v>1888</v>
      </c>
    </row>
    <row r="719" spans="1:40" ht="30" customHeight="1" x14ac:dyDescent="0.2">
      <c r="A719" s="230" t="s">
        <v>197</v>
      </c>
      <c r="B719" s="230">
        <v>2616891154</v>
      </c>
      <c r="C719" s="230" t="s">
        <v>95</v>
      </c>
      <c r="D719" s="230" t="s">
        <v>76</v>
      </c>
      <c r="E719" s="230" t="s">
        <v>198</v>
      </c>
      <c r="F719" s="230" t="s">
        <v>1954</v>
      </c>
      <c r="G719" s="230">
        <v>142</v>
      </c>
      <c r="H719" s="230" t="s">
        <v>1955</v>
      </c>
      <c r="I719" s="230" t="s">
        <v>394</v>
      </c>
      <c r="J719" s="230" t="s">
        <v>95</v>
      </c>
      <c r="K719" s="230" t="s">
        <v>1956</v>
      </c>
      <c r="L719" s="230" t="s">
        <v>1888</v>
      </c>
      <c r="M719" s="230" t="s">
        <v>1957</v>
      </c>
      <c r="N719" s="230" t="s">
        <v>408</v>
      </c>
      <c r="O719" s="158" t="s">
        <v>204</v>
      </c>
      <c r="P719" s="92"/>
      <c r="Q719" s="146" t="s">
        <v>61</v>
      </c>
      <c r="R719" s="92"/>
      <c r="S719" s="146" t="s">
        <v>61</v>
      </c>
      <c r="T719" s="92"/>
      <c r="U719" s="146" t="s">
        <v>61</v>
      </c>
      <c r="V719" s="92"/>
      <c r="W719" s="146" t="s">
        <v>61</v>
      </c>
      <c r="X719" s="92"/>
      <c r="Y719" s="146" t="s">
        <v>61</v>
      </c>
      <c r="Z719" s="92"/>
      <c r="AA719" s="146" t="s">
        <v>204</v>
      </c>
      <c r="AB719" s="92"/>
      <c r="AC719" s="146" t="s">
        <v>204</v>
      </c>
      <c r="AD719" s="92"/>
      <c r="AE719" s="146" t="s">
        <v>204</v>
      </c>
      <c r="AF719" s="187" t="str">
        <f t="shared" si="47"/>
        <v>C</v>
      </c>
      <c r="AG719" s="54" t="str">
        <f t="shared" si="49"/>
        <v>UTILIZOU O PDA CORRETAMENTE</v>
      </c>
      <c r="AH719" s="146" t="s">
        <v>204</v>
      </c>
      <c r="AI719" s="210" t="s">
        <v>6</v>
      </c>
      <c r="AJ719" s="97" t="str">
        <f t="shared" si="48"/>
        <v>GUARULHOS</v>
      </c>
      <c r="AK719" s="213" t="s">
        <v>39</v>
      </c>
      <c r="AL719" s="53">
        <v>0.13617665112807076</v>
      </c>
      <c r="AM719" s="53" t="str" cm="1">
        <f t="array" ref="AM719">IF(OR(O719&lt;&gt;"", SUMPRODUCT(($AN$2:$AN$5000=AN719)*($AL$2:$AL$5000&lt;=AL719)) &lt;= (COUNTIF($AN$2:$AN$5000,AN719)*0.5)), "SORTEADO", "-")</f>
        <v>SORTEADO</v>
      </c>
      <c r="AN719" s="230" t="s">
        <v>1888</v>
      </c>
    </row>
    <row r="720" spans="1:40" ht="30" hidden="1" customHeight="1" x14ac:dyDescent="0.2">
      <c r="A720" s="230" t="s">
        <v>197</v>
      </c>
      <c r="B720" s="230">
        <v>2616891150</v>
      </c>
      <c r="C720" s="230" t="s">
        <v>93</v>
      </c>
      <c r="D720" s="230" t="s">
        <v>76</v>
      </c>
      <c r="E720" s="230" t="s">
        <v>198</v>
      </c>
      <c r="F720" s="230" t="s">
        <v>1954</v>
      </c>
      <c r="G720" s="230">
        <v>142</v>
      </c>
      <c r="H720" s="230" t="s">
        <v>304</v>
      </c>
      <c r="I720" s="230" t="s">
        <v>394</v>
      </c>
      <c r="J720" s="230" t="s">
        <v>93</v>
      </c>
      <c r="K720" s="230"/>
      <c r="L720" s="230" t="s">
        <v>1888</v>
      </c>
      <c r="M720" s="230" t="s">
        <v>1958</v>
      </c>
      <c r="N720" s="230" t="s">
        <v>408</v>
      </c>
      <c r="O720" s="158"/>
      <c r="P720" s="92"/>
      <c r="Q720" s="146"/>
      <c r="R720" s="92"/>
      <c r="S720" s="146"/>
      <c r="T720" s="92"/>
      <c r="U720" s="146"/>
      <c r="V720" s="92"/>
      <c r="W720" s="146"/>
      <c r="X720" s="92"/>
      <c r="Y720" s="146"/>
      <c r="Z720" s="92"/>
      <c r="AA720" s="146"/>
      <c r="AB720" s="92"/>
      <c r="AC720" s="146"/>
      <c r="AD720" s="92"/>
      <c r="AE720" s="146"/>
      <c r="AF720" s="187" t="str">
        <f t="shared" si="47"/>
        <v/>
      </c>
      <c r="AG720" s="54" t="b">
        <f t="shared" si="49"/>
        <v>0</v>
      </c>
      <c r="AH720" s="146"/>
      <c r="AI720" s="210" t="s">
        <v>6</v>
      </c>
      <c r="AJ720" s="97" t="str">
        <f t="shared" si="48"/>
        <v>GUARULHOS</v>
      </c>
      <c r="AK720" s="213" t="s">
        <v>39</v>
      </c>
      <c r="AL720" s="53">
        <v>0.82027480563424815</v>
      </c>
      <c r="AM720" s="53" t="str" cm="1">
        <f t="array" ref="AM720">IF(OR(O720&lt;&gt;"", SUMPRODUCT(($AN$2:$AN$5000=AN720)*($AL$2:$AL$5000&lt;=AL720)) &lt;= (COUNTIF($AN$2:$AN$5000,AN720)*0.5)), "SORTEADO", "-")</f>
        <v>-</v>
      </c>
      <c r="AN720" s="230" t="s">
        <v>1888</v>
      </c>
    </row>
    <row r="721" spans="1:40" ht="30" hidden="1" customHeight="1" x14ac:dyDescent="0.2">
      <c r="A721" s="230" t="s">
        <v>197</v>
      </c>
      <c r="B721" s="230">
        <v>2616891598</v>
      </c>
      <c r="C721" s="230" t="s">
        <v>1781</v>
      </c>
      <c r="D721" s="230" t="s">
        <v>78</v>
      </c>
      <c r="E721" s="230" t="s">
        <v>198</v>
      </c>
      <c r="F721" s="230" t="s">
        <v>1126</v>
      </c>
      <c r="G721" s="230">
        <v>89</v>
      </c>
      <c r="H721" s="230" t="s">
        <v>1959</v>
      </c>
      <c r="I721" s="230" t="s">
        <v>1128</v>
      </c>
      <c r="J721" s="230" t="s">
        <v>1783</v>
      </c>
      <c r="K721" s="230" t="s">
        <v>1960</v>
      </c>
      <c r="L721" s="230" t="s">
        <v>1888</v>
      </c>
      <c r="M721" s="230" t="s">
        <v>1961</v>
      </c>
      <c r="N721" s="230" t="s">
        <v>317</v>
      </c>
      <c r="O721" s="158"/>
      <c r="P721" s="92"/>
      <c r="Q721" s="146"/>
      <c r="R721" s="92"/>
      <c r="S721" s="146"/>
      <c r="T721" s="92"/>
      <c r="U721" s="146"/>
      <c r="V721" s="92"/>
      <c r="W721" s="146"/>
      <c r="X721" s="92"/>
      <c r="Y721" s="146"/>
      <c r="Z721" s="92"/>
      <c r="AA721" s="146"/>
      <c r="AB721" s="92"/>
      <c r="AC721" s="146"/>
      <c r="AD721" s="92"/>
      <c r="AE721" s="146"/>
      <c r="AF721" s="187" t="str">
        <f t="shared" si="47"/>
        <v/>
      </c>
      <c r="AG721" s="54" t="b">
        <f t="shared" si="49"/>
        <v>0</v>
      </c>
      <c r="AH721" s="146"/>
      <c r="AI721" s="210" t="s">
        <v>6</v>
      </c>
      <c r="AJ721" s="97" t="str">
        <f t="shared" si="48"/>
        <v>GUARULHOS</v>
      </c>
      <c r="AK721" s="213" t="s">
        <v>39</v>
      </c>
      <c r="AL721" s="53">
        <v>0.85393231727168761</v>
      </c>
      <c r="AM721" s="53" t="str" cm="1">
        <f t="array" ref="AM721">IF(OR(O721&lt;&gt;"", SUMPRODUCT(($AN$2:$AN$5000=AN721)*($AL$2:$AL$5000&lt;=AL721)) &lt;= (COUNTIF($AN$2:$AN$5000,AN721)*0.5)), "SORTEADO", "-")</f>
        <v>-</v>
      </c>
      <c r="AN721" s="230" t="s">
        <v>1888</v>
      </c>
    </row>
    <row r="722" spans="1:40" ht="30" hidden="1" customHeight="1" x14ac:dyDescent="0.2">
      <c r="A722" s="230" t="s">
        <v>197</v>
      </c>
      <c r="B722" s="230">
        <v>2617163604</v>
      </c>
      <c r="C722" s="230" t="s">
        <v>523</v>
      </c>
      <c r="D722" s="230" t="s">
        <v>79</v>
      </c>
      <c r="E722" s="230" t="s">
        <v>198</v>
      </c>
      <c r="F722" s="230" t="s">
        <v>1962</v>
      </c>
      <c r="G722" s="230">
        <v>280</v>
      </c>
      <c r="H722" s="230" t="s">
        <v>1963</v>
      </c>
      <c r="I722" s="230" t="s">
        <v>1150</v>
      </c>
      <c r="J722" s="230" t="s">
        <v>524</v>
      </c>
      <c r="K722" s="230" t="s">
        <v>1964</v>
      </c>
      <c r="L722" s="230" t="s">
        <v>1888</v>
      </c>
      <c r="M722" s="230" t="s">
        <v>1965</v>
      </c>
      <c r="N722" s="230" t="s">
        <v>1104</v>
      </c>
      <c r="O722" s="158"/>
      <c r="P722" s="92"/>
      <c r="Q722" s="146"/>
      <c r="R722" s="92"/>
      <c r="S722" s="146"/>
      <c r="T722" s="92"/>
      <c r="U722" s="146"/>
      <c r="V722" s="92"/>
      <c r="W722" s="146"/>
      <c r="X722" s="92"/>
      <c r="Y722" s="146"/>
      <c r="Z722" s="92"/>
      <c r="AA722" s="146"/>
      <c r="AB722" s="92"/>
      <c r="AC722" s="146"/>
      <c r="AD722" s="92"/>
      <c r="AE722" s="146"/>
      <c r="AF722" s="187" t="str">
        <f t="shared" si="47"/>
        <v/>
      </c>
      <c r="AG722" s="54" t="b">
        <f t="shared" si="49"/>
        <v>0</v>
      </c>
      <c r="AH722" s="146"/>
      <c r="AI722" s="210" t="s">
        <v>6</v>
      </c>
      <c r="AJ722" s="97" t="str">
        <f t="shared" si="48"/>
        <v>GUARULHOS</v>
      </c>
      <c r="AK722" s="213" t="s">
        <v>39</v>
      </c>
      <c r="AL722" s="53">
        <v>0.81358235566190007</v>
      </c>
      <c r="AM722" s="53" t="str" cm="1">
        <f t="array" ref="AM722">IF(OR(O722&lt;&gt;"", SUMPRODUCT(($AN$2:$AN$5000=AN722)*($AL$2:$AL$5000&lt;=AL722)) &lt;= (COUNTIF($AN$2:$AN$5000,AN722)*0.5)), "SORTEADO", "-")</f>
        <v>-</v>
      </c>
      <c r="AN722" s="230" t="s">
        <v>1888</v>
      </c>
    </row>
    <row r="723" spans="1:40" ht="30" hidden="1" customHeight="1" x14ac:dyDescent="0.2">
      <c r="A723" s="230" t="s">
        <v>197</v>
      </c>
      <c r="B723" s="230">
        <v>2617163724</v>
      </c>
      <c r="C723" s="230" t="s">
        <v>523</v>
      </c>
      <c r="D723" s="230" t="s">
        <v>79</v>
      </c>
      <c r="E723" s="230" t="s">
        <v>198</v>
      </c>
      <c r="F723" s="230" t="s">
        <v>1966</v>
      </c>
      <c r="G723" s="230">
        <v>392</v>
      </c>
      <c r="H723" s="230" t="s">
        <v>1967</v>
      </c>
      <c r="I723" s="230" t="s">
        <v>1150</v>
      </c>
      <c r="J723" s="230" t="s">
        <v>524</v>
      </c>
      <c r="K723" s="230" t="s">
        <v>1968</v>
      </c>
      <c r="L723" s="230" t="s">
        <v>1888</v>
      </c>
      <c r="M723" s="230" t="s">
        <v>1969</v>
      </c>
      <c r="N723" s="230" t="s">
        <v>1104</v>
      </c>
      <c r="O723" s="158" t="s">
        <v>61</v>
      </c>
      <c r="P723" s="92"/>
      <c r="Q723" s="146" t="s">
        <v>61</v>
      </c>
      <c r="R723" s="92"/>
      <c r="S723" s="146" t="s">
        <v>61</v>
      </c>
      <c r="T723" s="92"/>
      <c r="U723" s="146" t="s">
        <v>61</v>
      </c>
      <c r="V723" s="92"/>
      <c r="W723" s="146" t="s">
        <v>61</v>
      </c>
      <c r="X723" s="92"/>
      <c r="Y723" s="146" t="s">
        <v>61</v>
      </c>
      <c r="Z723" s="92"/>
      <c r="AA723" s="146" t="s">
        <v>61</v>
      </c>
      <c r="AB723" s="92"/>
      <c r="AC723" s="146" t="s">
        <v>61</v>
      </c>
      <c r="AD723" s="92"/>
      <c r="AE723" s="146" t="s">
        <v>61</v>
      </c>
      <c r="AF723" s="187" t="str">
        <f t="shared" si="47"/>
        <v>NA</v>
      </c>
      <c r="AG723" s="54" t="s">
        <v>311</v>
      </c>
      <c r="AH723" s="146" t="s">
        <v>204</v>
      </c>
      <c r="AI723" s="210" t="s">
        <v>6</v>
      </c>
      <c r="AJ723" s="97" t="str">
        <f t="shared" si="48"/>
        <v>GUARULHOS</v>
      </c>
      <c r="AK723" s="213" t="s">
        <v>39</v>
      </c>
      <c r="AL723" s="53">
        <v>0.47214042950117008</v>
      </c>
      <c r="AM723" s="53" t="str" cm="1">
        <f t="array" ref="AM723">IF(OR(O723&lt;&gt;"", SUMPRODUCT(($AN$2:$AN$5000=AN723)*($AL$2:$AL$5000&lt;=AL723)) &lt;= (COUNTIF($AN$2:$AN$5000,AN723)*0.5)), "SORTEADO", "-")</f>
        <v>SORTEADO</v>
      </c>
      <c r="AN723" s="230" t="s">
        <v>1888</v>
      </c>
    </row>
    <row r="724" spans="1:40" ht="30" hidden="1" customHeight="1" x14ac:dyDescent="0.2">
      <c r="A724" s="230" t="s">
        <v>197</v>
      </c>
      <c r="B724" s="230">
        <v>2616891243</v>
      </c>
      <c r="C724" s="230" t="s">
        <v>1781</v>
      </c>
      <c r="D724" s="230" t="s">
        <v>78</v>
      </c>
      <c r="E724" s="230" t="s">
        <v>198</v>
      </c>
      <c r="F724" s="230" t="s">
        <v>842</v>
      </c>
      <c r="G724" s="230">
        <v>197</v>
      </c>
      <c r="H724" s="230" t="s">
        <v>843</v>
      </c>
      <c r="I724" s="230" t="s">
        <v>301</v>
      </c>
      <c r="J724" s="230" t="s">
        <v>1783</v>
      </c>
      <c r="K724" s="230" t="s">
        <v>1960</v>
      </c>
      <c r="L724" s="230" t="s">
        <v>1888</v>
      </c>
      <c r="M724" s="230" t="s">
        <v>1970</v>
      </c>
      <c r="N724" s="230" t="s">
        <v>317</v>
      </c>
      <c r="O724" s="158" t="s">
        <v>61</v>
      </c>
      <c r="P724" s="92"/>
      <c r="Q724" s="146" t="s">
        <v>61</v>
      </c>
      <c r="R724" s="92"/>
      <c r="S724" s="146" t="s">
        <v>61</v>
      </c>
      <c r="T724" s="92"/>
      <c r="U724" s="146" t="s">
        <v>61</v>
      </c>
      <c r="V724" s="92"/>
      <c r="W724" s="146" t="s">
        <v>61</v>
      </c>
      <c r="X724" s="92"/>
      <c r="Y724" s="146" t="s">
        <v>61</v>
      </c>
      <c r="Z724" s="92"/>
      <c r="AA724" s="146" t="s">
        <v>61</v>
      </c>
      <c r="AB724" s="92"/>
      <c r="AC724" s="146" t="s">
        <v>61</v>
      </c>
      <c r="AD724" s="92"/>
      <c r="AE724" s="146" t="s">
        <v>61</v>
      </c>
      <c r="AF724" s="187" t="str">
        <f t="shared" si="47"/>
        <v>NA</v>
      </c>
      <c r="AG724" s="54" t="s">
        <v>311</v>
      </c>
      <c r="AH724" s="146" t="s">
        <v>204</v>
      </c>
      <c r="AI724" s="210" t="s">
        <v>6</v>
      </c>
      <c r="AJ724" s="97" t="str">
        <f t="shared" si="48"/>
        <v>GUARULHOS</v>
      </c>
      <c r="AK724" s="213" t="s">
        <v>39</v>
      </c>
      <c r="AL724" s="53">
        <v>0.18113965323722236</v>
      </c>
      <c r="AM724" s="53" t="str" cm="1">
        <f t="array" ref="AM724">IF(OR(O724&lt;&gt;"", SUMPRODUCT(($AN$2:$AN$5000=AN724)*($AL$2:$AL$5000&lt;=AL724)) &lt;= (COUNTIF($AN$2:$AN$5000,AN724)*0.5)), "SORTEADO", "-")</f>
        <v>SORTEADO</v>
      </c>
      <c r="AN724" s="230" t="s">
        <v>1888</v>
      </c>
    </row>
    <row r="725" spans="1:40" ht="30" hidden="1" customHeight="1" x14ac:dyDescent="0.2">
      <c r="A725" s="230" t="s">
        <v>197</v>
      </c>
      <c r="B725" s="230">
        <v>2616861345</v>
      </c>
      <c r="C725" s="230" t="s">
        <v>95</v>
      </c>
      <c r="D725" s="230" t="s">
        <v>76</v>
      </c>
      <c r="E725" s="230" t="s">
        <v>198</v>
      </c>
      <c r="F725" s="230" t="s">
        <v>1950</v>
      </c>
      <c r="G725" s="230">
        <v>642</v>
      </c>
      <c r="H725" s="230" t="s">
        <v>1971</v>
      </c>
      <c r="I725" s="230" t="s">
        <v>1445</v>
      </c>
      <c r="J725" s="230" t="s">
        <v>95</v>
      </c>
      <c r="K725" s="230" t="s">
        <v>1972</v>
      </c>
      <c r="L725" s="230" t="s">
        <v>1888</v>
      </c>
      <c r="M725" s="230" t="s">
        <v>1973</v>
      </c>
      <c r="N725" s="230" t="s">
        <v>408</v>
      </c>
      <c r="O725" s="158"/>
      <c r="P725" s="92"/>
      <c r="Q725" s="146"/>
      <c r="R725" s="92"/>
      <c r="S725" s="146"/>
      <c r="T725" s="92"/>
      <c r="U725" s="146"/>
      <c r="V725" s="92"/>
      <c r="W725" s="146"/>
      <c r="X725" s="92"/>
      <c r="Y725" s="146"/>
      <c r="Z725" s="92"/>
      <c r="AA725" s="146"/>
      <c r="AB725" s="92"/>
      <c r="AC725" s="146"/>
      <c r="AD725" s="92"/>
      <c r="AE725" s="146"/>
      <c r="AF725" s="187" t="str">
        <f t="shared" si="47"/>
        <v/>
      </c>
      <c r="AG725" s="54" t="b">
        <f t="shared" ref="AG725:AG770" si="50">IF(AND(AE725="C",AF725="C"),"UTILIZOU O PDA CORRETAMENTE",IF(AND(AE725="C",AF725="NC"),"UTILIZOU O PDA CORRETAMENTE. NÃO HÁ FOTOS DE TODAS AS ETAPAS",IF(AND(AE725="NC",AF725="NC"),"NÃO UTILIZOU O PDA",IF(AND(AE725="NA",AF725="NA"),"NÃO AVALIADO POR FALHA DE SINCRONISMO"))))</f>
        <v>0</v>
      </c>
      <c r="AH725" s="146"/>
      <c r="AI725" s="210" t="s">
        <v>6</v>
      </c>
      <c r="AJ725" s="97" t="str">
        <f t="shared" si="48"/>
        <v>GUARULHOS</v>
      </c>
      <c r="AK725" s="213" t="s">
        <v>39</v>
      </c>
      <c r="AL725" s="53">
        <v>0.58999462717047968</v>
      </c>
      <c r="AM725" s="53" t="str" cm="1">
        <f t="array" ref="AM725">IF(OR(O725&lt;&gt;"", SUMPRODUCT(($AN$2:$AN$5000=AN725)*($AL$2:$AL$5000&lt;=AL725)) &lt;= (COUNTIF($AN$2:$AN$5000,AN725)*0.5)), "SORTEADO", "-")</f>
        <v>-</v>
      </c>
      <c r="AN725" s="230" t="s">
        <v>1888</v>
      </c>
    </row>
    <row r="726" spans="1:40" ht="30" customHeight="1" x14ac:dyDescent="0.2">
      <c r="A726" s="230" t="s">
        <v>197</v>
      </c>
      <c r="B726" s="230">
        <v>2616895732</v>
      </c>
      <c r="C726" s="230" t="s">
        <v>83</v>
      </c>
      <c r="D726" s="230" t="s">
        <v>76</v>
      </c>
      <c r="E726" s="230" t="s">
        <v>198</v>
      </c>
      <c r="F726" s="230" t="s">
        <v>1562</v>
      </c>
      <c r="G726" s="230">
        <v>308</v>
      </c>
      <c r="H726" s="230" t="s">
        <v>217</v>
      </c>
      <c r="I726" s="230" t="s">
        <v>1587</v>
      </c>
      <c r="J726" s="230" t="s">
        <v>219</v>
      </c>
      <c r="K726" s="230"/>
      <c r="L726" s="230" t="s">
        <v>1888</v>
      </c>
      <c r="M726" s="230" t="s">
        <v>1974</v>
      </c>
      <c r="N726" s="230" t="s">
        <v>203</v>
      </c>
      <c r="O726" s="158" t="s">
        <v>204</v>
      </c>
      <c r="P726" s="92"/>
      <c r="Q726" s="146" t="s">
        <v>61</v>
      </c>
      <c r="R726" s="92"/>
      <c r="S726" s="146" t="s">
        <v>61</v>
      </c>
      <c r="T726" s="92"/>
      <c r="U726" s="146" t="s">
        <v>61</v>
      </c>
      <c r="V726" s="92"/>
      <c r="W726" s="146" t="s">
        <v>61</v>
      </c>
      <c r="X726" s="92"/>
      <c r="Y726" s="146" t="s">
        <v>61</v>
      </c>
      <c r="Z726" s="92"/>
      <c r="AA726" s="146" t="s">
        <v>61</v>
      </c>
      <c r="AB726" s="92"/>
      <c r="AC726" s="146" t="s">
        <v>204</v>
      </c>
      <c r="AD726" s="92"/>
      <c r="AE726" s="146" t="s">
        <v>204</v>
      </c>
      <c r="AF726" s="187" t="str">
        <f t="shared" si="47"/>
        <v>C</v>
      </c>
      <c r="AG726" s="54" t="str">
        <f t="shared" si="50"/>
        <v>UTILIZOU O PDA CORRETAMENTE</v>
      </c>
      <c r="AH726" s="146" t="s">
        <v>204</v>
      </c>
      <c r="AI726" s="210" t="s">
        <v>6</v>
      </c>
      <c r="AJ726" s="97" t="str">
        <f t="shared" si="48"/>
        <v>GUARULHOS</v>
      </c>
      <c r="AK726" s="213" t="s">
        <v>39</v>
      </c>
      <c r="AL726" s="53">
        <v>0.20741102072978013</v>
      </c>
      <c r="AM726" s="53" t="str" cm="1">
        <f t="array" ref="AM726">IF(OR(O726&lt;&gt;"", SUMPRODUCT(($AN$2:$AN$5000=AN726)*($AL$2:$AL$5000&lt;=AL726)) &lt;= (COUNTIF($AN$2:$AN$5000,AN726)*0.5)), "SORTEADO", "-")</f>
        <v>SORTEADO</v>
      </c>
      <c r="AN726" s="230" t="s">
        <v>1888</v>
      </c>
    </row>
    <row r="727" spans="1:40" ht="30" customHeight="1" x14ac:dyDescent="0.2">
      <c r="A727" s="230" t="s">
        <v>197</v>
      </c>
      <c r="B727" s="230">
        <v>2616896418</v>
      </c>
      <c r="C727" s="230" t="s">
        <v>83</v>
      </c>
      <c r="D727" s="230" t="s">
        <v>76</v>
      </c>
      <c r="E727" s="230" t="s">
        <v>198</v>
      </c>
      <c r="F727" s="230" t="s">
        <v>1562</v>
      </c>
      <c r="G727" s="230">
        <v>308</v>
      </c>
      <c r="H727" s="230" t="s">
        <v>461</v>
      </c>
      <c r="I727" s="230" t="s">
        <v>1587</v>
      </c>
      <c r="J727" s="230" t="s">
        <v>219</v>
      </c>
      <c r="K727" s="230" t="s">
        <v>213</v>
      </c>
      <c r="L727" s="230" t="s">
        <v>1888</v>
      </c>
      <c r="M727" s="230" t="s">
        <v>1975</v>
      </c>
      <c r="N727" s="230" t="s">
        <v>203</v>
      </c>
      <c r="O727" s="158" t="s">
        <v>204</v>
      </c>
      <c r="P727" s="92"/>
      <c r="Q727" s="146" t="s">
        <v>61</v>
      </c>
      <c r="R727" s="92"/>
      <c r="S727" s="146" t="s">
        <v>61</v>
      </c>
      <c r="T727" s="92"/>
      <c r="U727" s="146" t="s">
        <v>61</v>
      </c>
      <c r="V727" s="92"/>
      <c r="W727" s="146" t="s">
        <v>61</v>
      </c>
      <c r="X727" s="92"/>
      <c r="Y727" s="146" t="s">
        <v>61</v>
      </c>
      <c r="Z727" s="92"/>
      <c r="AA727" s="146" t="s">
        <v>61</v>
      </c>
      <c r="AB727" s="92"/>
      <c r="AC727" s="146" t="s">
        <v>204</v>
      </c>
      <c r="AD727" s="92"/>
      <c r="AE727" s="146" t="s">
        <v>204</v>
      </c>
      <c r="AF727" s="187" t="str">
        <f t="shared" si="47"/>
        <v>C</v>
      </c>
      <c r="AG727" s="54" t="str">
        <f t="shared" si="50"/>
        <v>UTILIZOU O PDA CORRETAMENTE</v>
      </c>
      <c r="AH727" s="146" t="s">
        <v>204</v>
      </c>
      <c r="AI727" s="210" t="s">
        <v>6</v>
      </c>
      <c r="AJ727" s="97" t="str">
        <f t="shared" si="48"/>
        <v>GUARULHOS</v>
      </c>
      <c r="AK727" s="213" t="s">
        <v>39</v>
      </c>
      <c r="AL727" s="53">
        <v>0.29285879712730511</v>
      </c>
      <c r="AM727" s="53" t="str" cm="1">
        <f t="array" ref="AM727">IF(OR(O727&lt;&gt;"", SUMPRODUCT(($AN$2:$AN$5000=AN727)*($AL$2:$AL$5000&lt;=AL727)) &lt;= (COUNTIF($AN$2:$AN$5000,AN727)*0.5)), "SORTEADO", "-")</f>
        <v>SORTEADO</v>
      </c>
      <c r="AN727" s="230" t="s">
        <v>1888</v>
      </c>
    </row>
    <row r="728" spans="1:40" ht="30" hidden="1" customHeight="1" x14ac:dyDescent="0.2">
      <c r="A728" s="230" t="s">
        <v>197</v>
      </c>
      <c r="B728" s="230">
        <v>2617178559</v>
      </c>
      <c r="C728" s="230" t="s">
        <v>83</v>
      </c>
      <c r="D728" s="230" t="s">
        <v>76</v>
      </c>
      <c r="E728" s="230" t="s">
        <v>198</v>
      </c>
      <c r="F728" s="230" t="s">
        <v>908</v>
      </c>
      <c r="G728" s="230">
        <v>685</v>
      </c>
      <c r="H728" s="230" t="s">
        <v>562</v>
      </c>
      <c r="I728" s="230" t="s">
        <v>1976</v>
      </c>
      <c r="J728" s="230" t="s">
        <v>219</v>
      </c>
      <c r="K728" s="230">
        <v>2611631810</v>
      </c>
      <c r="L728" s="230" t="s">
        <v>1888</v>
      </c>
      <c r="M728" s="230" t="s">
        <v>1977</v>
      </c>
      <c r="N728" s="230" t="s">
        <v>209</v>
      </c>
      <c r="O728" s="158"/>
      <c r="P728" s="92"/>
      <c r="Q728" s="146"/>
      <c r="R728" s="92"/>
      <c r="S728" s="146"/>
      <c r="T728" s="92"/>
      <c r="U728" s="146"/>
      <c r="V728" s="92"/>
      <c r="W728" s="146"/>
      <c r="X728" s="92"/>
      <c r="Y728" s="146"/>
      <c r="Z728" s="92"/>
      <c r="AA728" s="146"/>
      <c r="AB728" s="92"/>
      <c r="AC728" s="146"/>
      <c r="AD728" s="92"/>
      <c r="AE728" s="146"/>
      <c r="AF728" s="187" t="str">
        <f t="shared" si="47"/>
        <v/>
      </c>
      <c r="AG728" s="54" t="b">
        <f t="shared" si="50"/>
        <v>0</v>
      </c>
      <c r="AH728" s="146"/>
      <c r="AI728" s="210" t="s">
        <v>6</v>
      </c>
      <c r="AJ728" s="97" t="str">
        <f t="shared" si="48"/>
        <v>GUARULHOS</v>
      </c>
      <c r="AK728" s="213" t="s">
        <v>39</v>
      </c>
      <c r="AL728" s="53">
        <v>0.81405545297709347</v>
      </c>
      <c r="AM728" s="53" t="str" cm="1">
        <f t="array" ref="AM728">IF(OR(O728&lt;&gt;"", SUMPRODUCT(($AN$2:$AN$5000=AN728)*($AL$2:$AL$5000&lt;=AL728)) &lt;= (COUNTIF($AN$2:$AN$5000,AN728)*0.5)), "SORTEADO", "-")</f>
        <v>-</v>
      </c>
      <c r="AN728" s="230" t="s">
        <v>1888</v>
      </c>
    </row>
    <row r="729" spans="1:40" ht="30" customHeight="1" x14ac:dyDescent="0.2">
      <c r="A729" s="230" t="s">
        <v>197</v>
      </c>
      <c r="B729" s="230">
        <v>2616874489</v>
      </c>
      <c r="C729" s="230" t="s">
        <v>85</v>
      </c>
      <c r="D729" s="230" t="s">
        <v>76</v>
      </c>
      <c r="E729" s="230" t="s">
        <v>198</v>
      </c>
      <c r="F729" s="230" t="s">
        <v>1978</v>
      </c>
      <c r="G729" s="230">
        <v>100</v>
      </c>
      <c r="H729" s="230" t="s">
        <v>213</v>
      </c>
      <c r="I729" s="230" t="s">
        <v>207</v>
      </c>
      <c r="J729" s="230" t="s">
        <v>85</v>
      </c>
      <c r="K729" s="230" t="s">
        <v>1979</v>
      </c>
      <c r="L729" s="230" t="s">
        <v>1888</v>
      </c>
      <c r="M729" s="230" t="s">
        <v>1980</v>
      </c>
      <c r="N729" s="230" t="s">
        <v>203</v>
      </c>
      <c r="O729" s="158" t="s">
        <v>204</v>
      </c>
      <c r="P729" s="92"/>
      <c r="Q729" s="146" t="s">
        <v>204</v>
      </c>
      <c r="R729" s="92"/>
      <c r="S729" s="146" t="s">
        <v>204</v>
      </c>
      <c r="T729" s="92"/>
      <c r="U729" s="146" t="s">
        <v>204</v>
      </c>
      <c r="V729" s="92"/>
      <c r="W729" s="146" t="s">
        <v>204</v>
      </c>
      <c r="X729" s="92"/>
      <c r="Y729" s="146" t="s">
        <v>61</v>
      </c>
      <c r="Z729" s="92"/>
      <c r="AA729" s="146" t="s">
        <v>204</v>
      </c>
      <c r="AB729" s="92"/>
      <c r="AC729" s="146" t="s">
        <v>204</v>
      </c>
      <c r="AD729" s="92"/>
      <c r="AE729" s="146" t="s">
        <v>204</v>
      </c>
      <c r="AF729" s="187" t="str">
        <f t="shared" si="47"/>
        <v>C</v>
      </c>
      <c r="AG729" s="54" t="str">
        <f t="shared" si="50"/>
        <v>UTILIZOU O PDA CORRETAMENTE</v>
      </c>
      <c r="AH729" s="146" t="s">
        <v>204</v>
      </c>
      <c r="AI729" s="210" t="s">
        <v>6</v>
      </c>
      <c r="AJ729" s="97" t="str">
        <f t="shared" si="48"/>
        <v>GUARULHOS</v>
      </c>
      <c r="AK729" s="213" t="s">
        <v>39</v>
      </c>
      <c r="AL729" s="53">
        <v>0.12938495198692035</v>
      </c>
      <c r="AM729" s="53" t="str" cm="1">
        <f t="array" ref="AM729">IF(OR(O729&lt;&gt;"", SUMPRODUCT(($AN$2:$AN$5000=AN729)*($AL$2:$AL$5000&lt;=AL729)) &lt;= (COUNTIF($AN$2:$AN$5000,AN729)*0.5)), "SORTEADO", "-")</f>
        <v>SORTEADO</v>
      </c>
      <c r="AN729" s="230" t="s">
        <v>1888</v>
      </c>
    </row>
    <row r="730" spans="1:40" ht="30" customHeight="1" x14ac:dyDescent="0.2">
      <c r="A730" s="230" t="s">
        <v>197</v>
      </c>
      <c r="B730" s="230">
        <v>2617178649</v>
      </c>
      <c r="C730" s="230" t="s">
        <v>85</v>
      </c>
      <c r="D730" s="230" t="s">
        <v>76</v>
      </c>
      <c r="E730" s="230" t="s">
        <v>198</v>
      </c>
      <c r="F730" s="230" t="s">
        <v>737</v>
      </c>
      <c r="G730" s="230">
        <v>382</v>
      </c>
      <c r="H730" s="230"/>
      <c r="I730" s="230" t="s">
        <v>730</v>
      </c>
      <c r="J730" s="230" t="s">
        <v>85</v>
      </c>
      <c r="K730" s="230" t="s">
        <v>1981</v>
      </c>
      <c r="L730" s="230" t="s">
        <v>1888</v>
      </c>
      <c r="M730" s="230" t="s">
        <v>1982</v>
      </c>
      <c r="N730" s="230" t="s">
        <v>209</v>
      </c>
      <c r="O730" s="158" t="s">
        <v>204</v>
      </c>
      <c r="P730" s="92"/>
      <c r="Q730" s="146" t="s">
        <v>204</v>
      </c>
      <c r="R730" s="92"/>
      <c r="S730" s="146" t="s">
        <v>204</v>
      </c>
      <c r="T730" s="92"/>
      <c r="U730" s="146" t="s">
        <v>204</v>
      </c>
      <c r="V730" s="92"/>
      <c r="W730" s="146" t="s">
        <v>204</v>
      </c>
      <c r="X730" s="92"/>
      <c r="Y730" s="146" t="s">
        <v>61</v>
      </c>
      <c r="Z730" s="92"/>
      <c r="AA730" s="146" t="s">
        <v>210</v>
      </c>
      <c r="AB730" s="92" t="s">
        <v>618</v>
      </c>
      <c r="AC730" s="146" t="s">
        <v>204</v>
      </c>
      <c r="AD730" s="92"/>
      <c r="AE730" s="146" t="s">
        <v>204</v>
      </c>
      <c r="AF730" s="187" t="str">
        <f t="shared" si="47"/>
        <v>NC</v>
      </c>
      <c r="AG730" s="54" t="str">
        <f t="shared" si="50"/>
        <v>UTILIZOU O PDA CORRETAMENTE. NÃO HÁ FOTOS DE TODAS AS ETAPAS</v>
      </c>
      <c r="AH730" s="146" t="s">
        <v>204</v>
      </c>
      <c r="AI730" s="210" t="s">
        <v>6</v>
      </c>
      <c r="AJ730" s="97" t="str">
        <f t="shared" si="48"/>
        <v>GUARULHOS</v>
      </c>
      <c r="AK730" s="213" t="s">
        <v>39</v>
      </c>
      <c r="AL730" s="53">
        <v>0.3570651813440292</v>
      </c>
      <c r="AM730" s="53" t="str" cm="1">
        <f t="array" ref="AM730">IF(OR(O730&lt;&gt;"", SUMPRODUCT(($AN$2:$AN$5000=AN730)*($AL$2:$AL$5000&lt;=AL730)) &lt;= (COUNTIF($AN$2:$AN$5000,AN730)*0.5)), "SORTEADO", "-")</f>
        <v>SORTEADO</v>
      </c>
      <c r="AN730" s="230" t="s">
        <v>1888</v>
      </c>
    </row>
    <row r="731" spans="1:40" ht="30" hidden="1" customHeight="1" x14ac:dyDescent="0.2">
      <c r="A731" s="230" t="s">
        <v>197</v>
      </c>
      <c r="B731" s="230">
        <v>2617156868</v>
      </c>
      <c r="C731" s="230" t="s">
        <v>85</v>
      </c>
      <c r="D731" s="230" t="s">
        <v>76</v>
      </c>
      <c r="E731" s="230" t="s">
        <v>198</v>
      </c>
      <c r="F731" s="230" t="s">
        <v>737</v>
      </c>
      <c r="G731" s="230">
        <v>372</v>
      </c>
      <c r="H731" s="230" t="s">
        <v>213</v>
      </c>
      <c r="I731" s="230" t="s">
        <v>730</v>
      </c>
      <c r="J731" s="230" t="s">
        <v>85</v>
      </c>
      <c r="K731" s="230" t="s">
        <v>1983</v>
      </c>
      <c r="L731" s="230" t="s">
        <v>1888</v>
      </c>
      <c r="M731" s="230" t="s">
        <v>1932</v>
      </c>
      <c r="N731" s="230" t="s">
        <v>209</v>
      </c>
      <c r="O731" s="158"/>
      <c r="P731" s="92"/>
      <c r="Q731" s="146"/>
      <c r="R731" s="92"/>
      <c r="S731" s="146"/>
      <c r="T731" s="92"/>
      <c r="U731" s="146"/>
      <c r="V731" s="92"/>
      <c r="W731" s="146"/>
      <c r="X731" s="92"/>
      <c r="Y731" s="146"/>
      <c r="Z731" s="92"/>
      <c r="AA731" s="146"/>
      <c r="AB731" s="92"/>
      <c r="AC731" s="146"/>
      <c r="AD731" s="92"/>
      <c r="AE731" s="146"/>
      <c r="AF731" s="187" t="str">
        <f t="shared" si="47"/>
        <v/>
      </c>
      <c r="AG731" s="54" t="b">
        <f t="shared" si="50"/>
        <v>0</v>
      </c>
      <c r="AH731" s="146"/>
      <c r="AI731" s="210" t="s">
        <v>6</v>
      </c>
      <c r="AJ731" s="97" t="str">
        <f t="shared" si="48"/>
        <v>GUARULHOS</v>
      </c>
      <c r="AK731" s="213" t="s">
        <v>39</v>
      </c>
      <c r="AL731" s="53">
        <v>0.87217959398210443</v>
      </c>
      <c r="AM731" s="53" t="str" cm="1">
        <f t="array" ref="AM731">IF(OR(O731&lt;&gt;"", SUMPRODUCT(($AN$2:$AN$5000=AN731)*($AL$2:$AL$5000&lt;=AL731)) &lt;= (COUNTIF($AN$2:$AN$5000,AN731)*0.5)), "SORTEADO", "-")</f>
        <v>-</v>
      </c>
      <c r="AN731" s="230" t="s">
        <v>1888</v>
      </c>
    </row>
    <row r="732" spans="1:40" ht="30" hidden="1" customHeight="1" x14ac:dyDescent="0.2">
      <c r="A732" s="230" t="s">
        <v>197</v>
      </c>
      <c r="B732" s="230">
        <v>2613831015</v>
      </c>
      <c r="C732" s="230" t="s">
        <v>382</v>
      </c>
      <c r="D732" s="230" t="s">
        <v>79</v>
      </c>
      <c r="E732" s="230" t="s">
        <v>198</v>
      </c>
      <c r="F732" s="230" t="s">
        <v>1782</v>
      </c>
      <c r="G732" s="230">
        <v>85</v>
      </c>
      <c r="H732" s="230"/>
      <c r="I732" s="230" t="s">
        <v>301</v>
      </c>
      <c r="J732" s="230" t="s">
        <v>384</v>
      </c>
      <c r="K732" s="230" t="s">
        <v>1984</v>
      </c>
      <c r="L732" s="230" t="s">
        <v>1888</v>
      </c>
      <c r="M732" s="230" t="s">
        <v>1985</v>
      </c>
      <c r="N732" s="230" t="s">
        <v>1104</v>
      </c>
      <c r="O732" s="158" t="s">
        <v>61</v>
      </c>
      <c r="P732" s="92"/>
      <c r="Q732" s="146" t="s">
        <v>61</v>
      </c>
      <c r="R732" s="92"/>
      <c r="S732" s="146" t="s">
        <v>61</v>
      </c>
      <c r="T732" s="92"/>
      <c r="U732" s="146" t="s">
        <v>61</v>
      </c>
      <c r="V732" s="92"/>
      <c r="W732" s="146" t="s">
        <v>61</v>
      </c>
      <c r="X732" s="92"/>
      <c r="Y732" s="146" t="s">
        <v>61</v>
      </c>
      <c r="Z732" s="92"/>
      <c r="AA732" s="146" t="s">
        <v>61</v>
      </c>
      <c r="AB732" s="92"/>
      <c r="AC732" s="146" t="s">
        <v>61</v>
      </c>
      <c r="AD732" s="92"/>
      <c r="AE732" s="146" t="s">
        <v>61</v>
      </c>
      <c r="AF732" s="187" t="str">
        <f t="shared" si="47"/>
        <v>NA</v>
      </c>
      <c r="AG732" s="54" t="str">
        <f t="shared" si="50"/>
        <v>NÃO AVALIADO POR FALHA DE SINCRONISMO</v>
      </c>
      <c r="AH732" s="146" t="s">
        <v>204</v>
      </c>
      <c r="AI732" s="210" t="s">
        <v>6</v>
      </c>
      <c r="AJ732" s="97" t="str">
        <f t="shared" si="48"/>
        <v>GUARULHOS</v>
      </c>
      <c r="AK732" s="213" t="s">
        <v>39</v>
      </c>
      <c r="AL732" s="53">
        <v>0.12619352414150353</v>
      </c>
      <c r="AM732" s="53" t="str" cm="1">
        <f t="array" ref="AM732">IF(OR(O732&lt;&gt;"", SUMPRODUCT(($AN$2:$AN$5000=AN732)*($AL$2:$AL$5000&lt;=AL732)) &lt;= (COUNTIF($AN$2:$AN$5000,AN732)*0.5)), "SORTEADO", "-")</f>
        <v>SORTEADO</v>
      </c>
      <c r="AN732" s="230" t="s">
        <v>1888</v>
      </c>
    </row>
    <row r="733" spans="1:40" ht="30" hidden="1" customHeight="1" x14ac:dyDescent="0.2">
      <c r="A733" s="230" t="s">
        <v>197</v>
      </c>
      <c r="B733" s="230">
        <v>2613828979</v>
      </c>
      <c r="C733" s="230" t="s">
        <v>382</v>
      </c>
      <c r="D733" s="230" t="s">
        <v>79</v>
      </c>
      <c r="E733" s="230" t="s">
        <v>198</v>
      </c>
      <c r="F733" s="230" t="s">
        <v>1126</v>
      </c>
      <c r="G733" s="230">
        <v>38</v>
      </c>
      <c r="H733" s="230" t="s">
        <v>1127</v>
      </c>
      <c r="I733" s="230" t="s">
        <v>1128</v>
      </c>
      <c r="J733" s="230" t="s">
        <v>384</v>
      </c>
      <c r="K733" s="230" t="s">
        <v>1986</v>
      </c>
      <c r="L733" s="230" t="s">
        <v>1888</v>
      </c>
      <c r="M733" s="230" t="s">
        <v>1975</v>
      </c>
      <c r="N733" s="230" t="s">
        <v>1104</v>
      </c>
      <c r="O733" s="158"/>
      <c r="P733" s="92"/>
      <c r="Q733" s="146"/>
      <c r="R733" s="92"/>
      <c r="S733" s="146"/>
      <c r="T733" s="92"/>
      <c r="U733" s="146"/>
      <c r="V733" s="92"/>
      <c r="W733" s="146"/>
      <c r="X733" s="92"/>
      <c r="Y733" s="146"/>
      <c r="Z733" s="92"/>
      <c r="AA733" s="146"/>
      <c r="AB733" s="92"/>
      <c r="AC733" s="146"/>
      <c r="AD733" s="92"/>
      <c r="AE733" s="146"/>
      <c r="AF733" s="187" t="str">
        <f t="shared" si="47"/>
        <v/>
      </c>
      <c r="AG733" s="54" t="b">
        <f t="shared" si="50"/>
        <v>0</v>
      </c>
      <c r="AH733" s="146"/>
      <c r="AI733" s="210" t="s">
        <v>6</v>
      </c>
      <c r="AJ733" s="97" t="str">
        <f t="shared" si="48"/>
        <v>GUARULHOS</v>
      </c>
      <c r="AK733" s="213" t="s">
        <v>39</v>
      </c>
      <c r="AL733" s="53">
        <v>0.84344169748454212</v>
      </c>
      <c r="AM733" s="53" t="str" cm="1">
        <f t="array" ref="AM733">IF(OR(O733&lt;&gt;"", SUMPRODUCT(($AN$2:$AN$5000=AN733)*($AL$2:$AL$5000&lt;=AL733)) &lt;= (COUNTIF($AN$2:$AN$5000,AN733)*0.5)), "SORTEADO", "-")</f>
        <v>-</v>
      </c>
      <c r="AN733" s="230" t="s">
        <v>1888</v>
      </c>
    </row>
    <row r="734" spans="1:40" ht="30" hidden="1" customHeight="1" x14ac:dyDescent="0.2">
      <c r="A734" s="230" t="s">
        <v>197</v>
      </c>
      <c r="B734" s="230">
        <v>2613829969</v>
      </c>
      <c r="C734" s="230" t="s">
        <v>382</v>
      </c>
      <c r="D734" s="230" t="s">
        <v>79</v>
      </c>
      <c r="E734" s="230" t="s">
        <v>198</v>
      </c>
      <c r="F734" s="230" t="s">
        <v>553</v>
      </c>
      <c r="G734" s="230">
        <v>101</v>
      </c>
      <c r="H734" s="230" t="s">
        <v>1559</v>
      </c>
      <c r="I734" s="230" t="s">
        <v>554</v>
      </c>
      <c r="J734" s="230" t="s">
        <v>384</v>
      </c>
      <c r="K734" s="230" t="s">
        <v>1987</v>
      </c>
      <c r="L734" s="230" t="s">
        <v>1888</v>
      </c>
      <c r="M734" s="230" t="s">
        <v>1988</v>
      </c>
      <c r="N734" s="230" t="s">
        <v>1104</v>
      </c>
      <c r="O734" s="158"/>
      <c r="P734" s="92"/>
      <c r="Q734" s="146"/>
      <c r="R734" s="92"/>
      <c r="S734" s="146"/>
      <c r="T734" s="92"/>
      <c r="U734" s="146"/>
      <c r="V734" s="92"/>
      <c r="W734" s="146"/>
      <c r="X734" s="92"/>
      <c r="Y734" s="146"/>
      <c r="Z734" s="92"/>
      <c r="AA734" s="146"/>
      <c r="AB734" s="92"/>
      <c r="AC734" s="146"/>
      <c r="AD734" s="92"/>
      <c r="AE734" s="146"/>
      <c r="AF734" s="187" t="str">
        <f t="shared" si="47"/>
        <v/>
      </c>
      <c r="AG734" s="54" t="b">
        <f t="shared" si="50"/>
        <v>0</v>
      </c>
      <c r="AH734" s="146"/>
      <c r="AI734" s="210" t="s">
        <v>6</v>
      </c>
      <c r="AJ734" s="97" t="str">
        <f t="shared" si="48"/>
        <v>GUARULHOS</v>
      </c>
      <c r="AK734" s="213" t="s">
        <v>39</v>
      </c>
      <c r="AL734" s="53">
        <v>0.60254291081048994</v>
      </c>
      <c r="AM734" s="53" t="str" cm="1">
        <f t="array" ref="AM734">IF(OR(O734&lt;&gt;"", SUMPRODUCT(($AN$2:$AN$5000=AN734)*($AL$2:$AL$5000&lt;=AL734)) &lt;= (COUNTIF($AN$2:$AN$5000,AN734)*0.5)), "SORTEADO", "-")</f>
        <v>-</v>
      </c>
      <c r="AN734" s="230" t="s">
        <v>1888</v>
      </c>
    </row>
    <row r="735" spans="1:40" ht="30" hidden="1" customHeight="1" x14ac:dyDescent="0.2">
      <c r="A735" s="230" t="s">
        <v>197</v>
      </c>
      <c r="B735" s="230">
        <v>2615899717</v>
      </c>
      <c r="C735" s="230" t="s">
        <v>382</v>
      </c>
      <c r="D735" s="230" t="s">
        <v>79</v>
      </c>
      <c r="E735" s="230" t="s">
        <v>198</v>
      </c>
      <c r="F735" s="230" t="s">
        <v>759</v>
      </c>
      <c r="G735" s="230">
        <v>1405</v>
      </c>
      <c r="H735" s="230" t="s">
        <v>213</v>
      </c>
      <c r="I735" s="230" t="s">
        <v>761</v>
      </c>
      <c r="J735" s="230" t="s">
        <v>384</v>
      </c>
      <c r="K735" s="230" t="s">
        <v>1989</v>
      </c>
      <c r="L735" s="230" t="s">
        <v>1888</v>
      </c>
      <c r="M735" s="230" t="s">
        <v>1990</v>
      </c>
      <c r="N735" s="230" t="s">
        <v>1104</v>
      </c>
      <c r="O735" s="158"/>
      <c r="P735" s="92"/>
      <c r="Q735" s="146"/>
      <c r="R735" s="92"/>
      <c r="S735" s="146"/>
      <c r="T735" s="92"/>
      <c r="U735" s="146"/>
      <c r="V735" s="92"/>
      <c r="W735" s="146"/>
      <c r="X735" s="92"/>
      <c r="Y735" s="146"/>
      <c r="Z735" s="92"/>
      <c r="AA735" s="146"/>
      <c r="AB735" s="92"/>
      <c r="AC735" s="146"/>
      <c r="AD735" s="92"/>
      <c r="AE735" s="146"/>
      <c r="AF735" s="187" t="str">
        <f t="shared" si="47"/>
        <v/>
      </c>
      <c r="AG735" s="54" t="b">
        <f t="shared" si="50"/>
        <v>0</v>
      </c>
      <c r="AH735" s="146"/>
      <c r="AI735" s="210" t="s">
        <v>6</v>
      </c>
      <c r="AJ735" s="97" t="str">
        <f t="shared" si="48"/>
        <v>GUARULHOS</v>
      </c>
      <c r="AK735" s="213" t="s">
        <v>39</v>
      </c>
      <c r="AL735" s="53">
        <v>0.7708501131383646</v>
      </c>
      <c r="AM735" s="53" t="str" cm="1">
        <f t="array" ref="AM735">IF(OR(O735&lt;&gt;"", SUMPRODUCT(($AN$2:$AN$5000=AN735)*($AL$2:$AL$5000&lt;=AL735)) &lt;= (COUNTIF($AN$2:$AN$5000,AN735)*0.5)), "SORTEADO", "-")</f>
        <v>-</v>
      </c>
      <c r="AN735" s="230" t="s">
        <v>1888</v>
      </c>
    </row>
    <row r="736" spans="1:40" ht="30" hidden="1" customHeight="1" x14ac:dyDescent="0.2">
      <c r="A736" s="230" t="s">
        <v>197</v>
      </c>
      <c r="B736" s="230">
        <v>2614471690</v>
      </c>
      <c r="C736" s="230" t="s">
        <v>87</v>
      </c>
      <c r="D736" s="230" t="s">
        <v>79</v>
      </c>
      <c r="E736" s="230" t="s">
        <v>198</v>
      </c>
      <c r="F736" s="230" t="s">
        <v>1991</v>
      </c>
      <c r="G736" s="230">
        <v>169</v>
      </c>
      <c r="H736" s="230" t="s">
        <v>1992</v>
      </c>
      <c r="I736" s="230" t="s">
        <v>531</v>
      </c>
      <c r="J736" s="230" t="s">
        <v>1947</v>
      </c>
      <c r="K736" s="230" t="s">
        <v>1993</v>
      </c>
      <c r="L736" s="230" t="s">
        <v>1888</v>
      </c>
      <c r="M736" s="230" t="s">
        <v>1994</v>
      </c>
      <c r="N736" s="230" t="s">
        <v>1104</v>
      </c>
      <c r="O736" s="158" t="s">
        <v>61</v>
      </c>
      <c r="P736" s="92"/>
      <c r="Q736" s="146" t="s">
        <v>61</v>
      </c>
      <c r="R736" s="92"/>
      <c r="S736" s="146" t="s">
        <v>61</v>
      </c>
      <c r="T736" s="92"/>
      <c r="U736" s="146" t="s">
        <v>61</v>
      </c>
      <c r="V736" s="92"/>
      <c r="W736" s="146" t="s">
        <v>61</v>
      </c>
      <c r="X736" s="92"/>
      <c r="Y736" s="146" t="s">
        <v>61</v>
      </c>
      <c r="Z736" s="92"/>
      <c r="AA736" s="146" t="s">
        <v>61</v>
      </c>
      <c r="AB736" s="92"/>
      <c r="AC736" s="146" t="s">
        <v>61</v>
      </c>
      <c r="AD736" s="92"/>
      <c r="AE736" s="146" t="s">
        <v>61</v>
      </c>
      <c r="AF736" s="187" t="str">
        <f t="shared" si="47"/>
        <v>NA</v>
      </c>
      <c r="AG736" s="54" t="str">
        <f t="shared" si="50"/>
        <v>NÃO AVALIADO POR FALHA DE SINCRONISMO</v>
      </c>
      <c r="AH736" s="146" t="s">
        <v>204</v>
      </c>
      <c r="AI736" s="210" t="s">
        <v>6</v>
      </c>
      <c r="AJ736" s="97" t="str">
        <f t="shared" si="48"/>
        <v>GUARULHOS</v>
      </c>
      <c r="AK736" s="213" t="s">
        <v>39</v>
      </c>
      <c r="AL736" s="53">
        <v>0.3242467452098472</v>
      </c>
      <c r="AM736" s="53" t="str" cm="1">
        <f t="array" ref="AM736">IF(OR(O736&lt;&gt;"", SUMPRODUCT(($AN$2:$AN$5000=AN736)*($AL$2:$AL$5000&lt;=AL736)) &lt;= (COUNTIF($AN$2:$AN$5000,AN736)*0.5)), "SORTEADO", "-")</f>
        <v>SORTEADO</v>
      </c>
      <c r="AN736" s="230" t="s">
        <v>1888</v>
      </c>
    </row>
    <row r="737" spans="1:40" ht="30" hidden="1" customHeight="1" x14ac:dyDescent="0.2">
      <c r="A737" s="230" t="s">
        <v>197</v>
      </c>
      <c r="B737" s="230">
        <v>2617140535</v>
      </c>
      <c r="C737" s="230" t="s">
        <v>1781</v>
      </c>
      <c r="D737" s="230" t="s">
        <v>78</v>
      </c>
      <c r="E737" s="230" t="s">
        <v>198</v>
      </c>
      <c r="F737" s="230" t="s">
        <v>553</v>
      </c>
      <c r="G737" s="230">
        <v>75</v>
      </c>
      <c r="H737" s="230" t="s">
        <v>1995</v>
      </c>
      <c r="I737" s="230" t="s">
        <v>554</v>
      </c>
      <c r="J737" s="230" t="s">
        <v>1783</v>
      </c>
      <c r="K737" s="230" t="s">
        <v>1960</v>
      </c>
      <c r="L737" s="230" t="s">
        <v>1888</v>
      </c>
      <c r="M737" s="230" t="s">
        <v>1996</v>
      </c>
      <c r="N737" s="230" t="s">
        <v>317</v>
      </c>
      <c r="O737" s="158" t="s">
        <v>61</v>
      </c>
      <c r="P737" s="92"/>
      <c r="Q737" s="146" t="s">
        <v>61</v>
      </c>
      <c r="R737" s="92"/>
      <c r="S737" s="146" t="s">
        <v>61</v>
      </c>
      <c r="T737" s="92"/>
      <c r="U737" s="146" t="s">
        <v>61</v>
      </c>
      <c r="V737" s="92"/>
      <c r="W737" s="146" t="s">
        <v>61</v>
      </c>
      <c r="X737" s="92"/>
      <c r="Y737" s="146" t="s">
        <v>61</v>
      </c>
      <c r="Z737" s="92"/>
      <c r="AA737" s="146" t="s">
        <v>61</v>
      </c>
      <c r="AB737" s="92"/>
      <c r="AC737" s="146" t="s">
        <v>61</v>
      </c>
      <c r="AD737" s="92"/>
      <c r="AE737" s="146" t="s">
        <v>61</v>
      </c>
      <c r="AF737" s="187" t="str">
        <f t="shared" si="47"/>
        <v>NA</v>
      </c>
      <c r="AG737" s="54" t="str">
        <f t="shared" si="50"/>
        <v>NÃO AVALIADO POR FALHA DE SINCRONISMO</v>
      </c>
      <c r="AH737" s="146" t="s">
        <v>204</v>
      </c>
      <c r="AI737" s="210" t="s">
        <v>6</v>
      </c>
      <c r="AJ737" s="97" t="str">
        <f t="shared" si="48"/>
        <v>GUARULHOS</v>
      </c>
      <c r="AK737" s="213" t="s">
        <v>39</v>
      </c>
      <c r="AL737" s="53">
        <v>0.20597929055097741</v>
      </c>
      <c r="AM737" s="53" t="str" cm="1">
        <f t="array" ref="AM737">IF(OR(O737&lt;&gt;"", SUMPRODUCT(($AN$2:$AN$5000=AN737)*($AL$2:$AL$5000&lt;=AL737)) &lt;= (COUNTIF($AN$2:$AN$5000,AN737)*0.5)), "SORTEADO", "-")</f>
        <v>SORTEADO</v>
      </c>
      <c r="AN737" s="230" t="s">
        <v>1888</v>
      </c>
    </row>
    <row r="738" spans="1:40" ht="30" hidden="1" customHeight="1" x14ac:dyDescent="0.2">
      <c r="A738" s="230" t="s">
        <v>197</v>
      </c>
      <c r="B738" s="230">
        <v>2616194514</v>
      </c>
      <c r="C738" s="230" t="s">
        <v>1781</v>
      </c>
      <c r="D738" s="230" t="s">
        <v>78</v>
      </c>
      <c r="E738" s="230" t="s">
        <v>198</v>
      </c>
      <c r="F738" s="230" t="s">
        <v>553</v>
      </c>
      <c r="G738" s="230">
        <v>61</v>
      </c>
      <c r="H738" s="230" t="s">
        <v>276</v>
      </c>
      <c r="I738" s="230" t="s">
        <v>554</v>
      </c>
      <c r="J738" s="230" t="s">
        <v>1783</v>
      </c>
      <c r="K738" s="230" t="s">
        <v>1960</v>
      </c>
      <c r="L738" s="230" t="s">
        <v>1888</v>
      </c>
      <c r="M738" s="230" t="s">
        <v>1997</v>
      </c>
      <c r="N738" s="230" t="s">
        <v>317</v>
      </c>
      <c r="O738" s="158" t="s">
        <v>61</v>
      </c>
      <c r="P738" s="92"/>
      <c r="Q738" s="146" t="s">
        <v>61</v>
      </c>
      <c r="R738" s="92"/>
      <c r="S738" s="146" t="s">
        <v>61</v>
      </c>
      <c r="T738" s="92"/>
      <c r="U738" s="146" t="s">
        <v>61</v>
      </c>
      <c r="V738" s="92"/>
      <c r="W738" s="146" t="s">
        <v>61</v>
      </c>
      <c r="X738" s="92"/>
      <c r="Y738" s="146" t="s">
        <v>61</v>
      </c>
      <c r="Z738" s="92"/>
      <c r="AA738" s="146" t="s">
        <v>61</v>
      </c>
      <c r="AB738" s="92"/>
      <c r="AC738" s="146" t="s">
        <v>61</v>
      </c>
      <c r="AD738" s="92"/>
      <c r="AE738" s="146" t="s">
        <v>61</v>
      </c>
      <c r="AF738" s="187" t="str">
        <f t="shared" si="47"/>
        <v>NA</v>
      </c>
      <c r="AG738" s="54" t="str">
        <f t="shared" si="50"/>
        <v>NÃO AVALIADO POR FALHA DE SINCRONISMO</v>
      </c>
      <c r="AH738" s="146" t="s">
        <v>204</v>
      </c>
      <c r="AI738" s="210" t="s">
        <v>6</v>
      </c>
      <c r="AJ738" s="97" t="str">
        <f t="shared" si="48"/>
        <v>GUARULHOS</v>
      </c>
      <c r="AK738" s="213" t="s">
        <v>39</v>
      </c>
      <c r="AL738" s="53">
        <v>0.41508304244634675</v>
      </c>
      <c r="AM738" s="53" t="str" cm="1">
        <f t="array" ref="AM738">IF(OR(O738&lt;&gt;"", SUMPRODUCT(($AN$2:$AN$5000=AN738)*($AL$2:$AL$5000&lt;=AL738)) &lt;= (COUNTIF($AN$2:$AN$5000,AN738)*0.5)), "SORTEADO", "-")</f>
        <v>SORTEADO</v>
      </c>
      <c r="AN738" s="230" t="s">
        <v>1888</v>
      </c>
    </row>
    <row r="739" spans="1:40" ht="30" hidden="1" customHeight="1" x14ac:dyDescent="0.2">
      <c r="A739" s="230" t="s">
        <v>197</v>
      </c>
      <c r="B739" s="230">
        <v>2616220798</v>
      </c>
      <c r="C739" s="230" t="s">
        <v>1781</v>
      </c>
      <c r="D739" s="230" t="s">
        <v>78</v>
      </c>
      <c r="E739" s="230" t="s">
        <v>198</v>
      </c>
      <c r="F739" s="230" t="s">
        <v>1126</v>
      </c>
      <c r="G739" s="230">
        <v>28</v>
      </c>
      <c r="H739" s="230" t="s">
        <v>1131</v>
      </c>
      <c r="I739" s="230" t="s">
        <v>1128</v>
      </c>
      <c r="J739" s="230" t="s">
        <v>1783</v>
      </c>
      <c r="K739" s="230" t="s">
        <v>1998</v>
      </c>
      <c r="L739" s="230" t="s">
        <v>1888</v>
      </c>
      <c r="M739" s="230" t="s">
        <v>1999</v>
      </c>
      <c r="N739" s="230" t="s">
        <v>317</v>
      </c>
      <c r="O739" s="158"/>
      <c r="P739" s="92"/>
      <c r="Q739" s="146"/>
      <c r="R739" s="92"/>
      <c r="S739" s="146"/>
      <c r="T739" s="92"/>
      <c r="U739" s="146"/>
      <c r="V739" s="92"/>
      <c r="W739" s="146"/>
      <c r="X739" s="92"/>
      <c r="Y739" s="146"/>
      <c r="Z739" s="92"/>
      <c r="AA739" s="146"/>
      <c r="AB739" s="92"/>
      <c r="AC739" s="146"/>
      <c r="AD739" s="92"/>
      <c r="AE739" s="146"/>
      <c r="AF739" s="187" t="str">
        <f t="shared" si="47"/>
        <v/>
      </c>
      <c r="AG739" s="54" t="b">
        <f t="shared" si="50"/>
        <v>0</v>
      </c>
      <c r="AH739" s="146"/>
      <c r="AI739" s="210" t="s">
        <v>6</v>
      </c>
      <c r="AJ739" s="97" t="str">
        <f t="shared" si="48"/>
        <v>GUARULHOS</v>
      </c>
      <c r="AK739" s="213" t="s">
        <v>39</v>
      </c>
      <c r="AL739" s="53">
        <v>0.79789354263084222</v>
      </c>
      <c r="AM739" s="53" t="str" cm="1">
        <f t="array" ref="AM739">IF(OR(O739&lt;&gt;"", SUMPRODUCT(($AN$2:$AN$5000=AN739)*($AL$2:$AL$5000&lt;=AL739)) &lt;= (COUNTIF($AN$2:$AN$5000,AN739)*0.5)), "SORTEADO", "-")</f>
        <v>-</v>
      </c>
      <c r="AN739" s="230" t="s">
        <v>1888</v>
      </c>
    </row>
    <row r="740" spans="1:40" ht="30" hidden="1" customHeight="1" x14ac:dyDescent="0.2">
      <c r="A740" s="230" t="s">
        <v>197</v>
      </c>
      <c r="B740" s="230">
        <v>2617139878</v>
      </c>
      <c r="C740" s="230" t="s">
        <v>1781</v>
      </c>
      <c r="D740" s="230" t="s">
        <v>78</v>
      </c>
      <c r="E740" s="230" t="s">
        <v>198</v>
      </c>
      <c r="F740" s="230" t="s">
        <v>842</v>
      </c>
      <c r="G740" s="230">
        <v>95</v>
      </c>
      <c r="H740" s="230"/>
      <c r="I740" s="230" t="s">
        <v>301</v>
      </c>
      <c r="J740" s="230" t="s">
        <v>1783</v>
      </c>
      <c r="K740" s="230" t="s">
        <v>2000</v>
      </c>
      <c r="L740" s="230" t="s">
        <v>1888</v>
      </c>
      <c r="M740" s="230" t="s">
        <v>2001</v>
      </c>
      <c r="N740" s="230" t="s">
        <v>317</v>
      </c>
      <c r="O740" s="158" t="s">
        <v>61</v>
      </c>
      <c r="P740" s="92"/>
      <c r="Q740" s="146" t="s">
        <v>61</v>
      </c>
      <c r="R740" s="92"/>
      <c r="S740" s="146" t="s">
        <v>61</v>
      </c>
      <c r="T740" s="92"/>
      <c r="U740" s="146" t="s">
        <v>61</v>
      </c>
      <c r="V740" s="92"/>
      <c r="W740" s="146" t="s">
        <v>61</v>
      </c>
      <c r="X740" s="92"/>
      <c r="Y740" s="146" t="s">
        <v>61</v>
      </c>
      <c r="Z740" s="92"/>
      <c r="AA740" s="146" t="s">
        <v>61</v>
      </c>
      <c r="AB740" s="92"/>
      <c r="AC740" s="146" t="s">
        <v>61</v>
      </c>
      <c r="AD740" s="92"/>
      <c r="AE740" s="146" t="s">
        <v>61</v>
      </c>
      <c r="AF740" s="187" t="str">
        <f t="shared" si="47"/>
        <v>NA</v>
      </c>
      <c r="AG740" s="54" t="str">
        <f t="shared" si="50"/>
        <v>NÃO AVALIADO POR FALHA DE SINCRONISMO</v>
      </c>
      <c r="AH740" s="146" t="s">
        <v>204</v>
      </c>
      <c r="AI740" s="210" t="s">
        <v>6</v>
      </c>
      <c r="AJ740" s="97" t="str">
        <f t="shared" si="48"/>
        <v>GUARULHOS</v>
      </c>
      <c r="AK740" s="213" t="s">
        <v>39</v>
      </c>
      <c r="AL740" s="53">
        <v>0.33317960887662867</v>
      </c>
      <c r="AM740" s="53" t="str" cm="1">
        <f t="array" ref="AM740">IF(OR(O740&lt;&gt;"", SUMPRODUCT(($AN$2:$AN$5000=AN740)*($AL$2:$AL$5000&lt;=AL740)) &lt;= (COUNTIF($AN$2:$AN$5000,AN740)*0.5)), "SORTEADO", "-")</f>
        <v>SORTEADO</v>
      </c>
      <c r="AN740" s="230" t="s">
        <v>1888</v>
      </c>
    </row>
    <row r="741" spans="1:40" ht="30" hidden="1" customHeight="1" x14ac:dyDescent="0.2">
      <c r="A741" s="230" t="s">
        <v>197</v>
      </c>
      <c r="B741" s="230">
        <v>2617140076</v>
      </c>
      <c r="C741" s="230" t="s">
        <v>1781</v>
      </c>
      <c r="D741" s="230" t="s">
        <v>78</v>
      </c>
      <c r="E741" s="230" t="s">
        <v>198</v>
      </c>
      <c r="F741" s="230" t="s">
        <v>553</v>
      </c>
      <c r="G741" s="230">
        <v>75</v>
      </c>
      <c r="H741" s="230" t="s">
        <v>2002</v>
      </c>
      <c r="I741" s="230" t="s">
        <v>554</v>
      </c>
      <c r="J741" s="230" t="s">
        <v>1783</v>
      </c>
      <c r="K741" s="230" t="s">
        <v>1960</v>
      </c>
      <c r="L741" s="230" t="s">
        <v>1888</v>
      </c>
      <c r="M741" s="230" t="s">
        <v>2003</v>
      </c>
      <c r="N741" s="230" t="s">
        <v>317</v>
      </c>
      <c r="O741" s="158"/>
      <c r="P741" s="92"/>
      <c r="Q741" s="146"/>
      <c r="R741" s="92"/>
      <c r="S741" s="146"/>
      <c r="T741" s="92"/>
      <c r="U741" s="146"/>
      <c r="V741" s="92"/>
      <c r="W741" s="146"/>
      <c r="X741" s="92"/>
      <c r="Y741" s="146"/>
      <c r="Z741" s="92"/>
      <c r="AA741" s="146"/>
      <c r="AB741" s="92"/>
      <c r="AC741" s="146"/>
      <c r="AD741" s="92"/>
      <c r="AE741" s="146"/>
      <c r="AF741" s="187" t="str">
        <f t="shared" si="47"/>
        <v/>
      </c>
      <c r="AG741" s="54" t="b">
        <f t="shared" si="50"/>
        <v>0</v>
      </c>
      <c r="AH741" s="146"/>
      <c r="AI741" s="210" t="s">
        <v>6</v>
      </c>
      <c r="AJ741" s="97" t="str">
        <f t="shared" si="48"/>
        <v>GUARULHOS</v>
      </c>
      <c r="AK741" s="213" t="s">
        <v>39</v>
      </c>
      <c r="AL741" s="53">
        <v>0.88607490330599681</v>
      </c>
      <c r="AM741" s="53" t="str" cm="1">
        <f t="array" ref="AM741">IF(OR(O741&lt;&gt;"", SUMPRODUCT(($AN$2:$AN$5000=AN741)*($AL$2:$AL$5000&lt;=AL741)) &lt;= (COUNTIF($AN$2:$AN$5000,AN741)*0.5)), "SORTEADO", "-")</f>
        <v>-</v>
      </c>
      <c r="AN741" s="230" t="s">
        <v>1888</v>
      </c>
    </row>
    <row r="742" spans="1:40" ht="30" hidden="1" customHeight="1" x14ac:dyDescent="0.2">
      <c r="A742" s="230" t="s">
        <v>197</v>
      </c>
      <c r="B742" s="230">
        <v>2617139667</v>
      </c>
      <c r="C742" s="230" t="s">
        <v>1781</v>
      </c>
      <c r="D742" s="230" t="s">
        <v>78</v>
      </c>
      <c r="E742" s="230" t="s">
        <v>198</v>
      </c>
      <c r="F742" s="230" t="s">
        <v>553</v>
      </c>
      <c r="G742" s="230">
        <v>184</v>
      </c>
      <c r="H742" s="230" t="s">
        <v>2004</v>
      </c>
      <c r="I742" s="230" t="s">
        <v>554</v>
      </c>
      <c r="J742" s="230" t="s">
        <v>1783</v>
      </c>
      <c r="K742" s="230" t="s">
        <v>1960</v>
      </c>
      <c r="L742" s="230" t="s">
        <v>1888</v>
      </c>
      <c r="M742" s="230" t="s">
        <v>2005</v>
      </c>
      <c r="N742" s="230" t="s">
        <v>317</v>
      </c>
      <c r="O742" s="158"/>
      <c r="P742" s="92"/>
      <c r="Q742" s="146"/>
      <c r="R742" s="92"/>
      <c r="S742" s="146"/>
      <c r="T742" s="92"/>
      <c r="U742" s="146"/>
      <c r="V742" s="92"/>
      <c r="W742" s="146"/>
      <c r="X742" s="92"/>
      <c r="Y742" s="146"/>
      <c r="Z742" s="92"/>
      <c r="AA742" s="146"/>
      <c r="AB742" s="92"/>
      <c r="AC742" s="146"/>
      <c r="AD742" s="92"/>
      <c r="AE742" s="146"/>
      <c r="AF742" s="187" t="str">
        <f t="shared" si="47"/>
        <v/>
      </c>
      <c r="AG742" s="54" t="b">
        <f t="shared" si="50"/>
        <v>0</v>
      </c>
      <c r="AH742" s="146"/>
      <c r="AI742" s="210" t="s">
        <v>6</v>
      </c>
      <c r="AJ742" s="97" t="str">
        <f t="shared" si="48"/>
        <v>GUARULHOS</v>
      </c>
      <c r="AK742" s="213" t="s">
        <v>39</v>
      </c>
      <c r="AL742" s="53">
        <v>0.7154761581069502</v>
      </c>
      <c r="AM742" s="53" t="str" cm="1">
        <f t="array" ref="AM742">IF(OR(O742&lt;&gt;"", SUMPRODUCT(($AN$2:$AN$5000=AN742)*($AL$2:$AL$5000&lt;=AL742)) &lt;= (COUNTIF($AN$2:$AN$5000,AN742)*0.5)), "SORTEADO", "-")</f>
        <v>-</v>
      </c>
      <c r="AN742" s="230" t="s">
        <v>1888</v>
      </c>
    </row>
    <row r="743" spans="1:40" ht="30" hidden="1" customHeight="1" x14ac:dyDescent="0.2">
      <c r="A743" s="230" t="s">
        <v>197</v>
      </c>
      <c r="B743" s="230">
        <v>2616219614</v>
      </c>
      <c r="C743" s="230" t="s">
        <v>1781</v>
      </c>
      <c r="D743" s="230" t="s">
        <v>78</v>
      </c>
      <c r="E743" s="230" t="s">
        <v>198</v>
      </c>
      <c r="F743" s="230" t="s">
        <v>1126</v>
      </c>
      <c r="G743" s="230">
        <v>81</v>
      </c>
      <c r="H743" s="230" t="s">
        <v>213</v>
      </c>
      <c r="I743" s="230" t="s">
        <v>1128</v>
      </c>
      <c r="J743" s="230" t="s">
        <v>1783</v>
      </c>
      <c r="K743" s="230" t="s">
        <v>1960</v>
      </c>
      <c r="L743" s="230" t="s">
        <v>1888</v>
      </c>
      <c r="M743" s="230" t="s">
        <v>2006</v>
      </c>
      <c r="N743" s="230" t="s">
        <v>317</v>
      </c>
      <c r="O743" s="158" t="s">
        <v>61</v>
      </c>
      <c r="P743" s="92"/>
      <c r="Q743" s="146" t="s">
        <v>61</v>
      </c>
      <c r="R743" s="92"/>
      <c r="S743" s="146" t="s">
        <v>61</v>
      </c>
      <c r="T743" s="92"/>
      <c r="U743" s="146" t="s">
        <v>61</v>
      </c>
      <c r="V743" s="92"/>
      <c r="W743" s="146" t="s">
        <v>61</v>
      </c>
      <c r="X743" s="92"/>
      <c r="Y743" s="146" t="s">
        <v>61</v>
      </c>
      <c r="Z743" s="92"/>
      <c r="AA743" s="146" t="s">
        <v>61</v>
      </c>
      <c r="AB743" s="92"/>
      <c r="AC743" s="146" t="s">
        <v>61</v>
      </c>
      <c r="AD743" s="92"/>
      <c r="AE743" s="146" t="s">
        <v>61</v>
      </c>
      <c r="AF743" s="187" t="str">
        <f t="shared" si="47"/>
        <v>NA</v>
      </c>
      <c r="AG743" s="54" t="str">
        <f t="shared" si="50"/>
        <v>NÃO AVALIADO POR FALHA DE SINCRONISMO</v>
      </c>
      <c r="AH743" s="146" t="s">
        <v>204</v>
      </c>
      <c r="AI743" s="210" t="s">
        <v>6</v>
      </c>
      <c r="AJ743" s="97" t="str">
        <f t="shared" si="48"/>
        <v>GUARULHOS</v>
      </c>
      <c r="AK743" s="213" t="s">
        <v>39</v>
      </c>
      <c r="AL743" s="53">
        <v>1.3290591668031038E-2</v>
      </c>
      <c r="AM743" s="53" t="str" cm="1">
        <f t="array" ref="AM743">IF(OR(O743&lt;&gt;"", SUMPRODUCT(($AN$2:$AN$5000=AN743)*($AL$2:$AL$5000&lt;=AL743)) &lt;= (COUNTIF($AN$2:$AN$5000,AN743)*0.5)), "SORTEADO", "-")</f>
        <v>SORTEADO</v>
      </c>
      <c r="AN743" s="230" t="s">
        <v>1888</v>
      </c>
    </row>
    <row r="744" spans="1:40" ht="30" hidden="1" customHeight="1" x14ac:dyDescent="0.2">
      <c r="A744" s="230" t="s">
        <v>197</v>
      </c>
      <c r="B744" s="230">
        <v>2616219754</v>
      </c>
      <c r="C744" s="230" t="s">
        <v>1781</v>
      </c>
      <c r="D744" s="230" t="s">
        <v>78</v>
      </c>
      <c r="E744" s="230" t="s">
        <v>198</v>
      </c>
      <c r="F744" s="230" t="s">
        <v>1126</v>
      </c>
      <c r="G744" s="230">
        <v>73</v>
      </c>
      <c r="H744" s="230"/>
      <c r="I744" s="230" t="s">
        <v>1128</v>
      </c>
      <c r="J744" s="230" t="s">
        <v>1783</v>
      </c>
      <c r="K744" s="230" t="s">
        <v>1960</v>
      </c>
      <c r="L744" s="230" t="s">
        <v>1888</v>
      </c>
      <c r="M744" s="230" t="s">
        <v>2007</v>
      </c>
      <c r="N744" s="230" t="s">
        <v>317</v>
      </c>
      <c r="O744" s="158" t="s">
        <v>61</v>
      </c>
      <c r="P744" s="92"/>
      <c r="Q744" s="146" t="s">
        <v>61</v>
      </c>
      <c r="R744" s="92"/>
      <c r="S744" s="146" t="s">
        <v>61</v>
      </c>
      <c r="T744" s="92"/>
      <c r="U744" s="146" t="s">
        <v>61</v>
      </c>
      <c r="V744" s="92"/>
      <c r="W744" s="146" t="s">
        <v>61</v>
      </c>
      <c r="X744" s="92"/>
      <c r="Y744" s="146" t="s">
        <v>61</v>
      </c>
      <c r="Z744" s="92"/>
      <c r="AA744" s="146" t="s">
        <v>61</v>
      </c>
      <c r="AB744" s="92"/>
      <c r="AC744" s="146" t="s">
        <v>61</v>
      </c>
      <c r="AD744" s="92"/>
      <c r="AE744" s="146" t="s">
        <v>61</v>
      </c>
      <c r="AF744" s="187" t="str">
        <f t="shared" si="47"/>
        <v>NA</v>
      </c>
      <c r="AG744" s="54" t="str">
        <f t="shared" si="50"/>
        <v>NÃO AVALIADO POR FALHA DE SINCRONISMO</v>
      </c>
      <c r="AH744" s="146" t="s">
        <v>204</v>
      </c>
      <c r="AI744" s="210" t="s">
        <v>6</v>
      </c>
      <c r="AJ744" s="97" t="str">
        <f t="shared" si="48"/>
        <v>GUARULHOS</v>
      </c>
      <c r="AK744" s="213" t="s">
        <v>39</v>
      </c>
      <c r="AL744" s="53">
        <v>0.319745742771261</v>
      </c>
      <c r="AM744" s="53" t="str" cm="1">
        <f t="array" ref="AM744">IF(OR(O744&lt;&gt;"", SUMPRODUCT(($AN$2:$AN$5000=AN744)*($AL$2:$AL$5000&lt;=AL744)) &lt;= (COUNTIF($AN$2:$AN$5000,AN744)*0.5)), "SORTEADO", "-")</f>
        <v>SORTEADO</v>
      </c>
      <c r="AN744" s="230" t="s">
        <v>1888</v>
      </c>
    </row>
    <row r="745" spans="1:40" ht="30" hidden="1" customHeight="1" x14ac:dyDescent="0.2">
      <c r="A745" s="230" t="s">
        <v>197</v>
      </c>
      <c r="B745" s="230">
        <v>2617139724</v>
      </c>
      <c r="C745" s="230" t="s">
        <v>1781</v>
      </c>
      <c r="D745" s="230" t="s">
        <v>78</v>
      </c>
      <c r="E745" s="230" t="s">
        <v>198</v>
      </c>
      <c r="F745" s="230" t="s">
        <v>842</v>
      </c>
      <c r="G745" s="230">
        <v>225</v>
      </c>
      <c r="H745" s="230" t="s">
        <v>213</v>
      </c>
      <c r="I745" s="230" t="s">
        <v>301</v>
      </c>
      <c r="J745" s="230" t="s">
        <v>1783</v>
      </c>
      <c r="K745" s="230" t="s">
        <v>1960</v>
      </c>
      <c r="L745" s="230" t="s">
        <v>1888</v>
      </c>
      <c r="M745" s="230" t="s">
        <v>2008</v>
      </c>
      <c r="N745" s="230" t="s">
        <v>317</v>
      </c>
      <c r="O745" s="158" t="s">
        <v>61</v>
      </c>
      <c r="P745" s="92"/>
      <c r="Q745" s="146" t="s">
        <v>61</v>
      </c>
      <c r="R745" s="92"/>
      <c r="S745" s="146" t="s">
        <v>61</v>
      </c>
      <c r="T745" s="92"/>
      <c r="U745" s="146" t="s">
        <v>61</v>
      </c>
      <c r="V745" s="92"/>
      <c r="W745" s="146" t="s">
        <v>61</v>
      </c>
      <c r="X745" s="92"/>
      <c r="Y745" s="146" t="s">
        <v>61</v>
      </c>
      <c r="Z745" s="92"/>
      <c r="AA745" s="146" t="s">
        <v>61</v>
      </c>
      <c r="AB745" s="92"/>
      <c r="AC745" s="146" t="s">
        <v>61</v>
      </c>
      <c r="AD745" s="92"/>
      <c r="AE745" s="146" t="s">
        <v>61</v>
      </c>
      <c r="AF745" s="187" t="str">
        <f t="shared" si="47"/>
        <v>NA</v>
      </c>
      <c r="AG745" s="54" t="str">
        <f t="shared" si="50"/>
        <v>NÃO AVALIADO POR FALHA DE SINCRONISMO</v>
      </c>
      <c r="AH745" s="146" t="s">
        <v>204</v>
      </c>
      <c r="AI745" s="210" t="s">
        <v>6</v>
      </c>
      <c r="AJ745" s="97" t="str">
        <f t="shared" si="48"/>
        <v>GUARULHOS</v>
      </c>
      <c r="AK745" s="213" t="s">
        <v>39</v>
      </c>
      <c r="AL745" s="53">
        <v>0.29714509529466315</v>
      </c>
      <c r="AM745" s="53" t="str" cm="1">
        <f t="array" ref="AM745">IF(OR(O745&lt;&gt;"", SUMPRODUCT(($AN$2:$AN$5000=AN745)*($AL$2:$AL$5000&lt;=AL745)) &lt;= (COUNTIF($AN$2:$AN$5000,AN745)*0.5)), "SORTEADO", "-")</f>
        <v>SORTEADO</v>
      </c>
      <c r="AN745" s="230" t="s">
        <v>1888</v>
      </c>
    </row>
    <row r="746" spans="1:40" ht="30" hidden="1" customHeight="1" x14ac:dyDescent="0.2">
      <c r="A746" s="230" t="s">
        <v>197</v>
      </c>
      <c r="B746" s="230">
        <v>2617140716</v>
      </c>
      <c r="C746" s="230" t="s">
        <v>1781</v>
      </c>
      <c r="D746" s="230" t="s">
        <v>78</v>
      </c>
      <c r="E746" s="230" t="s">
        <v>198</v>
      </c>
      <c r="F746" s="230" t="s">
        <v>553</v>
      </c>
      <c r="G746" s="230">
        <v>75</v>
      </c>
      <c r="H746" s="230" t="s">
        <v>2009</v>
      </c>
      <c r="I746" s="230" t="s">
        <v>554</v>
      </c>
      <c r="J746" s="230" t="s">
        <v>1783</v>
      </c>
      <c r="K746" s="230" t="s">
        <v>1823</v>
      </c>
      <c r="L746" s="230" t="s">
        <v>1888</v>
      </c>
      <c r="M746" s="230" t="s">
        <v>1900</v>
      </c>
      <c r="N746" s="230" t="s">
        <v>317</v>
      </c>
      <c r="O746" s="158"/>
      <c r="P746" s="92"/>
      <c r="Q746" s="146"/>
      <c r="R746" s="92"/>
      <c r="S746" s="146"/>
      <c r="T746" s="92"/>
      <c r="U746" s="146"/>
      <c r="V746" s="92"/>
      <c r="W746" s="146"/>
      <c r="X746" s="92"/>
      <c r="Y746" s="146"/>
      <c r="Z746" s="92"/>
      <c r="AA746" s="146"/>
      <c r="AB746" s="92"/>
      <c r="AC746" s="146"/>
      <c r="AD746" s="92"/>
      <c r="AE746" s="146"/>
      <c r="AF746" s="187" t="str">
        <f t="shared" si="47"/>
        <v/>
      </c>
      <c r="AG746" s="54" t="b">
        <f t="shared" si="50"/>
        <v>0</v>
      </c>
      <c r="AH746" s="146"/>
      <c r="AI746" s="210" t="s">
        <v>6</v>
      </c>
      <c r="AJ746" s="97" t="str">
        <f t="shared" si="48"/>
        <v>GUARULHOS</v>
      </c>
      <c r="AK746" s="213" t="s">
        <v>39</v>
      </c>
      <c r="AL746" s="53">
        <v>0.72496352922925844</v>
      </c>
      <c r="AM746" s="53" t="str" cm="1">
        <f t="array" ref="AM746">IF(OR(O746&lt;&gt;"", SUMPRODUCT(($AN$2:$AN$5000=AN746)*($AL$2:$AL$5000&lt;=AL746)) &lt;= (COUNTIF($AN$2:$AN$5000,AN746)*0.5)), "SORTEADO", "-")</f>
        <v>-</v>
      </c>
      <c r="AN746" s="230" t="s">
        <v>1888</v>
      </c>
    </row>
    <row r="747" spans="1:40" ht="30" hidden="1" customHeight="1" x14ac:dyDescent="0.2">
      <c r="A747" s="230" t="s">
        <v>197</v>
      </c>
      <c r="B747" s="230">
        <v>2616243273</v>
      </c>
      <c r="C747" s="230" t="s">
        <v>1781</v>
      </c>
      <c r="D747" s="230" t="s">
        <v>78</v>
      </c>
      <c r="E747" s="230" t="s">
        <v>198</v>
      </c>
      <c r="F747" s="230" t="s">
        <v>1782</v>
      </c>
      <c r="G747" s="230">
        <v>49</v>
      </c>
      <c r="H747" s="230" t="s">
        <v>390</v>
      </c>
      <c r="I747" s="230" t="s">
        <v>301</v>
      </c>
      <c r="J747" s="230" t="s">
        <v>1783</v>
      </c>
      <c r="K747" s="230" t="s">
        <v>1960</v>
      </c>
      <c r="L747" s="230" t="s">
        <v>1888</v>
      </c>
      <c r="M747" s="230" t="s">
        <v>2010</v>
      </c>
      <c r="N747" s="230" t="s">
        <v>317</v>
      </c>
      <c r="O747" s="158"/>
      <c r="P747" s="92"/>
      <c r="Q747" s="146"/>
      <c r="R747" s="92"/>
      <c r="S747" s="146"/>
      <c r="T747" s="92"/>
      <c r="U747" s="146"/>
      <c r="V747" s="92"/>
      <c r="W747" s="146"/>
      <c r="X747" s="92"/>
      <c r="Y747" s="146"/>
      <c r="Z747" s="92"/>
      <c r="AA747" s="146"/>
      <c r="AB747" s="92"/>
      <c r="AC747" s="146"/>
      <c r="AD747" s="92"/>
      <c r="AE747" s="146"/>
      <c r="AF747" s="187" t="str">
        <f t="shared" si="47"/>
        <v/>
      </c>
      <c r="AG747" s="54" t="b">
        <f t="shared" si="50"/>
        <v>0</v>
      </c>
      <c r="AH747" s="146"/>
      <c r="AI747" s="210" t="s">
        <v>6</v>
      </c>
      <c r="AJ747" s="97" t="str">
        <f t="shared" si="48"/>
        <v>GUARULHOS</v>
      </c>
      <c r="AK747" s="213" t="s">
        <v>39</v>
      </c>
      <c r="AL747" s="53">
        <v>0.53913450613614766</v>
      </c>
      <c r="AM747" s="53" t="str" cm="1">
        <f t="array" ref="AM747">IF(OR(O747&lt;&gt;"", SUMPRODUCT(($AN$2:$AN$5000=AN747)*($AL$2:$AL$5000&lt;=AL747)) &lt;= (COUNTIF($AN$2:$AN$5000,AN747)*0.5)), "SORTEADO", "-")</f>
        <v>-</v>
      </c>
      <c r="AN747" s="230" t="s">
        <v>1888</v>
      </c>
    </row>
    <row r="748" spans="1:40" ht="30" hidden="1" customHeight="1" x14ac:dyDescent="0.2">
      <c r="A748" s="230" t="s">
        <v>197</v>
      </c>
      <c r="B748" s="230">
        <v>2616243665</v>
      </c>
      <c r="C748" s="230" t="s">
        <v>1781</v>
      </c>
      <c r="D748" s="230" t="s">
        <v>78</v>
      </c>
      <c r="E748" s="230" t="s">
        <v>198</v>
      </c>
      <c r="F748" s="230" t="s">
        <v>1782</v>
      </c>
      <c r="G748" s="230">
        <v>49</v>
      </c>
      <c r="H748" s="230" t="s">
        <v>2011</v>
      </c>
      <c r="I748" s="230" t="s">
        <v>301</v>
      </c>
      <c r="J748" s="230" t="s">
        <v>1783</v>
      </c>
      <c r="K748" s="230" t="s">
        <v>2012</v>
      </c>
      <c r="L748" s="230" t="s">
        <v>1888</v>
      </c>
      <c r="M748" s="230" t="s">
        <v>2013</v>
      </c>
      <c r="N748" s="230" t="s">
        <v>317</v>
      </c>
      <c r="O748" s="158" t="s">
        <v>61</v>
      </c>
      <c r="P748" s="92"/>
      <c r="Q748" s="146" t="s">
        <v>61</v>
      </c>
      <c r="R748" s="92"/>
      <c r="S748" s="146" t="s">
        <v>61</v>
      </c>
      <c r="T748" s="92"/>
      <c r="U748" s="146" t="s">
        <v>61</v>
      </c>
      <c r="V748" s="92"/>
      <c r="W748" s="146" t="s">
        <v>61</v>
      </c>
      <c r="X748" s="92"/>
      <c r="Y748" s="146" t="s">
        <v>61</v>
      </c>
      <c r="Z748" s="92"/>
      <c r="AA748" s="146" t="s">
        <v>61</v>
      </c>
      <c r="AB748" s="92"/>
      <c r="AC748" s="146" t="s">
        <v>61</v>
      </c>
      <c r="AD748" s="92"/>
      <c r="AE748" s="146" t="s">
        <v>61</v>
      </c>
      <c r="AF748" s="187" t="str">
        <f t="shared" si="47"/>
        <v>NA</v>
      </c>
      <c r="AG748" s="54" t="str">
        <f t="shared" si="50"/>
        <v>NÃO AVALIADO POR FALHA DE SINCRONISMO</v>
      </c>
      <c r="AH748" s="146" t="s">
        <v>204</v>
      </c>
      <c r="AI748" s="210" t="s">
        <v>6</v>
      </c>
      <c r="AJ748" s="97" t="str">
        <f t="shared" si="48"/>
        <v>GUARULHOS</v>
      </c>
      <c r="AK748" s="213" t="s">
        <v>39</v>
      </c>
      <c r="AL748" s="53">
        <v>0.16233174043452192</v>
      </c>
      <c r="AM748" s="53" t="str" cm="1">
        <f t="array" ref="AM748">IF(OR(O748&lt;&gt;"", SUMPRODUCT(($AN$2:$AN$5000=AN748)*($AL$2:$AL$5000&lt;=AL748)) &lt;= (COUNTIF($AN$2:$AN$5000,AN748)*0.5)), "SORTEADO", "-")</f>
        <v>SORTEADO</v>
      </c>
      <c r="AN748" s="230" t="s">
        <v>1888</v>
      </c>
    </row>
    <row r="749" spans="1:40" ht="30" hidden="1" customHeight="1" x14ac:dyDescent="0.2">
      <c r="A749" s="230" t="s">
        <v>197</v>
      </c>
      <c r="B749" s="230">
        <v>2616195354</v>
      </c>
      <c r="C749" s="230" t="s">
        <v>1781</v>
      </c>
      <c r="D749" s="230" t="s">
        <v>78</v>
      </c>
      <c r="E749" s="230" t="s">
        <v>198</v>
      </c>
      <c r="F749" s="230" t="s">
        <v>553</v>
      </c>
      <c r="G749" s="230">
        <v>109</v>
      </c>
      <c r="H749" s="230" t="s">
        <v>2014</v>
      </c>
      <c r="I749" s="230" t="s">
        <v>554</v>
      </c>
      <c r="J749" s="230" t="s">
        <v>1783</v>
      </c>
      <c r="K749" s="230" t="s">
        <v>1960</v>
      </c>
      <c r="L749" s="230" t="s">
        <v>1888</v>
      </c>
      <c r="M749" s="230" t="s">
        <v>2015</v>
      </c>
      <c r="N749" s="230" t="s">
        <v>317</v>
      </c>
      <c r="O749" s="158"/>
      <c r="P749" s="92"/>
      <c r="Q749" s="146"/>
      <c r="R749" s="92"/>
      <c r="S749" s="146"/>
      <c r="T749" s="92"/>
      <c r="U749" s="146"/>
      <c r="V749" s="92"/>
      <c r="W749" s="146"/>
      <c r="X749" s="92"/>
      <c r="Y749" s="146"/>
      <c r="Z749" s="92"/>
      <c r="AA749" s="146"/>
      <c r="AB749" s="92"/>
      <c r="AC749" s="146"/>
      <c r="AD749" s="92"/>
      <c r="AE749" s="146"/>
      <c r="AF749" s="187" t="str">
        <f t="shared" si="47"/>
        <v/>
      </c>
      <c r="AG749" s="54" t="b">
        <f t="shared" si="50"/>
        <v>0</v>
      </c>
      <c r="AH749" s="146"/>
      <c r="AI749" s="210" t="s">
        <v>6</v>
      </c>
      <c r="AJ749" s="97" t="str">
        <f t="shared" si="48"/>
        <v>GUARULHOS</v>
      </c>
      <c r="AK749" s="213" t="s">
        <v>39</v>
      </c>
      <c r="AL749" s="53">
        <v>0.53538403213446251</v>
      </c>
      <c r="AM749" s="53" t="str" cm="1">
        <f t="array" ref="AM749">IF(OR(O749&lt;&gt;"", SUMPRODUCT(($AN$2:$AN$5000=AN749)*($AL$2:$AL$5000&lt;=AL749)) &lt;= (COUNTIF($AN$2:$AN$5000,AN749)*0.5)), "SORTEADO", "-")</f>
        <v>-</v>
      </c>
      <c r="AN749" s="230" t="s">
        <v>1888</v>
      </c>
    </row>
    <row r="750" spans="1:40" ht="30" hidden="1" customHeight="1" x14ac:dyDescent="0.2">
      <c r="A750" s="230" t="s">
        <v>197</v>
      </c>
      <c r="B750" s="230">
        <v>2617139398</v>
      </c>
      <c r="C750" s="230" t="s">
        <v>1781</v>
      </c>
      <c r="D750" s="230" t="s">
        <v>78</v>
      </c>
      <c r="E750" s="230" t="s">
        <v>198</v>
      </c>
      <c r="F750" s="230" t="s">
        <v>553</v>
      </c>
      <c r="G750" s="230">
        <v>75</v>
      </c>
      <c r="H750" s="230" t="s">
        <v>2016</v>
      </c>
      <c r="I750" s="230" t="s">
        <v>554</v>
      </c>
      <c r="J750" s="230" t="s">
        <v>1783</v>
      </c>
      <c r="K750" s="230" t="s">
        <v>2000</v>
      </c>
      <c r="L750" s="230" t="s">
        <v>1888</v>
      </c>
      <c r="M750" s="230" t="s">
        <v>2017</v>
      </c>
      <c r="N750" s="230" t="s">
        <v>317</v>
      </c>
      <c r="O750" s="158" t="s">
        <v>61</v>
      </c>
      <c r="P750" s="92"/>
      <c r="Q750" s="146" t="s">
        <v>61</v>
      </c>
      <c r="R750" s="92"/>
      <c r="S750" s="146" t="s">
        <v>61</v>
      </c>
      <c r="T750" s="92"/>
      <c r="U750" s="146" t="s">
        <v>61</v>
      </c>
      <c r="V750" s="92"/>
      <c r="W750" s="146" t="s">
        <v>61</v>
      </c>
      <c r="X750" s="92"/>
      <c r="Y750" s="146" t="s">
        <v>61</v>
      </c>
      <c r="Z750" s="92"/>
      <c r="AA750" s="146" t="s">
        <v>61</v>
      </c>
      <c r="AB750" s="92"/>
      <c r="AC750" s="146" t="s">
        <v>61</v>
      </c>
      <c r="AD750" s="92"/>
      <c r="AE750" s="146" t="s">
        <v>61</v>
      </c>
      <c r="AF750" s="187" t="str">
        <f t="shared" si="47"/>
        <v>NA</v>
      </c>
      <c r="AG750" s="54" t="str">
        <f t="shared" si="50"/>
        <v>NÃO AVALIADO POR FALHA DE SINCRONISMO</v>
      </c>
      <c r="AH750" s="146" t="s">
        <v>204</v>
      </c>
      <c r="AI750" s="210" t="s">
        <v>6</v>
      </c>
      <c r="AJ750" s="97" t="str">
        <f t="shared" si="48"/>
        <v>GUARULHOS</v>
      </c>
      <c r="AK750" s="213" t="s">
        <v>39</v>
      </c>
      <c r="AL750" s="53">
        <v>0.28498339064884959</v>
      </c>
      <c r="AM750" s="53" t="str" cm="1">
        <f t="array" ref="AM750">IF(OR(O750&lt;&gt;"", SUMPRODUCT(($AN$2:$AN$5000=AN750)*($AL$2:$AL$5000&lt;=AL750)) &lt;= (COUNTIF($AN$2:$AN$5000,AN750)*0.5)), "SORTEADO", "-")</f>
        <v>SORTEADO</v>
      </c>
      <c r="AN750" s="230" t="s">
        <v>1888</v>
      </c>
    </row>
    <row r="751" spans="1:40" ht="30" hidden="1" customHeight="1" x14ac:dyDescent="0.2">
      <c r="A751" s="230" t="s">
        <v>197</v>
      </c>
      <c r="B751" s="230">
        <v>2617139520</v>
      </c>
      <c r="C751" s="230" t="s">
        <v>1781</v>
      </c>
      <c r="D751" s="230" t="s">
        <v>78</v>
      </c>
      <c r="E751" s="230" t="s">
        <v>198</v>
      </c>
      <c r="F751" s="230" t="s">
        <v>1135</v>
      </c>
      <c r="G751" s="230">
        <v>10</v>
      </c>
      <c r="H751" s="230" t="s">
        <v>276</v>
      </c>
      <c r="I751" s="230" t="s">
        <v>1128</v>
      </c>
      <c r="J751" s="230" t="s">
        <v>1783</v>
      </c>
      <c r="K751" s="230" t="s">
        <v>1960</v>
      </c>
      <c r="L751" s="230" t="s">
        <v>1888</v>
      </c>
      <c r="M751" s="230" t="s">
        <v>2018</v>
      </c>
      <c r="N751" s="230" t="s">
        <v>317</v>
      </c>
      <c r="O751" s="158" t="s">
        <v>61</v>
      </c>
      <c r="P751" s="92"/>
      <c r="Q751" s="146" t="s">
        <v>61</v>
      </c>
      <c r="R751" s="92"/>
      <c r="S751" s="146" t="s">
        <v>61</v>
      </c>
      <c r="T751" s="92"/>
      <c r="U751" s="146" t="s">
        <v>61</v>
      </c>
      <c r="V751" s="92"/>
      <c r="W751" s="146" t="s">
        <v>61</v>
      </c>
      <c r="X751" s="92"/>
      <c r="Y751" s="146" t="s">
        <v>61</v>
      </c>
      <c r="Z751" s="92"/>
      <c r="AA751" s="146" t="s">
        <v>61</v>
      </c>
      <c r="AB751" s="92"/>
      <c r="AC751" s="146" t="s">
        <v>61</v>
      </c>
      <c r="AD751" s="92"/>
      <c r="AE751" s="146" t="s">
        <v>61</v>
      </c>
      <c r="AF751" s="187" t="str">
        <f t="shared" si="47"/>
        <v>NA</v>
      </c>
      <c r="AG751" s="54" t="str">
        <f t="shared" si="50"/>
        <v>NÃO AVALIADO POR FALHA DE SINCRONISMO</v>
      </c>
      <c r="AH751" s="146" t="s">
        <v>204</v>
      </c>
      <c r="AI751" s="210" t="s">
        <v>6</v>
      </c>
      <c r="AJ751" s="97" t="str">
        <f t="shared" si="48"/>
        <v>GUARULHOS</v>
      </c>
      <c r="AK751" s="213" t="s">
        <v>39</v>
      </c>
      <c r="AL751" s="53">
        <v>3.6294412605834325E-2</v>
      </c>
      <c r="AM751" s="53" t="str" cm="1">
        <f t="array" ref="AM751">IF(OR(O751&lt;&gt;"", SUMPRODUCT(($AN$2:$AN$5000=AN751)*($AL$2:$AL$5000&lt;=AL751)) &lt;= (COUNTIF($AN$2:$AN$5000,AN751)*0.5)), "SORTEADO", "-")</f>
        <v>SORTEADO</v>
      </c>
      <c r="AN751" s="230" t="s">
        <v>1888</v>
      </c>
    </row>
    <row r="752" spans="1:40" ht="30" hidden="1" customHeight="1" x14ac:dyDescent="0.2">
      <c r="A752" s="230" t="s">
        <v>197</v>
      </c>
      <c r="B752" s="230">
        <v>2617182050</v>
      </c>
      <c r="C752" s="230" t="s">
        <v>100</v>
      </c>
      <c r="D752" s="230" t="s">
        <v>78</v>
      </c>
      <c r="E752" s="230" t="s">
        <v>198</v>
      </c>
      <c r="F752" s="230" t="s">
        <v>2019</v>
      </c>
      <c r="G752" s="230">
        <v>1385</v>
      </c>
      <c r="H752" s="230"/>
      <c r="I752" s="230" t="s">
        <v>445</v>
      </c>
      <c r="J752" s="230" t="s">
        <v>248</v>
      </c>
      <c r="K752" s="230" t="s">
        <v>2020</v>
      </c>
      <c r="L752" s="230" t="s">
        <v>1888</v>
      </c>
      <c r="M752" s="230" t="s">
        <v>2021</v>
      </c>
      <c r="N752" s="230" t="s">
        <v>237</v>
      </c>
      <c r="O752" s="158"/>
      <c r="P752" s="92"/>
      <c r="Q752" s="146"/>
      <c r="R752" s="92"/>
      <c r="S752" s="146"/>
      <c r="T752" s="92"/>
      <c r="U752" s="146"/>
      <c r="V752" s="92"/>
      <c r="W752" s="146"/>
      <c r="X752" s="92"/>
      <c r="Y752" s="146"/>
      <c r="Z752" s="92"/>
      <c r="AA752" s="146"/>
      <c r="AB752" s="92"/>
      <c r="AC752" s="146"/>
      <c r="AD752" s="92"/>
      <c r="AE752" s="146"/>
      <c r="AF752" s="187" t="str">
        <f t="shared" si="47"/>
        <v/>
      </c>
      <c r="AG752" s="54" t="b">
        <f t="shared" si="50"/>
        <v>0</v>
      </c>
      <c r="AH752" s="146"/>
      <c r="AI752" s="210" t="s">
        <v>6</v>
      </c>
      <c r="AJ752" s="97" t="str">
        <f t="shared" si="48"/>
        <v>GUARULHOS</v>
      </c>
      <c r="AK752" s="213" t="s">
        <v>39</v>
      </c>
      <c r="AL752" s="53">
        <v>0.58705581355689251</v>
      </c>
      <c r="AM752" s="53" t="str" cm="1">
        <f t="array" ref="AM752">IF(OR(O752&lt;&gt;"", SUMPRODUCT(($AN$2:$AN$5000=AN752)*($AL$2:$AL$5000&lt;=AL752)) &lt;= (COUNTIF($AN$2:$AN$5000,AN752)*0.5)), "SORTEADO", "-")</f>
        <v>-</v>
      </c>
      <c r="AN752" s="230" t="s">
        <v>1888</v>
      </c>
    </row>
    <row r="753" spans="1:40" ht="30" hidden="1" customHeight="1" x14ac:dyDescent="0.2">
      <c r="A753" s="230" t="s">
        <v>197</v>
      </c>
      <c r="B753" s="230">
        <v>2617177687</v>
      </c>
      <c r="C753" s="230" t="s">
        <v>105</v>
      </c>
      <c r="D753" s="230" t="s">
        <v>80</v>
      </c>
      <c r="E753" s="230" t="s">
        <v>198</v>
      </c>
      <c r="F753" s="230" t="s">
        <v>1126</v>
      </c>
      <c r="G753" s="230">
        <v>67</v>
      </c>
      <c r="H753" s="230" t="s">
        <v>2022</v>
      </c>
      <c r="I753" s="230" t="s">
        <v>1128</v>
      </c>
      <c r="J753" s="230" t="s">
        <v>226</v>
      </c>
      <c r="K753" s="230" t="s">
        <v>1998</v>
      </c>
      <c r="L753" s="230" t="s">
        <v>1888</v>
      </c>
      <c r="M753" s="230" t="s">
        <v>2023</v>
      </c>
      <c r="N753" s="230" t="s">
        <v>317</v>
      </c>
      <c r="O753" s="158" t="s">
        <v>61</v>
      </c>
      <c r="P753" s="92"/>
      <c r="Q753" s="146" t="s">
        <v>61</v>
      </c>
      <c r="R753" s="92"/>
      <c r="S753" s="146" t="s">
        <v>61</v>
      </c>
      <c r="T753" s="92"/>
      <c r="U753" s="146" t="s">
        <v>61</v>
      </c>
      <c r="V753" s="92"/>
      <c r="W753" s="146" t="s">
        <v>61</v>
      </c>
      <c r="X753" s="92"/>
      <c r="Y753" s="146" t="s">
        <v>61</v>
      </c>
      <c r="Z753" s="92"/>
      <c r="AA753" s="146" t="s">
        <v>61</v>
      </c>
      <c r="AB753" s="92"/>
      <c r="AC753" s="146" t="s">
        <v>61</v>
      </c>
      <c r="AD753" s="92"/>
      <c r="AE753" s="146" t="s">
        <v>61</v>
      </c>
      <c r="AF753" s="187" t="str">
        <f t="shared" si="47"/>
        <v>NA</v>
      </c>
      <c r="AG753" s="54" t="str">
        <f t="shared" si="50"/>
        <v>NÃO AVALIADO POR FALHA DE SINCRONISMO</v>
      </c>
      <c r="AH753" s="146" t="s">
        <v>204</v>
      </c>
      <c r="AI753" s="210" t="s">
        <v>6</v>
      </c>
      <c r="AJ753" s="97" t="str">
        <f t="shared" si="48"/>
        <v>GUARULHOS</v>
      </c>
      <c r="AK753" s="213" t="s">
        <v>39</v>
      </c>
      <c r="AL753" s="53">
        <v>0.14020308028606032</v>
      </c>
      <c r="AM753" s="53" t="str" cm="1">
        <f t="array" ref="AM753">IF(OR(O753&lt;&gt;"", SUMPRODUCT(($AN$2:$AN$5000=AN753)*($AL$2:$AL$5000&lt;=AL753)) &lt;= (COUNTIF($AN$2:$AN$5000,AN753)*0.5)), "SORTEADO", "-")</f>
        <v>SORTEADO</v>
      </c>
      <c r="AN753" s="230" t="s">
        <v>1888</v>
      </c>
    </row>
    <row r="754" spans="1:40" ht="30" hidden="1" customHeight="1" x14ac:dyDescent="0.2">
      <c r="A754" s="230" t="s">
        <v>197</v>
      </c>
      <c r="B754" s="230">
        <v>2691321090</v>
      </c>
      <c r="C754" s="230" t="s">
        <v>98</v>
      </c>
      <c r="D754" s="230" t="s">
        <v>80</v>
      </c>
      <c r="E754" s="230" t="s">
        <v>198</v>
      </c>
      <c r="F754" s="230" t="s">
        <v>2024</v>
      </c>
      <c r="G754" s="230">
        <v>51</v>
      </c>
      <c r="H754" s="230" t="s">
        <v>2025</v>
      </c>
      <c r="I754" s="230" t="s">
        <v>253</v>
      </c>
      <c r="J754" s="230" t="s">
        <v>297</v>
      </c>
      <c r="K754" s="230" t="s">
        <v>2026</v>
      </c>
      <c r="L754" s="230" t="s">
        <v>1888</v>
      </c>
      <c r="M754" s="230" t="s">
        <v>2027</v>
      </c>
      <c r="N754" s="230" t="s">
        <v>241</v>
      </c>
      <c r="O754" s="158"/>
      <c r="P754" s="92"/>
      <c r="Q754" s="146"/>
      <c r="R754" s="92"/>
      <c r="S754" s="146"/>
      <c r="T754" s="92"/>
      <c r="U754" s="146"/>
      <c r="V754" s="92"/>
      <c r="W754" s="146"/>
      <c r="X754" s="92"/>
      <c r="Y754" s="146"/>
      <c r="Z754" s="92"/>
      <c r="AA754" s="146"/>
      <c r="AB754" s="92"/>
      <c r="AC754" s="146"/>
      <c r="AD754" s="92"/>
      <c r="AE754" s="146"/>
      <c r="AF754" s="187" t="str">
        <f t="shared" si="47"/>
        <v/>
      </c>
      <c r="AG754" s="54" t="b">
        <f t="shared" si="50"/>
        <v>0</v>
      </c>
      <c r="AH754" s="146"/>
      <c r="AI754" s="210" t="s">
        <v>6</v>
      </c>
      <c r="AJ754" s="97" t="str">
        <f t="shared" si="48"/>
        <v>GUARULHOS</v>
      </c>
      <c r="AK754" s="213" t="s">
        <v>39</v>
      </c>
      <c r="AL754" s="53">
        <v>0.57982827009360749</v>
      </c>
      <c r="AM754" s="53" t="str" cm="1">
        <f t="array" ref="AM754">IF(OR(O754&lt;&gt;"", SUMPRODUCT(($AN$2:$AN$5000=AN754)*($AL$2:$AL$5000&lt;=AL754)) &lt;= (COUNTIF($AN$2:$AN$5000,AN754)*0.5)), "SORTEADO", "-")</f>
        <v>-</v>
      </c>
      <c r="AN754" s="230" t="s">
        <v>1888</v>
      </c>
    </row>
    <row r="755" spans="1:40" ht="30" hidden="1" customHeight="1" x14ac:dyDescent="0.2">
      <c r="A755" s="230" t="s">
        <v>197</v>
      </c>
      <c r="B755" s="230">
        <v>2617275054</v>
      </c>
      <c r="C755" s="230" t="s">
        <v>106</v>
      </c>
      <c r="D755" s="230" t="s">
        <v>80</v>
      </c>
      <c r="E755" s="230" t="s">
        <v>198</v>
      </c>
      <c r="F755" s="230" t="s">
        <v>1927</v>
      </c>
      <c r="G755" s="230">
        <v>501</v>
      </c>
      <c r="H755" s="230" t="s">
        <v>2028</v>
      </c>
      <c r="I755" s="230" t="s">
        <v>436</v>
      </c>
      <c r="J755" s="230" t="s">
        <v>259</v>
      </c>
      <c r="K755" s="230" t="s">
        <v>2029</v>
      </c>
      <c r="L755" s="230" t="s">
        <v>1888</v>
      </c>
      <c r="M755" s="230" t="s">
        <v>2030</v>
      </c>
      <c r="N755" s="230" t="s">
        <v>241</v>
      </c>
      <c r="O755" s="158"/>
      <c r="P755" s="92"/>
      <c r="Q755" s="146"/>
      <c r="R755" s="92"/>
      <c r="S755" s="146"/>
      <c r="T755" s="92"/>
      <c r="U755" s="146"/>
      <c r="V755" s="92"/>
      <c r="W755" s="146"/>
      <c r="X755" s="92"/>
      <c r="Y755" s="146"/>
      <c r="Z755" s="92"/>
      <c r="AA755" s="146"/>
      <c r="AB755" s="92"/>
      <c r="AC755" s="146"/>
      <c r="AD755" s="92"/>
      <c r="AE755" s="146"/>
      <c r="AF755" s="187" t="str">
        <f t="shared" si="47"/>
        <v/>
      </c>
      <c r="AG755" s="54" t="b">
        <f t="shared" si="50"/>
        <v>0</v>
      </c>
      <c r="AH755" s="146"/>
      <c r="AI755" s="210" t="s">
        <v>6</v>
      </c>
      <c r="AJ755" s="97" t="str">
        <f t="shared" si="48"/>
        <v>GUARULHOS</v>
      </c>
      <c r="AK755" s="213" t="s">
        <v>39</v>
      </c>
      <c r="AL755" s="53">
        <v>0.77186839742337132</v>
      </c>
      <c r="AM755" s="53" t="str" cm="1">
        <f t="array" ref="AM755">IF(OR(O755&lt;&gt;"", SUMPRODUCT(($AN$2:$AN$5000=AN755)*($AL$2:$AL$5000&lt;=AL755)) &lt;= (COUNTIF($AN$2:$AN$5000,AN755)*0.5)), "SORTEADO", "-")</f>
        <v>-</v>
      </c>
      <c r="AN755" s="230" t="s">
        <v>1888</v>
      </c>
    </row>
    <row r="756" spans="1:40" ht="30" customHeight="1" x14ac:dyDescent="0.2">
      <c r="A756" s="230" t="s">
        <v>197</v>
      </c>
      <c r="B756" s="230">
        <v>2617118452</v>
      </c>
      <c r="C756" s="230" t="s">
        <v>99</v>
      </c>
      <c r="D756" s="230" t="s">
        <v>80</v>
      </c>
      <c r="E756" s="230" t="s">
        <v>198</v>
      </c>
      <c r="F756" s="230" t="s">
        <v>759</v>
      </c>
      <c r="G756" s="230">
        <v>983</v>
      </c>
      <c r="H756" s="230"/>
      <c r="I756" s="230" t="s">
        <v>2031</v>
      </c>
      <c r="J756" s="230" t="s">
        <v>305</v>
      </c>
      <c r="K756" s="230"/>
      <c r="L756" s="230" t="s">
        <v>1888</v>
      </c>
      <c r="M756" s="230" t="s">
        <v>2032</v>
      </c>
      <c r="N756" s="230" t="s">
        <v>263</v>
      </c>
      <c r="O756" s="157" t="s">
        <v>204</v>
      </c>
      <c r="P756" s="143"/>
      <c r="Q756" s="144" t="s">
        <v>204</v>
      </c>
      <c r="R756" s="143"/>
      <c r="S756" s="144" t="s">
        <v>204</v>
      </c>
      <c r="T756" s="143"/>
      <c r="U756" s="144" t="s">
        <v>204</v>
      </c>
      <c r="V756" s="143"/>
      <c r="W756" s="144" t="s">
        <v>204</v>
      </c>
      <c r="X756" s="143"/>
      <c r="Y756" s="144" t="s">
        <v>204</v>
      </c>
      <c r="Z756" s="143"/>
      <c r="AA756" s="144" t="s">
        <v>204</v>
      </c>
      <c r="AB756" s="143"/>
      <c r="AC756" s="144" t="s">
        <v>204</v>
      </c>
      <c r="AD756" s="56"/>
      <c r="AE756" s="144" t="s">
        <v>204</v>
      </c>
      <c r="AF756" s="187" t="str">
        <f t="shared" si="47"/>
        <v>C</v>
      </c>
      <c r="AG756" s="54" t="str">
        <f t="shared" si="50"/>
        <v>UTILIZOU O PDA CORRETAMENTE</v>
      </c>
      <c r="AH756" s="144" t="s">
        <v>204</v>
      </c>
      <c r="AI756" s="210" t="s">
        <v>6</v>
      </c>
      <c r="AJ756" s="97" t="str">
        <f t="shared" si="48"/>
        <v>GUARULHOS</v>
      </c>
      <c r="AK756" s="213" t="s">
        <v>39</v>
      </c>
      <c r="AL756" s="53">
        <v>0.21921884917686663</v>
      </c>
      <c r="AM756" s="53" t="str" cm="1">
        <f t="array" ref="AM756">IF(OR(O756&lt;&gt;"", SUMPRODUCT(($AN$2:$AN$5000=AN756)*($AL$2:$AL$5000&lt;=AL756)) &lt;= (COUNTIF($AN$2:$AN$5000,AN756)*0.5)), "SORTEADO", "-")</f>
        <v>SORTEADO</v>
      </c>
      <c r="AN756" s="230" t="s">
        <v>1888</v>
      </c>
    </row>
    <row r="757" spans="1:40" ht="30" customHeight="1" x14ac:dyDescent="0.2">
      <c r="A757" s="230" t="s">
        <v>197</v>
      </c>
      <c r="B757" s="230">
        <v>2617125387</v>
      </c>
      <c r="C757" s="230" t="s">
        <v>102</v>
      </c>
      <c r="D757" s="230" t="s">
        <v>80</v>
      </c>
      <c r="E757" s="230" t="s">
        <v>198</v>
      </c>
      <c r="F757" s="230" t="s">
        <v>2033</v>
      </c>
      <c r="G757" s="230">
        <v>126</v>
      </c>
      <c r="H757" s="230" t="s">
        <v>213</v>
      </c>
      <c r="I757" s="230" t="s">
        <v>797</v>
      </c>
      <c r="J757" s="230" t="s">
        <v>259</v>
      </c>
      <c r="K757" s="230" t="s">
        <v>1040</v>
      </c>
      <c r="L757" s="230" t="s">
        <v>1888</v>
      </c>
      <c r="M757" s="230" t="s">
        <v>2034</v>
      </c>
      <c r="N757" s="230" t="s">
        <v>432</v>
      </c>
      <c r="O757" s="158" t="s">
        <v>204</v>
      </c>
      <c r="P757" s="92"/>
      <c r="Q757" s="146" t="s">
        <v>204</v>
      </c>
      <c r="R757" s="92"/>
      <c r="S757" s="146" t="s">
        <v>204</v>
      </c>
      <c r="T757" s="92"/>
      <c r="U757" s="146" t="s">
        <v>204</v>
      </c>
      <c r="V757" s="92"/>
      <c r="W757" s="146" t="s">
        <v>204</v>
      </c>
      <c r="X757" s="92"/>
      <c r="Y757" s="146" t="s">
        <v>61</v>
      </c>
      <c r="Z757" s="92"/>
      <c r="AA757" s="146" t="s">
        <v>204</v>
      </c>
      <c r="AB757" s="92"/>
      <c r="AC757" s="146" t="s">
        <v>204</v>
      </c>
      <c r="AD757" s="92"/>
      <c r="AE757" s="146" t="s">
        <v>204</v>
      </c>
      <c r="AF757" s="187" t="str">
        <f t="shared" si="47"/>
        <v>C</v>
      </c>
      <c r="AG757" s="54" t="str">
        <f t="shared" si="50"/>
        <v>UTILIZOU O PDA CORRETAMENTE</v>
      </c>
      <c r="AH757" s="144" t="s">
        <v>204</v>
      </c>
      <c r="AI757" s="210" t="s">
        <v>6</v>
      </c>
      <c r="AJ757" s="97" t="str">
        <f t="shared" si="48"/>
        <v>GUARULHOS</v>
      </c>
      <c r="AK757" s="213" t="s">
        <v>39</v>
      </c>
      <c r="AL757" s="53">
        <v>9.124957975645176E-2</v>
      </c>
      <c r="AM757" s="53" t="str" cm="1">
        <f t="array" ref="AM757">IF(OR(O757&lt;&gt;"", SUMPRODUCT(($AN$2:$AN$5000=AN757)*($AL$2:$AL$5000&lt;=AL757)) &lt;= (COUNTIF($AN$2:$AN$5000,AN757)*0.5)), "SORTEADO", "-")</f>
        <v>SORTEADO</v>
      </c>
      <c r="AN757" s="230" t="s">
        <v>1888</v>
      </c>
    </row>
    <row r="758" spans="1:40" ht="30" hidden="1" customHeight="1" x14ac:dyDescent="0.2">
      <c r="A758" s="230" t="s">
        <v>197</v>
      </c>
      <c r="B758" s="230">
        <v>2617290312</v>
      </c>
      <c r="C758" s="230" t="s">
        <v>105</v>
      </c>
      <c r="D758" s="230" t="s">
        <v>80</v>
      </c>
      <c r="E758" s="230" t="s">
        <v>198</v>
      </c>
      <c r="F758" s="230" t="s">
        <v>2035</v>
      </c>
      <c r="G758" s="230">
        <v>159</v>
      </c>
      <c r="H758" s="230"/>
      <c r="I758" s="230" t="s">
        <v>730</v>
      </c>
      <c r="J758" s="230" t="s">
        <v>226</v>
      </c>
      <c r="K758" s="230" t="s">
        <v>274</v>
      </c>
      <c r="L758" s="230" t="s">
        <v>1888</v>
      </c>
      <c r="M758" s="230" t="s">
        <v>2036</v>
      </c>
      <c r="N758" s="230" t="s">
        <v>237</v>
      </c>
      <c r="O758" s="158"/>
      <c r="P758" s="92"/>
      <c r="Q758" s="146"/>
      <c r="R758" s="92"/>
      <c r="S758" s="146"/>
      <c r="T758" s="92"/>
      <c r="U758" s="146"/>
      <c r="V758" s="92"/>
      <c r="W758" s="146"/>
      <c r="X758" s="92"/>
      <c r="Y758" s="146"/>
      <c r="Z758" s="92"/>
      <c r="AA758" s="146"/>
      <c r="AB758" s="92"/>
      <c r="AC758" s="146"/>
      <c r="AD758" s="92"/>
      <c r="AE758" s="146"/>
      <c r="AF758" s="187" t="str">
        <f t="shared" si="47"/>
        <v/>
      </c>
      <c r="AG758" s="54" t="b">
        <f t="shared" si="50"/>
        <v>0</v>
      </c>
      <c r="AH758" s="146"/>
      <c r="AI758" s="210" t="s">
        <v>6</v>
      </c>
      <c r="AJ758" s="97" t="str">
        <f t="shared" si="48"/>
        <v>GUARULHOS</v>
      </c>
      <c r="AK758" s="213" t="s">
        <v>39</v>
      </c>
      <c r="AL758" s="53">
        <v>0.4876827848559987</v>
      </c>
      <c r="AM758" s="53" t="str" cm="1">
        <f t="array" ref="AM758">IF(OR(O758&lt;&gt;"", SUMPRODUCT(($AN$2:$AN$5000=AN758)*($AL$2:$AL$5000&lt;=AL758)) &lt;= (COUNTIF($AN$2:$AN$5000,AN758)*0.5)), "SORTEADO", "-")</f>
        <v>-</v>
      </c>
      <c r="AN758" s="230" t="s">
        <v>1888</v>
      </c>
    </row>
    <row r="759" spans="1:40" ht="30" customHeight="1" x14ac:dyDescent="0.2">
      <c r="A759" s="230" t="s">
        <v>197</v>
      </c>
      <c r="B759" s="230">
        <v>2617297982</v>
      </c>
      <c r="C759" s="230" t="s">
        <v>100</v>
      </c>
      <c r="D759" s="230" t="s">
        <v>78</v>
      </c>
      <c r="E759" s="230" t="s">
        <v>198</v>
      </c>
      <c r="F759" s="230" t="s">
        <v>705</v>
      </c>
      <c r="G759" s="230">
        <v>128</v>
      </c>
      <c r="H759" s="230" t="s">
        <v>2037</v>
      </c>
      <c r="I759" s="230" t="s">
        <v>391</v>
      </c>
      <c r="J759" s="230" t="s">
        <v>248</v>
      </c>
      <c r="K759" s="230" t="s">
        <v>2038</v>
      </c>
      <c r="L759" s="230" t="s">
        <v>1888</v>
      </c>
      <c r="M759" s="230" t="s">
        <v>1994</v>
      </c>
      <c r="N759" s="230" t="s">
        <v>408</v>
      </c>
      <c r="O759" s="157" t="s">
        <v>204</v>
      </c>
      <c r="P759" s="143"/>
      <c r="Q759" s="144" t="s">
        <v>204</v>
      </c>
      <c r="R759" s="143"/>
      <c r="S759" s="144" t="s">
        <v>204</v>
      </c>
      <c r="T759" s="143"/>
      <c r="U759" s="144" t="s">
        <v>204</v>
      </c>
      <c r="V759" s="143"/>
      <c r="W759" s="144" t="s">
        <v>204</v>
      </c>
      <c r="X759" s="143"/>
      <c r="Y759" s="144" t="s">
        <v>204</v>
      </c>
      <c r="Z759" s="143"/>
      <c r="AA759" s="144" t="s">
        <v>204</v>
      </c>
      <c r="AB759" s="143"/>
      <c r="AC759" s="144" t="s">
        <v>204</v>
      </c>
      <c r="AD759" s="56"/>
      <c r="AE759" s="144" t="s">
        <v>204</v>
      </c>
      <c r="AF759" s="187" t="str">
        <f t="shared" si="47"/>
        <v>C</v>
      </c>
      <c r="AG759" s="54" t="str">
        <f t="shared" si="50"/>
        <v>UTILIZOU O PDA CORRETAMENTE</v>
      </c>
      <c r="AH759" s="144" t="s">
        <v>204</v>
      </c>
      <c r="AI759" s="210" t="s">
        <v>6</v>
      </c>
      <c r="AJ759" s="97" t="str">
        <f t="shared" si="48"/>
        <v>GUARULHOS</v>
      </c>
      <c r="AK759" s="213" t="s">
        <v>39</v>
      </c>
      <c r="AL759" s="53">
        <v>7.0559250967547338E-2</v>
      </c>
      <c r="AM759" s="53" t="str" cm="1">
        <f t="array" ref="AM759">IF(OR(O759&lt;&gt;"", SUMPRODUCT(($AN$2:$AN$5000=AN759)*($AL$2:$AL$5000&lt;=AL759)) &lt;= (COUNTIF($AN$2:$AN$5000,AN759)*0.5)), "SORTEADO", "-")</f>
        <v>SORTEADO</v>
      </c>
      <c r="AN759" s="230" t="s">
        <v>1888</v>
      </c>
    </row>
    <row r="760" spans="1:40" ht="30" customHeight="1" x14ac:dyDescent="0.2">
      <c r="A760" s="230" t="s">
        <v>197</v>
      </c>
      <c r="B760" s="230">
        <v>2617295397</v>
      </c>
      <c r="C760" s="230" t="s">
        <v>103</v>
      </c>
      <c r="D760" s="230" t="s">
        <v>80</v>
      </c>
      <c r="E760" s="230" t="s">
        <v>198</v>
      </c>
      <c r="F760" s="230" t="s">
        <v>2039</v>
      </c>
      <c r="G760" s="230">
        <v>225</v>
      </c>
      <c r="H760" s="230" t="s">
        <v>2040</v>
      </c>
      <c r="I760" s="230" t="s">
        <v>775</v>
      </c>
      <c r="J760" s="230" t="s">
        <v>270</v>
      </c>
      <c r="K760" s="237" t="s">
        <v>2041</v>
      </c>
      <c r="L760" s="230" t="s">
        <v>1888</v>
      </c>
      <c r="M760" s="230" t="s">
        <v>2042</v>
      </c>
      <c r="N760" s="230" t="s">
        <v>303</v>
      </c>
      <c r="O760" s="158" t="s">
        <v>204</v>
      </c>
      <c r="P760" s="92"/>
      <c r="Q760" s="146" t="s">
        <v>204</v>
      </c>
      <c r="R760" s="92"/>
      <c r="S760" s="146" t="s">
        <v>204</v>
      </c>
      <c r="T760" s="92"/>
      <c r="U760" s="146" t="s">
        <v>204</v>
      </c>
      <c r="V760" s="92"/>
      <c r="W760" s="146" t="s">
        <v>204</v>
      </c>
      <c r="X760" s="92"/>
      <c r="Y760" s="146" t="s">
        <v>61</v>
      </c>
      <c r="Z760" s="92"/>
      <c r="AA760" s="146" t="s">
        <v>204</v>
      </c>
      <c r="AB760" s="92"/>
      <c r="AC760" s="146" t="s">
        <v>204</v>
      </c>
      <c r="AD760" s="92"/>
      <c r="AE760" s="146" t="s">
        <v>204</v>
      </c>
      <c r="AF760" s="187" t="str">
        <f t="shared" si="47"/>
        <v>C</v>
      </c>
      <c r="AG760" s="54" t="str">
        <f t="shared" si="50"/>
        <v>UTILIZOU O PDA CORRETAMENTE</v>
      </c>
      <c r="AH760" s="144" t="s">
        <v>204</v>
      </c>
      <c r="AI760" s="210" t="s">
        <v>6</v>
      </c>
      <c r="AJ760" s="97" t="str">
        <f t="shared" si="48"/>
        <v>GUARULHOS</v>
      </c>
      <c r="AK760" s="213" t="s">
        <v>39</v>
      </c>
      <c r="AL760" s="53">
        <v>0.17297666331396666</v>
      </c>
      <c r="AM760" s="53" t="str" cm="1">
        <f t="array" ref="AM760">IF(OR(O760&lt;&gt;"", SUMPRODUCT(($AN$2:$AN$5000=AN760)*($AL$2:$AL$5000&lt;=AL760)) &lt;= (COUNTIF($AN$2:$AN$5000,AN760)*0.5)), "SORTEADO", "-")</f>
        <v>SORTEADO</v>
      </c>
      <c r="AN760" s="230" t="s">
        <v>1888</v>
      </c>
    </row>
    <row r="761" spans="1:40" ht="30" customHeight="1" x14ac:dyDescent="0.2">
      <c r="A761" s="230" t="s">
        <v>197</v>
      </c>
      <c r="B761" s="230">
        <v>2691385610</v>
      </c>
      <c r="C761" s="230" t="s">
        <v>88</v>
      </c>
      <c r="D761" s="230" t="s">
        <v>77</v>
      </c>
      <c r="E761" s="230" t="s">
        <v>198</v>
      </c>
      <c r="F761" s="230" t="s">
        <v>718</v>
      </c>
      <c r="G761" s="230">
        <v>171</v>
      </c>
      <c r="H761" s="230" t="s">
        <v>2043</v>
      </c>
      <c r="I761" s="230" t="s">
        <v>315</v>
      </c>
      <c r="J761" s="230" t="s">
        <v>401</v>
      </c>
      <c r="K761" s="230" t="s">
        <v>831</v>
      </c>
      <c r="L761" s="230" t="s">
        <v>1888</v>
      </c>
      <c r="M761" s="230" t="s">
        <v>1899</v>
      </c>
      <c r="N761" s="230" t="s">
        <v>348</v>
      </c>
      <c r="O761" s="158" t="s">
        <v>204</v>
      </c>
      <c r="P761" s="146"/>
      <c r="Q761" s="146" t="s">
        <v>204</v>
      </c>
      <c r="R761" s="209"/>
      <c r="S761" s="146" t="s">
        <v>204</v>
      </c>
      <c r="T761" s="146"/>
      <c r="U761" s="146" t="s">
        <v>204</v>
      </c>
      <c r="V761" s="146"/>
      <c r="W761" s="146" t="s">
        <v>204</v>
      </c>
      <c r="X761" s="146"/>
      <c r="Y761" s="146" t="s">
        <v>61</v>
      </c>
      <c r="Z761" s="146"/>
      <c r="AA761" s="146" t="s">
        <v>204</v>
      </c>
      <c r="AB761" s="146"/>
      <c r="AC761" s="146" t="s">
        <v>204</v>
      </c>
      <c r="AD761" s="146"/>
      <c r="AE761" s="146" t="s">
        <v>204</v>
      </c>
      <c r="AF761" s="187" t="str">
        <f t="shared" si="47"/>
        <v>C</v>
      </c>
      <c r="AG761" s="54" t="str">
        <f t="shared" si="50"/>
        <v>UTILIZOU O PDA CORRETAMENTE</v>
      </c>
      <c r="AH761" s="146"/>
      <c r="AI761" s="210" t="s">
        <v>6</v>
      </c>
      <c r="AJ761" s="97" t="str">
        <f t="shared" si="48"/>
        <v>GUARULHOS</v>
      </c>
      <c r="AK761" s="213" t="s">
        <v>39</v>
      </c>
      <c r="AL761" s="53">
        <v>0.30616281590210226</v>
      </c>
      <c r="AM761" s="53" t="str" cm="1">
        <f t="array" ref="AM761">IF(OR(O761&lt;&gt;"", SUMPRODUCT(($AN$2:$AN$5000=AN761)*($AL$2:$AL$5000&lt;=AL761)) &lt;= (COUNTIF($AN$2:$AN$5000,AN761)*0.5)), "SORTEADO", "-")</f>
        <v>SORTEADO</v>
      </c>
      <c r="AN761" s="230" t="s">
        <v>1888</v>
      </c>
    </row>
    <row r="762" spans="1:40" ht="30" hidden="1" customHeight="1" x14ac:dyDescent="0.2">
      <c r="A762" s="230" t="s">
        <v>197</v>
      </c>
      <c r="B762" s="230">
        <v>2691437473</v>
      </c>
      <c r="C762" s="230" t="s">
        <v>102</v>
      </c>
      <c r="D762" s="230" t="s">
        <v>80</v>
      </c>
      <c r="E762" s="230" t="s">
        <v>198</v>
      </c>
      <c r="F762" s="230" t="s">
        <v>2044</v>
      </c>
      <c r="G762" s="230">
        <v>30</v>
      </c>
      <c r="H762" s="230" t="s">
        <v>1360</v>
      </c>
      <c r="I762" s="230" t="s">
        <v>301</v>
      </c>
      <c r="J762" s="230" t="s">
        <v>270</v>
      </c>
      <c r="K762" s="230"/>
      <c r="L762" s="230" t="s">
        <v>1888</v>
      </c>
      <c r="M762" s="230" t="s">
        <v>1961</v>
      </c>
      <c r="N762" s="230" t="s">
        <v>260</v>
      </c>
      <c r="O762" s="158"/>
      <c r="P762" s="92"/>
      <c r="Q762" s="146"/>
      <c r="R762" s="92"/>
      <c r="S762" s="146"/>
      <c r="T762" s="92"/>
      <c r="U762" s="146"/>
      <c r="V762" s="92"/>
      <c r="W762" s="146"/>
      <c r="X762" s="92"/>
      <c r="Y762" s="146"/>
      <c r="Z762" s="92"/>
      <c r="AA762" s="146"/>
      <c r="AB762" s="92"/>
      <c r="AC762" s="146"/>
      <c r="AD762" s="92"/>
      <c r="AE762" s="146"/>
      <c r="AF762" s="187" t="str">
        <f t="shared" si="47"/>
        <v/>
      </c>
      <c r="AG762" s="54" t="b">
        <f t="shared" si="50"/>
        <v>0</v>
      </c>
      <c r="AH762" s="146"/>
      <c r="AI762" s="210" t="s">
        <v>6</v>
      </c>
      <c r="AJ762" s="97" t="str">
        <f t="shared" si="48"/>
        <v>GUARULHOS</v>
      </c>
      <c r="AK762" s="213" t="s">
        <v>39</v>
      </c>
      <c r="AL762" s="53">
        <v>0.7679687185460683</v>
      </c>
      <c r="AM762" s="53" t="str" cm="1">
        <f t="array" ref="AM762">IF(OR(O762&lt;&gt;"", SUMPRODUCT(($AN$2:$AN$5000=AN762)*($AL$2:$AL$5000&lt;=AL762)) &lt;= (COUNTIF($AN$2:$AN$5000,AN762)*0.5)), "SORTEADO", "-")</f>
        <v>-</v>
      </c>
      <c r="AN762" s="230" t="s">
        <v>1888</v>
      </c>
    </row>
    <row r="763" spans="1:40" ht="30" customHeight="1" x14ac:dyDescent="0.2">
      <c r="A763" s="230" t="s">
        <v>197</v>
      </c>
      <c r="B763" s="230">
        <v>2691368752</v>
      </c>
      <c r="C763" s="230" t="s">
        <v>89</v>
      </c>
      <c r="D763" s="230" t="s">
        <v>77</v>
      </c>
      <c r="E763" s="230" t="s">
        <v>198</v>
      </c>
      <c r="F763" s="230" t="s">
        <v>908</v>
      </c>
      <c r="G763" s="230">
        <v>4086</v>
      </c>
      <c r="H763" s="230" t="s">
        <v>2045</v>
      </c>
      <c r="I763" s="230" t="s">
        <v>509</v>
      </c>
      <c r="J763" s="230" t="s">
        <v>346</v>
      </c>
      <c r="K763" s="230" t="s">
        <v>2046</v>
      </c>
      <c r="L763" s="230" t="s">
        <v>1888</v>
      </c>
      <c r="M763" s="230" t="s">
        <v>2047</v>
      </c>
      <c r="N763" s="230" t="s">
        <v>271</v>
      </c>
      <c r="O763" s="158" t="s">
        <v>204</v>
      </c>
      <c r="P763" s="146"/>
      <c r="Q763" s="146" t="s">
        <v>204</v>
      </c>
      <c r="R763" s="209"/>
      <c r="S763" s="146" t="s">
        <v>204</v>
      </c>
      <c r="T763" s="146"/>
      <c r="U763" s="146" t="s">
        <v>204</v>
      </c>
      <c r="V763" s="146"/>
      <c r="W763" s="146" t="s">
        <v>204</v>
      </c>
      <c r="X763" s="146"/>
      <c r="Y763" s="146" t="s">
        <v>61</v>
      </c>
      <c r="Z763" s="146"/>
      <c r="AA763" s="146" t="s">
        <v>204</v>
      </c>
      <c r="AB763" s="146"/>
      <c r="AC763" s="146" t="s">
        <v>204</v>
      </c>
      <c r="AD763" s="146"/>
      <c r="AE763" s="146" t="s">
        <v>204</v>
      </c>
      <c r="AF763" s="187" t="str">
        <f t="shared" si="47"/>
        <v>C</v>
      </c>
      <c r="AG763" s="54" t="str">
        <f t="shared" si="50"/>
        <v>UTILIZOU O PDA CORRETAMENTE</v>
      </c>
      <c r="AH763" s="146"/>
      <c r="AI763" s="210" t="s">
        <v>6</v>
      </c>
      <c r="AJ763" s="97" t="str">
        <f t="shared" si="48"/>
        <v>GUARULHOS</v>
      </c>
      <c r="AK763" s="213" t="s">
        <v>39</v>
      </c>
      <c r="AL763" s="53">
        <v>0.17738029722810988</v>
      </c>
      <c r="AM763" s="53" t="str" cm="1">
        <f t="array" ref="AM763">IF(OR(O763&lt;&gt;"", SUMPRODUCT(($AN$2:$AN$5000=AN763)*($AL$2:$AL$5000&lt;=AL763)) &lt;= (COUNTIF($AN$2:$AN$5000,AN763)*0.5)), "SORTEADO", "-")</f>
        <v>SORTEADO</v>
      </c>
      <c r="AN763" s="230" t="s">
        <v>1888</v>
      </c>
    </row>
    <row r="764" spans="1:40" ht="30" customHeight="1" x14ac:dyDescent="0.2">
      <c r="A764" s="230" t="s">
        <v>197</v>
      </c>
      <c r="B764" s="230">
        <v>2691368752</v>
      </c>
      <c r="C764" s="230" t="s">
        <v>98</v>
      </c>
      <c r="D764" s="230" t="s">
        <v>80</v>
      </c>
      <c r="E764" s="230" t="s">
        <v>198</v>
      </c>
      <c r="F764" s="230" t="s">
        <v>908</v>
      </c>
      <c r="G764" s="230">
        <v>4086</v>
      </c>
      <c r="H764" s="230" t="s">
        <v>2045</v>
      </c>
      <c r="I764" s="230" t="s">
        <v>509</v>
      </c>
      <c r="J764" s="230" t="s">
        <v>297</v>
      </c>
      <c r="K764" s="230" t="s">
        <v>2048</v>
      </c>
      <c r="L764" s="230" t="s">
        <v>1888</v>
      </c>
      <c r="M764" s="230" t="s">
        <v>2049</v>
      </c>
      <c r="N764" s="230" t="s">
        <v>271</v>
      </c>
      <c r="O764" s="157" t="s">
        <v>204</v>
      </c>
      <c r="P764" s="143"/>
      <c r="Q764" s="144" t="s">
        <v>204</v>
      </c>
      <c r="R764" s="143"/>
      <c r="S764" s="144" t="s">
        <v>204</v>
      </c>
      <c r="T764" s="143"/>
      <c r="U764" s="144" t="s">
        <v>204</v>
      </c>
      <c r="V764" s="143"/>
      <c r="W764" s="144" t="s">
        <v>204</v>
      </c>
      <c r="X764" s="143"/>
      <c r="Y764" s="144" t="s">
        <v>204</v>
      </c>
      <c r="Z764" s="143"/>
      <c r="AA764" s="144" t="s">
        <v>204</v>
      </c>
      <c r="AB764" s="143"/>
      <c r="AC764" s="144" t="s">
        <v>204</v>
      </c>
      <c r="AD764" s="56"/>
      <c r="AE764" s="144" t="s">
        <v>204</v>
      </c>
      <c r="AF764" s="187" t="str">
        <f t="shared" si="47"/>
        <v>C</v>
      </c>
      <c r="AG764" s="54" t="str">
        <f t="shared" si="50"/>
        <v>UTILIZOU O PDA CORRETAMENTE</v>
      </c>
      <c r="AH764" s="144" t="s">
        <v>204</v>
      </c>
      <c r="AI764" s="210" t="s">
        <v>6</v>
      </c>
      <c r="AJ764" s="97" t="str">
        <f t="shared" si="48"/>
        <v>GUARULHOS</v>
      </c>
      <c r="AK764" s="213" t="s">
        <v>39</v>
      </c>
      <c r="AL764" s="53">
        <v>0.26242773781820827</v>
      </c>
      <c r="AM764" s="53" t="str" cm="1">
        <f t="array" ref="AM764">IF(OR(O764&lt;&gt;"", SUMPRODUCT(($AN$2:$AN$5000=AN764)*($AL$2:$AL$5000&lt;=AL764)) &lt;= (COUNTIF($AN$2:$AN$5000,AN764)*0.5)), "SORTEADO", "-")</f>
        <v>SORTEADO</v>
      </c>
      <c r="AN764" s="230" t="s">
        <v>1888</v>
      </c>
    </row>
    <row r="765" spans="1:40" ht="30" hidden="1" customHeight="1" x14ac:dyDescent="0.2">
      <c r="A765" s="230" t="s">
        <v>197</v>
      </c>
      <c r="B765" s="230">
        <v>2617312754</v>
      </c>
      <c r="C765" s="230" t="s">
        <v>89</v>
      </c>
      <c r="D765" s="230" t="s">
        <v>77</v>
      </c>
      <c r="E765" s="230" t="s">
        <v>198</v>
      </c>
      <c r="F765" s="230" t="s">
        <v>1148</v>
      </c>
      <c r="G765" s="230">
        <v>455</v>
      </c>
      <c r="H765" s="230" t="s">
        <v>213</v>
      </c>
      <c r="I765" s="230" t="s">
        <v>1150</v>
      </c>
      <c r="J765" s="230" t="s">
        <v>346</v>
      </c>
      <c r="K765" s="230" t="s">
        <v>1968</v>
      </c>
      <c r="L765" s="230" t="s">
        <v>1888</v>
      </c>
      <c r="M765" s="230" t="s">
        <v>2050</v>
      </c>
      <c r="N765" s="230" t="s">
        <v>1104</v>
      </c>
      <c r="O765" s="158"/>
      <c r="P765" s="92"/>
      <c r="Q765" s="146"/>
      <c r="R765" s="92"/>
      <c r="S765" s="146"/>
      <c r="T765" s="92"/>
      <c r="U765" s="146"/>
      <c r="V765" s="92"/>
      <c r="W765" s="146"/>
      <c r="X765" s="92"/>
      <c r="Y765" s="146"/>
      <c r="Z765" s="92"/>
      <c r="AA765" s="146"/>
      <c r="AB765" s="92"/>
      <c r="AC765" s="146"/>
      <c r="AD765" s="92"/>
      <c r="AE765" s="146"/>
      <c r="AF765" s="187" t="str">
        <f t="shared" si="47"/>
        <v/>
      </c>
      <c r="AG765" s="54" t="b">
        <f t="shared" si="50"/>
        <v>0</v>
      </c>
      <c r="AH765" s="146"/>
      <c r="AI765" s="210" t="s">
        <v>6</v>
      </c>
      <c r="AJ765" s="97" t="str">
        <f t="shared" si="48"/>
        <v>GUARULHOS</v>
      </c>
      <c r="AK765" s="213" t="s">
        <v>39</v>
      </c>
      <c r="AL765" s="53">
        <v>0.72521381139872876</v>
      </c>
      <c r="AM765" s="53" t="str" cm="1">
        <f t="array" ref="AM765">IF(OR(O765&lt;&gt;"", SUMPRODUCT(($AN$2:$AN$5000=AN765)*($AL$2:$AL$5000&lt;=AL765)) &lt;= (COUNTIF($AN$2:$AN$5000,AN765)*0.5)), "SORTEADO", "-")</f>
        <v>-</v>
      </c>
      <c r="AN765" s="230" t="s">
        <v>1888</v>
      </c>
    </row>
    <row r="766" spans="1:40" ht="30" customHeight="1" x14ac:dyDescent="0.2">
      <c r="A766" s="230" t="s">
        <v>197</v>
      </c>
      <c r="B766" s="230">
        <v>2617314887</v>
      </c>
      <c r="C766" s="230" t="s">
        <v>89</v>
      </c>
      <c r="D766" s="230" t="s">
        <v>77</v>
      </c>
      <c r="E766" s="230" t="s">
        <v>198</v>
      </c>
      <c r="F766" s="230" t="s">
        <v>2051</v>
      </c>
      <c r="G766" s="230">
        <v>442</v>
      </c>
      <c r="H766" s="230" t="s">
        <v>633</v>
      </c>
      <c r="I766" s="230" t="s">
        <v>453</v>
      </c>
      <c r="J766" s="230" t="s">
        <v>346</v>
      </c>
      <c r="K766" s="230" t="s">
        <v>1968</v>
      </c>
      <c r="L766" s="230" t="s">
        <v>1888</v>
      </c>
      <c r="M766" s="230" t="s">
        <v>2052</v>
      </c>
      <c r="N766" s="230" t="s">
        <v>1104</v>
      </c>
      <c r="O766" s="158" t="s">
        <v>204</v>
      </c>
      <c r="P766" s="146"/>
      <c r="Q766" s="146" t="s">
        <v>204</v>
      </c>
      <c r="R766" s="209"/>
      <c r="S766" s="146" t="s">
        <v>204</v>
      </c>
      <c r="T766" s="146"/>
      <c r="U766" s="146" t="s">
        <v>204</v>
      </c>
      <c r="V766" s="146"/>
      <c r="W766" s="146" t="s">
        <v>204</v>
      </c>
      <c r="X766" s="146"/>
      <c r="Y766" s="146" t="s">
        <v>61</v>
      </c>
      <c r="Z766" s="146"/>
      <c r="AA766" s="146" t="s">
        <v>204</v>
      </c>
      <c r="AB766" s="146"/>
      <c r="AC766" s="146" t="s">
        <v>204</v>
      </c>
      <c r="AD766" s="146"/>
      <c r="AE766" s="146" t="s">
        <v>204</v>
      </c>
      <c r="AF766" s="187" t="str">
        <f t="shared" si="47"/>
        <v>C</v>
      </c>
      <c r="AG766" s="54" t="str">
        <f t="shared" si="50"/>
        <v>UTILIZOU O PDA CORRETAMENTE</v>
      </c>
      <c r="AH766" s="146"/>
      <c r="AI766" s="210" t="s">
        <v>6</v>
      </c>
      <c r="AJ766" s="97" t="str">
        <f t="shared" si="48"/>
        <v>GUARULHOS</v>
      </c>
      <c r="AK766" s="213" t="s">
        <v>39</v>
      </c>
      <c r="AL766" s="53">
        <v>0.16200600161294765</v>
      </c>
      <c r="AM766" s="53" t="str" cm="1">
        <f t="array" ref="AM766">IF(OR(O766&lt;&gt;"", SUMPRODUCT(($AN$2:$AN$5000=AN766)*($AL$2:$AL$5000&lt;=AL766)) &lt;= (COUNTIF($AN$2:$AN$5000,AN766)*0.5)), "SORTEADO", "-")</f>
        <v>SORTEADO</v>
      </c>
      <c r="AN766" s="230" t="s">
        <v>1888</v>
      </c>
    </row>
    <row r="767" spans="1:40" ht="30" hidden="1" customHeight="1" x14ac:dyDescent="0.2">
      <c r="A767" s="230" t="s">
        <v>197</v>
      </c>
      <c r="B767" s="230">
        <v>2617317935</v>
      </c>
      <c r="C767" s="230" t="s">
        <v>84</v>
      </c>
      <c r="D767" s="230" t="s">
        <v>79</v>
      </c>
      <c r="E767" s="230" t="s">
        <v>198</v>
      </c>
      <c r="F767" s="230" t="s">
        <v>1991</v>
      </c>
      <c r="G767" s="230">
        <v>96</v>
      </c>
      <c r="H767" s="230" t="s">
        <v>213</v>
      </c>
      <c r="I767" s="230" t="s">
        <v>531</v>
      </c>
      <c r="J767" s="230" t="s">
        <v>392</v>
      </c>
      <c r="K767" s="230" t="s">
        <v>1107</v>
      </c>
      <c r="L767" s="230" t="s">
        <v>1935</v>
      </c>
      <c r="M767" s="230" t="s">
        <v>2053</v>
      </c>
      <c r="N767" s="230" t="s">
        <v>1104</v>
      </c>
      <c r="O767" s="158"/>
      <c r="P767" s="92"/>
      <c r="Q767" s="146"/>
      <c r="R767" s="92"/>
      <c r="S767" s="146"/>
      <c r="T767" s="92"/>
      <c r="U767" s="146"/>
      <c r="V767" s="92"/>
      <c r="W767" s="146"/>
      <c r="X767" s="92"/>
      <c r="Y767" s="146"/>
      <c r="Z767" s="92"/>
      <c r="AA767" s="146"/>
      <c r="AB767" s="92"/>
      <c r="AC767" s="146"/>
      <c r="AD767" s="92"/>
      <c r="AE767" s="146"/>
      <c r="AF767" s="187" t="str">
        <f t="shared" si="47"/>
        <v/>
      </c>
      <c r="AG767" s="54" t="b">
        <f t="shared" si="50"/>
        <v>0</v>
      </c>
      <c r="AH767" s="146"/>
      <c r="AI767" s="210" t="s">
        <v>6</v>
      </c>
      <c r="AJ767" s="97" t="str">
        <f t="shared" si="48"/>
        <v>GUARULHOS</v>
      </c>
      <c r="AK767" s="213" t="s">
        <v>39</v>
      </c>
      <c r="AL767" s="53">
        <v>0.99804540375008421</v>
      </c>
      <c r="AM767" s="53" t="str" cm="1">
        <f t="array" ref="AM767">IF(OR(O767&lt;&gt;"", SUMPRODUCT(($AN$2:$AN$5000=AN767)*($AL$2:$AL$5000&lt;=AL767)) &lt;= (COUNTIF($AN$2:$AN$5000,AN767)*0.5)), "SORTEADO", "-")</f>
        <v>-</v>
      </c>
      <c r="AN767" s="230" t="s">
        <v>1935</v>
      </c>
    </row>
    <row r="768" spans="1:40" ht="30" hidden="1" customHeight="1" x14ac:dyDescent="0.2">
      <c r="A768" s="230" t="s">
        <v>197</v>
      </c>
      <c r="B768" s="230">
        <v>2617318411</v>
      </c>
      <c r="C768" s="230" t="s">
        <v>696</v>
      </c>
      <c r="D768" s="230" t="s">
        <v>79</v>
      </c>
      <c r="E768" s="230" t="s">
        <v>198</v>
      </c>
      <c r="F768" s="230" t="s">
        <v>1991</v>
      </c>
      <c r="G768" s="230">
        <v>104</v>
      </c>
      <c r="H768" s="230" t="s">
        <v>309</v>
      </c>
      <c r="I768" s="230" t="s">
        <v>531</v>
      </c>
      <c r="J768" s="230" t="s">
        <v>698</v>
      </c>
      <c r="K768" s="230" t="s">
        <v>1107</v>
      </c>
      <c r="L768" s="230" t="s">
        <v>1935</v>
      </c>
      <c r="M768" s="230" t="s">
        <v>2054</v>
      </c>
      <c r="N768" s="230" t="s">
        <v>1104</v>
      </c>
      <c r="O768" s="158"/>
      <c r="P768" s="92"/>
      <c r="Q768" s="146"/>
      <c r="R768" s="92"/>
      <c r="S768" s="146"/>
      <c r="T768" s="92"/>
      <c r="U768" s="146"/>
      <c r="V768" s="92"/>
      <c r="W768" s="146"/>
      <c r="X768" s="92"/>
      <c r="Y768" s="146"/>
      <c r="Z768" s="92"/>
      <c r="AA768" s="146"/>
      <c r="AB768" s="92"/>
      <c r="AC768" s="146"/>
      <c r="AD768" s="92"/>
      <c r="AE768" s="146"/>
      <c r="AF768" s="187" t="str">
        <f t="shared" si="47"/>
        <v/>
      </c>
      <c r="AG768" s="54" t="b">
        <f t="shared" si="50"/>
        <v>0</v>
      </c>
      <c r="AH768" s="146"/>
      <c r="AI768" s="210" t="s">
        <v>6</v>
      </c>
      <c r="AJ768" s="97" t="str">
        <f t="shared" si="48"/>
        <v>GUARULHOS</v>
      </c>
      <c r="AK768" s="213" t="s">
        <v>39</v>
      </c>
      <c r="AL768" s="53">
        <v>0.71003695704568659</v>
      </c>
      <c r="AM768" s="53" t="str" cm="1">
        <f t="array" ref="AM768">IF(OR(O768&lt;&gt;"", SUMPRODUCT(($AN$2:$AN$5000=AN768)*($AL$2:$AL$5000&lt;=AL768)) &lt;= (COUNTIF($AN$2:$AN$5000,AN768)*0.5)), "SORTEADO", "-")</f>
        <v>-</v>
      </c>
      <c r="AN768" s="230" t="s">
        <v>1935</v>
      </c>
    </row>
    <row r="769" spans="1:40" ht="30" hidden="1" customHeight="1" x14ac:dyDescent="0.2">
      <c r="A769" s="230" t="s">
        <v>197</v>
      </c>
      <c r="B769" s="230">
        <v>2617318785</v>
      </c>
      <c r="C769" s="230" t="s">
        <v>696</v>
      </c>
      <c r="D769" s="230" t="s">
        <v>79</v>
      </c>
      <c r="E769" s="230" t="s">
        <v>198</v>
      </c>
      <c r="F769" s="230" t="s">
        <v>1991</v>
      </c>
      <c r="G769" s="230">
        <v>97</v>
      </c>
      <c r="H769" s="230" t="s">
        <v>213</v>
      </c>
      <c r="I769" s="230" t="s">
        <v>531</v>
      </c>
      <c r="J769" s="230" t="s">
        <v>698</v>
      </c>
      <c r="K769" s="230" t="s">
        <v>1107</v>
      </c>
      <c r="L769" s="230" t="s">
        <v>1935</v>
      </c>
      <c r="M769" s="230" t="s">
        <v>2055</v>
      </c>
      <c r="N769" s="230" t="s">
        <v>1104</v>
      </c>
      <c r="O769" s="158"/>
      <c r="P769" s="92"/>
      <c r="Q769" s="146"/>
      <c r="R769" s="92"/>
      <c r="S769" s="146"/>
      <c r="T769" s="92"/>
      <c r="U769" s="146"/>
      <c r="V769" s="92"/>
      <c r="W769" s="146"/>
      <c r="X769" s="92"/>
      <c r="Y769" s="146"/>
      <c r="Z769" s="92"/>
      <c r="AA769" s="146"/>
      <c r="AB769" s="92"/>
      <c r="AC769" s="146"/>
      <c r="AD769" s="92"/>
      <c r="AE769" s="146"/>
      <c r="AF769" s="187" t="str">
        <f t="shared" si="47"/>
        <v/>
      </c>
      <c r="AG769" s="54" t="b">
        <f t="shared" si="50"/>
        <v>0</v>
      </c>
      <c r="AH769" s="146"/>
      <c r="AI769" s="210" t="s">
        <v>6</v>
      </c>
      <c r="AJ769" s="97" t="str">
        <f t="shared" si="48"/>
        <v>GUARULHOS</v>
      </c>
      <c r="AK769" s="213" t="s">
        <v>39</v>
      </c>
      <c r="AL769" s="53">
        <v>0.77338223499919112</v>
      </c>
      <c r="AM769" s="53" t="str" cm="1">
        <f t="array" ref="AM769">IF(OR(O769&lt;&gt;"", SUMPRODUCT(($AN$2:$AN$5000=AN769)*($AL$2:$AL$5000&lt;=AL769)) &lt;= (COUNTIF($AN$2:$AN$5000,AN769)*0.5)), "SORTEADO", "-")</f>
        <v>-</v>
      </c>
      <c r="AN769" s="230" t="s">
        <v>1935</v>
      </c>
    </row>
    <row r="770" spans="1:40" ht="30" hidden="1" customHeight="1" x14ac:dyDescent="0.2">
      <c r="A770" s="230" t="s">
        <v>197</v>
      </c>
      <c r="B770" s="230">
        <v>2617319216</v>
      </c>
      <c r="C770" s="230" t="s">
        <v>84</v>
      </c>
      <c r="D770" s="230" t="s">
        <v>79</v>
      </c>
      <c r="E770" s="230" t="s">
        <v>198</v>
      </c>
      <c r="F770" s="230" t="s">
        <v>1126</v>
      </c>
      <c r="G770" s="230">
        <v>67</v>
      </c>
      <c r="H770" s="230" t="s">
        <v>2022</v>
      </c>
      <c r="I770" s="230" t="s">
        <v>1128</v>
      </c>
      <c r="J770" s="230" t="s">
        <v>392</v>
      </c>
      <c r="K770" s="230" t="s">
        <v>1107</v>
      </c>
      <c r="L770" s="230" t="s">
        <v>1935</v>
      </c>
      <c r="M770" s="230" t="s">
        <v>2056</v>
      </c>
      <c r="N770" s="230" t="s">
        <v>1104</v>
      </c>
      <c r="O770" s="158"/>
      <c r="P770" s="92"/>
      <c r="Q770" s="146"/>
      <c r="R770" s="92"/>
      <c r="S770" s="146"/>
      <c r="T770" s="92"/>
      <c r="U770" s="146"/>
      <c r="V770" s="92"/>
      <c r="W770" s="146"/>
      <c r="X770" s="92"/>
      <c r="Y770" s="146"/>
      <c r="Z770" s="92"/>
      <c r="AA770" s="146"/>
      <c r="AB770" s="92"/>
      <c r="AC770" s="146"/>
      <c r="AD770" s="92"/>
      <c r="AE770" s="146"/>
      <c r="AF770" s="187" t="str">
        <f t="shared" si="47"/>
        <v/>
      </c>
      <c r="AG770" s="54" t="b">
        <f t="shared" si="50"/>
        <v>0</v>
      </c>
      <c r="AH770" s="146"/>
      <c r="AI770" s="210" t="s">
        <v>6</v>
      </c>
      <c r="AJ770" s="97" t="str">
        <f t="shared" si="48"/>
        <v>GUARULHOS</v>
      </c>
      <c r="AK770" s="213" t="s">
        <v>39</v>
      </c>
      <c r="AL770" s="53">
        <v>0.88072638448979113</v>
      </c>
      <c r="AM770" s="53" t="str" cm="1">
        <f t="array" ref="AM770">IF(OR(O770&lt;&gt;"", SUMPRODUCT(($AN$2:$AN$5000=AN770)*($AL$2:$AL$5000&lt;=AL770)) &lt;= (COUNTIF($AN$2:$AN$5000,AN770)*0.5)), "SORTEADO", "-")</f>
        <v>-</v>
      </c>
      <c r="AN770" s="230" t="s">
        <v>1935</v>
      </c>
    </row>
    <row r="771" spans="1:40" ht="30" hidden="1" customHeight="1" x14ac:dyDescent="0.2">
      <c r="A771" s="230" t="s">
        <v>197</v>
      </c>
      <c r="B771" s="230">
        <v>2617319060</v>
      </c>
      <c r="C771" s="230" t="s">
        <v>84</v>
      </c>
      <c r="D771" s="230" t="s">
        <v>79</v>
      </c>
      <c r="E771" s="230" t="s">
        <v>198</v>
      </c>
      <c r="F771" s="230" t="s">
        <v>1126</v>
      </c>
      <c r="G771" s="230">
        <v>93</v>
      </c>
      <c r="H771" s="230" t="s">
        <v>213</v>
      </c>
      <c r="I771" s="230" t="s">
        <v>1128</v>
      </c>
      <c r="J771" s="230" t="s">
        <v>392</v>
      </c>
      <c r="K771" s="230" t="s">
        <v>2057</v>
      </c>
      <c r="L771" s="230" t="s">
        <v>1935</v>
      </c>
      <c r="M771" s="230" t="s">
        <v>2058</v>
      </c>
      <c r="N771" s="230" t="s">
        <v>1104</v>
      </c>
      <c r="O771" s="158" t="s">
        <v>61</v>
      </c>
      <c r="P771" s="92"/>
      <c r="Q771" s="146" t="s">
        <v>61</v>
      </c>
      <c r="R771" s="92"/>
      <c r="S771" s="146" t="s">
        <v>61</v>
      </c>
      <c r="T771" s="92"/>
      <c r="U771" s="146" t="s">
        <v>61</v>
      </c>
      <c r="V771" s="92"/>
      <c r="W771" s="146" t="s">
        <v>61</v>
      </c>
      <c r="X771" s="92"/>
      <c r="Y771" s="146" t="s">
        <v>61</v>
      </c>
      <c r="Z771" s="92"/>
      <c r="AA771" s="146" t="s">
        <v>61</v>
      </c>
      <c r="AB771" s="92"/>
      <c r="AC771" s="146" t="s">
        <v>61</v>
      </c>
      <c r="AD771" s="92"/>
      <c r="AE771" s="146" t="s">
        <v>61</v>
      </c>
      <c r="AF771" s="187" t="str">
        <f t="shared" si="47"/>
        <v>NA</v>
      </c>
      <c r="AG771" s="54" t="s">
        <v>311</v>
      </c>
      <c r="AH771" s="146" t="s">
        <v>204</v>
      </c>
      <c r="AI771" s="210" t="s">
        <v>6</v>
      </c>
      <c r="AJ771" s="97" t="str">
        <f t="shared" si="48"/>
        <v>GUARULHOS</v>
      </c>
      <c r="AK771" s="213" t="s">
        <v>39</v>
      </c>
      <c r="AL771" s="53">
        <v>0.44533857716400571</v>
      </c>
      <c r="AM771" s="53" t="str" cm="1">
        <f t="array" ref="AM771">IF(OR(O771&lt;&gt;"", SUMPRODUCT(($AN$2:$AN$5000=AN771)*($AL$2:$AL$5000&lt;=AL771)) &lt;= (COUNTIF($AN$2:$AN$5000,AN771)*0.5)), "SORTEADO", "-")</f>
        <v>SORTEADO</v>
      </c>
      <c r="AN771" s="230" t="s">
        <v>1935</v>
      </c>
    </row>
    <row r="772" spans="1:40" ht="30" hidden="1" customHeight="1" x14ac:dyDescent="0.2">
      <c r="A772" s="230" t="s">
        <v>197</v>
      </c>
      <c r="B772" s="230">
        <v>2617319444</v>
      </c>
      <c r="C772" s="230" t="s">
        <v>84</v>
      </c>
      <c r="D772" s="230" t="s">
        <v>79</v>
      </c>
      <c r="E772" s="230" t="s">
        <v>198</v>
      </c>
      <c r="F772" s="230" t="s">
        <v>553</v>
      </c>
      <c r="G772" s="230">
        <v>174</v>
      </c>
      <c r="H772" s="230" t="s">
        <v>2059</v>
      </c>
      <c r="I772" s="230" t="s">
        <v>554</v>
      </c>
      <c r="J772" s="230" t="s">
        <v>392</v>
      </c>
      <c r="K772" s="230" t="s">
        <v>1107</v>
      </c>
      <c r="L772" s="230" t="s">
        <v>1935</v>
      </c>
      <c r="M772" s="230" t="s">
        <v>2060</v>
      </c>
      <c r="N772" s="230" t="s">
        <v>1104</v>
      </c>
      <c r="O772" s="158" t="s">
        <v>61</v>
      </c>
      <c r="P772" s="92"/>
      <c r="Q772" s="146" t="s">
        <v>61</v>
      </c>
      <c r="R772" s="92"/>
      <c r="S772" s="146" t="s">
        <v>61</v>
      </c>
      <c r="T772" s="92"/>
      <c r="U772" s="146" t="s">
        <v>61</v>
      </c>
      <c r="V772" s="92"/>
      <c r="W772" s="146" t="s">
        <v>61</v>
      </c>
      <c r="X772" s="92"/>
      <c r="Y772" s="146" t="s">
        <v>61</v>
      </c>
      <c r="Z772" s="92"/>
      <c r="AA772" s="146" t="s">
        <v>61</v>
      </c>
      <c r="AB772" s="92"/>
      <c r="AC772" s="146" t="s">
        <v>61</v>
      </c>
      <c r="AD772" s="92"/>
      <c r="AE772" s="146" t="s">
        <v>61</v>
      </c>
      <c r="AF772" s="187" t="str">
        <f t="shared" si="47"/>
        <v>NA</v>
      </c>
      <c r="AG772" s="54" t="s">
        <v>311</v>
      </c>
      <c r="AH772" s="146" t="s">
        <v>204</v>
      </c>
      <c r="AI772" s="210" t="s">
        <v>6</v>
      </c>
      <c r="AJ772" s="97" t="str">
        <f t="shared" si="48"/>
        <v>GUARULHOS</v>
      </c>
      <c r="AK772" s="213" t="s">
        <v>39</v>
      </c>
      <c r="AL772" s="53">
        <v>0.25742187590893006</v>
      </c>
      <c r="AM772" s="53" t="str" cm="1">
        <f t="array" ref="AM772">IF(OR(O772&lt;&gt;"", SUMPRODUCT(($AN$2:$AN$5000=AN772)*($AL$2:$AL$5000&lt;=AL772)) &lt;= (COUNTIF($AN$2:$AN$5000,AN772)*0.5)), "SORTEADO", "-")</f>
        <v>SORTEADO</v>
      </c>
      <c r="AN772" s="230" t="s">
        <v>1935</v>
      </c>
    </row>
    <row r="773" spans="1:40" ht="30" hidden="1" customHeight="1" x14ac:dyDescent="0.2">
      <c r="A773" s="230" t="s">
        <v>197</v>
      </c>
      <c r="B773" s="230">
        <v>2616850733</v>
      </c>
      <c r="C773" s="230" t="s">
        <v>93</v>
      </c>
      <c r="D773" s="230" t="s">
        <v>76</v>
      </c>
      <c r="E773" s="230" t="s">
        <v>198</v>
      </c>
      <c r="F773" s="230" t="s">
        <v>2061</v>
      </c>
      <c r="G773" s="230">
        <v>156</v>
      </c>
      <c r="H773" s="230" t="s">
        <v>2062</v>
      </c>
      <c r="I773" s="230" t="s">
        <v>2063</v>
      </c>
      <c r="J773" s="230" t="s">
        <v>93</v>
      </c>
      <c r="K773" s="230" t="s">
        <v>2064</v>
      </c>
      <c r="L773" s="230" t="s">
        <v>2065</v>
      </c>
      <c r="M773" s="230" t="s">
        <v>2066</v>
      </c>
      <c r="N773" s="230" t="s">
        <v>408</v>
      </c>
      <c r="O773" s="158"/>
      <c r="P773" s="92"/>
      <c r="Q773" s="146"/>
      <c r="R773" s="92"/>
      <c r="S773" s="146"/>
      <c r="T773" s="92"/>
      <c r="U773" s="146"/>
      <c r="V773" s="92"/>
      <c r="W773" s="146"/>
      <c r="X773" s="92"/>
      <c r="Y773" s="146"/>
      <c r="Z773" s="92"/>
      <c r="AA773" s="146"/>
      <c r="AB773" s="92"/>
      <c r="AC773" s="146"/>
      <c r="AD773" s="92"/>
      <c r="AE773" s="146"/>
      <c r="AF773" s="187" t="str">
        <f t="shared" si="47"/>
        <v/>
      </c>
      <c r="AG773" s="54" t="b">
        <f t="shared" ref="AG773:AG804" si="51">IF(AND(AE773="C",AF773="C"),"UTILIZOU O PDA CORRETAMENTE",IF(AND(AE773="C",AF773="NC"),"UTILIZOU O PDA CORRETAMENTE. NÃO HÁ FOTOS DE TODAS AS ETAPAS",IF(AND(AE773="NC",AF773="NC"),"NÃO UTILIZOU O PDA",IF(AND(AE773="NA",AF773="NA"),"NÃO AVALIADO POR FALHA DE SINCRONISMO"))))</f>
        <v>0</v>
      </c>
      <c r="AH773" s="146"/>
      <c r="AI773" s="210" t="s">
        <v>6</v>
      </c>
      <c r="AJ773" s="97" t="str">
        <f t="shared" si="48"/>
        <v>GUARULHOS</v>
      </c>
      <c r="AK773" s="213" t="s">
        <v>39</v>
      </c>
      <c r="AL773" s="53">
        <v>0.80596883384963491</v>
      </c>
      <c r="AM773" s="53" t="str" cm="1">
        <f t="array" ref="AM773">IF(OR(O773&lt;&gt;"", SUMPRODUCT(($AN$2:$AN$5000=AN773)*($AL$2:$AL$5000&lt;=AL773)) &lt;= (COUNTIF($AN$2:$AN$5000,AN773)*0.5)), "SORTEADO", "-")</f>
        <v>-</v>
      </c>
      <c r="AN773" s="230" t="s">
        <v>2065</v>
      </c>
    </row>
    <row r="774" spans="1:40" ht="30" customHeight="1" x14ac:dyDescent="0.2">
      <c r="A774" s="230" t="s">
        <v>197</v>
      </c>
      <c r="B774" s="230">
        <v>2616850519</v>
      </c>
      <c r="C774" s="230" t="s">
        <v>83</v>
      </c>
      <c r="D774" s="230" t="s">
        <v>76</v>
      </c>
      <c r="E774" s="230" t="s">
        <v>198</v>
      </c>
      <c r="F774" s="230" t="s">
        <v>2067</v>
      </c>
      <c r="G774" s="230">
        <v>239</v>
      </c>
      <c r="H774" s="230" t="s">
        <v>460</v>
      </c>
      <c r="I774" s="230" t="s">
        <v>411</v>
      </c>
      <c r="J774" s="230" t="s">
        <v>219</v>
      </c>
      <c r="K774" s="230" t="s">
        <v>2068</v>
      </c>
      <c r="L774" s="230" t="s">
        <v>2065</v>
      </c>
      <c r="M774" s="230" t="s">
        <v>2069</v>
      </c>
      <c r="N774" s="230" t="s">
        <v>408</v>
      </c>
      <c r="O774" s="158" t="s">
        <v>204</v>
      </c>
      <c r="P774" s="92"/>
      <c r="Q774" s="146" t="s">
        <v>204</v>
      </c>
      <c r="R774" s="92"/>
      <c r="S774" s="146" t="s">
        <v>204</v>
      </c>
      <c r="T774" s="92"/>
      <c r="U774" s="146" t="s">
        <v>204</v>
      </c>
      <c r="V774" s="92"/>
      <c r="W774" s="146" t="s">
        <v>204</v>
      </c>
      <c r="X774" s="92"/>
      <c r="Y774" s="146" t="s">
        <v>210</v>
      </c>
      <c r="Z774" s="92" t="s">
        <v>2070</v>
      </c>
      <c r="AA774" s="146" t="s">
        <v>210</v>
      </c>
      <c r="AB774" s="92" t="s">
        <v>618</v>
      </c>
      <c r="AC774" s="146" t="s">
        <v>204</v>
      </c>
      <c r="AD774" s="92"/>
      <c r="AE774" s="146" t="s">
        <v>204</v>
      </c>
      <c r="AF774" s="187" t="str">
        <f t="shared" si="47"/>
        <v>NC</v>
      </c>
      <c r="AG774" s="54" t="str">
        <f t="shared" si="51"/>
        <v>UTILIZOU O PDA CORRETAMENTE. NÃO HÁ FOTOS DE TODAS AS ETAPAS</v>
      </c>
      <c r="AH774" s="146" t="s">
        <v>204</v>
      </c>
      <c r="AI774" s="210" t="s">
        <v>6</v>
      </c>
      <c r="AJ774" s="97" t="str">
        <f t="shared" si="48"/>
        <v>GUARULHOS</v>
      </c>
      <c r="AK774" s="213" t="s">
        <v>39</v>
      </c>
      <c r="AL774" s="53">
        <v>0.11047240759878607</v>
      </c>
      <c r="AM774" s="53" t="str" cm="1">
        <f t="array" ref="AM774">IF(OR(O774&lt;&gt;"", SUMPRODUCT(($AN$2:$AN$5000=AN774)*($AL$2:$AL$5000&lt;=AL774)) &lt;= (COUNTIF($AN$2:$AN$5000,AN774)*0.5)), "SORTEADO", "-")</f>
        <v>SORTEADO</v>
      </c>
      <c r="AN774" s="230" t="s">
        <v>2065</v>
      </c>
    </row>
    <row r="775" spans="1:40" ht="30" hidden="1" customHeight="1" x14ac:dyDescent="0.2">
      <c r="A775" s="230" t="s">
        <v>197</v>
      </c>
      <c r="B775" s="230">
        <v>2616849704</v>
      </c>
      <c r="C775" s="230" t="s">
        <v>83</v>
      </c>
      <c r="D775" s="230" t="s">
        <v>76</v>
      </c>
      <c r="E775" s="230" t="s">
        <v>198</v>
      </c>
      <c r="F775" s="230" t="s">
        <v>2067</v>
      </c>
      <c r="G775" s="230">
        <v>239</v>
      </c>
      <c r="H775" s="230" t="s">
        <v>217</v>
      </c>
      <c r="I775" s="230" t="s">
        <v>411</v>
      </c>
      <c r="J775" s="230" t="s">
        <v>219</v>
      </c>
      <c r="K775" s="230" t="s">
        <v>2068</v>
      </c>
      <c r="L775" s="230" t="s">
        <v>2065</v>
      </c>
      <c r="M775" s="230" t="s">
        <v>2071</v>
      </c>
      <c r="N775" s="230" t="s">
        <v>408</v>
      </c>
      <c r="O775" s="158"/>
      <c r="P775" s="92"/>
      <c r="Q775" s="146"/>
      <c r="R775" s="92"/>
      <c r="S775" s="146"/>
      <c r="T775" s="92"/>
      <c r="U775" s="146"/>
      <c r="V775" s="92"/>
      <c r="W775" s="146"/>
      <c r="X775" s="92"/>
      <c r="Y775" s="146"/>
      <c r="Z775" s="92"/>
      <c r="AA775" s="146"/>
      <c r="AB775" s="92"/>
      <c r="AC775" s="146"/>
      <c r="AD775" s="92"/>
      <c r="AE775" s="146"/>
      <c r="AF775" s="187" t="str">
        <f t="shared" ref="AF775:AF838" si="52">IF(AND(O775="",Q775="",S775="",U775="",W775="",Y775="",AA775="",AC775=""),"",IF(OR(AND(O775&lt;&gt;"NA",O775&lt;&gt;"C",O775&lt;&gt;"NC",O775&lt;&gt;"SF",O775&lt;&gt;""),AND(Q775&lt;&gt;"NA",Q775&lt;&gt;"C",Q775&lt;&gt;"NC",Q775&lt;&gt;"SF",Q775&lt;&gt;""),AND(S775&lt;&gt;"NA",S775&lt;&gt;"C",S775&lt;&gt;"NC",S775&lt;&gt;"SF",S775&lt;&gt;""),AND(U775&lt;&gt;"NA",U775&lt;&gt;"C",U775&lt;&gt;"NC",U775&lt;&gt;"SF",U775&lt;&gt;""),AND(W775&lt;&gt;"NA",W775&lt;&gt;"C",W775&lt;&gt;"NC",W775&lt;&gt;"SF",W775&lt;&gt;""),AND(Y775&lt;&gt;"NA",Y775&lt;&gt;"C",Y775&lt;&gt;"NC",Y775&lt;&gt;"SF",Y775&lt;&gt;""),AND(AA775&lt;&gt;"NA",AA775&lt;&gt;"C",AA775&lt;&gt;"NC",AA775&lt;&gt;"SF",AA775&lt;&gt;""),AND(AC775&lt;&gt;"NA",AC775&lt;&gt;"C",AC775&lt;&gt;"NC",AC775&lt;&gt;"SF",AC775&lt;&gt;"")),"FALSO",IF(AND(O775="NA",Q775="NA",S775="NA",U775="NA",W775="NA",Y775="NA",AA775="NA",AC775="NA"),"NA",IF(OR(O775="NC",Q775="NC",S775="NC",U775="NC",W775="NC",Y775="NC",AA775="NC",AC775="NC",O775="SF",Q775="SF",S775="SF",U775="SF",W775="SF",Y775="SF",AA775="SF",AC775="SF"),"NC",IF(OR(O775="C",Q775="C",S775="C",U775="C",W775="C",Y775="C",AA775="C",AC775="C"),"C","")))))</f>
        <v/>
      </c>
      <c r="AG775" s="54" t="b">
        <f t="shared" si="51"/>
        <v>0</v>
      </c>
      <c r="AH775" s="146"/>
      <c r="AI775" s="210" t="s">
        <v>6</v>
      </c>
      <c r="AJ775" s="97" t="str">
        <f t="shared" ref="AJ775:AJ838" si="53">E775</f>
        <v>GUARULHOS</v>
      </c>
      <c r="AK775" s="213" t="s">
        <v>39</v>
      </c>
      <c r="AL775" s="53">
        <v>0.99814272686856576</v>
      </c>
      <c r="AM775" s="53" t="str" cm="1">
        <f t="array" ref="AM775">IF(OR(O775&lt;&gt;"", SUMPRODUCT(($AN$2:$AN$5000=AN775)*($AL$2:$AL$5000&lt;=AL775)) &lt;= (COUNTIF($AN$2:$AN$5000,AN775)*0.5)), "SORTEADO", "-")</f>
        <v>-</v>
      </c>
      <c r="AN775" s="230" t="s">
        <v>2065</v>
      </c>
    </row>
    <row r="776" spans="1:40" ht="30" customHeight="1" x14ac:dyDescent="0.2">
      <c r="A776" s="230" t="s">
        <v>197</v>
      </c>
      <c r="B776" s="230">
        <v>2616848812</v>
      </c>
      <c r="C776" s="230" t="s">
        <v>83</v>
      </c>
      <c r="D776" s="230" t="s">
        <v>76</v>
      </c>
      <c r="E776" s="230" t="s">
        <v>198</v>
      </c>
      <c r="F776" s="230" t="s">
        <v>2067</v>
      </c>
      <c r="G776" s="230">
        <v>239</v>
      </c>
      <c r="H776" s="230" t="s">
        <v>461</v>
      </c>
      <c r="I776" s="230" t="s">
        <v>411</v>
      </c>
      <c r="J776" s="230" t="s">
        <v>219</v>
      </c>
      <c r="K776" s="230" t="s">
        <v>2072</v>
      </c>
      <c r="L776" s="230" t="s">
        <v>2065</v>
      </c>
      <c r="M776" s="230" t="s">
        <v>2073</v>
      </c>
      <c r="N776" s="230" t="s">
        <v>408</v>
      </c>
      <c r="O776" s="158" t="s">
        <v>204</v>
      </c>
      <c r="P776" s="92"/>
      <c r="Q776" s="146" t="s">
        <v>204</v>
      </c>
      <c r="R776" s="92"/>
      <c r="S776" s="146" t="s">
        <v>204</v>
      </c>
      <c r="T776" s="92"/>
      <c r="U776" s="146" t="s">
        <v>204</v>
      </c>
      <c r="V776" s="92"/>
      <c r="W776" s="146" t="s">
        <v>204</v>
      </c>
      <c r="X776" s="92"/>
      <c r="Y776" s="146" t="s">
        <v>210</v>
      </c>
      <c r="Z776" s="92" t="s">
        <v>2070</v>
      </c>
      <c r="AA776" s="146" t="s">
        <v>210</v>
      </c>
      <c r="AB776" s="92" t="s">
        <v>618</v>
      </c>
      <c r="AC776" s="146" t="s">
        <v>204</v>
      </c>
      <c r="AD776" s="92"/>
      <c r="AE776" s="146" t="s">
        <v>204</v>
      </c>
      <c r="AF776" s="187" t="str">
        <f t="shared" si="52"/>
        <v>NC</v>
      </c>
      <c r="AG776" s="54" t="str">
        <f t="shared" si="51"/>
        <v>UTILIZOU O PDA CORRETAMENTE. NÃO HÁ FOTOS DE TODAS AS ETAPAS</v>
      </c>
      <c r="AH776" s="146" t="s">
        <v>204</v>
      </c>
      <c r="AI776" s="210" t="s">
        <v>6</v>
      </c>
      <c r="AJ776" s="97" t="str">
        <f t="shared" si="53"/>
        <v>GUARULHOS</v>
      </c>
      <c r="AK776" s="213" t="s">
        <v>39</v>
      </c>
      <c r="AL776" s="53">
        <v>0.23905396897030107</v>
      </c>
      <c r="AM776" s="53" t="str" cm="1">
        <f t="array" ref="AM776">IF(OR(O776&lt;&gt;"", SUMPRODUCT(($AN$2:$AN$5000=AN776)*($AL$2:$AL$5000&lt;=AL776)) &lt;= (COUNTIF($AN$2:$AN$5000,AN776)*0.5)), "SORTEADO", "-")</f>
        <v>SORTEADO</v>
      </c>
      <c r="AN776" s="230" t="s">
        <v>2065</v>
      </c>
    </row>
    <row r="777" spans="1:40" ht="30" hidden="1" customHeight="1" x14ac:dyDescent="0.2">
      <c r="A777" s="230" t="s">
        <v>197</v>
      </c>
      <c r="B777" s="230">
        <v>2614198020</v>
      </c>
      <c r="C777" s="230" t="s">
        <v>91</v>
      </c>
      <c r="D777" s="230" t="s">
        <v>76</v>
      </c>
      <c r="E777" s="230" t="s">
        <v>198</v>
      </c>
      <c r="F777" s="230" t="s">
        <v>2067</v>
      </c>
      <c r="G777" s="230">
        <v>239</v>
      </c>
      <c r="H777" s="230" t="s">
        <v>2074</v>
      </c>
      <c r="I777" s="230" t="s">
        <v>411</v>
      </c>
      <c r="J777" s="230" t="s">
        <v>448</v>
      </c>
      <c r="K777" s="230" t="s">
        <v>2075</v>
      </c>
      <c r="L777" s="230" t="s">
        <v>2065</v>
      </c>
      <c r="M777" s="230" t="s">
        <v>2076</v>
      </c>
      <c r="N777" s="230" t="s">
        <v>408</v>
      </c>
      <c r="O777" s="158"/>
      <c r="P777" s="92"/>
      <c r="Q777" s="146"/>
      <c r="R777" s="92"/>
      <c r="S777" s="146"/>
      <c r="T777" s="92"/>
      <c r="U777" s="146"/>
      <c r="V777" s="92"/>
      <c r="W777" s="146"/>
      <c r="X777" s="92"/>
      <c r="Y777" s="146"/>
      <c r="Z777" s="92"/>
      <c r="AA777" s="146"/>
      <c r="AB777" s="92"/>
      <c r="AC777" s="146"/>
      <c r="AD777" s="92"/>
      <c r="AE777" s="146"/>
      <c r="AF777" s="187" t="str">
        <f t="shared" si="52"/>
        <v/>
      </c>
      <c r="AG777" s="54" t="b">
        <f t="shared" si="51"/>
        <v>0</v>
      </c>
      <c r="AH777" s="146"/>
      <c r="AI777" s="210" t="s">
        <v>6</v>
      </c>
      <c r="AJ777" s="97" t="str">
        <f t="shared" si="53"/>
        <v>GUARULHOS</v>
      </c>
      <c r="AK777" s="213" t="s">
        <v>39</v>
      </c>
      <c r="AL777" s="53">
        <v>0.69928267339457506</v>
      </c>
      <c r="AM777" s="53" t="str" cm="1">
        <f t="array" ref="AM777">IF(OR(O777&lt;&gt;"", SUMPRODUCT(($AN$2:$AN$5000=AN777)*($AL$2:$AL$5000&lt;=AL777)) &lt;= (COUNTIF($AN$2:$AN$5000,AN777)*0.5)), "SORTEADO", "-")</f>
        <v>-</v>
      </c>
      <c r="AN777" s="230" t="s">
        <v>2065</v>
      </c>
    </row>
    <row r="778" spans="1:40" ht="30" hidden="1" customHeight="1" x14ac:dyDescent="0.2">
      <c r="A778" s="230" t="s">
        <v>197</v>
      </c>
      <c r="B778" s="230">
        <v>2616850855</v>
      </c>
      <c r="C778" s="230" t="s">
        <v>95</v>
      </c>
      <c r="D778" s="230" t="s">
        <v>76</v>
      </c>
      <c r="E778" s="230" t="s">
        <v>198</v>
      </c>
      <c r="F778" s="230" t="s">
        <v>2061</v>
      </c>
      <c r="G778" s="230">
        <v>156</v>
      </c>
      <c r="H778" s="230" t="s">
        <v>2077</v>
      </c>
      <c r="I778" s="230" t="s">
        <v>2063</v>
      </c>
      <c r="J778" s="230" t="s">
        <v>95</v>
      </c>
      <c r="K778" s="230" t="s">
        <v>2078</v>
      </c>
      <c r="L778" s="230" t="s">
        <v>2065</v>
      </c>
      <c r="M778" s="230" t="s">
        <v>2079</v>
      </c>
      <c r="N778" s="230" t="s">
        <v>408</v>
      </c>
      <c r="O778" s="158"/>
      <c r="P778" s="92"/>
      <c r="Q778" s="146"/>
      <c r="R778" s="92"/>
      <c r="S778" s="146"/>
      <c r="T778" s="92"/>
      <c r="U778" s="146"/>
      <c r="V778" s="92"/>
      <c r="W778" s="146"/>
      <c r="X778" s="92"/>
      <c r="Y778" s="146"/>
      <c r="Z778" s="92"/>
      <c r="AA778" s="146"/>
      <c r="AB778" s="92"/>
      <c r="AC778" s="146"/>
      <c r="AD778" s="92"/>
      <c r="AE778" s="146"/>
      <c r="AF778" s="187" t="str">
        <f t="shared" si="52"/>
        <v/>
      </c>
      <c r="AG778" s="54" t="b">
        <f t="shared" si="51"/>
        <v>0</v>
      </c>
      <c r="AH778" s="146"/>
      <c r="AI778" s="210" t="s">
        <v>6</v>
      </c>
      <c r="AJ778" s="97" t="str">
        <f t="shared" si="53"/>
        <v>GUARULHOS</v>
      </c>
      <c r="AK778" s="213" t="s">
        <v>39</v>
      </c>
      <c r="AL778" s="53">
        <v>0.90067625974373611</v>
      </c>
      <c r="AM778" s="53" t="str" cm="1">
        <f t="array" ref="AM778">IF(OR(O778&lt;&gt;"", SUMPRODUCT(($AN$2:$AN$5000=AN778)*($AL$2:$AL$5000&lt;=AL778)) &lt;= (COUNTIF($AN$2:$AN$5000,AN778)*0.5)), "SORTEADO", "-")</f>
        <v>-</v>
      </c>
      <c r="AN778" s="230" t="s">
        <v>2065</v>
      </c>
    </row>
    <row r="779" spans="1:40" ht="30" hidden="1" customHeight="1" x14ac:dyDescent="0.2">
      <c r="A779" s="230" t="s">
        <v>197</v>
      </c>
      <c r="B779" s="230">
        <v>2616850736</v>
      </c>
      <c r="C779" s="230" t="s">
        <v>95</v>
      </c>
      <c r="D779" s="230" t="s">
        <v>76</v>
      </c>
      <c r="E779" s="230" t="s">
        <v>198</v>
      </c>
      <c r="F779" s="230" t="s">
        <v>2061</v>
      </c>
      <c r="G779" s="230">
        <v>156</v>
      </c>
      <c r="H779" s="230" t="s">
        <v>2080</v>
      </c>
      <c r="I779" s="230" t="s">
        <v>2063</v>
      </c>
      <c r="J779" s="230" t="s">
        <v>95</v>
      </c>
      <c r="K779" s="230" t="s">
        <v>2078</v>
      </c>
      <c r="L779" s="230" t="s">
        <v>2065</v>
      </c>
      <c r="M779" s="230" t="s">
        <v>2081</v>
      </c>
      <c r="N779" s="230" t="s">
        <v>408</v>
      </c>
      <c r="O779" s="158"/>
      <c r="P779" s="92"/>
      <c r="Q779" s="146"/>
      <c r="R779" s="92"/>
      <c r="S779" s="146"/>
      <c r="T779" s="92"/>
      <c r="U779" s="146"/>
      <c r="V779" s="92"/>
      <c r="W779" s="146"/>
      <c r="X779" s="92"/>
      <c r="Y779" s="146"/>
      <c r="Z779" s="92"/>
      <c r="AA779" s="146"/>
      <c r="AB779" s="92"/>
      <c r="AC779" s="146"/>
      <c r="AD779" s="92"/>
      <c r="AE779" s="146"/>
      <c r="AF779" s="187" t="str">
        <f t="shared" si="52"/>
        <v/>
      </c>
      <c r="AG779" s="54" t="b">
        <f t="shared" si="51"/>
        <v>0</v>
      </c>
      <c r="AH779" s="146"/>
      <c r="AI779" s="210" t="s">
        <v>6</v>
      </c>
      <c r="AJ779" s="97" t="str">
        <f t="shared" si="53"/>
        <v>GUARULHOS</v>
      </c>
      <c r="AK779" s="213" t="s">
        <v>39</v>
      </c>
      <c r="AL779" s="53">
        <v>0.70809666938289006</v>
      </c>
      <c r="AM779" s="53" t="str" cm="1">
        <f t="array" ref="AM779">IF(OR(O779&lt;&gt;"", SUMPRODUCT(($AN$2:$AN$5000=AN779)*($AL$2:$AL$5000&lt;=AL779)) &lt;= (COUNTIF($AN$2:$AN$5000,AN779)*0.5)), "SORTEADO", "-")</f>
        <v>-</v>
      </c>
      <c r="AN779" s="230" t="s">
        <v>2065</v>
      </c>
    </row>
    <row r="780" spans="1:40" ht="30" customHeight="1" x14ac:dyDescent="0.2">
      <c r="A780" s="230" t="s">
        <v>197</v>
      </c>
      <c r="B780" s="230">
        <v>2616899097</v>
      </c>
      <c r="C780" s="230" t="s">
        <v>93</v>
      </c>
      <c r="D780" s="230" t="s">
        <v>76</v>
      </c>
      <c r="E780" s="230" t="s">
        <v>198</v>
      </c>
      <c r="F780" s="230" t="s">
        <v>2019</v>
      </c>
      <c r="G780" s="230">
        <v>1389</v>
      </c>
      <c r="H780" s="230" t="s">
        <v>206</v>
      </c>
      <c r="I780" s="230" t="s">
        <v>445</v>
      </c>
      <c r="J780" s="230" t="s">
        <v>93</v>
      </c>
      <c r="K780" s="230" t="s">
        <v>2082</v>
      </c>
      <c r="L780" s="230" t="s">
        <v>2065</v>
      </c>
      <c r="M780" s="230" t="s">
        <v>2083</v>
      </c>
      <c r="N780" s="230" t="s">
        <v>408</v>
      </c>
      <c r="O780" s="158" t="s">
        <v>204</v>
      </c>
      <c r="P780" s="92"/>
      <c r="Q780" s="146" t="s">
        <v>61</v>
      </c>
      <c r="R780" s="92"/>
      <c r="S780" s="146" t="s">
        <v>61</v>
      </c>
      <c r="T780" s="92"/>
      <c r="U780" s="146" t="s">
        <v>61</v>
      </c>
      <c r="V780" s="92"/>
      <c r="W780" s="146" t="s">
        <v>61</v>
      </c>
      <c r="X780" s="92"/>
      <c r="Y780" s="146" t="s">
        <v>61</v>
      </c>
      <c r="Z780" s="92"/>
      <c r="AA780" s="146" t="s">
        <v>61</v>
      </c>
      <c r="AB780" s="92"/>
      <c r="AC780" s="146" t="s">
        <v>204</v>
      </c>
      <c r="AD780" s="92"/>
      <c r="AE780" s="146" t="s">
        <v>204</v>
      </c>
      <c r="AF780" s="187" t="str">
        <f t="shared" si="52"/>
        <v>C</v>
      </c>
      <c r="AG780" s="54" t="str">
        <f t="shared" si="51"/>
        <v>UTILIZOU O PDA CORRETAMENTE</v>
      </c>
      <c r="AH780" s="146" t="s">
        <v>204</v>
      </c>
      <c r="AI780" s="210" t="s">
        <v>6</v>
      </c>
      <c r="AJ780" s="97" t="str">
        <f t="shared" si="53"/>
        <v>GUARULHOS</v>
      </c>
      <c r="AK780" s="213" t="s">
        <v>39</v>
      </c>
      <c r="AL780" s="53">
        <v>0.26290382761539066</v>
      </c>
      <c r="AM780" s="53" t="str" cm="1">
        <f t="array" ref="AM780">IF(OR(O780&lt;&gt;"", SUMPRODUCT(($AN$2:$AN$5000=AN780)*($AL$2:$AL$5000&lt;=AL780)) &lt;= (COUNTIF($AN$2:$AN$5000,AN780)*0.5)), "SORTEADO", "-")</f>
        <v>SORTEADO</v>
      </c>
      <c r="AN780" s="230" t="s">
        <v>2065</v>
      </c>
    </row>
    <row r="781" spans="1:40" ht="30" customHeight="1" x14ac:dyDescent="0.2">
      <c r="A781" s="230" t="s">
        <v>197</v>
      </c>
      <c r="B781" s="230">
        <v>2616899104</v>
      </c>
      <c r="C781" s="230" t="s">
        <v>95</v>
      </c>
      <c r="D781" s="230" t="s">
        <v>76</v>
      </c>
      <c r="E781" s="230" t="s">
        <v>198</v>
      </c>
      <c r="F781" s="230" t="s">
        <v>2019</v>
      </c>
      <c r="G781" s="230">
        <v>1389</v>
      </c>
      <c r="H781" s="230" t="s">
        <v>217</v>
      </c>
      <c r="I781" s="230" t="s">
        <v>445</v>
      </c>
      <c r="J781" s="230" t="s">
        <v>95</v>
      </c>
      <c r="K781" s="230" t="s">
        <v>2084</v>
      </c>
      <c r="L781" s="230" t="s">
        <v>2065</v>
      </c>
      <c r="M781" s="230" t="s">
        <v>2085</v>
      </c>
      <c r="N781" s="230" t="s">
        <v>408</v>
      </c>
      <c r="O781" s="158" t="s">
        <v>204</v>
      </c>
      <c r="P781" s="92"/>
      <c r="Q781" s="146" t="s">
        <v>61</v>
      </c>
      <c r="R781" s="92"/>
      <c r="S781" s="146" t="s">
        <v>61</v>
      </c>
      <c r="T781" s="92"/>
      <c r="U781" s="146" t="s">
        <v>61</v>
      </c>
      <c r="V781" s="92"/>
      <c r="W781" s="146" t="s">
        <v>61</v>
      </c>
      <c r="X781" s="92"/>
      <c r="Y781" s="146" t="s">
        <v>61</v>
      </c>
      <c r="Z781" s="92"/>
      <c r="AA781" s="146" t="s">
        <v>61</v>
      </c>
      <c r="AB781" s="92"/>
      <c r="AC781" s="146" t="s">
        <v>204</v>
      </c>
      <c r="AD781" s="92"/>
      <c r="AE781" s="146" t="s">
        <v>204</v>
      </c>
      <c r="AF781" s="187" t="str">
        <f t="shared" si="52"/>
        <v>C</v>
      </c>
      <c r="AG781" s="54" t="str">
        <f t="shared" si="51"/>
        <v>UTILIZOU O PDA CORRETAMENTE</v>
      </c>
      <c r="AH781" s="146" t="s">
        <v>204</v>
      </c>
      <c r="AI781" s="210" t="s">
        <v>6</v>
      </c>
      <c r="AJ781" s="97" t="str">
        <f t="shared" si="53"/>
        <v>GUARULHOS</v>
      </c>
      <c r="AK781" s="213" t="s">
        <v>39</v>
      </c>
      <c r="AL781" s="53">
        <v>0.11365298253399392</v>
      </c>
      <c r="AM781" s="53" t="str" cm="1">
        <f t="array" ref="AM781">IF(OR(O781&lt;&gt;"", SUMPRODUCT(($AN$2:$AN$5000=AN781)*($AL$2:$AL$5000&lt;=AL781)) &lt;= (COUNTIF($AN$2:$AN$5000,AN781)*0.5)), "SORTEADO", "-")</f>
        <v>SORTEADO</v>
      </c>
      <c r="AN781" s="230" t="s">
        <v>2065</v>
      </c>
    </row>
    <row r="782" spans="1:40" ht="30" customHeight="1" x14ac:dyDescent="0.2">
      <c r="A782" s="230" t="s">
        <v>197</v>
      </c>
      <c r="B782" s="230">
        <v>2616899102</v>
      </c>
      <c r="C782" s="230" t="s">
        <v>95</v>
      </c>
      <c r="D782" s="230" t="s">
        <v>76</v>
      </c>
      <c r="E782" s="230" t="s">
        <v>198</v>
      </c>
      <c r="F782" s="230" t="s">
        <v>2019</v>
      </c>
      <c r="G782" s="230">
        <v>1389</v>
      </c>
      <c r="H782" s="230" t="s">
        <v>211</v>
      </c>
      <c r="I782" s="230" t="s">
        <v>445</v>
      </c>
      <c r="J782" s="230" t="s">
        <v>95</v>
      </c>
      <c r="K782" s="230" t="s">
        <v>2084</v>
      </c>
      <c r="L782" s="230" t="s">
        <v>2065</v>
      </c>
      <c r="M782" s="230" t="s">
        <v>2086</v>
      </c>
      <c r="N782" s="230" t="s">
        <v>408</v>
      </c>
      <c r="O782" s="158" t="s">
        <v>204</v>
      </c>
      <c r="P782" s="92"/>
      <c r="Q782" s="146" t="s">
        <v>61</v>
      </c>
      <c r="R782" s="92"/>
      <c r="S782" s="146" t="s">
        <v>61</v>
      </c>
      <c r="T782" s="92"/>
      <c r="U782" s="146" t="s">
        <v>61</v>
      </c>
      <c r="V782" s="92"/>
      <c r="W782" s="146" t="s">
        <v>61</v>
      </c>
      <c r="X782" s="92"/>
      <c r="Y782" s="146" t="s">
        <v>61</v>
      </c>
      <c r="Z782" s="92"/>
      <c r="AA782" s="146" t="s">
        <v>61</v>
      </c>
      <c r="AB782" s="92"/>
      <c r="AC782" s="146" t="s">
        <v>204</v>
      </c>
      <c r="AD782" s="92"/>
      <c r="AE782" s="146" t="s">
        <v>204</v>
      </c>
      <c r="AF782" s="187" t="str">
        <f t="shared" si="52"/>
        <v>C</v>
      </c>
      <c r="AG782" s="54" t="str">
        <f t="shared" si="51"/>
        <v>UTILIZOU O PDA CORRETAMENTE</v>
      </c>
      <c r="AH782" s="146" t="s">
        <v>204</v>
      </c>
      <c r="AI782" s="210" t="s">
        <v>6</v>
      </c>
      <c r="AJ782" s="97" t="str">
        <f t="shared" si="53"/>
        <v>GUARULHOS</v>
      </c>
      <c r="AK782" s="213" t="s">
        <v>39</v>
      </c>
      <c r="AL782" s="53">
        <v>0.34589197479933265</v>
      </c>
      <c r="AM782" s="53" t="str" cm="1">
        <f t="array" ref="AM782">IF(OR(O782&lt;&gt;"", SUMPRODUCT(($AN$2:$AN$5000=AN782)*($AL$2:$AL$5000&lt;=AL782)) &lt;= (COUNTIF($AN$2:$AN$5000,AN782)*0.5)), "SORTEADO", "-")</f>
        <v>SORTEADO</v>
      </c>
      <c r="AN782" s="230" t="s">
        <v>2065</v>
      </c>
    </row>
    <row r="783" spans="1:40" ht="30" hidden="1" customHeight="1" x14ac:dyDescent="0.2">
      <c r="A783" s="230" t="s">
        <v>197</v>
      </c>
      <c r="B783" s="230">
        <v>2617186293</v>
      </c>
      <c r="C783" s="230" t="s">
        <v>85</v>
      </c>
      <c r="D783" s="230" t="s">
        <v>76</v>
      </c>
      <c r="E783" s="230" t="s">
        <v>198</v>
      </c>
      <c r="F783" s="230" t="s">
        <v>1478</v>
      </c>
      <c r="G783" s="230">
        <v>391</v>
      </c>
      <c r="H783" s="230" t="s">
        <v>213</v>
      </c>
      <c r="I783" s="230" t="s">
        <v>253</v>
      </c>
      <c r="J783" s="230" t="s">
        <v>85</v>
      </c>
      <c r="K783" s="230" t="s">
        <v>2087</v>
      </c>
      <c r="L783" s="230" t="s">
        <v>1935</v>
      </c>
      <c r="M783" s="230" t="s">
        <v>2088</v>
      </c>
      <c r="N783" s="230" t="s">
        <v>408</v>
      </c>
      <c r="O783" s="158"/>
      <c r="P783" s="92"/>
      <c r="Q783" s="146"/>
      <c r="R783" s="92"/>
      <c r="S783" s="146"/>
      <c r="T783" s="92"/>
      <c r="U783" s="146"/>
      <c r="V783" s="92"/>
      <c r="W783" s="146"/>
      <c r="X783" s="92"/>
      <c r="Y783" s="146"/>
      <c r="Z783" s="92"/>
      <c r="AA783" s="146"/>
      <c r="AB783" s="92"/>
      <c r="AC783" s="146"/>
      <c r="AD783" s="92"/>
      <c r="AE783" s="146"/>
      <c r="AF783" s="187" t="str">
        <f t="shared" si="52"/>
        <v/>
      </c>
      <c r="AG783" s="54" t="b">
        <f t="shared" si="51"/>
        <v>0</v>
      </c>
      <c r="AH783" s="146"/>
      <c r="AI783" s="210" t="s">
        <v>6</v>
      </c>
      <c r="AJ783" s="97" t="str">
        <f t="shared" si="53"/>
        <v>GUARULHOS</v>
      </c>
      <c r="AK783" s="213" t="s">
        <v>39</v>
      </c>
      <c r="AL783" s="53">
        <v>0.9808182598495091</v>
      </c>
      <c r="AM783" s="53" t="str" cm="1">
        <f t="array" ref="AM783">IF(OR(O783&lt;&gt;"", SUMPRODUCT(($AN$2:$AN$5000=AN783)*($AL$2:$AL$5000&lt;=AL783)) &lt;= (COUNTIF($AN$2:$AN$5000,AN783)*0.5)), "SORTEADO", "-")</f>
        <v>-</v>
      </c>
      <c r="AN783" s="230" t="s">
        <v>1935</v>
      </c>
    </row>
    <row r="784" spans="1:40" ht="30" hidden="1" customHeight="1" x14ac:dyDescent="0.2">
      <c r="A784" s="230" t="s">
        <v>197</v>
      </c>
      <c r="B784" s="230">
        <v>2617118224</v>
      </c>
      <c r="C784" s="230" t="s">
        <v>99</v>
      </c>
      <c r="D784" s="230" t="s">
        <v>80</v>
      </c>
      <c r="E784" s="230" t="s">
        <v>198</v>
      </c>
      <c r="F784" s="230" t="s">
        <v>759</v>
      </c>
      <c r="G784" s="230">
        <v>747</v>
      </c>
      <c r="H784" s="230" t="s">
        <v>235</v>
      </c>
      <c r="I784" s="230" t="s">
        <v>761</v>
      </c>
      <c r="J784" s="230" t="s">
        <v>305</v>
      </c>
      <c r="K784" s="230"/>
      <c r="L784" s="230" t="s">
        <v>1888</v>
      </c>
      <c r="M784" s="230" t="s">
        <v>2089</v>
      </c>
      <c r="N784" s="230" t="s">
        <v>263</v>
      </c>
      <c r="O784" s="158"/>
      <c r="P784" s="92"/>
      <c r="Q784" s="146"/>
      <c r="R784" s="92"/>
      <c r="S784" s="146"/>
      <c r="T784" s="92"/>
      <c r="U784" s="146"/>
      <c r="V784" s="92"/>
      <c r="W784" s="146"/>
      <c r="X784" s="92"/>
      <c r="Y784" s="146"/>
      <c r="Z784" s="92"/>
      <c r="AA784" s="146"/>
      <c r="AB784" s="92"/>
      <c r="AC784" s="146"/>
      <c r="AD784" s="92"/>
      <c r="AE784" s="146"/>
      <c r="AF784" s="187" t="str">
        <f t="shared" si="52"/>
        <v/>
      </c>
      <c r="AG784" s="54" t="b">
        <f t="shared" si="51"/>
        <v>0</v>
      </c>
      <c r="AH784" s="146"/>
      <c r="AI784" s="210" t="s">
        <v>6</v>
      </c>
      <c r="AJ784" s="97" t="str">
        <f t="shared" si="53"/>
        <v>GUARULHOS</v>
      </c>
      <c r="AK784" s="213" t="s">
        <v>39</v>
      </c>
      <c r="AL784" s="53">
        <v>0.9612975132495043</v>
      </c>
      <c r="AM784" s="53" t="str" cm="1">
        <f t="array" ref="AM784">IF(OR(O784&lt;&gt;"", SUMPRODUCT(($AN$2:$AN$5000=AN784)*($AL$2:$AL$5000&lt;=AL784)) &lt;= (COUNTIF($AN$2:$AN$5000,AN784)*0.5)), "SORTEADO", "-")</f>
        <v>-</v>
      </c>
      <c r="AN784" s="230" t="s">
        <v>1888</v>
      </c>
    </row>
    <row r="785" spans="1:40" ht="30" customHeight="1" x14ac:dyDescent="0.2">
      <c r="A785" s="230" t="s">
        <v>197</v>
      </c>
      <c r="B785" s="230">
        <v>2617118224</v>
      </c>
      <c r="C785" s="230" t="s">
        <v>875</v>
      </c>
      <c r="D785" s="230" t="s">
        <v>80</v>
      </c>
      <c r="E785" s="230" t="s">
        <v>198</v>
      </c>
      <c r="F785" s="230" t="s">
        <v>759</v>
      </c>
      <c r="G785" s="230">
        <v>747</v>
      </c>
      <c r="H785" s="230" t="s">
        <v>235</v>
      </c>
      <c r="I785" s="230" t="s">
        <v>761</v>
      </c>
      <c r="J785" s="230" t="s">
        <v>876</v>
      </c>
      <c r="K785" s="230" t="s">
        <v>213</v>
      </c>
      <c r="L785" s="230" t="s">
        <v>1888</v>
      </c>
      <c r="M785" s="230" t="s">
        <v>2090</v>
      </c>
      <c r="N785" s="230" t="s">
        <v>263</v>
      </c>
      <c r="O785" s="158" t="s">
        <v>204</v>
      </c>
      <c r="P785" s="92"/>
      <c r="Q785" s="146" t="s">
        <v>204</v>
      </c>
      <c r="R785" s="92"/>
      <c r="S785" s="146" t="s">
        <v>204</v>
      </c>
      <c r="T785" s="92"/>
      <c r="U785" s="146" t="s">
        <v>204</v>
      </c>
      <c r="V785" s="92"/>
      <c r="W785" s="146" t="s">
        <v>204</v>
      </c>
      <c r="X785" s="92"/>
      <c r="Y785" s="146" t="s">
        <v>61</v>
      </c>
      <c r="Z785" s="92"/>
      <c r="AA785" s="146" t="s">
        <v>204</v>
      </c>
      <c r="AB785" s="92"/>
      <c r="AC785" s="146" t="s">
        <v>204</v>
      </c>
      <c r="AD785" s="92"/>
      <c r="AE785" s="146" t="s">
        <v>204</v>
      </c>
      <c r="AF785" s="187" t="str">
        <f t="shared" si="52"/>
        <v>C</v>
      </c>
      <c r="AG785" s="54" t="str">
        <f t="shared" si="51"/>
        <v>UTILIZOU O PDA CORRETAMENTE</v>
      </c>
      <c r="AH785" s="144" t="s">
        <v>204</v>
      </c>
      <c r="AI785" s="210" t="s">
        <v>6</v>
      </c>
      <c r="AJ785" s="97" t="str">
        <f t="shared" si="53"/>
        <v>GUARULHOS</v>
      </c>
      <c r="AK785" s="213" t="s">
        <v>39</v>
      </c>
      <c r="AL785" s="53">
        <v>1.962318830592269E-2</v>
      </c>
      <c r="AM785" s="53" t="str" cm="1">
        <f t="array" ref="AM785">IF(OR(O785&lt;&gt;"", SUMPRODUCT(($AN$2:$AN$5000=AN785)*($AL$2:$AL$5000&lt;=AL785)) &lt;= (COUNTIF($AN$2:$AN$5000,AN785)*0.5)), "SORTEADO", "-")</f>
        <v>SORTEADO</v>
      </c>
      <c r="AN785" s="230" t="s">
        <v>1888</v>
      </c>
    </row>
    <row r="786" spans="1:40" ht="30" hidden="1" customHeight="1" x14ac:dyDescent="0.2">
      <c r="A786" s="230" t="s">
        <v>197</v>
      </c>
      <c r="B786" s="230">
        <v>2617118673</v>
      </c>
      <c r="C786" s="230" t="s">
        <v>99</v>
      </c>
      <c r="D786" s="230" t="s">
        <v>80</v>
      </c>
      <c r="E786" s="230" t="s">
        <v>198</v>
      </c>
      <c r="F786" s="230" t="s">
        <v>2091</v>
      </c>
      <c r="G786" s="230">
        <v>53</v>
      </c>
      <c r="H786" s="230" t="s">
        <v>2092</v>
      </c>
      <c r="I786" s="230" t="s">
        <v>436</v>
      </c>
      <c r="J786" s="230" t="s">
        <v>305</v>
      </c>
      <c r="K786" s="230" t="s">
        <v>2093</v>
      </c>
      <c r="L786" s="230" t="s">
        <v>1888</v>
      </c>
      <c r="M786" s="230" t="s">
        <v>2094</v>
      </c>
      <c r="N786" s="230" t="s">
        <v>322</v>
      </c>
      <c r="O786" s="158"/>
      <c r="P786" s="92"/>
      <c r="Q786" s="146"/>
      <c r="R786" s="92"/>
      <c r="S786" s="146"/>
      <c r="T786" s="92"/>
      <c r="U786" s="146"/>
      <c r="V786" s="92"/>
      <c r="W786" s="146"/>
      <c r="X786" s="92"/>
      <c r="Y786" s="146"/>
      <c r="Z786" s="92"/>
      <c r="AA786" s="146"/>
      <c r="AB786" s="92"/>
      <c r="AC786" s="146"/>
      <c r="AD786" s="92"/>
      <c r="AE786" s="146"/>
      <c r="AF786" s="187" t="str">
        <f t="shared" si="52"/>
        <v/>
      </c>
      <c r="AG786" s="54" t="b">
        <f t="shared" si="51"/>
        <v>0</v>
      </c>
      <c r="AH786" s="146"/>
      <c r="AI786" s="210" t="s">
        <v>6</v>
      </c>
      <c r="AJ786" s="97" t="str">
        <f t="shared" si="53"/>
        <v>GUARULHOS</v>
      </c>
      <c r="AK786" s="213" t="s">
        <v>39</v>
      </c>
      <c r="AL786" s="53">
        <v>0.50592790854388725</v>
      </c>
      <c r="AM786" s="53" t="str" cm="1">
        <f t="array" ref="AM786">IF(OR(O786&lt;&gt;"", SUMPRODUCT(($AN$2:$AN$5000=AN786)*($AL$2:$AL$5000&lt;=AL786)) &lt;= (COUNTIF($AN$2:$AN$5000,AN786)*0.5)), "SORTEADO", "-")</f>
        <v>-</v>
      </c>
      <c r="AN786" s="230" t="s">
        <v>1888</v>
      </c>
    </row>
    <row r="787" spans="1:40" ht="30" customHeight="1" x14ac:dyDescent="0.2">
      <c r="A787" s="230" t="s">
        <v>197</v>
      </c>
      <c r="B787" s="230">
        <v>2617362850</v>
      </c>
      <c r="C787" s="230" t="s">
        <v>102</v>
      </c>
      <c r="D787" s="230" t="s">
        <v>80</v>
      </c>
      <c r="E787" s="230" t="s">
        <v>198</v>
      </c>
      <c r="F787" s="230" t="s">
        <v>1141</v>
      </c>
      <c r="G787" s="230">
        <v>543</v>
      </c>
      <c r="H787" s="230" t="s">
        <v>2095</v>
      </c>
      <c r="I787" s="230" t="s">
        <v>893</v>
      </c>
      <c r="J787" s="230" t="s">
        <v>259</v>
      </c>
      <c r="K787" s="230" t="s">
        <v>213</v>
      </c>
      <c r="L787" s="230" t="s">
        <v>2065</v>
      </c>
      <c r="M787" s="230" t="s">
        <v>2096</v>
      </c>
      <c r="N787" s="230" t="s">
        <v>1104</v>
      </c>
      <c r="O787" s="158" t="s">
        <v>204</v>
      </c>
      <c r="P787" s="92"/>
      <c r="Q787" s="146" t="s">
        <v>204</v>
      </c>
      <c r="R787" s="92"/>
      <c r="S787" s="146" t="s">
        <v>204</v>
      </c>
      <c r="T787" s="92"/>
      <c r="U787" s="146" t="s">
        <v>204</v>
      </c>
      <c r="V787" s="92"/>
      <c r="W787" s="146" t="s">
        <v>204</v>
      </c>
      <c r="X787" s="92"/>
      <c r="Y787" s="146" t="s">
        <v>61</v>
      </c>
      <c r="Z787" s="92"/>
      <c r="AA787" s="146" t="s">
        <v>204</v>
      </c>
      <c r="AB787" s="92"/>
      <c r="AC787" s="146" t="s">
        <v>204</v>
      </c>
      <c r="AD787" s="92"/>
      <c r="AE787" s="146" t="s">
        <v>204</v>
      </c>
      <c r="AF787" s="187" t="str">
        <f t="shared" si="52"/>
        <v>C</v>
      </c>
      <c r="AG787" s="54" t="str">
        <f t="shared" si="51"/>
        <v>UTILIZOU O PDA CORRETAMENTE</v>
      </c>
      <c r="AH787" s="144" t="s">
        <v>204</v>
      </c>
      <c r="AI787" s="210" t="s">
        <v>6</v>
      </c>
      <c r="AJ787" s="97" t="str">
        <f t="shared" si="53"/>
        <v>GUARULHOS</v>
      </c>
      <c r="AK787" s="213" t="s">
        <v>39</v>
      </c>
      <c r="AL787" s="53">
        <v>0.54525160131653827</v>
      </c>
      <c r="AM787" s="53" t="str" cm="1">
        <f t="array" ref="AM787">IF(OR(O787&lt;&gt;"", SUMPRODUCT(($AN$2:$AN$5000=AN787)*($AL$2:$AL$5000&lt;=AL787)) &lt;= (COUNTIF($AN$2:$AN$5000,AN787)*0.5)), "SORTEADO", "-")</f>
        <v>SORTEADO</v>
      </c>
      <c r="AN787" s="230" t="s">
        <v>2065</v>
      </c>
    </row>
    <row r="788" spans="1:40" ht="30" customHeight="1" x14ac:dyDescent="0.2">
      <c r="A788" s="230" t="s">
        <v>197</v>
      </c>
      <c r="B788" s="230">
        <v>2691515653</v>
      </c>
      <c r="C788" s="230" t="s">
        <v>102</v>
      </c>
      <c r="D788" s="230" t="s">
        <v>80</v>
      </c>
      <c r="E788" s="230" t="s">
        <v>198</v>
      </c>
      <c r="F788" s="230" t="s">
        <v>966</v>
      </c>
      <c r="G788" s="230">
        <v>911</v>
      </c>
      <c r="H788" s="230" t="s">
        <v>2097</v>
      </c>
      <c r="I788" s="230" t="s">
        <v>588</v>
      </c>
      <c r="J788" s="230" t="s">
        <v>270</v>
      </c>
      <c r="K788" s="230"/>
      <c r="L788" s="230" t="s">
        <v>2065</v>
      </c>
      <c r="M788" s="230" t="s">
        <v>2098</v>
      </c>
      <c r="N788" s="230" t="s">
        <v>250</v>
      </c>
      <c r="O788" s="158" t="s">
        <v>204</v>
      </c>
      <c r="P788" s="92"/>
      <c r="Q788" s="146" t="s">
        <v>204</v>
      </c>
      <c r="R788" s="92"/>
      <c r="S788" s="146" t="s">
        <v>204</v>
      </c>
      <c r="T788" s="92"/>
      <c r="U788" s="146" t="s">
        <v>204</v>
      </c>
      <c r="V788" s="92"/>
      <c r="W788" s="146" t="s">
        <v>204</v>
      </c>
      <c r="X788" s="92"/>
      <c r="Y788" s="146" t="s">
        <v>61</v>
      </c>
      <c r="Z788" s="92"/>
      <c r="AA788" s="146" t="s">
        <v>204</v>
      </c>
      <c r="AB788" s="92"/>
      <c r="AC788" s="146" t="s">
        <v>204</v>
      </c>
      <c r="AD788" s="92"/>
      <c r="AE788" s="146" t="s">
        <v>204</v>
      </c>
      <c r="AF788" s="187" t="str">
        <f t="shared" si="52"/>
        <v>C</v>
      </c>
      <c r="AG788" s="54" t="str">
        <f t="shared" si="51"/>
        <v>UTILIZOU O PDA CORRETAMENTE</v>
      </c>
      <c r="AH788" s="144" t="s">
        <v>204</v>
      </c>
      <c r="AI788" s="210" t="s">
        <v>6</v>
      </c>
      <c r="AJ788" s="97" t="str">
        <f t="shared" si="53"/>
        <v>GUARULHOS</v>
      </c>
      <c r="AK788" s="213" t="s">
        <v>39</v>
      </c>
      <c r="AL788" s="53">
        <v>0.18432069873044976</v>
      </c>
      <c r="AM788" s="53" t="str" cm="1">
        <f t="array" ref="AM788">IF(OR(O788&lt;&gt;"", SUMPRODUCT(($AN$2:$AN$5000=AN788)*($AL$2:$AL$5000&lt;=AL788)) &lt;= (COUNTIF($AN$2:$AN$5000,AN788)*0.5)), "SORTEADO", "-")</f>
        <v>SORTEADO</v>
      </c>
      <c r="AN788" s="230" t="s">
        <v>2065</v>
      </c>
    </row>
    <row r="789" spans="1:40" ht="30" customHeight="1" x14ac:dyDescent="0.2">
      <c r="A789" s="230" t="s">
        <v>197</v>
      </c>
      <c r="B789" s="230">
        <v>2691484887</v>
      </c>
      <c r="C789" s="230" t="s">
        <v>106</v>
      </c>
      <c r="D789" s="230" t="s">
        <v>80</v>
      </c>
      <c r="E789" s="230" t="s">
        <v>198</v>
      </c>
      <c r="F789" s="230" t="s">
        <v>468</v>
      </c>
      <c r="G789" s="230">
        <v>195</v>
      </c>
      <c r="H789" s="230" t="s">
        <v>211</v>
      </c>
      <c r="I789" s="230" t="s">
        <v>2099</v>
      </c>
      <c r="J789" s="230" t="s">
        <v>259</v>
      </c>
      <c r="K789" s="230" t="s">
        <v>1414</v>
      </c>
      <c r="L789" s="230" t="s">
        <v>2065</v>
      </c>
      <c r="M789" s="230" t="s">
        <v>2100</v>
      </c>
      <c r="N789" s="230" t="s">
        <v>250</v>
      </c>
      <c r="O789" s="158" t="s">
        <v>204</v>
      </c>
      <c r="P789" s="92"/>
      <c r="Q789" s="146" t="s">
        <v>204</v>
      </c>
      <c r="R789" s="92"/>
      <c r="S789" s="146" t="s">
        <v>204</v>
      </c>
      <c r="T789" s="92"/>
      <c r="U789" s="146" t="s">
        <v>204</v>
      </c>
      <c r="V789" s="92"/>
      <c r="W789" s="146" t="s">
        <v>204</v>
      </c>
      <c r="X789" s="92"/>
      <c r="Y789" s="146" t="s">
        <v>61</v>
      </c>
      <c r="Z789" s="92"/>
      <c r="AA789" s="146" t="s">
        <v>204</v>
      </c>
      <c r="AB789" s="92"/>
      <c r="AC789" s="146" t="s">
        <v>204</v>
      </c>
      <c r="AD789" s="92"/>
      <c r="AE789" s="146" t="s">
        <v>204</v>
      </c>
      <c r="AF789" s="187" t="str">
        <f t="shared" si="52"/>
        <v>C</v>
      </c>
      <c r="AG789" s="54" t="str">
        <f t="shared" si="51"/>
        <v>UTILIZOU O PDA CORRETAMENTE</v>
      </c>
      <c r="AH789" s="144" t="s">
        <v>204</v>
      </c>
      <c r="AI789" s="210" t="s">
        <v>6</v>
      </c>
      <c r="AJ789" s="97" t="str">
        <f t="shared" si="53"/>
        <v>GUARULHOS</v>
      </c>
      <c r="AK789" s="213" t="s">
        <v>39</v>
      </c>
      <c r="AL789" s="53">
        <v>0.26527482269494151</v>
      </c>
      <c r="AM789" s="53" t="str" cm="1">
        <f t="array" ref="AM789">IF(OR(O789&lt;&gt;"", SUMPRODUCT(($AN$2:$AN$5000=AN789)*($AL$2:$AL$5000&lt;=AL789)) &lt;= (COUNTIF($AN$2:$AN$5000,AN789)*0.5)), "SORTEADO", "-")</f>
        <v>SORTEADO</v>
      </c>
      <c r="AN789" s="230" t="s">
        <v>2065</v>
      </c>
    </row>
    <row r="790" spans="1:40" ht="30" customHeight="1" x14ac:dyDescent="0.2">
      <c r="A790" s="230" t="s">
        <v>197</v>
      </c>
      <c r="B790" s="230">
        <v>2617308286</v>
      </c>
      <c r="C790" s="230" t="s">
        <v>100</v>
      </c>
      <c r="D790" s="230" t="s">
        <v>78</v>
      </c>
      <c r="E790" s="230" t="s">
        <v>198</v>
      </c>
      <c r="F790" s="230" t="s">
        <v>2101</v>
      </c>
      <c r="G790" s="230">
        <v>13</v>
      </c>
      <c r="H790" s="230"/>
      <c r="I790" s="230" t="s">
        <v>356</v>
      </c>
      <c r="J790" s="230" t="s">
        <v>248</v>
      </c>
      <c r="K790" s="230"/>
      <c r="L790" s="230" t="s">
        <v>2065</v>
      </c>
      <c r="M790" s="230" t="s">
        <v>2102</v>
      </c>
      <c r="N790" s="230" t="s">
        <v>228</v>
      </c>
      <c r="O790" s="157" t="s">
        <v>204</v>
      </c>
      <c r="P790" s="143"/>
      <c r="Q790" s="144" t="s">
        <v>204</v>
      </c>
      <c r="R790" s="143"/>
      <c r="S790" s="144" t="s">
        <v>204</v>
      </c>
      <c r="T790" s="143"/>
      <c r="U790" s="144" t="s">
        <v>204</v>
      </c>
      <c r="V790" s="143"/>
      <c r="W790" s="144" t="s">
        <v>204</v>
      </c>
      <c r="X790" s="143"/>
      <c r="Y790" s="144" t="s">
        <v>204</v>
      </c>
      <c r="Z790" s="143"/>
      <c r="AA790" s="144" t="s">
        <v>204</v>
      </c>
      <c r="AB790" s="143"/>
      <c r="AC790" s="144" t="s">
        <v>204</v>
      </c>
      <c r="AD790" s="56"/>
      <c r="AE790" s="144" t="s">
        <v>204</v>
      </c>
      <c r="AF790" s="187" t="str">
        <f t="shared" si="52"/>
        <v>C</v>
      </c>
      <c r="AG790" s="54" t="str">
        <f t="shared" si="51"/>
        <v>UTILIZOU O PDA CORRETAMENTE</v>
      </c>
      <c r="AH790" s="144" t="s">
        <v>204</v>
      </c>
      <c r="AI790" s="210" t="s">
        <v>6</v>
      </c>
      <c r="AJ790" s="97" t="str">
        <f t="shared" si="53"/>
        <v>GUARULHOS</v>
      </c>
      <c r="AK790" s="213" t="s">
        <v>39</v>
      </c>
      <c r="AL790" s="53">
        <v>0.55054750650424988</v>
      </c>
      <c r="AM790" s="53" t="str" cm="1">
        <f t="array" ref="AM790">IF(OR(O790&lt;&gt;"", SUMPRODUCT(($AN$2:$AN$5000=AN790)*($AL$2:$AL$5000&lt;=AL790)) &lt;= (COUNTIF($AN$2:$AN$5000,AN790)*0.5)), "SORTEADO", "-")</f>
        <v>SORTEADO</v>
      </c>
      <c r="AN790" s="230" t="s">
        <v>2065</v>
      </c>
    </row>
    <row r="791" spans="1:40" ht="30" hidden="1" customHeight="1" x14ac:dyDescent="0.2">
      <c r="A791" s="230" t="s">
        <v>197</v>
      </c>
      <c r="B791" s="230">
        <v>2691442523</v>
      </c>
      <c r="C791" s="230" t="s">
        <v>102</v>
      </c>
      <c r="D791" s="230" t="s">
        <v>80</v>
      </c>
      <c r="E791" s="230" t="s">
        <v>198</v>
      </c>
      <c r="F791" s="230" t="s">
        <v>2103</v>
      </c>
      <c r="G791" s="230">
        <v>239</v>
      </c>
      <c r="H791" s="230" t="s">
        <v>2104</v>
      </c>
      <c r="I791" s="230" t="s">
        <v>2105</v>
      </c>
      <c r="J791" s="230" t="s">
        <v>270</v>
      </c>
      <c r="K791" s="230" t="s">
        <v>213</v>
      </c>
      <c r="L791" s="230" t="s">
        <v>2065</v>
      </c>
      <c r="M791" s="230" t="s">
        <v>2106</v>
      </c>
      <c r="N791" s="230" t="s">
        <v>241</v>
      </c>
      <c r="O791" s="158"/>
      <c r="P791" s="92"/>
      <c r="Q791" s="146"/>
      <c r="R791" s="92"/>
      <c r="S791" s="146"/>
      <c r="T791" s="92"/>
      <c r="U791" s="146"/>
      <c r="V791" s="92"/>
      <c r="W791" s="146"/>
      <c r="X791" s="92"/>
      <c r="Y791" s="146"/>
      <c r="Z791" s="92"/>
      <c r="AA791" s="146"/>
      <c r="AB791" s="92"/>
      <c r="AC791" s="146"/>
      <c r="AD791" s="92"/>
      <c r="AE791" s="146"/>
      <c r="AF791" s="187" t="str">
        <f t="shared" si="52"/>
        <v/>
      </c>
      <c r="AG791" s="54" t="b">
        <f t="shared" si="51"/>
        <v>0</v>
      </c>
      <c r="AH791" s="146"/>
      <c r="AI791" s="210" t="s">
        <v>6</v>
      </c>
      <c r="AJ791" s="97" t="str">
        <f t="shared" si="53"/>
        <v>GUARULHOS</v>
      </c>
      <c r="AK791" s="213" t="s">
        <v>39</v>
      </c>
      <c r="AL791" s="53">
        <v>0.94500577605674418</v>
      </c>
      <c r="AM791" s="53" t="str" cm="1">
        <f t="array" ref="AM791">IF(OR(O791&lt;&gt;"", SUMPRODUCT(($AN$2:$AN$5000=AN791)*($AL$2:$AL$5000&lt;=AL791)) &lt;= (COUNTIF($AN$2:$AN$5000,AN791)*0.5)), "SORTEADO", "-")</f>
        <v>-</v>
      </c>
      <c r="AN791" s="230" t="s">
        <v>2065</v>
      </c>
    </row>
    <row r="792" spans="1:40" ht="30" hidden="1" customHeight="1" x14ac:dyDescent="0.2">
      <c r="A792" s="230" t="s">
        <v>197</v>
      </c>
      <c r="B792" s="230">
        <v>2691454497</v>
      </c>
      <c r="C792" s="230" t="s">
        <v>102</v>
      </c>
      <c r="D792" s="230" t="s">
        <v>80</v>
      </c>
      <c r="E792" s="230" t="s">
        <v>198</v>
      </c>
      <c r="F792" s="230" t="s">
        <v>1913</v>
      </c>
      <c r="G792" s="230">
        <v>189</v>
      </c>
      <c r="H792" s="230" t="s">
        <v>2107</v>
      </c>
      <c r="I792" s="230" t="s">
        <v>1744</v>
      </c>
      <c r="J792" s="230" t="s">
        <v>270</v>
      </c>
      <c r="K792" s="230"/>
      <c r="L792" s="230" t="s">
        <v>2065</v>
      </c>
      <c r="M792" s="230" t="s">
        <v>2108</v>
      </c>
      <c r="N792" s="230" t="s">
        <v>1104</v>
      </c>
      <c r="O792" s="158"/>
      <c r="P792" s="92"/>
      <c r="Q792" s="146"/>
      <c r="R792" s="92"/>
      <c r="S792" s="146"/>
      <c r="T792" s="92"/>
      <c r="U792" s="146"/>
      <c r="V792" s="92"/>
      <c r="W792" s="146"/>
      <c r="X792" s="92"/>
      <c r="Y792" s="146"/>
      <c r="Z792" s="92"/>
      <c r="AA792" s="146"/>
      <c r="AB792" s="92"/>
      <c r="AC792" s="146"/>
      <c r="AD792" s="92"/>
      <c r="AE792" s="146"/>
      <c r="AF792" s="187" t="str">
        <f t="shared" si="52"/>
        <v/>
      </c>
      <c r="AG792" s="54" t="b">
        <f t="shared" si="51"/>
        <v>0</v>
      </c>
      <c r="AH792" s="146"/>
      <c r="AI792" s="210" t="s">
        <v>6</v>
      </c>
      <c r="AJ792" s="97" t="str">
        <f t="shared" si="53"/>
        <v>GUARULHOS</v>
      </c>
      <c r="AK792" s="213" t="s">
        <v>39</v>
      </c>
      <c r="AL792" s="53">
        <v>0.90109307515399628</v>
      </c>
      <c r="AM792" s="53" t="str" cm="1">
        <f t="array" ref="AM792">IF(OR(O792&lt;&gt;"", SUMPRODUCT(($AN$2:$AN$5000=AN792)*($AL$2:$AL$5000&lt;=AL792)) &lt;= (COUNTIF($AN$2:$AN$5000,AN792)*0.5)), "SORTEADO", "-")</f>
        <v>-</v>
      </c>
      <c r="AN792" s="230" t="s">
        <v>2065</v>
      </c>
    </row>
    <row r="793" spans="1:40" ht="30" hidden="1" customHeight="1" x14ac:dyDescent="0.2">
      <c r="A793" s="230" t="s">
        <v>197</v>
      </c>
      <c r="B793" s="230">
        <v>2691457342</v>
      </c>
      <c r="C793" s="230" t="s">
        <v>106</v>
      </c>
      <c r="D793" s="230" t="s">
        <v>80</v>
      </c>
      <c r="E793" s="230" t="s">
        <v>198</v>
      </c>
      <c r="F793" s="230" t="s">
        <v>2109</v>
      </c>
      <c r="G793" s="230">
        <v>503</v>
      </c>
      <c r="H793" s="230" t="s">
        <v>246</v>
      </c>
      <c r="I793" s="230" t="s">
        <v>509</v>
      </c>
      <c r="J793" s="230" t="s">
        <v>259</v>
      </c>
      <c r="K793" s="230" t="s">
        <v>213</v>
      </c>
      <c r="L793" s="230" t="s">
        <v>2065</v>
      </c>
      <c r="M793" s="230" t="s">
        <v>2110</v>
      </c>
      <c r="N793" s="230" t="s">
        <v>237</v>
      </c>
      <c r="O793" s="158"/>
      <c r="P793" s="92"/>
      <c r="Q793" s="146"/>
      <c r="R793" s="92"/>
      <c r="S793" s="146"/>
      <c r="T793" s="92"/>
      <c r="U793" s="146"/>
      <c r="V793" s="92"/>
      <c r="W793" s="146"/>
      <c r="X793" s="92"/>
      <c r="Y793" s="146"/>
      <c r="Z793" s="92"/>
      <c r="AA793" s="146"/>
      <c r="AB793" s="92"/>
      <c r="AC793" s="146"/>
      <c r="AD793" s="92"/>
      <c r="AE793" s="146"/>
      <c r="AF793" s="187" t="str">
        <f t="shared" si="52"/>
        <v/>
      </c>
      <c r="AG793" s="54" t="b">
        <f t="shared" si="51"/>
        <v>0</v>
      </c>
      <c r="AH793" s="146"/>
      <c r="AI793" s="210" t="s">
        <v>6</v>
      </c>
      <c r="AJ793" s="97" t="str">
        <f t="shared" si="53"/>
        <v>GUARULHOS</v>
      </c>
      <c r="AK793" s="213" t="s">
        <v>39</v>
      </c>
      <c r="AL793" s="53">
        <v>0.69693434134762222</v>
      </c>
      <c r="AM793" s="53" t="str" cm="1">
        <f t="array" ref="AM793">IF(OR(O793&lt;&gt;"", SUMPRODUCT(($AN$2:$AN$5000=AN793)*($AL$2:$AL$5000&lt;=AL793)) &lt;= (COUNTIF($AN$2:$AN$5000,AN793)*0.5)), "SORTEADO", "-")</f>
        <v>-</v>
      </c>
      <c r="AN793" s="230" t="s">
        <v>2065</v>
      </c>
    </row>
    <row r="794" spans="1:40" ht="30" customHeight="1" x14ac:dyDescent="0.2">
      <c r="A794" s="230" t="s">
        <v>197</v>
      </c>
      <c r="B794" s="230">
        <v>2617307754</v>
      </c>
      <c r="C794" s="230" t="s">
        <v>89</v>
      </c>
      <c r="D794" s="230" t="s">
        <v>77</v>
      </c>
      <c r="E794" s="230" t="s">
        <v>198</v>
      </c>
      <c r="F794" s="230" t="s">
        <v>1038</v>
      </c>
      <c r="G794" s="230">
        <v>378</v>
      </c>
      <c r="H794" s="230" t="s">
        <v>276</v>
      </c>
      <c r="I794" s="230" t="s">
        <v>1039</v>
      </c>
      <c r="J794" s="230" t="s">
        <v>346</v>
      </c>
      <c r="K794" s="230" t="s">
        <v>2111</v>
      </c>
      <c r="L794" s="230" t="s">
        <v>2065</v>
      </c>
      <c r="M794" s="230" t="s">
        <v>2112</v>
      </c>
      <c r="N794" s="230" t="s">
        <v>348</v>
      </c>
      <c r="O794" s="158" t="s">
        <v>204</v>
      </c>
      <c r="P794" s="146"/>
      <c r="Q794" s="146" t="s">
        <v>204</v>
      </c>
      <c r="R794" s="209"/>
      <c r="S794" s="146" t="s">
        <v>204</v>
      </c>
      <c r="T794" s="146"/>
      <c r="U794" s="146" t="s">
        <v>204</v>
      </c>
      <c r="V794" s="146"/>
      <c r="W794" s="146" t="s">
        <v>204</v>
      </c>
      <c r="X794" s="146"/>
      <c r="Y794" s="146" t="s">
        <v>61</v>
      </c>
      <c r="Z794" s="146"/>
      <c r="AA794" s="146" t="s">
        <v>204</v>
      </c>
      <c r="AB794" s="146"/>
      <c r="AC794" s="146" t="s">
        <v>204</v>
      </c>
      <c r="AD794" s="146"/>
      <c r="AE794" s="146" t="s">
        <v>204</v>
      </c>
      <c r="AF794" s="187" t="str">
        <f t="shared" si="52"/>
        <v>C</v>
      </c>
      <c r="AG794" s="54" t="str">
        <f t="shared" si="51"/>
        <v>UTILIZOU O PDA CORRETAMENTE</v>
      </c>
      <c r="AH794" s="146"/>
      <c r="AI794" s="210" t="s">
        <v>6</v>
      </c>
      <c r="AJ794" s="97" t="str">
        <f t="shared" si="53"/>
        <v>GUARULHOS</v>
      </c>
      <c r="AK794" s="213" t="s">
        <v>39</v>
      </c>
      <c r="AL794" s="53">
        <v>0.17269494261031215</v>
      </c>
      <c r="AM794" s="53" t="str" cm="1">
        <f t="array" ref="AM794">IF(OR(O794&lt;&gt;"", SUMPRODUCT(($AN$2:$AN$5000=AN794)*($AL$2:$AL$5000&lt;=AL794)) &lt;= (COUNTIF($AN$2:$AN$5000,AN794)*0.5)), "SORTEADO", "-")</f>
        <v>SORTEADO</v>
      </c>
      <c r="AN794" s="230" t="s">
        <v>2065</v>
      </c>
    </row>
    <row r="795" spans="1:40" ht="30" customHeight="1" x14ac:dyDescent="0.2">
      <c r="A795" s="230" t="s">
        <v>197</v>
      </c>
      <c r="B795" s="230">
        <v>2691481239</v>
      </c>
      <c r="C795" s="230" t="s">
        <v>102</v>
      </c>
      <c r="D795" s="230" t="s">
        <v>80</v>
      </c>
      <c r="E795" s="230" t="s">
        <v>198</v>
      </c>
      <c r="F795" s="230" t="s">
        <v>2019</v>
      </c>
      <c r="G795" s="230">
        <v>267</v>
      </c>
      <c r="H795" s="230" t="s">
        <v>213</v>
      </c>
      <c r="I795" s="230" t="s">
        <v>445</v>
      </c>
      <c r="J795" s="230" t="s">
        <v>297</v>
      </c>
      <c r="K795" s="230" t="s">
        <v>213</v>
      </c>
      <c r="L795" s="230" t="s">
        <v>2065</v>
      </c>
      <c r="M795" s="230" t="s">
        <v>2113</v>
      </c>
      <c r="N795" s="230" t="s">
        <v>381</v>
      </c>
      <c r="O795" s="158" t="s">
        <v>204</v>
      </c>
      <c r="P795" s="92"/>
      <c r="Q795" s="146" t="s">
        <v>61</v>
      </c>
      <c r="R795" s="92"/>
      <c r="S795" s="146" t="s">
        <v>61</v>
      </c>
      <c r="T795" s="92"/>
      <c r="U795" s="146" t="s">
        <v>61</v>
      </c>
      <c r="V795" s="92"/>
      <c r="W795" s="146" t="s">
        <v>61</v>
      </c>
      <c r="X795" s="92"/>
      <c r="Y795" s="146" t="s">
        <v>61</v>
      </c>
      <c r="Z795" s="92"/>
      <c r="AA795" s="146" t="s">
        <v>61</v>
      </c>
      <c r="AB795" s="92"/>
      <c r="AC795" s="146" t="s">
        <v>204</v>
      </c>
      <c r="AD795" s="92"/>
      <c r="AE795" s="146" t="s">
        <v>204</v>
      </c>
      <c r="AF795" s="187" t="str">
        <f t="shared" si="52"/>
        <v>C</v>
      </c>
      <c r="AG795" s="54" t="str">
        <f t="shared" si="51"/>
        <v>UTILIZOU O PDA CORRETAMENTE</v>
      </c>
      <c r="AH795" s="146" t="s">
        <v>204</v>
      </c>
      <c r="AI795" s="210" t="s">
        <v>6</v>
      </c>
      <c r="AJ795" s="97" t="str">
        <f t="shared" si="53"/>
        <v>GUARULHOS</v>
      </c>
      <c r="AK795" s="213" t="s">
        <v>39</v>
      </c>
      <c r="AL795" s="53">
        <v>0.2112384895287287</v>
      </c>
      <c r="AM795" s="53" t="str" cm="1">
        <f t="array" ref="AM795">IF(OR(O795&lt;&gt;"", SUMPRODUCT(($AN$2:$AN$5000=AN795)*($AL$2:$AL$5000&lt;=AL795)) &lt;= (COUNTIF($AN$2:$AN$5000,AN795)*0.5)), "SORTEADO", "-")</f>
        <v>SORTEADO</v>
      </c>
      <c r="AN795" s="230" t="s">
        <v>2065</v>
      </c>
    </row>
    <row r="796" spans="1:40" ht="30" hidden="1" customHeight="1" x14ac:dyDescent="0.2">
      <c r="A796" s="230" t="s">
        <v>197</v>
      </c>
      <c r="B796" s="230">
        <v>2617321146</v>
      </c>
      <c r="C796" s="230" t="s">
        <v>88</v>
      </c>
      <c r="D796" s="230" t="s">
        <v>77</v>
      </c>
      <c r="E796" s="230" t="s">
        <v>198</v>
      </c>
      <c r="F796" s="230" t="s">
        <v>1924</v>
      </c>
      <c r="G796" s="230">
        <v>115</v>
      </c>
      <c r="H796" s="230"/>
      <c r="I796" s="230" t="s">
        <v>277</v>
      </c>
      <c r="J796" s="230" t="s">
        <v>401</v>
      </c>
      <c r="K796" s="230" t="s">
        <v>1165</v>
      </c>
      <c r="L796" s="230" t="s">
        <v>2065</v>
      </c>
      <c r="M796" s="230" t="s">
        <v>2114</v>
      </c>
      <c r="N796" s="230" t="s">
        <v>287</v>
      </c>
      <c r="O796" s="158"/>
      <c r="P796" s="92"/>
      <c r="Q796" s="146"/>
      <c r="R796" s="92"/>
      <c r="S796" s="146"/>
      <c r="T796" s="92"/>
      <c r="U796" s="146"/>
      <c r="V796" s="92"/>
      <c r="W796" s="146"/>
      <c r="X796" s="92"/>
      <c r="Y796" s="146"/>
      <c r="Z796" s="92"/>
      <c r="AA796" s="146"/>
      <c r="AB796" s="92"/>
      <c r="AC796" s="146"/>
      <c r="AD796" s="92"/>
      <c r="AE796" s="146"/>
      <c r="AF796" s="187" t="str">
        <f t="shared" si="52"/>
        <v/>
      </c>
      <c r="AG796" s="54" t="b">
        <f t="shared" si="51"/>
        <v>0</v>
      </c>
      <c r="AH796" s="146"/>
      <c r="AI796" s="210" t="s">
        <v>6</v>
      </c>
      <c r="AJ796" s="97" t="str">
        <f t="shared" si="53"/>
        <v>GUARULHOS</v>
      </c>
      <c r="AK796" s="213" t="s">
        <v>39</v>
      </c>
      <c r="AL796" s="53">
        <v>0.72240580308606051</v>
      </c>
      <c r="AM796" s="53" t="str" cm="1">
        <f t="array" ref="AM796">IF(OR(O796&lt;&gt;"", SUMPRODUCT(($AN$2:$AN$5000=AN796)*($AL$2:$AL$5000&lt;=AL796)) &lt;= (COUNTIF($AN$2:$AN$5000,AN796)*0.5)), "SORTEADO", "-")</f>
        <v>-</v>
      </c>
      <c r="AN796" s="230" t="s">
        <v>2065</v>
      </c>
    </row>
    <row r="797" spans="1:40" ht="30" hidden="1" customHeight="1" x14ac:dyDescent="0.2">
      <c r="A797" s="230" t="s">
        <v>197</v>
      </c>
      <c r="B797" s="230">
        <v>2617443497</v>
      </c>
      <c r="C797" s="230" t="s">
        <v>100</v>
      </c>
      <c r="D797" s="230" t="s">
        <v>78</v>
      </c>
      <c r="E797" s="230" t="s">
        <v>198</v>
      </c>
      <c r="F797" s="230" t="s">
        <v>361</v>
      </c>
      <c r="G797" s="230">
        <v>26</v>
      </c>
      <c r="H797" s="230" t="s">
        <v>1859</v>
      </c>
      <c r="I797" s="230" t="s">
        <v>363</v>
      </c>
      <c r="J797" s="230" t="s">
        <v>248</v>
      </c>
      <c r="K797" s="230" t="s">
        <v>2115</v>
      </c>
      <c r="L797" s="230" t="s">
        <v>2065</v>
      </c>
      <c r="M797" s="230" t="s">
        <v>2116</v>
      </c>
      <c r="N797" s="230" t="s">
        <v>241</v>
      </c>
      <c r="O797" s="158"/>
      <c r="P797" s="92"/>
      <c r="Q797" s="146"/>
      <c r="R797" s="92"/>
      <c r="S797" s="146"/>
      <c r="T797" s="92"/>
      <c r="U797" s="146"/>
      <c r="V797" s="92"/>
      <c r="W797" s="146"/>
      <c r="X797" s="92"/>
      <c r="Y797" s="146"/>
      <c r="Z797" s="92"/>
      <c r="AA797" s="146"/>
      <c r="AB797" s="92"/>
      <c r="AC797" s="146"/>
      <c r="AD797" s="92"/>
      <c r="AE797" s="146"/>
      <c r="AF797" s="187" t="str">
        <f t="shared" si="52"/>
        <v/>
      </c>
      <c r="AG797" s="54" t="b">
        <f t="shared" si="51"/>
        <v>0</v>
      </c>
      <c r="AH797" s="146"/>
      <c r="AI797" s="210" t="s">
        <v>6</v>
      </c>
      <c r="AJ797" s="97" t="str">
        <f t="shared" si="53"/>
        <v>GUARULHOS</v>
      </c>
      <c r="AK797" s="213" t="s">
        <v>39</v>
      </c>
      <c r="AL797" s="53">
        <v>0.67333751714866941</v>
      </c>
      <c r="AM797" s="53" t="str" cm="1">
        <f t="array" ref="AM797">IF(OR(O797&lt;&gt;"", SUMPRODUCT(($AN$2:$AN$5000=AN797)*($AL$2:$AL$5000&lt;=AL797)) &lt;= (COUNTIF($AN$2:$AN$5000,AN797)*0.5)), "SORTEADO", "-")</f>
        <v>-</v>
      </c>
      <c r="AN797" s="230" t="s">
        <v>2065</v>
      </c>
    </row>
    <row r="798" spans="1:40" ht="30" hidden="1" customHeight="1" x14ac:dyDescent="0.2">
      <c r="A798" s="230" t="s">
        <v>197</v>
      </c>
      <c r="B798" s="230">
        <v>2691529595</v>
      </c>
      <c r="C798" s="230" t="s">
        <v>102</v>
      </c>
      <c r="D798" s="230" t="s">
        <v>80</v>
      </c>
      <c r="E798" s="230" t="s">
        <v>198</v>
      </c>
      <c r="F798" s="230" t="s">
        <v>2117</v>
      </c>
      <c r="G798" s="230">
        <v>74</v>
      </c>
      <c r="H798" s="230" t="s">
        <v>2118</v>
      </c>
      <c r="I798" s="230" t="s">
        <v>1905</v>
      </c>
      <c r="J798" s="230" t="s">
        <v>270</v>
      </c>
      <c r="K798" s="230"/>
      <c r="L798" s="230" t="s">
        <v>2065</v>
      </c>
      <c r="M798" s="230" t="s">
        <v>2119</v>
      </c>
      <c r="N798" s="230" t="s">
        <v>237</v>
      </c>
      <c r="O798" s="158"/>
      <c r="P798" s="92"/>
      <c r="Q798" s="146"/>
      <c r="R798" s="92"/>
      <c r="S798" s="146"/>
      <c r="T798" s="92"/>
      <c r="U798" s="146"/>
      <c r="V798" s="92"/>
      <c r="W798" s="146"/>
      <c r="X798" s="92"/>
      <c r="Y798" s="146"/>
      <c r="Z798" s="92"/>
      <c r="AA798" s="146"/>
      <c r="AB798" s="92"/>
      <c r="AC798" s="146"/>
      <c r="AD798" s="92"/>
      <c r="AE798" s="146"/>
      <c r="AF798" s="187" t="str">
        <f t="shared" si="52"/>
        <v/>
      </c>
      <c r="AG798" s="54" t="b">
        <f t="shared" si="51"/>
        <v>0</v>
      </c>
      <c r="AH798" s="146"/>
      <c r="AI798" s="210" t="s">
        <v>6</v>
      </c>
      <c r="AJ798" s="97" t="str">
        <f t="shared" si="53"/>
        <v>GUARULHOS</v>
      </c>
      <c r="AK798" s="213" t="s">
        <v>39</v>
      </c>
      <c r="AL798" s="53">
        <v>0.80198870072207484</v>
      </c>
      <c r="AM798" s="53" t="str" cm="1">
        <f t="array" ref="AM798">IF(OR(O798&lt;&gt;"", SUMPRODUCT(($AN$2:$AN$5000=AN798)*($AL$2:$AL$5000&lt;=AL798)) &lt;= (COUNTIF($AN$2:$AN$5000,AN798)*0.5)), "SORTEADO", "-")</f>
        <v>-</v>
      </c>
      <c r="AN798" s="230" t="s">
        <v>2065</v>
      </c>
    </row>
    <row r="799" spans="1:40" ht="30" hidden="1" customHeight="1" x14ac:dyDescent="0.2">
      <c r="A799" s="230" t="s">
        <v>197</v>
      </c>
      <c r="B799" s="230">
        <v>2691532863</v>
      </c>
      <c r="C799" s="230" t="s">
        <v>102</v>
      </c>
      <c r="D799" s="230" t="s">
        <v>80</v>
      </c>
      <c r="E799" s="230" t="s">
        <v>198</v>
      </c>
      <c r="F799" s="230" t="s">
        <v>2120</v>
      </c>
      <c r="G799" s="230">
        <v>170</v>
      </c>
      <c r="H799" s="230" t="s">
        <v>2121</v>
      </c>
      <c r="I799" s="230" t="s">
        <v>285</v>
      </c>
      <c r="J799" s="230" t="s">
        <v>270</v>
      </c>
      <c r="K799" s="230" t="s">
        <v>213</v>
      </c>
      <c r="L799" s="230" t="s">
        <v>2065</v>
      </c>
      <c r="M799" s="230" t="s">
        <v>2122</v>
      </c>
      <c r="N799" s="230" t="s">
        <v>1104</v>
      </c>
      <c r="O799" s="158"/>
      <c r="P799" s="92"/>
      <c r="Q799" s="146"/>
      <c r="R799" s="92"/>
      <c r="S799" s="146"/>
      <c r="T799" s="92"/>
      <c r="U799" s="146"/>
      <c r="V799" s="92"/>
      <c r="W799" s="146"/>
      <c r="X799" s="92"/>
      <c r="Y799" s="146"/>
      <c r="Z799" s="92"/>
      <c r="AA799" s="146"/>
      <c r="AB799" s="92"/>
      <c r="AC799" s="146"/>
      <c r="AD799" s="92"/>
      <c r="AE799" s="146"/>
      <c r="AF799" s="187" t="str">
        <f t="shared" si="52"/>
        <v/>
      </c>
      <c r="AG799" s="54" t="b">
        <f t="shared" si="51"/>
        <v>0</v>
      </c>
      <c r="AH799" s="146"/>
      <c r="AI799" s="210" t="s">
        <v>6</v>
      </c>
      <c r="AJ799" s="97" t="str">
        <f t="shared" si="53"/>
        <v>GUARULHOS</v>
      </c>
      <c r="AK799" s="213" t="s">
        <v>39</v>
      </c>
      <c r="AL799" s="53">
        <v>0.80281286920378525</v>
      </c>
      <c r="AM799" s="53" t="str" cm="1">
        <f t="array" ref="AM799">IF(OR(O799&lt;&gt;"", SUMPRODUCT(($AN$2:$AN$5000=AN799)*($AL$2:$AL$5000&lt;=AL799)) &lt;= (COUNTIF($AN$2:$AN$5000,AN799)*0.5)), "SORTEADO", "-")</f>
        <v>-</v>
      </c>
      <c r="AN799" s="230" t="s">
        <v>2065</v>
      </c>
    </row>
    <row r="800" spans="1:40" ht="30" customHeight="1" x14ac:dyDescent="0.2">
      <c r="A800" s="230" t="s">
        <v>197</v>
      </c>
      <c r="B800" s="230">
        <v>2617458273</v>
      </c>
      <c r="C800" s="230" t="s">
        <v>105</v>
      </c>
      <c r="D800" s="230" t="s">
        <v>80</v>
      </c>
      <c r="E800" s="230" t="s">
        <v>198</v>
      </c>
      <c r="F800" s="230" t="s">
        <v>2123</v>
      </c>
      <c r="G800" s="230">
        <v>47</v>
      </c>
      <c r="H800" s="230" t="s">
        <v>2124</v>
      </c>
      <c r="I800" s="230" t="s">
        <v>1677</v>
      </c>
      <c r="J800" s="230" t="s">
        <v>226</v>
      </c>
      <c r="K800" s="230"/>
      <c r="L800" s="230" t="s">
        <v>2065</v>
      </c>
      <c r="M800" s="230" t="s">
        <v>2125</v>
      </c>
      <c r="N800" s="230" t="s">
        <v>228</v>
      </c>
      <c r="O800" s="158" t="s">
        <v>204</v>
      </c>
      <c r="P800" s="92"/>
      <c r="Q800" s="146" t="s">
        <v>204</v>
      </c>
      <c r="R800" s="92"/>
      <c r="S800" s="146" t="s">
        <v>204</v>
      </c>
      <c r="T800" s="92"/>
      <c r="U800" s="146" t="s">
        <v>204</v>
      </c>
      <c r="V800" s="92"/>
      <c r="W800" s="146" t="s">
        <v>204</v>
      </c>
      <c r="X800" s="92"/>
      <c r="Y800" s="146" t="s">
        <v>61</v>
      </c>
      <c r="Z800" s="92"/>
      <c r="AA800" s="146" t="s">
        <v>204</v>
      </c>
      <c r="AB800" s="92"/>
      <c r="AC800" s="146" t="s">
        <v>204</v>
      </c>
      <c r="AD800" s="92"/>
      <c r="AE800" s="146" t="s">
        <v>204</v>
      </c>
      <c r="AF800" s="187" t="str">
        <f t="shared" si="52"/>
        <v>C</v>
      </c>
      <c r="AG800" s="54" t="str">
        <f t="shared" si="51"/>
        <v>UTILIZOU O PDA CORRETAMENTE</v>
      </c>
      <c r="AH800" s="144" t="s">
        <v>204</v>
      </c>
      <c r="AI800" s="210" t="s">
        <v>6</v>
      </c>
      <c r="AJ800" s="97" t="str">
        <f t="shared" si="53"/>
        <v>GUARULHOS</v>
      </c>
      <c r="AK800" s="213" t="s">
        <v>39</v>
      </c>
      <c r="AL800" s="53">
        <v>0.34428073286337613</v>
      </c>
      <c r="AM800" s="53" t="str" cm="1">
        <f t="array" ref="AM800">IF(OR(O800&lt;&gt;"", SUMPRODUCT(($AN$2:$AN$5000=AN800)*($AL$2:$AL$5000&lt;=AL800)) &lt;= (COUNTIF($AN$2:$AN$5000,AN800)*0.5)), "SORTEADO", "-")</f>
        <v>SORTEADO</v>
      </c>
      <c r="AN800" s="230" t="s">
        <v>2065</v>
      </c>
    </row>
    <row r="801" spans="1:40" ht="30" hidden="1" customHeight="1" x14ac:dyDescent="0.2">
      <c r="A801" s="230" t="s">
        <v>197</v>
      </c>
      <c r="B801" s="230">
        <v>2617458245</v>
      </c>
      <c r="C801" s="230" t="s">
        <v>105</v>
      </c>
      <c r="D801" s="230" t="s">
        <v>80</v>
      </c>
      <c r="E801" s="230" t="s">
        <v>198</v>
      </c>
      <c r="F801" s="230" t="s">
        <v>2126</v>
      </c>
      <c r="G801" s="230">
        <v>25</v>
      </c>
      <c r="H801" s="230" t="s">
        <v>362</v>
      </c>
      <c r="I801" s="230" t="s">
        <v>775</v>
      </c>
      <c r="J801" s="230" t="s">
        <v>226</v>
      </c>
      <c r="K801" s="230" t="s">
        <v>2127</v>
      </c>
      <c r="L801" s="230" t="s">
        <v>2065</v>
      </c>
      <c r="M801" s="230" t="s">
        <v>2128</v>
      </c>
      <c r="N801" s="230" t="s">
        <v>615</v>
      </c>
      <c r="O801" s="158"/>
      <c r="P801" s="92"/>
      <c r="Q801" s="146"/>
      <c r="R801" s="92"/>
      <c r="S801" s="146"/>
      <c r="T801" s="92"/>
      <c r="U801" s="146"/>
      <c r="V801" s="92"/>
      <c r="W801" s="146"/>
      <c r="X801" s="92"/>
      <c r="Y801" s="146"/>
      <c r="Z801" s="92"/>
      <c r="AA801" s="146"/>
      <c r="AB801" s="92"/>
      <c r="AC801" s="146"/>
      <c r="AD801" s="92"/>
      <c r="AE801" s="146"/>
      <c r="AF801" s="187" t="str">
        <f t="shared" si="52"/>
        <v/>
      </c>
      <c r="AG801" s="54" t="b">
        <f t="shared" si="51"/>
        <v>0</v>
      </c>
      <c r="AH801" s="146"/>
      <c r="AI801" s="210" t="s">
        <v>6</v>
      </c>
      <c r="AJ801" s="97" t="str">
        <f t="shared" si="53"/>
        <v>GUARULHOS</v>
      </c>
      <c r="AK801" s="213" t="s">
        <v>39</v>
      </c>
      <c r="AL801" s="53">
        <v>0.94514134578519637</v>
      </c>
      <c r="AM801" s="53" t="str" cm="1">
        <f t="array" ref="AM801">IF(OR(O801&lt;&gt;"", SUMPRODUCT(($AN$2:$AN$5000=AN801)*($AL$2:$AL$5000&lt;=AL801)) &lt;= (COUNTIF($AN$2:$AN$5000,AN801)*0.5)), "SORTEADO", "-")</f>
        <v>-</v>
      </c>
      <c r="AN801" s="230" t="s">
        <v>2065</v>
      </c>
    </row>
    <row r="802" spans="1:40" ht="30" customHeight="1" x14ac:dyDescent="0.2">
      <c r="A802" s="230" t="s">
        <v>197</v>
      </c>
      <c r="B802" s="230">
        <v>2617298129</v>
      </c>
      <c r="C802" s="230" t="s">
        <v>89</v>
      </c>
      <c r="D802" s="230" t="s">
        <v>77</v>
      </c>
      <c r="E802" s="230" t="s">
        <v>198</v>
      </c>
      <c r="F802" s="230" t="s">
        <v>2129</v>
      </c>
      <c r="G802" s="230">
        <v>191</v>
      </c>
      <c r="H802" s="230" t="s">
        <v>810</v>
      </c>
      <c r="I802" s="230" t="s">
        <v>1760</v>
      </c>
      <c r="J802" s="230" t="s">
        <v>346</v>
      </c>
      <c r="K802" s="237" t="s">
        <v>2130</v>
      </c>
      <c r="L802" s="230" t="s">
        <v>2065</v>
      </c>
      <c r="M802" s="230" t="s">
        <v>2131</v>
      </c>
      <c r="N802" s="230" t="s">
        <v>2132</v>
      </c>
      <c r="O802" s="158" t="s">
        <v>204</v>
      </c>
      <c r="P802" s="146"/>
      <c r="Q802" s="146" t="s">
        <v>204</v>
      </c>
      <c r="R802" s="209"/>
      <c r="S802" s="146" t="s">
        <v>204</v>
      </c>
      <c r="T802" s="146"/>
      <c r="U802" s="146" t="s">
        <v>204</v>
      </c>
      <c r="V802" s="146"/>
      <c r="W802" s="146" t="s">
        <v>204</v>
      </c>
      <c r="X802" s="146"/>
      <c r="Y802" s="146" t="s">
        <v>61</v>
      </c>
      <c r="Z802" s="146"/>
      <c r="AA802" s="146" t="s">
        <v>204</v>
      </c>
      <c r="AB802" s="146"/>
      <c r="AC802" s="146" t="s">
        <v>204</v>
      </c>
      <c r="AD802" s="146"/>
      <c r="AE802" s="146" t="s">
        <v>204</v>
      </c>
      <c r="AF802" s="187" t="str">
        <f t="shared" si="52"/>
        <v>C</v>
      </c>
      <c r="AG802" s="54" t="str">
        <f t="shared" si="51"/>
        <v>UTILIZOU O PDA CORRETAMENTE</v>
      </c>
      <c r="AH802" s="146"/>
      <c r="AI802" s="210" t="s">
        <v>6</v>
      </c>
      <c r="AJ802" s="97" t="str">
        <f t="shared" si="53"/>
        <v>GUARULHOS</v>
      </c>
      <c r="AK802" s="213" t="s">
        <v>39</v>
      </c>
      <c r="AL802" s="53">
        <v>0.45701816677667517</v>
      </c>
      <c r="AM802" s="53" t="str" cm="1">
        <f t="array" ref="AM802">IF(OR(O802&lt;&gt;"", SUMPRODUCT(($AN$2:$AN$5000=AN802)*($AL$2:$AL$5000&lt;=AL802)) &lt;= (COUNTIF($AN$2:$AN$5000,AN802)*0.5)), "SORTEADO", "-")</f>
        <v>SORTEADO</v>
      </c>
      <c r="AN802" s="230" t="s">
        <v>2065</v>
      </c>
    </row>
    <row r="803" spans="1:40" ht="30" hidden="1" customHeight="1" x14ac:dyDescent="0.2">
      <c r="A803" s="230" t="s">
        <v>197</v>
      </c>
      <c r="B803" s="230">
        <v>2691551236</v>
      </c>
      <c r="C803" s="230" t="s">
        <v>101</v>
      </c>
      <c r="D803" s="230" t="s">
        <v>80</v>
      </c>
      <c r="E803" s="230" t="s">
        <v>198</v>
      </c>
      <c r="F803" s="230" t="s">
        <v>2133</v>
      </c>
      <c r="G803" s="230">
        <v>70</v>
      </c>
      <c r="H803" s="230" t="s">
        <v>2134</v>
      </c>
      <c r="I803" s="230" t="s">
        <v>1695</v>
      </c>
      <c r="J803" s="230" t="s">
        <v>259</v>
      </c>
      <c r="K803" s="230" t="s">
        <v>213</v>
      </c>
      <c r="L803" s="230" t="s">
        <v>1935</v>
      </c>
      <c r="M803" s="230" t="s">
        <v>2135</v>
      </c>
      <c r="N803" s="230" t="s">
        <v>237</v>
      </c>
      <c r="O803" s="158"/>
      <c r="P803" s="92"/>
      <c r="Q803" s="146"/>
      <c r="R803" s="92"/>
      <c r="S803" s="146"/>
      <c r="T803" s="92"/>
      <c r="U803" s="146"/>
      <c r="V803" s="92"/>
      <c r="W803" s="146"/>
      <c r="X803" s="92"/>
      <c r="Y803" s="146"/>
      <c r="Z803" s="92"/>
      <c r="AA803" s="146"/>
      <c r="AB803" s="92"/>
      <c r="AC803" s="146"/>
      <c r="AD803" s="92"/>
      <c r="AE803" s="146"/>
      <c r="AF803" s="187" t="str">
        <f t="shared" si="52"/>
        <v/>
      </c>
      <c r="AG803" s="54" t="b">
        <f t="shared" si="51"/>
        <v>0</v>
      </c>
      <c r="AH803" s="146"/>
      <c r="AI803" s="210" t="s">
        <v>6</v>
      </c>
      <c r="AJ803" s="97" t="str">
        <f t="shared" si="53"/>
        <v>GUARULHOS</v>
      </c>
      <c r="AK803" s="213" t="s">
        <v>39</v>
      </c>
      <c r="AL803" s="53">
        <v>0.91617157314592945</v>
      </c>
      <c r="AM803" s="53" t="str" cm="1">
        <f t="array" ref="AM803">IF(OR(O803&lt;&gt;"", SUMPRODUCT(($AN$2:$AN$5000=AN803)*($AL$2:$AL$5000&lt;=AL803)) &lt;= (COUNTIF($AN$2:$AN$5000,AN803)*0.5)), "SORTEADO", "-")</f>
        <v>-</v>
      </c>
      <c r="AN803" s="230" t="s">
        <v>1935</v>
      </c>
    </row>
    <row r="804" spans="1:40" ht="30" customHeight="1" x14ac:dyDescent="0.2">
      <c r="A804" s="230" t="s">
        <v>197</v>
      </c>
      <c r="B804" s="230">
        <v>2617459395</v>
      </c>
      <c r="C804" s="230" t="s">
        <v>102</v>
      </c>
      <c r="D804" s="230" t="s">
        <v>80</v>
      </c>
      <c r="E804" s="230" t="s">
        <v>198</v>
      </c>
      <c r="F804" s="230" t="s">
        <v>2136</v>
      </c>
      <c r="G804" s="230">
        <v>13</v>
      </c>
      <c r="H804" s="230"/>
      <c r="I804" s="230" t="s">
        <v>859</v>
      </c>
      <c r="J804" s="230" t="s">
        <v>270</v>
      </c>
      <c r="K804" s="230" t="s">
        <v>2137</v>
      </c>
      <c r="L804" s="230" t="s">
        <v>1935</v>
      </c>
      <c r="M804" s="230" t="s">
        <v>2138</v>
      </c>
      <c r="N804" s="230" t="s">
        <v>348</v>
      </c>
      <c r="O804" s="158" t="s">
        <v>204</v>
      </c>
      <c r="P804" s="92"/>
      <c r="Q804" s="146" t="s">
        <v>204</v>
      </c>
      <c r="R804" s="92"/>
      <c r="S804" s="146" t="s">
        <v>204</v>
      </c>
      <c r="T804" s="92"/>
      <c r="U804" s="146" t="s">
        <v>204</v>
      </c>
      <c r="V804" s="92"/>
      <c r="W804" s="146" t="s">
        <v>204</v>
      </c>
      <c r="X804" s="92"/>
      <c r="Y804" s="146" t="s">
        <v>61</v>
      </c>
      <c r="Z804" s="92"/>
      <c r="AA804" s="146" t="s">
        <v>204</v>
      </c>
      <c r="AB804" s="92"/>
      <c r="AC804" s="146" t="s">
        <v>204</v>
      </c>
      <c r="AD804" s="92"/>
      <c r="AE804" s="146" t="s">
        <v>204</v>
      </c>
      <c r="AF804" s="187" t="str">
        <f t="shared" si="52"/>
        <v>C</v>
      </c>
      <c r="AG804" s="54" t="str">
        <f t="shared" si="51"/>
        <v>UTILIZOU O PDA CORRETAMENTE</v>
      </c>
      <c r="AH804" s="144" t="s">
        <v>204</v>
      </c>
      <c r="AI804" s="210" t="s">
        <v>6</v>
      </c>
      <c r="AJ804" s="97" t="str">
        <f t="shared" si="53"/>
        <v>GUARULHOS</v>
      </c>
      <c r="AK804" s="213" t="s">
        <v>39</v>
      </c>
      <c r="AL804" s="53">
        <v>0.20303518373064744</v>
      </c>
      <c r="AM804" s="53" t="str" cm="1">
        <f t="array" ref="AM804">IF(OR(O804&lt;&gt;"", SUMPRODUCT(($AN$2:$AN$5000=AN804)*($AL$2:$AL$5000&lt;=AL804)) &lt;= (COUNTIF($AN$2:$AN$5000,AN804)*0.5)), "SORTEADO", "-")</f>
        <v>SORTEADO</v>
      </c>
      <c r="AN804" s="230" t="s">
        <v>1935</v>
      </c>
    </row>
    <row r="805" spans="1:40" ht="30" customHeight="1" x14ac:dyDescent="0.2">
      <c r="A805" s="230" t="s">
        <v>197</v>
      </c>
      <c r="B805" s="230">
        <v>2617460314</v>
      </c>
      <c r="C805" s="230" t="s">
        <v>88</v>
      </c>
      <c r="D805" s="230" t="s">
        <v>77</v>
      </c>
      <c r="E805" s="230" t="s">
        <v>198</v>
      </c>
      <c r="F805" s="230" t="s">
        <v>2139</v>
      </c>
      <c r="G805" s="230">
        <v>146</v>
      </c>
      <c r="H805" s="230" t="s">
        <v>2140</v>
      </c>
      <c r="I805" s="230" t="s">
        <v>1358</v>
      </c>
      <c r="J805" s="230" t="s">
        <v>401</v>
      </c>
      <c r="K805" s="230" t="s">
        <v>321</v>
      </c>
      <c r="L805" s="230" t="s">
        <v>1935</v>
      </c>
      <c r="M805" s="230" t="s">
        <v>2053</v>
      </c>
      <c r="N805" s="230" t="s">
        <v>322</v>
      </c>
      <c r="O805" s="158" t="s">
        <v>204</v>
      </c>
      <c r="P805" s="146"/>
      <c r="Q805" s="146" t="s">
        <v>204</v>
      </c>
      <c r="R805" s="209"/>
      <c r="S805" s="146" t="s">
        <v>204</v>
      </c>
      <c r="T805" s="146"/>
      <c r="U805" s="146" t="s">
        <v>204</v>
      </c>
      <c r="V805" s="146"/>
      <c r="W805" s="146" t="s">
        <v>204</v>
      </c>
      <c r="X805" s="146"/>
      <c r="Y805" s="146" t="s">
        <v>61</v>
      </c>
      <c r="Z805" s="146"/>
      <c r="AA805" s="146" t="s">
        <v>204</v>
      </c>
      <c r="AB805" s="146"/>
      <c r="AC805" s="146" t="s">
        <v>204</v>
      </c>
      <c r="AD805" s="146"/>
      <c r="AE805" s="146" t="s">
        <v>204</v>
      </c>
      <c r="AF805" s="187" t="str">
        <f t="shared" si="52"/>
        <v>C</v>
      </c>
      <c r="AG805" s="54" t="str">
        <f t="shared" ref="AG805:AG836" si="54">IF(AND(AE805="C",AF805="C"),"UTILIZOU O PDA CORRETAMENTE",IF(AND(AE805="C",AF805="NC"),"UTILIZOU O PDA CORRETAMENTE. NÃO HÁ FOTOS DE TODAS AS ETAPAS",IF(AND(AE805="NC",AF805="NC"),"NÃO UTILIZOU O PDA",IF(AND(AE805="NA",AF805="NA"),"NÃO AVALIADO POR FALHA DE SINCRONISMO"))))</f>
        <v>UTILIZOU O PDA CORRETAMENTE</v>
      </c>
      <c r="AH805" s="146"/>
      <c r="AI805" s="210" t="s">
        <v>6</v>
      </c>
      <c r="AJ805" s="97" t="str">
        <f t="shared" si="53"/>
        <v>GUARULHOS</v>
      </c>
      <c r="AK805" s="213" t="s">
        <v>39</v>
      </c>
      <c r="AL805" s="53">
        <v>0.43615904112196735</v>
      </c>
      <c r="AM805" s="53" t="str" cm="1">
        <f t="array" ref="AM805">IF(OR(O805&lt;&gt;"", SUMPRODUCT(($AN$2:$AN$5000=AN805)*($AL$2:$AL$5000&lt;=AL805)) &lt;= (COUNTIF($AN$2:$AN$5000,AN805)*0.5)), "SORTEADO", "-")</f>
        <v>SORTEADO</v>
      </c>
      <c r="AN805" s="230" t="s">
        <v>1935</v>
      </c>
    </row>
    <row r="806" spans="1:40" ht="30" hidden="1" customHeight="1" x14ac:dyDescent="0.2">
      <c r="A806" s="230" t="s">
        <v>197</v>
      </c>
      <c r="B806" s="230">
        <v>2617325125</v>
      </c>
      <c r="C806" s="230" t="s">
        <v>105</v>
      </c>
      <c r="D806" s="230" t="s">
        <v>80</v>
      </c>
      <c r="E806" s="230" t="s">
        <v>198</v>
      </c>
      <c r="F806" s="230" t="s">
        <v>1501</v>
      </c>
      <c r="G806" s="230">
        <v>396</v>
      </c>
      <c r="H806" s="230"/>
      <c r="I806" s="230" t="s">
        <v>480</v>
      </c>
      <c r="J806" s="230" t="s">
        <v>278</v>
      </c>
      <c r="K806" s="230"/>
      <c r="L806" s="230" t="s">
        <v>1935</v>
      </c>
      <c r="M806" s="230" t="s">
        <v>2141</v>
      </c>
      <c r="N806" s="230" t="s">
        <v>1104</v>
      </c>
      <c r="O806" s="158"/>
      <c r="P806" s="92"/>
      <c r="Q806" s="146"/>
      <c r="R806" s="92"/>
      <c r="S806" s="146"/>
      <c r="T806" s="92"/>
      <c r="U806" s="146"/>
      <c r="V806" s="92"/>
      <c r="W806" s="146"/>
      <c r="X806" s="92"/>
      <c r="Y806" s="146"/>
      <c r="Z806" s="92"/>
      <c r="AA806" s="146"/>
      <c r="AB806" s="92"/>
      <c r="AC806" s="146"/>
      <c r="AD806" s="92"/>
      <c r="AE806" s="146"/>
      <c r="AF806" s="187" t="str">
        <f t="shared" si="52"/>
        <v/>
      </c>
      <c r="AG806" s="54" t="b">
        <f t="shared" si="54"/>
        <v>0</v>
      </c>
      <c r="AH806" s="146"/>
      <c r="AI806" s="210" t="s">
        <v>6</v>
      </c>
      <c r="AJ806" s="97" t="str">
        <f t="shared" si="53"/>
        <v>GUARULHOS</v>
      </c>
      <c r="AK806" s="213" t="s">
        <v>39</v>
      </c>
      <c r="AL806" s="53">
        <v>0.78830997466923725</v>
      </c>
      <c r="AM806" s="53" t="str" cm="1">
        <f t="array" ref="AM806">IF(OR(O806&lt;&gt;"", SUMPRODUCT(($AN$2:$AN$5000=AN806)*($AL$2:$AL$5000&lt;=AL806)) &lt;= (COUNTIF($AN$2:$AN$5000,AN806)*0.5)), "SORTEADO", "-")</f>
        <v>-</v>
      </c>
      <c r="AN806" s="230" t="s">
        <v>1935</v>
      </c>
    </row>
    <row r="807" spans="1:40" ht="30" hidden="1" customHeight="1" x14ac:dyDescent="0.2">
      <c r="A807" s="230" t="s">
        <v>197</v>
      </c>
      <c r="B807" s="230">
        <v>2617460001</v>
      </c>
      <c r="C807" s="230" t="s">
        <v>104</v>
      </c>
      <c r="D807" s="230" t="s">
        <v>80</v>
      </c>
      <c r="E807" s="230" t="s">
        <v>198</v>
      </c>
      <c r="F807" s="230" t="s">
        <v>2142</v>
      </c>
      <c r="G807" s="230">
        <v>716</v>
      </c>
      <c r="H807" s="230" t="s">
        <v>2143</v>
      </c>
      <c r="I807" s="230" t="s">
        <v>368</v>
      </c>
      <c r="J807" s="230" t="s">
        <v>278</v>
      </c>
      <c r="K807" s="230" t="s">
        <v>2144</v>
      </c>
      <c r="L807" s="230" t="s">
        <v>1935</v>
      </c>
      <c r="M807" s="230" t="s">
        <v>2145</v>
      </c>
      <c r="N807" s="230" t="s">
        <v>241</v>
      </c>
      <c r="O807" s="158"/>
      <c r="P807" s="92"/>
      <c r="Q807" s="146"/>
      <c r="R807" s="92"/>
      <c r="S807" s="146"/>
      <c r="T807" s="92"/>
      <c r="U807" s="146"/>
      <c r="V807" s="92"/>
      <c r="W807" s="146"/>
      <c r="X807" s="92"/>
      <c r="Y807" s="146"/>
      <c r="Z807" s="92"/>
      <c r="AA807" s="146"/>
      <c r="AB807" s="92"/>
      <c r="AC807" s="146"/>
      <c r="AD807" s="92"/>
      <c r="AE807" s="146"/>
      <c r="AF807" s="187" t="str">
        <f t="shared" si="52"/>
        <v/>
      </c>
      <c r="AG807" s="54" t="b">
        <f t="shared" si="54"/>
        <v>0</v>
      </c>
      <c r="AH807" s="146"/>
      <c r="AI807" s="210" t="s">
        <v>6</v>
      </c>
      <c r="AJ807" s="97" t="str">
        <f t="shared" si="53"/>
        <v>GUARULHOS</v>
      </c>
      <c r="AK807" s="213" t="s">
        <v>39</v>
      </c>
      <c r="AL807" s="53">
        <v>0.88947019965539242</v>
      </c>
      <c r="AM807" s="53" t="str" cm="1">
        <f t="array" ref="AM807">IF(OR(O807&lt;&gt;"", SUMPRODUCT(($AN$2:$AN$5000=AN807)*($AL$2:$AL$5000&lt;=AL807)) &lt;= (COUNTIF($AN$2:$AN$5000,AN807)*0.5)), "SORTEADO", "-")</f>
        <v>-</v>
      </c>
      <c r="AN807" s="230" t="s">
        <v>1935</v>
      </c>
    </row>
    <row r="808" spans="1:40" ht="30" customHeight="1" x14ac:dyDescent="0.2">
      <c r="A808" s="230" t="s">
        <v>197</v>
      </c>
      <c r="B808" s="230">
        <v>2617460114</v>
      </c>
      <c r="C808" s="230" t="s">
        <v>88</v>
      </c>
      <c r="D808" s="230" t="s">
        <v>77</v>
      </c>
      <c r="E808" s="230" t="s">
        <v>198</v>
      </c>
      <c r="F808" s="230" t="s">
        <v>2146</v>
      </c>
      <c r="G808" s="230">
        <v>437</v>
      </c>
      <c r="H808" s="230" t="s">
        <v>2147</v>
      </c>
      <c r="I808" s="230" t="s">
        <v>453</v>
      </c>
      <c r="J808" s="230" t="s">
        <v>401</v>
      </c>
      <c r="K808" s="230"/>
      <c r="L808" s="230" t="s">
        <v>1935</v>
      </c>
      <c r="M808" s="230" t="s">
        <v>2148</v>
      </c>
      <c r="N808" s="230" t="s">
        <v>241</v>
      </c>
      <c r="O808" s="158" t="s">
        <v>204</v>
      </c>
      <c r="P808" s="146"/>
      <c r="Q808" s="146" t="s">
        <v>204</v>
      </c>
      <c r="R808" s="209"/>
      <c r="S808" s="146" t="s">
        <v>204</v>
      </c>
      <c r="T808" s="146"/>
      <c r="U808" s="146" t="s">
        <v>204</v>
      </c>
      <c r="V808" s="146"/>
      <c r="W808" s="146" t="s">
        <v>204</v>
      </c>
      <c r="X808" s="146"/>
      <c r="Y808" s="146" t="s">
        <v>61</v>
      </c>
      <c r="Z808" s="146"/>
      <c r="AA808" s="146" t="s">
        <v>204</v>
      </c>
      <c r="AB808" s="146"/>
      <c r="AC808" s="146" t="s">
        <v>204</v>
      </c>
      <c r="AD808" s="146"/>
      <c r="AE808" s="146" t="s">
        <v>204</v>
      </c>
      <c r="AF808" s="187" t="str">
        <f t="shared" si="52"/>
        <v>C</v>
      </c>
      <c r="AG808" s="54" t="str">
        <f t="shared" si="54"/>
        <v>UTILIZOU O PDA CORRETAMENTE</v>
      </c>
      <c r="AH808" s="146"/>
      <c r="AI808" s="210" t="s">
        <v>6</v>
      </c>
      <c r="AJ808" s="97" t="str">
        <f t="shared" si="53"/>
        <v>GUARULHOS</v>
      </c>
      <c r="AK808" s="213" t="s">
        <v>39</v>
      </c>
      <c r="AL808" s="53">
        <v>0.33313964903368232</v>
      </c>
      <c r="AM808" s="53" t="str" cm="1">
        <f t="array" ref="AM808">IF(OR(O808&lt;&gt;"", SUMPRODUCT(($AN$2:$AN$5000=AN808)*($AL$2:$AL$5000&lt;=AL808)) &lt;= (COUNTIF($AN$2:$AN$5000,AN808)*0.5)), "SORTEADO", "-")</f>
        <v>SORTEADO</v>
      </c>
      <c r="AN808" s="230" t="s">
        <v>1935</v>
      </c>
    </row>
    <row r="809" spans="1:40" ht="30" hidden="1" customHeight="1" x14ac:dyDescent="0.2">
      <c r="A809" s="230" t="s">
        <v>197</v>
      </c>
      <c r="B809" s="230">
        <v>2617460324</v>
      </c>
      <c r="C809" s="230" t="s">
        <v>102</v>
      </c>
      <c r="D809" s="230" t="s">
        <v>80</v>
      </c>
      <c r="E809" s="230" t="s">
        <v>198</v>
      </c>
      <c r="F809" s="230" t="s">
        <v>2142</v>
      </c>
      <c r="G809" s="230">
        <v>708</v>
      </c>
      <c r="H809" s="230" t="s">
        <v>2149</v>
      </c>
      <c r="I809" s="230" t="s">
        <v>368</v>
      </c>
      <c r="J809" s="230" t="s">
        <v>259</v>
      </c>
      <c r="K809" s="230" t="s">
        <v>576</v>
      </c>
      <c r="L809" s="230" t="s">
        <v>1935</v>
      </c>
      <c r="M809" s="230" t="s">
        <v>2150</v>
      </c>
      <c r="N809" s="230" t="s">
        <v>241</v>
      </c>
      <c r="O809" s="158"/>
      <c r="P809" s="92"/>
      <c r="Q809" s="146"/>
      <c r="R809" s="92"/>
      <c r="S809" s="146"/>
      <c r="T809" s="92"/>
      <c r="U809" s="146"/>
      <c r="V809" s="92"/>
      <c r="W809" s="146"/>
      <c r="X809" s="92"/>
      <c r="Y809" s="146"/>
      <c r="Z809" s="92"/>
      <c r="AA809" s="146"/>
      <c r="AB809" s="92"/>
      <c r="AC809" s="146"/>
      <c r="AD809" s="92"/>
      <c r="AE809" s="146"/>
      <c r="AF809" s="187" t="str">
        <f t="shared" si="52"/>
        <v/>
      </c>
      <c r="AG809" s="54" t="b">
        <f t="shared" si="54"/>
        <v>0</v>
      </c>
      <c r="AH809" s="146"/>
      <c r="AI809" s="210" t="s">
        <v>6</v>
      </c>
      <c r="AJ809" s="97" t="str">
        <f t="shared" si="53"/>
        <v>GUARULHOS</v>
      </c>
      <c r="AK809" s="213" t="s">
        <v>39</v>
      </c>
      <c r="AL809" s="53">
        <v>0.9050330756827516</v>
      </c>
      <c r="AM809" s="53" t="str" cm="1">
        <f t="array" ref="AM809">IF(OR(O809&lt;&gt;"", SUMPRODUCT(($AN$2:$AN$5000=AN809)*($AL$2:$AL$5000&lt;=AL809)) &lt;= (COUNTIF($AN$2:$AN$5000,AN809)*0.5)), "SORTEADO", "-")</f>
        <v>-</v>
      </c>
      <c r="AN809" s="230" t="s">
        <v>1935</v>
      </c>
    </row>
    <row r="810" spans="1:40" ht="30" hidden="1" customHeight="1" x14ac:dyDescent="0.2">
      <c r="A810" s="230" t="s">
        <v>197</v>
      </c>
      <c r="B810" s="230">
        <v>2617462949</v>
      </c>
      <c r="C810" s="230" t="s">
        <v>100</v>
      </c>
      <c r="D810" s="230" t="s">
        <v>78</v>
      </c>
      <c r="E810" s="230" t="s">
        <v>198</v>
      </c>
      <c r="F810" s="230" t="s">
        <v>2151</v>
      </c>
      <c r="G810" s="230">
        <v>178</v>
      </c>
      <c r="H810" s="230"/>
      <c r="I810" s="230" t="s">
        <v>1445</v>
      </c>
      <c r="J810" s="230" t="s">
        <v>248</v>
      </c>
      <c r="K810" s="230" t="s">
        <v>2152</v>
      </c>
      <c r="L810" s="230" t="s">
        <v>1935</v>
      </c>
      <c r="M810" s="230" t="s">
        <v>2153</v>
      </c>
      <c r="N810" s="230" t="s">
        <v>408</v>
      </c>
      <c r="O810" s="158"/>
      <c r="P810" s="92"/>
      <c r="Q810" s="146"/>
      <c r="R810" s="92"/>
      <c r="S810" s="146"/>
      <c r="T810" s="92"/>
      <c r="U810" s="146"/>
      <c r="V810" s="92"/>
      <c r="W810" s="146"/>
      <c r="X810" s="92"/>
      <c r="Y810" s="146"/>
      <c r="Z810" s="92"/>
      <c r="AA810" s="146"/>
      <c r="AB810" s="92"/>
      <c r="AC810" s="146"/>
      <c r="AD810" s="92"/>
      <c r="AE810" s="146"/>
      <c r="AF810" s="187" t="str">
        <f t="shared" si="52"/>
        <v/>
      </c>
      <c r="AG810" s="54" t="b">
        <f t="shared" si="54"/>
        <v>0</v>
      </c>
      <c r="AH810" s="146"/>
      <c r="AI810" s="210" t="s">
        <v>6</v>
      </c>
      <c r="AJ810" s="97" t="str">
        <f t="shared" si="53"/>
        <v>GUARULHOS</v>
      </c>
      <c r="AK810" s="213" t="s">
        <v>39</v>
      </c>
      <c r="AL810" s="53">
        <v>0.75018784528466853</v>
      </c>
      <c r="AM810" s="53" t="str" cm="1">
        <f t="array" ref="AM810">IF(OR(O810&lt;&gt;"", SUMPRODUCT(($AN$2:$AN$5000=AN810)*($AL$2:$AL$5000&lt;=AL810)) &lt;= (COUNTIF($AN$2:$AN$5000,AN810)*0.5)), "SORTEADO", "-")</f>
        <v>-</v>
      </c>
      <c r="AN810" s="230" t="s">
        <v>1935</v>
      </c>
    </row>
    <row r="811" spans="1:40" ht="30" customHeight="1" x14ac:dyDescent="0.2">
      <c r="A811" s="230" t="s">
        <v>197</v>
      </c>
      <c r="B811" s="230">
        <v>2617121923</v>
      </c>
      <c r="C811" s="230" t="s">
        <v>104</v>
      </c>
      <c r="D811" s="230" t="s">
        <v>80</v>
      </c>
      <c r="E811" s="230" t="s">
        <v>198</v>
      </c>
      <c r="F811" s="230" t="s">
        <v>2154</v>
      </c>
      <c r="G811" s="230">
        <v>141</v>
      </c>
      <c r="H811" s="230" t="s">
        <v>2155</v>
      </c>
      <c r="I811" s="230" t="s">
        <v>2156</v>
      </c>
      <c r="J811" s="230" t="s">
        <v>467</v>
      </c>
      <c r="K811" s="230" t="s">
        <v>213</v>
      </c>
      <c r="L811" s="230" t="s">
        <v>1935</v>
      </c>
      <c r="M811" s="230" t="s">
        <v>2157</v>
      </c>
      <c r="N811" s="230" t="s">
        <v>1104</v>
      </c>
      <c r="O811" s="158" t="s">
        <v>204</v>
      </c>
      <c r="P811" s="92"/>
      <c r="Q811" s="146" t="s">
        <v>204</v>
      </c>
      <c r="R811" s="92"/>
      <c r="S811" s="146" t="s">
        <v>204</v>
      </c>
      <c r="T811" s="92"/>
      <c r="U811" s="146" t="s">
        <v>204</v>
      </c>
      <c r="V811" s="92"/>
      <c r="W811" s="146" t="s">
        <v>204</v>
      </c>
      <c r="X811" s="92"/>
      <c r="Y811" s="146" t="s">
        <v>61</v>
      </c>
      <c r="Z811" s="92"/>
      <c r="AA811" s="146" t="s">
        <v>204</v>
      </c>
      <c r="AB811" s="92"/>
      <c r="AC811" s="146" t="s">
        <v>204</v>
      </c>
      <c r="AD811" s="92"/>
      <c r="AE811" s="146" t="s">
        <v>204</v>
      </c>
      <c r="AF811" s="187" t="str">
        <f t="shared" si="52"/>
        <v>C</v>
      </c>
      <c r="AG811" s="54" t="str">
        <f t="shared" si="54"/>
        <v>UTILIZOU O PDA CORRETAMENTE</v>
      </c>
      <c r="AH811" s="144" t="s">
        <v>204</v>
      </c>
      <c r="AI811" s="210" t="s">
        <v>6</v>
      </c>
      <c r="AJ811" s="97" t="str">
        <f t="shared" si="53"/>
        <v>GUARULHOS</v>
      </c>
      <c r="AK811" s="213" t="s">
        <v>39</v>
      </c>
      <c r="AL811" s="53">
        <v>0.61286233543896096</v>
      </c>
      <c r="AM811" s="53" t="str" cm="1">
        <f t="array" ref="AM811">IF(OR(O811&lt;&gt;"", SUMPRODUCT(($AN$2:$AN$5000=AN811)*($AL$2:$AL$5000&lt;=AL811)) &lt;= (COUNTIF($AN$2:$AN$5000,AN811)*0.5)), "SORTEADO", "-")</f>
        <v>SORTEADO</v>
      </c>
      <c r="AN811" s="230" t="s">
        <v>1935</v>
      </c>
    </row>
    <row r="812" spans="1:40" ht="30" customHeight="1" x14ac:dyDescent="0.2">
      <c r="A812" s="230" t="s">
        <v>197</v>
      </c>
      <c r="B812" s="230">
        <v>2691531894</v>
      </c>
      <c r="C812" s="230" t="s">
        <v>89</v>
      </c>
      <c r="D812" s="230" t="s">
        <v>77</v>
      </c>
      <c r="E812" s="230" t="s">
        <v>198</v>
      </c>
      <c r="F812" s="230" t="s">
        <v>2158</v>
      </c>
      <c r="G812" s="230">
        <v>111</v>
      </c>
      <c r="H812" s="230" t="s">
        <v>2159</v>
      </c>
      <c r="I812" s="230" t="s">
        <v>447</v>
      </c>
      <c r="J812" s="230" t="s">
        <v>346</v>
      </c>
      <c r="K812" s="230" t="s">
        <v>831</v>
      </c>
      <c r="L812" s="230" t="s">
        <v>1935</v>
      </c>
      <c r="M812" s="230" t="s">
        <v>2160</v>
      </c>
      <c r="N812" s="230" t="s">
        <v>348</v>
      </c>
      <c r="O812" s="158" t="s">
        <v>204</v>
      </c>
      <c r="P812" s="146"/>
      <c r="Q812" s="146" t="s">
        <v>204</v>
      </c>
      <c r="R812" s="209"/>
      <c r="S812" s="146" t="s">
        <v>204</v>
      </c>
      <c r="T812" s="146"/>
      <c r="U812" s="146" t="s">
        <v>204</v>
      </c>
      <c r="V812" s="146"/>
      <c r="W812" s="146" t="s">
        <v>204</v>
      </c>
      <c r="X812" s="146"/>
      <c r="Y812" s="146" t="s">
        <v>61</v>
      </c>
      <c r="Z812" s="146"/>
      <c r="AA812" s="146" t="s">
        <v>204</v>
      </c>
      <c r="AB812" s="146"/>
      <c r="AC812" s="146" t="s">
        <v>204</v>
      </c>
      <c r="AD812" s="146"/>
      <c r="AE812" s="146" t="s">
        <v>204</v>
      </c>
      <c r="AF812" s="187" t="str">
        <f t="shared" si="52"/>
        <v>C</v>
      </c>
      <c r="AG812" s="54" t="str">
        <f t="shared" si="54"/>
        <v>UTILIZOU O PDA CORRETAMENTE</v>
      </c>
      <c r="AH812" s="146"/>
      <c r="AI812" s="210" t="s">
        <v>6</v>
      </c>
      <c r="AJ812" s="97" t="str">
        <f t="shared" si="53"/>
        <v>GUARULHOS</v>
      </c>
      <c r="AK812" s="213" t="s">
        <v>39</v>
      </c>
      <c r="AL812" s="53">
        <v>0.21527813522582506</v>
      </c>
      <c r="AM812" s="53" t="str" cm="1">
        <f t="array" ref="AM812">IF(OR(O812&lt;&gt;"", SUMPRODUCT(($AN$2:$AN$5000=AN812)*($AL$2:$AL$5000&lt;=AL812)) &lt;= (COUNTIF($AN$2:$AN$5000,AN812)*0.5)), "SORTEADO", "-")</f>
        <v>SORTEADO</v>
      </c>
      <c r="AN812" s="230" t="s">
        <v>1935</v>
      </c>
    </row>
    <row r="813" spans="1:40" ht="30" hidden="1" customHeight="1" x14ac:dyDescent="0.2">
      <c r="A813" s="230" t="s">
        <v>197</v>
      </c>
      <c r="B813" s="230">
        <v>2617467842</v>
      </c>
      <c r="C813" s="230" t="s">
        <v>102</v>
      </c>
      <c r="D813" s="230" t="s">
        <v>80</v>
      </c>
      <c r="E813" s="230" t="s">
        <v>198</v>
      </c>
      <c r="F813" s="230" t="s">
        <v>2136</v>
      </c>
      <c r="G813" s="230">
        <v>7</v>
      </c>
      <c r="H813" s="230" t="s">
        <v>2161</v>
      </c>
      <c r="I813" s="230" t="s">
        <v>859</v>
      </c>
      <c r="J813" s="230" t="s">
        <v>270</v>
      </c>
      <c r="K813" s="230" t="s">
        <v>2162</v>
      </c>
      <c r="L813" s="230" t="s">
        <v>1935</v>
      </c>
      <c r="M813" s="230" t="s">
        <v>2163</v>
      </c>
      <c r="N813" s="230" t="s">
        <v>348</v>
      </c>
      <c r="O813" s="158"/>
      <c r="P813" s="92"/>
      <c r="Q813" s="146"/>
      <c r="R813" s="92"/>
      <c r="S813" s="146"/>
      <c r="T813" s="92"/>
      <c r="U813" s="146"/>
      <c r="V813" s="92"/>
      <c r="W813" s="146"/>
      <c r="X813" s="92"/>
      <c r="Y813" s="146"/>
      <c r="Z813" s="92"/>
      <c r="AA813" s="146"/>
      <c r="AB813" s="92"/>
      <c r="AC813" s="146"/>
      <c r="AD813" s="92"/>
      <c r="AE813" s="146"/>
      <c r="AF813" s="187" t="str">
        <f t="shared" si="52"/>
        <v/>
      </c>
      <c r="AG813" s="54" t="b">
        <f t="shared" si="54"/>
        <v>0</v>
      </c>
      <c r="AH813" s="146"/>
      <c r="AI813" s="210" t="s">
        <v>6</v>
      </c>
      <c r="AJ813" s="97" t="str">
        <f t="shared" si="53"/>
        <v>GUARULHOS</v>
      </c>
      <c r="AK813" s="213" t="s">
        <v>39</v>
      </c>
      <c r="AL813" s="53">
        <v>0.9789984218375114</v>
      </c>
      <c r="AM813" s="53" t="str" cm="1">
        <f t="array" ref="AM813">IF(OR(O813&lt;&gt;"", SUMPRODUCT(($AN$2:$AN$5000=AN813)*($AL$2:$AL$5000&lt;=AL813)) &lt;= (COUNTIF($AN$2:$AN$5000,AN813)*0.5)), "SORTEADO", "-")</f>
        <v>-</v>
      </c>
      <c r="AN813" s="230" t="s">
        <v>1935</v>
      </c>
    </row>
    <row r="814" spans="1:40" ht="30" customHeight="1" x14ac:dyDescent="0.2">
      <c r="A814" s="230" t="s">
        <v>197</v>
      </c>
      <c r="B814" s="230">
        <v>2691586072</v>
      </c>
      <c r="C814" s="230" t="s">
        <v>106</v>
      </c>
      <c r="D814" s="230" t="s">
        <v>80</v>
      </c>
      <c r="E814" s="230" t="s">
        <v>198</v>
      </c>
      <c r="F814" s="230" t="s">
        <v>2164</v>
      </c>
      <c r="G814" s="230">
        <v>114</v>
      </c>
      <c r="H814" s="230"/>
      <c r="I814" s="230" t="s">
        <v>923</v>
      </c>
      <c r="J814" s="230" t="s">
        <v>259</v>
      </c>
      <c r="K814" s="230"/>
      <c r="L814" s="230" t="s">
        <v>2165</v>
      </c>
      <c r="M814" s="230" t="s">
        <v>2166</v>
      </c>
      <c r="N814" s="230" t="s">
        <v>237</v>
      </c>
      <c r="O814" s="158" t="s">
        <v>204</v>
      </c>
      <c r="P814" s="92"/>
      <c r="Q814" s="146" t="s">
        <v>204</v>
      </c>
      <c r="R814" s="92"/>
      <c r="S814" s="146" t="s">
        <v>204</v>
      </c>
      <c r="T814" s="92"/>
      <c r="U814" s="146" t="s">
        <v>204</v>
      </c>
      <c r="V814" s="92"/>
      <c r="W814" s="146" t="s">
        <v>204</v>
      </c>
      <c r="X814" s="92"/>
      <c r="Y814" s="146" t="s">
        <v>61</v>
      </c>
      <c r="Z814" s="92"/>
      <c r="AA814" s="146" t="s">
        <v>204</v>
      </c>
      <c r="AB814" s="92"/>
      <c r="AC814" s="146" t="s">
        <v>204</v>
      </c>
      <c r="AD814" s="92"/>
      <c r="AE814" s="146" t="s">
        <v>204</v>
      </c>
      <c r="AF814" s="187" t="str">
        <f t="shared" si="52"/>
        <v>C</v>
      </c>
      <c r="AG814" s="54" t="str">
        <f t="shared" si="54"/>
        <v>UTILIZOU O PDA CORRETAMENTE</v>
      </c>
      <c r="AH814" s="144" t="s">
        <v>204</v>
      </c>
      <c r="AI814" s="210" t="s">
        <v>6</v>
      </c>
      <c r="AJ814" s="97" t="str">
        <f t="shared" si="53"/>
        <v>GUARULHOS</v>
      </c>
      <c r="AK814" s="213" t="s">
        <v>39</v>
      </c>
      <c r="AL814" s="53">
        <v>0.37751957248986023</v>
      </c>
      <c r="AM814" s="53" t="str" cm="1">
        <f t="array" ref="AM814">IF(OR(O814&lt;&gt;"", SUMPRODUCT(($AN$2:$AN$5000=AN814)*($AL$2:$AL$5000&lt;=AL814)) &lt;= (COUNTIF($AN$2:$AN$5000,AN814)*0.5)), "SORTEADO", "-")</f>
        <v>SORTEADO</v>
      </c>
      <c r="AN814" s="230" t="s">
        <v>2165</v>
      </c>
    </row>
    <row r="815" spans="1:40" ht="30" customHeight="1" x14ac:dyDescent="0.2">
      <c r="A815" s="230" t="s">
        <v>197</v>
      </c>
      <c r="B815" s="230">
        <v>2617537149</v>
      </c>
      <c r="C815" s="230" t="s">
        <v>106</v>
      </c>
      <c r="D815" s="230" t="s">
        <v>80</v>
      </c>
      <c r="E815" s="230" t="s">
        <v>198</v>
      </c>
      <c r="F815" s="230" t="s">
        <v>2167</v>
      </c>
      <c r="G815" s="230">
        <v>66</v>
      </c>
      <c r="H815" s="230" t="s">
        <v>2168</v>
      </c>
      <c r="I815" s="230" t="s">
        <v>2169</v>
      </c>
      <c r="J815" s="230" t="s">
        <v>259</v>
      </c>
      <c r="K815" s="230" t="s">
        <v>213</v>
      </c>
      <c r="L815" s="230" t="s">
        <v>2165</v>
      </c>
      <c r="M815" s="230" t="s">
        <v>2170</v>
      </c>
      <c r="N815" s="230" t="s">
        <v>381</v>
      </c>
      <c r="O815" s="158" t="s">
        <v>204</v>
      </c>
      <c r="P815" s="92"/>
      <c r="Q815" s="146" t="s">
        <v>204</v>
      </c>
      <c r="R815" s="92"/>
      <c r="S815" s="146" t="s">
        <v>204</v>
      </c>
      <c r="T815" s="92"/>
      <c r="U815" s="146" t="s">
        <v>204</v>
      </c>
      <c r="V815" s="92"/>
      <c r="W815" s="146" t="s">
        <v>204</v>
      </c>
      <c r="X815" s="92"/>
      <c r="Y815" s="146" t="s">
        <v>61</v>
      </c>
      <c r="Z815" s="92"/>
      <c r="AA815" s="146" t="s">
        <v>204</v>
      </c>
      <c r="AB815" s="92"/>
      <c r="AC815" s="146" t="s">
        <v>204</v>
      </c>
      <c r="AD815" s="92"/>
      <c r="AE815" s="146" t="s">
        <v>204</v>
      </c>
      <c r="AF815" s="187" t="str">
        <f t="shared" si="52"/>
        <v>C</v>
      </c>
      <c r="AG815" s="54" t="str">
        <f t="shared" si="54"/>
        <v>UTILIZOU O PDA CORRETAMENTE</v>
      </c>
      <c r="AH815" s="144" t="s">
        <v>204</v>
      </c>
      <c r="AI815" s="210" t="s">
        <v>6</v>
      </c>
      <c r="AJ815" s="97" t="str">
        <f t="shared" si="53"/>
        <v>GUARULHOS</v>
      </c>
      <c r="AK815" s="213" t="s">
        <v>39</v>
      </c>
      <c r="AL815" s="53">
        <v>7.2598249856621555E-2</v>
      </c>
      <c r="AM815" s="53" t="str" cm="1">
        <f t="array" ref="AM815">IF(OR(O815&lt;&gt;"", SUMPRODUCT(($AN$2:$AN$5000=AN815)*($AL$2:$AL$5000&lt;=AL815)) &lt;= (COUNTIF($AN$2:$AN$5000,AN815)*0.5)), "SORTEADO", "-")</f>
        <v>SORTEADO</v>
      </c>
      <c r="AN815" s="230" t="s">
        <v>2165</v>
      </c>
    </row>
    <row r="816" spans="1:40" ht="30" hidden="1" customHeight="1" x14ac:dyDescent="0.2">
      <c r="A816" s="230" t="s">
        <v>197</v>
      </c>
      <c r="B816" s="230">
        <v>2617140946</v>
      </c>
      <c r="C816" s="230" t="s">
        <v>1781</v>
      </c>
      <c r="D816" s="230" t="s">
        <v>78</v>
      </c>
      <c r="E816" s="230" t="s">
        <v>198</v>
      </c>
      <c r="F816" s="230" t="s">
        <v>1782</v>
      </c>
      <c r="G816" s="230">
        <v>51</v>
      </c>
      <c r="H816" s="230" t="s">
        <v>1790</v>
      </c>
      <c r="I816" s="230" t="s">
        <v>301</v>
      </c>
      <c r="J816" s="230" t="s">
        <v>1783</v>
      </c>
      <c r="K816" s="230" t="s">
        <v>1960</v>
      </c>
      <c r="L816" s="230" t="s">
        <v>2165</v>
      </c>
      <c r="M816" s="230" t="s">
        <v>2166</v>
      </c>
      <c r="N816" s="230" t="s">
        <v>317</v>
      </c>
      <c r="O816" s="158"/>
      <c r="P816" s="92"/>
      <c r="Q816" s="146"/>
      <c r="R816" s="92"/>
      <c r="S816" s="146"/>
      <c r="T816" s="92"/>
      <c r="U816" s="146"/>
      <c r="V816" s="92"/>
      <c r="W816" s="146"/>
      <c r="X816" s="92"/>
      <c r="Y816" s="146"/>
      <c r="Z816" s="92"/>
      <c r="AA816" s="146"/>
      <c r="AB816" s="92"/>
      <c r="AC816" s="146"/>
      <c r="AD816" s="92"/>
      <c r="AE816" s="146"/>
      <c r="AF816" s="187" t="str">
        <f t="shared" si="52"/>
        <v/>
      </c>
      <c r="AG816" s="54" t="b">
        <f t="shared" si="54"/>
        <v>0</v>
      </c>
      <c r="AH816" s="146"/>
      <c r="AI816" s="210" t="s">
        <v>6</v>
      </c>
      <c r="AJ816" s="97" t="str">
        <f t="shared" si="53"/>
        <v>GUARULHOS</v>
      </c>
      <c r="AK816" s="213" t="s">
        <v>39</v>
      </c>
      <c r="AL816" s="53">
        <v>0.39671134846524025</v>
      </c>
      <c r="AM816" s="53" t="str" cm="1">
        <f t="array" ref="AM816">IF(OR(O816&lt;&gt;"", SUMPRODUCT(($AN$2:$AN$5000=AN816)*($AL$2:$AL$5000&lt;=AL816)) &lt;= (COUNTIF($AN$2:$AN$5000,AN816)*0.5)), "SORTEADO", "-")</f>
        <v>-</v>
      </c>
      <c r="AN816" s="230" t="s">
        <v>2165</v>
      </c>
    </row>
    <row r="817" spans="1:40" ht="30" hidden="1" customHeight="1" x14ac:dyDescent="0.2">
      <c r="A817" s="230" t="s">
        <v>197</v>
      </c>
      <c r="B817" s="230">
        <v>2616219227</v>
      </c>
      <c r="C817" s="230" t="s">
        <v>1781</v>
      </c>
      <c r="D817" s="230" t="s">
        <v>78</v>
      </c>
      <c r="E817" s="230" t="s">
        <v>198</v>
      </c>
      <c r="F817" s="230" t="s">
        <v>1126</v>
      </c>
      <c r="G817" s="230">
        <v>93</v>
      </c>
      <c r="H817" s="230" t="s">
        <v>213</v>
      </c>
      <c r="I817" s="230" t="s">
        <v>1128</v>
      </c>
      <c r="J817" s="230" t="s">
        <v>1783</v>
      </c>
      <c r="K817" s="230" t="s">
        <v>1960</v>
      </c>
      <c r="L817" s="230" t="s">
        <v>2165</v>
      </c>
      <c r="M817" s="230" t="s">
        <v>2171</v>
      </c>
      <c r="N817" s="230" t="s">
        <v>317</v>
      </c>
      <c r="O817" s="158" t="s">
        <v>61</v>
      </c>
      <c r="P817" s="92"/>
      <c r="Q817" s="146" t="s">
        <v>61</v>
      </c>
      <c r="R817" s="92"/>
      <c r="S817" s="146" t="s">
        <v>61</v>
      </c>
      <c r="T817" s="92"/>
      <c r="U817" s="146" t="s">
        <v>61</v>
      </c>
      <c r="V817" s="92"/>
      <c r="W817" s="146" t="s">
        <v>61</v>
      </c>
      <c r="X817" s="92"/>
      <c r="Y817" s="146" t="s">
        <v>61</v>
      </c>
      <c r="Z817" s="92"/>
      <c r="AA817" s="146" t="s">
        <v>61</v>
      </c>
      <c r="AB817" s="92"/>
      <c r="AC817" s="146" t="s">
        <v>61</v>
      </c>
      <c r="AD817" s="92"/>
      <c r="AE817" s="146" t="s">
        <v>61</v>
      </c>
      <c r="AF817" s="187" t="str">
        <f t="shared" si="52"/>
        <v>NA</v>
      </c>
      <c r="AG817" s="54" t="str">
        <f t="shared" si="54"/>
        <v>NÃO AVALIADO POR FALHA DE SINCRONISMO</v>
      </c>
      <c r="AH817" s="146" t="s">
        <v>204</v>
      </c>
      <c r="AI817" s="210" t="s">
        <v>6</v>
      </c>
      <c r="AJ817" s="97" t="str">
        <f t="shared" si="53"/>
        <v>GUARULHOS</v>
      </c>
      <c r="AK817" s="213" t="s">
        <v>39</v>
      </c>
      <c r="AL817" s="53">
        <v>0.35607489100413969</v>
      </c>
      <c r="AM817" s="53" t="str" cm="1">
        <f t="array" ref="AM817">IF(OR(O817&lt;&gt;"", SUMPRODUCT(($AN$2:$AN$5000=AN817)*($AL$2:$AL$5000&lt;=AL817)) &lt;= (COUNTIF($AN$2:$AN$5000,AN817)*0.5)), "SORTEADO", "-")</f>
        <v>SORTEADO</v>
      </c>
      <c r="AN817" s="230" t="s">
        <v>2165</v>
      </c>
    </row>
    <row r="818" spans="1:40" ht="30" hidden="1" customHeight="1" x14ac:dyDescent="0.2">
      <c r="A818" s="242" t="s">
        <v>197</v>
      </c>
      <c r="B818" s="242">
        <v>2616219460</v>
      </c>
      <c r="C818" s="242" t="s">
        <v>1781</v>
      </c>
      <c r="D818" s="242" t="s">
        <v>78</v>
      </c>
      <c r="E818" s="242" t="s">
        <v>198</v>
      </c>
      <c r="F818" s="242" t="s">
        <v>1126</v>
      </c>
      <c r="G818" s="242">
        <v>77</v>
      </c>
      <c r="H818" s="242"/>
      <c r="I818" s="242" t="s">
        <v>1128</v>
      </c>
      <c r="J818" s="242" t="s">
        <v>1783</v>
      </c>
      <c r="K818" s="242" t="s">
        <v>1960</v>
      </c>
      <c r="L818" s="242" t="s">
        <v>2165</v>
      </c>
      <c r="M818" s="242" t="s">
        <v>2172</v>
      </c>
      <c r="N818" s="242" t="s">
        <v>317</v>
      </c>
      <c r="O818" s="158"/>
      <c r="P818" s="92"/>
      <c r="Q818" s="146"/>
      <c r="R818" s="92"/>
      <c r="S818" s="146"/>
      <c r="T818" s="92"/>
      <c r="U818" s="146"/>
      <c r="V818" s="92"/>
      <c r="W818" s="146"/>
      <c r="X818" s="92"/>
      <c r="Y818" s="146"/>
      <c r="Z818" s="92"/>
      <c r="AA818" s="146"/>
      <c r="AB818" s="92"/>
      <c r="AC818" s="146"/>
      <c r="AD818" s="92"/>
      <c r="AE818" s="146"/>
      <c r="AF818" s="187" t="str">
        <f t="shared" si="52"/>
        <v/>
      </c>
      <c r="AG818" s="54" t="b">
        <f t="shared" si="54"/>
        <v>0</v>
      </c>
      <c r="AH818" s="146"/>
      <c r="AI818" s="210" t="s">
        <v>6</v>
      </c>
      <c r="AJ818" s="97" t="str">
        <f t="shared" si="53"/>
        <v>GUARULHOS</v>
      </c>
      <c r="AK818" s="213" t="s">
        <v>39</v>
      </c>
      <c r="AL818" s="53">
        <v>0.44823337576399902</v>
      </c>
      <c r="AM818" s="53" t="str" cm="1">
        <f t="array" ref="AM818">IF(OR(O818&lt;&gt;"", SUMPRODUCT(($AN$2:$AN$5000=AN818)*($AL$2:$AL$5000&lt;=AL818)) &lt;= (COUNTIF($AN$2:$AN$5000,AN818)*0.5)), "SORTEADO", "-")</f>
        <v>-</v>
      </c>
      <c r="AN818" s="242" t="s">
        <v>2165</v>
      </c>
    </row>
    <row r="819" spans="1:40" ht="30" customHeight="1" x14ac:dyDescent="0.2">
      <c r="A819" s="230" t="s">
        <v>197</v>
      </c>
      <c r="B819" s="230">
        <v>2691586072</v>
      </c>
      <c r="C819" s="230" t="s">
        <v>106</v>
      </c>
      <c r="D819" s="230" t="s">
        <v>80</v>
      </c>
      <c r="E819" s="230" t="s">
        <v>198</v>
      </c>
      <c r="F819" s="230" t="s">
        <v>2164</v>
      </c>
      <c r="G819" s="230">
        <v>114</v>
      </c>
      <c r="H819" s="230" t="s">
        <v>213</v>
      </c>
      <c r="I819" s="230" t="s">
        <v>923</v>
      </c>
      <c r="J819" s="230" t="s">
        <v>259</v>
      </c>
      <c r="K819" s="230" t="s">
        <v>213</v>
      </c>
      <c r="L819" s="230" t="s">
        <v>2165</v>
      </c>
      <c r="M819" s="230" t="s">
        <v>2166</v>
      </c>
      <c r="N819" s="230" t="s">
        <v>237</v>
      </c>
      <c r="O819" s="158" t="s">
        <v>204</v>
      </c>
      <c r="P819" s="92"/>
      <c r="Q819" s="146" t="s">
        <v>204</v>
      </c>
      <c r="R819" s="92"/>
      <c r="S819" s="146" t="s">
        <v>204</v>
      </c>
      <c r="T819" s="92"/>
      <c r="U819" s="146" t="s">
        <v>204</v>
      </c>
      <c r="V819" s="92"/>
      <c r="W819" s="146" t="s">
        <v>204</v>
      </c>
      <c r="X819" s="92"/>
      <c r="Y819" s="146" t="s">
        <v>61</v>
      </c>
      <c r="Z819" s="92"/>
      <c r="AA819" s="146" t="s">
        <v>204</v>
      </c>
      <c r="AB819" s="92"/>
      <c r="AC819" s="146" t="s">
        <v>204</v>
      </c>
      <c r="AD819" s="92"/>
      <c r="AE819" s="146" t="s">
        <v>204</v>
      </c>
      <c r="AF819" s="187" t="str">
        <f t="shared" si="52"/>
        <v>C</v>
      </c>
      <c r="AG819" s="54" t="str">
        <f t="shared" si="54"/>
        <v>UTILIZOU O PDA CORRETAMENTE</v>
      </c>
      <c r="AH819" s="144" t="s">
        <v>204</v>
      </c>
      <c r="AI819" s="210" t="s">
        <v>6</v>
      </c>
      <c r="AJ819" s="97" t="str">
        <f t="shared" si="53"/>
        <v>GUARULHOS</v>
      </c>
      <c r="AK819" s="213" t="s">
        <v>39</v>
      </c>
      <c r="AL819" s="53">
        <v>0.219200308709812</v>
      </c>
      <c r="AM819" s="53" t="str" cm="1">
        <f t="array" ref="AM819">IF(OR(O819&lt;&gt;"", SUMPRODUCT(($AN$2:$AN$5000=AN819)*($AL$2:$AL$5000&lt;=AL819)) &lt;= (COUNTIF($AN$2:$AN$5000,AN819)*0.5)), "SORTEADO", "-")</f>
        <v>SORTEADO</v>
      </c>
      <c r="AN819" s="230" t="s">
        <v>2165</v>
      </c>
    </row>
    <row r="820" spans="1:40" ht="30" hidden="1" customHeight="1" x14ac:dyDescent="0.2">
      <c r="A820" s="230" t="s">
        <v>197</v>
      </c>
      <c r="B820" s="230">
        <v>2617537686</v>
      </c>
      <c r="C820" s="230" t="s">
        <v>105</v>
      </c>
      <c r="D820" s="230" t="s">
        <v>80</v>
      </c>
      <c r="E820" s="230" t="s">
        <v>198</v>
      </c>
      <c r="F820" s="230" t="s">
        <v>882</v>
      </c>
      <c r="G820" s="230">
        <v>771</v>
      </c>
      <c r="H820" s="230" t="s">
        <v>2173</v>
      </c>
      <c r="I820" s="230" t="s">
        <v>240</v>
      </c>
      <c r="J820" s="230" t="s">
        <v>226</v>
      </c>
      <c r="K820" s="230" t="s">
        <v>2174</v>
      </c>
      <c r="L820" s="230" t="s">
        <v>2165</v>
      </c>
      <c r="M820" s="230" t="s">
        <v>2175</v>
      </c>
      <c r="N820" s="230" t="s">
        <v>271</v>
      </c>
      <c r="O820" s="158"/>
      <c r="P820" s="92"/>
      <c r="Q820" s="146"/>
      <c r="R820" s="92"/>
      <c r="S820" s="146"/>
      <c r="T820" s="92"/>
      <c r="U820" s="146"/>
      <c r="V820" s="92"/>
      <c r="W820" s="146"/>
      <c r="X820" s="92"/>
      <c r="Y820" s="146"/>
      <c r="Z820" s="92"/>
      <c r="AA820" s="146"/>
      <c r="AB820" s="92"/>
      <c r="AC820" s="146"/>
      <c r="AD820" s="92"/>
      <c r="AE820" s="146"/>
      <c r="AF820" s="187" t="str">
        <f t="shared" si="52"/>
        <v/>
      </c>
      <c r="AG820" s="54" t="b">
        <f t="shared" si="54"/>
        <v>0</v>
      </c>
      <c r="AH820" s="146"/>
      <c r="AI820" s="210" t="s">
        <v>6</v>
      </c>
      <c r="AJ820" s="97" t="str">
        <f t="shared" si="53"/>
        <v>GUARULHOS</v>
      </c>
      <c r="AK820" s="213" t="s">
        <v>39</v>
      </c>
      <c r="AL820" s="53">
        <v>0.42244088423728621</v>
      </c>
      <c r="AM820" s="53" t="str" cm="1">
        <f t="array" ref="AM820">IF(OR(O820&lt;&gt;"", SUMPRODUCT(($AN$2:$AN$5000=AN820)*($AL$2:$AL$5000&lt;=AL820)) &lt;= (COUNTIF($AN$2:$AN$5000,AN820)*0.5)), "SORTEADO", "-")</f>
        <v>-</v>
      </c>
      <c r="AN820" s="230" t="s">
        <v>2165</v>
      </c>
    </row>
    <row r="821" spans="1:40" ht="30" customHeight="1" x14ac:dyDescent="0.2">
      <c r="A821" s="230" t="s">
        <v>197</v>
      </c>
      <c r="B821" s="230">
        <v>2617291685</v>
      </c>
      <c r="C821" s="230" t="s">
        <v>105</v>
      </c>
      <c r="D821" s="230" t="s">
        <v>80</v>
      </c>
      <c r="E821" s="230" t="s">
        <v>198</v>
      </c>
      <c r="F821" s="230" t="s">
        <v>2176</v>
      </c>
      <c r="G821" s="230">
        <v>7</v>
      </c>
      <c r="H821" s="230" t="s">
        <v>213</v>
      </c>
      <c r="I821" s="230" t="s">
        <v>1677</v>
      </c>
      <c r="J821" s="230" t="s">
        <v>2177</v>
      </c>
      <c r="K821" s="230" t="s">
        <v>213</v>
      </c>
      <c r="L821" s="230" t="s">
        <v>2165</v>
      </c>
      <c r="M821" s="230" t="s">
        <v>2178</v>
      </c>
      <c r="N821" s="230" t="s">
        <v>244</v>
      </c>
      <c r="O821" s="158" t="s">
        <v>204</v>
      </c>
      <c r="P821" s="92"/>
      <c r="Q821" s="146" t="s">
        <v>204</v>
      </c>
      <c r="R821" s="92"/>
      <c r="S821" s="146" t="s">
        <v>204</v>
      </c>
      <c r="T821" s="92"/>
      <c r="U821" s="146" t="s">
        <v>204</v>
      </c>
      <c r="V821" s="92"/>
      <c r="W821" s="146" t="s">
        <v>204</v>
      </c>
      <c r="X821" s="92"/>
      <c r="Y821" s="146" t="s">
        <v>61</v>
      </c>
      <c r="Z821" s="92"/>
      <c r="AA821" s="146" t="s">
        <v>204</v>
      </c>
      <c r="AB821" s="92"/>
      <c r="AC821" s="146" t="s">
        <v>204</v>
      </c>
      <c r="AD821" s="92"/>
      <c r="AE821" s="146" t="s">
        <v>204</v>
      </c>
      <c r="AF821" s="187" t="str">
        <f t="shared" si="52"/>
        <v>C</v>
      </c>
      <c r="AG821" s="54" t="str">
        <f t="shared" si="54"/>
        <v>UTILIZOU O PDA CORRETAMENTE</v>
      </c>
      <c r="AH821" s="144" t="s">
        <v>204</v>
      </c>
      <c r="AI821" s="210" t="s">
        <v>6</v>
      </c>
      <c r="AJ821" s="97" t="str">
        <f t="shared" si="53"/>
        <v>GUARULHOS</v>
      </c>
      <c r="AK821" s="213" t="s">
        <v>39</v>
      </c>
      <c r="AL821" s="53">
        <v>0.24023165747943254</v>
      </c>
      <c r="AM821" s="53" t="str" cm="1">
        <f t="array" ref="AM821">IF(OR(O821&lt;&gt;"", SUMPRODUCT(($AN$2:$AN$5000=AN821)*($AL$2:$AL$5000&lt;=AL821)) &lt;= (COUNTIF($AN$2:$AN$5000,AN821)*0.5)), "SORTEADO", "-")</f>
        <v>SORTEADO</v>
      </c>
      <c r="AN821" s="230" t="s">
        <v>2165</v>
      </c>
    </row>
    <row r="822" spans="1:40" ht="30" customHeight="1" x14ac:dyDescent="0.2">
      <c r="A822" s="230" t="s">
        <v>197</v>
      </c>
      <c r="B822" s="230">
        <v>2617524246</v>
      </c>
      <c r="C822" s="230" t="s">
        <v>100</v>
      </c>
      <c r="D822" s="230" t="s">
        <v>78</v>
      </c>
      <c r="E822" s="230" t="s">
        <v>198</v>
      </c>
      <c r="F822" s="230" t="s">
        <v>781</v>
      </c>
      <c r="G822" s="230">
        <v>127</v>
      </c>
      <c r="H822" s="230" t="s">
        <v>2179</v>
      </c>
      <c r="I822" s="230" t="s">
        <v>262</v>
      </c>
      <c r="J822" s="230" t="s">
        <v>248</v>
      </c>
      <c r="K822" s="230" t="s">
        <v>2180</v>
      </c>
      <c r="L822" s="230" t="s">
        <v>2165</v>
      </c>
      <c r="M822" s="230" t="s">
        <v>2181</v>
      </c>
      <c r="N822" s="230" t="s">
        <v>260</v>
      </c>
      <c r="O822" s="158" t="s">
        <v>204</v>
      </c>
      <c r="P822" s="92"/>
      <c r="Q822" s="146" t="s">
        <v>204</v>
      </c>
      <c r="R822" s="92"/>
      <c r="S822" s="146" t="s">
        <v>204</v>
      </c>
      <c r="T822" s="92"/>
      <c r="U822" s="146" t="s">
        <v>204</v>
      </c>
      <c r="V822" s="92"/>
      <c r="W822" s="146" t="s">
        <v>204</v>
      </c>
      <c r="X822" s="92"/>
      <c r="Y822" s="146" t="s">
        <v>204</v>
      </c>
      <c r="Z822" s="92"/>
      <c r="AA822" s="146" t="s">
        <v>204</v>
      </c>
      <c r="AB822" s="92"/>
      <c r="AC822" s="146" t="s">
        <v>204</v>
      </c>
      <c r="AD822" s="92"/>
      <c r="AE822" s="146" t="s">
        <v>204</v>
      </c>
      <c r="AF822" s="187" t="str">
        <f t="shared" si="52"/>
        <v>C</v>
      </c>
      <c r="AG822" s="54" t="str">
        <f t="shared" si="54"/>
        <v>UTILIZOU O PDA CORRETAMENTE</v>
      </c>
      <c r="AH822" s="146" t="s">
        <v>204</v>
      </c>
      <c r="AI822" s="210" t="s">
        <v>6</v>
      </c>
      <c r="AJ822" s="97" t="str">
        <f t="shared" si="53"/>
        <v>GUARULHOS</v>
      </c>
      <c r="AK822" s="213" t="s">
        <v>39</v>
      </c>
      <c r="AL822" s="53">
        <v>0.20008929010751009</v>
      </c>
      <c r="AM822" s="53" t="str" cm="1">
        <f t="array" ref="AM822">IF(OR(O822&lt;&gt;"", SUMPRODUCT(($AN$2:$AN$5000=AN822)*($AL$2:$AL$5000&lt;=AL822)) &lt;= (COUNTIF($AN$2:$AN$5000,AN822)*0.5)), "SORTEADO", "-")</f>
        <v>SORTEADO</v>
      </c>
      <c r="AN822" s="230" t="s">
        <v>2165</v>
      </c>
    </row>
    <row r="823" spans="1:40" ht="30" customHeight="1" x14ac:dyDescent="0.2">
      <c r="A823" s="230" t="s">
        <v>197</v>
      </c>
      <c r="B823" s="230">
        <v>2617523579</v>
      </c>
      <c r="C823" s="230" t="s">
        <v>100</v>
      </c>
      <c r="D823" s="230" t="s">
        <v>78</v>
      </c>
      <c r="E823" s="230" t="s">
        <v>198</v>
      </c>
      <c r="F823" s="230" t="s">
        <v>781</v>
      </c>
      <c r="G823" s="230">
        <v>121</v>
      </c>
      <c r="H823" s="230" t="s">
        <v>213</v>
      </c>
      <c r="I823" s="230" t="s">
        <v>262</v>
      </c>
      <c r="J823" s="230" t="s">
        <v>248</v>
      </c>
      <c r="K823" s="230" t="s">
        <v>2182</v>
      </c>
      <c r="L823" s="230" t="s">
        <v>2165</v>
      </c>
      <c r="M823" s="230" t="s">
        <v>2183</v>
      </c>
      <c r="N823" s="230" t="s">
        <v>260</v>
      </c>
      <c r="O823" s="158" t="s">
        <v>204</v>
      </c>
      <c r="P823" s="92"/>
      <c r="Q823" s="146" t="s">
        <v>204</v>
      </c>
      <c r="R823" s="92"/>
      <c r="S823" s="146" t="s">
        <v>204</v>
      </c>
      <c r="T823" s="92"/>
      <c r="U823" s="146" t="s">
        <v>204</v>
      </c>
      <c r="V823" s="92"/>
      <c r="W823" s="146" t="s">
        <v>204</v>
      </c>
      <c r="X823" s="92"/>
      <c r="Y823" s="146" t="s">
        <v>204</v>
      </c>
      <c r="Z823" s="92"/>
      <c r="AA823" s="146" t="s">
        <v>204</v>
      </c>
      <c r="AB823" s="92"/>
      <c r="AC823" s="146" t="s">
        <v>204</v>
      </c>
      <c r="AD823" s="92"/>
      <c r="AE823" s="146" t="s">
        <v>204</v>
      </c>
      <c r="AF823" s="187" t="str">
        <f t="shared" si="52"/>
        <v>C</v>
      </c>
      <c r="AG823" s="54" t="str">
        <f t="shared" si="54"/>
        <v>UTILIZOU O PDA CORRETAMENTE</v>
      </c>
      <c r="AH823" s="146" t="s">
        <v>204</v>
      </c>
      <c r="AI823" s="210" t="s">
        <v>6</v>
      </c>
      <c r="AJ823" s="97" t="str">
        <f t="shared" si="53"/>
        <v>GUARULHOS</v>
      </c>
      <c r="AK823" s="213" t="s">
        <v>39</v>
      </c>
      <c r="AL823" s="53">
        <v>0.37529449843156426</v>
      </c>
      <c r="AM823" s="53" t="str" cm="1">
        <f t="array" ref="AM823">IF(OR(O823&lt;&gt;"", SUMPRODUCT(($AN$2:$AN$5000=AN823)*($AL$2:$AL$5000&lt;=AL823)) &lt;= (COUNTIF($AN$2:$AN$5000,AN823)*0.5)), "SORTEADO", "-")</f>
        <v>SORTEADO</v>
      </c>
      <c r="AN823" s="230" t="s">
        <v>2165</v>
      </c>
    </row>
    <row r="824" spans="1:40" ht="30" hidden="1" customHeight="1" x14ac:dyDescent="0.2">
      <c r="A824" s="230" t="s">
        <v>197</v>
      </c>
      <c r="B824" s="230">
        <v>2617524693</v>
      </c>
      <c r="C824" s="230" t="s">
        <v>100</v>
      </c>
      <c r="D824" s="230" t="s">
        <v>78</v>
      </c>
      <c r="E824" s="230" t="s">
        <v>198</v>
      </c>
      <c r="F824" s="230" t="s">
        <v>781</v>
      </c>
      <c r="G824" s="230">
        <v>117</v>
      </c>
      <c r="H824" s="230" t="s">
        <v>2184</v>
      </c>
      <c r="I824" s="230" t="s">
        <v>262</v>
      </c>
      <c r="J824" s="230" t="s">
        <v>248</v>
      </c>
      <c r="K824" s="237" t="s">
        <v>2185</v>
      </c>
      <c r="L824" s="230" t="s">
        <v>2165</v>
      </c>
      <c r="M824" s="230" t="s">
        <v>2186</v>
      </c>
      <c r="N824" s="230" t="s">
        <v>303</v>
      </c>
      <c r="O824" s="158"/>
      <c r="P824" s="92"/>
      <c r="Q824" s="146"/>
      <c r="R824" s="92"/>
      <c r="S824" s="146"/>
      <c r="T824" s="92"/>
      <c r="U824" s="146"/>
      <c r="V824" s="92"/>
      <c r="W824" s="146"/>
      <c r="X824" s="92"/>
      <c r="Y824" s="146"/>
      <c r="Z824" s="92"/>
      <c r="AA824" s="146"/>
      <c r="AB824" s="92"/>
      <c r="AC824" s="146"/>
      <c r="AD824" s="92"/>
      <c r="AE824" s="146"/>
      <c r="AF824" s="187" t="str">
        <f t="shared" si="52"/>
        <v/>
      </c>
      <c r="AG824" s="54" t="b">
        <f t="shared" si="54"/>
        <v>0</v>
      </c>
      <c r="AH824" s="146"/>
      <c r="AI824" s="210" t="s">
        <v>6</v>
      </c>
      <c r="AJ824" s="97" t="str">
        <f t="shared" si="53"/>
        <v>GUARULHOS</v>
      </c>
      <c r="AK824" s="213" t="s">
        <v>39</v>
      </c>
      <c r="AL824" s="53">
        <v>0.60924770690310526</v>
      </c>
      <c r="AM824" s="53" t="str" cm="1">
        <f t="array" ref="AM824">IF(OR(O824&lt;&gt;"", SUMPRODUCT(($AN$2:$AN$5000=AN824)*($AL$2:$AL$5000&lt;=AL824)) &lt;= (COUNTIF($AN$2:$AN$5000,AN824)*0.5)), "SORTEADO", "-")</f>
        <v>-</v>
      </c>
      <c r="AN824" s="230" t="s">
        <v>2165</v>
      </c>
    </row>
    <row r="825" spans="1:40" ht="30" hidden="1" customHeight="1" x14ac:dyDescent="0.2">
      <c r="A825" s="230" t="s">
        <v>197</v>
      </c>
      <c r="B825" s="230">
        <v>2617525051</v>
      </c>
      <c r="C825" s="230" t="s">
        <v>100</v>
      </c>
      <c r="D825" s="230" t="s">
        <v>78</v>
      </c>
      <c r="E825" s="230" t="s">
        <v>198</v>
      </c>
      <c r="F825" s="230" t="s">
        <v>781</v>
      </c>
      <c r="G825" s="230">
        <v>91</v>
      </c>
      <c r="H825" s="230" t="s">
        <v>2187</v>
      </c>
      <c r="I825" s="230" t="s">
        <v>262</v>
      </c>
      <c r="J825" s="230" t="s">
        <v>248</v>
      </c>
      <c r="K825" s="237" t="s">
        <v>2188</v>
      </c>
      <c r="L825" s="230" t="s">
        <v>2165</v>
      </c>
      <c r="M825" s="230" t="s">
        <v>2189</v>
      </c>
      <c r="N825" s="230" t="s">
        <v>303</v>
      </c>
      <c r="O825" s="158"/>
      <c r="P825" s="92"/>
      <c r="Q825" s="146"/>
      <c r="R825" s="92"/>
      <c r="S825" s="146"/>
      <c r="T825" s="92"/>
      <c r="U825" s="146"/>
      <c r="V825" s="92"/>
      <c r="W825" s="146"/>
      <c r="X825" s="92"/>
      <c r="Y825" s="146"/>
      <c r="Z825" s="92"/>
      <c r="AA825" s="146"/>
      <c r="AB825" s="92"/>
      <c r="AC825" s="146"/>
      <c r="AD825" s="92"/>
      <c r="AE825" s="146"/>
      <c r="AF825" s="187" t="str">
        <f t="shared" si="52"/>
        <v/>
      </c>
      <c r="AG825" s="54" t="b">
        <f t="shared" si="54"/>
        <v>0</v>
      </c>
      <c r="AH825" s="146"/>
      <c r="AI825" s="210" t="s">
        <v>6</v>
      </c>
      <c r="AJ825" s="97" t="str">
        <f t="shared" si="53"/>
        <v>GUARULHOS</v>
      </c>
      <c r="AK825" s="213" t="s">
        <v>39</v>
      </c>
      <c r="AL825" s="53">
        <v>0.48032095146976173</v>
      </c>
      <c r="AM825" s="53" t="str" cm="1">
        <f t="array" ref="AM825">IF(OR(O825&lt;&gt;"", SUMPRODUCT(($AN$2:$AN$5000=AN825)*($AL$2:$AL$5000&lt;=AL825)) &lt;= (COUNTIF($AN$2:$AN$5000,AN825)*0.5)), "SORTEADO", "-")</f>
        <v>-</v>
      </c>
      <c r="AN825" s="230" t="s">
        <v>2165</v>
      </c>
    </row>
    <row r="826" spans="1:40" ht="30" hidden="1" customHeight="1" x14ac:dyDescent="0.2">
      <c r="A826" s="230" t="s">
        <v>197</v>
      </c>
      <c r="B826" s="230">
        <v>2617523881</v>
      </c>
      <c r="C826" s="230" t="s">
        <v>100</v>
      </c>
      <c r="D826" s="230" t="s">
        <v>78</v>
      </c>
      <c r="E826" s="230" t="s">
        <v>198</v>
      </c>
      <c r="F826" s="230" t="s">
        <v>781</v>
      </c>
      <c r="G826" s="230">
        <v>95</v>
      </c>
      <c r="H826" s="230" t="s">
        <v>2190</v>
      </c>
      <c r="I826" s="230" t="s">
        <v>262</v>
      </c>
      <c r="J826" s="230" t="s">
        <v>248</v>
      </c>
      <c r="K826" s="237" t="s">
        <v>2191</v>
      </c>
      <c r="L826" s="230" t="s">
        <v>2165</v>
      </c>
      <c r="M826" s="230" t="s">
        <v>2192</v>
      </c>
      <c r="N826" s="230" t="s">
        <v>263</v>
      </c>
      <c r="O826" s="158"/>
      <c r="P826" s="92"/>
      <c r="Q826" s="146"/>
      <c r="R826" s="92"/>
      <c r="S826" s="146"/>
      <c r="T826" s="92"/>
      <c r="U826" s="146"/>
      <c r="V826" s="92"/>
      <c r="W826" s="146"/>
      <c r="X826" s="92"/>
      <c r="Y826" s="146"/>
      <c r="Z826" s="92"/>
      <c r="AA826" s="146"/>
      <c r="AB826" s="92"/>
      <c r="AC826" s="146"/>
      <c r="AD826" s="92"/>
      <c r="AE826" s="146"/>
      <c r="AF826" s="187" t="str">
        <f t="shared" si="52"/>
        <v/>
      </c>
      <c r="AG826" s="54" t="b">
        <f t="shared" si="54"/>
        <v>0</v>
      </c>
      <c r="AH826" s="146"/>
      <c r="AI826" s="210" t="s">
        <v>6</v>
      </c>
      <c r="AJ826" s="97" t="str">
        <f t="shared" si="53"/>
        <v>GUARULHOS</v>
      </c>
      <c r="AK826" s="213" t="s">
        <v>39</v>
      </c>
      <c r="AL826" s="53">
        <v>0.76613222692260707</v>
      </c>
      <c r="AM826" s="53" t="str" cm="1">
        <f t="array" ref="AM826">IF(OR(O826&lt;&gt;"", SUMPRODUCT(($AN$2:$AN$5000=AN826)*($AL$2:$AL$5000&lt;=AL826)) &lt;= (COUNTIF($AN$2:$AN$5000,AN826)*0.5)), "SORTEADO", "-")</f>
        <v>-</v>
      </c>
      <c r="AN826" s="230" t="s">
        <v>2165</v>
      </c>
    </row>
    <row r="827" spans="1:40" ht="30" customHeight="1" x14ac:dyDescent="0.2">
      <c r="A827" s="230" t="s">
        <v>197</v>
      </c>
      <c r="B827" s="230">
        <v>2617525297</v>
      </c>
      <c r="C827" s="230" t="s">
        <v>100</v>
      </c>
      <c r="D827" s="230" t="s">
        <v>78</v>
      </c>
      <c r="E827" s="230" t="s">
        <v>198</v>
      </c>
      <c r="F827" s="230" t="s">
        <v>781</v>
      </c>
      <c r="G827" s="230">
        <v>85</v>
      </c>
      <c r="H827" s="230" t="s">
        <v>2193</v>
      </c>
      <c r="I827" s="230" t="s">
        <v>262</v>
      </c>
      <c r="J827" s="230" t="s">
        <v>248</v>
      </c>
      <c r="K827" s="230" t="s">
        <v>2194</v>
      </c>
      <c r="L827" s="230" t="s">
        <v>2165</v>
      </c>
      <c r="M827" s="230" t="s">
        <v>2195</v>
      </c>
      <c r="N827" s="230" t="s">
        <v>263</v>
      </c>
      <c r="O827" s="158" t="s">
        <v>204</v>
      </c>
      <c r="P827" s="92"/>
      <c r="Q827" s="146" t="s">
        <v>204</v>
      </c>
      <c r="R827" s="92"/>
      <c r="S827" s="146" t="s">
        <v>204</v>
      </c>
      <c r="T827" s="92"/>
      <c r="U827" s="146" t="s">
        <v>204</v>
      </c>
      <c r="V827" s="92"/>
      <c r="W827" s="146" t="s">
        <v>204</v>
      </c>
      <c r="X827" s="92"/>
      <c r="Y827" s="146" t="s">
        <v>204</v>
      </c>
      <c r="Z827" s="92"/>
      <c r="AA827" s="146" t="s">
        <v>204</v>
      </c>
      <c r="AB827" s="92"/>
      <c r="AC827" s="146" t="s">
        <v>204</v>
      </c>
      <c r="AD827" s="92"/>
      <c r="AE827" s="146" t="s">
        <v>204</v>
      </c>
      <c r="AF827" s="187" t="str">
        <f t="shared" si="52"/>
        <v>C</v>
      </c>
      <c r="AG827" s="54" t="str">
        <f t="shared" si="54"/>
        <v>UTILIZOU O PDA CORRETAMENTE</v>
      </c>
      <c r="AH827" s="146" t="s">
        <v>204</v>
      </c>
      <c r="AI827" s="210" t="s">
        <v>6</v>
      </c>
      <c r="AJ827" s="97" t="str">
        <f t="shared" si="53"/>
        <v>GUARULHOS</v>
      </c>
      <c r="AK827" s="213" t="s">
        <v>39</v>
      </c>
      <c r="AL827" s="53">
        <v>3.3470738661129484E-2</v>
      </c>
      <c r="AM827" s="53" t="str" cm="1">
        <f t="array" ref="AM827">IF(OR(O827&lt;&gt;"", SUMPRODUCT(($AN$2:$AN$5000=AN827)*($AL$2:$AL$5000&lt;=AL827)) &lt;= (COUNTIF($AN$2:$AN$5000,AN827)*0.5)), "SORTEADO", "-")</f>
        <v>SORTEADO</v>
      </c>
      <c r="AN827" s="230" t="s">
        <v>2165</v>
      </c>
    </row>
    <row r="828" spans="1:40" ht="30" hidden="1" customHeight="1" x14ac:dyDescent="0.2">
      <c r="A828" s="230" t="s">
        <v>197</v>
      </c>
      <c r="B828" s="230">
        <v>2617525508</v>
      </c>
      <c r="C828" s="230" t="s">
        <v>100</v>
      </c>
      <c r="D828" s="230" t="s">
        <v>78</v>
      </c>
      <c r="E828" s="230" t="s">
        <v>198</v>
      </c>
      <c r="F828" s="230" t="s">
        <v>781</v>
      </c>
      <c r="G828" s="230">
        <v>78</v>
      </c>
      <c r="H828" s="230"/>
      <c r="I828" s="230" t="s">
        <v>262</v>
      </c>
      <c r="J828" s="230" t="s">
        <v>248</v>
      </c>
      <c r="K828" s="237" t="s">
        <v>2196</v>
      </c>
      <c r="L828" s="230" t="s">
        <v>2165</v>
      </c>
      <c r="M828" s="230" t="s">
        <v>2197</v>
      </c>
      <c r="N828" s="230" t="s">
        <v>263</v>
      </c>
      <c r="O828" s="158"/>
      <c r="P828" s="92"/>
      <c r="Q828" s="146"/>
      <c r="R828" s="92"/>
      <c r="S828" s="146"/>
      <c r="T828" s="92"/>
      <c r="U828" s="146"/>
      <c r="V828" s="92"/>
      <c r="W828" s="146"/>
      <c r="X828" s="92"/>
      <c r="Y828" s="146"/>
      <c r="Z828" s="92"/>
      <c r="AA828" s="146"/>
      <c r="AB828" s="92"/>
      <c r="AC828" s="146"/>
      <c r="AD828" s="92"/>
      <c r="AE828" s="146"/>
      <c r="AF828" s="187" t="str">
        <f t="shared" si="52"/>
        <v/>
      </c>
      <c r="AG828" s="54" t="b">
        <f t="shared" si="54"/>
        <v>0</v>
      </c>
      <c r="AH828" s="146"/>
      <c r="AI828" s="210" t="s">
        <v>6</v>
      </c>
      <c r="AJ828" s="97" t="str">
        <f t="shared" si="53"/>
        <v>GUARULHOS</v>
      </c>
      <c r="AK828" s="213" t="s">
        <v>39</v>
      </c>
      <c r="AL828" s="53">
        <v>0.66326291961794259</v>
      </c>
      <c r="AM828" s="53" t="str" cm="1">
        <f t="array" ref="AM828">IF(OR(O828&lt;&gt;"", SUMPRODUCT(($AN$2:$AN$5000=AN828)*($AL$2:$AL$5000&lt;=AL828)) &lt;= (COUNTIF($AN$2:$AN$5000,AN828)*0.5)), "SORTEADO", "-")</f>
        <v>-</v>
      </c>
      <c r="AN828" s="230" t="s">
        <v>2165</v>
      </c>
    </row>
    <row r="829" spans="1:40" ht="30" hidden="1" customHeight="1" x14ac:dyDescent="0.2">
      <c r="A829" s="230" t="s">
        <v>197</v>
      </c>
      <c r="B829" s="230">
        <v>2616898324</v>
      </c>
      <c r="C829" s="230" t="s">
        <v>94</v>
      </c>
      <c r="D829" s="230" t="s">
        <v>76</v>
      </c>
      <c r="E829" s="230" t="s">
        <v>198</v>
      </c>
      <c r="F829" s="230" t="s">
        <v>2198</v>
      </c>
      <c r="G829" s="230">
        <v>307</v>
      </c>
      <c r="H829" s="230" t="s">
        <v>206</v>
      </c>
      <c r="I829" s="230" t="s">
        <v>2199</v>
      </c>
      <c r="J829" s="230" t="s">
        <v>94</v>
      </c>
      <c r="K829" s="230" t="s">
        <v>2200</v>
      </c>
      <c r="L829" s="230" t="s">
        <v>2165</v>
      </c>
      <c r="M829" s="230" t="s">
        <v>2201</v>
      </c>
      <c r="N829" s="230" t="s">
        <v>209</v>
      </c>
      <c r="O829" s="158"/>
      <c r="P829" s="92"/>
      <c r="Q829" s="146"/>
      <c r="R829" s="92"/>
      <c r="S829" s="146"/>
      <c r="T829" s="92"/>
      <c r="U829" s="146"/>
      <c r="V829" s="92"/>
      <c r="W829" s="146"/>
      <c r="X829" s="92"/>
      <c r="Y829" s="146"/>
      <c r="Z829" s="92"/>
      <c r="AA829" s="146"/>
      <c r="AB829" s="92"/>
      <c r="AC829" s="146"/>
      <c r="AD829" s="92"/>
      <c r="AE829" s="146"/>
      <c r="AF829" s="187" t="str">
        <f t="shared" si="52"/>
        <v/>
      </c>
      <c r="AG829" s="54" t="b">
        <f t="shared" si="54"/>
        <v>0</v>
      </c>
      <c r="AH829" s="146"/>
      <c r="AI829" s="210" t="s">
        <v>6</v>
      </c>
      <c r="AJ829" s="97" t="str">
        <f t="shared" si="53"/>
        <v>GUARULHOS</v>
      </c>
      <c r="AK829" s="213" t="s">
        <v>39</v>
      </c>
      <c r="AL829" s="53">
        <v>0.74527150018017985</v>
      </c>
      <c r="AM829" s="53" t="str" cm="1">
        <f t="array" ref="AM829">IF(OR(O829&lt;&gt;"", SUMPRODUCT(($AN$2:$AN$5000=AN829)*($AL$2:$AL$5000&lt;=AL829)) &lt;= (COUNTIF($AN$2:$AN$5000,AN829)*0.5)), "SORTEADO", "-")</f>
        <v>-</v>
      </c>
      <c r="AN829" s="230" t="s">
        <v>2165</v>
      </c>
    </row>
    <row r="830" spans="1:40" ht="30" hidden="1" customHeight="1" x14ac:dyDescent="0.2">
      <c r="A830" s="230" t="s">
        <v>197</v>
      </c>
      <c r="B830" s="230">
        <v>2616898709</v>
      </c>
      <c r="C830" s="230" t="s">
        <v>96</v>
      </c>
      <c r="D830" s="230" t="s">
        <v>76</v>
      </c>
      <c r="E830" s="230" t="s">
        <v>198</v>
      </c>
      <c r="F830" s="230" t="s">
        <v>2198</v>
      </c>
      <c r="G830" s="230">
        <v>307</v>
      </c>
      <c r="H830" s="230" t="s">
        <v>217</v>
      </c>
      <c r="I830" s="230" t="s">
        <v>2199</v>
      </c>
      <c r="J830" s="230" t="s">
        <v>96</v>
      </c>
      <c r="K830" s="230">
        <v>2616898324</v>
      </c>
      <c r="L830" s="230" t="s">
        <v>2165</v>
      </c>
      <c r="M830" s="230" t="s">
        <v>2202</v>
      </c>
      <c r="N830" s="230" t="s">
        <v>209</v>
      </c>
      <c r="O830" s="158"/>
      <c r="P830" s="92"/>
      <c r="Q830" s="146"/>
      <c r="R830" s="92"/>
      <c r="S830" s="146"/>
      <c r="T830" s="92"/>
      <c r="U830" s="146"/>
      <c r="V830" s="92"/>
      <c r="W830" s="146"/>
      <c r="X830" s="92"/>
      <c r="Y830" s="146"/>
      <c r="Z830" s="92"/>
      <c r="AA830" s="146"/>
      <c r="AB830" s="92"/>
      <c r="AC830" s="146"/>
      <c r="AD830" s="92"/>
      <c r="AE830" s="146"/>
      <c r="AF830" s="187" t="str">
        <f t="shared" si="52"/>
        <v/>
      </c>
      <c r="AG830" s="54" t="b">
        <f t="shared" si="54"/>
        <v>0</v>
      </c>
      <c r="AH830" s="146"/>
      <c r="AI830" s="210" t="s">
        <v>6</v>
      </c>
      <c r="AJ830" s="97" t="str">
        <f t="shared" si="53"/>
        <v>GUARULHOS</v>
      </c>
      <c r="AK830" s="213" t="s">
        <v>39</v>
      </c>
      <c r="AL830" s="53">
        <v>0.65488746669738995</v>
      </c>
      <c r="AM830" s="53" t="str" cm="1">
        <f t="array" ref="AM830">IF(OR(O830&lt;&gt;"", SUMPRODUCT(($AN$2:$AN$5000=AN830)*($AL$2:$AL$5000&lt;=AL830)) &lt;= (COUNTIF($AN$2:$AN$5000,AN830)*0.5)), "SORTEADO", "-")</f>
        <v>-</v>
      </c>
      <c r="AN830" s="230" t="s">
        <v>2165</v>
      </c>
    </row>
    <row r="831" spans="1:40" ht="30" customHeight="1" x14ac:dyDescent="0.2">
      <c r="A831" s="230" t="s">
        <v>197</v>
      </c>
      <c r="B831" s="230">
        <v>2616898705</v>
      </c>
      <c r="C831" s="230" t="s">
        <v>96</v>
      </c>
      <c r="D831" s="230" t="s">
        <v>76</v>
      </c>
      <c r="E831" s="230" t="s">
        <v>198</v>
      </c>
      <c r="F831" s="230" t="s">
        <v>2198</v>
      </c>
      <c r="G831" s="230">
        <v>307</v>
      </c>
      <c r="H831" s="230" t="s">
        <v>211</v>
      </c>
      <c r="I831" s="230" t="s">
        <v>2199</v>
      </c>
      <c r="J831" s="230" t="s">
        <v>96</v>
      </c>
      <c r="K831" s="230">
        <v>2616898324</v>
      </c>
      <c r="L831" s="230" t="s">
        <v>2165</v>
      </c>
      <c r="M831" s="230" t="s">
        <v>2203</v>
      </c>
      <c r="N831" s="230" t="s">
        <v>209</v>
      </c>
      <c r="O831" s="158" t="s">
        <v>204</v>
      </c>
      <c r="P831" s="92"/>
      <c r="Q831" s="146" t="s">
        <v>204</v>
      </c>
      <c r="R831" s="92"/>
      <c r="S831" s="146" t="s">
        <v>204</v>
      </c>
      <c r="T831" s="92"/>
      <c r="U831" s="146" t="s">
        <v>204</v>
      </c>
      <c r="V831" s="92"/>
      <c r="W831" s="146" t="s">
        <v>204</v>
      </c>
      <c r="X831" s="92"/>
      <c r="Y831" s="146" t="s">
        <v>204</v>
      </c>
      <c r="Z831" s="92"/>
      <c r="AA831" s="146" t="s">
        <v>204</v>
      </c>
      <c r="AB831" s="92"/>
      <c r="AC831" s="146" t="s">
        <v>204</v>
      </c>
      <c r="AD831" s="92"/>
      <c r="AE831" s="146" t="s">
        <v>204</v>
      </c>
      <c r="AF831" s="187" t="str">
        <f t="shared" si="52"/>
        <v>C</v>
      </c>
      <c r="AG831" s="54" t="str">
        <f t="shared" si="54"/>
        <v>UTILIZOU O PDA CORRETAMENTE</v>
      </c>
      <c r="AH831" s="146"/>
      <c r="AI831" s="210" t="s">
        <v>6</v>
      </c>
      <c r="AJ831" s="97" t="str">
        <f t="shared" si="53"/>
        <v>GUARULHOS</v>
      </c>
      <c r="AK831" s="213" t="s">
        <v>39</v>
      </c>
      <c r="AL831" s="53">
        <v>0.35391053915828941</v>
      </c>
      <c r="AM831" s="53" t="str" cm="1">
        <f t="array" ref="AM831">IF(OR(O831&lt;&gt;"", SUMPRODUCT(($AN$2:$AN$5000=AN831)*($AL$2:$AL$5000&lt;=AL831)) &lt;= (COUNTIF($AN$2:$AN$5000,AN831)*0.5)), "SORTEADO", "-")</f>
        <v>SORTEADO</v>
      </c>
      <c r="AN831" s="230" t="s">
        <v>2165</v>
      </c>
    </row>
    <row r="832" spans="1:40" ht="30" customHeight="1" x14ac:dyDescent="0.2">
      <c r="A832" s="230" t="s">
        <v>197</v>
      </c>
      <c r="B832" s="230">
        <v>2616394268</v>
      </c>
      <c r="C832" s="230" t="s">
        <v>91</v>
      </c>
      <c r="D832" s="230" t="s">
        <v>76</v>
      </c>
      <c r="E832" s="230" t="s">
        <v>198</v>
      </c>
      <c r="F832" s="230" t="s">
        <v>1727</v>
      </c>
      <c r="G832" s="230">
        <v>51</v>
      </c>
      <c r="H832" s="230" t="s">
        <v>2204</v>
      </c>
      <c r="I832" s="230" t="s">
        <v>356</v>
      </c>
      <c r="J832" s="230" t="s">
        <v>448</v>
      </c>
      <c r="K832" s="230" t="s">
        <v>2205</v>
      </c>
      <c r="L832" s="230" t="s">
        <v>2165</v>
      </c>
      <c r="M832" s="230" t="s">
        <v>2206</v>
      </c>
      <c r="N832" s="230" t="s">
        <v>209</v>
      </c>
      <c r="O832" s="158" t="s">
        <v>204</v>
      </c>
      <c r="P832" s="92"/>
      <c r="Q832" s="146" t="s">
        <v>204</v>
      </c>
      <c r="R832" s="92"/>
      <c r="S832" s="146" t="s">
        <v>204</v>
      </c>
      <c r="T832" s="92"/>
      <c r="U832" s="146" t="s">
        <v>204</v>
      </c>
      <c r="V832" s="92"/>
      <c r="W832" s="146" t="s">
        <v>204</v>
      </c>
      <c r="X832" s="92"/>
      <c r="Y832" s="146" t="s">
        <v>742</v>
      </c>
      <c r="Z832" s="92"/>
      <c r="AA832" s="146" t="s">
        <v>204</v>
      </c>
      <c r="AB832" s="92"/>
      <c r="AC832" s="146" t="s">
        <v>204</v>
      </c>
      <c r="AD832" s="92"/>
      <c r="AE832" s="146" t="s">
        <v>204</v>
      </c>
      <c r="AF832" s="187" t="str">
        <f t="shared" si="52"/>
        <v>C</v>
      </c>
      <c r="AG832" s="54" t="str">
        <f t="shared" si="54"/>
        <v>UTILIZOU O PDA CORRETAMENTE</v>
      </c>
      <c r="AH832" s="146" t="s">
        <v>204</v>
      </c>
      <c r="AI832" s="210" t="s">
        <v>6</v>
      </c>
      <c r="AJ832" s="97" t="str">
        <f t="shared" si="53"/>
        <v>GUARULHOS</v>
      </c>
      <c r="AK832" s="213" t="s">
        <v>39</v>
      </c>
      <c r="AL832" s="53">
        <v>0.13005505777907889</v>
      </c>
      <c r="AM832" s="53" t="str" cm="1">
        <f t="array" ref="AM832">IF(OR(O832&lt;&gt;"", SUMPRODUCT(($AN$2:$AN$5000=AN832)*($AL$2:$AL$5000&lt;=AL832)) &lt;= (COUNTIF($AN$2:$AN$5000,AN832)*0.5)), "SORTEADO", "-")</f>
        <v>SORTEADO</v>
      </c>
      <c r="AN832" s="230" t="s">
        <v>2165</v>
      </c>
    </row>
    <row r="833" spans="1:40" ht="30" hidden="1" customHeight="1" x14ac:dyDescent="0.2">
      <c r="A833" s="230" t="s">
        <v>197</v>
      </c>
      <c r="B833" s="230">
        <v>2615736766</v>
      </c>
      <c r="C833" s="230" t="s">
        <v>91</v>
      </c>
      <c r="D833" s="230" t="s">
        <v>76</v>
      </c>
      <c r="E833" s="230" t="s">
        <v>198</v>
      </c>
      <c r="F833" s="230" t="s">
        <v>1727</v>
      </c>
      <c r="G833" s="230">
        <v>50</v>
      </c>
      <c r="H833" s="230" t="s">
        <v>1518</v>
      </c>
      <c r="I833" s="230" t="s">
        <v>356</v>
      </c>
      <c r="J833" s="230" t="s">
        <v>448</v>
      </c>
      <c r="K833" s="230" t="s">
        <v>2207</v>
      </c>
      <c r="L833" s="230" t="s">
        <v>2165</v>
      </c>
      <c r="M833" s="230" t="s">
        <v>2208</v>
      </c>
      <c r="N833" s="230" t="s">
        <v>209</v>
      </c>
      <c r="O833" s="158"/>
      <c r="P833" s="92"/>
      <c r="Q833" s="146"/>
      <c r="R833" s="92"/>
      <c r="S833" s="146"/>
      <c r="T833" s="92"/>
      <c r="U833" s="146"/>
      <c r="V833" s="92"/>
      <c r="W833" s="146"/>
      <c r="X833" s="92"/>
      <c r="Y833" s="146"/>
      <c r="Z833" s="92"/>
      <c r="AA833" s="146"/>
      <c r="AB833" s="92"/>
      <c r="AC833" s="146"/>
      <c r="AD833" s="92"/>
      <c r="AE833" s="146"/>
      <c r="AF833" s="187" t="str">
        <f t="shared" si="52"/>
        <v/>
      </c>
      <c r="AG833" s="54" t="b">
        <f t="shared" si="54"/>
        <v>0</v>
      </c>
      <c r="AH833" s="146"/>
      <c r="AI833" s="210" t="s">
        <v>6</v>
      </c>
      <c r="AJ833" s="97" t="str">
        <f t="shared" si="53"/>
        <v>GUARULHOS</v>
      </c>
      <c r="AK833" s="213" t="s">
        <v>39</v>
      </c>
      <c r="AL833" s="53">
        <v>0.71715442752566605</v>
      </c>
      <c r="AM833" s="53" t="str" cm="1">
        <f t="array" ref="AM833">IF(OR(O833&lt;&gt;"", SUMPRODUCT(($AN$2:$AN$5000=AN833)*($AL$2:$AL$5000&lt;=AL833)) &lt;= (COUNTIF($AN$2:$AN$5000,AN833)*0.5)), "SORTEADO", "-")</f>
        <v>-</v>
      </c>
      <c r="AN833" s="230" t="s">
        <v>2165</v>
      </c>
    </row>
    <row r="834" spans="1:40" ht="30" customHeight="1" x14ac:dyDescent="0.2">
      <c r="A834" s="230" t="s">
        <v>197</v>
      </c>
      <c r="B834" s="230">
        <v>2617166095</v>
      </c>
      <c r="C834" s="230" t="s">
        <v>93</v>
      </c>
      <c r="D834" s="230" t="s">
        <v>76</v>
      </c>
      <c r="E834" s="230" t="s">
        <v>198</v>
      </c>
      <c r="F834" s="230" t="s">
        <v>2209</v>
      </c>
      <c r="G834" s="230">
        <v>76</v>
      </c>
      <c r="H834" s="230" t="s">
        <v>206</v>
      </c>
      <c r="I834" s="230" t="s">
        <v>253</v>
      </c>
      <c r="J834" s="230" t="s">
        <v>93</v>
      </c>
      <c r="K834" s="230"/>
      <c r="L834" s="230" t="s">
        <v>2165</v>
      </c>
      <c r="M834" s="230" t="s">
        <v>2210</v>
      </c>
      <c r="N834" s="230" t="s">
        <v>215</v>
      </c>
      <c r="O834" s="158" t="s">
        <v>204</v>
      </c>
      <c r="P834" s="92"/>
      <c r="Q834" s="146" t="s">
        <v>61</v>
      </c>
      <c r="R834" s="92"/>
      <c r="S834" s="146" t="s">
        <v>61</v>
      </c>
      <c r="T834" s="92"/>
      <c r="U834" s="146" t="s">
        <v>61</v>
      </c>
      <c r="V834" s="92"/>
      <c r="W834" s="146" t="s">
        <v>61</v>
      </c>
      <c r="X834" s="92"/>
      <c r="Y834" s="146" t="s">
        <v>61</v>
      </c>
      <c r="Z834" s="92"/>
      <c r="AA834" s="146" t="s">
        <v>204</v>
      </c>
      <c r="AB834" s="92"/>
      <c r="AC834" s="146" t="s">
        <v>204</v>
      </c>
      <c r="AD834" s="92"/>
      <c r="AE834" s="146" t="s">
        <v>204</v>
      </c>
      <c r="AF834" s="187" t="str">
        <f t="shared" si="52"/>
        <v>C</v>
      </c>
      <c r="AG834" s="54" t="str">
        <f t="shared" si="54"/>
        <v>UTILIZOU O PDA CORRETAMENTE</v>
      </c>
      <c r="AH834" s="146" t="s">
        <v>204</v>
      </c>
      <c r="AI834" s="210" t="s">
        <v>6</v>
      </c>
      <c r="AJ834" s="97" t="str">
        <f t="shared" si="53"/>
        <v>GUARULHOS</v>
      </c>
      <c r="AK834" s="213" t="s">
        <v>39</v>
      </c>
      <c r="AL834" s="53">
        <v>0.29571167094143291</v>
      </c>
      <c r="AM834" s="53" t="str" cm="1">
        <f t="array" ref="AM834">IF(OR(O834&lt;&gt;"", SUMPRODUCT(($AN$2:$AN$5000=AN834)*($AL$2:$AL$5000&lt;=AL834)) &lt;= (COUNTIF($AN$2:$AN$5000,AN834)*0.5)), "SORTEADO", "-")</f>
        <v>SORTEADO</v>
      </c>
      <c r="AN834" s="230" t="s">
        <v>2165</v>
      </c>
    </row>
    <row r="835" spans="1:40" ht="30" customHeight="1" x14ac:dyDescent="0.2">
      <c r="A835" s="230" t="s">
        <v>197</v>
      </c>
      <c r="B835" s="230">
        <v>2616907835</v>
      </c>
      <c r="C835" s="230" t="s">
        <v>93</v>
      </c>
      <c r="D835" s="230" t="s">
        <v>76</v>
      </c>
      <c r="E835" s="230" t="s">
        <v>198</v>
      </c>
      <c r="F835" s="230" t="s">
        <v>2211</v>
      </c>
      <c r="G835" s="230">
        <v>121</v>
      </c>
      <c r="H835" s="230" t="s">
        <v>2212</v>
      </c>
      <c r="I835" s="230" t="s">
        <v>947</v>
      </c>
      <c r="J835" s="230" t="s">
        <v>93</v>
      </c>
      <c r="K835" s="230" t="s">
        <v>2213</v>
      </c>
      <c r="L835" s="230" t="s">
        <v>2165</v>
      </c>
      <c r="M835" s="230" t="s">
        <v>2214</v>
      </c>
      <c r="N835" s="230" t="s">
        <v>215</v>
      </c>
      <c r="O835" s="158" t="s">
        <v>204</v>
      </c>
      <c r="P835" s="92"/>
      <c r="Q835" s="146" t="s">
        <v>61</v>
      </c>
      <c r="R835" s="92"/>
      <c r="S835" s="146" t="s">
        <v>61</v>
      </c>
      <c r="T835" s="92"/>
      <c r="U835" s="146" t="s">
        <v>61</v>
      </c>
      <c r="V835" s="92"/>
      <c r="W835" s="146" t="s">
        <v>61</v>
      </c>
      <c r="X835" s="92"/>
      <c r="Y835" s="146" t="s">
        <v>61</v>
      </c>
      <c r="Z835" s="92"/>
      <c r="AA835" s="146" t="s">
        <v>204</v>
      </c>
      <c r="AB835" s="92"/>
      <c r="AC835" s="146" t="s">
        <v>204</v>
      </c>
      <c r="AD835" s="92"/>
      <c r="AE835" s="146" t="s">
        <v>204</v>
      </c>
      <c r="AF835" s="187" t="str">
        <f t="shared" si="52"/>
        <v>C</v>
      </c>
      <c r="AG835" s="54" t="str">
        <f t="shared" si="54"/>
        <v>UTILIZOU O PDA CORRETAMENTE</v>
      </c>
      <c r="AH835" s="146" t="s">
        <v>204</v>
      </c>
      <c r="AI835" s="210" t="s">
        <v>6</v>
      </c>
      <c r="AJ835" s="97" t="str">
        <f t="shared" si="53"/>
        <v>GUARULHOS</v>
      </c>
      <c r="AK835" s="213" t="s">
        <v>39</v>
      </c>
      <c r="AL835" s="53">
        <v>0.26588009246835997</v>
      </c>
      <c r="AM835" s="53" t="str" cm="1">
        <f t="array" ref="AM835">IF(OR(O835&lt;&gt;"", SUMPRODUCT(($AN$2:$AN$5000=AN835)*($AL$2:$AL$5000&lt;=AL835)) &lt;= (COUNTIF($AN$2:$AN$5000,AN835)*0.5)), "SORTEADO", "-")</f>
        <v>SORTEADO</v>
      </c>
      <c r="AN835" s="230" t="s">
        <v>2165</v>
      </c>
    </row>
    <row r="836" spans="1:40" ht="30" customHeight="1" x14ac:dyDescent="0.2">
      <c r="A836" s="230" t="s">
        <v>197</v>
      </c>
      <c r="B836" s="230">
        <v>2616907837</v>
      </c>
      <c r="C836" s="230" t="s">
        <v>95</v>
      </c>
      <c r="D836" s="230" t="s">
        <v>76</v>
      </c>
      <c r="E836" s="230" t="s">
        <v>198</v>
      </c>
      <c r="F836" s="230" t="s">
        <v>2211</v>
      </c>
      <c r="G836" s="230">
        <v>121</v>
      </c>
      <c r="H836" s="230" t="s">
        <v>2215</v>
      </c>
      <c r="I836" s="230" t="s">
        <v>947</v>
      </c>
      <c r="J836" s="230" t="s">
        <v>95</v>
      </c>
      <c r="K836" s="230"/>
      <c r="L836" s="230" t="s">
        <v>2165</v>
      </c>
      <c r="M836" s="230" t="s">
        <v>2216</v>
      </c>
      <c r="N836" s="230" t="s">
        <v>215</v>
      </c>
      <c r="O836" s="158" t="s">
        <v>204</v>
      </c>
      <c r="P836" s="92"/>
      <c r="Q836" s="146" t="s">
        <v>61</v>
      </c>
      <c r="R836" s="92"/>
      <c r="S836" s="146" t="s">
        <v>61</v>
      </c>
      <c r="T836" s="92"/>
      <c r="U836" s="146" t="s">
        <v>61</v>
      </c>
      <c r="V836" s="92"/>
      <c r="W836" s="146" t="s">
        <v>61</v>
      </c>
      <c r="X836" s="92"/>
      <c r="Y836" s="146" t="s">
        <v>61</v>
      </c>
      <c r="Z836" s="92"/>
      <c r="AA836" s="146" t="s">
        <v>204</v>
      </c>
      <c r="AB836" s="92"/>
      <c r="AC836" s="146" t="s">
        <v>204</v>
      </c>
      <c r="AD836" s="92"/>
      <c r="AE836" s="146" t="s">
        <v>204</v>
      </c>
      <c r="AF836" s="187" t="str">
        <f t="shared" si="52"/>
        <v>C</v>
      </c>
      <c r="AG836" s="54" t="str">
        <f t="shared" si="54"/>
        <v>UTILIZOU O PDA CORRETAMENTE</v>
      </c>
      <c r="AH836" s="146" t="s">
        <v>204</v>
      </c>
      <c r="AI836" s="210" t="s">
        <v>6</v>
      </c>
      <c r="AJ836" s="97" t="str">
        <f t="shared" si="53"/>
        <v>GUARULHOS</v>
      </c>
      <c r="AK836" s="213" t="s">
        <v>39</v>
      </c>
      <c r="AL836" s="53">
        <v>6.5921275432455184E-2</v>
      </c>
      <c r="AM836" s="53" t="str" cm="1">
        <f t="array" ref="AM836">IF(OR(O836&lt;&gt;"", SUMPRODUCT(($AN$2:$AN$5000=AN836)*($AL$2:$AL$5000&lt;=AL836)) &lt;= (COUNTIF($AN$2:$AN$5000,AN836)*0.5)), "SORTEADO", "-")</f>
        <v>SORTEADO</v>
      </c>
      <c r="AN836" s="230" t="s">
        <v>2165</v>
      </c>
    </row>
    <row r="837" spans="1:40" ht="30" customHeight="1" x14ac:dyDescent="0.2">
      <c r="A837" s="230" t="s">
        <v>197</v>
      </c>
      <c r="B837" s="230">
        <v>2617109700</v>
      </c>
      <c r="C837" s="230" t="s">
        <v>83</v>
      </c>
      <c r="D837" s="230" t="s">
        <v>76</v>
      </c>
      <c r="E837" s="230" t="s">
        <v>198</v>
      </c>
      <c r="F837" s="230" t="s">
        <v>1173</v>
      </c>
      <c r="G837" s="230">
        <v>172</v>
      </c>
      <c r="H837" s="230" t="s">
        <v>2217</v>
      </c>
      <c r="I837" s="230" t="s">
        <v>416</v>
      </c>
      <c r="J837" s="230" t="s">
        <v>219</v>
      </c>
      <c r="K837" s="230" t="s">
        <v>2218</v>
      </c>
      <c r="L837" s="230" t="s">
        <v>2165</v>
      </c>
      <c r="M837" s="230" t="s">
        <v>2219</v>
      </c>
      <c r="N837" s="230" t="s">
        <v>215</v>
      </c>
      <c r="O837" s="158" t="s">
        <v>328</v>
      </c>
      <c r="P837" s="92"/>
      <c r="Q837" s="146" t="s">
        <v>328</v>
      </c>
      <c r="R837" s="92"/>
      <c r="S837" s="146" t="s">
        <v>328</v>
      </c>
      <c r="T837" s="92"/>
      <c r="U837" s="146" t="s">
        <v>328</v>
      </c>
      <c r="V837" s="92"/>
      <c r="W837" s="146" t="s">
        <v>328</v>
      </c>
      <c r="X837" s="92"/>
      <c r="Y837" s="146" t="s">
        <v>328</v>
      </c>
      <c r="Z837" s="92"/>
      <c r="AA837" s="146" t="s">
        <v>328</v>
      </c>
      <c r="AB837" s="92"/>
      <c r="AC837" s="146" t="s">
        <v>328</v>
      </c>
      <c r="AD837" s="92"/>
      <c r="AE837" s="146" t="s">
        <v>210</v>
      </c>
      <c r="AF837" s="187" t="str">
        <f t="shared" si="52"/>
        <v>NC</v>
      </c>
      <c r="AG837" s="54" t="str">
        <f t="shared" ref="AG837:AG868" si="55">IF(AND(AE837="C",AF837="C"),"UTILIZOU O PDA CORRETAMENTE",IF(AND(AE837="C",AF837="NC"),"UTILIZOU O PDA CORRETAMENTE. NÃO HÁ FOTOS DE TODAS AS ETAPAS",IF(AND(AE837="NC",AF837="NC"),"NÃO UTILIZOU O PDA",IF(AND(AE837="NA",AF837="NA"),"NÃO AVALIADO POR FALHA DE SINCRONISMO"))))</f>
        <v>NÃO UTILIZOU O PDA</v>
      </c>
      <c r="AH837" s="146" t="s">
        <v>204</v>
      </c>
      <c r="AI837" s="210" t="s">
        <v>6</v>
      </c>
      <c r="AJ837" s="97" t="str">
        <f t="shared" si="53"/>
        <v>GUARULHOS</v>
      </c>
      <c r="AK837" s="213" t="s">
        <v>39</v>
      </c>
      <c r="AL837" s="53">
        <v>0.35331096206387802</v>
      </c>
      <c r="AM837" s="53" t="str" cm="1">
        <f t="array" ref="AM837">IF(OR(O837&lt;&gt;"", SUMPRODUCT(($AN$2:$AN$5000=AN837)*($AL$2:$AL$5000&lt;=AL837)) &lt;= (COUNTIF($AN$2:$AN$5000,AN837)*0.5)), "SORTEADO", "-")</f>
        <v>SORTEADO</v>
      </c>
      <c r="AN837" s="230" t="s">
        <v>2165</v>
      </c>
    </row>
    <row r="838" spans="1:40" ht="30" customHeight="1" x14ac:dyDescent="0.2">
      <c r="A838" s="230" t="s">
        <v>197</v>
      </c>
      <c r="B838" s="230">
        <v>2617110638</v>
      </c>
      <c r="C838" s="230" t="s">
        <v>83</v>
      </c>
      <c r="D838" s="230" t="s">
        <v>76</v>
      </c>
      <c r="E838" s="230" t="s">
        <v>198</v>
      </c>
      <c r="F838" s="230" t="s">
        <v>1173</v>
      </c>
      <c r="G838" s="230">
        <v>172</v>
      </c>
      <c r="H838" s="230" t="s">
        <v>2220</v>
      </c>
      <c r="I838" s="230" t="s">
        <v>253</v>
      </c>
      <c r="J838" s="230" t="s">
        <v>219</v>
      </c>
      <c r="K838" s="230"/>
      <c r="L838" s="230" t="s">
        <v>2165</v>
      </c>
      <c r="M838" s="230" t="s">
        <v>2221</v>
      </c>
      <c r="N838" s="230" t="s">
        <v>215</v>
      </c>
      <c r="O838" s="158" t="s">
        <v>328</v>
      </c>
      <c r="P838" s="92"/>
      <c r="Q838" s="146" t="s">
        <v>328</v>
      </c>
      <c r="R838" s="92"/>
      <c r="S838" s="146" t="s">
        <v>328</v>
      </c>
      <c r="T838" s="92"/>
      <c r="U838" s="146" t="s">
        <v>328</v>
      </c>
      <c r="V838" s="92"/>
      <c r="W838" s="146" t="s">
        <v>328</v>
      </c>
      <c r="X838" s="92"/>
      <c r="Y838" s="146" t="s">
        <v>328</v>
      </c>
      <c r="Z838" s="92"/>
      <c r="AA838" s="146" t="s">
        <v>328</v>
      </c>
      <c r="AB838" s="92"/>
      <c r="AC838" s="146" t="s">
        <v>328</v>
      </c>
      <c r="AD838" s="92"/>
      <c r="AE838" s="146" t="s">
        <v>210</v>
      </c>
      <c r="AF838" s="187" t="str">
        <f t="shared" si="52"/>
        <v>NC</v>
      </c>
      <c r="AG838" s="54" t="str">
        <f t="shared" si="55"/>
        <v>NÃO UTILIZOU O PDA</v>
      </c>
      <c r="AH838" s="146" t="s">
        <v>204</v>
      </c>
      <c r="AI838" s="210" t="s">
        <v>6</v>
      </c>
      <c r="AJ838" s="97" t="str">
        <f t="shared" si="53"/>
        <v>GUARULHOS</v>
      </c>
      <c r="AK838" s="213" t="s">
        <v>39</v>
      </c>
      <c r="AL838" s="53">
        <v>0.31024094581461126</v>
      </c>
      <c r="AM838" s="53" t="str" cm="1">
        <f t="array" ref="AM838">IF(OR(O838&lt;&gt;"", SUMPRODUCT(($AN$2:$AN$5000=AN838)*($AL$2:$AL$5000&lt;=AL838)) &lt;= (COUNTIF($AN$2:$AN$5000,AN838)*0.5)), "SORTEADO", "-")</f>
        <v>SORTEADO</v>
      </c>
      <c r="AN838" s="230" t="s">
        <v>2165</v>
      </c>
    </row>
    <row r="839" spans="1:40" ht="30" hidden="1" customHeight="1" x14ac:dyDescent="0.2">
      <c r="A839" s="230" t="s">
        <v>197</v>
      </c>
      <c r="B839" s="230">
        <v>2617110646</v>
      </c>
      <c r="C839" s="230" t="s">
        <v>83</v>
      </c>
      <c r="D839" s="230" t="s">
        <v>76</v>
      </c>
      <c r="E839" s="230" t="s">
        <v>198</v>
      </c>
      <c r="F839" s="230" t="s">
        <v>1173</v>
      </c>
      <c r="G839" s="230">
        <v>172</v>
      </c>
      <c r="H839" s="230" t="s">
        <v>836</v>
      </c>
      <c r="I839" s="230" t="s">
        <v>253</v>
      </c>
      <c r="J839" s="230" t="s">
        <v>219</v>
      </c>
      <c r="K839" s="230" t="s">
        <v>2218</v>
      </c>
      <c r="L839" s="230" t="s">
        <v>2165</v>
      </c>
      <c r="M839" s="230" t="s">
        <v>2222</v>
      </c>
      <c r="N839" s="230" t="s">
        <v>215</v>
      </c>
      <c r="O839" s="158"/>
      <c r="P839" s="92"/>
      <c r="Q839" s="146"/>
      <c r="R839" s="92"/>
      <c r="S839" s="146"/>
      <c r="T839" s="92"/>
      <c r="U839" s="146"/>
      <c r="V839" s="92"/>
      <c r="W839" s="146"/>
      <c r="X839" s="92"/>
      <c r="Y839" s="146"/>
      <c r="Z839" s="92"/>
      <c r="AA839" s="146"/>
      <c r="AB839" s="92"/>
      <c r="AC839" s="146"/>
      <c r="AD839" s="92"/>
      <c r="AE839" s="146"/>
      <c r="AF839" s="187" t="str">
        <f t="shared" ref="AF839:AF902" si="56">IF(AND(O839="",Q839="",S839="",U839="",W839="",Y839="",AA839="",AC839=""),"",IF(OR(AND(O839&lt;&gt;"NA",O839&lt;&gt;"C",O839&lt;&gt;"NC",O839&lt;&gt;"SF",O839&lt;&gt;""),AND(Q839&lt;&gt;"NA",Q839&lt;&gt;"C",Q839&lt;&gt;"NC",Q839&lt;&gt;"SF",Q839&lt;&gt;""),AND(S839&lt;&gt;"NA",S839&lt;&gt;"C",S839&lt;&gt;"NC",S839&lt;&gt;"SF",S839&lt;&gt;""),AND(U839&lt;&gt;"NA",U839&lt;&gt;"C",U839&lt;&gt;"NC",U839&lt;&gt;"SF",U839&lt;&gt;""),AND(W839&lt;&gt;"NA",W839&lt;&gt;"C",W839&lt;&gt;"NC",W839&lt;&gt;"SF",W839&lt;&gt;""),AND(Y839&lt;&gt;"NA",Y839&lt;&gt;"C",Y839&lt;&gt;"NC",Y839&lt;&gt;"SF",Y839&lt;&gt;""),AND(AA839&lt;&gt;"NA",AA839&lt;&gt;"C",AA839&lt;&gt;"NC",AA839&lt;&gt;"SF",AA839&lt;&gt;""),AND(AC839&lt;&gt;"NA",AC839&lt;&gt;"C",AC839&lt;&gt;"NC",AC839&lt;&gt;"SF",AC839&lt;&gt;"")),"FALSO",IF(AND(O839="NA",Q839="NA",S839="NA",U839="NA",W839="NA",Y839="NA",AA839="NA",AC839="NA"),"NA",IF(OR(O839="NC",Q839="NC",S839="NC",U839="NC",W839="NC",Y839="NC",AA839="NC",AC839="NC",O839="SF",Q839="SF",S839="SF",U839="SF",W839="SF",Y839="SF",AA839="SF",AC839="SF"),"NC",IF(OR(O839="C",Q839="C",S839="C",U839="C",W839="C",Y839="C",AA839="C",AC839="C"),"C","")))))</f>
        <v/>
      </c>
      <c r="AG839" s="54" t="b">
        <f t="shared" si="55"/>
        <v>0</v>
      </c>
      <c r="AH839" s="146"/>
      <c r="AI839" s="210" t="s">
        <v>6</v>
      </c>
      <c r="AJ839" s="97" t="str">
        <f t="shared" ref="AJ839:AJ902" si="57">E839</f>
        <v>GUARULHOS</v>
      </c>
      <c r="AK839" s="213" t="s">
        <v>39</v>
      </c>
      <c r="AL839" s="53">
        <v>0.41548780712695177</v>
      </c>
      <c r="AM839" s="53" t="str" cm="1">
        <f t="array" ref="AM839">IF(OR(O839&lt;&gt;"", SUMPRODUCT(($AN$2:$AN$5000=AN839)*($AL$2:$AL$5000&lt;=AL839)) &lt;= (COUNTIF($AN$2:$AN$5000,AN839)*0.5)), "SORTEADO", "-")</f>
        <v>-</v>
      </c>
      <c r="AN839" s="230" t="s">
        <v>2165</v>
      </c>
    </row>
    <row r="840" spans="1:40" ht="30" hidden="1" customHeight="1" x14ac:dyDescent="0.2">
      <c r="A840" s="230" t="s">
        <v>197</v>
      </c>
      <c r="B840" s="230">
        <v>2617109775</v>
      </c>
      <c r="C840" s="230" t="s">
        <v>83</v>
      </c>
      <c r="D840" s="230" t="s">
        <v>76</v>
      </c>
      <c r="E840" s="230" t="s">
        <v>198</v>
      </c>
      <c r="F840" s="230" t="s">
        <v>1173</v>
      </c>
      <c r="G840" s="230">
        <v>172</v>
      </c>
      <c r="H840" s="230" t="s">
        <v>252</v>
      </c>
      <c r="I840" s="230" t="s">
        <v>416</v>
      </c>
      <c r="J840" s="230" t="s">
        <v>219</v>
      </c>
      <c r="K840" s="230" t="s">
        <v>2218</v>
      </c>
      <c r="L840" s="230" t="s">
        <v>2165</v>
      </c>
      <c r="M840" s="230" t="s">
        <v>2223</v>
      </c>
      <c r="N840" s="230" t="s">
        <v>215</v>
      </c>
      <c r="O840" s="158"/>
      <c r="P840" s="92"/>
      <c r="Q840" s="146"/>
      <c r="R840" s="92"/>
      <c r="S840" s="146"/>
      <c r="T840" s="92"/>
      <c r="U840" s="146"/>
      <c r="V840" s="92"/>
      <c r="W840" s="146"/>
      <c r="X840" s="92"/>
      <c r="Y840" s="146"/>
      <c r="Z840" s="92"/>
      <c r="AA840" s="146"/>
      <c r="AB840" s="92"/>
      <c r="AC840" s="146"/>
      <c r="AD840" s="92"/>
      <c r="AE840" s="146"/>
      <c r="AF840" s="187" t="str">
        <f t="shared" si="56"/>
        <v/>
      </c>
      <c r="AG840" s="54" t="b">
        <f t="shared" si="55"/>
        <v>0</v>
      </c>
      <c r="AH840" s="146"/>
      <c r="AI840" s="210" t="s">
        <v>6</v>
      </c>
      <c r="AJ840" s="97" t="str">
        <f t="shared" si="57"/>
        <v>GUARULHOS</v>
      </c>
      <c r="AK840" s="213" t="s">
        <v>39</v>
      </c>
      <c r="AL840" s="53">
        <v>0.43685211840419247</v>
      </c>
      <c r="AM840" s="53" t="str" cm="1">
        <f t="array" ref="AM840">IF(OR(O840&lt;&gt;"", SUMPRODUCT(($AN$2:$AN$5000=AN840)*($AL$2:$AL$5000&lt;=AL840)) &lt;= (COUNTIF($AN$2:$AN$5000,AN840)*0.5)), "SORTEADO", "-")</f>
        <v>-</v>
      </c>
      <c r="AN840" s="230" t="s">
        <v>2165</v>
      </c>
    </row>
    <row r="841" spans="1:40" ht="30" customHeight="1" x14ac:dyDescent="0.2">
      <c r="A841" s="230" t="s">
        <v>197</v>
      </c>
      <c r="B841" s="230">
        <v>2617166192</v>
      </c>
      <c r="C841" s="230" t="s">
        <v>95</v>
      </c>
      <c r="D841" s="230" t="s">
        <v>76</v>
      </c>
      <c r="E841" s="230" t="s">
        <v>198</v>
      </c>
      <c r="F841" s="230" t="s">
        <v>2209</v>
      </c>
      <c r="G841" s="230">
        <v>76</v>
      </c>
      <c r="H841" s="230" t="s">
        <v>211</v>
      </c>
      <c r="I841" s="230" t="s">
        <v>253</v>
      </c>
      <c r="J841" s="230" t="s">
        <v>95</v>
      </c>
      <c r="K841" s="230" t="s">
        <v>213</v>
      </c>
      <c r="L841" s="230" t="s">
        <v>2165</v>
      </c>
      <c r="M841" s="230" t="s">
        <v>2224</v>
      </c>
      <c r="N841" s="230" t="s">
        <v>215</v>
      </c>
      <c r="O841" s="158" t="s">
        <v>204</v>
      </c>
      <c r="P841" s="92"/>
      <c r="Q841" s="146" t="s">
        <v>61</v>
      </c>
      <c r="R841" s="92"/>
      <c r="S841" s="146" t="s">
        <v>61</v>
      </c>
      <c r="T841" s="92"/>
      <c r="U841" s="146" t="s">
        <v>61</v>
      </c>
      <c r="V841" s="92"/>
      <c r="W841" s="146" t="s">
        <v>61</v>
      </c>
      <c r="X841" s="92"/>
      <c r="Y841" s="146" t="s">
        <v>61</v>
      </c>
      <c r="Z841" s="92"/>
      <c r="AA841" s="146" t="s">
        <v>204</v>
      </c>
      <c r="AB841" s="92"/>
      <c r="AC841" s="146" t="s">
        <v>204</v>
      </c>
      <c r="AD841" s="92"/>
      <c r="AE841" s="146" t="s">
        <v>204</v>
      </c>
      <c r="AF841" s="187" t="str">
        <f t="shared" si="56"/>
        <v>C</v>
      </c>
      <c r="AG841" s="54" t="str">
        <f t="shared" si="55"/>
        <v>UTILIZOU O PDA CORRETAMENTE</v>
      </c>
      <c r="AH841" s="146" t="s">
        <v>204</v>
      </c>
      <c r="AI841" s="210" t="s">
        <v>6</v>
      </c>
      <c r="AJ841" s="97" t="str">
        <f t="shared" si="57"/>
        <v>GUARULHOS</v>
      </c>
      <c r="AK841" s="213" t="s">
        <v>39</v>
      </c>
      <c r="AL841" s="53">
        <v>0.2908326554719064</v>
      </c>
      <c r="AM841" s="53" t="str" cm="1">
        <f t="array" ref="AM841">IF(OR(O841&lt;&gt;"", SUMPRODUCT(($AN$2:$AN$5000=AN841)*($AL$2:$AL$5000&lt;=AL841)) &lt;= (COUNTIF($AN$2:$AN$5000,AN841)*0.5)), "SORTEADO", "-")</f>
        <v>SORTEADO</v>
      </c>
      <c r="AN841" s="230" t="s">
        <v>2165</v>
      </c>
    </row>
    <row r="842" spans="1:40" ht="30" hidden="1" customHeight="1" x14ac:dyDescent="0.2">
      <c r="A842" s="230" t="s">
        <v>197</v>
      </c>
      <c r="B842" s="230">
        <v>2617537491</v>
      </c>
      <c r="C842" s="230" t="s">
        <v>105</v>
      </c>
      <c r="D842" s="230" t="s">
        <v>80</v>
      </c>
      <c r="E842" s="230" t="s">
        <v>198</v>
      </c>
      <c r="F842" s="230" t="s">
        <v>2225</v>
      </c>
      <c r="G842" s="230">
        <v>272</v>
      </c>
      <c r="H842" s="230"/>
      <c r="I842" s="230" t="s">
        <v>772</v>
      </c>
      <c r="J842" s="230" t="s">
        <v>226</v>
      </c>
      <c r="K842" s="230" t="s">
        <v>773</v>
      </c>
      <c r="L842" s="230" t="s">
        <v>2165</v>
      </c>
      <c r="M842" s="230" t="s">
        <v>2226</v>
      </c>
      <c r="N842" s="230" t="s">
        <v>250</v>
      </c>
      <c r="O842" s="158"/>
      <c r="P842" s="92"/>
      <c r="Q842" s="146"/>
      <c r="R842" s="92"/>
      <c r="S842" s="146"/>
      <c r="T842" s="92"/>
      <c r="U842" s="146"/>
      <c r="V842" s="92"/>
      <c r="W842" s="146"/>
      <c r="X842" s="92"/>
      <c r="Y842" s="146"/>
      <c r="Z842" s="92"/>
      <c r="AA842" s="146"/>
      <c r="AB842" s="92"/>
      <c r="AC842" s="146"/>
      <c r="AD842" s="92"/>
      <c r="AE842" s="146"/>
      <c r="AF842" s="187" t="str">
        <f t="shared" si="56"/>
        <v/>
      </c>
      <c r="AG842" s="54" t="b">
        <f t="shared" si="55"/>
        <v>0</v>
      </c>
      <c r="AH842" s="146"/>
      <c r="AI842" s="210" t="s">
        <v>6</v>
      </c>
      <c r="AJ842" s="97" t="str">
        <f t="shared" si="57"/>
        <v>GUARULHOS</v>
      </c>
      <c r="AK842" s="213" t="s">
        <v>39</v>
      </c>
      <c r="AL842" s="53">
        <v>0.54057569154745611</v>
      </c>
      <c r="AM842" s="53" t="str" cm="1">
        <f t="array" ref="AM842">IF(OR(O842&lt;&gt;"", SUMPRODUCT(($AN$2:$AN$5000=AN842)*($AL$2:$AL$5000&lt;=AL842)) &lt;= (COUNTIF($AN$2:$AN$5000,AN842)*0.5)), "SORTEADO", "-")</f>
        <v>-</v>
      </c>
      <c r="AN842" s="230" t="s">
        <v>2165</v>
      </c>
    </row>
    <row r="843" spans="1:40" ht="30" hidden="1" customHeight="1" x14ac:dyDescent="0.2">
      <c r="A843" s="230" t="s">
        <v>197</v>
      </c>
      <c r="B843" s="230">
        <v>2617537149</v>
      </c>
      <c r="C843" s="230" t="s">
        <v>106</v>
      </c>
      <c r="D843" s="230" t="s">
        <v>80</v>
      </c>
      <c r="E843" s="230" t="s">
        <v>198</v>
      </c>
      <c r="F843" s="230" t="s">
        <v>2167</v>
      </c>
      <c r="G843" s="230">
        <v>66</v>
      </c>
      <c r="H843" s="230" t="s">
        <v>2168</v>
      </c>
      <c r="I843" s="230" t="s">
        <v>2169</v>
      </c>
      <c r="J843" s="230" t="s">
        <v>259</v>
      </c>
      <c r="K843" s="230" t="s">
        <v>213</v>
      </c>
      <c r="L843" s="230" t="s">
        <v>2165</v>
      </c>
      <c r="M843" s="230" t="s">
        <v>2170</v>
      </c>
      <c r="N843" s="230" t="s">
        <v>381</v>
      </c>
      <c r="O843" s="158"/>
      <c r="P843" s="92"/>
      <c r="Q843" s="146"/>
      <c r="R843" s="92"/>
      <c r="S843" s="146"/>
      <c r="T843" s="92"/>
      <c r="U843" s="146"/>
      <c r="V843" s="92"/>
      <c r="W843" s="146"/>
      <c r="X843" s="92"/>
      <c r="Y843" s="146"/>
      <c r="Z843" s="92"/>
      <c r="AA843" s="146"/>
      <c r="AB843" s="92"/>
      <c r="AC843" s="146"/>
      <c r="AD843" s="92"/>
      <c r="AE843" s="146"/>
      <c r="AF843" s="187" t="str">
        <f t="shared" si="56"/>
        <v/>
      </c>
      <c r="AG843" s="54" t="b">
        <f t="shared" si="55"/>
        <v>0</v>
      </c>
      <c r="AH843" s="146"/>
      <c r="AI843" s="210" t="s">
        <v>6</v>
      </c>
      <c r="AJ843" s="97" t="str">
        <f t="shared" si="57"/>
        <v>GUARULHOS</v>
      </c>
      <c r="AK843" s="213" t="s">
        <v>39</v>
      </c>
      <c r="AL843" s="53">
        <v>0.9760413607673154</v>
      </c>
      <c r="AM843" s="53" t="str" cm="1">
        <f t="array" ref="AM843">IF(OR(O843&lt;&gt;"", SUMPRODUCT(($AN$2:$AN$5000=AN843)*($AL$2:$AL$5000&lt;=AL843)) &lt;= (COUNTIF($AN$2:$AN$5000,AN843)*0.5)), "SORTEADO", "-")</f>
        <v>-</v>
      </c>
      <c r="AN843" s="230" t="s">
        <v>2165</v>
      </c>
    </row>
    <row r="844" spans="1:40" ht="30" hidden="1" customHeight="1" x14ac:dyDescent="0.2">
      <c r="A844" s="230" t="s">
        <v>197</v>
      </c>
      <c r="B844" s="230">
        <v>2617140946</v>
      </c>
      <c r="C844" s="230" t="s">
        <v>1781</v>
      </c>
      <c r="D844" s="230" t="s">
        <v>78</v>
      </c>
      <c r="E844" s="230" t="s">
        <v>198</v>
      </c>
      <c r="F844" s="230" t="s">
        <v>1782</v>
      </c>
      <c r="G844" s="230">
        <v>51</v>
      </c>
      <c r="H844" s="230" t="s">
        <v>1790</v>
      </c>
      <c r="I844" s="230" t="s">
        <v>301</v>
      </c>
      <c r="J844" s="230" t="s">
        <v>1783</v>
      </c>
      <c r="K844" s="230" t="s">
        <v>1960</v>
      </c>
      <c r="L844" s="230" t="s">
        <v>2165</v>
      </c>
      <c r="M844" s="230" t="s">
        <v>2166</v>
      </c>
      <c r="N844" s="230" t="s">
        <v>317</v>
      </c>
      <c r="O844" s="158"/>
      <c r="P844" s="92"/>
      <c r="Q844" s="146"/>
      <c r="R844" s="92"/>
      <c r="S844" s="146"/>
      <c r="T844" s="92"/>
      <c r="U844" s="146"/>
      <c r="V844" s="92"/>
      <c r="W844" s="146"/>
      <c r="X844" s="92"/>
      <c r="Y844" s="146"/>
      <c r="Z844" s="92"/>
      <c r="AA844" s="146"/>
      <c r="AB844" s="92"/>
      <c r="AC844" s="146"/>
      <c r="AD844" s="92"/>
      <c r="AE844" s="146"/>
      <c r="AF844" s="187" t="str">
        <f t="shared" si="56"/>
        <v/>
      </c>
      <c r="AG844" s="54" t="b">
        <f t="shared" si="55"/>
        <v>0</v>
      </c>
      <c r="AH844" s="146"/>
      <c r="AI844" s="210" t="s">
        <v>6</v>
      </c>
      <c r="AJ844" s="97" t="str">
        <f t="shared" si="57"/>
        <v>GUARULHOS</v>
      </c>
      <c r="AK844" s="213" t="s">
        <v>39</v>
      </c>
      <c r="AL844" s="53">
        <v>0.79934294896582292</v>
      </c>
      <c r="AM844" s="53" t="str" cm="1">
        <f t="array" ref="AM844">IF(OR(O844&lt;&gt;"", SUMPRODUCT(($AN$2:$AN$5000=AN844)*($AL$2:$AL$5000&lt;=AL844)) &lt;= (COUNTIF($AN$2:$AN$5000,AN844)*0.5)), "SORTEADO", "-")</f>
        <v>-</v>
      </c>
      <c r="AN844" s="230" t="s">
        <v>2165</v>
      </c>
    </row>
    <row r="845" spans="1:40" ht="30" hidden="1" customHeight="1" x14ac:dyDescent="0.2">
      <c r="A845" s="230" t="s">
        <v>197</v>
      </c>
      <c r="B845" s="230">
        <v>2616219227</v>
      </c>
      <c r="C845" s="230" t="s">
        <v>1781</v>
      </c>
      <c r="D845" s="230" t="s">
        <v>78</v>
      </c>
      <c r="E845" s="230" t="s">
        <v>198</v>
      </c>
      <c r="F845" s="230" t="s">
        <v>1126</v>
      </c>
      <c r="G845" s="230">
        <v>93</v>
      </c>
      <c r="H845" s="230" t="s">
        <v>213</v>
      </c>
      <c r="I845" s="230" t="s">
        <v>1128</v>
      </c>
      <c r="J845" s="230" t="s">
        <v>1783</v>
      </c>
      <c r="K845" s="230" t="s">
        <v>1960</v>
      </c>
      <c r="L845" s="230" t="s">
        <v>2165</v>
      </c>
      <c r="M845" s="230" t="s">
        <v>2171</v>
      </c>
      <c r="N845" s="230" t="s">
        <v>317</v>
      </c>
      <c r="O845" s="158"/>
      <c r="P845" s="92"/>
      <c r="Q845" s="146"/>
      <c r="R845" s="92"/>
      <c r="S845" s="146"/>
      <c r="T845" s="92"/>
      <c r="U845" s="146"/>
      <c r="V845" s="92"/>
      <c r="W845" s="146"/>
      <c r="X845" s="92"/>
      <c r="Y845" s="146"/>
      <c r="Z845" s="92"/>
      <c r="AA845" s="146"/>
      <c r="AB845" s="92"/>
      <c r="AC845" s="146"/>
      <c r="AD845" s="92"/>
      <c r="AE845" s="146"/>
      <c r="AF845" s="187" t="str">
        <f t="shared" si="56"/>
        <v/>
      </c>
      <c r="AG845" s="54" t="b">
        <f t="shared" si="55"/>
        <v>0</v>
      </c>
      <c r="AH845" s="146"/>
      <c r="AI845" s="210" t="s">
        <v>6</v>
      </c>
      <c r="AJ845" s="97" t="str">
        <f t="shared" si="57"/>
        <v>GUARULHOS</v>
      </c>
      <c r="AK845" s="213" t="s">
        <v>39</v>
      </c>
      <c r="AL845" s="53">
        <v>0.4875463225367006</v>
      </c>
      <c r="AM845" s="53" t="str" cm="1">
        <f t="array" ref="AM845">IF(OR(O845&lt;&gt;"", SUMPRODUCT(($AN$2:$AN$5000=AN845)*($AL$2:$AL$5000&lt;=AL845)) &lt;= (COUNTIF($AN$2:$AN$5000,AN845)*0.5)), "SORTEADO", "-")</f>
        <v>-</v>
      </c>
      <c r="AN845" s="230" t="s">
        <v>2165</v>
      </c>
    </row>
    <row r="846" spans="1:40" ht="30" hidden="1" customHeight="1" x14ac:dyDescent="0.2">
      <c r="A846" s="230" t="s">
        <v>197</v>
      </c>
      <c r="B846" s="230">
        <v>2616219460</v>
      </c>
      <c r="C846" s="230" t="s">
        <v>1781</v>
      </c>
      <c r="D846" s="230" t="s">
        <v>78</v>
      </c>
      <c r="E846" s="230" t="s">
        <v>198</v>
      </c>
      <c r="F846" s="230" t="s">
        <v>1126</v>
      </c>
      <c r="G846" s="230">
        <v>77</v>
      </c>
      <c r="H846" s="230"/>
      <c r="I846" s="230" t="s">
        <v>1128</v>
      </c>
      <c r="J846" s="230" t="s">
        <v>1783</v>
      </c>
      <c r="K846" s="230" t="s">
        <v>1960</v>
      </c>
      <c r="L846" s="230" t="s">
        <v>2165</v>
      </c>
      <c r="M846" s="230" t="s">
        <v>2172</v>
      </c>
      <c r="N846" s="230" t="s">
        <v>317</v>
      </c>
      <c r="O846" s="158"/>
      <c r="P846" s="92"/>
      <c r="Q846" s="146"/>
      <c r="R846" s="92"/>
      <c r="S846" s="146"/>
      <c r="T846" s="92"/>
      <c r="U846" s="146"/>
      <c r="V846" s="92"/>
      <c r="W846" s="146"/>
      <c r="X846" s="92"/>
      <c r="Y846" s="146"/>
      <c r="Z846" s="92"/>
      <c r="AA846" s="146"/>
      <c r="AB846" s="92"/>
      <c r="AC846" s="146"/>
      <c r="AD846" s="92"/>
      <c r="AE846" s="146"/>
      <c r="AF846" s="187" t="str">
        <f t="shared" si="56"/>
        <v/>
      </c>
      <c r="AG846" s="54" t="b">
        <f t="shared" si="55"/>
        <v>0</v>
      </c>
      <c r="AH846" s="146"/>
      <c r="AI846" s="210" t="s">
        <v>6</v>
      </c>
      <c r="AJ846" s="97" t="str">
        <f t="shared" si="57"/>
        <v>GUARULHOS</v>
      </c>
      <c r="AK846" s="213" t="s">
        <v>39</v>
      </c>
      <c r="AL846" s="53">
        <v>0.71964134037204341</v>
      </c>
      <c r="AM846" s="53" t="str" cm="1">
        <f t="array" ref="AM846">IF(OR(O846&lt;&gt;"", SUMPRODUCT(($AN$2:$AN$5000=AN846)*($AL$2:$AL$5000&lt;=AL846)) &lt;= (COUNTIF($AN$2:$AN$5000,AN846)*0.5)), "SORTEADO", "-")</f>
        <v>-</v>
      </c>
      <c r="AN846" s="230" t="s">
        <v>2165</v>
      </c>
    </row>
    <row r="847" spans="1:40" ht="30" hidden="1" customHeight="1" x14ac:dyDescent="0.2">
      <c r="A847" s="230" t="s">
        <v>197</v>
      </c>
      <c r="B847" s="230">
        <v>2617564531</v>
      </c>
      <c r="C847" s="230" t="s">
        <v>105</v>
      </c>
      <c r="D847" s="230" t="s">
        <v>80</v>
      </c>
      <c r="E847" s="230" t="s">
        <v>198</v>
      </c>
      <c r="F847" s="230" t="s">
        <v>2227</v>
      </c>
      <c r="G847" s="230">
        <v>521</v>
      </c>
      <c r="H847" s="230" t="s">
        <v>2228</v>
      </c>
      <c r="I847" s="230" t="s">
        <v>730</v>
      </c>
      <c r="J847" s="230" t="s">
        <v>254</v>
      </c>
      <c r="K847" s="230" t="s">
        <v>1107</v>
      </c>
      <c r="L847" s="230" t="s">
        <v>2165</v>
      </c>
      <c r="M847" s="230" t="s">
        <v>2229</v>
      </c>
      <c r="N847" s="230" t="s">
        <v>1104</v>
      </c>
      <c r="O847" s="158"/>
      <c r="P847" s="92"/>
      <c r="Q847" s="146"/>
      <c r="R847" s="92"/>
      <c r="S847" s="146"/>
      <c r="T847" s="92"/>
      <c r="U847" s="146"/>
      <c r="V847" s="92"/>
      <c r="W847" s="146"/>
      <c r="X847" s="92"/>
      <c r="Y847" s="146"/>
      <c r="Z847" s="92"/>
      <c r="AA847" s="146"/>
      <c r="AB847" s="92"/>
      <c r="AC847" s="146"/>
      <c r="AD847" s="92"/>
      <c r="AE847" s="146"/>
      <c r="AF847" s="187" t="str">
        <f t="shared" si="56"/>
        <v/>
      </c>
      <c r="AG847" s="54" t="b">
        <f t="shared" si="55"/>
        <v>0</v>
      </c>
      <c r="AH847" s="146"/>
      <c r="AI847" s="210" t="s">
        <v>6</v>
      </c>
      <c r="AJ847" s="97" t="str">
        <f t="shared" si="57"/>
        <v>GUARULHOS</v>
      </c>
      <c r="AK847" s="213" t="s">
        <v>39</v>
      </c>
      <c r="AL847" s="53">
        <v>0.38716029684253073</v>
      </c>
      <c r="AM847" s="53" t="str" cm="1">
        <f t="array" ref="AM847">IF(OR(O847&lt;&gt;"", SUMPRODUCT(($AN$2:$AN$5000=AN847)*($AL$2:$AL$5000&lt;=AL847)) &lt;= (COUNTIF($AN$2:$AN$5000,AN847)*0.5)), "SORTEADO", "-")</f>
        <v>-</v>
      </c>
      <c r="AN847" s="230" t="s">
        <v>2165</v>
      </c>
    </row>
    <row r="848" spans="1:40" ht="30" customHeight="1" x14ac:dyDescent="0.2">
      <c r="A848" s="230" t="s">
        <v>197</v>
      </c>
      <c r="B848" s="230">
        <v>2691610027</v>
      </c>
      <c r="C848" s="230" t="s">
        <v>106</v>
      </c>
      <c r="D848" s="230" t="s">
        <v>80</v>
      </c>
      <c r="E848" s="230" t="s">
        <v>198</v>
      </c>
      <c r="F848" s="230" t="s">
        <v>2230</v>
      </c>
      <c r="G848" s="230">
        <v>227</v>
      </c>
      <c r="H848" s="230" t="s">
        <v>2231</v>
      </c>
      <c r="I848" s="230" t="s">
        <v>2232</v>
      </c>
      <c r="J848" s="230" t="s">
        <v>270</v>
      </c>
      <c r="K848" s="230" t="s">
        <v>2233</v>
      </c>
      <c r="L848" s="230" t="s">
        <v>2165</v>
      </c>
      <c r="M848" s="230" t="s">
        <v>2234</v>
      </c>
      <c r="N848" s="230" t="s">
        <v>237</v>
      </c>
      <c r="O848" s="158" t="s">
        <v>204</v>
      </c>
      <c r="P848" s="92"/>
      <c r="Q848" s="146" t="s">
        <v>204</v>
      </c>
      <c r="R848" s="92"/>
      <c r="S848" s="146" t="s">
        <v>204</v>
      </c>
      <c r="T848" s="92"/>
      <c r="U848" s="146" t="s">
        <v>204</v>
      </c>
      <c r="V848" s="92"/>
      <c r="W848" s="146" t="s">
        <v>204</v>
      </c>
      <c r="X848" s="92"/>
      <c r="Y848" s="146" t="s">
        <v>61</v>
      </c>
      <c r="Z848" s="92"/>
      <c r="AA848" s="146" t="s">
        <v>204</v>
      </c>
      <c r="AB848" s="92"/>
      <c r="AC848" s="146" t="s">
        <v>204</v>
      </c>
      <c r="AD848" s="92"/>
      <c r="AE848" s="146" t="s">
        <v>204</v>
      </c>
      <c r="AF848" s="187" t="str">
        <f t="shared" si="56"/>
        <v>C</v>
      </c>
      <c r="AG848" s="54" t="str">
        <f t="shared" si="55"/>
        <v>UTILIZOU O PDA CORRETAMENTE</v>
      </c>
      <c r="AH848" s="144" t="s">
        <v>204</v>
      </c>
      <c r="AI848" s="210" t="s">
        <v>6</v>
      </c>
      <c r="AJ848" s="97" t="str">
        <f t="shared" si="57"/>
        <v>GUARULHOS</v>
      </c>
      <c r="AK848" s="213" t="s">
        <v>39</v>
      </c>
      <c r="AL848" s="53">
        <v>0.13528678481876111</v>
      </c>
      <c r="AM848" s="53" t="str" cm="1">
        <f t="array" ref="AM848">IF(OR(O848&lt;&gt;"", SUMPRODUCT(($AN$2:$AN$5000=AN848)*($AL$2:$AL$5000&lt;=AL848)) &lt;= (COUNTIF($AN$2:$AN$5000,AN848)*0.5)), "SORTEADO", "-")</f>
        <v>SORTEADO</v>
      </c>
      <c r="AN848" s="230" t="s">
        <v>2165</v>
      </c>
    </row>
    <row r="849" spans="1:40" ht="30" hidden="1" customHeight="1" x14ac:dyDescent="0.2">
      <c r="A849" s="230" t="s">
        <v>197</v>
      </c>
      <c r="B849" s="230">
        <v>2617567456</v>
      </c>
      <c r="C849" s="230" t="s">
        <v>102</v>
      </c>
      <c r="D849" s="230" t="s">
        <v>80</v>
      </c>
      <c r="E849" s="230" t="s">
        <v>198</v>
      </c>
      <c r="F849" s="230" t="s">
        <v>2235</v>
      </c>
      <c r="G849" s="230">
        <v>459</v>
      </c>
      <c r="H849" s="230" t="s">
        <v>213</v>
      </c>
      <c r="I849" s="230" t="s">
        <v>398</v>
      </c>
      <c r="J849" s="230" t="s">
        <v>270</v>
      </c>
      <c r="K849" s="230" t="s">
        <v>213</v>
      </c>
      <c r="L849" s="230" t="s">
        <v>2165</v>
      </c>
      <c r="M849" s="230" t="s">
        <v>2236</v>
      </c>
      <c r="N849" s="230" t="s">
        <v>381</v>
      </c>
      <c r="O849" s="158"/>
      <c r="P849" s="92"/>
      <c r="Q849" s="146"/>
      <c r="R849" s="92"/>
      <c r="S849" s="146"/>
      <c r="T849" s="92"/>
      <c r="U849" s="146"/>
      <c r="V849" s="92"/>
      <c r="W849" s="146"/>
      <c r="X849" s="92"/>
      <c r="Y849" s="146"/>
      <c r="Z849" s="92"/>
      <c r="AA849" s="146"/>
      <c r="AB849" s="92"/>
      <c r="AC849" s="146"/>
      <c r="AD849" s="92"/>
      <c r="AE849" s="146"/>
      <c r="AF849" s="187" t="str">
        <f t="shared" si="56"/>
        <v/>
      </c>
      <c r="AG849" s="54" t="b">
        <f t="shared" si="55"/>
        <v>0</v>
      </c>
      <c r="AH849" s="146"/>
      <c r="AI849" s="210" t="s">
        <v>6</v>
      </c>
      <c r="AJ849" s="97" t="str">
        <f t="shared" si="57"/>
        <v>GUARULHOS</v>
      </c>
      <c r="AK849" s="213" t="s">
        <v>39</v>
      </c>
      <c r="AL849" s="53">
        <v>0.61304232282373716</v>
      </c>
      <c r="AM849" s="53" t="str" cm="1">
        <f t="array" ref="AM849">IF(OR(O849&lt;&gt;"", SUMPRODUCT(($AN$2:$AN$5000=AN849)*($AL$2:$AL$5000&lt;=AL849)) &lt;= (COUNTIF($AN$2:$AN$5000,AN849)*0.5)), "SORTEADO", "-")</f>
        <v>-</v>
      </c>
      <c r="AN849" s="230" t="s">
        <v>2165</v>
      </c>
    </row>
    <row r="850" spans="1:40" ht="30" customHeight="1" x14ac:dyDescent="0.2">
      <c r="A850" s="230" t="s">
        <v>197</v>
      </c>
      <c r="B850" s="230">
        <v>2691614803</v>
      </c>
      <c r="C850" s="230" t="s">
        <v>103</v>
      </c>
      <c r="D850" s="230" t="s">
        <v>80</v>
      </c>
      <c r="E850" s="230" t="s">
        <v>198</v>
      </c>
      <c r="F850" s="230" t="s">
        <v>2237</v>
      </c>
      <c r="G850" s="230">
        <v>50</v>
      </c>
      <c r="H850" s="230" t="s">
        <v>2238</v>
      </c>
      <c r="I850" s="230" t="s">
        <v>200</v>
      </c>
      <c r="J850" s="230" t="s">
        <v>259</v>
      </c>
      <c r="K850" s="230" t="s">
        <v>2239</v>
      </c>
      <c r="L850" s="230" t="s">
        <v>2165</v>
      </c>
      <c r="M850" s="230" t="s">
        <v>2240</v>
      </c>
      <c r="N850" s="230" t="s">
        <v>244</v>
      </c>
      <c r="O850" s="158" t="s">
        <v>204</v>
      </c>
      <c r="P850" s="92"/>
      <c r="Q850" s="146" t="s">
        <v>204</v>
      </c>
      <c r="R850" s="92"/>
      <c r="S850" s="146" t="s">
        <v>204</v>
      </c>
      <c r="T850" s="92"/>
      <c r="U850" s="146" t="s">
        <v>204</v>
      </c>
      <c r="V850" s="92"/>
      <c r="W850" s="146" t="s">
        <v>204</v>
      </c>
      <c r="X850" s="92"/>
      <c r="Y850" s="146" t="s">
        <v>61</v>
      </c>
      <c r="Z850" s="92"/>
      <c r="AA850" s="146" t="s">
        <v>204</v>
      </c>
      <c r="AB850" s="92"/>
      <c r="AC850" s="146" t="s">
        <v>204</v>
      </c>
      <c r="AD850" s="92"/>
      <c r="AE850" s="146" t="s">
        <v>204</v>
      </c>
      <c r="AF850" s="187" t="str">
        <f t="shared" si="56"/>
        <v>C</v>
      </c>
      <c r="AG850" s="54" t="str">
        <f t="shared" si="55"/>
        <v>UTILIZOU O PDA CORRETAMENTE</v>
      </c>
      <c r="AH850" s="144" t="s">
        <v>204</v>
      </c>
      <c r="AI850" s="210" t="s">
        <v>6</v>
      </c>
      <c r="AJ850" s="97" t="str">
        <f t="shared" si="57"/>
        <v>GUARULHOS</v>
      </c>
      <c r="AK850" s="213" t="s">
        <v>39</v>
      </c>
      <c r="AL850" s="53">
        <v>0.3867742226573333</v>
      </c>
      <c r="AM850" s="53" t="str" cm="1">
        <f t="array" ref="AM850">IF(OR(O850&lt;&gt;"", SUMPRODUCT(($AN$2:$AN$5000=AN850)*($AL$2:$AL$5000&lt;=AL850)) &lt;= (COUNTIF($AN$2:$AN$5000,AN850)*0.5)), "SORTEADO", "-")</f>
        <v>SORTEADO</v>
      </c>
      <c r="AN850" s="230" t="s">
        <v>2165</v>
      </c>
    </row>
    <row r="851" spans="1:40" ht="30" customHeight="1" x14ac:dyDescent="0.2">
      <c r="A851" s="230" t="s">
        <v>197</v>
      </c>
      <c r="B851" s="230">
        <v>2691613376</v>
      </c>
      <c r="C851" s="230" t="s">
        <v>106</v>
      </c>
      <c r="D851" s="230" t="s">
        <v>80</v>
      </c>
      <c r="E851" s="230" t="s">
        <v>198</v>
      </c>
      <c r="F851" s="230" t="s">
        <v>2241</v>
      </c>
      <c r="G851" s="230">
        <v>413</v>
      </c>
      <c r="H851" s="230" t="s">
        <v>2242</v>
      </c>
      <c r="I851" s="230" t="s">
        <v>394</v>
      </c>
      <c r="J851" s="230" t="s">
        <v>270</v>
      </c>
      <c r="K851" s="230" t="s">
        <v>213</v>
      </c>
      <c r="L851" s="230" t="s">
        <v>2165</v>
      </c>
      <c r="M851" s="230" t="s">
        <v>2243</v>
      </c>
      <c r="N851" s="230" t="s">
        <v>228</v>
      </c>
      <c r="O851" s="158" t="s">
        <v>204</v>
      </c>
      <c r="P851" s="92"/>
      <c r="Q851" s="146" t="s">
        <v>204</v>
      </c>
      <c r="R851" s="92"/>
      <c r="S851" s="146" t="s">
        <v>204</v>
      </c>
      <c r="T851" s="92"/>
      <c r="U851" s="146" t="s">
        <v>204</v>
      </c>
      <c r="V851" s="92"/>
      <c r="W851" s="146" t="s">
        <v>204</v>
      </c>
      <c r="X851" s="92"/>
      <c r="Y851" s="146" t="s">
        <v>61</v>
      </c>
      <c r="Z851" s="92"/>
      <c r="AA851" s="146" t="s">
        <v>204</v>
      </c>
      <c r="AB851" s="92"/>
      <c r="AC851" s="146" t="s">
        <v>204</v>
      </c>
      <c r="AD851" s="92"/>
      <c r="AE851" s="146" t="s">
        <v>204</v>
      </c>
      <c r="AF851" s="187" t="str">
        <f t="shared" si="56"/>
        <v>C</v>
      </c>
      <c r="AG851" s="54" t="str">
        <f t="shared" si="55"/>
        <v>UTILIZOU O PDA CORRETAMENTE</v>
      </c>
      <c r="AH851" s="144" t="s">
        <v>204</v>
      </c>
      <c r="AI851" s="210" t="s">
        <v>6</v>
      </c>
      <c r="AJ851" s="97" t="str">
        <f t="shared" si="57"/>
        <v>GUARULHOS</v>
      </c>
      <c r="AK851" s="213" t="s">
        <v>39</v>
      </c>
      <c r="AL851" s="53">
        <v>8.7845734718904556E-2</v>
      </c>
      <c r="AM851" s="53" t="str" cm="1">
        <f t="array" ref="AM851">IF(OR(O851&lt;&gt;"", SUMPRODUCT(($AN$2:$AN$5000=AN851)*($AL$2:$AL$5000&lt;=AL851)) &lt;= (COUNTIF($AN$2:$AN$5000,AN851)*0.5)), "SORTEADO", "-")</f>
        <v>SORTEADO</v>
      </c>
      <c r="AN851" s="230" t="s">
        <v>2165</v>
      </c>
    </row>
    <row r="852" spans="1:40" ht="30" customHeight="1" x14ac:dyDescent="0.2">
      <c r="A852" s="230" t="s">
        <v>197</v>
      </c>
      <c r="B852" s="230">
        <v>2617582925</v>
      </c>
      <c r="C852" s="230" t="s">
        <v>100</v>
      </c>
      <c r="D852" s="230" t="s">
        <v>78</v>
      </c>
      <c r="E852" s="230" t="s">
        <v>198</v>
      </c>
      <c r="F852" s="230" t="s">
        <v>781</v>
      </c>
      <c r="G852" s="230">
        <v>127</v>
      </c>
      <c r="H852" s="230" t="s">
        <v>276</v>
      </c>
      <c r="I852" s="230" t="s">
        <v>262</v>
      </c>
      <c r="J852" s="230" t="s">
        <v>248</v>
      </c>
      <c r="K852" s="230" t="s">
        <v>2244</v>
      </c>
      <c r="L852" s="230" t="s">
        <v>2165</v>
      </c>
      <c r="M852" s="230" t="s">
        <v>2245</v>
      </c>
      <c r="N852" s="230" t="s">
        <v>260</v>
      </c>
      <c r="O852" s="158" t="s">
        <v>204</v>
      </c>
      <c r="P852" s="92"/>
      <c r="Q852" s="146" t="s">
        <v>204</v>
      </c>
      <c r="R852" s="92"/>
      <c r="S852" s="146" t="s">
        <v>204</v>
      </c>
      <c r="T852" s="92"/>
      <c r="U852" s="146" t="s">
        <v>204</v>
      </c>
      <c r="V852" s="92"/>
      <c r="W852" s="146" t="s">
        <v>204</v>
      </c>
      <c r="X852" s="92"/>
      <c r="Y852" s="146" t="s">
        <v>204</v>
      </c>
      <c r="Z852" s="92"/>
      <c r="AA852" s="146" t="s">
        <v>204</v>
      </c>
      <c r="AB852" s="92"/>
      <c r="AC852" s="146" t="s">
        <v>204</v>
      </c>
      <c r="AD852" s="92"/>
      <c r="AE852" s="146" t="s">
        <v>204</v>
      </c>
      <c r="AF852" s="187" t="str">
        <f t="shared" si="56"/>
        <v>C</v>
      </c>
      <c r="AG852" s="54" t="str">
        <f t="shared" si="55"/>
        <v>UTILIZOU O PDA CORRETAMENTE</v>
      </c>
      <c r="AH852" s="146" t="s">
        <v>204</v>
      </c>
      <c r="AI852" s="210" t="s">
        <v>6</v>
      </c>
      <c r="AJ852" s="97" t="str">
        <f t="shared" si="57"/>
        <v>GUARULHOS</v>
      </c>
      <c r="AK852" s="213" t="s">
        <v>39</v>
      </c>
      <c r="AL852" s="53">
        <v>1.3704987457538675E-2</v>
      </c>
      <c r="AM852" s="53" t="str" cm="1">
        <f t="array" ref="AM852">IF(OR(O852&lt;&gt;"", SUMPRODUCT(($AN$2:$AN$5000=AN852)*($AL$2:$AL$5000&lt;=AL852)) &lt;= (COUNTIF($AN$2:$AN$5000,AN852)*0.5)), "SORTEADO", "-")</f>
        <v>SORTEADO</v>
      </c>
      <c r="AN852" s="230" t="s">
        <v>2165</v>
      </c>
    </row>
    <row r="853" spans="1:40" ht="30" customHeight="1" x14ac:dyDescent="0.2">
      <c r="A853" s="230" t="s">
        <v>197</v>
      </c>
      <c r="B853" s="230">
        <v>2617187291</v>
      </c>
      <c r="C853" s="230" t="s">
        <v>93</v>
      </c>
      <c r="D853" s="230" t="s">
        <v>76</v>
      </c>
      <c r="E853" s="230" t="s">
        <v>198</v>
      </c>
      <c r="F853" s="230" t="s">
        <v>2246</v>
      </c>
      <c r="G853" s="230">
        <v>479</v>
      </c>
      <c r="H853" s="230" t="s">
        <v>2247</v>
      </c>
      <c r="I853" s="230" t="s">
        <v>797</v>
      </c>
      <c r="J853" s="230" t="s">
        <v>93</v>
      </c>
      <c r="K853" s="230" t="s">
        <v>2248</v>
      </c>
      <c r="L853" s="230" t="s">
        <v>2165</v>
      </c>
      <c r="M853" s="230" t="s">
        <v>2249</v>
      </c>
      <c r="N853" s="230" t="s">
        <v>408</v>
      </c>
      <c r="O853" s="158" t="s">
        <v>204</v>
      </c>
      <c r="P853" s="92"/>
      <c r="Q853" s="146" t="s">
        <v>61</v>
      </c>
      <c r="R853" s="92"/>
      <c r="S853" s="146" t="s">
        <v>61</v>
      </c>
      <c r="T853" s="92"/>
      <c r="U853" s="146" t="s">
        <v>61</v>
      </c>
      <c r="V853" s="92"/>
      <c r="W853" s="146" t="s">
        <v>61</v>
      </c>
      <c r="X853" s="92"/>
      <c r="Y853" s="146" t="s">
        <v>61</v>
      </c>
      <c r="Z853" s="92"/>
      <c r="AA853" s="146" t="s">
        <v>204</v>
      </c>
      <c r="AB853" s="92"/>
      <c r="AC853" s="146" t="s">
        <v>204</v>
      </c>
      <c r="AD853" s="92"/>
      <c r="AE853" s="146" t="s">
        <v>204</v>
      </c>
      <c r="AF853" s="187" t="str">
        <f t="shared" si="56"/>
        <v>C</v>
      </c>
      <c r="AG853" s="54" t="str">
        <f t="shared" si="55"/>
        <v>UTILIZOU O PDA CORRETAMENTE</v>
      </c>
      <c r="AH853" s="146" t="s">
        <v>204</v>
      </c>
      <c r="AI853" s="210" t="s">
        <v>6</v>
      </c>
      <c r="AJ853" s="97" t="str">
        <f t="shared" si="57"/>
        <v>GUARULHOS</v>
      </c>
      <c r="AK853" s="213" t="s">
        <v>39</v>
      </c>
      <c r="AL853" s="53">
        <v>6.9568985428084096E-2</v>
      </c>
      <c r="AM853" s="53" t="str" cm="1">
        <f t="array" ref="AM853">IF(OR(O853&lt;&gt;"", SUMPRODUCT(($AN$2:$AN$5000=AN853)*($AL$2:$AL$5000&lt;=AL853)) &lt;= (COUNTIF($AN$2:$AN$5000,AN853)*0.5)), "SORTEADO", "-")</f>
        <v>SORTEADO</v>
      </c>
      <c r="AN853" s="230" t="s">
        <v>2165</v>
      </c>
    </row>
    <row r="854" spans="1:40" ht="30" customHeight="1" x14ac:dyDescent="0.2">
      <c r="A854" s="230" t="s">
        <v>197</v>
      </c>
      <c r="B854" s="230">
        <v>2617187292</v>
      </c>
      <c r="C854" s="230" t="s">
        <v>95</v>
      </c>
      <c r="D854" s="230" t="s">
        <v>76</v>
      </c>
      <c r="E854" s="230" t="s">
        <v>198</v>
      </c>
      <c r="F854" s="230" t="s">
        <v>2246</v>
      </c>
      <c r="G854" s="230">
        <v>479</v>
      </c>
      <c r="H854" s="230" t="s">
        <v>1715</v>
      </c>
      <c r="I854" s="230" t="s">
        <v>797</v>
      </c>
      <c r="J854" s="230" t="s">
        <v>95</v>
      </c>
      <c r="K854" s="230" t="s">
        <v>2250</v>
      </c>
      <c r="L854" s="230" t="s">
        <v>2165</v>
      </c>
      <c r="M854" s="230" t="s">
        <v>2251</v>
      </c>
      <c r="N854" s="230" t="s">
        <v>408</v>
      </c>
      <c r="O854" s="158" t="s">
        <v>204</v>
      </c>
      <c r="P854" s="92"/>
      <c r="Q854" s="146" t="s">
        <v>61</v>
      </c>
      <c r="R854" s="92"/>
      <c r="S854" s="146" t="s">
        <v>61</v>
      </c>
      <c r="T854" s="92"/>
      <c r="U854" s="146" t="s">
        <v>61</v>
      </c>
      <c r="V854" s="92"/>
      <c r="W854" s="146" t="s">
        <v>61</v>
      </c>
      <c r="X854" s="92"/>
      <c r="Y854" s="146" t="s">
        <v>61</v>
      </c>
      <c r="Z854" s="92"/>
      <c r="AA854" s="146" t="s">
        <v>204</v>
      </c>
      <c r="AB854" s="92"/>
      <c r="AC854" s="146" t="s">
        <v>204</v>
      </c>
      <c r="AD854" s="92"/>
      <c r="AE854" s="146" t="s">
        <v>204</v>
      </c>
      <c r="AF854" s="187" t="str">
        <f t="shared" si="56"/>
        <v>C</v>
      </c>
      <c r="AG854" s="54" t="str">
        <f t="shared" si="55"/>
        <v>UTILIZOU O PDA CORRETAMENTE</v>
      </c>
      <c r="AH854" s="146" t="s">
        <v>204</v>
      </c>
      <c r="AI854" s="210" t="s">
        <v>6</v>
      </c>
      <c r="AJ854" s="97" t="str">
        <f t="shared" si="57"/>
        <v>GUARULHOS</v>
      </c>
      <c r="AK854" s="213" t="s">
        <v>39</v>
      </c>
      <c r="AL854" s="53">
        <v>0.10202636009312571</v>
      </c>
      <c r="AM854" s="53" t="str" cm="1">
        <f t="array" ref="AM854">IF(OR(O854&lt;&gt;"", SUMPRODUCT(($AN$2:$AN$5000=AN854)*($AL$2:$AL$5000&lt;=AL854)) &lt;= (COUNTIF($AN$2:$AN$5000,AN854)*0.5)), "SORTEADO", "-")</f>
        <v>SORTEADO</v>
      </c>
      <c r="AN854" s="230" t="s">
        <v>2165</v>
      </c>
    </row>
    <row r="855" spans="1:40" ht="30" hidden="1" customHeight="1" x14ac:dyDescent="0.2">
      <c r="A855" s="230" t="s">
        <v>197</v>
      </c>
      <c r="B855" s="230">
        <v>2617184832</v>
      </c>
      <c r="C855" s="230" t="s">
        <v>85</v>
      </c>
      <c r="D855" s="230" t="s">
        <v>76</v>
      </c>
      <c r="E855" s="230" t="s">
        <v>198</v>
      </c>
      <c r="F855" s="230" t="s">
        <v>855</v>
      </c>
      <c r="G855" s="230">
        <v>19</v>
      </c>
      <c r="H855" s="230" t="s">
        <v>213</v>
      </c>
      <c r="I855" s="230" t="s">
        <v>320</v>
      </c>
      <c r="J855" s="230" t="s">
        <v>85</v>
      </c>
      <c r="K855" s="230" t="s">
        <v>2252</v>
      </c>
      <c r="L855" s="230" t="s">
        <v>2165</v>
      </c>
      <c r="M855" s="230" t="s">
        <v>2253</v>
      </c>
      <c r="N855" s="230" t="s">
        <v>408</v>
      </c>
      <c r="O855" s="158"/>
      <c r="P855" s="92"/>
      <c r="Q855" s="146"/>
      <c r="R855" s="92"/>
      <c r="S855" s="146"/>
      <c r="T855" s="92"/>
      <c r="U855" s="146"/>
      <c r="V855" s="92"/>
      <c r="W855" s="146"/>
      <c r="X855" s="92"/>
      <c r="Y855" s="146"/>
      <c r="Z855" s="92"/>
      <c r="AA855" s="146"/>
      <c r="AB855" s="92"/>
      <c r="AC855" s="146"/>
      <c r="AD855" s="92"/>
      <c r="AE855" s="146"/>
      <c r="AF855" s="187" t="str">
        <f t="shared" si="56"/>
        <v/>
      </c>
      <c r="AG855" s="54" t="b">
        <f t="shared" si="55"/>
        <v>0</v>
      </c>
      <c r="AH855" s="146"/>
      <c r="AI855" s="210" t="s">
        <v>6</v>
      </c>
      <c r="AJ855" s="97" t="str">
        <f t="shared" si="57"/>
        <v>GUARULHOS</v>
      </c>
      <c r="AK855" s="213" t="s">
        <v>39</v>
      </c>
      <c r="AL855" s="53">
        <v>0.61267761247438002</v>
      </c>
      <c r="AM855" s="53" t="str" cm="1">
        <f t="array" ref="AM855">IF(OR(O855&lt;&gt;"", SUMPRODUCT(($AN$2:$AN$5000=AN855)*($AL$2:$AL$5000&lt;=AL855)) &lt;= (COUNTIF($AN$2:$AN$5000,AN855)*0.5)), "SORTEADO", "-")</f>
        <v>-</v>
      </c>
      <c r="AN855" s="230" t="s">
        <v>2165</v>
      </c>
    </row>
    <row r="856" spans="1:40" ht="30" hidden="1" customHeight="1" x14ac:dyDescent="0.2">
      <c r="A856" s="230" t="s">
        <v>197</v>
      </c>
      <c r="B856" s="230">
        <v>2617587884</v>
      </c>
      <c r="C856" s="230" t="s">
        <v>102</v>
      </c>
      <c r="D856" s="230" t="s">
        <v>80</v>
      </c>
      <c r="E856" s="230" t="s">
        <v>198</v>
      </c>
      <c r="F856" s="230" t="s">
        <v>2254</v>
      </c>
      <c r="G856" s="230">
        <v>59</v>
      </c>
      <c r="H856" s="230" t="s">
        <v>362</v>
      </c>
      <c r="I856" s="230" t="s">
        <v>253</v>
      </c>
      <c r="J856" s="230" t="s">
        <v>270</v>
      </c>
      <c r="K856" s="230" t="s">
        <v>2255</v>
      </c>
      <c r="L856" s="230" t="s">
        <v>2165</v>
      </c>
      <c r="M856" s="230" t="s">
        <v>2256</v>
      </c>
      <c r="N856" s="230" t="s">
        <v>244</v>
      </c>
      <c r="O856" s="158"/>
      <c r="P856" s="92"/>
      <c r="Q856" s="146"/>
      <c r="R856" s="92"/>
      <c r="S856" s="146"/>
      <c r="T856" s="92"/>
      <c r="U856" s="146"/>
      <c r="V856" s="92"/>
      <c r="W856" s="146"/>
      <c r="X856" s="92"/>
      <c r="Y856" s="146"/>
      <c r="Z856" s="92"/>
      <c r="AA856" s="146"/>
      <c r="AB856" s="92"/>
      <c r="AC856" s="146"/>
      <c r="AD856" s="92"/>
      <c r="AE856" s="146"/>
      <c r="AF856" s="187" t="str">
        <f t="shared" si="56"/>
        <v/>
      </c>
      <c r="AG856" s="54" t="b">
        <f t="shared" si="55"/>
        <v>0</v>
      </c>
      <c r="AH856" s="146"/>
      <c r="AI856" s="210" t="s">
        <v>6</v>
      </c>
      <c r="AJ856" s="97" t="str">
        <f t="shared" si="57"/>
        <v>GUARULHOS</v>
      </c>
      <c r="AK856" s="213" t="s">
        <v>39</v>
      </c>
      <c r="AL856" s="53">
        <v>0.83717666395970891</v>
      </c>
      <c r="AM856" s="53" t="str" cm="1">
        <f t="array" ref="AM856">IF(OR(O856&lt;&gt;"", SUMPRODUCT(($AN$2:$AN$5000=AN856)*($AL$2:$AL$5000&lt;=AL856)) &lt;= (COUNTIF($AN$2:$AN$5000,AN856)*0.5)), "SORTEADO", "-")</f>
        <v>-</v>
      </c>
      <c r="AN856" s="230" t="s">
        <v>2165</v>
      </c>
    </row>
    <row r="857" spans="1:40" ht="30" hidden="1" customHeight="1" x14ac:dyDescent="0.2">
      <c r="A857" s="230" t="s">
        <v>197</v>
      </c>
      <c r="B857" s="230">
        <v>2691641310</v>
      </c>
      <c r="C857" s="230" t="s">
        <v>102</v>
      </c>
      <c r="D857" s="230" t="s">
        <v>80</v>
      </c>
      <c r="E857" s="230" t="s">
        <v>198</v>
      </c>
      <c r="F857" s="230" t="s">
        <v>796</v>
      </c>
      <c r="G857" s="230">
        <v>122</v>
      </c>
      <c r="H857" s="230" t="s">
        <v>235</v>
      </c>
      <c r="I857" s="230" t="s">
        <v>797</v>
      </c>
      <c r="J857" s="230" t="s">
        <v>270</v>
      </c>
      <c r="K857" s="237" t="s">
        <v>2257</v>
      </c>
      <c r="L857" s="230" t="s">
        <v>2165</v>
      </c>
      <c r="M857" s="230" t="s">
        <v>2258</v>
      </c>
      <c r="N857" s="230" t="s">
        <v>381</v>
      </c>
      <c r="O857" s="158"/>
      <c r="P857" s="92"/>
      <c r="Q857" s="146"/>
      <c r="R857" s="92"/>
      <c r="S857" s="146"/>
      <c r="T857" s="92"/>
      <c r="U857" s="146"/>
      <c r="V857" s="92"/>
      <c r="W857" s="146"/>
      <c r="X857" s="92"/>
      <c r="Y857" s="146"/>
      <c r="Z857" s="92"/>
      <c r="AA857" s="146"/>
      <c r="AB857" s="92"/>
      <c r="AC857" s="146"/>
      <c r="AD857" s="92"/>
      <c r="AE857" s="146"/>
      <c r="AF857" s="187" t="str">
        <f t="shared" si="56"/>
        <v/>
      </c>
      <c r="AG857" s="54" t="b">
        <f t="shared" si="55"/>
        <v>0</v>
      </c>
      <c r="AH857" s="146"/>
      <c r="AI857" s="210" t="s">
        <v>6</v>
      </c>
      <c r="AJ857" s="97" t="str">
        <f t="shared" si="57"/>
        <v>GUARULHOS</v>
      </c>
      <c r="AK857" s="213" t="s">
        <v>39</v>
      </c>
      <c r="AL857" s="53">
        <v>0.79800342469941876</v>
      </c>
      <c r="AM857" s="53" t="str" cm="1">
        <f t="array" ref="AM857">IF(OR(O857&lt;&gt;"", SUMPRODUCT(($AN$2:$AN$5000=AN857)*($AL$2:$AL$5000&lt;=AL857)) &lt;= (COUNTIF($AN$2:$AN$5000,AN857)*0.5)), "SORTEADO", "-")</f>
        <v>-</v>
      </c>
      <c r="AN857" s="230" t="s">
        <v>2165</v>
      </c>
    </row>
    <row r="858" spans="1:40" ht="30" hidden="1" customHeight="1" x14ac:dyDescent="0.2">
      <c r="A858" s="230" t="s">
        <v>197</v>
      </c>
      <c r="B858" s="230">
        <v>2617596469</v>
      </c>
      <c r="C858" s="230" t="s">
        <v>102</v>
      </c>
      <c r="D858" s="230" t="s">
        <v>80</v>
      </c>
      <c r="E858" s="230" t="s">
        <v>198</v>
      </c>
      <c r="F858" s="230" t="s">
        <v>2259</v>
      </c>
      <c r="G858" s="230">
        <v>23</v>
      </c>
      <c r="H858" s="230"/>
      <c r="I858" s="230" t="s">
        <v>368</v>
      </c>
      <c r="J858" s="230" t="s">
        <v>259</v>
      </c>
      <c r="K858" s="230" t="s">
        <v>2260</v>
      </c>
      <c r="L858" s="230" t="s">
        <v>2165</v>
      </c>
      <c r="M858" s="230" t="s">
        <v>2261</v>
      </c>
      <c r="N858" s="230" t="s">
        <v>348</v>
      </c>
      <c r="O858" s="158"/>
      <c r="P858" s="92"/>
      <c r="Q858" s="146"/>
      <c r="R858" s="92"/>
      <c r="S858" s="146"/>
      <c r="T858" s="92"/>
      <c r="U858" s="146"/>
      <c r="V858" s="92"/>
      <c r="W858" s="146"/>
      <c r="X858" s="92"/>
      <c r="Y858" s="146"/>
      <c r="Z858" s="92"/>
      <c r="AA858" s="146"/>
      <c r="AB858" s="92"/>
      <c r="AC858" s="146"/>
      <c r="AD858" s="92"/>
      <c r="AE858" s="146"/>
      <c r="AF858" s="187" t="str">
        <f t="shared" si="56"/>
        <v/>
      </c>
      <c r="AG858" s="54" t="b">
        <f t="shared" si="55"/>
        <v>0</v>
      </c>
      <c r="AH858" s="146"/>
      <c r="AI858" s="210" t="s">
        <v>6</v>
      </c>
      <c r="AJ858" s="97" t="str">
        <f t="shared" si="57"/>
        <v>GUARULHOS</v>
      </c>
      <c r="AK858" s="213" t="s">
        <v>39</v>
      </c>
      <c r="AL858" s="53">
        <v>0.47614658665699594</v>
      </c>
      <c r="AM858" s="53" t="str" cm="1">
        <f t="array" ref="AM858">IF(OR(O858&lt;&gt;"", SUMPRODUCT(($AN$2:$AN$5000=AN858)*($AL$2:$AL$5000&lt;=AL858)) &lt;= (COUNTIF($AN$2:$AN$5000,AN858)*0.5)), "SORTEADO", "-")</f>
        <v>-</v>
      </c>
      <c r="AN858" s="230" t="s">
        <v>2165</v>
      </c>
    </row>
    <row r="859" spans="1:40" ht="30" hidden="1" customHeight="1" x14ac:dyDescent="0.2">
      <c r="A859" s="230" t="s">
        <v>197</v>
      </c>
      <c r="B859" s="230">
        <v>2617598879</v>
      </c>
      <c r="C859" s="230" t="s">
        <v>105</v>
      </c>
      <c r="D859" s="230" t="s">
        <v>80</v>
      </c>
      <c r="E859" s="230" t="s">
        <v>198</v>
      </c>
      <c r="F859" s="230" t="s">
        <v>374</v>
      </c>
      <c r="G859" s="230">
        <v>341</v>
      </c>
      <c r="H859" s="230" t="s">
        <v>213</v>
      </c>
      <c r="I859" s="230" t="s">
        <v>200</v>
      </c>
      <c r="J859" s="230" t="s">
        <v>2262</v>
      </c>
      <c r="K859" s="230" t="s">
        <v>213</v>
      </c>
      <c r="L859" s="230" t="s">
        <v>2165</v>
      </c>
      <c r="M859" s="230" t="s">
        <v>2263</v>
      </c>
      <c r="N859" s="230" t="s">
        <v>241</v>
      </c>
      <c r="O859" s="158"/>
      <c r="P859" s="92"/>
      <c r="Q859" s="146"/>
      <c r="R859" s="92"/>
      <c r="S859" s="146"/>
      <c r="T859" s="92"/>
      <c r="U859" s="146"/>
      <c r="V859" s="92"/>
      <c r="W859" s="146"/>
      <c r="X859" s="92"/>
      <c r="Y859" s="146"/>
      <c r="Z859" s="92"/>
      <c r="AA859" s="146"/>
      <c r="AB859" s="92"/>
      <c r="AC859" s="146"/>
      <c r="AD859" s="92"/>
      <c r="AE859" s="146"/>
      <c r="AF859" s="187" t="str">
        <f t="shared" si="56"/>
        <v/>
      </c>
      <c r="AG859" s="54" t="b">
        <f t="shared" si="55"/>
        <v>0</v>
      </c>
      <c r="AH859" s="146"/>
      <c r="AI859" s="210" t="s">
        <v>6</v>
      </c>
      <c r="AJ859" s="97" t="str">
        <f t="shared" si="57"/>
        <v>GUARULHOS</v>
      </c>
      <c r="AK859" s="213" t="s">
        <v>39</v>
      </c>
      <c r="AL859" s="53">
        <v>0.92233323342897355</v>
      </c>
      <c r="AM859" s="53" t="str" cm="1">
        <f t="array" ref="AM859">IF(OR(O859&lt;&gt;"", SUMPRODUCT(($AN$2:$AN$5000=AN859)*($AL$2:$AL$5000&lt;=AL859)) &lt;= (COUNTIF($AN$2:$AN$5000,AN859)*0.5)), "SORTEADO", "-")</f>
        <v>-</v>
      </c>
      <c r="AN859" s="230" t="s">
        <v>2165</v>
      </c>
    </row>
    <row r="860" spans="1:40" ht="30" hidden="1" customHeight="1" x14ac:dyDescent="0.2">
      <c r="A860" s="230" t="s">
        <v>197</v>
      </c>
      <c r="B860" s="230">
        <v>2691652140</v>
      </c>
      <c r="C860" s="230" t="s">
        <v>106</v>
      </c>
      <c r="D860" s="230" t="s">
        <v>80</v>
      </c>
      <c r="E860" s="230" t="s">
        <v>198</v>
      </c>
      <c r="F860" s="230" t="s">
        <v>2264</v>
      </c>
      <c r="G860" s="230">
        <v>199</v>
      </c>
      <c r="H860" s="230" t="s">
        <v>2265</v>
      </c>
      <c r="I860" s="230" t="s">
        <v>231</v>
      </c>
      <c r="J860" s="230" t="s">
        <v>259</v>
      </c>
      <c r="K860" s="230"/>
      <c r="L860" s="230" t="s">
        <v>2165</v>
      </c>
      <c r="M860" s="230" t="s">
        <v>2266</v>
      </c>
      <c r="N860" s="230" t="s">
        <v>260</v>
      </c>
      <c r="O860" s="158"/>
      <c r="P860" s="92"/>
      <c r="Q860" s="146"/>
      <c r="R860" s="92"/>
      <c r="S860" s="146"/>
      <c r="T860" s="92"/>
      <c r="U860" s="146"/>
      <c r="V860" s="92"/>
      <c r="W860" s="146"/>
      <c r="X860" s="92"/>
      <c r="Y860" s="146"/>
      <c r="Z860" s="92"/>
      <c r="AA860" s="146"/>
      <c r="AB860" s="92"/>
      <c r="AC860" s="146"/>
      <c r="AD860" s="92"/>
      <c r="AE860" s="146"/>
      <c r="AF860" s="187" t="str">
        <f t="shared" si="56"/>
        <v/>
      </c>
      <c r="AG860" s="54" t="b">
        <f t="shared" si="55"/>
        <v>0</v>
      </c>
      <c r="AH860" s="146"/>
      <c r="AI860" s="210" t="s">
        <v>6</v>
      </c>
      <c r="AJ860" s="97" t="str">
        <f t="shared" si="57"/>
        <v>GUARULHOS</v>
      </c>
      <c r="AK860" s="213" t="s">
        <v>39</v>
      </c>
      <c r="AL860" s="53">
        <v>0.54899466338087777</v>
      </c>
      <c r="AM860" s="53" t="str" cm="1">
        <f t="array" ref="AM860">IF(OR(O860&lt;&gt;"", SUMPRODUCT(($AN$2:$AN$5000=AN860)*($AL$2:$AL$5000&lt;=AL860)) &lt;= (COUNTIF($AN$2:$AN$5000,AN860)*0.5)), "SORTEADO", "-")</f>
        <v>-</v>
      </c>
      <c r="AN860" s="230" t="s">
        <v>2165</v>
      </c>
    </row>
    <row r="861" spans="1:40" ht="30" hidden="1" customHeight="1" x14ac:dyDescent="0.2">
      <c r="A861" s="230" t="s">
        <v>197</v>
      </c>
      <c r="B861" s="230">
        <v>2617565946</v>
      </c>
      <c r="C861" s="230" t="s">
        <v>105</v>
      </c>
      <c r="D861" s="230" t="s">
        <v>80</v>
      </c>
      <c r="E861" s="230" t="s">
        <v>198</v>
      </c>
      <c r="F861" s="230" t="s">
        <v>2227</v>
      </c>
      <c r="G861" s="230">
        <v>184</v>
      </c>
      <c r="H861" s="230" t="s">
        <v>2267</v>
      </c>
      <c r="I861" s="230" t="s">
        <v>730</v>
      </c>
      <c r="J861" s="230" t="s">
        <v>226</v>
      </c>
      <c r="K861" s="230" t="s">
        <v>1107</v>
      </c>
      <c r="L861" s="230" t="s">
        <v>2165</v>
      </c>
      <c r="M861" s="230" t="s">
        <v>2268</v>
      </c>
      <c r="N861" s="230" t="s">
        <v>1104</v>
      </c>
      <c r="O861" s="158"/>
      <c r="P861" s="92"/>
      <c r="Q861" s="146"/>
      <c r="R861" s="92"/>
      <c r="S861" s="146"/>
      <c r="T861" s="92"/>
      <c r="U861" s="146"/>
      <c r="V861" s="92"/>
      <c r="W861" s="146"/>
      <c r="X861" s="92"/>
      <c r="Y861" s="146"/>
      <c r="Z861" s="92"/>
      <c r="AA861" s="146"/>
      <c r="AB861" s="92"/>
      <c r="AC861" s="146"/>
      <c r="AD861" s="92"/>
      <c r="AE861" s="146"/>
      <c r="AF861" s="187" t="str">
        <f t="shared" si="56"/>
        <v/>
      </c>
      <c r="AG861" s="54" t="b">
        <f t="shared" si="55"/>
        <v>0</v>
      </c>
      <c r="AH861" s="146"/>
      <c r="AI861" s="210" t="s">
        <v>6</v>
      </c>
      <c r="AJ861" s="97" t="str">
        <f t="shared" si="57"/>
        <v>GUARULHOS</v>
      </c>
      <c r="AK861" s="213" t="s">
        <v>39</v>
      </c>
      <c r="AL861" s="53">
        <v>0.70939417660095105</v>
      </c>
      <c r="AM861" s="53" t="str" cm="1">
        <f t="array" ref="AM861">IF(OR(O861&lt;&gt;"", SUMPRODUCT(($AN$2:$AN$5000=AN861)*($AL$2:$AL$5000&lt;=AL861)) &lt;= (COUNTIF($AN$2:$AN$5000,AN861)*0.5)), "SORTEADO", "-")</f>
        <v>-</v>
      </c>
      <c r="AN861" s="230" t="s">
        <v>2165</v>
      </c>
    </row>
    <row r="862" spans="1:40" ht="30" customHeight="1" x14ac:dyDescent="0.2">
      <c r="A862" s="230" t="s">
        <v>197</v>
      </c>
      <c r="B862" s="230">
        <v>2617536782</v>
      </c>
      <c r="C862" s="230" t="s">
        <v>99</v>
      </c>
      <c r="D862" s="230" t="s">
        <v>80</v>
      </c>
      <c r="E862" s="230" t="s">
        <v>198</v>
      </c>
      <c r="F862" s="230" t="s">
        <v>2269</v>
      </c>
      <c r="G862" s="230">
        <v>197</v>
      </c>
      <c r="H862" s="230"/>
      <c r="I862" s="230" t="s">
        <v>509</v>
      </c>
      <c r="J862" s="230" t="s">
        <v>305</v>
      </c>
      <c r="K862" s="230" t="s">
        <v>2270</v>
      </c>
      <c r="L862" s="230" t="s">
        <v>2165</v>
      </c>
      <c r="M862" s="230" t="s">
        <v>2271</v>
      </c>
      <c r="N862" s="230" t="s">
        <v>271</v>
      </c>
      <c r="O862" s="157" t="s">
        <v>204</v>
      </c>
      <c r="P862" s="143"/>
      <c r="Q862" s="144" t="s">
        <v>204</v>
      </c>
      <c r="R862" s="143"/>
      <c r="S862" s="144" t="s">
        <v>204</v>
      </c>
      <c r="T862" s="143"/>
      <c r="U862" s="144" t="s">
        <v>204</v>
      </c>
      <c r="V862" s="143"/>
      <c r="W862" s="144" t="s">
        <v>204</v>
      </c>
      <c r="X862" s="143"/>
      <c r="Y862" s="144" t="s">
        <v>204</v>
      </c>
      <c r="Z862" s="143"/>
      <c r="AA862" s="144" t="s">
        <v>204</v>
      </c>
      <c r="AB862" s="143"/>
      <c r="AC862" s="144" t="s">
        <v>204</v>
      </c>
      <c r="AD862" s="56"/>
      <c r="AE862" s="144" t="s">
        <v>204</v>
      </c>
      <c r="AF862" s="187" t="str">
        <f t="shared" si="56"/>
        <v>C</v>
      </c>
      <c r="AG862" s="54" t="str">
        <f t="shared" si="55"/>
        <v>UTILIZOU O PDA CORRETAMENTE</v>
      </c>
      <c r="AH862" s="144" t="s">
        <v>204</v>
      </c>
      <c r="AI862" s="210" t="s">
        <v>6</v>
      </c>
      <c r="AJ862" s="97" t="str">
        <f t="shared" si="57"/>
        <v>GUARULHOS</v>
      </c>
      <c r="AK862" s="213" t="s">
        <v>39</v>
      </c>
      <c r="AL862" s="53">
        <v>2.9550938399866222E-2</v>
      </c>
      <c r="AM862" s="53" t="str" cm="1">
        <f t="array" ref="AM862">IF(OR(O862&lt;&gt;"", SUMPRODUCT(($AN$2:$AN$5000=AN862)*($AL$2:$AL$5000&lt;=AL862)) &lt;= (COUNTIF($AN$2:$AN$5000,AN862)*0.5)), "SORTEADO", "-")</f>
        <v>SORTEADO</v>
      </c>
      <c r="AN862" s="230" t="s">
        <v>2165</v>
      </c>
    </row>
    <row r="863" spans="1:40" ht="30" customHeight="1" x14ac:dyDescent="0.2">
      <c r="A863" s="230" t="s">
        <v>197</v>
      </c>
      <c r="B863" s="230">
        <v>2691575432</v>
      </c>
      <c r="C863" s="230" t="s">
        <v>98</v>
      </c>
      <c r="D863" s="230" t="s">
        <v>80</v>
      </c>
      <c r="E863" s="230" t="s">
        <v>198</v>
      </c>
      <c r="F863" s="230" t="s">
        <v>1654</v>
      </c>
      <c r="G863" s="230">
        <v>298</v>
      </c>
      <c r="H863" s="230" t="s">
        <v>827</v>
      </c>
      <c r="I863" s="230" t="s">
        <v>411</v>
      </c>
      <c r="J863" s="230" t="s">
        <v>297</v>
      </c>
      <c r="K863" s="230" t="s">
        <v>2272</v>
      </c>
      <c r="L863" s="230" t="s">
        <v>2165</v>
      </c>
      <c r="M863" s="230" t="s">
        <v>2273</v>
      </c>
      <c r="N863" s="230" t="s">
        <v>432</v>
      </c>
      <c r="O863" s="157" t="s">
        <v>204</v>
      </c>
      <c r="P863" s="143"/>
      <c r="Q863" s="144" t="s">
        <v>204</v>
      </c>
      <c r="R863" s="143"/>
      <c r="S863" s="144" t="s">
        <v>204</v>
      </c>
      <c r="T863" s="143"/>
      <c r="U863" s="144" t="s">
        <v>204</v>
      </c>
      <c r="V863" s="143"/>
      <c r="W863" s="144" t="s">
        <v>204</v>
      </c>
      <c r="X863" s="143"/>
      <c r="Y863" s="144" t="s">
        <v>204</v>
      </c>
      <c r="Z863" s="143"/>
      <c r="AA863" s="144" t="s">
        <v>204</v>
      </c>
      <c r="AB863" s="143"/>
      <c r="AC863" s="144" t="s">
        <v>204</v>
      </c>
      <c r="AD863" s="56"/>
      <c r="AE863" s="144" t="s">
        <v>204</v>
      </c>
      <c r="AF863" s="187" t="str">
        <f t="shared" si="56"/>
        <v>C</v>
      </c>
      <c r="AG863" s="54" t="str">
        <f t="shared" si="55"/>
        <v>UTILIZOU O PDA CORRETAMENTE</v>
      </c>
      <c r="AH863" s="144" t="s">
        <v>204</v>
      </c>
      <c r="AI863" s="210" t="s">
        <v>6</v>
      </c>
      <c r="AJ863" s="97" t="str">
        <f t="shared" si="57"/>
        <v>GUARULHOS</v>
      </c>
      <c r="AK863" s="213" t="s">
        <v>39</v>
      </c>
      <c r="AL863" s="53">
        <v>0.15592957054213175</v>
      </c>
      <c r="AM863" s="53" t="str" cm="1">
        <f t="array" ref="AM863">IF(OR(O863&lt;&gt;"", SUMPRODUCT(($AN$2:$AN$5000=AN863)*($AL$2:$AL$5000&lt;=AL863)) &lt;= (COUNTIF($AN$2:$AN$5000,AN863)*0.5)), "SORTEADO", "-")</f>
        <v>SORTEADO</v>
      </c>
      <c r="AN863" s="230" t="s">
        <v>2165</v>
      </c>
    </row>
    <row r="864" spans="1:40" ht="30" customHeight="1" x14ac:dyDescent="0.2">
      <c r="A864" s="230" t="s">
        <v>197</v>
      </c>
      <c r="B864" s="230">
        <v>2617611269</v>
      </c>
      <c r="C864" s="230" t="s">
        <v>100</v>
      </c>
      <c r="D864" s="230" t="s">
        <v>78</v>
      </c>
      <c r="E864" s="230" t="s">
        <v>198</v>
      </c>
      <c r="F864" s="230" t="s">
        <v>2269</v>
      </c>
      <c r="G864" s="230">
        <v>203</v>
      </c>
      <c r="H864" s="230" t="s">
        <v>2274</v>
      </c>
      <c r="I864" s="230" t="s">
        <v>509</v>
      </c>
      <c r="J864" s="230" t="s">
        <v>248</v>
      </c>
      <c r="K864" s="230" t="s">
        <v>2275</v>
      </c>
      <c r="L864" s="230" t="s">
        <v>2165</v>
      </c>
      <c r="M864" s="230" t="s">
        <v>2276</v>
      </c>
      <c r="N864" s="230" t="s">
        <v>271</v>
      </c>
      <c r="O864" s="157" t="s">
        <v>204</v>
      </c>
      <c r="P864" s="143"/>
      <c r="Q864" s="144" t="s">
        <v>204</v>
      </c>
      <c r="R864" s="143"/>
      <c r="S864" s="144" t="s">
        <v>204</v>
      </c>
      <c r="T864" s="143"/>
      <c r="U864" s="144" t="s">
        <v>204</v>
      </c>
      <c r="V864" s="143"/>
      <c r="W864" s="144" t="s">
        <v>204</v>
      </c>
      <c r="X864" s="143"/>
      <c r="Y864" s="144" t="s">
        <v>204</v>
      </c>
      <c r="Z864" s="143"/>
      <c r="AA864" s="144" t="s">
        <v>204</v>
      </c>
      <c r="AB864" s="143"/>
      <c r="AC864" s="144" t="s">
        <v>204</v>
      </c>
      <c r="AD864" s="56"/>
      <c r="AE864" s="144" t="s">
        <v>204</v>
      </c>
      <c r="AF864" s="187" t="str">
        <f t="shared" si="56"/>
        <v>C</v>
      </c>
      <c r="AG864" s="54" t="str">
        <f t="shared" si="55"/>
        <v>UTILIZOU O PDA CORRETAMENTE</v>
      </c>
      <c r="AH864" s="144" t="s">
        <v>204</v>
      </c>
      <c r="AI864" s="210" t="s">
        <v>6</v>
      </c>
      <c r="AJ864" s="97" t="str">
        <f t="shared" si="57"/>
        <v>GUARULHOS</v>
      </c>
      <c r="AK864" s="213" t="s">
        <v>39</v>
      </c>
      <c r="AL864" s="53">
        <v>0.27044689939778799</v>
      </c>
      <c r="AM864" s="53" t="str" cm="1">
        <f t="array" ref="AM864">IF(OR(O864&lt;&gt;"", SUMPRODUCT(($AN$2:$AN$5000=AN864)*($AL$2:$AL$5000&lt;=AL864)) &lt;= (COUNTIF($AN$2:$AN$5000,AN864)*0.5)), "SORTEADO", "-")</f>
        <v>SORTEADO</v>
      </c>
      <c r="AN864" s="230" t="s">
        <v>2165</v>
      </c>
    </row>
    <row r="865" spans="1:40" ht="30" hidden="1" customHeight="1" x14ac:dyDescent="0.2">
      <c r="A865" s="230" t="s">
        <v>197</v>
      </c>
      <c r="B865" s="230">
        <v>2617610714</v>
      </c>
      <c r="C865" s="230" t="s">
        <v>100</v>
      </c>
      <c r="D865" s="230" t="s">
        <v>78</v>
      </c>
      <c r="E865" s="230" t="s">
        <v>198</v>
      </c>
      <c r="F865" s="230" t="s">
        <v>966</v>
      </c>
      <c r="G865" s="230">
        <v>1628</v>
      </c>
      <c r="H865" s="230" t="s">
        <v>2277</v>
      </c>
      <c r="I865" s="230" t="s">
        <v>588</v>
      </c>
      <c r="J865" s="230" t="s">
        <v>248</v>
      </c>
      <c r="K865" s="230" t="s">
        <v>2278</v>
      </c>
      <c r="L865" s="230" t="s">
        <v>2165</v>
      </c>
      <c r="M865" s="230" t="s">
        <v>2279</v>
      </c>
      <c r="N865" s="230" t="s">
        <v>432</v>
      </c>
      <c r="O865" s="158"/>
      <c r="P865" s="92"/>
      <c r="Q865" s="146"/>
      <c r="R865" s="92"/>
      <c r="S865" s="146"/>
      <c r="T865" s="92"/>
      <c r="U865" s="146"/>
      <c r="V865" s="92"/>
      <c r="W865" s="146"/>
      <c r="X865" s="92"/>
      <c r="Y865" s="146"/>
      <c r="Z865" s="92"/>
      <c r="AA865" s="146"/>
      <c r="AB865" s="92"/>
      <c r="AC865" s="146"/>
      <c r="AD865" s="92"/>
      <c r="AE865" s="146"/>
      <c r="AF865" s="187" t="str">
        <f t="shared" si="56"/>
        <v/>
      </c>
      <c r="AG865" s="54" t="b">
        <f t="shared" si="55"/>
        <v>0</v>
      </c>
      <c r="AH865" s="146"/>
      <c r="AI865" s="210" t="s">
        <v>6</v>
      </c>
      <c r="AJ865" s="97" t="str">
        <f t="shared" si="57"/>
        <v>GUARULHOS</v>
      </c>
      <c r="AK865" s="213" t="s">
        <v>39</v>
      </c>
      <c r="AL865" s="53">
        <v>0.52482389804283924</v>
      </c>
      <c r="AM865" s="53" t="str" cm="1">
        <f t="array" ref="AM865">IF(OR(O865&lt;&gt;"", SUMPRODUCT(($AN$2:$AN$5000=AN865)*($AL$2:$AL$5000&lt;=AL865)) &lt;= (COUNTIF($AN$2:$AN$5000,AN865)*0.5)), "SORTEADO", "-")</f>
        <v>-</v>
      </c>
      <c r="AN865" s="230" t="s">
        <v>2165</v>
      </c>
    </row>
    <row r="866" spans="1:40" ht="30" hidden="1" customHeight="1" x14ac:dyDescent="0.2">
      <c r="A866" s="230" t="s">
        <v>197</v>
      </c>
      <c r="B866" s="230">
        <v>2617610964</v>
      </c>
      <c r="C866" s="230" t="s">
        <v>106</v>
      </c>
      <c r="D866" s="230" t="s">
        <v>80</v>
      </c>
      <c r="E866" s="230" t="s">
        <v>198</v>
      </c>
      <c r="F866" s="230" t="s">
        <v>1347</v>
      </c>
      <c r="G866" s="230">
        <v>787</v>
      </c>
      <c r="H866" s="230"/>
      <c r="I866" s="230" t="s">
        <v>997</v>
      </c>
      <c r="J866" s="230" t="s">
        <v>259</v>
      </c>
      <c r="K866" s="230" t="s">
        <v>2280</v>
      </c>
      <c r="L866" s="230" t="s">
        <v>2165</v>
      </c>
      <c r="M866" s="230" t="s">
        <v>2281</v>
      </c>
      <c r="N866" s="230" t="s">
        <v>237</v>
      </c>
      <c r="O866" s="158"/>
      <c r="P866" s="92"/>
      <c r="Q866" s="146"/>
      <c r="R866" s="92"/>
      <c r="S866" s="146"/>
      <c r="T866" s="92"/>
      <c r="U866" s="146"/>
      <c r="V866" s="92"/>
      <c r="W866" s="146"/>
      <c r="X866" s="92"/>
      <c r="Y866" s="146"/>
      <c r="Z866" s="92"/>
      <c r="AA866" s="146"/>
      <c r="AB866" s="92"/>
      <c r="AC866" s="146"/>
      <c r="AD866" s="92"/>
      <c r="AE866" s="146"/>
      <c r="AF866" s="187" t="str">
        <f t="shared" si="56"/>
        <v/>
      </c>
      <c r="AG866" s="54" t="b">
        <f t="shared" si="55"/>
        <v>0</v>
      </c>
      <c r="AH866" s="146"/>
      <c r="AI866" s="210" t="s">
        <v>6</v>
      </c>
      <c r="AJ866" s="97" t="str">
        <f t="shared" si="57"/>
        <v>GUARULHOS</v>
      </c>
      <c r="AK866" s="213" t="s">
        <v>39</v>
      </c>
      <c r="AL866" s="53">
        <v>0.46862624647441142</v>
      </c>
      <c r="AM866" s="53" t="str" cm="1">
        <f t="array" ref="AM866">IF(OR(O866&lt;&gt;"", SUMPRODUCT(($AN$2:$AN$5000=AN866)*($AL$2:$AL$5000&lt;=AL866)) &lt;= (COUNTIF($AN$2:$AN$5000,AN866)*0.5)), "SORTEADO", "-")</f>
        <v>-</v>
      </c>
      <c r="AN866" s="230" t="s">
        <v>2165</v>
      </c>
    </row>
    <row r="867" spans="1:40" ht="30" customHeight="1" x14ac:dyDescent="0.2">
      <c r="A867" s="230" t="s">
        <v>197</v>
      </c>
      <c r="B867" s="230">
        <v>2617624103</v>
      </c>
      <c r="C867" s="230" t="s">
        <v>100</v>
      </c>
      <c r="D867" s="230" t="s">
        <v>78</v>
      </c>
      <c r="E867" s="230" t="s">
        <v>198</v>
      </c>
      <c r="F867" s="230" t="s">
        <v>2139</v>
      </c>
      <c r="G867" s="230">
        <v>145</v>
      </c>
      <c r="H867" s="230" t="s">
        <v>362</v>
      </c>
      <c r="I867" s="230" t="s">
        <v>1358</v>
      </c>
      <c r="J867" s="230" t="s">
        <v>248</v>
      </c>
      <c r="K867" s="230" t="s">
        <v>2282</v>
      </c>
      <c r="L867" s="230" t="s">
        <v>2165</v>
      </c>
      <c r="M867" s="230" t="s">
        <v>2283</v>
      </c>
      <c r="N867" s="230" t="s">
        <v>322</v>
      </c>
      <c r="O867" s="157" t="s">
        <v>204</v>
      </c>
      <c r="P867" s="143"/>
      <c r="Q867" s="144" t="s">
        <v>204</v>
      </c>
      <c r="R867" s="143"/>
      <c r="S867" s="144" t="s">
        <v>204</v>
      </c>
      <c r="T867" s="143"/>
      <c r="U867" s="144" t="s">
        <v>204</v>
      </c>
      <c r="V867" s="143"/>
      <c r="W867" s="144" t="s">
        <v>204</v>
      </c>
      <c r="X867" s="143"/>
      <c r="Y867" s="144" t="s">
        <v>204</v>
      </c>
      <c r="Z867" s="143"/>
      <c r="AA867" s="144" t="s">
        <v>204</v>
      </c>
      <c r="AB867" s="143"/>
      <c r="AC867" s="144" t="s">
        <v>204</v>
      </c>
      <c r="AD867" s="56"/>
      <c r="AE867" s="144" t="s">
        <v>204</v>
      </c>
      <c r="AF867" s="187" t="str">
        <f t="shared" si="56"/>
        <v>C</v>
      </c>
      <c r="AG867" s="54" t="str">
        <f t="shared" si="55"/>
        <v>UTILIZOU O PDA CORRETAMENTE</v>
      </c>
      <c r="AH867" s="144" t="s">
        <v>204</v>
      </c>
      <c r="AI867" s="210" t="s">
        <v>6</v>
      </c>
      <c r="AJ867" s="97" t="str">
        <f t="shared" si="57"/>
        <v>GUARULHOS</v>
      </c>
      <c r="AK867" s="213" t="s">
        <v>39</v>
      </c>
      <c r="AL867" s="53">
        <v>0.34396989271541134</v>
      </c>
      <c r="AM867" s="53" t="str" cm="1">
        <f t="array" ref="AM867">IF(OR(O867&lt;&gt;"", SUMPRODUCT(($AN$2:$AN$5000=AN867)*($AL$2:$AL$5000&lt;=AL867)) &lt;= (COUNTIF($AN$2:$AN$5000,AN867)*0.5)), "SORTEADO", "-")</f>
        <v>SORTEADO</v>
      </c>
      <c r="AN867" s="230" t="s">
        <v>2165</v>
      </c>
    </row>
    <row r="868" spans="1:40" ht="30" customHeight="1" x14ac:dyDescent="0.2">
      <c r="A868" s="230" t="s">
        <v>197</v>
      </c>
      <c r="B868" s="230">
        <v>2691590347</v>
      </c>
      <c r="C868" s="230" t="s">
        <v>98</v>
      </c>
      <c r="D868" s="230" t="s">
        <v>80</v>
      </c>
      <c r="E868" s="230" t="s">
        <v>198</v>
      </c>
      <c r="F868" s="230" t="s">
        <v>1070</v>
      </c>
      <c r="G868" s="230">
        <v>318</v>
      </c>
      <c r="H868" s="230" t="s">
        <v>1063</v>
      </c>
      <c r="I868" s="230" t="s">
        <v>425</v>
      </c>
      <c r="J868" s="230" t="s">
        <v>297</v>
      </c>
      <c r="K868" s="230" t="s">
        <v>2272</v>
      </c>
      <c r="L868" s="230" t="s">
        <v>2165</v>
      </c>
      <c r="M868" s="230" t="s">
        <v>2284</v>
      </c>
      <c r="N868" s="230" t="s">
        <v>241</v>
      </c>
      <c r="O868" s="157" t="s">
        <v>204</v>
      </c>
      <c r="P868" s="143"/>
      <c r="Q868" s="144" t="s">
        <v>204</v>
      </c>
      <c r="R868" s="143"/>
      <c r="S868" s="144" t="s">
        <v>204</v>
      </c>
      <c r="T868" s="143"/>
      <c r="U868" s="144" t="s">
        <v>204</v>
      </c>
      <c r="V868" s="143"/>
      <c r="W868" s="144" t="s">
        <v>204</v>
      </c>
      <c r="X868" s="143"/>
      <c r="Y868" s="144" t="s">
        <v>204</v>
      </c>
      <c r="Z868" s="143"/>
      <c r="AA868" s="144" t="s">
        <v>204</v>
      </c>
      <c r="AB868" s="143"/>
      <c r="AC868" s="144" t="s">
        <v>204</v>
      </c>
      <c r="AD868" s="56"/>
      <c r="AE868" s="144" t="s">
        <v>204</v>
      </c>
      <c r="AF868" s="187" t="str">
        <f t="shared" si="56"/>
        <v>C</v>
      </c>
      <c r="AG868" s="54" t="str">
        <f t="shared" si="55"/>
        <v>UTILIZOU O PDA CORRETAMENTE</v>
      </c>
      <c r="AH868" s="144" t="s">
        <v>204</v>
      </c>
      <c r="AI868" s="210" t="s">
        <v>6</v>
      </c>
      <c r="AJ868" s="97" t="str">
        <f t="shared" si="57"/>
        <v>GUARULHOS</v>
      </c>
      <c r="AK868" s="213" t="s">
        <v>39</v>
      </c>
      <c r="AL868" s="53">
        <v>0.32564912216790498</v>
      </c>
      <c r="AM868" s="53" t="str" cm="1">
        <f t="array" ref="AM868">IF(OR(O868&lt;&gt;"", SUMPRODUCT(($AN$2:$AN$5000=AN868)*($AL$2:$AL$5000&lt;=AL868)) &lt;= (COUNTIF($AN$2:$AN$5000,AN868)*0.5)), "SORTEADO", "-")</f>
        <v>SORTEADO</v>
      </c>
      <c r="AN868" s="230" t="s">
        <v>2165</v>
      </c>
    </row>
    <row r="869" spans="1:40" ht="30" customHeight="1" x14ac:dyDescent="0.2">
      <c r="A869" s="230" t="s">
        <v>197</v>
      </c>
      <c r="B869" s="230">
        <v>2617337196</v>
      </c>
      <c r="C869" s="230" t="s">
        <v>93</v>
      </c>
      <c r="D869" s="230" t="s">
        <v>76</v>
      </c>
      <c r="E869" s="230" t="s">
        <v>198</v>
      </c>
      <c r="F869" s="230" t="s">
        <v>2285</v>
      </c>
      <c r="G869" s="230">
        <v>224</v>
      </c>
      <c r="H869" s="230" t="s">
        <v>206</v>
      </c>
      <c r="I869" s="230" t="s">
        <v>207</v>
      </c>
      <c r="J869" s="230" t="s">
        <v>93</v>
      </c>
      <c r="K869" s="230" t="s">
        <v>213</v>
      </c>
      <c r="L869" s="230" t="s">
        <v>2165</v>
      </c>
      <c r="M869" s="230" t="s">
        <v>2286</v>
      </c>
      <c r="N869" s="230" t="s">
        <v>209</v>
      </c>
      <c r="O869" s="158" t="s">
        <v>204</v>
      </c>
      <c r="P869" s="92"/>
      <c r="Q869" s="146" t="s">
        <v>61</v>
      </c>
      <c r="R869" s="92"/>
      <c r="S869" s="146" t="s">
        <v>61</v>
      </c>
      <c r="T869" s="92"/>
      <c r="U869" s="146" t="s">
        <v>61</v>
      </c>
      <c r="V869" s="92"/>
      <c r="W869" s="146" t="s">
        <v>61</v>
      </c>
      <c r="X869" s="92"/>
      <c r="Y869" s="146" t="s">
        <v>61</v>
      </c>
      <c r="Z869" s="92"/>
      <c r="AA869" s="146" t="s">
        <v>204</v>
      </c>
      <c r="AB869" s="92"/>
      <c r="AC869" s="146" t="s">
        <v>204</v>
      </c>
      <c r="AD869" s="92"/>
      <c r="AE869" s="146" t="s">
        <v>204</v>
      </c>
      <c r="AF869" s="187" t="str">
        <f t="shared" si="56"/>
        <v>C</v>
      </c>
      <c r="AG869" s="54" t="str">
        <f t="shared" ref="AG869:AG900" si="58">IF(AND(AE869="C",AF869="C"),"UTILIZOU O PDA CORRETAMENTE",IF(AND(AE869="C",AF869="NC"),"UTILIZOU O PDA CORRETAMENTE. NÃO HÁ FOTOS DE TODAS AS ETAPAS",IF(AND(AE869="NC",AF869="NC"),"NÃO UTILIZOU O PDA",IF(AND(AE869="NA",AF869="NA"),"NÃO AVALIADO POR FALHA DE SINCRONISMO"))))</f>
        <v>UTILIZOU O PDA CORRETAMENTE</v>
      </c>
      <c r="AH869" s="146" t="s">
        <v>204</v>
      </c>
      <c r="AI869" s="210" t="s">
        <v>6</v>
      </c>
      <c r="AJ869" s="97" t="str">
        <f t="shared" si="57"/>
        <v>GUARULHOS</v>
      </c>
      <c r="AK869" s="213" t="s">
        <v>39</v>
      </c>
      <c r="AL869" s="53">
        <v>0.12020270838494662</v>
      </c>
      <c r="AM869" s="53" t="str" cm="1">
        <f t="array" ref="AM869">IF(OR(O869&lt;&gt;"", SUMPRODUCT(($AN$2:$AN$5000=AN869)*($AL$2:$AL$5000&lt;=AL869)) &lt;= (COUNTIF($AN$2:$AN$5000,AN869)*0.5)), "SORTEADO", "-")</f>
        <v>SORTEADO</v>
      </c>
      <c r="AN869" s="230" t="s">
        <v>2165</v>
      </c>
    </row>
    <row r="870" spans="1:40" ht="30" hidden="1" customHeight="1" x14ac:dyDescent="0.2">
      <c r="A870" s="230" t="s">
        <v>197</v>
      </c>
      <c r="B870" s="230">
        <v>2617337251</v>
      </c>
      <c r="C870" s="230" t="s">
        <v>95</v>
      </c>
      <c r="D870" s="230" t="s">
        <v>76</v>
      </c>
      <c r="E870" s="230" t="s">
        <v>198</v>
      </c>
      <c r="F870" s="230" t="s">
        <v>2285</v>
      </c>
      <c r="G870" s="230">
        <v>224</v>
      </c>
      <c r="H870" s="230" t="s">
        <v>211</v>
      </c>
      <c r="I870" s="230" t="s">
        <v>207</v>
      </c>
      <c r="J870" s="230" t="s">
        <v>95</v>
      </c>
      <c r="K870" s="230">
        <v>2617337196</v>
      </c>
      <c r="L870" s="230" t="s">
        <v>2165</v>
      </c>
      <c r="M870" s="230" t="s">
        <v>2287</v>
      </c>
      <c r="N870" s="230" t="s">
        <v>209</v>
      </c>
      <c r="O870" s="158"/>
      <c r="P870" s="92"/>
      <c r="Q870" s="146"/>
      <c r="R870" s="92"/>
      <c r="S870" s="146"/>
      <c r="T870" s="92"/>
      <c r="U870" s="146"/>
      <c r="V870" s="92"/>
      <c r="W870" s="146"/>
      <c r="X870" s="92"/>
      <c r="Y870" s="146"/>
      <c r="Z870" s="92"/>
      <c r="AA870" s="146"/>
      <c r="AB870" s="92"/>
      <c r="AC870" s="146"/>
      <c r="AD870" s="92"/>
      <c r="AE870" s="146"/>
      <c r="AF870" s="187" t="str">
        <f t="shared" si="56"/>
        <v/>
      </c>
      <c r="AG870" s="54" t="b">
        <f t="shared" si="58"/>
        <v>0</v>
      </c>
      <c r="AH870" s="146"/>
      <c r="AI870" s="210" t="s">
        <v>6</v>
      </c>
      <c r="AJ870" s="97" t="str">
        <f t="shared" si="57"/>
        <v>GUARULHOS</v>
      </c>
      <c r="AK870" s="213" t="s">
        <v>39</v>
      </c>
      <c r="AL870" s="53">
        <v>0.54893520785513117</v>
      </c>
      <c r="AM870" s="53" t="str" cm="1">
        <f t="array" ref="AM870">IF(OR(O870&lt;&gt;"", SUMPRODUCT(($AN$2:$AN$5000=AN870)*($AL$2:$AL$5000&lt;=AL870)) &lt;= (COUNTIF($AN$2:$AN$5000,AN870)*0.5)), "SORTEADO", "-")</f>
        <v>-</v>
      </c>
      <c r="AN870" s="230" t="s">
        <v>2165</v>
      </c>
    </row>
    <row r="871" spans="1:40" ht="30" customHeight="1" x14ac:dyDescent="0.2">
      <c r="A871" s="230" t="s">
        <v>197</v>
      </c>
      <c r="B871" s="230">
        <v>2617633395</v>
      </c>
      <c r="C871" s="230" t="s">
        <v>100</v>
      </c>
      <c r="D871" s="230" t="s">
        <v>78</v>
      </c>
      <c r="E871" s="230" t="s">
        <v>198</v>
      </c>
      <c r="F871" s="230" t="s">
        <v>355</v>
      </c>
      <c r="G871" s="230">
        <v>355</v>
      </c>
      <c r="H871" s="230" t="s">
        <v>213</v>
      </c>
      <c r="I871" s="230" t="s">
        <v>356</v>
      </c>
      <c r="J871" s="230" t="s">
        <v>248</v>
      </c>
      <c r="K871" s="230" t="s">
        <v>2288</v>
      </c>
      <c r="L871" s="230" t="s">
        <v>2165</v>
      </c>
      <c r="M871" s="230" t="s">
        <v>2289</v>
      </c>
      <c r="N871" s="230" t="s">
        <v>237</v>
      </c>
      <c r="O871" s="157" t="s">
        <v>204</v>
      </c>
      <c r="P871" s="143"/>
      <c r="Q871" s="144" t="s">
        <v>204</v>
      </c>
      <c r="R871" s="143"/>
      <c r="S871" s="144" t="s">
        <v>204</v>
      </c>
      <c r="T871" s="143"/>
      <c r="U871" s="144" t="s">
        <v>204</v>
      </c>
      <c r="V871" s="143"/>
      <c r="W871" s="144" t="s">
        <v>204</v>
      </c>
      <c r="X871" s="143"/>
      <c r="Y871" s="144" t="s">
        <v>204</v>
      </c>
      <c r="Z871" s="143"/>
      <c r="AA871" s="144" t="s">
        <v>204</v>
      </c>
      <c r="AB871" s="143"/>
      <c r="AC871" s="144" t="s">
        <v>204</v>
      </c>
      <c r="AD871" s="56"/>
      <c r="AE871" s="144" t="s">
        <v>204</v>
      </c>
      <c r="AF871" s="187" t="str">
        <f t="shared" si="56"/>
        <v>C</v>
      </c>
      <c r="AG871" s="54" t="str">
        <f t="shared" si="58"/>
        <v>UTILIZOU O PDA CORRETAMENTE</v>
      </c>
      <c r="AH871" s="144" t="s">
        <v>204</v>
      </c>
      <c r="AI871" s="210" t="s">
        <v>6</v>
      </c>
      <c r="AJ871" s="97" t="str">
        <f t="shared" si="57"/>
        <v>GUARULHOS</v>
      </c>
      <c r="AK871" s="213" t="s">
        <v>39</v>
      </c>
      <c r="AL871" s="53">
        <v>0.28731621192965917</v>
      </c>
      <c r="AM871" s="53" t="str" cm="1">
        <f t="array" ref="AM871">IF(OR(O871&lt;&gt;"", SUMPRODUCT(($AN$2:$AN$5000=AN871)*($AL$2:$AL$5000&lt;=AL871)) &lt;= (COUNTIF($AN$2:$AN$5000,AN871)*0.5)), "SORTEADO", "-")</f>
        <v>SORTEADO</v>
      </c>
      <c r="AN871" s="230" t="s">
        <v>2165</v>
      </c>
    </row>
    <row r="872" spans="1:40" ht="30" hidden="1" customHeight="1" x14ac:dyDescent="0.2">
      <c r="A872" s="242" t="s">
        <v>197</v>
      </c>
      <c r="B872" s="242">
        <v>2617591441</v>
      </c>
      <c r="C872" s="242" t="s">
        <v>98</v>
      </c>
      <c r="D872" s="242" t="s">
        <v>80</v>
      </c>
      <c r="E872" s="242" t="s">
        <v>198</v>
      </c>
      <c r="F872" s="242" t="s">
        <v>2139</v>
      </c>
      <c r="G872" s="242">
        <v>146</v>
      </c>
      <c r="H872" s="242" t="s">
        <v>2140</v>
      </c>
      <c r="I872" s="242" t="s">
        <v>1358</v>
      </c>
      <c r="J872" s="242" t="s">
        <v>297</v>
      </c>
      <c r="K872" s="242" t="s">
        <v>2290</v>
      </c>
      <c r="L872" s="242" t="s">
        <v>2165</v>
      </c>
      <c r="M872" s="242" t="s">
        <v>2291</v>
      </c>
      <c r="N872" s="242" t="s">
        <v>322</v>
      </c>
      <c r="O872" s="158"/>
      <c r="P872" s="92"/>
      <c r="Q872" s="146"/>
      <c r="R872" s="92"/>
      <c r="S872" s="146"/>
      <c r="T872" s="92"/>
      <c r="U872" s="146"/>
      <c r="V872" s="92"/>
      <c r="W872" s="146"/>
      <c r="X872" s="92"/>
      <c r="Y872" s="146"/>
      <c r="Z872" s="92"/>
      <c r="AA872" s="146"/>
      <c r="AB872" s="92"/>
      <c r="AC872" s="146"/>
      <c r="AD872" s="92"/>
      <c r="AE872" s="146"/>
      <c r="AF872" s="187" t="str">
        <f t="shared" si="56"/>
        <v/>
      </c>
      <c r="AG872" s="54" t="b">
        <f t="shared" si="58"/>
        <v>0</v>
      </c>
      <c r="AH872" s="146"/>
      <c r="AI872" s="210" t="s">
        <v>6</v>
      </c>
      <c r="AJ872" s="97" t="str">
        <f t="shared" si="57"/>
        <v>GUARULHOS</v>
      </c>
      <c r="AK872" s="213" t="s">
        <v>39</v>
      </c>
      <c r="AL872" s="53">
        <v>0.43567123585041967</v>
      </c>
      <c r="AM872" s="53" t="str" cm="1">
        <f t="array" ref="AM872">IF(OR(O872&lt;&gt;"", SUMPRODUCT(($AN$2:$AN$5000=AN872)*($AL$2:$AL$5000&lt;=AL872)) &lt;= (COUNTIF($AN$2:$AN$5000,AN872)*0.5)), "SORTEADO", "-")</f>
        <v>-</v>
      </c>
      <c r="AN872" s="242" t="s">
        <v>2165</v>
      </c>
    </row>
    <row r="873" spans="1:40" ht="30" hidden="1" customHeight="1" x14ac:dyDescent="0.2">
      <c r="A873" s="230" t="s">
        <v>197</v>
      </c>
      <c r="B873" s="230">
        <v>2617633797</v>
      </c>
      <c r="C873" s="230" t="s">
        <v>102</v>
      </c>
      <c r="D873" s="230" t="s">
        <v>80</v>
      </c>
      <c r="E873" s="230" t="s">
        <v>198</v>
      </c>
      <c r="F873" s="230" t="s">
        <v>2292</v>
      </c>
      <c r="G873" s="230">
        <v>144</v>
      </c>
      <c r="H873" s="230" t="s">
        <v>235</v>
      </c>
      <c r="I873" s="230" t="s">
        <v>2293</v>
      </c>
      <c r="J873" s="230" t="s">
        <v>270</v>
      </c>
      <c r="K873" s="230" t="s">
        <v>213</v>
      </c>
      <c r="L873" s="230" t="s">
        <v>2294</v>
      </c>
      <c r="M873" s="230" t="s">
        <v>2295</v>
      </c>
      <c r="N873" s="230" t="s">
        <v>237</v>
      </c>
      <c r="O873" s="158"/>
      <c r="P873" s="92"/>
      <c r="Q873" s="146"/>
      <c r="R873" s="92"/>
      <c r="S873" s="146"/>
      <c r="T873" s="92"/>
      <c r="U873" s="146"/>
      <c r="V873" s="92"/>
      <c r="W873" s="146"/>
      <c r="X873" s="92"/>
      <c r="Y873" s="146"/>
      <c r="Z873" s="92"/>
      <c r="AA873" s="146"/>
      <c r="AB873" s="92"/>
      <c r="AC873" s="146"/>
      <c r="AD873" s="92"/>
      <c r="AE873" s="146"/>
      <c r="AF873" s="187" t="str">
        <f t="shared" si="56"/>
        <v/>
      </c>
      <c r="AG873" s="54" t="b">
        <f t="shared" si="58"/>
        <v>0</v>
      </c>
      <c r="AH873" s="146"/>
      <c r="AI873" s="210" t="s">
        <v>6</v>
      </c>
      <c r="AJ873" s="97" t="str">
        <f t="shared" si="57"/>
        <v>GUARULHOS</v>
      </c>
      <c r="AK873" s="213" t="s">
        <v>39</v>
      </c>
      <c r="AL873" s="53">
        <v>0.81123897416485891</v>
      </c>
      <c r="AM873" s="53" t="str" cm="1">
        <f t="array" ref="AM873">IF(OR(O873&lt;&gt;"", SUMPRODUCT(($AN$2:$AN$5000=AN873)*($AL$2:$AL$5000&lt;=AL873)) &lt;= (COUNTIF($AN$2:$AN$5000,AN873)*0.5)), "SORTEADO", "-")</f>
        <v>-</v>
      </c>
      <c r="AN873" s="245" t="s">
        <v>2294</v>
      </c>
    </row>
    <row r="874" spans="1:40" ht="30" customHeight="1" x14ac:dyDescent="0.2">
      <c r="A874" s="230" t="s">
        <v>197</v>
      </c>
      <c r="B874" s="230">
        <v>2617591876</v>
      </c>
      <c r="C874" s="230" t="s">
        <v>105</v>
      </c>
      <c r="D874" s="230" t="s">
        <v>80</v>
      </c>
      <c r="E874" s="230" t="s">
        <v>198</v>
      </c>
      <c r="F874" s="230" t="s">
        <v>2296</v>
      </c>
      <c r="G874" s="230">
        <v>23</v>
      </c>
      <c r="H874" s="230" t="s">
        <v>206</v>
      </c>
      <c r="I874" s="230" t="s">
        <v>1744</v>
      </c>
      <c r="J874" s="230" t="s">
        <v>226</v>
      </c>
      <c r="K874" s="230"/>
      <c r="L874" s="230" t="s">
        <v>2294</v>
      </c>
      <c r="M874" s="230" t="s">
        <v>2297</v>
      </c>
      <c r="N874" s="230" t="s">
        <v>228</v>
      </c>
      <c r="O874" s="158" t="s">
        <v>204</v>
      </c>
      <c r="P874" s="92"/>
      <c r="Q874" s="146" t="s">
        <v>204</v>
      </c>
      <c r="R874" s="92"/>
      <c r="S874" s="146" t="s">
        <v>204</v>
      </c>
      <c r="T874" s="92"/>
      <c r="U874" s="146" t="s">
        <v>204</v>
      </c>
      <c r="V874" s="92"/>
      <c r="W874" s="146" t="s">
        <v>204</v>
      </c>
      <c r="X874" s="92"/>
      <c r="Y874" s="146" t="s">
        <v>61</v>
      </c>
      <c r="Z874" s="92"/>
      <c r="AA874" s="146" t="s">
        <v>204</v>
      </c>
      <c r="AB874" s="92"/>
      <c r="AC874" s="146" t="s">
        <v>204</v>
      </c>
      <c r="AD874" s="92"/>
      <c r="AE874" s="146" t="s">
        <v>204</v>
      </c>
      <c r="AF874" s="187" t="str">
        <f t="shared" si="56"/>
        <v>C</v>
      </c>
      <c r="AG874" s="54" t="str">
        <f t="shared" si="58"/>
        <v>UTILIZOU O PDA CORRETAMENTE</v>
      </c>
      <c r="AH874" s="144" t="s">
        <v>204</v>
      </c>
      <c r="AI874" s="210" t="s">
        <v>6</v>
      </c>
      <c r="AJ874" s="97" t="str">
        <f t="shared" si="57"/>
        <v>GUARULHOS</v>
      </c>
      <c r="AK874" s="213" t="s">
        <v>39</v>
      </c>
      <c r="AL874" s="53">
        <v>1.2340803830418245E-2</v>
      </c>
      <c r="AM874" s="53" t="str" cm="1">
        <f t="array" ref="AM874">IF(OR(O874&lt;&gt;"", SUMPRODUCT(($AN$2:$AN$5000=AN874)*($AL$2:$AL$5000&lt;=AL874)) &lt;= (COUNTIF($AN$2:$AN$5000,AN874)*0.5)), "SORTEADO", "-")</f>
        <v>SORTEADO</v>
      </c>
      <c r="AN874" s="245" t="s">
        <v>2294</v>
      </c>
    </row>
    <row r="875" spans="1:40" ht="30" hidden="1" customHeight="1" x14ac:dyDescent="0.2">
      <c r="A875" s="230" t="s">
        <v>197</v>
      </c>
      <c r="B875" s="230">
        <v>2617599954</v>
      </c>
      <c r="C875" s="230" t="s">
        <v>100</v>
      </c>
      <c r="D875" s="230" t="s">
        <v>78</v>
      </c>
      <c r="E875" s="230" t="s">
        <v>198</v>
      </c>
      <c r="F875" s="230" t="s">
        <v>1233</v>
      </c>
      <c r="G875" s="230">
        <v>402</v>
      </c>
      <c r="H875" s="230" t="s">
        <v>2298</v>
      </c>
      <c r="I875" s="230" t="s">
        <v>801</v>
      </c>
      <c r="J875" s="230" t="s">
        <v>248</v>
      </c>
      <c r="K875" s="230" t="s">
        <v>2299</v>
      </c>
      <c r="L875" s="230" t="s">
        <v>2294</v>
      </c>
      <c r="M875" s="230" t="s">
        <v>2300</v>
      </c>
      <c r="N875" s="230" t="s">
        <v>260</v>
      </c>
      <c r="O875" s="158"/>
      <c r="P875" s="92"/>
      <c r="Q875" s="146"/>
      <c r="R875" s="92"/>
      <c r="S875" s="146"/>
      <c r="T875" s="92"/>
      <c r="U875" s="146"/>
      <c r="V875" s="92"/>
      <c r="W875" s="146"/>
      <c r="X875" s="92"/>
      <c r="Y875" s="146"/>
      <c r="Z875" s="92"/>
      <c r="AA875" s="146"/>
      <c r="AB875" s="92"/>
      <c r="AC875" s="146"/>
      <c r="AD875" s="92"/>
      <c r="AE875" s="146"/>
      <c r="AF875" s="187" t="str">
        <f t="shared" si="56"/>
        <v/>
      </c>
      <c r="AG875" s="54" t="b">
        <f t="shared" si="58"/>
        <v>0</v>
      </c>
      <c r="AH875" s="146"/>
      <c r="AI875" s="210" t="s">
        <v>6</v>
      </c>
      <c r="AJ875" s="97" t="str">
        <f t="shared" si="57"/>
        <v>GUARULHOS</v>
      </c>
      <c r="AK875" s="213" t="s">
        <v>39</v>
      </c>
      <c r="AL875" s="53">
        <v>0.61654891440604942</v>
      </c>
      <c r="AM875" s="53" t="str" cm="1">
        <f t="array" ref="AM875">IF(OR(O875&lt;&gt;"", SUMPRODUCT(($AN$2:$AN$5000=AN875)*($AL$2:$AL$5000&lt;=AL875)) &lt;= (COUNTIF($AN$2:$AN$5000,AN875)*0.5)), "SORTEADO", "-")</f>
        <v>-</v>
      </c>
      <c r="AN875" s="245" t="s">
        <v>2294</v>
      </c>
    </row>
    <row r="876" spans="1:40" ht="30" customHeight="1" x14ac:dyDescent="0.2">
      <c r="A876" s="230" t="s">
        <v>197</v>
      </c>
      <c r="B876" s="230">
        <v>2617639566</v>
      </c>
      <c r="C876" s="230" t="s">
        <v>103</v>
      </c>
      <c r="D876" s="230" t="s">
        <v>80</v>
      </c>
      <c r="E876" s="230" t="s">
        <v>198</v>
      </c>
      <c r="F876" s="230" t="s">
        <v>361</v>
      </c>
      <c r="G876" s="230">
        <v>30</v>
      </c>
      <c r="H876" s="230" t="s">
        <v>362</v>
      </c>
      <c r="I876" s="230" t="s">
        <v>363</v>
      </c>
      <c r="J876" s="230" t="s">
        <v>297</v>
      </c>
      <c r="K876" s="230" t="s">
        <v>2301</v>
      </c>
      <c r="L876" s="230" t="s">
        <v>2294</v>
      </c>
      <c r="M876" s="230" t="s">
        <v>2302</v>
      </c>
      <c r="N876" s="230" t="s">
        <v>241</v>
      </c>
      <c r="O876" s="158" t="s">
        <v>204</v>
      </c>
      <c r="P876" s="92"/>
      <c r="Q876" s="146" t="s">
        <v>204</v>
      </c>
      <c r="R876" s="92"/>
      <c r="S876" s="146" t="s">
        <v>204</v>
      </c>
      <c r="T876" s="92"/>
      <c r="U876" s="146" t="s">
        <v>204</v>
      </c>
      <c r="V876" s="92"/>
      <c r="W876" s="146" t="s">
        <v>204</v>
      </c>
      <c r="X876" s="92"/>
      <c r="Y876" s="146" t="s">
        <v>61</v>
      </c>
      <c r="Z876" s="92"/>
      <c r="AA876" s="146" t="s">
        <v>204</v>
      </c>
      <c r="AB876" s="92"/>
      <c r="AC876" s="146" t="s">
        <v>204</v>
      </c>
      <c r="AD876" s="92"/>
      <c r="AE876" s="146" t="s">
        <v>204</v>
      </c>
      <c r="AF876" s="187" t="str">
        <f t="shared" si="56"/>
        <v>C</v>
      </c>
      <c r="AG876" s="54" t="str">
        <f t="shared" si="58"/>
        <v>UTILIZOU O PDA CORRETAMENTE</v>
      </c>
      <c r="AH876" s="144" t="s">
        <v>204</v>
      </c>
      <c r="AI876" s="210" t="s">
        <v>6</v>
      </c>
      <c r="AJ876" s="97" t="str">
        <f t="shared" si="57"/>
        <v>GUARULHOS</v>
      </c>
      <c r="AK876" s="213" t="s">
        <v>39</v>
      </c>
      <c r="AL876" s="53">
        <v>0.12493525940923056</v>
      </c>
      <c r="AM876" s="53" t="str" cm="1">
        <f t="array" ref="AM876">IF(OR(O876&lt;&gt;"", SUMPRODUCT(($AN$2:$AN$5000=AN876)*($AL$2:$AL$5000&lt;=AL876)) &lt;= (COUNTIF($AN$2:$AN$5000,AN876)*0.5)), "SORTEADO", "-")</f>
        <v>SORTEADO</v>
      </c>
      <c r="AN876" s="245" t="s">
        <v>2294</v>
      </c>
    </row>
    <row r="877" spans="1:40" ht="30" hidden="1" customHeight="1" x14ac:dyDescent="0.2">
      <c r="A877" s="230" t="s">
        <v>197</v>
      </c>
      <c r="B877" s="230">
        <v>2617611264</v>
      </c>
      <c r="C877" s="230" t="s">
        <v>101</v>
      </c>
      <c r="D877" s="230" t="s">
        <v>80</v>
      </c>
      <c r="E877" s="230" t="s">
        <v>198</v>
      </c>
      <c r="F877" s="230" t="s">
        <v>2303</v>
      </c>
      <c r="G877" s="230">
        <v>25</v>
      </c>
      <c r="H877" s="230" t="s">
        <v>2304</v>
      </c>
      <c r="I877" s="230" t="s">
        <v>584</v>
      </c>
      <c r="J877" s="230" t="s">
        <v>270</v>
      </c>
      <c r="K877" s="230" t="s">
        <v>213</v>
      </c>
      <c r="L877" s="230" t="s">
        <v>2294</v>
      </c>
      <c r="M877" s="230" t="s">
        <v>2295</v>
      </c>
      <c r="N877" s="230" t="s">
        <v>241</v>
      </c>
      <c r="O877" s="158"/>
      <c r="P877" s="92"/>
      <c r="Q877" s="146"/>
      <c r="R877" s="92"/>
      <c r="S877" s="146"/>
      <c r="T877" s="92"/>
      <c r="U877" s="146"/>
      <c r="V877" s="92"/>
      <c r="W877" s="146"/>
      <c r="X877" s="92"/>
      <c r="Y877" s="146"/>
      <c r="Z877" s="92"/>
      <c r="AA877" s="146"/>
      <c r="AB877" s="92"/>
      <c r="AC877" s="146"/>
      <c r="AD877" s="92"/>
      <c r="AE877" s="146"/>
      <c r="AF877" s="187" t="str">
        <f t="shared" si="56"/>
        <v/>
      </c>
      <c r="AG877" s="54" t="b">
        <f t="shared" si="58"/>
        <v>0</v>
      </c>
      <c r="AH877" s="146"/>
      <c r="AI877" s="210" t="s">
        <v>6</v>
      </c>
      <c r="AJ877" s="97" t="str">
        <f t="shared" si="57"/>
        <v>GUARULHOS</v>
      </c>
      <c r="AK877" s="213" t="s">
        <v>39</v>
      </c>
      <c r="AL877" s="53">
        <v>0.92210684857326675</v>
      </c>
      <c r="AM877" s="53" t="str" cm="1">
        <f t="array" ref="AM877">IF(OR(O877&lt;&gt;"", SUMPRODUCT(($AN$2:$AN$5000=AN877)*($AL$2:$AL$5000&lt;=AL877)) &lt;= (COUNTIF($AN$2:$AN$5000,AN877)*0.5)), "SORTEADO", "-")</f>
        <v>-</v>
      </c>
      <c r="AN877" s="245" t="s">
        <v>2294</v>
      </c>
    </row>
    <row r="878" spans="1:40" ht="30" customHeight="1" x14ac:dyDescent="0.2">
      <c r="A878" s="230" t="s">
        <v>197</v>
      </c>
      <c r="B878" s="230">
        <v>2617603004</v>
      </c>
      <c r="C878" s="230" t="s">
        <v>102</v>
      </c>
      <c r="D878" s="230" t="s">
        <v>80</v>
      </c>
      <c r="E878" s="230" t="s">
        <v>198</v>
      </c>
      <c r="F878" s="230" t="s">
        <v>2305</v>
      </c>
      <c r="G878" s="230">
        <v>66</v>
      </c>
      <c r="H878" s="230" t="s">
        <v>2306</v>
      </c>
      <c r="I878" s="230" t="s">
        <v>538</v>
      </c>
      <c r="J878" s="230" t="s">
        <v>270</v>
      </c>
      <c r="K878" s="230"/>
      <c r="L878" s="230" t="s">
        <v>2294</v>
      </c>
      <c r="M878" s="230" t="s">
        <v>2307</v>
      </c>
      <c r="N878" s="230" t="s">
        <v>237</v>
      </c>
      <c r="O878" s="158" t="s">
        <v>204</v>
      </c>
      <c r="P878" s="92"/>
      <c r="Q878" s="146" t="s">
        <v>204</v>
      </c>
      <c r="R878" s="92"/>
      <c r="S878" s="146" t="s">
        <v>204</v>
      </c>
      <c r="T878" s="92"/>
      <c r="U878" s="146" t="s">
        <v>204</v>
      </c>
      <c r="V878" s="92"/>
      <c r="W878" s="146" t="s">
        <v>204</v>
      </c>
      <c r="X878" s="92"/>
      <c r="Y878" s="146" t="s">
        <v>61</v>
      </c>
      <c r="Z878" s="92"/>
      <c r="AA878" s="146" t="s">
        <v>204</v>
      </c>
      <c r="AB878" s="92"/>
      <c r="AC878" s="146" t="s">
        <v>204</v>
      </c>
      <c r="AD878" s="92"/>
      <c r="AE878" s="146" t="s">
        <v>204</v>
      </c>
      <c r="AF878" s="187" t="str">
        <f t="shared" si="56"/>
        <v>C</v>
      </c>
      <c r="AG878" s="54" t="str">
        <f t="shared" si="58"/>
        <v>UTILIZOU O PDA CORRETAMENTE</v>
      </c>
      <c r="AH878" s="144" t="s">
        <v>204</v>
      </c>
      <c r="AI878" s="210" t="s">
        <v>6</v>
      </c>
      <c r="AJ878" s="97" t="str">
        <f t="shared" si="57"/>
        <v>GUARULHOS</v>
      </c>
      <c r="AK878" s="213" t="s">
        <v>39</v>
      </c>
      <c r="AL878" s="53">
        <v>4.4836453743118621E-2</v>
      </c>
      <c r="AM878" s="53" t="str" cm="1">
        <f t="array" ref="AM878">IF(OR(O878&lt;&gt;"", SUMPRODUCT(($AN$2:$AN$5000=AN878)*($AL$2:$AL$5000&lt;=AL878)) &lt;= (COUNTIF($AN$2:$AN$5000,AN878)*0.5)), "SORTEADO", "-")</f>
        <v>SORTEADO</v>
      </c>
      <c r="AN878" s="245" t="s">
        <v>2294</v>
      </c>
    </row>
    <row r="879" spans="1:40" ht="30" customHeight="1" x14ac:dyDescent="0.2">
      <c r="A879" s="230" t="s">
        <v>197</v>
      </c>
      <c r="B879" s="230">
        <v>2691681885</v>
      </c>
      <c r="C879" s="230" t="s">
        <v>101</v>
      </c>
      <c r="D879" s="230" t="s">
        <v>80</v>
      </c>
      <c r="E879" s="230" t="s">
        <v>198</v>
      </c>
      <c r="F879" s="230" t="s">
        <v>2308</v>
      </c>
      <c r="G879" s="230">
        <v>684</v>
      </c>
      <c r="H879" s="230" t="s">
        <v>2309</v>
      </c>
      <c r="I879" s="230" t="s">
        <v>708</v>
      </c>
      <c r="J879" s="230" t="s">
        <v>259</v>
      </c>
      <c r="K879" s="230" t="s">
        <v>213</v>
      </c>
      <c r="L879" s="230" t="s">
        <v>2294</v>
      </c>
      <c r="M879" s="230" t="s">
        <v>2310</v>
      </c>
      <c r="N879" s="230" t="s">
        <v>348</v>
      </c>
      <c r="O879" s="158" t="s">
        <v>204</v>
      </c>
      <c r="P879" s="92"/>
      <c r="Q879" s="146" t="s">
        <v>204</v>
      </c>
      <c r="R879" s="92"/>
      <c r="S879" s="146" t="s">
        <v>204</v>
      </c>
      <c r="T879" s="92"/>
      <c r="U879" s="146" t="s">
        <v>204</v>
      </c>
      <c r="V879" s="92"/>
      <c r="W879" s="146" t="s">
        <v>204</v>
      </c>
      <c r="X879" s="92"/>
      <c r="Y879" s="146" t="s">
        <v>61</v>
      </c>
      <c r="Z879" s="92"/>
      <c r="AA879" s="146" t="s">
        <v>204</v>
      </c>
      <c r="AB879" s="92"/>
      <c r="AC879" s="146" t="s">
        <v>204</v>
      </c>
      <c r="AD879" s="92"/>
      <c r="AE879" s="146" t="s">
        <v>204</v>
      </c>
      <c r="AF879" s="187" t="str">
        <f t="shared" si="56"/>
        <v>C</v>
      </c>
      <c r="AG879" s="54" t="str">
        <f t="shared" si="58"/>
        <v>UTILIZOU O PDA CORRETAMENTE</v>
      </c>
      <c r="AH879" s="144" t="s">
        <v>204</v>
      </c>
      <c r="AI879" s="210" t="s">
        <v>6</v>
      </c>
      <c r="AJ879" s="97" t="str">
        <f t="shared" si="57"/>
        <v>GUARULHOS</v>
      </c>
      <c r="AK879" s="213" t="s">
        <v>39</v>
      </c>
      <c r="AL879" s="53">
        <v>0.22509686492286796</v>
      </c>
      <c r="AM879" s="53" t="str" cm="1">
        <f t="array" ref="AM879">IF(OR(O879&lt;&gt;"", SUMPRODUCT(($AN$2:$AN$5000=AN879)*($AL$2:$AL$5000&lt;=AL879)) &lt;= (COUNTIF($AN$2:$AN$5000,AN879)*0.5)), "SORTEADO", "-")</f>
        <v>SORTEADO</v>
      </c>
      <c r="AN879" s="245" t="s">
        <v>2294</v>
      </c>
    </row>
    <row r="880" spans="1:40" ht="30" customHeight="1" x14ac:dyDescent="0.2">
      <c r="A880" s="230" t="s">
        <v>197</v>
      </c>
      <c r="B880" s="230">
        <v>2691644312</v>
      </c>
      <c r="C880" s="230" t="s">
        <v>102</v>
      </c>
      <c r="D880" s="230" t="s">
        <v>80</v>
      </c>
      <c r="E880" s="230" t="s">
        <v>198</v>
      </c>
      <c r="F880" s="230" t="s">
        <v>2311</v>
      </c>
      <c r="G880" s="230">
        <v>515</v>
      </c>
      <c r="H880" s="230" t="s">
        <v>2312</v>
      </c>
      <c r="I880" s="230" t="s">
        <v>368</v>
      </c>
      <c r="J880" s="230" t="s">
        <v>270</v>
      </c>
      <c r="K880" s="230"/>
      <c r="L880" s="230" t="s">
        <v>2294</v>
      </c>
      <c r="M880" s="230" t="s">
        <v>2313</v>
      </c>
      <c r="N880" s="230" t="s">
        <v>432</v>
      </c>
      <c r="O880" s="158" t="s">
        <v>204</v>
      </c>
      <c r="P880" s="92"/>
      <c r="Q880" s="146" t="s">
        <v>204</v>
      </c>
      <c r="R880" s="92"/>
      <c r="S880" s="146" t="s">
        <v>204</v>
      </c>
      <c r="T880" s="92"/>
      <c r="U880" s="146" t="s">
        <v>204</v>
      </c>
      <c r="V880" s="92"/>
      <c r="W880" s="146" t="s">
        <v>204</v>
      </c>
      <c r="X880" s="92"/>
      <c r="Y880" s="146" t="s">
        <v>61</v>
      </c>
      <c r="Z880" s="92"/>
      <c r="AA880" s="146" t="s">
        <v>204</v>
      </c>
      <c r="AB880" s="92"/>
      <c r="AC880" s="146" t="s">
        <v>204</v>
      </c>
      <c r="AD880" s="92"/>
      <c r="AE880" s="146" t="s">
        <v>204</v>
      </c>
      <c r="AF880" s="187" t="str">
        <f t="shared" si="56"/>
        <v>C</v>
      </c>
      <c r="AG880" s="54" t="str">
        <f t="shared" si="58"/>
        <v>UTILIZOU O PDA CORRETAMENTE</v>
      </c>
      <c r="AH880" s="144" t="s">
        <v>204</v>
      </c>
      <c r="AI880" s="210" t="s">
        <v>6</v>
      </c>
      <c r="AJ880" s="97" t="str">
        <f t="shared" si="57"/>
        <v>GUARULHOS</v>
      </c>
      <c r="AK880" s="213" t="s">
        <v>39</v>
      </c>
      <c r="AL880" s="53">
        <v>0.16456388790398968</v>
      </c>
      <c r="AM880" s="53" t="str" cm="1">
        <f t="array" ref="AM880">IF(OR(O880&lt;&gt;"", SUMPRODUCT(($AN$2:$AN$5000=AN880)*($AL$2:$AL$5000&lt;=AL880)) &lt;= (COUNTIF($AN$2:$AN$5000,AN880)*0.5)), "SORTEADO", "-")</f>
        <v>SORTEADO</v>
      </c>
      <c r="AN880" s="245" t="s">
        <v>2294</v>
      </c>
    </row>
    <row r="881" spans="1:40" ht="30" customHeight="1" x14ac:dyDescent="0.2">
      <c r="A881" s="230" t="s">
        <v>197</v>
      </c>
      <c r="B881" s="230">
        <v>2617601462</v>
      </c>
      <c r="C881" s="230" t="s">
        <v>102</v>
      </c>
      <c r="D881" s="230" t="s">
        <v>80</v>
      </c>
      <c r="E881" s="230" t="s">
        <v>198</v>
      </c>
      <c r="F881" s="230" t="s">
        <v>2314</v>
      </c>
      <c r="G881" s="230">
        <v>70</v>
      </c>
      <c r="H881" s="230" t="s">
        <v>1106</v>
      </c>
      <c r="I881" s="230" t="s">
        <v>207</v>
      </c>
      <c r="J881" s="230" t="s">
        <v>270</v>
      </c>
      <c r="K881" s="230" t="s">
        <v>2315</v>
      </c>
      <c r="L881" s="230" t="s">
        <v>2294</v>
      </c>
      <c r="M881" s="230" t="s">
        <v>2316</v>
      </c>
      <c r="N881" s="230" t="s">
        <v>287</v>
      </c>
      <c r="O881" s="158" t="s">
        <v>204</v>
      </c>
      <c r="P881" s="92"/>
      <c r="Q881" s="146" t="s">
        <v>204</v>
      </c>
      <c r="R881" s="92"/>
      <c r="S881" s="146" t="s">
        <v>204</v>
      </c>
      <c r="T881" s="92"/>
      <c r="U881" s="146" t="s">
        <v>204</v>
      </c>
      <c r="V881" s="92"/>
      <c r="W881" s="146" t="s">
        <v>204</v>
      </c>
      <c r="X881" s="92"/>
      <c r="Y881" s="146" t="s">
        <v>61</v>
      </c>
      <c r="Z881" s="92"/>
      <c r="AA881" s="146" t="s">
        <v>204</v>
      </c>
      <c r="AB881" s="92"/>
      <c r="AC881" s="146" t="s">
        <v>204</v>
      </c>
      <c r="AD881" s="92"/>
      <c r="AE881" s="146" t="s">
        <v>204</v>
      </c>
      <c r="AF881" s="187" t="str">
        <f t="shared" si="56"/>
        <v>C</v>
      </c>
      <c r="AG881" s="54" t="str">
        <f t="shared" si="58"/>
        <v>UTILIZOU O PDA CORRETAMENTE</v>
      </c>
      <c r="AH881" s="144" t="s">
        <v>204</v>
      </c>
      <c r="AI881" s="210" t="s">
        <v>6</v>
      </c>
      <c r="AJ881" s="97" t="str">
        <f t="shared" si="57"/>
        <v>GUARULHOS</v>
      </c>
      <c r="AK881" s="213" t="s">
        <v>39</v>
      </c>
      <c r="AL881" s="53">
        <v>4.5775533405334912E-2</v>
      </c>
      <c r="AM881" s="53" t="str" cm="1">
        <f t="array" ref="AM881">IF(OR(O881&lt;&gt;"", SUMPRODUCT(($AN$2:$AN$5000=AN881)*($AL$2:$AL$5000&lt;=AL881)) &lt;= (COUNTIF($AN$2:$AN$5000,AN881)*0.5)), "SORTEADO", "-")</f>
        <v>SORTEADO</v>
      </c>
      <c r="AN881" s="245" t="s">
        <v>2294</v>
      </c>
    </row>
    <row r="882" spans="1:40" ht="30" customHeight="1" x14ac:dyDescent="0.2">
      <c r="A882" s="230" t="s">
        <v>197</v>
      </c>
      <c r="B882" s="230">
        <v>2617604056</v>
      </c>
      <c r="C882" s="230" t="s">
        <v>102</v>
      </c>
      <c r="D882" s="230" t="s">
        <v>80</v>
      </c>
      <c r="E882" s="230" t="s">
        <v>198</v>
      </c>
      <c r="F882" s="230" t="s">
        <v>2317</v>
      </c>
      <c r="G882" s="230">
        <v>52</v>
      </c>
      <c r="H882" s="230" t="s">
        <v>2318</v>
      </c>
      <c r="I882" s="230" t="s">
        <v>207</v>
      </c>
      <c r="J882" s="230" t="s">
        <v>270</v>
      </c>
      <c r="K882" s="230"/>
      <c r="L882" s="230" t="s">
        <v>2294</v>
      </c>
      <c r="M882" s="230" t="s">
        <v>2319</v>
      </c>
      <c r="N882" s="230" t="s">
        <v>287</v>
      </c>
      <c r="O882" s="158" t="s">
        <v>204</v>
      </c>
      <c r="P882" s="92"/>
      <c r="Q882" s="146" t="s">
        <v>204</v>
      </c>
      <c r="R882" s="92"/>
      <c r="S882" s="146" t="s">
        <v>204</v>
      </c>
      <c r="T882" s="92"/>
      <c r="U882" s="146" t="s">
        <v>204</v>
      </c>
      <c r="V882" s="92"/>
      <c r="W882" s="146" t="s">
        <v>204</v>
      </c>
      <c r="X882" s="92"/>
      <c r="Y882" s="146" t="s">
        <v>61</v>
      </c>
      <c r="Z882" s="92"/>
      <c r="AA882" s="146" t="s">
        <v>204</v>
      </c>
      <c r="AB882" s="92"/>
      <c r="AC882" s="146" t="s">
        <v>204</v>
      </c>
      <c r="AD882" s="92"/>
      <c r="AE882" s="146" t="s">
        <v>204</v>
      </c>
      <c r="AF882" s="187" t="str">
        <f t="shared" si="56"/>
        <v>C</v>
      </c>
      <c r="AG882" s="54" t="str">
        <f t="shared" si="58"/>
        <v>UTILIZOU O PDA CORRETAMENTE</v>
      </c>
      <c r="AH882" s="144" t="s">
        <v>204</v>
      </c>
      <c r="AI882" s="210" t="s">
        <v>6</v>
      </c>
      <c r="AJ882" s="97" t="str">
        <f t="shared" si="57"/>
        <v>GUARULHOS</v>
      </c>
      <c r="AK882" s="213" t="s">
        <v>39</v>
      </c>
      <c r="AL882" s="53">
        <v>0.19234733583509189</v>
      </c>
      <c r="AM882" s="53" t="str" cm="1">
        <f t="array" ref="AM882">IF(OR(O882&lt;&gt;"", SUMPRODUCT(($AN$2:$AN$5000=AN882)*($AL$2:$AL$5000&lt;=AL882)) &lt;= (COUNTIF($AN$2:$AN$5000,AN882)*0.5)), "SORTEADO", "-")</f>
        <v>SORTEADO</v>
      </c>
      <c r="AN882" s="245" t="s">
        <v>2294</v>
      </c>
    </row>
    <row r="883" spans="1:40" ht="30" hidden="1" customHeight="1" x14ac:dyDescent="0.2">
      <c r="A883" s="230" t="s">
        <v>197</v>
      </c>
      <c r="B883" s="230">
        <v>2617582687</v>
      </c>
      <c r="C883" s="230" t="s">
        <v>100</v>
      </c>
      <c r="D883" s="230" t="s">
        <v>78</v>
      </c>
      <c r="E883" s="230" t="s">
        <v>198</v>
      </c>
      <c r="F883" s="230" t="s">
        <v>2320</v>
      </c>
      <c r="G883" s="230">
        <v>29</v>
      </c>
      <c r="H883" s="230" t="s">
        <v>2321</v>
      </c>
      <c r="I883" s="230" t="s">
        <v>335</v>
      </c>
      <c r="J883" s="230" t="s">
        <v>248</v>
      </c>
      <c r="K883" s="230" t="s">
        <v>213</v>
      </c>
      <c r="L883" s="230" t="s">
        <v>2294</v>
      </c>
      <c r="M883" s="230" t="s">
        <v>2322</v>
      </c>
      <c r="N883" s="230" t="s">
        <v>263</v>
      </c>
      <c r="O883" s="158"/>
      <c r="P883" s="92"/>
      <c r="Q883" s="146"/>
      <c r="R883" s="92"/>
      <c r="S883" s="146"/>
      <c r="T883" s="92"/>
      <c r="U883" s="146"/>
      <c r="V883" s="92"/>
      <c r="W883" s="146"/>
      <c r="X883" s="92"/>
      <c r="Y883" s="146"/>
      <c r="Z883" s="92"/>
      <c r="AA883" s="146"/>
      <c r="AB883" s="92"/>
      <c r="AC883" s="146"/>
      <c r="AD883" s="92"/>
      <c r="AE883" s="146"/>
      <c r="AF883" s="187" t="str">
        <f t="shared" si="56"/>
        <v/>
      </c>
      <c r="AG883" s="54" t="b">
        <f t="shared" si="58"/>
        <v>0</v>
      </c>
      <c r="AH883" s="146"/>
      <c r="AI883" s="210" t="s">
        <v>6</v>
      </c>
      <c r="AJ883" s="97" t="str">
        <f t="shared" si="57"/>
        <v>GUARULHOS</v>
      </c>
      <c r="AK883" s="213" t="s">
        <v>39</v>
      </c>
      <c r="AL883" s="53">
        <v>0.65767764619220692</v>
      </c>
      <c r="AM883" s="53" t="str" cm="1">
        <f t="array" ref="AM883">IF(OR(O883&lt;&gt;"", SUMPRODUCT(($AN$2:$AN$5000=AN883)*($AL$2:$AL$5000&lt;=AL883)) &lt;= (COUNTIF($AN$2:$AN$5000,AN883)*0.5)), "SORTEADO", "-")</f>
        <v>-</v>
      </c>
      <c r="AN883" s="245" t="s">
        <v>2294</v>
      </c>
    </row>
    <row r="884" spans="1:40" ht="30" customHeight="1" x14ac:dyDescent="0.2">
      <c r="A884" s="230" t="s">
        <v>197</v>
      </c>
      <c r="B884" s="230">
        <v>2617628259</v>
      </c>
      <c r="C884" s="230" t="s">
        <v>100</v>
      </c>
      <c r="D884" s="230" t="s">
        <v>78</v>
      </c>
      <c r="E884" s="230" t="s">
        <v>198</v>
      </c>
      <c r="F884" s="230" t="s">
        <v>355</v>
      </c>
      <c r="G884" s="230">
        <v>334</v>
      </c>
      <c r="H884" s="230" t="s">
        <v>2323</v>
      </c>
      <c r="I884" s="230" t="s">
        <v>356</v>
      </c>
      <c r="J884" s="230" t="s">
        <v>248</v>
      </c>
      <c r="K884" s="230" t="s">
        <v>2324</v>
      </c>
      <c r="L884" s="230" t="s">
        <v>2294</v>
      </c>
      <c r="M884" s="230" t="s">
        <v>2325</v>
      </c>
      <c r="N884" s="230" t="s">
        <v>317</v>
      </c>
      <c r="O884" s="157" t="s">
        <v>204</v>
      </c>
      <c r="P884" s="143"/>
      <c r="Q884" s="144" t="s">
        <v>204</v>
      </c>
      <c r="R884" s="143"/>
      <c r="S884" s="144" t="s">
        <v>204</v>
      </c>
      <c r="T884" s="143"/>
      <c r="U884" s="144" t="s">
        <v>204</v>
      </c>
      <c r="V884" s="143"/>
      <c r="W884" s="144" t="s">
        <v>204</v>
      </c>
      <c r="X884" s="143"/>
      <c r="Y884" s="144" t="s">
        <v>204</v>
      </c>
      <c r="Z884" s="143"/>
      <c r="AA884" s="144" t="s">
        <v>204</v>
      </c>
      <c r="AB884" s="143"/>
      <c r="AC884" s="144" t="s">
        <v>204</v>
      </c>
      <c r="AD884" s="56"/>
      <c r="AE884" s="144" t="s">
        <v>204</v>
      </c>
      <c r="AF884" s="187" t="str">
        <f t="shared" si="56"/>
        <v>C</v>
      </c>
      <c r="AG884" s="54" t="str">
        <f t="shared" si="58"/>
        <v>UTILIZOU O PDA CORRETAMENTE</v>
      </c>
      <c r="AH884" s="144" t="s">
        <v>204</v>
      </c>
      <c r="AI884" s="210" t="s">
        <v>6</v>
      </c>
      <c r="AJ884" s="97" t="str">
        <f t="shared" si="57"/>
        <v>GUARULHOS</v>
      </c>
      <c r="AK884" s="213" t="s">
        <v>39</v>
      </c>
      <c r="AL884" s="53">
        <v>0.1058993594810792</v>
      </c>
      <c r="AM884" s="53" t="str" cm="1">
        <f t="array" ref="AM884">IF(OR(O884&lt;&gt;"", SUMPRODUCT(($AN$2:$AN$5000=AN884)*($AL$2:$AL$5000&lt;=AL884)) &lt;= (COUNTIF($AN$2:$AN$5000,AN884)*0.5)), "SORTEADO", "-")</f>
        <v>SORTEADO</v>
      </c>
      <c r="AN884" s="245" t="s">
        <v>2294</v>
      </c>
    </row>
    <row r="885" spans="1:40" ht="30" hidden="1" customHeight="1" x14ac:dyDescent="0.2">
      <c r="A885" s="230" t="s">
        <v>197</v>
      </c>
      <c r="B885" s="230">
        <v>2617186835</v>
      </c>
      <c r="C885" s="230" t="s">
        <v>83</v>
      </c>
      <c r="D885" s="230" t="s">
        <v>76</v>
      </c>
      <c r="E885" s="230" t="s">
        <v>198</v>
      </c>
      <c r="F885" s="230" t="s">
        <v>2326</v>
      </c>
      <c r="G885" s="230">
        <v>151</v>
      </c>
      <c r="H885" s="230" t="s">
        <v>217</v>
      </c>
      <c r="I885" s="230" t="s">
        <v>466</v>
      </c>
      <c r="J885" s="230" t="s">
        <v>219</v>
      </c>
      <c r="K885" s="230" t="s">
        <v>2327</v>
      </c>
      <c r="L885" s="230" t="s">
        <v>2294</v>
      </c>
      <c r="M885" s="230" t="s">
        <v>2328</v>
      </c>
      <c r="N885" s="230" t="s">
        <v>408</v>
      </c>
      <c r="O885" s="158"/>
      <c r="P885" s="92"/>
      <c r="Q885" s="146"/>
      <c r="R885" s="92"/>
      <c r="S885" s="146"/>
      <c r="T885" s="92"/>
      <c r="U885" s="146"/>
      <c r="V885" s="92"/>
      <c r="W885" s="146"/>
      <c r="X885" s="92"/>
      <c r="Y885" s="146"/>
      <c r="Z885" s="92"/>
      <c r="AA885" s="146"/>
      <c r="AB885" s="92"/>
      <c r="AC885" s="146"/>
      <c r="AD885" s="92"/>
      <c r="AE885" s="146"/>
      <c r="AF885" s="187" t="str">
        <f t="shared" si="56"/>
        <v/>
      </c>
      <c r="AG885" s="54" t="b">
        <f t="shared" si="58"/>
        <v>0</v>
      </c>
      <c r="AH885" s="146"/>
      <c r="AI885" s="210" t="s">
        <v>6</v>
      </c>
      <c r="AJ885" s="97" t="str">
        <f t="shared" si="57"/>
        <v>GUARULHOS</v>
      </c>
      <c r="AK885" s="213" t="s">
        <v>39</v>
      </c>
      <c r="AL885" s="53">
        <v>0.6082803015539332</v>
      </c>
      <c r="AM885" s="53" t="str" cm="1">
        <f t="array" ref="AM885">IF(OR(O885&lt;&gt;"", SUMPRODUCT(($AN$2:$AN$5000=AN885)*($AL$2:$AL$5000&lt;=AL885)) &lt;= (COUNTIF($AN$2:$AN$5000,AN885)*0.5)), "SORTEADO", "-")</f>
        <v>-</v>
      </c>
      <c r="AN885" s="245" t="s">
        <v>2294</v>
      </c>
    </row>
    <row r="886" spans="1:40" ht="30" hidden="1" customHeight="1" x14ac:dyDescent="0.2">
      <c r="A886" s="230" t="s">
        <v>197</v>
      </c>
      <c r="B886" s="230">
        <v>2617186942</v>
      </c>
      <c r="C886" s="230" t="s">
        <v>91</v>
      </c>
      <c r="D886" s="230" t="s">
        <v>76</v>
      </c>
      <c r="E886" s="230" t="s">
        <v>198</v>
      </c>
      <c r="F886" s="230" t="s">
        <v>2326</v>
      </c>
      <c r="G886" s="230">
        <v>151</v>
      </c>
      <c r="H886" s="230" t="s">
        <v>2329</v>
      </c>
      <c r="I886" s="230" t="s">
        <v>2330</v>
      </c>
      <c r="J886" s="230" t="s">
        <v>448</v>
      </c>
      <c r="K886" s="230" t="s">
        <v>2331</v>
      </c>
      <c r="L886" s="230" t="s">
        <v>2294</v>
      </c>
      <c r="M886" s="230" t="s">
        <v>2332</v>
      </c>
      <c r="N886" s="230" t="s">
        <v>408</v>
      </c>
      <c r="O886" s="158"/>
      <c r="P886" s="92"/>
      <c r="Q886" s="146"/>
      <c r="R886" s="92"/>
      <c r="S886" s="146"/>
      <c r="T886" s="92"/>
      <c r="U886" s="146"/>
      <c r="V886" s="92"/>
      <c r="W886" s="146"/>
      <c r="X886" s="92"/>
      <c r="Y886" s="146"/>
      <c r="Z886" s="92"/>
      <c r="AA886" s="146"/>
      <c r="AB886" s="92"/>
      <c r="AC886" s="146"/>
      <c r="AD886" s="92"/>
      <c r="AE886" s="146"/>
      <c r="AF886" s="187" t="str">
        <f t="shared" si="56"/>
        <v/>
      </c>
      <c r="AG886" s="54" t="b">
        <f t="shared" si="58"/>
        <v>0</v>
      </c>
      <c r="AH886" s="146"/>
      <c r="AI886" s="210" t="s">
        <v>6</v>
      </c>
      <c r="AJ886" s="97" t="str">
        <f t="shared" si="57"/>
        <v>GUARULHOS</v>
      </c>
      <c r="AK886" s="213" t="s">
        <v>39</v>
      </c>
      <c r="AL886" s="53">
        <v>0.69511842489018416</v>
      </c>
      <c r="AM886" s="53" t="str" cm="1">
        <f t="array" ref="AM886">IF(OR(O886&lt;&gt;"", SUMPRODUCT(($AN$2:$AN$5000=AN886)*($AL$2:$AL$5000&lt;=AL886)) &lt;= (COUNTIF($AN$2:$AN$5000,AN886)*0.5)), "SORTEADO", "-")</f>
        <v>-</v>
      </c>
      <c r="AN886" s="245" t="s">
        <v>2294</v>
      </c>
    </row>
    <row r="887" spans="1:40" ht="30" customHeight="1" x14ac:dyDescent="0.2">
      <c r="A887" s="230" t="s">
        <v>197</v>
      </c>
      <c r="B887" s="230">
        <v>2617293803</v>
      </c>
      <c r="C887" s="230" t="s">
        <v>95</v>
      </c>
      <c r="D887" s="230" t="s">
        <v>76</v>
      </c>
      <c r="E887" s="230" t="s">
        <v>198</v>
      </c>
      <c r="F887" s="230" t="s">
        <v>2333</v>
      </c>
      <c r="G887" s="230">
        <v>55</v>
      </c>
      <c r="H887" s="230" t="s">
        <v>1290</v>
      </c>
      <c r="I887" s="230" t="s">
        <v>466</v>
      </c>
      <c r="J887" s="230" t="s">
        <v>95</v>
      </c>
      <c r="K887" s="230" t="s">
        <v>2334</v>
      </c>
      <c r="L887" s="230" t="s">
        <v>2294</v>
      </c>
      <c r="M887" s="230" t="s">
        <v>2335</v>
      </c>
      <c r="N887" s="230" t="s">
        <v>408</v>
      </c>
      <c r="O887" s="158" t="s">
        <v>204</v>
      </c>
      <c r="P887" s="92"/>
      <c r="Q887" s="146" t="s">
        <v>61</v>
      </c>
      <c r="R887" s="92"/>
      <c r="S887" s="146" t="s">
        <v>61</v>
      </c>
      <c r="T887" s="92"/>
      <c r="U887" s="146" t="s">
        <v>61</v>
      </c>
      <c r="V887" s="92"/>
      <c r="W887" s="146" t="s">
        <v>61</v>
      </c>
      <c r="X887" s="92"/>
      <c r="Y887" s="146" t="s">
        <v>61</v>
      </c>
      <c r="Z887" s="92"/>
      <c r="AA887" s="146" t="s">
        <v>204</v>
      </c>
      <c r="AB887" s="92"/>
      <c r="AC887" s="146" t="s">
        <v>204</v>
      </c>
      <c r="AD887" s="92"/>
      <c r="AE887" s="146" t="s">
        <v>204</v>
      </c>
      <c r="AF887" s="187" t="str">
        <f t="shared" si="56"/>
        <v>C</v>
      </c>
      <c r="AG887" s="54" t="str">
        <f t="shared" si="58"/>
        <v>UTILIZOU O PDA CORRETAMENTE</v>
      </c>
      <c r="AH887" s="146" t="s">
        <v>204</v>
      </c>
      <c r="AI887" s="210" t="s">
        <v>6</v>
      </c>
      <c r="AJ887" s="97" t="str">
        <f t="shared" si="57"/>
        <v>GUARULHOS</v>
      </c>
      <c r="AK887" s="213" t="s">
        <v>39</v>
      </c>
      <c r="AL887" s="53">
        <v>7.0512850973551311E-2</v>
      </c>
      <c r="AM887" s="53" t="str" cm="1">
        <f t="array" ref="AM887">IF(OR(O887&lt;&gt;"", SUMPRODUCT(($AN$2:$AN$5000=AN887)*($AL$2:$AL$5000&lt;=AL887)) &lt;= (COUNTIF($AN$2:$AN$5000,AN887)*0.5)), "SORTEADO", "-")</f>
        <v>SORTEADO</v>
      </c>
      <c r="AN887" s="245" t="s">
        <v>2294</v>
      </c>
    </row>
    <row r="888" spans="1:40" ht="30" customHeight="1" x14ac:dyDescent="0.2">
      <c r="A888" s="230" t="s">
        <v>197</v>
      </c>
      <c r="B888" s="230">
        <v>2617293759</v>
      </c>
      <c r="C888" s="230" t="s">
        <v>93</v>
      </c>
      <c r="D888" s="230" t="s">
        <v>76</v>
      </c>
      <c r="E888" s="230" t="s">
        <v>198</v>
      </c>
      <c r="F888" s="230" t="s">
        <v>2333</v>
      </c>
      <c r="G888" s="230">
        <v>55</v>
      </c>
      <c r="H888" s="230" t="s">
        <v>1284</v>
      </c>
      <c r="I888" s="230" t="s">
        <v>466</v>
      </c>
      <c r="J888" s="230" t="s">
        <v>93</v>
      </c>
      <c r="K888" s="230" t="s">
        <v>2336</v>
      </c>
      <c r="L888" s="230" t="s">
        <v>2294</v>
      </c>
      <c r="M888" s="230" t="s">
        <v>2337</v>
      </c>
      <c r="N888" s="230" t="s">
        <v>408</v>
      </c>
      <c r="O888" s="158" t="s">
        <v>204</v>
      </c>
      <c r="P888" s="92"/>
      <c r="Q888" s="146" t="s">
        <v>61</v>
      </c>
      <c r="R888" s="92"/>
      <c r="S888" s="146" t="s">
        <v>61</v>
      </c>
      <c r="T888" s="92"/>
      <c r="U888" s="146" t="s">
        <v>61</v>
      </c>
      <c r="V888" s="92"/>
      <c r="W888" s="146" t="s">
        <v>61</v>
      </c>
      <c r="X888" s="92"/>
      <c r="Y888" s="146" t="s">
        <v>61</v>
      </c>
      <c r="Z888" s="92"/>
      <c r="AA888" s="146" t="s">
        <v>204</v>
      </c>
      <c r="AB888" s="92"/>
      <c r="AC888" s="146" t="s">
        <v>204</v>
      </c>
      <c r="AD888" s="92"/>
      <c r="AE888" s="146" t="s">
        <v>204</v>
      </c>
      <c r="AF888" s="187" t="str">
        <f t="shared" si="56"/>
        <v>C</v>
      </c>
      <c r="AG888" s="54" t="str">
        <f t="shared" si="58"/>
        <v>UTILIZOU O PDA CORRETAMENTE</v>
      </c>
      <c r="AH888" s="146" t="s">
        <v>204</v>
      </c>
      <c r="AI888" s="210" t="s">
        <v>6</v>
      </c>
      <c r="AJ888" s="97" t="str">
        <f t="shared" si="57"/>
        <v>GUARULHOS</v>
      </c>
      <c r="AK888" s="213" t="s">
        <v>39</v>
      </c>
      <c r="AL888" s="53">
        <v>0.48640727857132438</v>
      </c>
      <c r="AM888" s="53" t="str" cm="1">
        <f t="array" ref="AM888">IF(OR(O888&lt;&gt;"", SUMPRODUCT(($AN$2:$AN$5000=AN888)*($AL$2:$AL$5000&lt;=AL888)) &lt;= (COUNTIF($AN$2:$AN$5000,AN888)*0.5)), "SORTEADO", "-")</f>
        <v>SORTEADO</v>
      </c>
      <c r="AN888" s="245" t="s">
        <v>2294</v>
      </c>
    </row>
    <row r="889" spans="1:40" ht="30" customHeight="1" x14ac:dyDescent="0.2">
      <c r="A889" s="230" t="s">
        <v>197</v>
      </c>
      <c r="B889" s="230">
        <v>2617123648</v>
      </c>
      <c r="C889" s="230" t="s">
        <v>94</v>
      </c>
      <c r="D889" s="230" t="s">
        <v>76</v>
      </c>
      <c r="E889" s="230" t="s">
        <v>198</v>
      </c>
      <c r="F889" s="230" t="s">
        <v>2338</v>
      </c>
      <c r="G889" s="230">
        <v>54</v>
      </c>
      <c r="H889" s="230" t="s">
        <v>213</v>
      </c>
      <c r="I889" s="230" t="s">
        <v>1944</v>
      </c>
      <c r="J889" s="230" t="s">
        <v>94</v>
      </c>
      <c r="K889" s="230" t="s">
        <v>2339</v>
      </c>
      <c r="L889" s="230" t="s">
        <v>2294</v>
      </c>
      <c r="M889" s="230" t="s">
        <v>2340</v>
      </c>
      <c r="N889" s="230" t="s">
        <v>209</v>
      </c>
      <c r="O889" s="158" t="s">
        <v>204</v>
      </c>
      <c r="P889" s="92"/>
      <c r="Q889" s="146" t="s">
        <v>204</v>
      </c>
      <c r="R889" s="92"/>
      <c r="S889" s="146" t="s">
        <v>204</v>
      </c>
      <c r="T889" s="92"/>
      <c r="U889" s="146" t="s">
        <v>204</v>
      </c>
      <c r="V889" s="92"/>
      <c r="W889" s="146" t="s">
        <v>204</v>
      </c>
      <c r="X889" s="92"/>
      <c r="Y889" s="146" t="s">
        <v>204</v>
      </c>
      <c r="Z889" s="92"/>
      <c r="AA889" s="146" t="s">
        <v>204</v>
      </c>
      <c r="AB889" s="92"/>
      <c r="AC889" s="146" t="s">
        <v>204</v>
      </c>
      <c r="AD889" s="92"/>
      <c r="AE889" s="146" t="s">
        <v>204</v>
      </c>
      <c r="AF889" s="187" t="str">
        <f t="shared" si="56"/>
        <v>C</v>
      </c>
      <c r="AG889" s="54" t="str">
        <f t="shared" si="58"/>
        <v>UTILIZOU O PDA CORRETAMENTE</v>
      </c>
      <c r="AH889" s="146" t="s">
        <v>204</v>
      </c>
      <c r="AI889" s="210" t="s">
        <v>6</v>
      </c>
      <c r="AJ889" s="97" t="str">
        <f t="shared" si="57"/>
        <v>GUARULHOS</v>
      </c>
      <c r="AK889" s="213" t="s">
        <v>39</v>
      </c>
      <c r="AL889" s="53">
        <v>0.19590954102361002</v>
      </c>
      <c r="AM889" s="53" t="str" cm="1">
        <f t="array" ref="AM889">IF(OR(O889&lt;&gt;"", SUMPRODUCT(($AN$2:$AN$5000=AN889)*($AL$2:$AL$5000&lt;=AL889)) &lt;= (COUNTIF($AN$2:$AN$5000,AN889)*0.5)), "SORTEADO", "-")</f>
        <v>SORTEADO</v>
      </c>
      <c r="AN889" s="245" t="s">
        <v>2294</v>
      </c>
    </row>
    <row r="890" spans="1:40" ht="30" customHeight="1" x14ac:dyDescent="0.2">
      <c r="A890" s="230" t="s">
        <v>197</v>
      </c>
      <c r="B890" s="230">
        <v>2617123682</v>
      </c>
      <c r="C890" s="230" t="s">
        <v>96</v>
      </c>
      <c r="D890" s="230" t="s">
        <v>76</v>
      </c>
      <c r="E890" s="230" t="s">
        <v>198</v>
      </c>
      <c r="F890" s="230" t="s">
        <v>2338</v>
      </c>
      <c r="G890" s="230">
        <v>54</v>
      </c>
      <c r="H890" s="230" t="s">
        <v>211</v>
      </c>
      <c r="I890" s="230" t="s">
        <v>1944</v>
      </c>
      <c r="J890" s="230" t="s">
        <v>96</v>
      </c>
      <c r="K890" s="230">
        <v>2617123648</v>
      </c>
      <c r="L890" s="230" t="s">
        <v>2294</v>
      </c>
      <c r="M890" s="230" t="s">
        <v>2341</v>
      </c>
      <c r="N890" s="230" t="s">
        <v>209</v>
      </c>
      <c r="O890" s="158" t="s">
        <v>204</v>
      </c>
      <c r="P890" s="92"/>
      <c r="Q890" s="146" t="s">
        <v>204</v>
      </c>
      <c r="R890" s="92"/>
      <c r="S890" s="146" t="s">
        <v>204</v>
      </c>
      <c r="T890" s="92"/>
      <c r="U890" s="146" t="s">
        <v>204</v>
      </c>
      <c r="V890" s="92"/>
      <c r="W890" s="146" t="s">
        <v>204</v>
      </c>
      <c r="X890" s="92"/>
      <c r="Y890" s="146" t="s">
        <v>204</v>
      </c>
      <c r="Z890" s="92"/>
      <c r="AA890" s="146" t="s">
        <v>204</v>
      </c>
      <c r="AB890" s="92"/>
      <c r="AC890" s="146" t="s">
        <v>204</v>
      </c>
      <c r="AD890" s="92"/>
      <c r="AE890" s="146" t="s">
        <v>204</v>
      </c>
      <c r="AF890" s="187" t="str">
        <f t="shared" si="56"/>
        <v>C</v>
      </c>
      <c r="AG890" s="54" t="str">
        <f t="shared" si="58"/>
        <v>UTILIZOU O PDA CORRETAMENTE</v>
      </c>
      <c r="AH890" s="146" t="s">
        <v>204</v>
      </c>
      <c r="AI890" s="210" t="s">
        <v>6</v>
      </c>
      <c r="AJ890" s="97" t="str">
        <f t="shared" si="57"/>
        <v>GUARULHOS</v>
      </c>
      <c r="AK890" s="213" t="s">
        <v>39</v>
      </c>
      <c r="AL890" s="53">
        <v>6.8670416799370804E-2</v>
      </c>
      <c r="AM890" s="53" t="str" cm="1">
        <f t="array" ref="AM890">IF(OR(O890&lt;&gt;"", SUMPRODUCT(($AN$2:$AN$5000=AN890)*($AL$2:$AL$5000&lt;=AL890)) &lt;= (COUNTIF($AN$2:$AN$5000,AN890)*0.5)), "SORTEADO", "-")</f>
        <v>SORTEADO</v>
      </c>
      <c r="AN890" s="245" t="s">
        <v>2294</v>
      </c>
    </row>
    <row r="891" spans="1:40" ht="30" customHeight="1" x14ac:dyDescent="0.2">
      <c r="A891" s="230" t="s">
        <v>197</v>
      </c>
      <c r="B891" s="230">
        <v>2614164004</v>
      </c>
      <c r="C891" s="230" t="s">
        <v>91</v>
      </c>
      <c r="D891" s="230" t="s">
        <v>76</v>
      </c>
      <c r="E891" s="230" t="s">
        <v>198</v>
      </c>
      <c r="F891" s="230" t="s">
        <v>2342</v>
      </c>
      <c r="G891" s="230">
        <v>29</v>
      </c>
      <c r="H891" s="230" t="s">
        <v>235</v>
      </c>
      <c r="I891" s="230" t="s">
        <v>366</v>
      </c>
      <c r="J891" s="230" t="s">
        <v>448</v>
      </c>
      <c r="K891" s="230" t="s">
        <v>2343</v>
      </c>
      <c r="L891" s="230" t="s">
        <v>2294</v>
      </c>
      <c r="M891" s="230" t="s">
        <v>2344</v>
      </c>
      <c r="N891" s="230" t="s">
        <v>209</v>
      </c>
      <c r="O891" s="158" t="s">
        <v>204</v>
      </c>
      <c r="P891" s="92"/>
      <c r="Q891" s="146" t="s">
        <v>204</v>
      </c>
      <c r="R891" s="92"/>
      <c r="S891" s="146" t="s">
        <v>204</v>
      </c>
      <c r="T891" s="92"/>
      <c r="U891" s="146" t="s">
        <v>204</v>
      </c>
      <c r="V891" s="92"/>
      <c r="W891" s="146" t="s">
        <v>204</v>
      </c>
      <c r="X891" s="92"/>
      <c r="Y891" s="146" t="s">
        <v>742</v>
      </c>
      <c r="Z891" s="92"/>
      <c r="AA891" s="146" t="s">
        <v>204</v>
      </c>
      <c r="AB891" s="92"/>
      <c r="AC891" s="146" t="s">
        <v>204</v>
      </c>
      <c r="AD891" s="92"/>
      <c r="AE891" s="146" t="s">
        <v>204</v>
      </c>
      <c r="AF891" s="187" t="str">
        <f t="shared" si="56"/>
        <v>C</v>
      </c>
      <c r="AG891" s="54" t="str">
        <f t="shared" si="58"/>
        <v>UTILIZOU O PDA CORRETAMENTE</v>
      </c>
      <c r="AH891" s="146" t="s">
        <v>204</v>
      </c>
      <c r="AI891" s="210" t="s">
        <v>6</v>
      </c>
      <c r="AJ891" s="97" t="str">
        <f t="shared" si="57"/>
        <v>GUARULHOS</v>
      </c>
      <c r="AK891" s="213" t="s">
        <v>39</v>
      </c>
      <c r="AL891" s="53">
        <v>0.51032500218393806</v>
      </c>
      <c r="AM891" s="53" t="str" cm="1">
        <f t="array" ref="AM891">IF(OR(O891&lt;&gt;"", SUMPRODUCT(($AN$2:$AN$5000=AN891)*($AL$2:$AL$5000&lt;=AL891)) &lt;= (COUNTIF($AN$2:$AN$5000,AN891)*0.5)), "SORTEADO", "-")</f>
        <v>SORTEADO</v>
      </c>
      <c r="AN891" s="245" t="s">
        <v>2294</v>
      </c>
    </row>
    <row r="892" spans="1:40" ht="30" customHeight="1" x14ac:dyDescent="0.2">
      <c r="A892" s="230" t="s">
        <v>197</v>
      </c>
      <c r="B892" s="230">
        <v>2617123724</v>
      </c>
      <c r="C892" s="230" t="s">
        <v>96</v>
      </c>
      <c r="D892" s="230" t="s">
        <v>76</v>
      </c>
      <c r="E892" s="230" t="s">
        <v>198</v>
      </c>
      <c r="F892" s="230" t="s">
        <v>2338</v>
      </c>
      <c r="G892" s="230">
        <v>54</v>
      </c>
      <c r="H892" s="230" t="s">
        <v>1458</v>
      </c>
      <c r="I892" s="230" t="s">
        <v>1944</v>
      </c>
      <c r="J892" s="230" t="s">
        <v>96</v>
      </c>
      <c r="K892" s="230">
        <v>2617123648</v>
      </c>
      <c r="L892" s="230" t="s">
        <v>2294</v>
      </c>
      <c r="M892" s="230" t="s">
        <v>2345</v>
      </c>
      <c r="N892" s="230" t="s">
        <v>209</v>
      </c>
      <c r="O892" s="158" t="s">
        <v>204</v>
      </c>
      <c r="P892" s="92"/>
      <c r="Q892" s="146" t="s">
        <v>204</v>
      </c>
      <c r="R892" s="92"/>
      <c r="S892" s="146" t="s">
        <v>204</v>
      </c>
      <c r="T892" s="92"/>
      <c r="U892" s="146" t="s">
        <v>204</v>
      </c>
      <c r="V892" s="92"/>
      <c r="W892" s="146" t="s">
        <v>204</v>
      </c>
      <c r="X892" s="92"/>
      <c r="Y892" s="146" t="s">
        <v>204</v>
      </c>
      <c r="Z892" s="92"/>
      <c r="AA892" s="146" t="s">
        <v>204</v>
      </c>
      <c r="AB892" s="92"/>
      <c r="AC892" s="146" t="s">
        <v>204</v>
      </c>
      <c r="AD892" s="92"/>
      <c r="AE892" s="146" t="s">
        <v>204</v>
      </c>
      <c r="AF892" s="187" t="str">
        <f t="shared" si="56"/>
        <v>C</v>
      </c>
      <c r="AG892" s="54" t="str">
        <f t="shared" si="58"/>
        <v>UTILIZOU O PDA CORRETAMENTE</v>
      </c>
      <c r="AH892" s="146" t="s">
        <v>204</v>
      </c>
      <c r="AI892" s="210" t="s">
        <v>6</v>
      </c>
      <c r="AJ892" s="97" t="str">
        <f t="shared" si="57"/>
        <v>GUARULHOS</v>
      </c>
      <c r="AK892" s="213" t="s">
        <v>39</v>
      </c>
      <c r="AL892" s="53">
        <v>0.74375529084297665</v>
      </c>
      <c r="AM892" s="53" t="str" cm="1">
        <f t="array" ref="AM892">IF(OR(O892&lt;&gt;"", SUMPRODUCT(($AN$2:$AN$5000=AN892)*($AL$2:$AL$5000&lt;=AL892)) &lt;= (COUNTIF($AN$2:$AN$5000,AN892)*0.5)), "SORTEADO", "-")</f>
        <v>SORTEADO</v>
      </c>
      <c r="AN892" s="245" t="s">
        <v>2294</v>
      </c>
    </row>
    <row r="893" spans="1:40" ht="30" customHeight="1" x14ac:dyDescent="0.2">
      <c r="A893" s="230" t="s">
        <v>197</v>
      </c>
      <c r="B893" s="230">
        <v>2617123721</v>
      </c>
      <c r="C893" s="230" t="s">
        <v>96</v>
      </c>
      <c r="D893" s="230" t="s">
        <v>76</v>
      </c>
      <c r="E893" s="230" t="s">
        <v>198</v>
      </c>
      <c r="F893" s="230" t="s">
        <v>2338</v>
      </c>
      <c r="G893" s="230">
        <v>54</v>
      </c>
      <c r="H893" s="230" t="s">
        <v>457</v>
      </c>
      <c r="I893" s="230" t="s">
        <v>1944</v>
      </c>
      <c r="J893" s="230" t="s">
        <v>96</v>
      </c>
      <c r="K893" s="230">
        <v>2617123648</v>
      </c>
      <c r="L893" s="230" t="s">
        <v>2294</v>
      </c>
      <c r="M893" s="230" t="s">
        <v>2346</v>
      </c>
      <c r="N893" s="230" t="s">
        <v>209</v>
      </c>
      <c r="O893" s="158" t="s">
        <v>204</v>
      </c>
      <c r="P893" s="92"/>
      <c r="Q893" s="146" t="s">
        <v>204</v>
      </c>
      <c r="R893" s="92"/>
      <c r="S893" s="146" t="s">
        <v>204</v>
      </c>
      <c r="T893" s="92"/>
      <c r="U893" s="146" t="s">
        <v>204</v>
      </c>
      <c r="V893" s="92"/>
      <c r="W893" s="146" t="s">
        <v>204</v>
      </c>
      <c r="X893" s="92"/>
      <c r="Y893" s="146" t="s">
        <v>204</v>
      </c>
      <c r="Z893" s="92"/>
      <c r="AA893" s="146" t="s">
        <v>204</v>
      </c>
      <c r="AB893" s="92"/>
      <c r="AC893" s="146" t="s">
        <v>204</v>
      </c>
      <c r="AD893" s="92"/>
      <c r="AE893" s="146" t="s">
        <v>204</v>
      </c>
      <c r="AF893" s="187" t="str">
        <f t="shared" si="56"/>
        <v>C</v>
      </c>
      <c r="AG893" s="54" t="str">
        <f t="shared" si="58"/>
        <v>UTILIZOU O PDA CORRETAMENTE</v>
      </c>
      <c r="AH893" s="146" t="s">
        <v>204</v>
      </c>
      <c r="AI893" s="210" t="s">
        <v>6</v>
      </c>
      <c r="AJ893" s="97" t="str">
        <f t="shared" si="57"/>
        <v>GUARULHOS</v>
      </c>
      <c r="AK893" s="213" t="s">
        <v>39</v>
      </c>
      <c r="AL893" s="53">
        <v>0.62767272303678523</v>
      </c>
      <c r="AM893" s="53" t="str" cm="1">
        <f t="array" ref="AM893">IF(OR(O893&lt;&gt;"", SUMPRODUCT(($AN$2:$AN$5000=AN893)*($AL$2:$AL$5000&lt;=AL893)) &lt;= (COUNTIF($AN$2:$AN$5000,AN893)*0.5)), "SORTEADO", "-")</f>
        <v>SORTEADO</v>
      </c>
      <c r="AN893" s="245" t="s">
        <v>2294</v>
      </c>
    </row>
    <row r="894" spans="1:40" ht="30" customHeight="1" x14ac:dyDescent="0.2">
      <c r="A894" s="230" t="s">
        <v>197</v>
      </c>
      <c r="B894" s="230">
        <v>2617123720</v>
      </c>
      <c r="C894" s="230" t="s">
        <v>96</v>
      </c>
      <c r="D894" s="230" t="s">
        <v>76</v>
      </c>
      <c r="E894" s="230" t="s">
        <v>198</v>
      </c>
      <c r="F894" s="230" t="s">
        <v>2338</v>
      </c>
      <c r="G894" s="230">
        <v>54</v>
      </c>
      <c r="H894" s="230" t="s">
        <v>459</v>
      </c>
      <c r="I894" s="230" t="s">
        <v>1944</v>
      </c>
      <c r="J894" s="230" t="s">
        <v>96</v>
      </c>
      <c r="K894" s="230">
        <v>2617123648</v>
      </c>
      <c r="L894" s="230" t="s">
        <v>2294</v>
      </c>
      <c r="M894" s="230" t="s">
        <v>2347</v>
      </c>
      <c r="N894" s="230" t="s">
        <v>209</v>
      </c>
      <c r="O894" s="158" t="s">
        <v>204</v>
      </c>
      <c r="P894" s="92"/>
      <c r="Q894" s="146" t="s">
        <v>204</v>
      </c>
      <c r="R894" s="92"/>
      <c r="S894" s="146" t="s">
        <v>204</v>
      </c>
      <c r="T894" s="92"/>
      <c r="U894" s="146" t="s">
        <v>204</v>
      </c>
      <c r="V894" s="92"/>
      <c r="W894" s="146" t="s">
        <v>204</v>
      </c>
      <c r="X894" s="92"/>
      <c r="Y894" s="146" t="s">
        <v>204</v>
      </c>
      <c r="Z894" s="92"/>
      <c r="AA894" s="146" t="s">
        <v>204</v>
      </c>
      <c r="AB894" s="92"/>
      <c r="AC894" s="146" t="s">
        <v>204</v>
      </c>
      <c r="AD894" s="92"/>
      <c r="AE894" s="146" t="s">
        <v>204</v>
      </c>
      <c r="AF894" s="187" t="str">
        <f t="shared" si="56"/>
        <v>C</v>
      </c>
      <c r="AG894" s="54" t="str">
        <f t="shared" si="58"/>
        <v>UTILIZOU O PDA CORRETAMENTE</v>
      </c>
      <c r="AH894" s="146" t="s">
        <v>204</v>
      </c>
      <c r="AI894" s="210" t="s">
        <v>6</v>
      </c>
      <c r="AJ894" s="97" t="str">
        <f t="shared" si="57"/>
        <v>GUARULHOS</v>
      </c>
      <c r="AK894" s="213" t="s">
        <v>39</v>
      </c>
      <c r="AL894" s="53">
        <v>0.10486796241979379</v>
      </c>
      <c r="AM894" s="53" t="str" cm="1">
        <f t="array" ref="AM894">IF(OR(O894&lt;&gt;"", SUMPRODUCT(($AN$2:$AN$5000=AN894)*($AL$2:$AL$5000&lt;=AL894)) &lt;= (COUNTIF($AN$2:$AN$5000,AN894)*0.5)), "SORTEADO", "-")</f>
        <v>SORTEADO</v>
      </c>
      <c r="AN894" s="245" t="s">
        <v>2294</v>
      </c>
    </row>
    <row r="895" spans="1:40" ht="30" customHeight="1" x14ac:dyDescent="0.2">
      <c r="A895" s="230" t="s">
        <v>197</v>
      </c>
      <c r="B895" s="230">
        <v>2617123688</v>
      </c>
      <c r="C895" s="230" t="s">
        <v>96</v>
      </c>
      <c r="D895" s="230" t="s">
        <v>76</v>
      </c>
      <c r="E895" s="230" t="s">
        <v>198</v>
      </c>
      <c r="F895" s="230" t="s">
        <v>2338</v>
      </c>
      <c r="G895" s="230">
        <v>54</v>
      </c>
      <c r="H895" s="230" t="s">
        <v>460</v>
      </c>
      <c r="I895" s="230" t="s">
        <v>1944</v>
      </c>
      <c r="J895" s="230" t="s">
        <v>96</v>
      </c>
      <c r="K895" s="230">
        <v>2617123648</v>
      </c>
      <c r="L895" s="230" t="s">
        <v>2294</v>
      </c>
      <c r="M895" s="230" t="s">
        <v>2348</v>
      </c>
      <c r="N895" s="230" t="s">
        <v>209</v>
      </c>
      <c r="O895" s="158" t="s">
        <v>204</v>
      </c>
      <c r="P895" s="92"/>
      <c r="Q895" s="146" t="s">
        <v>204</v>
      </c>
      <c r="R895" s="92"/>
      <c r="S895" s="146" t="s">
        <v>204</v>
      </c>
      <c r="T895" s="92"/>
      <c r="U895" s="146" t="s">
        <v>204</v>
      </c>
      <c r="V895" s="92"/>
      <c r="W895" s="146" t="s">
        <v>204</v>
      </c>
      <c r="X895" s="92"/>
      <c r="Y895" s="146" t="s">
        <v>204</v>
      </c>
      <c r="Z895" s="92"/>
      <c r="AA895" s="146" t="s">
        <v>204</v>
      </c>
      <c r="AB895" s="92"/>
      <c r="AC895" s="146" t="s">
        <v>204</v>
      </c>
      <c r="AD895" s="92"/>
      <c r="AE895" s="146" t="s">
        <v>204</v>
      </c>
      <c r="AF895" s="187" t="str">
        <f t="shared" si="56"/>
        <v>C</v>
      </c>
      <c r="AG895" s="54" t="str">
        <f t="shared" si="58"/>
        <v>UTILIZOU O PDA CORRETAMENTE</v>
      </c>
      <c r="AH895" s="146" t="s">
        <v>204</v>
      </c>
      <c r="AI895" s="210" t="s">
        <v>6</v>
      </c>
      <c r="AJ895" s="97" t="str">
        <f t="shared" si="57"/>
        <v>GUARULHOS</v>
      </c>
      <c r="AK895" s="213" t="s">
        <v>39</v>
      </c>
      <c r="AL895" s="53">
        <v>0.44386215717225097</v>
      </c>
      <c r="AM895" s="53" t="str" cm="1">
        <f t="array" ref="AM895">IF(OR(O895&lt;&gt;"", SUMPRODUCT(($AN$2:$AN$5000=AN895)*($AL$2:$AL$5000&lt;=AL895)) &lt;= (COUNTIF($AN$2:$AN$5000,AN895)*0.5)), "SORTEADO", "-")</f>
        <v>SORTEADO</v>
      </c>
      <c r="AN895" s="245" t="s">
        <v>2294</v>
      </c>
    </row>
    <row r="896" spans="1:40" ht="30" customHeight="1" x14ac:dyDescent="0.2">
      <c r="A896" s="230" t="s">
        <v>197</v>
      </c>
      <c r="B896" s="230">
        <v>2617123686</v>
      </c>
      <c r="C896" s="230" t="s">
        <v>96</v>
      </c>
      <c r="D896" s="230" t="s">
        <v>76</v>
      </c>
      <c r="E896" s="230" t="s">
        <v>198</v>
      </c>
      <c r="F896" s="230" t="s">
        <v>2338</v>
      </c>
      <c r="G896" s="230">
        <v>54</v>
      </c>
      <c r="H896" s="230" t="s">
        <v>461</v>
      </c>
      <c r="I896" s="230" t="s">
        <v>1944</v>
      </c>
      <c r="J896" s="230" t="s">
        <v>96</v>
      </c>
      <c r="K896" s="230">
        <v>2617123648</v>
      </c>
      <c r="L896" s="230" t="s">
        <v>2294</v>
      </c>
      <c r="M896" s="230" t="s">
        <v>2349</v>
      </c>
      <c r="N896" s="230" t="s">
        <v>209</v>
      </c>
      <c r="O896" s="158" t="s">
        <v>204</v>
      </c>
      <c r="P896" s="92"/>
      <c r="Q896" s="146" t="s">
        <v>204</v>
      </c>
      <c r="R896" s="92"/>
      <c r="S896" s="146" t="s">
        <v>204</v>
      </c>
      <c r="T896" s="92"/>
      <c r="U896" s="146" t="s">
        <v>204</v>
      </c>
      <c r="V896" s="92"/>
      <c r="W896" s="146" t="s">
        <v>204</v>
      </c>
      <c r="X896" s="92"/>
      <c r="Y896" s="146" t="s">
        <v>204</v>
      </c>
      <c r="Z896" s="92"/>
      <c r="AA896" s="146" t="s">
        <v>204</v>
      </c>
      <c r="AB896" s="92"/>
      <c r="AC896" s="146" t="s">
        <v>204</v>
      </c>
      <c r="AD896" s="92"/>
      <c r="AE896" s="146" t="s">
        <v>204</v>
      </c>
      <c r="AF896" s="187" t="str">
        <f t="shared" si="56"/>
        <v>C</v>
      </c>
      <c r="AG896" s="54" t="str">
        <f t="shared" si="58"/>
        <v>UTILIZOU O PDA CORRETAMENTE</v>
      </c>
      <c r="AH896" s="146" t="s">
        <v>204</v>
      </c>
      <c r="AI896" s="210" t="s">
        <v>6</v>
      </c>
      <c r="AJ896" s="97" t="str">
        <f t="shared" si="57"/>
        <v>GUARULHOS</v>
      </c>
      <c r="AK896" s="213" t="s">
        <v>39</v>
      </c>
      <c r="AL896" s="53">
        <v>0.31580259705667557</v>
      </c>
      <c r="AM896" s="53" t="str" cm="1">
        <f t="array" ref="AM896">IF(OR(O896&lt;&gt;"", SUMPRODUCT(($AN$2:$AN$5000=AN896)*($AL$2:$AL$5000&lt;=AL896)) &lt;= (COUNTIF($AN$2:$AN$5000,AN896)*0.5)), "SORTEADO", "-")</f>
        <v>SORTEADO</v>
      </c>
      <c r="AN896" s="245" t="s">
        <v>2294</v>
      </c>
    </row>
    <row r="897" spans="1:40" ht="30" customHeight="1" x14ac:dyDescent="0.2">
      <c r="A897" s="230" t="s">
        <v>197</v>
      </c>
      <c r="B897" s="230">
        <v>2617123683</v>
      </c>
      <c r="C897" s="230" t="s">
        <v>96</v>
      </c>
      <c r="D897" s="230" t="s">
        <v>76</v>
      </c>
      <c r="E897" s="230" t="s">
        <v>198</v>
      </c>
      <c r="F897" s="230" t="s">
        <v>2338</v>
      </c>
      <c r="G897" s="230">
        <v>54</v>
      </c>
      <c r="H897" s="230" t="s">
        <v>217</v>
      </c>
      <c r="I897" s="230" t="s">
        <v>1944</v>
      </c>
      <c r="J897" s="230" t="s">
        <v>96</v>
      </c>
      <c r="K897" s="230">
        <v>2617123648</v>
      </c>
      <c r="L897" s="230" t="s">
        <v>2294</v>
      </c>
      <c r="M897" s="230" t="s">
        <v>2350</v>
      </c>
      <c r="N897" s="230" t="s">
        <v>209</v>
      </c>
      <c r="O897" s="158" t="s">
        <v>204</v>
      </c>
      <c r="P897" s="92"/>
      <c r="Q897" s="146" t="s">
        <v>204</v>
      </c>
      <c r="R897" s="92"/>
      <c r="S897" s="146" t="s">
        <v>204</v>
      </c>
      <c r="T897" s="92"/>
      <c r="U897" s="146" t="s">
        <v>204</v>
      </c>
      <c r="V897" s="92"/>
      <c r="W897" s="146" t="s">
        <v>204</v>
      </c>
      <c r="X897" s="92"/>
      <c r="Y897" s="146" t="s">
        <v>204</v>
      </c>
      <c r="Z897" s="92"/>
      <c r="AA897" s="146" t="s">
        <v>204</v>
      </c>
      <c r="AB897" s="92"/>
      <c r="AC897" s="146" t="s">
        <v>204</v>
      </c>
      <c r="AD897" s="92"/>
      <c r="AE897" s="146" t="s">
        <v>204</v>
      </c>
      <c r="AF897" s="187" t="str">
        <f t="shared" si="56"/>
        <v>C</v>
      </c>
      <c r="AG897" s="54" t="str">
        <f t="shared" si="58"/>
        <v>UTILIZOU O PDA CORRETAMENTE</v>
      </c>
      <c r="AH897" s="146" t="s">
        <v>204</v>
      </c>
      <c r="AI897" s="210" t="s">
        <v>6</v>
      </c>
      <c r="AJ897" s="97" t="str">
        <f t="shared" si="57"/>
        <v>GUARULHOS</v>
      </c>
      <c r="AK897" s="213" t="s">
        <v>39</v>
      </c>
      <c r="AL897" s="53">
        <v>0.60168962784204405</v>
      </c>
      <c r="AM897" s="53" t="str" cm="1">
        <f t="array" ref="AM897">IF(OR(O897&lt;&gt;"", SUMPRODUCT(($AN$2:$AN$5000=AN897)*($AL$2:$AL$5000&lt;=AL897)) &lt;= (COUNTIF($AN$2:$AN$5000,AN897)*0.5)), "SORTEADO", "-")</f>
        <v>SORTEADO</v>
      </c>
      <c r="AN897" s="245" t="s">
        <v>2294</v>
      </c>
    </row>
    <row r="898" spans="1:40" ht="30" hidden="1" customHeight="1" x14ac:dyDescent="0.2">
      <c r="A898" s="230" t="s">
        <v>197</v>
      </c>
      <c r="B898" s="230">
        <v>2617178959</v>
      </c>
      <c r="C898" s="230" t="s">
        <v>85</v>
      </c>
      <c r="D898" s="230" t="s">
        <v>76</v>
      </c>
      <c r="E898" s="230" t="s">
        <v>198</v>
      </c>
      <c r="F898" s="230" t="s">
        <v>2351</v>
      </c>
      <c r="G898" s="230">
        <v>420</v>
      </c>
      <c r="H898" s="230"/>
      <c r="I898" s="230" t="s">
        <v>253</v>
      </c>
      <c r="J898" s="230" t="s">
        <v>85</v>
      </c>
      <c r="K898" s="230" t="s">
        <v>2352</v>
      </c>
      <c r="L898" s="230" t="s">
        <v>2294</v>
      </c>
      <c r="M898" s="230" t="s">
        <v>2353</v>
      </c>
      <c r="N898" s="230" t="s">
        <v>203</v>
      </c>
      <c r="O898" s="158"/>
      <c r="P898" s="92"/>
      <c r="Q898" s="146"/>
      <c r="R898" s="92"/>
      <c r="S898" s="146"/>
      <c r="T898" s="92"/>
      <c r="U898" s="146"/>
      <c r="V898" s="92"/>
      <c r="W898" s="146"/>
      <c r="X898" s="92"/>
      <c r="Y898" s="146"/>
      <c r="Z898" s="92"/>
      <c r="AA898" s="146"/>
      <c r="AB898" s="92"/>
      <c r="AC898" s="146"/>
      <c r="AD898" s="92"/>
      <c r="AE898" s="146"/>
      <c r="AF898" s="187" t="str">
        <f t="shared" si="56"/>
        <v/>
      </c>
      <c r="AG898" s="54" t="b">
        <f t="shared" si="58"/>
        <v>0</v>
      </c>
      <c r="AH898" s="146"/>
      <c r="AI898" s="210" t="s">
        <v>6</v>
      </c>
      <c r="AJ898" s="97" t="str">
        <f t="shared" si="57"/>
        <v>GUARULHOS</v>
      </c>
      <c r="AK898" s="213" t="s">
        <v>39</v>
      </c>
      <c r="AL898" s="53">
        <v>0.9336375507343071</v>
      </c>
      <c r="AM898" s="53" t="str" cm="1">
        <f t="array" ref="AM898">IF(OR(O898&lt;&gt;"", SUMPRODUCT(($AN$2:$AN$5000=AN898)*($AL$2:$AL$5000&lt;=AL898)) &lt;= (COUNTIF($AN$2:$AN$5000,AN898)*0.5)), "SORTEADO", "-")</f>
        <v>-</v>
      </c>
      <c r="AN898" s="245" t="s">
        <v>2294</v>
      </c>
    </row>
    <row r="899" spans="1:40" ht="30" hidden="1" customHeight="1" x14ac:dyDescent="0.2">
      <c r="A899" s="230" t="s">
        <v>197</v>
      </c>
      <c r="B899" s="230">
        <v>2615572964</v>
      </c>
      <c r="C899" s="230" t="s">
        <v>2354</v>
      </c>
      <c r="D899" s="230" t="s">
        <v>79</v>
      </c>
      <c r="E899" s="230" t="s">
        <v>198</v>
      </c>
      <c r="F899" s="230" t="s">
        <v>759</v>
      </c>
      <c r="G899" s="230">
        <v>697</v>
      </c>
      <c r="H899" s="230" t="s">
        <v>2355</v>
      </c>
      <c r="I899" s="230" t="s">
        <v>761</v>
      </c>
      <c r="J899" s="230" t="s">
        <v>2356</v>
      </c>
      <c r="K899" s="230" t="s">
        <v>1107</v>
      </c>
      <c r="L899" s="230" t="s">
        <v>2294</v>
      </c>
      <c r="M899" s="230" t="s">
        <v>2357</v>
      </c>
      <c r="N899" s="230" t="s">
        <v>1104</v>
      </c>
      <c r="O899" s="158"/>
      <c r="P899" s="92"/>
      <c r="Q899" s="146"/>
      <c r="R899" s="92"/>
      <c r="S899" s="146"/>
      <c r="T899" s="92"/>
      <c r="U899" s="146"/>
      <c r="V899" s="92"/>
      <c r="W899" s="146"/>
      <c r="X899" s="92"/>
      <c r="Y899" s="146"/>
      <c r="Z899" s="92"/>
      <c r="AA899" s="146"/>
      <c r="AB899" s="92"/>
      <c r="AC899" s="146"/>
      <c r="AD899" s="92"/>
      <c r="AE899" s="146"/>
      <c r="AF899" s="187" t="str">
        <f t="shared" si="56"/>
        <v/>
      </c>
      <c r="AG899" s="54" t="b">
        <f t="shared" si="58"/>
        <v>0</v>
      </c>
      <c r="AH899" s="146"/>
      <c r="AI899" s="210" t="s">
        <v>6</v>
      </c>
      <c r="AJ899" s="97" t="str">
        <f t="shared" si="57"/>
        <v>GUARULHOS</v>
      </c>
      <c r="AK899" s="213" t="s">
        <v>39</v>
      </c>
      <c r="AL899" s="53">
        <v>0.82981420157983765</v>
      </c>
      <c r="AM899" s="53" t="str" cm="1">
        <f t="array" ref="AM899">IF(OR(O899&lt;&gt;"", SUMPRODUCT(($AN$2:$AN$5000=AN899)*($AL$2:$AL$5000&lt;=AL899)) &lt;= (COUNTIF($AN$2:$AN$5000,AN899)*0.5)), "SORTEADO", "-")</f>
        <v>-</v>
      </c>
      <c r="AN899" s="245" t="s">
        <v>2294</v>
      </c>
    </row>
    <row r="900" spans="1:40" ht="30" hidden="1" customHeight="1" x14ac:dyDescent="0.2">
      <c r="A900" s="230" t="s">
        <v>197</v>
      </c>
      <c r="B900" s="230">
        <v>2617621738</v>
      </c>
      <c r="C900" s="230" t="s">
        <v>523</v>
      </c>
      <c r="D900" s="230" t="s">
        <v>79</v>
      </c>
      <c r="E900" s="230" t="s">
        <v>198</v>
      </c>
      <c r="F900" s="230" t="s">
        <v>781</v>
      </c>
      <c r="G900" s="230">
        <v>220</v>
      </c>
      <c r="H900" s="230" t="s">
        <v>2358</v>
      </c>
      <c r="I900" s="230" t="s">
        <v>262</v>
      </c>
      <c r="J900" s="230" t="s">
        <v>524</v>
      </c>
      <c r="K900" s="237" t="s">
        <v>2359</v>
      </c>
      <c r="L900" s="230" t="s">
        <v>2294</v>
      </c>
      <c r="M900" s="230" t="s">
        <v>2360</v>
      </c>
      <c r="N900" s="230" t="s">
        <v>317</v>
      </c>
      <c r="O900" s="158"/>
      <c r="P900" s="92"/>
      <c r="Q900" s="146"/>
      <c r="R900" s="92"/>
      <c r="S900" s="146"/>
      <c r="T900" s="92"/>
      <c r="U900" s="146"/>
      <c r="V900" s="92"/>
      <c r="W900" s="146"/>
      <c r="X900" s="92"/>
      <c r="Y900" s="146"/>
      <c r="Z900" s="92"/>
      <c r="AA900" s="146"/>
      <c r="AB900" s="92"/>
      <c r="AC900" s="146"/>
      <c r="AD900" s="92"/>
      <c r="AE900" s="146"/>
      <c r="AF900" s="187" t="str">
        <f t="shared" si="56"/>
        <v/>
      </c>
      <c r="AG900" s="54" t="b">
        <f t="shared" si="58"/>
        <v>0</v>
      </c>
      <c r="AH900" s="146"/>
      <c r="AI900" s="210" t="s">
        <v>6</v>
      </c>
      <c r="AJ900" s="97" t="str">
        <f t="shared" si="57"/>
        <v>GUARULHOS</v>
      </c>
      <c r="AK900" s="213" t="s">
        <v>39</v>
      </c>
      <c r="AL900" s="53">
        <v>0.68613060948671734</v>
      </c>
      <c r="AM900" s="53" t="str" cm="1">
        <f t="array" ref="AM900">IF(OR(O900&lt;&gt;"", SUMPRODUCT(($AN$2:$AN$5000=AN900)*($AL$2:$AL$5000&lt;=AL900)) &lt;= (COUNTIF($AN$2:$AN$5000,AN900)*0.5)), "SORTEADO", "-")</f>
        <v>-</v>
      </c>
      <c r="AN900" s="245" t="s">
        <v>2294</v>
      </c>
    </row>
    <row r="901" spans="1:40" ht="30" hidden="1" customHeight="1" x14ac:dyDescent="0.2">
      <c r="A901" s="230" t="s">
        <v>197</v>
      </c>
      <c r="B901" s="230">
        <v>2617729786</v>
      </c>
      <c r="C901" s="230" t="s">
        <v>105</v>
      </c>
      <c r="D901" s="230" t="s">
        <v>80</v>
      </c>
      <c r="E901" s="230" t="s">
        <v>198</v>
      </c>
      <c r="F901" s="230" t="s">
        <v>982</v>
      </c>
      <c r="G901" s="230">
        <v>413</v>
      </c>
      <c r="H901" s="230" t="s">
        <v>2361</v>
      </c>
      <c r="I901" s="230" t="s">
        <v>984</v>
      </c>
      <c r="J901" s="230" t="s">
        <v>226</v>
      </c>
      <c r="K901" s="230" t="s">
        <v>2362</v>
      </c>
      <c r="L901" s="230" t="s">
        <v>2294</v>
      </c>
      <c r="M901" s="230" t="s">
        <v>2363</v>
      </c>
      <c r="N901" s="230" t="s">
        <v>317</v>
      </c>
      <c r="O901" s="158"/>
      <c r="P901" s="92"/>
      <c r="Q901" s="146"/>
      <c r="R901" s="92"/>
      <c r="S901" s="146"/>
      <c r="T901" s="92"/>
      <c r="U901" s="146"/>
      <c r="V901" s="92"/>
      <c r="W901" s="146"/>
      <c r="X901" s="92"/>
      <c r="Y901" s="146"/>
      <c r="Z901" s="92"/>
      <c r="AA901" s="146"/>
      <c r="AB901" s="92"/>
      <c r="AC901" s="146"/>
      <c r="AD901" s="92"/>
      <c r="AE901" s="146"/>
      <c r="AF901" s="187" t="str">
        <f t="shared" si="56"/>
        <v/>
      </c>
      <c r="AG901" s="54" t="b">
        <f t="shared" ref="AG901:AG932" si="59">IF(AND(AE901="C",AF901="C"),"UTILIZOU O PDA CORRETAMENTE",IF(AND(AE901="C",AF901="NC"),"UTILIZOU O PDA CORRETAMENTE. NÃO HÁ FOTOS DE TODAS AS ETAPAS",IF(AND(AE901="NC",AF901="NC"),"NÃO UTILIZOU O PDA",IF(AND(AE901="NA",AF901="NA"),"NÃO AVALIADO POR FALHA DE SINCRONISMO"))))</f>
        <v>0</v>
      </c>
      <c r="AH901" s="146"/>
      <c r="AI901" s="210" t="s">
        <v>6</v>
      </c>
      <c r="AJ901" s="97" t="str">
        <f t="shared" si="57"/>
        <v>GUARULHOS</v>
      </c>
      <c r="AK901" s="213" t="s">
        <v>39</v>
      </c>
      <c r="AL901" s="53">
        <v>0.61743073428238959</v>
      </c>
      <c r="AM901" s="53" t="str" cm="1">
        <f t="array" ref="AM901">IF(OR(O901&lt;&gt;"", SUMPRODUCT(($AN$2:$AN$5000=AN901)*($AL$2:$AL$5000&lt;=AL901)) &lt;= (COUNTIF($AN$2:$AN$5000,AN901)*0.5)), "SORTEADO", "-")</f>
        <v>-</v>
      </c>
      <c r="AN901" s="245" t="s">
        <v>2294</v>
      </c>
    </row>
    <row r="902" spans="1:40" ht="30" hidden="1" customHeight="1" x14ac:dyDescent="0.2">
      <c r="A902" s="230" t="s">
        <v>197</v>
      </c>
      <c r="B902" s="230">
        <v>2617736699</v>
      </c>
      <c r="C902" s="230" t="s">
        <v>105</v>
      </c>
      <c r="D902" s="230" t="s">
        <v>80</v>
      </c>
      <c r="E902" s="230" t="s">
        <v>198</v>
      </c>
      <c r="F902" s="230" t="s">
        <v>1248</v>
      </c>
      <c r="G902" s="230">
        <v>138</v>
      </c>
      <c r="H902" s="230" t="s">
        <v>1249</v>
      </c>
      <c r="I902" s="230" t="s">
        <v>791</v>
      </c>
      <c r="J902" s="230" t="s">
        <v>2177</v>
      </c>
      <c r="K902" s="230" t="s">
        <v>2364</v>
      </c>
      <c r="L902" s="230" t="s">
        <v>2294</v>
      </c>
      <c r="M902" s="230" t="s">
        <v>2365</v>
      </c>
      <c r="N902" s="230" t="s">
        <v>1104</v>
      </c>
      <c r="O902" s="158"/>
      <c r="P902" s="92"/>
      <c r="Q902" s="146"/>
      <c r="R902" s="92"/>
      <c r="S902" s="146"/>
      <c r="T902" s="92"/>
      <c r="U902" s="146"/>
      <c r="V902" s="92"/>
      <c r="W902" s="146"/>
      <c r="X902" s="92"/>
      <c r="Y902" s="146"/>
      <c r="Z902" s="92"/>
      <c r="AA902" s="146"/>
      <c r="AB902" s="92"/>
      <c r="AC902" s="146"/>
      <c r="AD902" s="92"/>
      <c r="AE902" s="146"/>
      <c r="AF902" s="187" t="str">
        <f t="shared" si="56"/>
        <v/>
      </c>
      <c r="AG902" s="54" t="b">
        <f t="shared" si="59"/>
        <v>0</v>
      </c>
      <c r="AH902" s="146"/>
      <c r="AI902" s="210" t="s">
        <v>6</v>
      </c>
      <c r="AJ902" s="97" t="str">
        <f t="shared" si="57"/>
        <v>GUARULHOS</v>
      </c>
      <c r="AK902" s="213" t="s">
        <v>39</v>
      </c>
      <c r="AL902" s="53">
        <v>0.62509224453449297</v>
      </c>
      <c r="AM902" s="53" t="str" cm="1">
        <f t="array" ref="AM902">IF(OR(O902&lt;&gt;"", SUMPRODUCT(($AN$2:$AN$5000=AN902)*($AL$2:$AL$5000&lt;=AL902)) &lt;= (COUNTIF($AN$2:$AN$5000,AN902)*0.5)), "SORTEADO", "-")</f>
        <v>-</v>
      </c>
      <c r="AN902" s="245" t="s">
        <v>2294</v>
      </c>
    </row>
    <row r="903" spans="1:40" ht="30" hidden="1" customHeight="1" x14ac:dyDescent="0.2">
      <c r="A903" s="230" t="s">
        <v>197</v>
      </c>
      <c r="B903" s="230">
        <v>2617755619</v>
      </c>
      <c r="C903" s="230" t="s">
        <v>100</v>
      </c>
      <c r="D903" s="230" t="s">
        <v>78</v>
      </c>
      <c r="E903" s="230" t="s">
        <v>198</v>
      </c>
      <c r="F903" s="230" t="s">
        <v>2366</v>
      </c>
      <c r="G903" s="230">
        <v>226</v>
      </c>
      <c r="H903" s="230" t="s">
        <v>2367</v>
      </c>
      <c r="I903" s="230" t="s">
        <v>509</v>
      </c>
      <c r="J903" s="230" t="s">
        <v>248</v>
      </c>
      <c r="K903" s="237" t="s">
        <v>2368</v>
      </c>
      <c r="L903" s="230" t="s">
        <v>2294</v>
      </c>
      <c r="M903" s="230" t="s">
        <v>2369</v>
      </c>
      <c r="N903" s="230" t="s">
        <v>271</v>
      </c>
      <c r="O903" s="158"/>
      <c r="P903" s="92"/>
      <c r="Q903" s="146"/>
      <c r="R903" s="92"/>
      <c r="S903" s="146"/>
      <c r="T903" s="92"/>
      <c r="U903" s="146"/>
      <c r="V903" s="92"/>
      <c r="W903" s="146"/>
      <c r="X903" s="92"/>
      <c r="Y903" s="146"/>
      <c r="Z903" s="92"/>
      <c r="AA903" s="146"/>
      <c r="AB903" s="92"/>
      <c r="AC903" s="146"/>
      <c r="AD903" s="92"/>
      <c r="AE903" s="146"/>
      <c r="AF903" s="187" t="str">
        <f t="shared" ref="AF903:AF966" si="60">IF(AND(O903="",Q903="",S903="",U903="",W903="",Y903="",AA903="",AC903=""),"",IF(OR(AND(O903&lt;&gt;"NA",O903&lt;&gt;"C",O903&lt;&gt;"NC",O903&lt;&gt;"SF",O903&lt;&gt;""),AND(Q903&lt;&gt;"NA",Q903&lt;&gt;"C",Q903&lt;&gt;"NC",Q903&lt;&gt;"SF",Q903&lt;&gt;""),AND(S903&lt;&gt;"NA",S903&lt;&gt;"C",S903&lt;&gt;"NC",S903&lt;&gt;"SF",S903&lt;&gt;""),AND(U903&lt;&gt;"NA",U903&lt;&gt;"C",U903&lt;&gt;"NC",U903&lt;&gt;"SF",U903&lt;&gt;""),AND(W903&lt;&gt;"NA",W903&lt;&gt;"C",W903&lt;&gt;"NC",W903&lt;&gt;"SF",W903&lt;&gt;""),AND(Y903&lt;&gt;"NA",Y903&lt;&gt;"C",Y903&lt;&gt;"NC",Y903&lt;&gt;"SF",Y903&lt;&gt;""),AND(AA903&lt;&gt;"NA",AA903&lt;&gt;"C",AA903&lt;&gt;"NC",AA903&lt;&gt;"SF",AA903&lt;&gt;""),AND(AC903&lt;&gt;"NA",AC903&lt;&gt;"C",AC903&lt;&gt;"NC",AC903&lt;&gt;"SF",AC903&lt;&gt;"")),"FALSO",IF(AND(O903="NA",Q903="NA",S903="NA",U903="NA",W903="NA",Y903="NA",AA903="NA",AC903="NA"),"NA",IF(OR(O903="NC",Q903="NC",S903="NC",U903="NC",W903="NC",Y903="NC",AA903="NC",AC903="NC",O903="SF",Q903="SF",S903="SF",U903="SF",W903="SF",Y903="SF",AA903="SF",AC903="SF"),"NC",IF(OR(O903="C",Q903="C",S903="C",U903="C",W903="C",Y903="C",AA903="C",AC903="C"),"C","")))))</f>
        <v/>
      </c>
      <c r="AG903" s="54" t="b">
        <f t="shared" si="59"/>
        <v>0</v>
      </c>
      <c r="AH903" s="146"/>
      <c r="AI903" s="210" t="s">
        <v>6</v>
      </c>
      <c r="AJ903" s="97" t="str">
        <f t="shared" ref="AJ903:AJ966" si="61">E903</f>
        <v>GUARULHOS</v>
      </c>
      <c r="AK903" s="213" t="s">
        <v>39</v>
      </c>
      <c r="AL903" s="53">
        <v>0.88319640888981887</v>
      </c>
      <c r="AM903" s="53" t="str" cm="1">
        <f t="array" ref="AM903">IF(OR(O903&lt;&gt;"", SUMPRODUCT(($AN$2:$AN$5000=AN903)*($AL$2:$AL$5000&lt;=AL903)) &lt;= (COUNTIF($AN$2:$AN$5000,AN903)*0.5)), "SORTEADO", "-")</f>
        <v>-</v>
      </c>
      <c r="AN903" s="245" t="s">
        <v>2294</v>
      </c>
    </row>
    <row r="904" spans="1:40" ht="30" hidden="1" customHeight="1" x14ac:dyDescent="0.2">
      <c r="A904" s="230" t="s">
        <v>197</v>
      </c>
      <c r="B904" s="230">
        <v>2617754628</v>
      </c>
      <c r="C904" s="230" t="s">
        <v>102</v>
      </c>
      <c r="D904" s="230" t="s">
        <v>80</v>
      </c>
      <c r="E904" s="230" t="s">
        <v>198</v>
      </c>
      <c r="F904" s="230" t="s">
        <v>2370</v>
      </c>
      <c r="G904" s="230">
        <v>86</v>
      </c>
      <c r="H904" s="230" t="s">
        <v>2371</v>
      </c>
      <c r="I904" s="230" t="s">
        <v>356</v>
      </c>
      <c r="J904" s="230" t="s">
        <v>259</v>
      </c>
      <c r="K904" s="230"/>
      <c r="L904" s="230" t="s">
        <v>2294</v>
      </c>
      <c r="M904" s="230" t="s">
        <v>2372</v>
      </c>
      <c r="N904" s="230" t="s">
        <v>237</v>
      </c>
      <c r="O904" s="158"/>
      <c r="P904" s="92"/>
      <c r="Q904" s="146"/>
      <c r="R904" s="92"/>
      <c r="S904" s="146"/>
      <c r="T904" s="92"/>
      <c r="U904" s="146"/>
      <c r="V904" s="92"/>
      <c r="W904" s="146"/>
      <c r="X904" s="92"/>
      <c r="Y904" s="146"/>
      <c r="Z904" s="92"/>
      <c r="AA904" s="146"/>
      <c r="AB904" s="92"/>
      <c r="AC904" s="146"/>
      <c r="AD904" s="92"/>
      <c r="AE904" s="146"/>
      <c r="AF904" s="187" t="str">
        <f t="shared" si="60"/>
        <v/>
      </c>
      <c r="AG904" s="54" t="b">
        <f t="shared" si="59"/>
        <v>0</v>
      </c>
      <c r="AH904" s="146"/>
      <c r="AI904" s="210" t="s">
        <v>6</v>
      </c>
      <c r="AJ904" s="97" t="str">
        <f t="shared" si="61"/>
        <v>GUARULHOS</v>
      </c>
      <c r="AK904" s="213" t="s">
        <v>39</v>
      </c>
      <c r="AL904" s="53">
        <v>0.73576990805367481</v>
      </c>
      <c r="AM904" s="53" t="str" cm="1">
        <f t="array" ref="AM904">IF(OR(O904&lt;&gt;"", SUMPRODUCT(($AN$2:$AN$5000=AN904)*($AL$2:$AL$5000&lt;=AL904)) &lt;= (COUNTIF($AN$2:$AN$5000,AN904)*0.5)), "SORTEADO", "-")</f>
        <v>-</v>
      </c>
      <c r="AN904" s="245" t="s">
        <v>2294</v>
      </c>
    </row>
    <row r="905" spans="1:40" ht="30" customHeight="1" x14ac:dyDescent="0.2">
      <c r="A905" s="230" t="s">
        <v>197</v>
      </c>
      <c r="B905" s="230">
        <v>2617612044</v>
      </c>
      <c r="C905" s="230" t="s">
        <v>88</v>
      </c>
      <c r="D905" s="230" t="s">
        <v>77</v>
      </c>
      <c r="E905" s="230" t="s">
        <v>198</v>
      </c>
      <c r="F905" s="230" t="s">
        <v>2373</v>
      </c>
      <c r="G905" s="230">
        <v>29</v>
      </c>
      <c r="H905" s="230" t="s">
        <v>2374</v>
      </c>
      <c r="I905" s="230" t="s">
        <v>366</v>
      </c>
      <c r="J905" s="230" t="s">
        <v>401</v>
      </c>
      <c r="K905" s="230" t="s">
        <v>213</v>
      </c>
      <c r="L905" s="230" t="s">
        <v>2294</v>
      </c>
      <c r="M905" s="230" t="s">
        <v>2375</v>
      </c>
      <c r="N905" s="230" t="s">
        <v>348</v>
      </c>
      <c r="O905" s="158" t="s">
        <v>204</v>
      </c>
      <c r="P905" s="146"/>
      <c r="Q905" s="146" t="s">
        <v>204</v>
      </c>
      <c r="R905" s="209"/>
      <c r="S905" s="146" t="s">
        <v>204</v>
      </c>
      <c r="T905" s="146"/>
      <c r="U905" s="146" t="s">
        <v>204</v>
      </c>
      <c r="V905" s="146"/>
      <c r="W905" s="146" t="s">
        <v>204</v>
      </c>
      <c r="X905" s="146"/>
      <c r="Y905" s="146" t="s">
        <v>61</v>
      </c>
      <c r="Z905" s="146"/>
      <c r="AA905" s="146" t="s">
        <v>204</v>
      </c>
      <c r="AB905" s="146"/>
      <c r="AC905" s="146" t="s">
        <v>204</v>
      </c>
      <c r="AD905" s="146"/>
      <c r="AE905" s="146" t="s">
        <v>204</v>
      </c>
      <c r="AF905" s="187" t="str">
        <f t="shared" si="60"/>
        <v>C</v>
      </c>
      <c r="AG905" s="54" t="str">
        <f t="shared" si="59"/>
        <v>UTILIZOU O PDA CORRETAMENTE</v>
      </c>
      <c r="AH905" s="146"/>
      <c r="AI905" s="210" t="s">
        <v>6</v>
      </c>
      <c r="AJ905" s="97" t="str">
        <f t="shared" si="61"/>
        <v>GUARULHOS</v>
      </c>
      <c r="AK905" s="213" t="s">
        <v>39</v>
      </c>
      <c r="AL905" s="53">
        <v>0.14679515946099342</v>
      </c>
      <c r="AM905" s="53" t="str" cm="1">
        <f t="array" ref="AM905">IF(OR(O905&lt;&gt;"", SUMPRODUCT(($AN$2:$AN$5000=AN905)*($AL$2:$AL$5000&lt;=AL905)) &lt;= (COUNTIF($AN$2:$AN$5000,AN905)*0.5)), "SORTEADO", "-")</f>
        <v>SORTEADO</v>
      </c>
      <c r="AN905" s="245" t="s">
        <v>2294</v>
      </c>
    </row>
    <row r="906" spans="1:40" ht="30" customHeight="1" x14ac:dyDescent="0.2">
      <c r="A906" s="230" t="s">
        <v>197</v>
      </c>
      <c r="B906" s="230">
        <v>2691701970</v>
      </c>
      <c r="C906" s="230" t="s">
        <v>98</v>
      </c>
      <c r="D906" s="230" t="s">
        <v>80</v>
      </c>
      <c r="E906" s="230" t="s">
        <v>198</v>
      </c>
      <c r="F906" s="230" t="s">
        <v>2376</v>
      </c>
      <c r="G906" s="230">
        <v>197</v>
      </c>
      <c r="H906" s="230" t="s">
        <v>257</v>
      </c>
      <c r="I906" s="230" t="s">
        <v>513</v>
      </c>
      <c r="J906" s="230" t="s">
        <v>297</v>
      </c>
      <c r="K906" s="230" t="s">
        <v>2377</v>
      </c>
      <c r="L906" s="230" t="s">
        <v>2294</v>
      </c>
      <c r="M906" s="230" t="s">
        <v>2378</v>
      </c>
      <c r="N906" s="230" t="s">
        <v>271</v>
      </c>
      <c r="O906" s="157" t="s">
        <v>204</v>
      </c>
      <c r="P906" s="143"/>
      <c r="Q906" s="144" t="s">
        <v>204</v>
      </c>
      <c r="R906" s="143"/>
      <c r="S906" s="144" t="s">
        <v>204</v>
      </c>
      <c r="T906" s="143"/>
      <c r="U906" s="144" t="s">
        <v>204</v>
      </c>
      <c r="V906" s="143"/>
      <c r="W906" s="144" t="s">
        <v>204</v>
      </c>
      <c r="X906" s="143"/>
      <c r="Y906" s="144" t="s">
        <v>204</v>
      </c>
      <c r="Z906" s="143"/>
      <c r="AA906" s="144" t="s">
        <v>204</v>
      </c>
      <c r="AB906" s="143"/>
      <c r="AC906" s="144" t="s">
        <v>204</v>
      </c>
      <c r="AD906" s="56"/>
      <c r="AE906" s="144" t="s">
        <v>204</v>
      </c>
      <c r="AF906" s="187" t="str">
        <f t="shared" si="60"/>
        <v>C</v>
      </c>
      <c r="AG906" s="54" t="str">
        <f t="shared" si="59"/>
        <v>UTILIZOU O PDA CORRETAMENTE</v>
      </c>
      <c r="AH906" s="144" t="s">
        <v>204</v>
      </c>
      <c r="AI906" s="210" t="s">
        <v>6</v>
      </c>
      <c r="AJ906" s="97" t="str">
        <f t="shared" si="61"/>
        <v>GUARULHOS</v>
      </c>
      <c r="AK906" s="213" t="s">
        <v>39</v>
      </c>
      <c r="AL906" s="53">
        <v>0.23283146723391879</v>
      </c>
      <c r="AM906" s="53" t="str" cm="1">
        <f t="array" ref="AM906">IF(OR(O906&lt;&gt;"", SUMPRODUCT(($AN$2:$AN$5000=AN906)*($AL$2:$AL$5000&lt;=AL906)) &lt;= (COUNTIF($AN$2:$AN$5000,AN906)*0.5)), "SORTEADO", "-")</f>
        <v>SORTEADO</v>
      </c>
      <c r="AN906" s="245" t="s">
        <v>2294</v>
      </c>
    </row>
    <row r="907" spans="1:40" ht="30" hidden="1" customHeight="1" x14ac:dyDescent="0.2">
      <c r="A907" s="230" t="s">
        <v>197</v>
      </c>
      <c r="B907" s="230">
        <v>2691670221</v>
      </c>
      <c r="C907" s="230" t="s">
        <v>89</v>
      </c>
      <c r="D907" s="230" t="s">
        <v>77</v>
      </c>
      <c r="E907" s="230" t="s">
        <v>198</v>
      </c>
      <c r="F907" s="230" t="s">
        <v>2379</v>
      </c>
      <c r="G907" s="230">
        <v>36</v>
      </c>
      <c r="H907" s="230" t="s">
        <v>2380</v>
      </c>
      <c r="I907" s="230" t="s">
        <v>713</v>
      </c>
      <c r="J907" s="230" t="s">
        <v>346</v>
      </c>
      <c r="K907" s="230" t="s">
        <v>2381</v>
      </c>
      <c r="L907" s="230" t="s">
        <v>2294</v>
      </c>
      <c r="M907" s="230" t="s">
        <v>2382</v>
      </c>
      <c r="N907" s="230" t="s">
        <v>244</v>
      </c>
      <c r="O907" s="158"/>
      <c r="P907" s="92"/>
      <c r="Q907" s="146"/>
      <c r="R907" s="92"/>
      <c r="S907" s="146"/>
      <c r="T907" s="92"/>
      <c r="U907" s="146"/>
      <c r="V907" s="92"/>
      <c r="W907" s="146"/>
      <c r="X907" s="92"/>
      <c r="Y907" s="146"/>
      <c r="Z907" s="92"/>
      <c r="AA907" s="146"/>
      <c r="AB907" s="92"/>
      <c r="AC907" s="146"/>
      <c r="AD907" s="92"/>
      <c r="AE907" s="146"/>
      <c r="AF907" s="187" t="str">
        <f t="shared" si="60"/>
        <v/>
      </c>
      <c r="AG907" s="54" t="b">
        <f t="shared" si="59"/>
        <v>0</v>
      </c>
      <c r="AH907" s="146"/>
      <c r="AI907" s="210" t="s">
        <v>6</v>
      </c>
      <c r="AJ907" s="97" t="str">
        <f t="shared" si="61"/>
        <v>GUARULHOS</v>
      </c>
      <c r="AK907" s="213" t="s">
        <v>39</v>
      </c>
      <c r="AL907" s="53">
        <v>0.98332785233372255</v>
      </c>
      <c r="AM907" s="53" t="str" cm="1">
        <f t="array" ref="AM907">IF(OR(O907&lt;&gt;"", SUMPRODUCT(($AN$2:$AN$5000=AN907)*($AL$2:$AL$5000&lt;=AL907)) &lt;= (COUNTIF($AN$2:$AN$5000,AN907)*0.5)), "SORTEADO", "-")</f>
        <v>-</v>
      </c>
      <c r="AN907" s="245" t="s">
        <v>2294</v>
      </c>
    </row>
    <row r="908" spans="1:40" ht="30" customHeight="1" x14ac:dyDescent="0.2">
      <c r="A908" s="230" t="s">
        <v>197</v>
      </c>
      <c r="B908" s="230">
        <v>2691776022</v>
      </c>
      <c r="C908" s="230" t="s">
        <v>102</v>
      </c>
      <c r="D908" s="230" t="s">
        <v>80</v>
      </c>
      <c r="E908" s="230" t="s">
        <v>198</v>
      </c>
      <c r="F908" s="230" t="s">
        <v>433</v>
      </c>
      <c r="G908" s="230">
        <v>229</v>
      </c>
      <c r="H908" s="230"/>
      <c r="I908" s="230" t="s">
        <v>315</v>
      </c>
      <c r="J908" s="230" t="s">
        <v>270</v>
      </c>
      <c r="K908" s="230" t="s">
        <v>2383</v>
      </c>
      <c r="L908" s="230" t="s">
        <v>2294</v>
      </c>
      <c r="M908" s="230" t="s">
        <v>2322</v>
      </c>
      <c r="N908" s="230" t="s">
        <v>287</v>
      </c>
      <c r="O908" s="158" t="s">
        <v>204</v>
      </c>
      <c r="P908" s="92"/>
      <c r="Q908" s="146" t="s">
        <v>204</v>
      </c>
      <c r="R908" s="92"/>
      <c r="S908" s="146" t="s">
        <v>204</v>
      </c>
      <c r="T908" s="92"/>
      <c r="U908" s="146" t="s">
        <v>204</v>
      </c>
      <c r="V908" s="92"/>
      <c r="W908" s="146" t="s">
        <v>204</v>
      </c>
      <c r="X908" s="92"/>
      <c r="Y908" s="146" t="s">
        <v>61</v>
      </c>
      <c r="Z908" s="92"/>
      <c r="AA908" s="146" t="s">
        <v>204</v>
      </c>
      <c r="AB908" s="92"/>
      <c r="AC908" s="146" t="s">
        <v>204</v>
      </c>
      <c r="AD908" s="92"/>
      <c r="AE908" s="146" t="s">
        <v>204</v>
      </c>
      <c r="AF908" s="187" t="str">
        <f t="shared" si="60"/>
        <v>C</v>
      </c>
      <c r="AG908" s="54" t="str">
        <f t="shared" si="59"/>
        <v>UTILIZOU O PDA CORRETAMENTE</v>
      </c>
      <c r="AH908" s="144" t="s">
        <v>204</v>
      </c>
      <c r="AI908" s="210" t="s">
        <v>6</v>
      </c>
      <c r="AJ908" s="97" t="str">
        <f t="shared" si="61"/>
        <v>GUARULHOS</v>
      </c>
      <c r="AK908" s="213" t="s">
        <v>39</v>
      </c>
      <c r="AL908" s="53">
        <v>9.7999494946910848E-2</v>
      </c>
      <c r="AM908" s="53" t="str" cm="1">
        <f t="array" ref="AM908">IF(OR(O908&lt;&gt;"", SUMPRODUCT(($AN$2:$AN$5000=AN908)*($AL$2:$AL$5000&lt;=AL908)) &lt;= (COUNTIF($AN$2:$AN$5000,AN908)*0.5)), "SORTEADO", "-")</f>
        <v>SORTEADO</v>
      </c>
      <c r="AN908" s="245" t="s">
        <v>2294</v>
      </c>
    </row>
    <row r="909" spans="1:40" ht="30" hidden="1" customHeight="1" x14ac:dyDescent="0.2">
      <c r="A909" s="230" t="s">
        <v>197</v>
      </c>
      <c r="B909" s="230">
        <v>2691801827</v>
      </c>
      <c r="C909" s="230" t="s">
        <v>103</v>
      </c>
      <c r="D909" s="230" t="s">
        <v>80</v>
      </c>
      <c r="E909" s="230" t="s">
        <v>198</v>
      </c>
      <c r="F909" s="230" t="s">
        <v>861</v>
      </c>
      <c r="G909" s="230">
        <v>245</v>
      </c>
      <c r="H909" s="230" t="s">
        <v>2384</v>
      </c>
      <c r="I909" s="230" t="s">
        <v>411</v>
      </c>
      <c r="J909" s="230" t="s">
        <v>270</v>
      </c>
      <c r="K909" s="230" t="s">
        <v>532</v>
      </c>
      <c r="L909" s="230" t="s">
        <v>2294</v>
      </c>
      <c r="M909" s="230" t="s">
        <v>2385</v>
      </c>
      <c r="N909" s="230" t="s">
        <v>432</v>
      </c>
      <c r="O909" s="158"/>
      <c r="P909" s="92"/>
      <c r="Q909" s="146"/>
      <c r="R909" s="92"/>
      <c r="S909" s="146"/>
      <c r="T909" s="92"/>
      <c r="U909" s="146"/>
      <c r="V909" s="92"/>
      <c r="W909" s="146"/>
      <c r="X909" s="92"/>
      <c r="Y909" s="146"/>
      <c r="Z909" s="92"/>
      <c r="AA909" s="146"/>
      <c r="AB909" s="92"/>
      <c r="AC909" s="146"/>
      <c r="AD909" s="92"/>
      <c r="AE909" s="146"/>
      <c r="AF909" s="187" t="str">
        <f t="shared" si="60"/>
        <v/>
      </c>
      <c r="AG909" s="54" t="b">
        <f t="shared" si="59"/>
        <v>0</v>
      </c>
      <c r="AH909" s="146"/>
      <c r="AI909" s="210" t="s">
        <v>6</v>
      </c>
      <c r="AJ909" s="97" t="str">
        <f t="shared" si="61"/>
        <v>GUARULHOS</v>
      </c>
      <c r="AK909" s="213" t="s">
        <v>39</v>
      </c>
      <c r="AL909" s="53">
        <v>0.87522565416894083</v>
      </c>
      <c r="AM909" s="53" t="str" cm="1">
        <f t="array" ref="AM909">IF(OR(O909&lt;&gt;"", SUMPRODUCT(($AN$2:$AN$5000=AN909)*($AL$2:$AL$5000&lt;=AL909)) &lt;= (COUNTIF($AN$2:$AN$5000,AN909)*0.5)), "SORTEADO", "-")</f>
        <v>-</v>
      </c>
      <c r="AN909" s="245" t="s">
        <v>2294</v>
      </c>
    </row>
    <row r="910" spans="1:40" ht="30" hidden="1" customHeight="1" x14ac:dyDescent="0.2">
      <c r="A910" s="230" t="s">
        <v>197</v>
      </c>
      <c r="B910" s="230">
        <v>2617618604</v>
      </c>
      <c r="C910" s="230" t="s">
        <v>99</v>
      </c>
      <c r="D910" s="230" t="s">
        <v>80</v>
      </c>
      <c r="E910" s="230" t="s">
        <v>198</v>
      </c>
      <c r="F910" s="230" t="s">
        <v>2386</v>
      </c>
      <c r="G910" s="230">
        <v>106</v>
      </c>
      <c r="H910" s="230" t="s">
        <v>213</v>
      </c>
      <c r="I910" s="230" t="s">
        <v>368</v>
      </c>
      <c r="J910" s="230" t="s">
        <v>305</v>
      </c>
      <c r="K910" s="230" t="s">
        <v>213</v>
      </c>
      <c r="L910" s="230" t="s">
        <v>2294</v>
      </c>
      <c r="M910" s="230" t="s">
        <v>2387</v>
      </c>
      <c r="N910" s="230" t="s">
        <v>250</v>
      </c>
      <c r="O910" s="158"/>
      <c r="P910" s="92"/>
      <c r="Q910" s="146"/>
      <c r="R910" s="92"/>
      <c r="S910" s="146"/>
      <c r="T910" s="92"/>
      <c r="U910" s="146"/>
      <c r="V910" s="92"/>
      <c r="W910" s="146"/>
      <c r="X910" s="92"/>
      <c r="Y910" s="146"/>
      <c r="Z910" s="92"/>
      <c r="AA910" s="146"/>
      <c r="AB910" s="92"/>
      <c r="AC910" s="146"/>
      <c r="AD910" s="92"/>
      <c r="AE910" s="146"/>
      <c r="AF910" s="187" t="str">
        <f t="shared" si="60"/>
        <v/>
      </c>
      <c r="AG910" s="54" t="b">
        <f t="shared" si="59"/>
        <v>0</v>
      </c>
      <c r="AH910" s="146"/>
      <c r="AI910" s="210" t="s">
        <v>6</v>
      </c>
      <c r="AJ910" s="97" t="str">
        <f t="shared" si="61"/>
        <v>GUARULHOS</v>
      </c>
      <c r="AK910" s="213" t="s">
        <v>39</v>
      </c>
      <c r="AL910" s="53">
        <v>0.80065696526845753</v>
      </c>
      <c r="AM910" s="53" t="str" cm="1">
        <f t="array" ref="AM910">IF(OR(O910&lt;&gt;"", SUMPRODUCT(($AN$2:$AN$5000=AN910)*($AL$2:$AL$5000&lt;=AL910)) &lt;= (COUNTIF($AN$2:$AN$5000,AN910)*0.5)), "SORTEADO", "-")</f>
        <v>-</v>
      </c>
      <c r="AN910" s="245" t="s">
        <v>2294</v>
      </c>
    </row>
    <row r="911" spans="1:40" ht="30" customHeight="1" x14ac:dyDescent="0.2">
      <c r="A911" s="230" t="s">
        <v>197</v>
      </c>
      <c r="B911" s="230">
        <v>2691798120</v>
      </c>
      <c r="C911" s="230" t="s">
        <v>89</v>
      </c>
      <c r="D911" s="230" t="s">
        <v>77</v>
      </c>
      <c r="E911" s="230" t="s">
        <v>198</v>
      </c>
      <c r="F911" s="230" t="s">
        <v>2388</v>
      </c>
      <c r="G911" s="230">
        <v>95</v>
      </c>
      <c r="H911" s="230" t="s">
        <v>2389</v>
      </c>
      <c r="I911" s="230" t="s">
        <v>1445</v>
      </c>
      <c r="J911" s="230" t="s">
        <v>346</v>
      </c>
      <c r="K911" s="230" t="s">
        <v>2390</v>
      </c>
      <c r="L911" s="230" t="s">
        <v>2294</v>
      </c>
      <c r="M911" s="230" t="s">
        <v>2391</v>
      </c>
      <c r="N911" s="230" t="s">
        <v>615</v>
      </c>
      <c r="O911" s="158" t="s">
        <v>204</v>
      </c>
      <c r="P911" s="146"/>
      <c r="Q911" s="146" t="s">
        <v>204</v>
      </c>
      <c r="R911" s="209"/>
      <c r="S911" s="146" t="s">
        <v>204</v>
      </c>
      <c r="T911" s="146"/>
      <c r="U911" s="146" t="s">
        <v>204</v>
      </c>
      <c r="V911" s="146"/>
      <c r="W911" s="146" t="s">
        <v>204</v>
      </c>
      <c r="X911" s="146"/>
      <c r="Y911" s="146" t="s">
        <v>61</v>
      </c>
      <c r="Z911" s="146"/>
      <c r="AA911" s="146" t="s">
        <v>204</v>
      </c>
      <c r="AB911" s="146"/>
      <c r="AC911" s="146" t="s">
        <v>204</v>
      </c>
      <c r="AD911" s="146"/>
      <c r="AE911" s="146" t="s">
        <v>204</v>
      </c>
      <c r="AF911" s="187" t="str">
        <f t="shared" si="60"/>
        <v>C</v>
      </c>
      <c r="AG911" s="54" t="str">
        <f t="shared" si="59"/>
        <v>UTILIZOU O PDA CORRETAMENTE</v>
      </c>
      <c r="AH911" s="146"/>
      <c r="AI911" s="210" t="s">
        <v>6</v>
      </c>
      <c r="AJ911" s="97" t="str">
        <f t="shared" si="61"/>
        <v>GUARULHOS</v>
      </c>
      <c r="AK911" s="213" t="s">
        <v>39</v>
      </c>
      <c r="AL911" s="53">
        <v>6.0338447989484512E-2</v>
      </c>
      <c r="AM911" s="53" t="str" cm="1">
        <f t="array" ref="AM911">IF(OR(O911&lt;&gt;"", SUMPRODUCT(($AN$2:$AN$5000=AN911)*($AL$2:$AL$5000&lt;=AL911)) &lt;= (COUNTIF($AN$2:$AN$5000,AN911)*0.5)), "SORTEADO", "-")</f>
        <v>SORTEADO</v>
      </c>
      <c r="AN911" s="245" t="s">
        <v>2294</v>
      </c>
    </row>
    <row r="912" spans="1:40" ht="30" hidden="1" customHeight="1" x14ac:dyDescent="0.2">
      <c r="A912" s="242" t="s">
        <v>197</v>
      </c>
      <c r="B912" s="242">
        <v>2617729870</v>
      </c>
      <c r="C912" s="242" t="s">
        <v>99</v>
      </c>
      <c r="D912" s="242" t="s">
        <v>80</v>
      </c>
      <c r="E912" s="242" t="s">
        <v>198</v>
      </c>
      <c r="F912" s="242" t="s">
        <v>2392</v>
      </c>
      <c r="G912" s="242">
        <v>155</v>
      </c>
      <c r="H912" s="242" t="s">
        <v>1764</v>
      </c>
      <c r="I912" s="242" t="s">
        <v>492</v>
      </c>
      <c r="J912" s="242" t="s">
        <v>305</v>
      </c>
      <c r="K912" s="242" t="s">
        <v>213</v>
      </c>
      <c r="L912" s="242" t="s">
        <v>2294</v>
      </c>
      <c r="M912" s="242" t="s">
        <v>2393</v>
      </c>
      <c r="N912" s="242" t="s">
        <v>250</v>
      </c>
      <c r="O912" s="158"/>
      <c r="P912" s="92"/>
      <c r="Q912" s="146"/>
      <c r="R912" s="92"/>
      <c r="S912" s="146"/>
      <c r="T912" s="92"/>
      <c r="U912" s="146"/>
      <c r="V912" s="92"/>
      <c r="W912" s="146"/>
      <c r="X912" s="92"/>
      <c r="Y912" s="146"/>
      <c r="Z912" s="92"/>
      <c r="AA912" s="146"/>
      <c r="AB912" s="92"/>
      <c r="AC912" s="146"/>
      <c r="AD912" s="92"/>
      <c r="AE912" s="146"/>
      <c r="AF912" s="187" t="str">
        <f t="shared" si="60"/>
        <v/>
      </c>
      <c r="AG912" s="54" t="b">
        <f t="shared" si="59"/>
        <v>0</v>
      </c>
      <c r="AH912" s="146"/>
      <c r="AI912" s="210" t="s">
        <v>6</v>
      </c>
      <c r="AJ912" s="97" t="str">
        <f t="shared" si="61"/>
        <v>GUARULHOS</v>
      </c>
      <c r="AK912" s="213" t="s">
        <v>39</v>
      </c>
      <c r="AL912" s="53">
        <v>0.98029928985717074</v>
      </c>
      <c r="AM912" s="53" t="str" cm="1">
        <f t="array" ref="AM912">IF(OR(O912&lt;&gt;"", SUMPRODUCT(($AN$2:$AN$5000=AN912)*($AL$2:$AL$5000&lt;=AL912)) &lt;= (COUNTIF($AN$2:$AN$5000,AN912)*0.5)), "SORTEADO", "-")</f>
        <v>-</v>
      </c>
      <c r="AN912" s="253" t="s">
        <v>2294</v>
      </c>
    </row>
    <row r="913" spans="1:40" ht="30" customHeight="1" x14ac:dyDescent="0.2">
      <c r="A913" s="230" t="s">
        <v>197</v>
      </c>
      <c r="B913" s="230">
        <v>2617782851</v>
      </c>
      <c r="C913" s="230" t="s">
        <v>100</v>
      </c>
      <c r="D913" s="230" t="s">
        <v>78</v>
      </c>
      <c r="E913" s="230" t="s">
        <v>198</v>
      </c>
      <c r="F913" s="230" t="s">
        <v>2394</v>
      </c>
      <c r="G913" s="230">
        <v>33</v>
      </c>
      <c r="H913" s="230" t="s">
        <v>213</v>
      </c>
      <c r="I913" s="230" t="s">
        <v>1575</v>
      </c>
      <c r="J913" s="230" t="s">
        <v>248</v>
      </c>
      <c r="K913" s="230" t="s">
        <v>2395</v>
      </c>
      <c r="L913" s="230" t="s">
        <v>2396</v>
      </c>
      <c r="M913" s="230" t="s">
        <v>2397</v>
      </c>
      <c r="N913" s="230" t="s">
        <v>228</v>
      </c>
      <c r="O913" s="157" t="s">
        <v>204</v>
      </c>
      <c r="P913" s="143"/>
      <c r="Q913" s="144" t="s">
        <v>204</v>
      </c>
      <c r="R913" s="143"/>
      <c r="S913" s="144" t="s">
        <v>204</v>
      </c>
      <c r="T913" s="143"/>
      <c r="U913" s="144" t="s">
        <v>204</v>
      </c>
      <c r="V913" s="143"/>
      <c r="W913" s="144" t="s">
        <v>204</v>
      </c>
      <c r="X913" s="143"/>
      <c r="Y913" s="144" t="s">
        <v>204</v>
      </c>
      <c r="Z913" s="143"/>
      <c r="AA913" s="144" t="s">
        <v>204</v>
      </c>
      <c r="AB913" s="143"/>
      <c r="AC913" s="144" t="s">
        <v>204</v>
      </c>
      <c r="AD913" s="56"/>
      <c r="AE913" s="144" t="s">
        <v>204</v>
      </c>
      <c r="AF913" s="187" t="str">
        <f t="shared" si="60"/>
        <v>C</v>
      </c>
      <c r="AG913" s="54" t="str">
        <f t="shared" si="59"/>
        <v>UTILIZOU O PDA CORRETAMENTE</v>
      </c>
      <c r="AH913" s="144" t="s">
        <v>204</v>
      </c>
      <c r="AI913" s="210" t="s">
        <v>6</v>
      </c>
      <c r="AJ913" s="97" t="str">
        <f t="shared" si="61"/>
        <v>GUARULHOS</v>
      </c>
      <c r="AK913" s="213" t="s">
        <v>39</v>
      </c>
      <c r="AL913" s="53">
        <v>0.1291237252151386</v>
      </c>
      <c r="AM913" s="53" t="str" cm="1">
        <f t="array" ref="AM913">IF(OR(O913&lt;&gt;"", SUMPRODUCT(($AN$2:$AN$5000=AN913)*($AL$2:$AL$5000&lt;=AL913)) &lt;= (COUNTIF($AN$2:$AN$5000,AN913)*0.5)), "SORTEADO", "-")</f>
        <v>SORTEADO</v>
      </c>
      <c r="AN913" s="245" t="s">
        <v>2396</v>
      </c>
    </row>
    <row r="914" spans="1:40" ht="30" customHeight="1" x14ac:dyDescent="0.2">
      <c r="A914" s="230" t="s">
        <v>197</v>
      </c>
      <c r="B914" s="230">
        <v>2617783118</v>
      </c>
      <c r="C914" s="230" t="s">
        <v>89</v>
      </c>
      <c r="D914" s="230" t="s">
        <v>77</v>
      </c>
      <c r="E914" s="230" t="s">
        <v>198</v>
      </c>
      <c r="F914" s="230" t="s">
        <v>2394</v>
      </c>
      <c r="G914" s="230">
        <v>33</v>
      </c>
      <c r="H914" s="230"/>
      <c r="I914" s="230" t="s">
        <v>1575</v>
      </c>
      <c r="J914" s="230" t="s">
        <v>346</v>
      </c>
      <c r="K914" s="230" t="s">
        <v>2395</v>
      </c>
      <c r="L914" s="230" t="s">
        <v>2396</v>
      </c>
      <c r="M914" s="230" t="s">
        <v>2398</v>
      </c>
      <c r="N914" s="230" t="s">
        <v>228</v>
      </c>
      <c r="O914" s="158" t="s">
        <v>204</v>
      </c>
      <c r="P914" s="146"/>
      <c r="Q914" s="146" t="s">
        <v>204</v>
      </c>
      <c r="R914" s="209"/>
      <c r="S914" s="146" t="s">
        <v>204</v>
      </c>
      <c r="T914" s="146"/>
      <c r="U914" s="146" t="s">
        <v>204</v>
      </c>
      <c r="V914" s="146"/>
      <c r="W914" s="146" t="s">
        <v>204</v>
      </c>
      <c r="X914" s="146"/>
      <c r="Y914" s="146" t="s">
        <v>61</v>
      </c>
      <c r="Z914" s="146"/>
      <c r="AA914" s="146" t="s">
        <v>204</v>
      </c>
      <c r="AB914" s="146"/>
      <c r="AC914" s="146" t="s">
        <v>204</v>
      </c>
      <c r="AD914" s="146"/>
      <c r="AE914" s="146" t="s">
        <v>204</v>
      </c>
      <c r="AF914" s="187" t="str">
        <f t="shared" si="60"/>
        <v>C</v>
      </c>
      <c r="AG914" s="54" t="str">
        <f t="shared" si="59"/>
        <v>UTILIZOU O PDA CORRETAMENTE</v>
      </c>
      <c r="AH914" s="146"/>
      <c r="AI914" s="210" t="s">
        <v>6</v>
      </c>
      <c r="AJ914" s="97" t="str">
        <f t="shared" si="61"/>
        <v>GUARULHOS</v>
      </c>
      <c r="AK914" s="213" t="s">
        <v>39</v>
      </c>
      <c r="AL914" s="53">
        <v>0.13711486858194177</v>
      </c>
      <c r="AM914" s="53" t="str" cm="1">
        <f t="array" ref="AM914">IF(OR(O914&lt;&gt;"", SUMPRODUCT(($AN$2:$AN$5000=AN914)*($AL$2:$AL$5000&lt;=AL914)) &lt;= (COUNTIF($AN$2:$AN$5000,AN914)*0.5)), "SORTEADO", "-")</f>
        <v>SORTEADO</v>
      </c>
      <c r="AN914" s="245" t="s">
        <v>2396</v>
      </c>
    </row>
    <row r="915" spans="1:40" ht="30" hidden="1" customHeight="1" x14ac:dyDescent="0.2">
      <c r="A915" s="230" t="s">
        <v>197</v>
      </c>
      <c r="B915" s="230">
        <v>2617619031</v>
      </c>
      <c r="C915" s="230" t="s">
        <v>104</v>
      </c>
      <c r="D915" s="230" t="s">
        <v>80</v>
      </c>
      <c r="E915" s="230" t="s">
        <v>198</v>
      </c>
      <c r="F915" s="230" t="s">
        <v>2399</v>
      </c>
      <c r="G915" s="230">
        <v>52</v>
      </c>
      <c r="H915" s="230" t="s">
        <v>2400</v>
      </c>
      <c r="I915" s="230" t="s">
        <v>258</v>
      </c>
      <c r="J915" s="230" t="s">
        <v>226</v>
      </c>
      <c r="K915" s="230" t="s">
        <v>213</v>
      </c>
      <c r="L915" s="230" t="s">
        <v>2396</v>
      </c>
      <c r="M915" s="230" t="s">
        <v>2401</v>
      </c>
      <c r="N915" s="230" t="s">
        <v>237</v>
      </c>
      <c r="O915" s="158"/>
      <c r="P915" s="92"/>
      <c r="Q915" s="146"/>
      <c r="R915" s="92"/>
      <c r="S915" s="146"/>
      <c r="T915" s="92"/>
      <c r="U915" s="146"/>
      <c r="V915" s="92"/>
      <c r="W915" s="146"/>
      <c r="X915" s="92"/>
      <c r="Y915" s="146"/>
      <c r="Z915" s="92"/>
      <c r="AA915" s="146"/>
      <c r="AB915" s="92"/>
      <c r="AC915" s="146"/>
      <c r="AD915" s="92"/>
      <c r="AE915" s="146"/>
      <c r="AF915" s="187" t="str">
        <f t="shared" si="60"/>
        <v/>
      </c>
      <c r="AG915" s="54" t="b">
        <f t="shared" si="59"/>
        <v>0</v>
      </c>
      <c r="AH915" s="146"/>
      <c r="AI915" s="210" t="s">
        <v>6</v>
      </c>
      <c r="AJ915" s="97" t="str">
        <f t="shared" si="61"/>
        <v>GUARULHOS</v>
      </c>
      <c r="AK915" s="213" t="s">
        <v>39</v>
      </c>
      <c r="AL915" s="53">
        <v>0.87699022858091014</v>
      </c>
      <c r="AM915" s="53" t="str" cm="1">
        <f t="array" ref="AM915">IF(OR(O915&lt;&gt;"", SUMPRODUCT(($AN$2:$AN$5000=AN915)*($AL$2:$AL$5000&lt;=AL915)) &lt;= (COUNTIF($AN$2:$AN$5000,AN915)*0.5)), "SORTEADO", "-")</f>
        <v>-</v>
      </c>
      <c r="AN915" s="245" t="s">
        <v>2396</v>
      </c>
    </row>
    <row r="916" spans="1:40" ht="30" hidden="1" customHeight="1" x14ac:dyDescent="0.2">
      <c r="A916" s="230" t="s">
        <v>197</v>
      </c>
      <c r="B916" s="230">
        <v>2691816735</v>
      </c>
      <c r="C916" s="230" t="s">
        <v>106</v>
      </c>
      <c r="D916" s="230" t="s">
        <v>80</v>
      </c>
      <c r="E916" s="230" t="s">
        <v>198</v>
      </c>
      <c r="F916" s="230" t="s">
        <v>1339</v>
      </c>
      <c r="G916" s="230">
        <v>84</v>
      </c>
      <c r="H916" s="230" t="s">
        <v>1340</v>
      </c>
      <c r="I916" s="230" t="s">
        <v>379</v>
      </c>
      <c r="J916" s="230" t="s">
        <v>270</v>
      </c>
      <c r="K916" s="230"/>
      <c r="L916" s="230" t="s">
        <v>2396</v>
      </c>
      <c r="M916" s="230" t="s">
        <v>2402</v>
      </c>
      <c r="N916" s="230" t="s">
        <v>381</v>
      </c>
      <c r="O916" s="158"/>
      <c r="P916" s="92"/>
      <c r="Q916" s="146"/>
      <c r="R916" s="92"/>
      <c r="S916" s="146"/>
      <c r="T916" s="92"/>
      <c r="U916" s="146"/>
      <c r="V916" s="92"/>
      <c r="W916" s="146"/>
      <c r="X916" s="92"/>
      <c r="Y916" s="146"/>
      <c r="Z916" s="92"/>
      <c r="AA916" s="146"/>
      <c r="AB916" s="92"/>
      <c r="AC916" s="146"/>
      <c r="AD916" s="92"/>
      <c r="AE916" s="146"/>
      <c r="AF916" s="187" t="str">
        <f t="shared" si="60"/>
        <v/>
      </c>
      <c r="AG916" s="54" t="b">
        <f t="shared" si="59"/>
        <v>0</v>
      </c>
      <c r="AH916" s="146"/>
      <c r="AI916" s="210" t="s">
        <v>6</v>
      </c>
      <c r="AJ916" s="97" t="str">
        <f t="shared" si="61"/>
        <v>GUARULHOS</v>
      </c>
      <c r="AK916" s="213" t="s">
        <v>39</v>
      </c>
      <c r="AL916" s="53">
        <v>0.82898269226375654</v>
      </c>
      <c r="AM916" s="53" t="str" cm="1">
        <f t="array" ref="AM916">IF(OR(O916&lt;&gt;"", SUMPRODUCT(($AN$2:$AN$5000=AN916)*($AL$2:$AL$5000&lt;=AL916)) &lt;= (COUNTIF($AN$2:$AN$5000,AN916)*0.5)), "SORTEADO", "-")</f>
        <v>-</v>
      </c>
      <c r="AN916" s="245" t="s">
        <v>2396</v>
      </c>
    </row>
    <row r="917" spans="1:40" ht="30" hidden="1" customHeight="1" x14ac:dyDescent="0.2">
      <c r="A917" s="230" t="s">
        <v>197</v>
      </c>
      <c r="B917" s="230">
        <v>2691815628</v>
      </c>
      <c r="C917" s="230" t="s">
        <v>102</v>
      </c>
      <c r="D917" s="230" t="s">
        <v>80</v>
      </c>
      <c r="E917" s="230" t="s">
        <v>198</v>
      </c>
      <c r="F917" s="230" t="s">
        <v>2403</v>
      </c>
      <c r="G917" s="230">
        <v>27</v>
      </c>
      <c r="H917" s="230" t="s">
        <v>353</v>
      </c>
      <c r="I917" s="230" t="s">
        <v>368</v>
      </c>
      <c r="J917" s="230" t="s">
        <v>259</v>
      </c>
      <c r="K917" s="230" t="s">
        <v>2404</v>
      </c>
      <c r="L917" s="230" t="s">
        <v>2396</v>
      </c>
      <c r="M917" s="230" t="s">
        <v>2405</v>
      </c>
      <c r="N917" s="230" t="s">
        <v>381</v>
      </c>
      <c r="O917" s="158"/>
      <c r="P917" s="92"/>
      <c r="Q917" s="146"/>
      <c r="R917" s="92"/>
      <c r="S917" s="146"/>
      <c r="T917" s="92"/>
      <c r="U917" s="146"/>
      <c r="V917" s="92"/>
      <c r="W917" s="146"/>
      <c r="X917" s="92"/>
      <c r="Y917" s="146"/>
      <c r="Z917" s="92"/>
      <c r="AA917" s="146"/>
      <c r="AB917" s="92"/>
      <c r="AC917" s="146"/>
      <c r="AD917" s="92"/>
      <c r="AE917" s="146"/>
      <c r="AF917" s="187" t="str">
        <f t="shared" si="60"/>
        <v/>
      </c>
      <c r="AG917" s="54" t="b">
        <f t="shared" si="59"/>
        <v>0</v>
      </c>
      <c r="AH917" s="146"/>
      <c r="AI917" s="210" t="s">
        <v>6</v>
      </c>
      <c r="AJ917" s="97" t="str">
        <f t="shared" si="61"/>
        <v>GUARULHOS</v>
      </c>
      <c r="AK917" s="213" t="s">
        <v>39</v>
      </c>
      <c r="AL917" s="53">
        <v>0.47489952019628723</v>
      </c>
      <c r="AM917" s="53" t="str" cm="1">
        <f t="array" ref="AM917">IF(OR(O917&lt;&gt;"", SUMPRODUCT(($AN$2:$AN$5000=AN917)*($AL$2:$AL$5000&lt;=AL917)) &lt;= (COUNTIF($AN$2:$AN$5000,AN917)*0.5)), "SORTEADO", "-")</f>
        <v>-</v>
      </c>
      <c r="AN917" s="245" t="s">
        <v>2396</v>
      </c>
    </row>
    <row r="918" spans="1:40" ht="30" customHeight="1" x14ac:dyDescent="0.2">
      <c r="A918" s="230" t="s">
        <v>197</v>
      </c>
      <c r="B918" s="230">
        <v>2617770941</v>
      </c>
      <c r="C918" s="230" t="s">
        <v>105</v>
      </c>
      <c r="D918" s="230" t="s">
        <v>80</v>
      </c>
      <c r="E918" s="230" t="s">
        <v>198</v>
      </c>
      <c r="F918" s="230" t="s">
        <v>1636</v>
      </c>
      <c r="G918" s="230">
        <v>355</v>
      </c>
      <c r="H918" s="230" t="s">
        <v>508</v>
      </c>
      <c r="I918" s="230" t="s">
        <v>538</v>
      </c>
      <c r="J918" s="230" t="s">
        <v>226</v>
      </c>
      <c r="K918" s="230"/>
      <c r="L918" s="230" t="s">
        <v>2396</v>
      </c>
      <c r="M918" s="230" t="s">
        <v>2406</v>
      </c>
      <c r="N918" s="230" t="s">
        <v>322</v>
      </c>
      <c r="O918" s="158" t="s">
        <v>204</v>
      </c>
      <c r="P918" s="92"/>
      <c r="Q918" s="146" t="s">
        <v>204</v>
      </c>
      <c r="R918" s="92"/>
      <c r="S918" s="146" t="s">
        <v>204</v>
      </c>
      <c r="T918" s="92"/>
      <c r="U918" s="146" t="s">
        <v>204</v>
      </c>
      <c r="V918" s="92"/>
      <c r="W918" s="146" t="s">
        <v>204</v>
      </c>
      <c r="X918" s="92"/>
      <c r="Y918" s="146" t="s">
        <v>61</v>
      </c>
      <c r="Z918" s="92"/>
      <c r="AA918" s="146" t="s">
        <v>204</v>
      </c>
      <c r="AB918" s="92"/>
      <c r="AC918" s="146" t="s">
        <v>204</v>
      </c>
      <c r="AD918" s="92"/>
      <c r="AE918" s="146" t="s">
        <v>204</v>
      </c>
      <c r="AF918" s="187" t="str">
        <f t="shared" si="60"/>
        <v>C</v>
      </c>
      <c r="AG918" s="54" t="str">
        <f t="shared" si="59"/>
        <v>UTILIZOU O PDA CORRETAMENTE</v>
      </c>
      <c r="AH918" s="144" t="s">
        <v>204</v>
      </c>
      <c r="AI918" s="210" t="s">
        <v>6</v>
      </c>
      <c r="AJ918" s="97" t="str">
        <f t="shared" si="61"/>
        <v>GUARULHOS</v>
      </c>
      <c r="AK918" s="213" t="s">
        <v>39</v>
      </c>
      <c r="AL918" s="53">
        <v>0.31974065649808248</v>
      </c>
      <c r="AM918" s="53" t="str" cm="1">
        <f t="array" ref="AM918">IF(OR(O918&lt;&gt;"", SUMPRODUCT(($AN$2:$AN$5000=AN918)*($AL$2:$AL$5000&lt;=AL918)) &lt;= (COUNTIF($AN$2:$AN$5000,AN918)*0.5)), "SORTEADO", "-")</f>
        <v>SORTEADO</v>
      </c>
      <c r="AN918" s="245" t="s">
        <v>2396</v>
      </c>
    </row>
    <row r="919" spans="1:40" ht="30" customHeight="1" x14ac:dyDescent="0.2">
      <c r="A919" s="230" t="s">
        <v>197</v>
      </c>
      <c r="B919" s="230">
        <v>2617591318</v>
      </c>
      <c r="C919" s="230" t="s">
        <v>104</v>
      </c>
      <c r="D919" s="230" t="s">
        <v>80</v>
      </c>
      <c r="E919" s="230" t="s">
        <v>198</v>
      </c>
      <c r="F919" s="230" t="s">
        <v>1683</v>
      </c>
      <c r="G919" s="230">
        <v>32</v>
      </c>
      <c r="H919" s="230" t="s">
        <v>2407</v>
      </c>
      <c r="I919" s="230" t="s">
        <v>1358</v>
      </c>
      <c r="J919" s="230" t="s">
        <v>226</v>
      </c>
      <c r="K919" s="230" t="s">
        <v>213</v>
      </c>
      <c r="L919" s="230" t="s">
        <v>2396</v>
      </c>
      <c r="M919" s="230" t="s">
        <v>2408</v>
      </c>
      <c r="N919" s="230" t="s">
        <v>322</v>
      </c>
      <c r="O919" s="158" t="s">
        <v>204</v>
      </c>
      <c r="P919" s="92"/>
      <c r="Q919" s="146" t="s">
        <v>204</v>
      </c>
      <c r="R919" s="92"/>
      <c r="S919" s="146" t="s">
        <v>204</v>
      </c>
      <c r="T919" s="92"/>
      <c r="U919" s="146" t="s">
        <v>204</v>
      </c>
      <c r="V919" s="92"/>
      <c r="W919" s="146" t="s">
        <v>204</v>
      </c>
      <c r="X919" s="92"/>
      <c r="Y919" s="146" t="s">
        <v>61</v>
      </c>
      <c r="Z919" s="92"/>
      <c r="AA919" s="146" t="s">
        <v>204</v>
      </c>
      <c r="AB919" s="92"/>
      <c r="AC919" s="146" t="s">
        <v>204</v>
      </c>
      <c r="AD919" s="92"/>
      <c r="AE919" s="146" t="s">
        <v>204</v>
      </c>
      <c r="AF919" s="187" t="str">
        <f t="shared" si="60"/>
        <v>C</v>
      </c>
      <c r="AG919" s="54" t="str">
        <f t="shared" si="59"/>
        <v>UTILIZOU O PDA CORRETAMENTE</v>
      </c>
      <c r="AH919" s="144" t="s">
        <v>204</v>
      </c>
      <c r="AI919" s="210" t="s">
        <v>6</v>
      </c>
      <c r="AJ919" s="97" t="str">
        <f t="shared" si="61"/>
        <v>GUARULHOS</v>
      </c>
      <c r="AK919" s="213" t="s">
        <v>39</v>
      </c>
      <c r="AL919" s="53">
        <v>0.46739554181248455</v>
      </c>
      <c r="AM919" s="53" t="str" cm="1">
        <f t="array" ref="AM919">IF(OR(O919&lt;&gt;"", SUMPRODUCT(($AN$2:$AN$5000=AN919)*($AL$2:$AL$5000&lt;=AL919)) &lt;= (COUNTIF($AN$2:$AN$5000,AN919)*0.5)), "SORTEADO", "-")</f>
        <v>SORTEADO</v>
      </c>
      <c r="AN919" s="245" t="s">
        <v>2396</v>
      </c>
    </row>
    <row r="920" spans="1:40" ht="30" hidden="1" customHeight="1" x14ac:dyDescent="0.2">
      <c r="A920" s="230" t="s">
        <v>197</v>
      </c>
      <c r="B920" s="230">
        <v>2691781695</v>
      </c>
      <c r="C920" s="230" t="s">
        <v>102</v>
      </c>
      <c r="D920" s="230" t="s">
        <v>80</v>
      </c>
      <c r="E920" s="230" t="s">
        <v>198</v>
      </c>
      <c r="F920" s="230" t="s">
        <v>2409</v>
      </c>
      <c r="G920" s="230">
        <v>38</v>
      </c>
      <c r="H920" s="230" t="s">
        <v>2107</v>
      </c>
      <c r="I920" s="230" t="s">
        <v>730</v>
      </c>
      <c r="J920" s="230" t="s">
        <v>270</v>
      </c>
      <c r="K920" s="230" t="s">
        <v>2410</v>
      </c>
      <c r="L920" s="230" t="s">
        <v>2396</v>
      </c>
      <c r="M920" s="230" t="s">
        <v>2411</v>
      </c>
      <c r="N920" s="230" t="s">
        <v>348</v>
      </c>
      <c r="O920" s="158"/>
      <c r="P920" s="92"/>
      <c r="Q920" s="146"/>
      <c r="R920" s="92"/>
      <c r="S920" s="146"/>
      <c r="T920" s="92"/>
      <c r="U920" s="146"/>
      <c r="V920" s="92"/>
      <c r="W920" s="146"/>
      <c r="X920" s="92"/>
      <c r="Y920" s="146"/>
      <c r="Z920" s="92"/>
      <c r="AA920" s="146"/>
      <c r="AB920" s="92"/>
      <c r="AC920" s="146"/>
      <c r="AD920" s="92"/>
      <c r="AE920" s="146"/>
      <c r="AF920" s="187" t="str">
        <f t="shared" si="60"/>
        <v/>
      </c>
      <c r="AG920" s="54" t="b">
        <f t="shared" si="59"/>
        <v>0</v>
      </c>
      <c r="AH920" s="146"/>
      <c r="AI920" s="210" t="s">
        <v>6</v>
      </c>
      <c r="AJ920" s="97" t="str">
        <f t="shared" si="61"/>
        <v>GUARULHOS</v>
      </c>
      <c r="AK920" s="213" t="s">
        <v>39</v>
      </c>
      <c r="AL920" s="53">
        <v>0.48835051128554507</v>
      </c>
      <c r="AM920" s="53" t="str" cm="1">
        <f t="array" ref="AM920">IF(OR(O920&lt;&gt;"", SUMPRODUCT(($AN$2:$AN$5000=AN920)*($AL$2:$AL$5000&lt;=AL920)) &lt;= (COUNTIF($AN$2:$AN$5000,AN920)*0.5)), "SORTEADO", "-")</f>
        <v>-</v>
      </c>
      <c r="AN920" s="245" t="s">
        <v>2396</v>
      </c>
    </row>
    <row r="921" spans="1:40" ht="30" hidden="1" customHeight="1" x14ac:dyDescent="0.2">
      <c r="A921" s="230" t="s">
        <v>197</v>
      </c>
      <c r="B921" s="230">
        <v>2617729475</v>
      </c>
      <c r="C921" s="230" t="s">
        <v>105</v>
      </c>
      <c r="D921" s="230" t="s">
        <v>80</v>
      </c>
      <c r="E921" s="230" t="s">
        <v>198</v>
      </c>
      <c r="F921" s="230" t="s">
        <v>2412</v>
      </c>
      <c r="G921" s="230">
        <v>84</v>
      </c>
      <c r="H921" s="230" t="s">
        <v>217</v>
      </c>
      <c r="I921" s="230" t="s">
        <v>269</v>
      </c>
      <c r="J921" s="230" t="s">
        <v>226</v>
      </c>
      <c r="K921" s="230" t="s">
        <v>1464</v>
      </c>
      <c r="L921" s="230" t="s">
        <v>2396</v>
      </c>
      <c r="M921" s="230" t="s">
        <v>2413</v>
      </c>
      <c r="N921" s="230" t="s">
        <v>432</v>
      </c>
      <c r="O921" s="158"/>
      <c r="P921" s="92"/>
      <c r="Q921" s="146"/>
      <c r="R921" s="92"/>
      <c r="S921" s="146"/>
      <c r="T921" s="92"/>
      <c r="U921" s="146"/>
      <c r="V921" s="92"/>
      <c r="W921" s="146"/>
      <c r="X921" s="92"/>
      <c r="Y921" s="146"/>
      <c r="Z921" s="92"/>
      <c r="AA921" s="146"/>
      <c r="AB921" s="92"/>
      <c r="AC921" s="146"/>
      <c r="AD921" s="92"/>
      <c r="AE921" s="146"/>
      <c r="AF921" s="187" t="str">
        <f t="shared" si="60"/>
        <v/>
      </c>
      <c r="AG921" s="54" t="b">
        <f t="shared" si="59"/>
        <v>0</v>
      </c>
      <c r="AH921" s="146"/>
      <c r="AI921" s="210" t="s">
        <v>6</v>
      </c>
      <c r="AJ921" s="97" t="str">
        <f t="shared" si="61"/>
        <v>GUARULHOS</v>
      </c>
      <c r="AK921" s="213" t="s">
        <v>39</v>
      </c>
      <c r="AL921" s="53">
        <v>0.58718489620054604</v>
      </c>
      <c r="AM921" s="53" t="str" cm="1">
        <f t="array" ref="AM921">IF(OR(O921&lt;&gt;"", SUMPRODUCT(($AN$2:$AN$5000=AN921)*($AL$2:$AL$5000&lt;=AL921)) &lt;= (COUNTIF($AN$2:$AN$5000,AN921)*0.5)), "SORTEADO", "-")</f>
        <v>-</v>
      </c>
      <c r="AN921" s="245" t="s">
        <v>2396</v>
      </c>
    </row>
    <row r="922" spans="1:40" ht="30" customHeight="1" x14ac:dyDescent="0.2">
      <c r="A922" s="230" t="s">
        <v>197</v>
      </c>
      <c r="B922" s="230">
        <v>2617729752</v>
      </c>
      <c r="C922" s="230" t="s">
        <v>105</v>
      </c>
      <c r="D922" s="230" t="s">
        <v>80</v>
      </c>
      <c r="E922" s="230" t="s">
        <v>198</v>
      </c>
      <c r="F922" s="230" t="s">
        <v>2412</v>
      </c>
      <c r="G922" s="230">
        <v>82</v>
      </c>
      <c r="H922" s="230" t="s">
        <v>206</v>
      </c>
      <c r="I922" s="230" t="s">
        <v>269</v>
      </c>
      <c r="J922" s="230" t="s">
        <v>226</v>
      </c>
      <c r="K922" s="237" t="s">
        <v>2414</v>
      </c>
      <c r="L922" s="230" t="s">
        <v>2396</v>
      </c>
      <c r="M922" s="230" t="s">
        <v>2415</v>
      </c>
      <c r="N922" s="230" t="s">
        <v>432</v>
      </c>
      <c r="O922" s="158" t="s">
        <v>204</v>
      </c>
      <c r="P922" s="92"/>
      <c r="Q922" s="146" t="s">
        <v>204</v>
      </c>
      <c r="R922" s="92"/>
      <c r="S922" s="146" t="s">
        <v>204</v>
      </c>
      <c r="T922" s="92"/>
      <c r="U922" s="146" t="s">
        <v>204</v>
      </c>
      <c r="V922" s="92"/>
      <c r="W922" s="146" t="s">
        <v>204</v>
      </c>
      <c r="X922" s="92"/>
      <c r="Y922" s="146" t="s">
        <v>61</v>
      </c>
      <c r="Z922" s="92"/>
      <c r="AA922" s="146" t="s">
        <v>204</v>
      </c>
      <c r="AB922" s="92"/>
      <c r="AC922" s="146" t="s">
        <v>204</v>
      </c>
      <c r="AD922" s="92"/>
      <c r="AE922" s="146" t="s">
        <v>204</v>
      </c>
      <c r="AF922" s="187" t="str">
        <f t="shared" si="60"/>
        <v>C</v>
      </c>
      <c r="AG922" s="54" t="str">
        <f t="shared" si="59"/>
        <v>UTILIZOU O PDA CORRETAMENTE</v>
      </c>
      <c r="AH922" s="144" t="s">
        <v>204</v>
      </c>
      <c r="AI922" s="210" t="s">
        <v>6</v>
      </c>
      <c r="AJ922" s="97" t="str">
        <f t="shared" si="61"/>
        <v>GUARULHOS</v>
      </c>
      <c r="AK922" s="213" t="s">
        <v>39</v>
      </c>
      <c r="AL922" s="53">
        <v>0.36541088450224812</v>
      </c>
      <c r="AM922" s="53" t="str" cm="1">
        <f t="array" ref="AM922">IF(OR(O922&lt;&gt;"", SUMPRODUCT(($AN$2:$AN$5000=AN922)*($AL$2:$AL$5000&lt;=AL922)) &lt;= (COUNTIF($AN$2:$AN$5000,AN922)*0.5)), "SORTEADO", "-")</f>
        <v>SORTEADO</v>
      </c>
      <c r="AN922" s="245" t="s">
        <v>2396</v>
      </c>
    </row>
    <row r="923" spans="1:40" ht="30" customHeight="1" x14ac:dyDescent="0.2">
      <c r="A923" s="230" t="s">
        <v>197</v>
      </c>
      <c r="B923" s="230">
        <v>2617788619</v>
      </c>
      <c r="C923" s="230" t="s">
        <v>98</v>
      </c>
      <c r="D923" s="230" t="s">
        <v>80</v>
      </c>
      <c r="E923" s="230" t="s">
        <v>198</v>
      </c>
      <c r="F923" s="230" t="s">
        <v>1424</v>
      </c>
      <c r="G923" s="230">
        <v>16</v>
      </c>
      <c r="H923" s="230" t="s">
        <v>213</v>
      </c>
      <c r="I923" s="230" t="s">
        <v>258</v>
      </c>
      <c r="J923" s="230" t="s">
        <v>297</v>
      </c>
      <c r="K923" s="230" t="s">
        <v>2416</v>
      </c>
      <c r="L923" s="230" t="s">
        <v>2396</v>
      </c>
      <c r="M923" s="230" t="s">
        <v>2417</v>
      </c>
      <c r="N923" s="230" t="s">
        <v>271</v>
      </c>
      <c r="O923" s="157" t="s">
        <v>204</v>
      </c>
      <c r="P923" s="143"/>
      <c r="Q923" s="144" t="s">
        <v>204</v>
      </c>
      <c r="R923" s="143"/>
      <c r="S923" s="144" t="s">
        <v>204</v>
      </c>
      <c r="T923" s="143"/>
      <c r="U923" s="144" t="s">
        <v>204</v>
      </c>
      <c r="V923" s="143"/>
      <c r="W923" s="144" t="s">
        <v>204</v>
      </c>
      <c r="X923" s="143"/>
      <c r="Y923" s="144" t="s">
        <v>204</v>
      </c>
      <c r="Z923" s="143"/>
      <c r="AA923" s="144" t="s">
        <v>204</v>
      </c>
      <c r="AB923" s="143"/>
      <c r="AC923" s="144" t="s">
        <v>204</v>
      </c>
      <c r="AD923" s="56"/>
      <c r="AE923" s="144" t="s">
        <v>204</v>
      </c>
      <c r="AF923" s="187" t="str">
        <f t="shared" si="60"/>
        <v>C</v>
      </c>
      <c r="AG923" s="54" t="str">
        <f t="shared" si="59"/>
        <v>UTILIZOU O PDA CORRETAMENTE</v>
      </c>
      <c r="AH923" s="144" t="s">
        <v>204</v>
      </c>
      <c r="AI923" s="210" t="s">
        <v>6</v>
      </c>
      <c r="AJ923" s="97" t="str">
        <f t="shared" si="61"/>
        <v>GUARULHOS</v>
      </c>
      <c r="AK923" s="213" t="s">
        <v>39</v>
      </c>
      <c r="AL923" s="53">
        <v>0.27747459569257382</v>
      </c>
      <c r="AM923" s="53" t="str" cm="1">
        <f t="array" ref="AM923">IF(OR(O923&lt;&gt;"", SUMPRODUCT(($AN$2:$AN$5000=AN923)*($AL$2:$AL$5000&lt;=AL923)) &lt;= (COUNTIF($AN$2:$AN$5000,AN923)*0.5)), "SORTEADO", "-")</f>
        <v>SORTEADO</v>
      </c>
      <c r="AN923" s="245" t="s">
        <v>2396</v>
      </c>
    </row>
    <row r="924" spans="1:40" ht="30" hidden="1" customHeight="1" x14ac:dyDescent="0.2">
      <c r="A924" s="230" t="s">
        <v>197</v>
      </c>
      <c r="B924" s="230">
        <v>2617582833</v>
      </c>
      <c r="C924" s="230" t="s">
        <v>100</v>
      </c>
      <c r="D924" s="230" t="s">
        <v>78</v>
      </c>
      <c r="E924" s="230" t="s">
        <v>198</v>
      </c>
      <c r="F924" s="230" t="s">
        <v>2320</v>
      </c>
      <c r="G924" s="230">
        <v>45</v>
      </c>
      <c r="H924" s="230" t="s">
        <v>2418</v>
      </c>
      <c r="I924" s="230" t="s">
        <v>335</v>
      </c>
      <c r="J924" s="230" t="s">
        <v>248</v>
      </c>
      <c r="K924" s="230"/>
      <c r="L924" s="230" t="s">
        <v>2396</v>
      </c>
      <c r="M924" s="230" t="s">
        <v>2419</v>
      </c>
      <c r="N924" s="230" t="s">
        <v>228</v>
      </c>
      <c r="O924" s="158"/>
      <c r="P924" s="92"/>
      <c r="Q924" s="146"/>
      <c r="R924" s="92"/>
      <c r="S924" s="146"/>
      <c r="T924" s="92"/>
      <c r="U924" s="146"/>
      <c r="V924" s="92"/>
      <c r="W924" s="146"/>
      <c r="X924" s="92"/>
      <c r="Y924" s="146"/>
      <c r="Z924" s="92"/>
      <c r="AA924" s="146"/>
      <c r="AB924" s="92"/>
      <c r="AC924" s="146"/>
      <c r="AD924" s="92"/>
      <c r="AE924" s="146"/>
      <c r="AF924" s="187" t="str">
        <f t="shared" si="60"/>
        <v/>
      </c>
      <c r="AG924" s="54" t="b">
        <f t="shared" si="59"/>
        <v>0</v>
      </c>
      <c r="AH924" s="146"/>
      <c r="AI924" s="210" t="s">
        <v>6</v>
      </c>
      <c r="AJ924" s="97" t="str">
        <f t="shared" si="61"/>
        <v>GUARULHOS</v>
      </c>
      <c r="AK924" s="213" t="s">
        <v>39</v>
      </c>
      <c r="AL924" s="53">
        <v>0.73382850982035186</v>
      </c>
      <c r="AM924" s="53" t="str" cm="1">
        <f t="array" ref="AM924">IF(OR(O924&lt;&gt;"", SUMPRODUCT(($AN$2:$AN$5000=AN924)*($AL$2:$AL$5000&lt;=AL924)) &lt;= (COUNTIF($AN$2:$AN$5000,AN924)*0.5)), "SORTEADO", "-")</f>
        <v>-</v>
      </c>
      <c r="AN924" s="245" t="s">
        <v>2396</v>
      </c>
    </row>
    <row r="925" spans="1:40" ht="30" customHeight="1" x14ac:dyDescent="0.2">
      <c r="A925" s="230" t="s">
        <v>197</v>
      </c>
      <c r="B925" s="230">
        <v>2617741163</v>
      </c>
      <c r="C925" s="230" t="s">
        <v>100</v>
      </c>
      <c r="D925" s="230" t="s">
        <v>78</v>
      </c>
      <c r="E925" s="230" t="s">
        <v>198</v>
      </c>
      <c r="F925" s="230" t="s">
        <v>1233</v>
      </c>
      <c r="G925" s="230">
        <v>578</v>
      </c>
      <c r="H925" s="230" t="s">
        <v>217</v>
      </c>
      <c r="I925" s="230" t="s">
        <v>801</v>
      </c>
      <c r="J925" s="230" t="s">
        <v>248</v>
      </c>
      <c r="K925" s="230" t="s">
        <v>2420</v>
      </c>
      <c r="L925" s="230" t="s">
        <v>2396</v>
      </c>
      <c r="M925" s="230" t="s">
        <v>2421</v>
      </c>
      <c r="N925" s="230" t="s">
        <v>260</v>
      </c>
      <c r="O925" s="157" t="s">
        <v>204</v>
      </c>
      <c r="P925" s="143"/>
      <c r="Q925" s="144" t="s">
        <v>204</v>
      </c>
      <c r="R925" s="143"/>
      <c r="S925" s="144" t="s">
        <v>204</v>
      </c>
      <c r="T925" s="143"/>
      <c r="U925" s="144" t="s">
        <v>204</v>
      </c>
      <c r="V925" s="143"/>
      <c r="W925" s="144" t="s">
        <v>204</v>
      </c>
      <c r="X925" s="143"/>
      <c r="Y925" s="144" t="s">
        <v>204</v>
      </c>
      <c r="Z925" s="143"/>
      <c r="AA925" s="144" t="s">
        <v>204</v>
      </c>
      <c r="AB925" s="143"/>
      <c r="AC925" s="144" t="s">
        <v>204</v>
      </c>
      <c r="AD925" s="56"/>
      <c r="AE925" s="144" t="s">
        <v>204</v>
      </c>
      <c r="AF925" s="187" t="str">
        <f t="shared" si="60"/>
        <v>C</v>
      </c>
      <c r="AG925" s="54" t="str">
        <f t="shared" si="59"/>
        <v>UTILIZOU O PDA CORRETAMENTE</v>
      </c>
      <c r="AH925" s="144" t="s">
        <v>204</v>
      </c>
      <c r="AI925" s="210" t="s">
        <v>6</v>
      </c>
      <c r="AJ925" s="97" t="str">
        <f t="shared" si="61"/>
        <v>GUARULHOS</v>
      </c>
      <c r="AK925" s="213" t="s">
        <v>39</v>
      </c>
      <c r="AL925" s="53">
        <v>0.2076458591150051</v>
      </c>
      <c r="AM925" s="53" t="str" cm="1">
        <f t="array" ref="AM925">IF(OR(O925&lt;&gt;"", SUMPRODUCT(($AN$2:$AN$5000=AN925)*($AL$2:$AL$5000&lt;=AL925)) &lt;= (COUNTIF($AN$2:$AN$5000,AN925)*0.5)), "SORTEADO", "-")</f>
        <v>SORTEADO</v>
      </c>
      <c r="AN925" s="245" t="s">
        <v>2396</v>
      </c>
    </row>
    <row r="926" spans="1:40" ht="30" hidden="1" customHeight="1" x14ac:dyDescent="0.2">
      <c r="A926" s="230" t="s">
        <v>197</v>
      </c>
      <c r="B926" s="230">
        <v>2617782632</v>
      </c>
      <c r="C926" s="230" t="s">
        <v>100</v>
      </c>
      <c r="D926" s="230" t="s">
        <v>78</v>
      </c>
      <c r="E926" s="230" t="s">
        <v>198</v>
      </c>
      <c r="F926" s="230" t="s">
        <v>1233</v>
      </c>
      <c r="G926" s="230">
        <v>512</v>
      </c>
      <c r="H926" s="230" t="s">
        <v>2422</v>
      </c>
      <c r="I926" s="230" t="s">
        <v>801</v>
      </c>
      <c r="J926" s="230" t="s">
        <v>248</v>
      </c>
      <c r="K926" s="230" t="s">
        <v>2423</v>
      </c>
      <c r="L926" s="230" t="s">
        <v>2396</v>
      </c>
      <c r="M926" s="230" t="s">
        <v>2424</v>
      </c>
      <c r="N926" s="230" t="s">
        <v>260</v>
      </c>
      <c r="O926" s="158"/>
      <c r="P926" s="92"/>
      <c r="Q926" s="146"/>
      <c r="R926" s="92"/>
      <c r="S926" s="146"/>
      <c r="T926" s="92"/>
      <c r="U926" s="146"/>
      <c r="V926" s="92"/>
      <c r="W926" s="146"/>
      <c r="X926" s="92"/>
      <c r="Y926" s="146"/>
      <c r="Z926" s="92"/>
      <c r="AA926" s="146"/>
      <c r="AB926" s="92"/>
      <c r="AC926" s="146"/>
      <c r="AD926" s="92"/>
      <c r="AE926" s="146"/>
      <c r="AF926" s="187" t="str">
        <f t="shared" si="60"/>
        <v/>
      </c>
      <c r="AG926" s="54" t="b">
        <f t="shared" si="59"/>
        <v>0</v>
      </c>
      <c r="AH926" s="146"/>
      <c r="AI926" s="210" t="s">
        <v>6</v>
      </c>
      <c r="AJ926" s="97" t="str">
        <f t="shared" si="61"/>
        <v>GUARULHOS</v>
      </c>
      <c r="AK926" s="213" t="s">
        <v>39</v>
      </c>
      <c r="AL926" s="53">
        <v>0.60215929134717738</v>
      </c>
      <c r="AM926" s="53" t="str" cm="1">
        <f t="array" ref="AM926">IF(OR(O926&lt;&gt;"", SUMPRODUCT(($AN$2:$AN$5000=AN926)*($AL$2:$AL$5000&lt;=AL926)) &lt;= (COUNTIF($AN$2:$AN$5000,AN926)*0.5)), "SORTEADO", "-")</f>
        <v>-</v>
      </c>
      <c r="AN926" s="245" t="s">
        <v>2396</v>
      </c>
    </row>
    <row r="927" spans="1:40" ht="30" customHeight="1" x14ac:dyDescent="0.2">
      <c r="A927" s="230" t="s">
        <v>197</v>
      </c>
      <c r="B927" s="230">
        <v>2617564153</v>
      </c>
      <c r="C927" s="230" t="s">
        <v>105</v>
      </c>
      <c r="D927" s="230" t="s">
        <v>80</v>
      </c>
      <c r="E927" s="230" t="s">
        <v>198</v>
      </c>
      <c r="F927" s="230" t="s">
        <v>2425</v>
      </c>
      <c r="G927" s="230">
        <v>82</v>
      </c>
      <c r="H927" s="230" t="s">
        <v>1749</v>
      </c>
      <c r="I927" s="230" t="s">
        <v>425</v>
      </c>
      <c r="J927" s="230" t="s">
        <v>226</v>
      </c>
      <c r="K927" s="230" t="s">
        <v>213</v>
      </c>
      <c r="L927" s="230" t="s">
        <v>2396</v>
      </c>
      <c r="M927" s="230" t="s">
        <v>2426</v>
      </c>
      <c r="N927" s="230" t="s">
        <v>241</v>
      </c>
      <c r="O927" s="158" t="s">
        <v>204</v>
      </c>
      <c r="P927" s="92"/>
      <c r="Q927" s="146" t="s">
        <v>204</v>
      </c>
      <c r="R927" s="92"/>
      <c r="S927" s="146" t="s">
        <v>204</v>
      </c>
      <c r="T927" s="92"/>
      <c r="U927" s="146" t="s">
        <v>204</v>
      </c>
      <c r="V927" s="92"/>
      <c r="W927" s="146" t="s">
        <v>204</v>
      </c>
      <c r="X927" s="92"/>
      <c r="Y927" s="146" t="s">
        <v>61</v>
      </c>
      <c r="Z927" s="92"/>
      <c r="AA927" s="146" t="s">
        <v>204</v>
      </c>
      <c r="AB927" s="92"/>
      <c r="AC927" s="146" t="s">
        <v>204</v>
      </c>
      <c r="AD927" s="92"/>
      <c r="AE927" s="146" t="s">
        <v>204</v>
      </c>
      <c r="AF927" s="187" t="str">
        <f t="shared" si="60"/>
        <v>C</v>
      </c>
      <c r="AG927" s="54" t="str">
        <f t="shared" si="59"/>
        <v>UTILIZOU O PDA CORRETAMENTE</v>
      </c>
      <c r="AH927" s="144" t="s">
        <v>204</v>
      </c>
      <c r="AI927" s="210" t="s">
        <v>6</v>
      </c>
      <c r="AJ927" s="97" t="str">
        <f t="shared" si="61"/>
        <v>GUARULHOS</v>
      </c>
      <c r="AK927" s="213" t="s">
        <v>39</v>
      </c>
      <c r="AL927" s="53">
        <v>8.3775200893702051E-2</v>
      </c>
      <c r="AM927" s="53" t="str" cm="1">
        <f t="array" ref="AM927">IF(OR(O927&lt;&gt;"", SUMPRODUCT(($AN$2:$AN$5000=AN927)*($AL$2:$AL$5000&lt;=AL927)) &lt;= (COUNTIF($AN$2:$AN$5000,AN927)*0.5)), "SORTEADO", "-")</f>
        <v>SORTEADO</v>
      </c>
      <c r="AN927" s="245" t="s">
        <v>2396</v>
      </c>
    </row>
    <row r="928" spans="1:40" ht="30" customHeight="1" x14ac:dyDescent="0.2">
      <c r="A928" s="230" t="s">
        <v>197</v>
      </c>
      <c r="B928" s="230">
        <v>2617789540</v>
      </c>
      <c r="C928" s="230" t="s">
        <v>82</v>
      </c>
      <c r="D928" s="230" t="s">
        <v>80</v>
      </c>
      <c r="E928" s="230" t="s">
        <v>198</v>
      </c>
      <c r="F928" s="230" t="s">
        <v>2427</v>
      </c>
      <c r="G928" s="230">
        <v>973</v>
      </c>
      <c r="H928" s="230" t="s">
        <v>2428</v>
      </c>
      <c r="I928" s="230" t="s">
        <v>1150</v>
      </c>
      <c r="J928" s="230" t="s">
        <v>270</v>
      </c>
      <c r="K928" s="230"/>
      <c r="L928" s="230" t="s">
        <v>2396</v>
      </c>
      <c r="M928" s="230" t="s">
        <v>2429</v>
      </c>
      <c r="N928" s="230" t="s">
        <v>317</v>
      </c>
      <c r="O928" s="158" t="s">
        <v>204</v>
      </c>
      <c r="P928" s="92"/>
      <c r="Q928" s="146" t="s">
        <v>210</v>
      </c>
      <c r="R928" s="92" t="s">
        <v>2430</v>
      </c>
      <c r="S928" s="146" t="s">
        <v>204</v>
      </c>
      <c r="T928" s="92"/>
      <c r="U928" s="146" t="s">
        <v>204</v>
      </c>
      <c r="V928" s="92"/>
      <c r="W928" s="146" t="s">
        <v>210</v>
      </c>
      <c r="X928" s="92" t="s">
        <v>2431</v>
      </c>
      <c r="Y928" s="146" t="s">
        <v>61</v>
      </c>
      <c r="Z928" s="92"/>
      <c r="AA928" s="146" t="s">
        <v>204</v>
      </c>
      <c r="AB928" s="92"/>
      <c r="AC928" s="146" t="s">
        <v>204</v>
      </c>
      <c r="AD928" s="92"/>
      <c r="AE928" s="146" t="s">
        <v>204</v>
      </c>
      <c r="AF928" s="187" t="str">
        <f t="shared" si="60"/>
        <v>NC</v>
      </c>
      <c r="AG928" s="54" t="str">
        <f t="shared" si="59"/>
        <v>UTILIZOU O PDA CORRETAMENTE. NÃO HÁ FOTOS DE TODAS AS ETAPAS</v>
      </c>
      <c r="AH928" s="146" t="s">
        <v>204</v>
      </c>
      <c r="AI928" s="210" t="s">
        <v>6</v>
      </c>
      <c r="AJ928" s="97" t="str">
        <f t="shared" si="61"/>
        <v>GUARULHOS</v>
      </c>
      <c r="AK928" s="213" t="s">
        <v>39</v>
      </c>
      <c r="AL928" s="53">
        <v>0.46083430703542472</v>
      </c>
      <c r="AM928" s="53" t="str" cm="1">
        <f t="array" ref="AM928">IF(OR(O928&lt;&gt;"", SUMPRODUCT(($AN$2:$AN$5000=AN928)*($AL$2:$AL$5000&lt;=AL928)) &lt;= (COUNTIF($AN$2:$AN$5000,AN928)*0.5)), "SORTEADO", "-")</f>
        <v>SORTEADO</v>
      </c>
      <c r="AN928" s="245" t="s">
        <v>2396</v>
      </c>
    </row>
    <row r="929" spans="1:40" ht="30" customHeight="1" x14ac:dyDescent="0.2">
      <c r="A929" s="230" t="s">
        <v>197</v>
      </c>
      <c r="B929" s="230">
        <v>2617786809</v>
      </c>
      <c r="C929" s="230" t="s">
        <v>105</v>
      </c>
      <c r="D929" s="230" t="s">
        <v>80</v>
      </c>
      <c r="E929" s="230" t="s">
        <v>198</v>
      </c>
      <c r="F929" s="230" t="s">
        <v>2432</v>
      </c>
      <c r="G929" s="230">
        <v>60</v>
      </c>
      <c r="H929" s="230" t="s">
        <v>1267</v>
      </c>
      <c r="I929" s="230" t="s">
        <v>1677</v>
      </c>
      <c r="J929" s="230" t="s">
        <v>254</v>
      </c>
      <c r="K929" s="230" t="s">
        <v>213</v>
      </c>
      <c r="L929" s="230" t="s">
        <v>2396</v>
      </c>
      <c r="M929" s="230" t="s">
        <v>2433</v>
      </c>
      <c r="N929" s="230" t="s">
        <v>303</v>
      </c>
      <c r="O929" s="158" t="s">
        <v>204</v>
      </c>
      <c r="P929" s="92"/>
      <c r="Q929" s="146" t="s">
        <v>204</v>
      </c>
      <c r="R929" s="92"/>
      <c r="S929" s="146" t="s">
        <v>204</v>
      </c>
      <c r="T929" s="92"/>
      <c r="U929" s="146" t="s">
        <v>204</v>
      </c>
      <c r="V929" s="92"/>
      <c r="W929" s="146" t="s">
        <v>204</v>
      </c>
      <c r="X929" s="92"/>
      <c r="Y929" s="146" t="s">
        <v>61</v>
      </c>
      <c r="Z929" s="92"/>
      <c r="AA929" s="146" t="s">
        <v>204</v>
      </c>
      <c r="AB929" s="92"/>
      <c r="AC929" s="146" t="s">
        <v>204</v>
      </c>
      <c r="AD929" s="92"/>
      <c r="AE929" s="146" t="s">
        <v>204</v>
      </c>
      <c r="AF929" s="187" t="str">
        <f t="shared" si="60"/>
        <v>C</v>
      </c>
      <c r="AG929" s="54" t="str">
        <f t="shared" si="59"/>
        <v>UTILIZOU O PDA CORRETAMENTE</v>
      </c>
      <c r="AH929" s="144" t="s">
        <v>204</v>
      </c>
      <c r="AI929" s="210" t="s">
        <v>6</v>
      </c>
      <c r="AJ929" s="97" t="str">
        <f t="shared" si="61"/>
        <v>GUARULHOS</v>
      </c>
      <c r="AK929" s="213" t="s">
        <v>39</v>
      </c>
      <c r="AL929" s="53">
        <v>0.13954376696843107</v>
      </c>
      <c r="AM929" s="53" t="str" cm="1">
        <f t="array" ref="AM929">IF(OR(O929&lt;&gt;"", SUMPRODUCT(($AN$2:$AN$5000=AN929)*($AL$2:$AL$5000&lt;=AL929)) &lt;= (COUNTIF($AN$2:$AN$5000,AN929)*0.5)), "SORTEADO", "-")</f>
        <v>SORTEADO</v>
      </c>
      <c r="AN929" s="245" t="s">
        <v>2396</v>
      </c>
    </row>
    <row r="930" spans="1:40" ht="30" hidden="1" customHeight="1" x14ac:dyDescent="0.2">
      <c r="A930" s="230" t="s">
        <v>197</v>
      </c>
      <c r="B930" s="230">
        <v>2617362601</v>
      </c>
      <c r="C930" s="230" t="s">
        <v>93</v>
      </c>
      <c r="D930" s="230" t="s">
        <v>76</v>
      </c>
      <c r="E930" s="230" t="s">
        <v>198</v>
      </c>
      <c r="F930" s="230" t="s">
        <v>2434</v>
      </c>
      <c r="G930" s="230">
        <v>131</v>
      </c>
      <c r="H930" s="230" t="s">
        <v>206</v>
      </c>
      <c r="I930" s="230" t="s">
        <v>363</v>
      </c>
      <c r="J930" s="230" t="s">
        <v>93</v>
      </c>
      <c r="K930" s="230"/>
      <c r="L930" s="230" t="s">
        <v>2396</v>
      </c>
      <c r="M930" s="230" t="s">
        <v>2435</v>
      </c>
      <c r="N930" s="230" t="s">
        <v>215</v>
      </c>
      <c r="O930" s="158"/>
      <c r="P930" s="92"/>
      <c r="Q930" s="146"/>
      <c r="R930" s="92"/>
      <c r="S930" s="146"/>
      <c r="T930" s="92"/>
      <c r="U930" s="146"/>
      <c r="V930" s="92"/>
      <c r="W930" s="146"/>
      <c r="X930" s="92"/>
      <c r="Y930" s="146"/>
      <c r="Z930" s="92"/>
      <c r="AA930" s="146"/>
      <c r="AB930" s="92"/>
      <c r="AC930" s="146"/>
      <c r="AD930" s="92"/>
      <c r="AE930" s="146"/>
      <c r="AF930" s="187" t="str">
        <f t="shared" si="60"/>
        <v/>
      </c>
      <c r="AG930" s="54" t="b">
        <f t="shared" si="59"/>
        <v>0</v>
      </c>
      <c r="AH930" s="146"/>
      <c r="AI930" s="210" t="s">
        <v>6</v>
      </c>
      <c r="AJ930" s="97" t="str">
        <f t="shared" si="61"/>
        <v>GUARULHOS</v>
      </c>
      <c r="AK930" s="213" t="s">
        <v>39</v>
      </c>
      <c r="AL930" s="53">
        <v>0.93502961015069652</v>
      </c>
      <c r="AM930" s="53" t="str" cm="1">
        <f t="array" ref="AM930">IF(OR(O930&lt;&gt;"", SUMPRODUCT(($AN$2:$AN$5000=AN930)*($AL$2:$AL$5000&lt;=AL930)) &lt;= (COUNTIF($AN$2:$AN$5000,AN930)*0.5)), "SORTEADO", "-")</f>
        <v>-</v>
      </c>
      <c r="AN930" s="245" t="s">
        <v>2396</v>
      </c>
    </row>
    <row r="931" spans="1:40" ht="30" hidden="1" customHeight="1" x14ac:dyDescent="0.2">
      <c r="A931" s="230" t="s">
        <v>197</v>
      </c>
      <c r="B931" s="230">
        <v>2617362610</v>
      </c>
      <c r="C931" s="230" t="s">
        <v>95</v>
      </c>
      <c r="D931" s="230" t="s">
        <v>76</v>
      </c>
      <c r="E931" s="230" t="s">
        <v>198</v>
      </c>
      <c r="F931" s="230" t="s">
        <v>2434</v>
      </c>
      <c r="G931" s="230">
        <v>131</v>
      </c>
      <c r="H931" s="230" t="s">
        <v>211</v>
      </c>
      <c r="I931" s="230" t="s">
        <v>363</v>
      </c>
      <c r="J931" s="230" t="s">
        <v>95</v>
      </c>
      <c r="K931" s="230" t="s">
        <v>213</v>
      </c>
      <c r="L931" s="230" t="s">
        <v>2396</v>
      </c>
      <c r="M931" s="230" t="s">
        <v>2436</v>
      </c>
      <c r="N931" s="230" t="s">
        <v>215</v>
      </c>
      <c r="O931" s="158"/>
      <c r="P931" s="92"/>
      <c r="Q931" s="146"/>
      <c r="R931" s="92"/>
      <c r="S931" s="146"/>
      <c r="T931" s="92"/>
      <c r="U931" s="146"/>
      <c r="V931" s="92"/>
      <c r="W931" s="146"/>
      <c r="X931" s="92"/>
      <c r="Y931" s="146"/>
      <c r="Z931" s="92"/>
      <c r="AA931" s="146"/>
      <c r="AB931" s="92"/>
      <c r="AC931" s="146"/>
      <c r="AD931" s="92"/>
      <c r="AE931" s="146"/>
      <c r="AF931" s="187" t="str">
        <f t="shared" si="60"/>
        <v/>
      </c>
      <c r="AG931" s="54" t="b">
        <f t="shared" si="59"/>
        <v>0</v>
      </c>
      <c r="AH931" s="146"/>
      <c r="AI931" s="210" t="s">
        <v>6</v>
      </c>
      <c r="AJ931" s="97" t="str">
        <f t="shared" si="61"/>
        <v>GUARULHOS</v>
      </c>
      <c r="AK931" s="213" t="s">
        <v>39</v>
      </c>
      <c r="AL931" s="53">
        <v>0.58737898470381833</v>
      </c>
      <c r="AM931" s="53" t="str" cm="1">
        <f t="array" ref="AM931">IF(OR(O931&lt;&gt;"", SUMPRODUCT(($AN$2:$AN$5000=AN931)*($AL$2:$AL$5000&lt;=AL931)) &lt;= (COUNTIF($AN$2:$AN$5000,AN931)*0.5)), "SORTEADO", "-")</f>
        <v>-</v>
      </c>
      <c r="AN931" s="245" t="s">
        <v>2396</v>
      </c>
    </row>
    <row r="932" spans="1:40" ht="30" hidden="1" customHeight="1" x14ac:dyDescent="0.2">
      <c r="A932" s="230" t="s">
        <v>197</v>
      </c>
      <c r="B932" s="230">
        <v>2617772952</v>
      </c>
      <c r="C932" s="230" t="s">
        <v>93</v>
      </c>
      <c r="D932" s="230" t="s">
        <v>76</v>
      </c>
      <c r="E932" s="230" t="s">
        <v>198</v>
      </c>
      <c r="F932" s="230" t="s">
        <v>877</v>
      </c>
      <c r="G932" s="230">
        <v>241</v>
      </c>
      <c r="H932" s="230" t="s">
        <v>206</v>
      </c>
      <c r="I932" s="230" t="s">
        <v>588</v>
      </c>
      <c r="J932" s="230" t="s">
        <v>93</v>
      </c>
      <c r="K932" s="230"/>
      <c r="L932" s="230" t="s">
        <v>2396</v>
      </c>
      <c r="M932" s="230" t="s">
        <v>2437</v>
      </c>
      <c r="N932" s="230" t="s">
        <v>215</v>
      </c>
      <c r="O932" s="158"/>
      <c r="P932" s="92"/>
      <c r="Q932" s="146"/>
      <c r="R932" s="92"/>
      <c r="S932" s="146"/>
      <c r="T932" s="92"/>
      <c r="U932" s="146"/>
      <c r="V932" s="92"/>
      <c r="W932" s="146"/>
      <c r="X932" s="92"/>
      <c r="Y932" s="146"/>
      <c r="Z932" s="92"/>
      <c r="AA932" s="146"/>
      <c r="AB932" s="92"/>
      <c r="AC932" s="146"/>
      <c r="AD932" s="92"/>
      <c r="AE932" s="146"/>
      <c r="AF932" s="187" t="str">
        <f t="shared" si="60"/>
        <v/>
      </c>
      <c r="AG932" s="54" t="b">
        <f t="shared" si="59"/>
        <v>0</v>
      </c>
      <c r="AH932" s="146"/>
      <c r="AI932" s="210" t="s">
        <v>6</v>
      </c>
      <c r="AJ932" s="97" t="str">
        <f t="shared" si="61"/>
        <v>GUARULHOS</v>
      </c>
      <c r="AK932" s="213" t="s">
        <v>39</v>
      </c>
      <c r="AL932" s="53">
        <v>0.90290416494726822</v>
      </c>
      <c r="AM932" s="53" t="str" cm="1">
        <f t="array" ref="AM932">IF(OR(O932&lt;&gt;"", SUMPRODUCT(($AN$2:$AN$5000=AN932)*($AL$2:$AL$5000&lt;=AL932)) &lt;= (COUNTIF($AN$2:$AN$5000,AN932)*0.5)), "SORTEADO", "-")</f>
        <v>-</v>
      </c>
      <c r="AN932" s="245" t="s">
        <v>2396</v>
      </c>
    </row>
    <row r="933" spans="1:40" ht="30" hidden="1" customHeight="1" x14ac:dyDescent="0.2">
      <c r="A933" s="230" t="s">
        <v>197</v>
      </c>
      <c r="B933" s="230">
        <v>2617355957</v>
      </c>
      <c r="C933" s="230" t="s">
        <v>95</v>
      </c>
      <c r="D933" s="230" t="s">
        <v>76</v>
      </c>
      <c r="E933" s="230" t="s">
        <v>198</v>
      </c>
      <c r="F933" s="230" t="s">
        <v>2438</v>
      </c>
      <c r="G933" s="230">
        <v>53</v>
      </c>
      <c r="H933" s="230" t="s">
        <v>211</v>
      </c>
      <c r="I933" s="230" t="s">
        <v>436</v>
      </c>
      <c r="J933" s="230" t="s">
        <v>95</v>
      </c>
      <c r="K933" s="230" t="s">
        <v>213</v>
      </c>
      <c r="L933" s="230" t="s">
        <v>2396</v>
      </c>
      <c r="M933" s="230" t="s">
        <v>2439</v>
      </c>
      <c r="N933" s="230" t="s">
        <v>215</v>
      </c>
      <c r="O933" s="158"/>
      <c r="P933" s="92"/>
      <c r="Q933" s="146"/>
      <c r="R933" s="92"/>
      <c r="S933" s="146"/>
      <c r="T933" s="92"/>
      <c r="U933" s="146"/>
      <c r="V933" s="92"/>
      <c r="W933" s="146"/>
      <c r="X933" s="92"/>
      <c r="Y933" s="146"/>
      <c r="Z933" s="92"/>
      <c r="AA933" s="146"/>
      <c r="AB933" s="92"/>
      <c r="AC933" s="146"/>
      <c r="AD933" s="92"/>
      <c r="AE933" s="146"/>
      <c r="AF933" s="187" t="str">
        <f t="shared" si="60"/>
        <v/>
      </c>
      <c r="AG933" s="54" t="b">
        <f t="shared" ref="AG933:AG956" si="62">IF(AND(AE933="C",AF933="C"),"UTILIZOU O PDA CORRETAMENTE",IF(AND(AE933="C",AF933="NC"),"UTILIZOU O PDA CORRETAMENTE. NÃO HÁ FOTOS DE TODAS AS ETAPAS",IF(AND(AE933="NC",AF933="NC"),"NÃO UTILIZOU O PDA",IF(AND(AE933="NA",AF933="NA"),"NÃO AVALIADO POR FALHA DE SINCRONISMO"))))</f>
        <v>0</v>
      </c>
      <c r="AH933" s="146"/>
      <c r="AI933" s="210" t="s">
        <v>6</v>
      </c>
      <c r="AJ933" s="97" t="str">
        <f t="shared" si="61"/>
        <v>GUARULHOS</v>
      </c>
      <c r="AK933" s="213" t="s">
        <v>39</v>
      </c>
      <c r="AL933" s="53">
        <v>0.94941921700112564</v>
      </c>
      <c r="AM933" s="53" t="str" cm="1">
        <f t="array" ref="AM933">IF(OR(O933&lt;&gt;"", SUMPRODUCT(($AN$2:$AN$5000=AN933)*($AL$2:$AL$5000&lt;=AL933)) &lt;= (COUNTIF($AN$2:$AN$5000,AN933)*0.5)), "SORTEADO", "-")</f>
        <v>-</v>
      </c>
      <c r="AN933" s="245" t="s">
        <v>2396</v>
      </c>
    </row>
    <row r="934" spans="1:40" ht="30" customHeight="1" x14ac:dyDescent="0.2">
      <c r="A934" s="230" t="s">
        <v>197</v>
      </c>
      <c r="B934" s="230">
        <v>2617171122</v>
      </c>
      <c r="C934" s="230" t="s">
        <v>91</v>
      </c>
      <c r="D934" s="230" t="s">
        <v>76</v>
      </c>
      <c r="E934" s="230" t="s">
        <v>198</v>
      </c>
      <c r="F934" s="230" t="s">
        <v>2440</v>
      </c>
      <c r="G934" s="230">
        <v>29</v>
      </c>
      <c r="H934" s="230" t="s">
        <v>2441</v>
      </c>
      <c r="I934" s="230" t="s">
        <v>281</v>
      </c>
      <c r="J934" s="230" t="s">
        <v>448</v>
      </c>
      <c r="K934" s="230"/>
      <c r="L934" s="230" t="s">
        <v>2396</v>
      </c>
      <c r="M934" s="230" t="s">
        <v>2442</v>
      </c>
      <c r="N934" s="230" t="s">
        <v>408</v>
      </c>
      <c r="O934" s="158" t="s">
        <v>204</v>
      </c>
      <c r="P934" s="92"/>
      <c r="Q934" s="146" t="s">
        <v>204</v>
      </c>
      <c r="R934" s="92"/>
      <c r="S934" s="146" t="s">
        <v>204</v>
      </c>
      <c r="T934" s="92"/>
      <c r="U934" s="146" t="s">
        <v>204</v>
      </c>
      <c r="V934" s="92"/>
      <c r="W934" s="146" t="s">
        <v>204</v>
      </c>
      <c r="X934" s="92"/>
      <c r="Y934" s="146" t="s">
        <v>742</v>
      </c>
      <c r="Z934" s="92"/>
      <c r="AA934" s="146" t="s">
        <v>204</v>
      </c>
      <c r="AB934" s="92"/>
      <c r="AC934" s="146" t="s">
        <v>204</v>
      </c>
      <c r="AD934" s="92"/>
      <c r="AE934" s="146" t="s">
        <v>204</v>
      </c>
      <c r="AF934" s="187" t="str">
        <f t="shared" si="60"/>
        <v>C</v>
      </c>
      <c r="AG934" s="54" t="str">
        <f t="shared" si="62"/>
        <v>UTILIZOU O PDA CORRETAMENTE</v>
      </c>
      <c r="AH934" s="146" t="s">
        <v>204</v>
      </c>
      <c r="AI934" s="210" t="s">
        <v>6</v>
      </c>
      <c r="AJ934" s="97" t="str">
        <f t="shared" si="61"/>
        <v>GUARULHOS</v>
      </c>
      <c r="AK934" s="213" t="s">
        <v>39</v>
      </c>
      <c r="AL934" s="53">
        <v>0.353391606912005</v>
      </c>
      <c r="AM934" s="53" t="str" cm="1">
        <f t="array" ref="AM934">IF(OR(O934&lt;&gt;"", SUMPRODUCT(($AN$2:$AN$5000=AN934)*($AL$2:$AL$5000&lt;=AL934)) &lt;= (COUNTIF($AN$2:$AN$5000,AN934)*0.5)), "SORTEADO", "-")</f>
        <v>SORTEADO</v>
      </c>
      <c r="AN934" s="245" t="s">
        <v>2396</v>
      </c>
    </row>
    <row r="935" spans="1:40" ht="30" customHeight="1" x14ac:dyDescent="0.2">
      <c r="A935" s="230" t="s">
        <v>197</v>
      </c>
      <c r="B935" s="230">
        <v>2617579925</v>
      </c>
      <c r="C935" s="230" t="s">
        <v>85</v>
      </c>
      <c r="D935" s="230" t="s">
        <v>76</v>
      </c>
      <c r="E935" s="230" t="s">
        <v>198</v>
      </c>
      <c r="F935" s="230" t="s">
        <v>2443</v>
      </c>
      <c r="G935" s="230">
        <v>150</v>
      </c>
      <c r="H935" s="230" t="s">
        <v>213</v>
      </c>
      <c r="I935" s="230" t="s">
        <v>301</v>
      </c>
      <c r="J935" s="230" t="s">
        <v>85</v>
      </c>
      <c r="K935" s="230" t="s">
        <v>2444</v>
      </c>
      <c r="L935" s="230" t="s">
        <v>2396</v>
      </c>
      <c r="M935" s="230" t="s">
        <v>2445</v>
      </c>
      <c r="N935" s="230" t="s">
        <v>408</v>
      </c>
      <c r="O935" s="158" t="s">
        <v>204</v>
      </c>
      <c r="P935" s="92"/>
      <c r="Q935" s="146" t="s">
        <v>204</v>
      </c>
      <c r="R935" s="92"/>
      <c r="S935" s="146" t="s">
        <v>204</v>
      </c>
      <c r="T935" s="92"/>
      <c r="U935" s="146" t="s">
        <v>204</v>
      </c>
      <c r="V935" s="92"/>
      <c r="W935" s="146" t="s">
        <v>204</v>
      </c>
      <c r="X935" s="92"/>
      <c r="Y935" s="146" t="s">
        <v>61</v>
      </c>
      <c r="Z935" s="92"/>
      <c r="AA935" s="146" t="s">
        <v>210</v>
      </c>
      <c r="AB935" s="92" t="s">
        <v>618</v>
      </c>
      <c r="AC935" s="146" t="s">
        <v>204</v>
      </c>
      <c r="AD935" s="92"/>
      <c r="AE935" s="146" t="s">
        <v>204</v>
      </c>
      <c r="AF935" s="187" t="str">
        <f t="shared" si="60"/>
        <v>NC</v>
      </c>
      <c r="AG935" s="54" t="str">
        <f t="shared" si="62"/>
        <v>UTILIZOU O PDA CORRETAMENTE. NÃO HÁ FOTOS DE TODAS AS ETAPAS</v>
      </c>
      <c r="AH935" s="146" t="s">
        <v>204</v>
      </c>
      <c r="AI935" s="210" t="s">
        <v>6</v>
      </c>
      <c r="AJ935" s="97" t="str">
        <f t="shared" si="61"/>
        <v>GUARULHOS</v>
      </c>
      <c r="AK935" s="213" t="s">
        <v>39</v>
      </c>
      <c r="AL935" s="53">
        <v>0.24694900313883328</v>
      </c>
      <c r="AM935" s="53" t="str" cm="1">
        <f t="array" ref="AM935">IF(OR(O935&lt;&gt;"", SUMPRODUCT(($AN$2:$AN$5000=AN935)*($AL$2:$AL$5000&lt;=AL935)) &lt;= (COUNTIF($AN$2:$AN$5000,AN935)*0.5)), "SORTEADO", "-")</f>
        <v>SORTEADO</v>
      </c>
      <c r="AN935" s="245" t="s">
        <v>2396</v>
      </c>
    </row>
    <row r="936" spans="1:40" ht="30" hidden="1" customHeight="1" x14ac:dyDescent="0.2">
      <c r="A936" s="230" t="s">
        <v>197</v>
      </c>
      <c r="B936" s="230">
        <v>2617270890</v>
      </c>
      <c r="C936" s="230" t="s">
        <v>229</v>
      </c>
      <c r="D936" s="230" t="s">
        <v>76</v>
      </c>
      <c r="E936" s="230" t="s">
        <v>198</v>
      </c>
      <c r="F936" s="230" t="s">
        <v>2446</v>
      </c>
      <c r="G936" s="230">
        <v>77</v>
      </c>
      <c r="H936" s="230" t="s">
        <v>337</v>
      </c>
      <c r="I936" s="230" t="s">
        <v>899</v>
      </c>
      <c r="J936" s="230" t="s">
        <v>232</v>
      </c>
      <c r="K936" s="230"/>
      <c r="L936" s="230" t="s">
        <v>2396</v>
      </c>
      <c r="M936" s="230" t="s">
        <v>2447</v>
      </c>
      <c r="N936" s="230" t="s">
        <v>209</v>
      </c>
      <c r="O936" s="158"/>
      <c r="P936" s="92"/>
      <c r="Q936" s="146"/>
      <c r="R936" s="92"/>
      <c r="S936" s="146"/>
      <c r="T936" s="92"/>
      <c r="U936" s="146"/>
      <c r="V936" s="92"/>
      <c r="W936" s="146"/>
      <c r="X936" s="92"/>
      <c r="Y936" s="146"/>
      <c r="Z936" s="92"/>
      <c r="AA936" s="146"/>
      <c r="AB936" s="92"/>
      <c r="AC936" s="146"/>
      <c r="AD936" s="92"/>
      <c r="AE936" s="146"/>
      <c r="AF936" s="187" t="str">
        <f t="shared" si="60"/>
        <v/>
      </c>
      <c r="AG936" s="54" t="b">
        <f t="shared" si="62"/>
        <v>0</v>
      </c>
      <c r="AH936" s="146"/>
      <c r="AI936" s="210" t="s">
        <v>6</v>
      </c>
      <c r="AJ936" s="97" t="str">
        <f t="shared" si="61"/>
        <v>GUARULHOS</v>
      </c>
      <c r="AK936" s="213" t="s">
        <v>39</v>
      </c>
      <c r="AL936" s="53">
        <v>0.5574418064033978</v>
      </c>
      <c r="AM936" s="53" t="str" cm="1">
        <f t="array" ref="AM936">IF(OR(O936&lt;&gt;"", SUMPRODUCT(($AN$2:$AN$5000=AN936)*($AL$2:$AL$5000&lt;=AL936)) &lt;= (COUNTIF($AN$2:$AN$5000,AN936)*0.5)), "SORTEADO", "-")</f>
        <v>-</v>
      </c>
      <c r="AN936" s="245" t="s">
        <v>2396</v>
      </c>
    </row>
    <row r="937" spans="1:40" ht="30" customHeight="1" x14ac:dyDescent="0.2">
      <c r="A937" s="230" t="s">
        <v>197</v>
      </c>
      <c r="B937" s="230">
        <v>2617358746</v>
      </c>
      <c r="C937" s="230" t="s">
        <v>95</v>
      </c>
      <c r="D937" s="230" t="s">
        <v>76</v>
      </c>
      <c r="E937" s="230" t="s">
        <v>198</v>
      </c>
      <c r="F937" s="230" t="s">
        <v>275</v>
      </c>
      <c r="G937" s="230">
        <v>117</v>
      </c>
      <c r="H937" s="230" t="s">
        <v>211</v>
      </c>
      <c r="I937" s="230" t="s">
        <v>277</v>
      </c>
      <c r="J937" s="230" t="s">
        <v>95</v>
      </c>
      <c r="K937" s="230" t="s">
        <v>213</v>
      </c>
      <c r="L937" s="230" t="s">
        <v>2396</v>
      </c>
      <c r="M937" s="230" t="s">
        <v>2448</v>
      </c>
      <c r="N937" s="230" t="s">
        <v>215</v>
      </c>
      <c r="O937" s="158" t="s">
        <v>204</v>
      </c>
      <c r="P937" s="92"/>
      <c r="Q937" s="146" t="s">
        <v>61</v>
      </c>
      <c r="R937" s="92"/>
      <c r="S937" s="146" t="s">
        <v>61</v>
      </c>
      <c r="T937" s="92"/>
      <c r="U937" s="146" t="s">
        <v>61</v>
      </c>
      <c r="V937" s="92"/>
      <c r="W937" s="146" t="s">
        <v>61</v>
      </c>
      <c r="X937" s="92"/>
      <c r="Y937" s="146" t="s">
        <v>61</v>
      </c>
      <c r="Z937" s="92"/>
      <c r="AA937" s="146" t="s">
        <v>204</v>
      </c>
      <c r="AB937" s="92"/>
      <c r="AC937" s="146" t="s">
        <v>204</v>
      </c>
      <c r="AD937" s="92"/>
      <c r="AE937" s="146" t="s">
        <v>204</v>
      </c>
      <c r="AF937" s="187" t="str">
        <f t="shared" si="60"/>
        <v>C</v>
      </c>
      <c r="AG937" s="54" t="str">
        <f t="shared" si="62"/>
        <v>UTILIZOU O PDA CORRETAMENTE</v>
      </c>
      <c r="AH937" s="146" t="s">
        <v>204</v>
      </c>
      <c r="AI937" s="210" t="s">
        <v>6</v>
      </c>
      <c r="AJ937" s="97" t="str">
        <f t="shared" si="61"/>
        <v>GUARULHOS</v>
      </c>
      <c r="AK937" s="213" t="s">
        <v>39</v>
      </c>
      <c r="AL937" s="53">
        <v>0.36497780885916498</v>
      </c>
      <c r="AM937" s="53" t="str" cm="1">
        <f t="array" ref="AM937">IF(OR(O937&lt;&gt;"", SUMPRODUCT(($AN$2:$AN$5000=AN937)*($AL$2:$AL$5000&lt;=AL937)) &lt;= (COUNTIF($AN$2:$AN$5000,AN937)*0.5)), "SORTEADO", "-")</f>
        <v>SORTEADO</v>
      </c>
      <c r="AN937" s="245" t="s">
        <v>2396</v>
      </c>
    </row>
    <row r="938" spans="1:40" ht="30" hidden="1" customHeight="1" x14ac:dyDescent="0.2">
      <c r="A938" s="230" t="s">
        <v>197</v>
      </c>
      <c r="B938" s="230">
        <v>2617359319</v>
      </c>
      <c r="C938" s="230" t="s">
        <v>83</v>
      </c>
      <c r="D938" s="230" t="s">
        <v>76</v>
      </c>
      <c r="E938" s="230" t="s">
        <v>198</v>
      </c>
      <c r="F938" s="230" t="s">
        <v>275</v>
      </c>
      <c r="G938" s="230">
        <v>117</v>
      </c>
      <c r="H938" s="230" t="s">
        <v>217</v>
      </c>
      <c r="I938" s="230" t="s">
        <v>411</v>
      </c>
      <c r="J938" s="230" t="s">
        <v>219</v>
      </c>
      <c r="K938" s="230"/>
      <c r="L938" s="230" t="s">
        <v>2396</v>
      </c>
      <c r="M938" s="230" t="s">
        <v>2449</v>
      </c>
      <c r="N938" s="230" t="s">
        <v>215</v>
      </c>
      <c r="O938" s="158"/>
      <c r="P938" s="92"/>
      <c r="Q938" s="146"/>
      <c r="R938" s="92"/>
      <c r="S938" s="146"/>
      <c r="T938" s="92"/>
      <c r="U938" s="146"/>
      <c r="V938" s="92"/>
      <c r="W938" s="146"/>
      <c r="X938" s="92"/>
      <c r="Y938" s="146"/>
      <c r="Z938" s="92"/>
      <c r="AA938" s="146"/>
      <c r="AB938" s="92"/>
      <c r="AC938" s="146"/>
      <c r="AD938" s="92"/>
      <c r="AE938" s="146"/>
      <c r="AF938" s="187" t="str">
        <f t="shared" si="60"/>
        <v/>
      </c>
      <c r="AG938" s="54" t="b">
        <f t="shared" si="62"/>
        <v>0</v>
      </c>
      <c r="AH938" s="146"/>
      <c r="AI938" s="210" t="s">
        <v>6</v>
      </c>
      <c r="AJ938" s="97" t="str">
        <f t="shared" si="61"/>
        <v>GUARULHOS</v>
      </c>
      <c r="AK938" s="213" t="s">
        <v>39</v>
      </c>
      <c r="AL938" s="53">
        <v>0.80753567038498297</v>
      </c>
      <c r="AM938" s="53" t="str" cm="1">
        <f t="array" ref="AM938">IF(OR(O938&lt;&gt;"", SUMPRODUCT(($AN$2:$AN$5000=AN938)*($AL$2:$AL$5000&lt;=AL938)) &lt;= (COUNTIF($AN$2:$AN$5000,AN938)*0.5)), "SORTEADO", "-")</f>
        <v>-</v>
      </c>
      <c r="AN938" s="245" t="s">
        <v>2396</v>
      </c>
    </row>
    <row r="939" spans="1:40" ht="30" customHeight="1" x14ac:dyDescent="0.2">
      <c r="A939" s="230" t="s">
        <v>197</v>
      </c>
      <c r="B939" s="230">
        <v>2617358744</v>
      </c>
      <c r="C939" s="230" t="s">
        <v>93</v>
      </c>
      <c r="D939" s="230" t="s">
        <v>76</v>
      </c>
      <c r="E939" s="230" t="s">
        <v>198</v>
      </c>
      <c r="F939" s="230" t="s">
        <v>275</v>
      </c>
      <c r="G939" s="230">
        <v>117</v>
      </c>
      <c r="H939" s="230" t="s">
        <v>206</v>
      </c>
      <c r="I939" s="230" t="s">
        <v>277</v>
      </c>
      <c r="J939" s="230" t="s">
        <v>93</v>
      </c>
      <c r="K939" s="230" t="s">
        <v>213</v>
      </c>
      <c r="L939" s="230" t="s">
        <v>2396</v>
      </c>
      <c r="M939" s="230" t="s">
        <v>2450</v>
      </c>
      <c r="N939" s="230" t="s">
        <v>215</v>
      </c>
      <c r="O939" s="158" t="s">
        <v>204</v>
      </c>
      <c r="P939" s="92"/>
      <c r="Q939" s="146" t="s">
        <v>61</v>
      </c>
      <c r="R939" s="92"/>
      <c r="S939" s="146" t="s">
        <v>61</v>
      </c>
      <c r="T939" s="92"/>
      <c r="U939" s="146" t="s">
        <v>61</v>
      </c>
      <c r="V939" s="92"/>
      <c r="W939" s="146" t="s">
        <v>61</v>
      </c>
      <c r="X939" s="92"/>
      <c r="Y939" s="146" t="s">
        <v>61</v>
      </c>
      <c r="Z939" s="92"/>
      <c r="AA939" s="146" t="s">
        <v>204</v>
      </c>
      <c r="AB939" s="92"/>
      <c r="AC939" s="146" t="s">
        <v>204</v>
      </c>
      <c r="AD939" s="92"/>
      <c r="AE939" s="146" t="s">
        <v>204</v>
      </c>
      <c r="AF939" s="187" t="str">
        <f t="shared" si="60"/>
        <v>C</v>
      </c>
      <c r="AG939" s="54" t="str">
        <f t="shared" si="62"/>
        <v>UTILIZOU O PDA CORRETAMENTE</v>
      </c>
      <c r="AH939" s="146" t="s">
        <v>204</v>
      </c>
      <c r="AI939" s="210" t="s">
        <v>6</v>
      </c>
      <c r="AJ939" s="97" t="str">
        <f t="shared" si="61"/>
        <v>GUARULHOS</v>
      </c>
      <c r="AK939" s="213" t="s">
        <v>39</v>
      </c>
      <c r="AL939" s="53">
        <v>0.26230423648514134</v>
      </c>
      <c r="AM939" s="53" t="str" cm="1">
        <f t="array" ref="AM939">IF(OR(O939&lt;&gt;"", SUMPRODUCT(($AN$2:$AN$5000=AN939)*($AL$2:$AL$5000&lt;=AL939)) &lt;= (COUNTIF($AN$2:$AN$5000,AN939)*0.5)), "SORTEADO", "-")</f>
        <v>SORTEADO</v>
      </c>
      <c r="AN939" s="245" t="s">
        <v>2396</v>
      </c>
    </row>
    <row r="940" spans="1:40" ht="30" hidden="1" customHeight="1" x14ac:dyDescent="0.2">
      <c r="A940" s="230" t="s">
        <v>197</v>
      </c>
      <c r="B940" s="230">
        <v>2617772955</v>
      </c>
      <c r="C940" s="230" t="s">
        <v>95</v>
      </c>
      <c r="D940" s="230" t="s">
        <v>76</v>
      </c>
      <c r="E940" s="230" t="s">
        <v>198</v>
      </c>
      <c r="F940" s="230" t="s">
        <v>877</v>
      </c>
      <c r="G940" s="230">
        <v>241</v>
      </c>
      <c r="H940" s="230" t="s">
        <v>211</v>
      </c>
      <c r="I940" s="230" t="s">
        <v>588</v>
      </c>
      <c r="J940" s="230" t="s">
        <v>95</v>
      </c>
      <c r="K940" s="230"/>
      <c r="L940" s="230" t="s">
        <v>2396</v>
      </c>
      <c r="M940" s="230" t="s">
        <v>2451</v>
      </c>
      <c r="N940" s="230" t="s">
        <v>215</v>
      </c>
      <c r="O940" s="158"/>
      <c r="P940" s="92"/>
      <c r="Q940" s="146"/>
      <c r="R940" s="92"/>
      <c r="S940" s="146"/>
      <c r="T940" s="92"/>
      <c r="U940" s="146"/>
      <c r="V940" s="92"/>
      <c r="W940" s="146"/>
      <c r="X940" s="92"/>
      <c r="Y940" s="146"/>
      <c r="Z940" s="92"/>
      <c r="AA940" s="146"/>
      <c r="AB940" s="92"/>
      <c r="AC940" s="146"/>
      <c r="AD940" s="92"/>
      <c r="AE940" s="146"/>
      <c r="AF940" s="187" t="str">
        <f t="shared" si="60"/>
        <v/>
      </c>
      <c r="AG940" s="54" t="b">
        <f t="shared" si="62"/>
        <v>0</v>
      </c>
      <c r="AH940" s="146"/>
      <c r="AI940" s="210" t="s">
        <v>6</v>
      </c>
      <c r="AJ940" s="97" t="str">
        <f t="shared" si="61"/>
        <v>GUARULHOS</v>
      </c>
      <c r="AK940" s="213" t="s">
        <v>39</v>
      </c>
      <c r="AL940" s="53">
        <v>0.73802102734458175</v>
      </c>
      <c r="AM940" s="53" t="str" cm="1">
        <f t="array" ref="AM940">IF(OR(O940&lt;&gt;"", SUMPRODUCT(($AN$2:$AN$5000=AN940)*($AL$2:$AL$5000&lt;=AL940)) &lt;= (COUNTIF($AN$2:$AN$5000,AN940)*0.5)), "SORTEADO", "-")</f>
        <v>-</v>
      </c>
      <c r="AN940" s="245" t="s">
        <v>2396</v>
      </c>
    </row>
    <row r="941" spans="1:40" ht="30" customHeight="1" x14ac:dyDescent="0.2">
      <c r="A941" s="230" t="s">
        <v>197</v>
      </c>
      <c r="B941" s="230">
        <v>2617355952</v>
      </c>
      <c r="C941" s="230" t="s">
        <v>93</v>
      </c>
      <c r="D941" s="230" t="s">
        <v>76</v>
      </c>
      <c r="E941" s="230" t="s">
        <v>198</v>
      </c>
      <c r="F941" s="230" t="s">
        <v>2438</v>
      </c>
      <c r="G941" s="230">
        <v>53</v>
      </c>
      <c r="H941" s="230" t="s">
        <v>206</v>
      </c>
      <c r="I941" s="230" t="s">
        <v>436</v>
      </c>
      <c r="J941" s="230" t="s">
        <v>93</v>
      </c>
      <c r="K941" s="230" t="s">
        <v>2452</v>
      </c>
      <c r="L941" s="230" t="s">
        <v>2396</v>
      </c>
      <c r="M941" s="230" t="s">
        <v>2453</v>
      </c>
      <c r="N941" s="230" t="s">
        <v>215</v>
      </c>
      <c r="O941" s="158" t="s">
        <v>204</v>
      </c>
      <c r="P941" s="92"/>
      <c r="Q941" s="146" t="s">
        <v>61</v>
      </c>
      <c r="R941" s="92"/>
      <c r="S941" s="146" t="s">
        <v>61</v>
      </c>
      <c r="T941" s="92"/>
      <c r="U941" s="146" t="s">
        <v>61</v>
      </c>
      <c r="V941" s="92"/>
      <c r="W941" s="146" t="s">
        <v>61</v>
      </c>
      <c r="X941" s="92"/>
      <c r="Y941" s="146" t="s">
        <v>61</v>
      </c>
      <c r="Z941" s="92"/>
      <c r="AA941" s="146" t="s">
        <v>204</v>
      </c>
      <c r="AB941" s="92"/>
      <c r="AC941" s="146" t="s">
        <v>204</v>
      </c>
      <c r="AD941" s="92"/>
      <c r="AE941" s="146" t="s">
        <v>204</v>
      </c>
      <c r="AF941" s="187" t="str">
        <f t="shared" si="60"/>
        <v>C</v>
      </c>
      <c r="AG941" s="54" t="str">
        <f t="shared" si="62"/>
        <v>UTILIZOU O PDA CORRETAMENTE</v>
      </c>
      <c r="AH941" s="146" t="s">
        <v>204</v>
      </c>
      <c r="AI941" s="210" t="s">
        <v>6</v>
      </c>
      <c r="AJ941" s="97" t="str">
        <f t="shared" si="61"/>
        <v>GUARULHOS</v>
      </c>
      <c r="AK941" s="213" t="s">
        <v>39</v>
      </c>
      <c r="AL941" s="53">
        <v>0.24332086653380902</v>
      </c>
      <c r="AM941" s="53" t="str" cm="1">
        <f t="array" ref="AM941">IF(OR(O941&lt;&gt;"", SUMPRODUCT(($AN$2:$AN$5000=AN941)*($AL$2:$AL$5000&lt;=AL941)) &lt;= (COUNTIF($AN$2:$AN$5000,AN941)*0.5)), "SORTEADO", "-")</f>
        <v>SORTEADO</v>
      </c>
      <c r="AN941" s="245" t="s">
        <v>2396</v>
      </c>
    </row>
    <row r="942" spans="1:40" ht="30" hidden="1" customHeight="1" x14ac:dyDescent="0.2">
      <c r="A942" s="230" t="s">
        <v>197</v>
      </c>
      <c r="B942" s="230">
        <v>2617270900</v>
      </c>
      <c r="C942" s="230" t="s">
        <v>229</v>
      </c>
      <c r="D942" s="230" t="s">
        <v>76</v>
      </c>
      <c r="E942" s="230" t="s">
        <v>198</v>
      </c>
      <c r="F942" s="230" t="s">
        <v>2446</v>
      </c>
      <c r="G942" s="230">
        <v>77</v>
      </c>
      <c r="H942" s="230" t="s">
        <v>334</v>
      </c>
      <c r="I942" s="230" t="s">
        <v>899</v>
      </c>
      <c r="J942" s="230" t="s">
        <v>232</v>
      </c>
      <c r="K942" s="230">
        <v>2617270890</v>
      </c>
      <c r="L942" s="230" t="s">
        <v>2396</v>
      </c>
      <c r="M942" s="230" t="s">
        <v>2454</v>
      </c>
      <c r="N942" s="230" t="s">
        <v>209</v>
      </c>
      <c r="O942" s="158"/>
      <c r="P942" s="92"/>
      <c r="Q942" s="146"/>
      <c r="R942" s="92"/>
      <c r="S942" s="146"/>
      <c r="T942" s="92"/>
      <c r="U942" s="146"/>
      <c r="V942" s="92"/>
      <c r="W942" s="146"/>
      <c r="X942" s="92"/>
      <c r="Y942" s="146"/>
      <c r="Z942" s="92"/>
      <c r="AA942" s="146"/>
      <c r="AB942" s="92"/>
      <c r="AC942" s="146"/>
      <c r="AD942" s="92"/>
      <c r="AE942" s="146"/>
      <c r="AF942" s="187" t="str">
        <f t="shared" si="60"/>
        <v/>
      </c>
      <c r="AG942" s="54" t="b">
        <f t="shared" si="62"/>
        <v>0</v>
      </c>
      <c r="AH942" s="146"/>
      <c r="AI942" s="210" t="s">
        <v>6</v>
      </c>
      <c r="AJ942" s="97" t="str">
        <f t="shared" si="61"/>
        <v>GUARULHOS</v>
      </c>
      <c r="AK942" s="213" t="s">
        <v>39</v>
      </c>
      <c r="AL942" s="53">
        <v>0.77923753015693864</v>
      </c>
      <c r="AM942" s="53" t="str" cm="1">
        <f t="array" ref="AM942">IF(OR(O942&lt;&gt;"", SUMPRODUCT(($AN$2:$AN$5000=AN942)*($AL$2:$AL$5000&lt;=AL942)) &lt;= (COUNTIF($AN$2:$AN$5000,AN942)*0.5)), "SORTEADO", "-")</f>
        <v>-</v>
      </c>
      <c r="AN942" s="245" t="s">
        <v>2396</v>
      </c>
    </row>
    <row r="943" spans="1:40" ht="30" customHeight="1" x14ac:dyDescent="0.2">
      <c r="A943" s="230" t="s">
        <v>197</v>
      </c>
      <c r="B943" s="230">
        <v>2617185495</v>
      </c>
      <c r="C943" s="230" t="s">
        <v>85</v>
      </c>
      <c r="D943" s="230" t="s">
        <v>76</v>
      </c>
      <c r="E943" s="230" t="s">
        <v>198</v>
      </c>
      <c r="F943" s="230" t="s">
        <v>2024</v>
      </c>
      <c r="G943" s="230">
        <v>15</v>
      </c>
      <c r="H943" s="230" t="s">
        <v>827</v>
      </c>
      <c r="I943" s="230" t="s">
        <v>2455</v>
      </c>
      <c r="J943" s="230" t="s">
        <v>85</v>
      </c>
      <c r="K943" s="230" t="s">
        <v>944</v>
      </c>
      <c r="L943" s="230" t="s">
        <v>2396</v>
      </c>
      <c r="M943" s="230" t="s">
        <v>2456</v>
      </c>
      <c r="N943" s="230" t="s">
        <v>203</v>
      </c>
      <c r="O943" s="158" t="s">
        <v>204</v>
      </c>
      <c r="P943" s="92"/>
      <c r="Q943" s="146" t="s">
        <v>204</v>
      </c>
      <c r="R943" s="92"/>
      <c r="S943" s="146" t="s">
        <v>204</v>
      </c>
      <c r="T943" s="92"/>
      <c r="U943" s="146" t="s">
        <v>204</v>
      </c>
      <c r="V943" s="92"/>
      <c r="W943" s="146" t="s">
        <v>204</v>
      </c>
      <c r="X943" s="92"/>
      <c r="Y943" s="146" t="s">
        <v>61</v>
      </c>
      <c r="Z943" s="92"/>
      <c r="AA943" s="146" t="s">
        <v>210</v>
      </c>
      <c r="AB943" s="92" t="s">
        <v>618</v>
      </c>
      <c r="AC943" s="146" t="s">
        <v>204</v>
      </c>
      <c r="AD943" s="92"/>
      <c r="AE943" s="146" t="s">
        <v>204</v>
      </c>
      <c r="AF943" s="187" t="str">
        <f t="shared" si="60"/>
        <v>NC</v>
      </c>
      <c r="AG943" s="54" t="str">
        <f t="shared" si="62"/>
        <v>UTILIZOU O PDA CORRETAMENTE. NÃO HÁ FOTOS DE TODAS AS ETAPAS</v>
      </c>
      <c r="AH943" s="146" t="s">
        <v>204</v>
      </c>
      <c r="AI943" s="210" t="s">
        <v>6</v>
      </c>
      <c r="AJ943" s="97" t="str">
        <f t="shared" si="61"/>
        <v>GUARULHOS</v>
      </c>
      <c r="AK943" s="213" t="s">
        <v>39</v>
      </c>
      <c r="AL943" s="53">
        <v>0.29965392179076189</v>
      </c>
      <c r="AM943" s="53" t="str" cm="1">
        <f t="array" ref="AM943">IF(OR(O943&lt;&gt;"", SUMPRODUCT(($AN$2:$AN$5000=AN943)*($AL$2:$AL$5000&lt;=AL943)) &lt;= (COUNTIF($AN$2:$AN$5000,AN943)*0.5)), "SORTEADO", "-")</f>
        <v>SORTEADO</v>
      </c>
      <c r="AN943" s="245" t="s">
        <v>2396</v>
      </c>
    </row>
    <row r="944" spans="1:40" ht="30" customHeight="1" x14ac:dyDescent="0.2">
      <c r="A944" s="230" t="s">
        <v>197</v>
      </c>
      <c r="B944" s="230">
        <v>2617187599</v>
      </c>
      <c r="C944" s="230" t="s">
        <v>85</v>
      </c>
      <c r="D944" s="230" t="s">
        <v>76</v>
      </c>
      <c r="E944" s="230" t="s">
        <v>198</v>
      </c>
      <c r="F944" s="230" t="s">
        <v>2457</v>
      </c>
      <c r="G944" s="230">
        <v>238</v>
      </c>
      <c r="H944" s="230"/>
      <c r="I944" s="230" t="s">
        <v>1575</v>
      </c>
      <c r="J944" s="230" t="s">
        <v>85</v>
      </c>
      <c r="K944" s="230" t="s">
        <v>2458</v>
      </c>
      <c r="L944" s="230" t="s">
        <v>2396</v>
      </c>
      <c r="M944" s="230" t="s">
        <v>2459</v>
      </c>
      <c r="N944" s="230" t="s">
        <v>203</v>
      </c>
      <c r="O944" s="158" t="s">
        <v>204</v>
      </c>
      <c r="P944" s="92"/>
      <c r="Q944" s="146" t="s">
        <v>204</v>
      </c>
      <c r="R944" s="92"/>
      <c r="S944" s="146" t="s">
        <v>204</v>
      </c>
      <c r="T944" s="92"/>
      <c r="U944" s="146" t="s">
        <v>204</v>
      </c>
      <c r="V944" s="92"/>
      <c r="W944" s="146" t="s">
        <v>204</v>
      </c>
      <c r="X944" s="92"/>
      <c r="Y944" s="146" t="s">
        <v>61</v>
      </c>
      <c r="Z944" s="92"/>
      <c r="AA944" s="146" t="s">
        <v>210</v>
      </c>
      <c r="AB944" s="92" t="s">
        <v>618</v>
      </c>
      <c r="AC944" s="146" t="s">
        <v>204</v>
      </c>
      <c r="AD944" s="92"/>
      <c r="AE944" s="146" t="s">
        <v>204</v>
      </c>
      <c r="AF944" s="187" t="str">
        <f t="shared" si="60"/>
        <v>NC</v>
      </c>
      <c r="AG944" s="54" t="str">
        <f t="shared" si="62"/>
        <v>UTILIZOU O PDA CORRETAMENTE. NÃO HÁ FOTOS DE TODAS AS ETAPAS</v>
      </c>
      <c r="AH944" s="146" t="s">
        <v>204</v>
      </c>
      <c r="AI944" s="210" t="s">
        <v>6</v>
      </c>
      <c r="AJ944" s="97" t="str">
        <f t="shared" si="61"/>
        <v>GUARULHOS</v>
      </c>
      <c r="AK944" s="213" t="s">
        <v>39</v>
      </c>
      <c r="AL944" s="53">
        <v>0.15972555816382106</v>
      </c>
      <c r="AM944" s="53" t="str" cm="1">
        <f t="array" ref="AM944">IF(OR(O944&lt;&gt;"", SUMPRODUCT(($AN$2:$AN$5000=AN944)*($AL$2:$AL$5000&lt;=AL944)) &lt;= (COUNTIF($AN$2:$AN$5000,AN944)*0.5)), "SORTEADO", "-")</f>
        <v>SORTEADO</v>
      </c>
      <c r="AN944" s="245" t="s">
        <v>2396</v>
      </c>
    </row>
    <row r="945" spans="1:40" ht="30" hidden="1" customHeight="1" x14ac:dyDescent="0.2">
      <c r="A945" s="230" t="s">
        <v>197</v>
      </c>
      <c r="B945" s="230">
        <v>2617731097</v>
      </c>
      <c r="C945" s="230" t="s">
        <v>105</v>
      </c>
      <c r="D945" s="230" t="s">
        <v>80</v>
      </c>
      <c r="E945" s="230" t="s">
        <v>198</v>
      </c>
      <c r="F945" s="230" t="s">
        <v>2460</v>
      </c>
      <c r="G945" s="230">
        <v>26</v>
      </c>
      <c r="H945" s="230" t="s">
        <v>213</v>
      </c>
      <c r="I945" s="230" t="s">
        <v>2461</v>
      </c>
      <c r="J945" s="230" t="s">
        <v>226</v>
      </c>
      <c r="K945" s="230" t="s">
        <v>213</v>
      </c>
      <c r="L945" s="230" t="s">
        <v>2396</v>
      </c>
      <c r="M945" s="230" t="s">
        <v>2462</v>
      </c>
      <c r="N945" s="230" t="s">
        <v>263</v>
      </c>
      <c r="O945" s="158"/>
      <c r="P945" s="92"/>
      <c r="Q945" s="146"/>
      <c r="R945" s="92"/>
      <c r="S945" s="146"/>
      <c r="T945" s="92"/>
      <c r="U945" s="146"/>
      <c r="V945" s="92"/>
      <c r="W945" s="146"/>
      <c r="X945" s="92"/>
      <c r="Y945" s="146"/>
      <c r="Z945" s="92"/>
      <c r="AA945" s="146"/>
      <c r="AB945" s="92"/>
      <c r="AC945" s="146"/>
      <c r="AD945" s="92"/>
      <c r="AE945" s="146"/>
      <c r="AF945" s="187" t="str">
        <f t="shared" si="60"/>
        <v/>
      </c>
      <c r="AG945" s="54" t="b">
        <f t="shared" si="62"/>
        <v>0</v>
      </c>
      <c r="AH945" s="146"/>
      <c r="AI945" s="210" t="s">
        <v>6</v>
      </c>
      <c r="AJ945" s="97" t="str">
        <f t="shared" si="61"/>
        <v>GUARULHOS</v>
      </c>
      <c r="AK945" s="213" t="s">
        <v>39</v>
      </c>
      <c r="AL945" s="53">
        <v>0.89747578112505944</v>
      </c>
      <c r="AM945" s="53" t="str" cm="1">
        <f t="array" ref="AM945">IF(OR(O945&lt;&gt;"", SUMPRODUCT(($AN$2:$AN$5000=AN945)*($AL$2:$AL$5000&lt;=AL945)) &lt;= (COUNTIF($AN$2:$AN$5000,AN945)*0.5)), "SORTEADO", "-")</f>
        <v>-</v>
      </c>
      <c r="AN945" s="245" t="s">
        <v>2396</v>
      </c>
    </row>
    <row r="946" spans="1:40" ht="30" hidden="1" customHeight="1" x14ac:dyDescent="0.2">
      <c r="A946" s="230" t="s">
        <v>197</v>
      </c>
      <c r="B946" s="230">
        <v>2691868913</v>
      </c>
      <c r="C946" s="230" t="s">
        <v>106</v>
      </c>
      <c r="D946" s="230" t="s">
        <v>80</v>
      </c>
      <c r="E946" s="230" t="s">
        <v>198</v>
      </c>
      <c r="F946" s="230" t="s">
        <v>2463</v>
      </c>
      <c r="G946" s="230">
        <v>2</v>
      </c>
      <c r="H946" s="230" t="s">
        <v>2464</v>
      </c>
      <c r="I946" s="230" t="s">
        <v>200</v>
      </c>
      <c r="J946" s="230" t="s">
        <v>259</v>
      </c>
      <c r="K946" s="230" t="s">
        <v>2465</v>
      </c>
      <c r="L946" s="230" t="s">
        <v>2396</v>
      </c>
      <c r="M946" s="230" t="s">
        <v>2466</v>
      </c>
      <c r="N946" s="230" t="s">
        <v>244</v>
      </c>
      <c r="O946" s="158"/>
      <c r="P946" s="92"/>
      <c r="Q946" s="146"/>
      <c r="R946" s="92"/>
      <c r="S946" s="146"/>
      <c r="T946" s="92"/>
      <c r="U946" s="146"/>
      <c r="V946" s="92"/>
      <c r="W946" s="146"/>
      <c r="X946" s="92"/>
      <c r="Y946" s="146"/>
      <c r="Z946" s="92"/>
      <c r="AA946" s="146"/>
      <c r="AB946" s="92"/>
      <c r="AC946" s="146"/>
      <c r="AD946" s="92"/>
      <c r="AE946" s="146"/>
      <c r="AF946" s="187" t="str">
        <f t="shared" si="60"/>
        <v/>
      </c>
      <c r="AG946" s="54" t="b">
        <f t="shared" si="62"/>
        <v>0</v>
      </c>
      <c r="AH946" s="146"/>
      <c r="AI946" s="210" t="s">
        <v>6</v>
      </c>
      <c r="AJ946" s="97" t="str">
        <f t="shared" si="61"/>
        <v>GUARULHOS</v>
      </c>
      <c r="AK946" s="213" t="s">
        <v>39</v>
      </c>
      <c r="AL946" s="53">
        <v>0.78658489331807724</v>
      </c>
      <c r="AM946" s="53" t="str" cm="1">
        <f t="array" ref="AM946">IF(OR(O946&lt;&gt;"", SUMPRODUCT(($AN$2:$AN$5000=AN946)*($AL$2:$AL$5000&lt;=AL946)) &lt;= (COUNTIF($AN$2:$AN$5000,AN946)*0.5)), "SORTEADO", "-")</f>
        <v>-</v>
      </c>
      <c r="AN946" s="245" t="s">
        <v>2396</v>
      </c>
    </row>
    <row r="947" spans="1:40" ht="30" customHeight="1" x14ac:dyDescent="0.2">
      <c r="A947" s="230" t="s">
        <v>197</v>
      </c>
      <c r="B947" s="230">
        <v>2691865567</v>
      </c>
      <c r="C947" s="230" t="s">
        <v>102</v>
      </c>
      <c r="D947" s="230" t="s">
        <v>80</v>
      </c>
      <c r="E947" s="230" t="s">
        <v>198</v>
      </c>
      <c r="F947" s="230" t="s">
        <v>781</v>
      </c>
      <c r="G947" s="230">
        <v>101</v>
      </c>
      <c r="H947" s="230" t="s">
        <v>2467</v>
      </c>
      <c r="I947" s="230" t="s">
        <v>262</v>
      </c>
      <c r="J947" s="230" t="s">
        <v>270</v>
      </c>
      <c r="K947" s="230" t="s">
        <v>2468</v>
      </c>
      <c r="L947" s="230" t="s">
        <v>2396</v>
      </c>
      <c r="M947" s="230" t="s">
        <v>2469</v>
      </c>
      <c r="N947" s="230" t="s">
        <v>287</v>
      </c>
      <c r="O947" s="158" t="s">
        <v>204</v>
      </c>
      <c r="P947" s="92"/>
      <c r="Q947" s="146" t="s">
        <v>204</v>
      </c>
      <c r="R947" s="92"/>
      <c r="S947" s="146" t="s">
        <v>204</v>
      </c>
      <c r="T947" s="92"/>
      <c r="U947" s="146" t="s">
        <v>328</v>
      </c>
      <c r="V947" s="92"/>
      <c r="W947" s="146" t="s">
        <v>328</v>
      </c>
      <c r="X947" s="92"/>
      <c r="Y947" s="146" t="s">
        <v>328</v>
      </c>
      <c r="Z947" s="92"/>
      <c r="AA947" s="146" t="s">
        <v>328</v>
      </c>
      <c r="AB947" s="92"/>
      <c r="AC947" s="146" t="s">
        <v>328</v>
      </c>
      <c r="AD947" s="92"/>
      <c r="AE947" s="146" t="s">
        <v>204</v>
      </c>
      <c r="AF947" s="187" t="str">
        <f t="shared" si="60"/>
        <v>NC</v>
      </c>
      <c r="AG947" s="54" t="str">
        <f t="shared" si="62"/>
        <v>UTILIZOU O PDA CORRETAMENTE. NÃO HÁ FOTOS DE TODAS AS ETAPAS</v>
      </c>
      <c r="AH947" s="146" t="s">
        <v>204</v>
      </c>
      <c r="AI947" s="210" t="s">
        <v>6</v>
      </c>
      <c r="AJ947" s="97" t="str">
        <f t="shared" si="61"/>
        <v>GUARULHOS</v>
      </c>
      <c r="AK947" s="213" t="s">
        <v>39</v>
      </c>
      <c r="AL947" s="53">
        <v>0.35131992231877807</v>
      </c>
      <c r="AM947" s="53" t="str" cm="1">
        <f t="array" ref="AM947">IF(OR(O947&lt;&gt;"", SUMPRODUCT(($AN$2:$AN$5000=AN947)*($AL$2:$AL$5000&lt;=AL947)) &lt;= (COUNTIF($AN$2:$AN$5000,AN947)*0.5)), "SORTEADO", "-")</f>
        <v>SORTEADO</v>
      </c>
      <c r="AN947" s="245" t="s">
        <v>2396</v>
      </c>
    </row>
    <row r="948" spans="1:40" ht="30" hidden="1" customHeight="1" x14ac:dyDescent="0.2">
      <c r="A948" s="230" t="s">
        <v>197</v>
      </c>
      <c r="B948" s="230">
        <v>2691871530</v>
      </c>
      <c r="C948" s="230" t="s">
        <v>102</v>
      </c>
      <c r="D948" s="230" t="s">
        <v>80</v>
      </c>
      <c r="E948" s="230" t="s">
        <v>198</v>
      </c>
      <c r="F948" s="230" t="s">
        <v>1093</v>
      </c>
      <c r="G948" s="230">
        <v>14</v>
      </c>
      <c r="H948" s="230" t="s">
        <v>2470</v>
      </c>
      <c r="I948" s="230" t="s">
        <v>664</v>
      </c>
      <c r="J948" s="230" t="s">
        <v>270</v>
      </c>
      <c r="K948" s="230"/>
      <c r="L948" s="230" t="s">
        <v>2396</v>
      </c>
      <c r="M948" s="230" t="s">
        <v>2471</v>
      </c>
      <c r="N948" s="230" t="s">
        <v>244</v>
      </c>
      <c r="O948" s="158"/>
      <c r="P948" s="92"/>
      <c r="Q948" s="146"/>
      <c r="R948" s="92"/>
      <c r="S948" s="146"/>
      <c r="T948" s="92"/>
      <c r="U948" s="146"/>
      <c r="V948" s="92"/>
      <c r="W948" s="146"/>
      <c r="X948" s="92"/>
      <c r="Y948" s="146"/>
      <c r="Z948" s="92"/>
      <c r="AA948" s="146"/>
      <c r="AB948" s="92"/>
      <c r="AC948" s="146"/>
      <c r="AD948" s="92"/>
      <c r="AE948" s="146"/>
      <c r="AF948" s="187" t="str">
        <f t="shared" si="60"/>
        <v/>
      </c>
      <c r="AG948" s="54" t="b">
        <f t="shared" si="62"/>
        <v>0</v>
      </c>
      <c r="AH948" s="146"/>
      <c r="AI948" s="210" t="s">
        <v>6</v>
      </c>
      <c r="AJ948" s="97" t="str">
        <f t="shared" si="61"/>
        <v>GUARULHOS</v>
      </c>
      <c r="AK948" s="213" t="s">
        <v>39</v>
      </c>
      <c r="AL948" s="53">
        <v>0.80069195444008157</v>
      </c>
      <c r="AM948" s="53" t="str" cm="1">
        <f t="array" ref="AM948">IF(OR(O948&lt;&gt;"", SUMPRODUCT(($AN$2:$AN$5000=AN948)*($AL$2:$AL$5000&lt;=AL948)) &lt;= (COUNTIF($AN$2:$AN$5000,AN948)*0.5)), "SORTEADO", "-")</f>
        <v>-</v>
      </c>
      <c r="AN948" s="245" t="s">
        <v>2396</v>
      </c>
    </row>
    <row r="949" spans="1:40" ht="30" customHeight="1" x14ac:dyDescent="0.2">
      <c r="A949" s="230" t="s">
        <v>197</v>
      </c>
      <c r="B949" s="230">
        <v>2617933312</v>
      </c>
      <c r="C949" s="230" t="s">
        <v>105</v>
      </c>
      <c r="D949" s="230" t="s">
        <v>80</v>
      </c>
      <c r="E949" s="230" t="s">
        <v>198</v>
      </c>
      <c r="F949" s="230" t="s">
        <v>702</v>
      </c>
      <c r="G949" s="230">
        <v>672</v>
      </c>
      <c r="H949" s="230" t="s">
        <v>2472</v>
      </c>
      <c r="I949" s="230" t="s">
        <v>436</v>
      </c>
      <c r="J949" s="230" t="s">
        <v>226</v>
      </c>
      <c r="K949" s="237" t="s">
        <v>2473</v>
      </c>
      <c r="L949" s="230" t="s">
        <v>2396</v>
      </c>
      <c r="M949" s="230" t="s">
        <v>2474</v>
      </c>
      <c r="N949" s="230" t="s">
        <v>1104</v>
      </c>
      <c r="O949" s="158" t="s">
        <v>204</v>
      </c>
      <c r="P949" s="92"/>
      <c r="Q949" s="146" t="s">
        <v>204</v>
      </c>
      <c r="R949" s="92"/>
      <c r="S949" s="146" t="s">
        <v>204</v>
      </c>
      <c r="T949" s="92"/>
      <c r="U949" s="146" t="s">
        <v>204</v>
      </c>
      <c r="V949" s="92"/>
      <c r="W949" s="146" t="s">
        <v>204</v>
      </c>
      <c r="X949" s="92"/>
      <c r="Y949" s="146" t="s">
        <v>61</v>
      </c>
      <c r="Z949" s="92"/>
      <c r="AA949" s="146" t="s">
        <v>204</v>
      </c>
      <c r="AB949" s="92"/>
      <c r="AC949" s="146" t="s">
        <v>204</v>
      </c>
      <c r="AD949" s="92"/>
      <c r="AE949" s="146" t="s">
        <v>204</v>
      </c>
      <c r="AF949" s="187" t="str">
        <f t="shared" si="60"/>
        <v>C</v>
      </c>
      <c r="AG949" s="54" t="str">
        <f t="shared" si="62"/>
        <v>UTILIZOU O PDA CORRETAMENTE</v>
      </c>
      <c r="AH949" s="144" t="s">
        <v>204</v>
      </c>
      <c r="AI949" s="210" t="s">
        <v>6</v>
      </c>
      <c r="AJ949" s="97" t="str">
        <f t="shared" si="61"/>
        <v>GUARULHOS</v>
      </c>
      <c r="AK949" s="213" t="s">
        <v>39</v>
      </c>
      <c r="AL949" s="53">
        <v>0.18213622769543414</v>
      </c>
      <c r="AM949" s="53" t="str" cm="1">
        <f t="array" ref="AM949">IF(OR(O949&lt;&gt;"", SUMPRODUCT(($AN$2:$AN$5000=AN949)*($AL$2:$AL$5000&lt;=AL949)) &lt;= (COUNTIF($AN$2:$AN$5000,AN949)*0.5)), "SORTEADO", "-")</f>
        <v>SORTEADO</v>
      </c>
      <c r="AN949" s="245" t="s">
        <v>2396</v>
      </c>
    </row>
    <row r="950" spans="1:40" ht="30" hidden="1" customHeight="1" x14ac:dyDescent="0.2">
      <c r="A950" s="230" t="s">
        <v>197</v>
      </c>
      <c r="B950" s="230">
        <v>2617934915</v>
      </c>
      <c r="C950" s="230" t="s">
        <v>104</v>
      </c>
      <c r="D950" s="230" t="s">
        <v>80</v>
      </c>
      <c r="E950" s="230" t="s">
        <v>198</v>
      </c>
      <c r="F950" s="230" t="s">
        <v>1851</v>
      </c>
      <c r="G950" s="230">
        <v>97</v>
      </c>
      <c r="H950" s="230" t="s">
        <v>2475</v>
      </c>
      <c r="I950" s="230" t="s">
        <v>411</v>
      </c>
      <c r="J950" s="230" t="s">
        <v>2476</v>
      </c>
      <c r="K950" s="230" t="s">
        <v>1107</v>
      </c>
      <c r="L950" s="230" t="s">
        <v>2396</v>
      </c>
      <c r="M950" s="230" t="s">
        <v>2477</v>
      </c>
      <c r="N950" s="230" t="s">
        <v>1104</v>
      </c>
      <c r="O950" s="158"/>
      <c r="P950" s="92"/>
      <c r="Q950" s="146"/>
      <c r="R950" s="92"/>
      <c r="S950" s="146"/>
      <c r="T950" s="92"/>
      <c r="U950" s="146"/>
      <c r="V950" s="92"/>
      <c r="W950" s="146"/>
      <c r="X950" s="92"/>
      <c r="Y950" s="146"/>
      <c r="Z950" s="92"/>
      <c r="AA950" s="146"/>
      <c r="AB950" s="92"/>
      <c r="AC950" s="146"/>
      <c r="AD950" s="92"/>
      <c r="AE950" s="146"/>
      <c r="AF950" s="187" t="str">
        <f t="shared" si="60"/>
        <v/>
      </c>
      <c r="AG950" s="54" t="b">
        <f t="shared" si="62"/>
        <v>0</v>
      </c>
      <c r="AH950" s="146"/>
      <c r="AI950" s="210" t="s">
        <v>6</v>
      </c>
      <c r="AJ950" s="97" t="str">
        <f t="shared" si="61"/>
        <v>GUARULHOS</v>
      </c>
      <c r="AK950" s="213" t="s">
        <v>39</v>
      </c>
      <c r="AL950" s="53">
        <v>0.86793075148162291</v>
      </c>
      <c r="AM950" s="53" t="str" cm="1">
        <f t="array" ref="AM950">IF(OR(O950&lt;&gt;"", SUMPRODUCT(($AN$2:$AN$5000=AN950)*($AL$2:$AL$5000&lt;=AL950)) &lt;= (COUNTIF($AN$2:$AN$5000,AN950)*0.5)), "SORTEADO", "-")</f>
        <v>-</v>
      </c>
      <c r="AN950" s="245" t="s">
        <v>2396</v>
      </c>
    </row>
    <row r="951" spans="1:40" ht="30" customHeight="1" x14ac:dyDescent="0.2">
      <c r="A951" s="230" t="s">
        <v>197</v>
      </c>
      <c r="B951" s="230">
        <v>2617729140</v>
      </c>
      <c r="C951" s="230" t="s">
        <v>99</v>
      </c>
      <c r="D951" s="230" t="s">
        <v>80</v>
      </c>
      <c r="E951" s="230" t="s">
        <v>198</v>
      </c>
      <c r="F951" s="230" t="s">
        <v>2478</v>
      </c>
      <c r="G951" s="230">
        <v>219</v>
      </c>
      <c r="H951" s="230" t="s">
        <v>415</v>
      </c>
      <c r="I951" s="230" t="s">
        <v>2479</v>
      </c>
      <c r="J951" s="230" t="s">
        <v>305</v>
      </c>
      <c r="K951" s="230" t="s">
        <v>2480</v>
      </c>
      <c r="L951" s="230" t="s">
        <v>2396</v>
      </c>
      <c r="M951" s="230" t="s">
        <v>2481</v>
      </c>
      <c r="N951" s="230" t="s">
        <v>322</v>
      </c>
      <c r="O951" s="157" t="s">
        <v>204</v>
      </c>
      <c r="P951" s="143"/>
      <c r="Q951" s="144" t="s">
        <v>204</v>
      </c>
      <c r="R951" s="143"/>
      <c r="S951" s="144" t="s">
        <v>204</v>
      </c>
      <c r="T951" s="143"/>
      <c r="U951" s="144" t="s">
        <v>204</v>
      </c>
      <c r="V951" s="143"/>
      <c r="W951" s="144" t="s">
        <v>204</v>
      </c>
      <c r="X951" s="143"/>
      <c r="Y951" s="144" t="s">
        <v>204</v>
      </c>
      <c r="Z951" s="143"/>
      <c r="AA951" s="144" t="s">
        <v>204</v>
      </c>
      <c r="AB951" s="143"/>
      <c r="AC951" s="144" t="s">
        <v>204</v>
      </c>
      <c r="AD951" s="56"/>
      <c r="AE951" s="144" t="s">
        <v>204</v>
      </c>
      <c r="AF951" s="187" t="str">
        <f t="shared" si="60"/>
        <v>C</v>
      </c>
      <c r="AG951" s="54" t="str">
        <f t="shared" si="62"/>
        <v>UTILIZOU O PDA CORRETAMENTE</v>
      </c>
      <c r="AH951" s="144" t="s">
        <v>204</v>
      </c>
      <c r="AI951" s="210" t="s">
        <v>6</v>
      </c>
      <c r="AJ951" s="97" t="str">
        <f t="shared" si="61"/>
        <v>GUARULHOS</v>
      </c>
      <c r="AK951" s="213" t="s">
        <v>39</v>
      </c>
      <c r="AL951" s="53">
        <v>9.8533197080081458E-2</v>
      </c>
      <c r="AM951" s="53" t="str" cm="1">
        <f t="array" ref="AM951">IF(OR(O951&lt;&gt;"", SUMPRODUCT(($AN$2:$AN$5000=AN951)*($AL$2:$AL$5000&lt;=AL951)) &lt;= (COUNTIF($AN$2:$AN$5000,AN951)*0.5)), "SORTEADO", "-")</f>
        <v>SORTEADO</v>
      </c>
      <c r="AN951" s="245" t="s">
        <v>2396</v>
      </c>
    </row>
    <row r="952" spans="1:40" ht="30" hidden="1" customHeight="1" x14ac:dyDescent="0.2">
      <c r="A952" s="230" t="s">
        <v>197</v>
      </c>
      <c r="B952" s="230">
        <v>2691772804</v>
      </c>
      <c r="C952" s="230" t="s">
        <v>98</v>
      </c>
      <c r="D952" s="230" t="s">
        <v>80</v>
      </c>
      <c r="E952" s="230" t="s">
        <v>198</v>
      </c>
      <c r="F952" s="230" t="s">
        <v>2482</v>
      </c>
      <c r="G952" s="230">
        <v>424</v>
      </c>
      <c r="H952" s="230" t="s">
        <v>211</v>
      </c>
      <c r="I952" s="230" t="s">
        <v>345</v>
      </c>
      <c r="J952" s="230" t="s">
        <v>297</v>
      </c>
      <c r="K952" s="237" t="s">
        <v>2483</v>
      </c>
      <c r="L952" s="230" t="s">
        <v>2396</v>
      </c>
      <c r="M952" s="230" t="s">
        <v>2484</v>
      </c>
      <c r="N952" s="230" t="s">
        <v>432</v>
      </c>
      <c r="O952" s="158"/>
      <c r="P952" s="92"/>
      <c r="Q952" s="146"/>
      <c r="R952" s="92"/>
      <c r="S952" s="146"/>
      <c r="T952" s="92"/>
      <c r="U952" s="146"/>
      <c r="V952" s="92"/>
      <c r="W952" s="146"/>
      <c r="X952" s="92"/>
      <c r="Y952" s="146"/>
      <c r="Z952" s="92"/>
      <c r="AA952" s="146"/>
      <c r="AB952" s="92"/>
      <c r="AC952" s="146"/>
      <c r="AD952" s="92"/>
      <c r="AE952" s="146"/>
      <c r="AF952" s="187" t="str">
        <f t="shared" si="60"/>
        <v/>
      </c>
      <c r="AG952" s="54" t="b">
        <f t="shared" si="62"/>
        <v>0</v>
      </c>
      <c r="AH952" s="146"/>
      <c r="AI952" s="210" t="s">
        <v>6</v>
      </c>
      <c r="AJ952" s="97" t="str">
        <f t="shared" si="61"/>
        <v>GUARULHOS</v>
      </c>
      <c r="AK952" s="213" t="s">
        <v>39</v>
      </c>
      <c r="AL952" s="53">
        <v>0.87050767160840314</v>
      </c>
      <c r="AM952" s="53" t="str" cm="1">
        <f t="array" ref="AM952">IF(OR(O952&lt;&gt;"", SUMPRODUCT(($AN$2:$AN$5000=AN952)*($AL$2:$AL$5000&lt;=AL952)) &lt;= (COUNTIF($AN$2:$AN$5000,AN952)*0.5)), "SORTEADO", "-")</f>
        <v>-</v>
      </c>
      <c r="AN952" s="245" t="s">
        <v>2396</v>
      </c>
    </row>
    <row r="953" spans="1:40" ht="30" customHeight="1" x14ac:dyDescent="0.2">
      <c r="A953" s="230" t="s">
        <v>197</v>
      </c>
      <c r="B953" s="230">
        <v>2617947207</v>
      </c>
      <c r="C953" s="230" t="s">
        <v>100</v>
      </c>
      <c r="D953" s="230" t="s">
        <v>78</v>
      </c>
      <c r="E953" s="230" t="s">
        <v>198</v>
      </c>
      <c r="F953" s="230" t="s">
        <v>2478</v>
      </c>
      <c r="G953" s="230">
        <v>213</v>
      </c>
      <c r="H953" s="230" t="s">
        <v>213</v>
      </c>
      <c r="I953" s="230" t="s">
        <v>2479</v>
      </c>
      <c r="J953" s="230" t="s">
        <v>248</v>
      </c>
      <c r="K953" s="230" t="s">
        <v>2485</v>
      </c>
      <c r="L953" s="230" t="s">
        <v>2396</v>
      </c>
      <c r="M953" s="230" t="s">
        <v>2486</v>
      </c>
      <c r="N953" s="230" t="s">
        <v>322</v>
      </c>
      <c r="O953" s="157" t="s">
        <v>204</v>
      </c>
      <c r="P953" s="143"/>
      <c r="Q953" s="144" t="s">
        <v>204</v>
      </c>
      <c r="R953" s="143"/>
      <c r="S953" s="144" t="s">
        <v>204</v>
      </c>
      <c r="T953" s="143"/>
      <c r="U953" s="144" t="s">
        <v>204</v>
      </c>
      <c r="V953" s="143"/>
      <c r="W953" s="144" t="s">
        <v>204</v>
      </c>
      <c r="X953" s="143"/>
      <c r="Y953" s="144" t="s">
        <v>204</v>
      </c>
      <c r="Z953" s="143"/>
      <c r="AA953" s="144" t="s">
        <v>204</v>
      </c>
      <c r="AB953" s="143"/>
      <c r="AC953" s="144" t="s">
        <v>204</v>
      </c>
      <c r="AD953" s="56"/>
      <c r="AE953" s="144" t="s">
        <v>204</v>
      </c>
      <c r="AF953" s="187" t="str">
        <f t="shared" si="60"/>
        <v>C</v>
      </c>
      <c r="AG953" s="54" t="str">
        <f t="shared" si="62"/>
        <v>UTILIZOU O PDA CORRETAMENTE</v>
      </c>
      <c r="AH953" s="144" t="s">
        <v>204</v>
      </c>
      <c r="AI953" s="210" t="s">
        <v>6</v>
      </c>
      <c r="AJ953" s="97" t="str">
        <f t="shared" si="61"/>
        <v>GUARULHOS</v>
      </c>
      <c r="AK953" s="213" t="s">
        <v>39</v>
      </c>
      <c r="AL953" s="53">
        <v>6.9156866420829965E-2</v>
      </c>
      <c r="AM953" s="53" t="str" cm="1">
        <f t="array" ref="AM953">IF(OR(O953&lt;&gt;"", SUMPRODUCT(($AN$2:$AN$5000=AN953)*($AL$2:$AL$5000&lt;=AL953)) &lt;= (COUNTIF($AN$2:$AN$5000,AN953)*0.5)), "SORTEADO", "-")</f>
        <v>SORTEADO</v>
      </c>
      <c r="AN953" s="245" t="s">
        <v>2396</v>
      </c>
    </row>
    <row r="954" spans="1:40" ht="30" hidden="1" customHeight="1" x14ac:dyDescent="0.2">
      <c r="A954" s="230" t="s">
        <v>197</v>
      </c>
      <c r="B954" s="230">
        <v>2617626975</v>
      </c>
      <c r="C954" s="230" t="s">
        <v>83</v>
      </c>
      <c r="D954" s="230" t="s">
        <v>76</v>
      </c>
      <c r="E954" s="230" t="s">
        <v>198</v>
      </c>
      <c r="F954" s="230" t="s">
        <v>2487</v>
      </c>
      <c r="G954" s="230">
        <v>72</v>
      </c>
      <c r="H954" s="230" t="s">
        <v>217</v>
      </c>
      <c r="I954" s="230" t="s">
        <v>664</v>
      </c>
      <c r="J954" s="230" t="s">
        <v>219</v>
      </c>
      <c r="K954" s="230" t="s">
        <v>2488</v>
      </c>
      <c r="L954" s="230" t="s">
        <v>2396</v>
      </c>
      <c r="M954" s="230" t="s">
        <v>2489</v>
      </c>
      <c r="N954" s="230" t="s">
        <v>215</v>
      </c>
      <c r="O954" s="158"/>
      <c r="P954" s="92"/>
      <c r="Q954" s="146"/>
      <c r="R954" s="92"/>
      <c r="S954" s="146"/>
      <c r="T954" s="92"/>
      <c r="U954" s="146"/>
      <c r="V954" s="92"/>
      <c r="W954" s="146"/>
      <c r="X954" s="92"/>
      <c r="Y954" s="146"/>
      <c r="Z954" s="92"/>
      <c r="AA954" s="146"/>
      <c r="AB954" s="92"/>
      <c r="AC954" s="146"/>
      <c r="AD954" s="92"/>
      <c r="AE954" s="146"/>
      <c r="AF954" s="187" t="str">
        <f t="shared" si="60"/>
        <v/>
      </c>
      <c r="AG954" s="54" t="b">
        <f t="shared" si="62"/>
        <v>0</v>
      </c>
      <c r="AH954" s="146"/>
      <c r="AI954" s="210" t="s">
        <v>6</v>
      </c>
      <c r="AJ954" s="97" t="str">
        <f t="shared" si="61"/>
        <v>GUARULHOS</v>
      </c>
      <c r="AK954" s="213" t="s">
        <v>39</v>
      </c>
      <c r="AL954" s="53">
        <v>0.47644979892303585</v>
      </c>
      <c r="AM954" s="53" t="str" cm="1">
        <f t="array" ref="AM954">IF(OR(O954&lt;&gt;"", SUMPRODUCT(($AN$2:$AN$5000=AN954)*($AL$2:$AL$5000&lt;=AL954)) &lt;= (COUNTIF($AN$2:$AN$5000,AN954)*0.5)), "SORTEADO", "-")</f>
        <v>-</v>
      </c>
      <c r="AN954" s="245" t="s">
        <v>2396</v>
      </c>
    </row>
    <row r="955" spans="1:40" ht="30" customHeight="1" x14ac:dyDescent="0.2">
      <c r="A955" s="230" t="s">
        <v>197</v>
      </c>
      <c r="B955" s="230">
        <v>2617590944</v>
      </c>
      <c r="C955" s="230" t="s">
        <v>99</v>
      </c>
      <c r="D955" s="230" t="s">
        <v>80</v>
      </c>
      <c r="E955" s="230" t="s">
        <v>198</v>
      </c>
      <c r="F955" s="230" t="s">
        <v>1938</v>
      </c>
      <c r="G955" s="230">
        <v>166</v>
      </c>
      <c r="H955" s="230" t="s">
        <v>213</v>
      </c>
      <c r="I955" s="230" t="s">
        <v>1939</v>
      </c>
      <c r="J955" s="230" t="s">
        <v>305</v>
      </c>
      <c r="K955" s="230" t="s">
        <v>213</v>
      </c>
      <c r="L955" s="230" t="s">
        <v>2396</v>
      </c>
      <c r="M955" s="230" t="s">
        <v>2490</v>
      </c>
      <c r="N955" s="230" t="s">
        <v>237</v>
      </c>
      <c r="O955" s="157" t="s">
        <v>204</v>
      </c>
      <c r="P955" s="143"/>
      <c r="Q955" s="144" t="s">
        <v>204</v>
      </c>
      <c r="R955" s="143"/>
      <c r="S955" s="144" t="s">
        <v>204</v>
      </c>
      <c r="T955" s="143"/>
      <c r="U955" s="144" t="s">
        <v>204</v>
      </c>
      <c r="V955" s="143"/>
      <c r="W955" s="144" t="s">
        <v>204</v>
      </c>
      <c r="X955" s="143"/>
      <c r="Y955" s="144" t="s">
        <v>204</v>
      </c>
      <c r="Z955" s="143"/>
      <c r="AA955" s="144" t="s">
        <v>204</v>
      </c>
      <c r="AB955" s="143"/>
      <c r="AC955" s="144" t="s">
        <v>204</v>
      </c>
      <c r="AD955" s="56"/>
      <c r="AE955" s="144" t="s">
        <v>204</v>
      </c>
      <c r="AF955" s="187" t="str">
        <f t="shared" si="60"/>
        <v>C</v>
      </c>
      <c r="AG955" s="54" t="str">
        <f t="shared" si="62"/>
        <v>UTILIZOU O PDA CORRETAMENTE</v>
      </c>
      <c r="AH955" s="144" t="s">
        <v>204</v>
      </c>
      <c r="AI955" s="210" t="s">
        <v>6</v>
      </c>
      <c r="AJ955" s="97" t="str">
        <f t="shared" si="61"/>
        <v>GUARULHOS</v>
      </c>
      <c r="AK955" s="213" t="s">
        <v>39</v>
      </c>
      <c r="AL955" s="53">
        <v>0.36567787591803069</v>
      </c>
      <c r="AM955" s="53" t="str" cm="1">
        <f t="array" ref="AM955">IF(OR(O955&lt;&gt;"", SUMPRODUCT(($AN$2:$AN$5000=AN955)*($AL$2:$AL$5000&lt;=AL955)) &lt;= (COUNTIF($AN$2:$AN$5000,AN955)*0.5)), "SORTEADO", "-")</f>
        <v>SORTEADO</v>
      </c>
      <c r="AN955" s="245" t="s">
        <v>2396</v>
      </c>
    </row>
    <row r="956" spans="1:40" ht="30" hidden="1" customHeight="1" x14ac:dyDescent="0.2">
      <c r="A956" s="230" t="s">
        <v>197</v>
      </c>
      <c r="B956" s="230">
        <v>2617583525</v>
      </c>
      <c r="C956" s="230" t="s">
        <v>85</v>
      </c>
      <c r="D956" s="230" t="s">
        <v>76</v>
      </c>
      <c r="E956" s="230" t="s">
        <v>198</v>
      </c>
      <c r="F956" s="230" t="s">
        <v>2491</v>
      </c>
      <c r="G956" s="230">
        <v>467</v>
      </c>
      <c r="H956" s="230"/>
      <c r="I956" s="230" t="s">
        <v>772</v>
      </c>
      <c r="J956" s="230" t="s">
        <v>85</v>
      </c>
      <c r="K956" s="230" t="s">
        <v>2252</v>
      </c>
      <c r="L956" s="230" t="s">
        <v>2396</v>
      </c>
      <c r="M956" s="230" t="s">
        <v>2492</v>
      </c>
      <c r="N956" s="230" t="s">
        <v>408</v>
      </c>
      <c r="O956" s="158"/>
      <c r="P956" s="92"/>
      <c r="Q956" s="146"/>
      <c r="R956" s="92"/>
      <c r="S956" s="146"/>
      <c r="T956" s="92"/>
      <c r="U956" s="146"/>
      <c r="V956" s="92"/>
      <c r="W956" s="146"/>
      <c r="X956" s="92"/>
      <c r="Y956" s="146"/>
      <c r="Z956" s="92"/>
      <c r="AA956" s="146"/>
      <c r="AB956" s="92"/>
      <c r="AC956" s="146"/>
      <c r="AD956" s="92"/>
      <c r="AE956" s="146"/>
      <c r="AF956" s="187" t="str">
        <f t="shared" si="60"/>
        <v/>
      </c>
      <c r="AG956" s="54" t="b">
        <f t="shared" si="62"/>
        <v>0</v>
      </c>
      <c r="AH956" s="146"/>
      <c r="AI956" s="210" t="s">
        <v>6</v>
      </c>
      <c r="AJ956" s="97" t="str">
        <f t="shared" si="61"/>
        <v>GUARULHOS</v>
      </c>
      <c r="AK956" s="213" t="s">
        <v>39</v>
      </c>
      <c r="AL956" s="53">
        <v>0.7291597145191332</v>
      </c>
      <c r="AM956" s="53" t="str" cm="1">
        <f t="array" ref="AM956">IF(OR(O956&lt;&gt;"", SUMPRODUCT(($AN$2:$AN$5000=AN956)*($AL$2:$AL$5000&lt;=AL956)) &lt;= (COUNTIF($AN$2:$AN$5000,AN956)*0.5)), "SORTEADO", "-")</f>
        <v>-</v>
      </c>
      <c r="AN956" s="245" t="s">
        <v>2396</v>
      </c>
    </row>
    <row r="957" spans="1:40" ht="30" hidden="1" customHeight="1" x14ac:dyDescent="0.2">
      <c r="A957" s="230" t="s">
        <v>197</v>
      </c>
      <c r="B957" s="230">
        <v>2617961538</v>
      </c>
      <c r="C957" s="230" t="s">
        <v>82</v>
      </c>
      <c r="D957" s="230" t="s">
        <v>80</v>
      </c>
      <c r="E957" s="230" t="s">
        <v>198</v>
      </c>
      <c r="F957" s="230" t="s">
        <v>2493</v>
      </c>
      <c r="G957" s="230">
        <v>153</v>
      </c>
      <c r="H957" s="230" t="s">
        <v>213</v>
      </c>
      <c r="I957" s="230" t="s">
        <v>1097</v>
      </c>
      <c r="J957" s="230" t="s">
        <v>270</v>
      </c>
      <c r="K957" s="237" t="s">
        <v>2494</v>
      </c>
      <c r="L957" s="230" t="s">
        <v>2396</v>
      </c>
      <c r="M957" s="230" t="s">
        <v>2495</v>
      </c>
      <c r="N957" s="230" t="s">
        <v>1104</v>
      </c>
      <c r="O957" s="158" t="s">
        <v>61</v>
      </c>
      <c r="P957" s="92"/>
      <c r="Q957" s="146" t="s">
        <v>61</v>
      </c>
      <c r="R957" s="92"/>
      <c r="S957" s="146" t="s">
        <v>61</v>
      </c>
      <c r="T957" s="92"/>
      <c r="U957" s="146" t="s">
        <v>61</v>
      </c>
      <c r="V957" s="92"/>
      <c r="W957" s="146" t="s">
        <v>61</v>
      </c>
      <c r="X957" s="92"/>
      <c r="Y957" s="146" t="s">
        <v>61</v>
      </c>
      <c r="Z957" s="92"/>
      <c r="AA957" s="146" t="s">
        <v>61</v>
      </c>
      <c r="AB957" s="92"/>
      <c r="AC957" s="146" t="s">
        <v>61</v>
      </c>
      <c r="AD957" s="92"/>
      <c r="AE957" s="146" t="s">
        <v>61</v>
      </c>
      <c r="AF957" s="187" t="str">
        <f t="shared" si="60"/>
        <v>NA</v>
      </c>
      <c r="AG957" s="54" t="s">
        <v>2496</v>
      </c>
      <c r="AH957" s="146" t="s">
        <v>204</v>
      </c>
      <c r="AI957" s="210" t="s">
        <v>6</v>
      </c>
      <c r="AJ957" s="97" t="str">
        <f t="shared" si="61"/>
        <v>GUARULHOS</v>
      </c>
      <c r="AK957" s="213" t="s">
        <v>39</v>
      </c>
      <c r="AL957" s="53">
        <v>7.0573764561575048E-2</v>
      </c>
      <c r="AM957" s="53" t="str" cm="1">
        <f t="array" ref="AM957">IF(OR(O957&lt;&gt;"", SUMPRODUCT(($AN$2:$AN$5000=AN957)*($AL$2:$AL$5000&lt;=AL957)) &lt;= (COUNTIF($AN$2:$AN$5000,AN957)*0.5)), "SORTEADO", "-")</f>
        <v>SORTEADO</v>
      </c>
      <c r="AN957" s="245" t="s">
        <v>2396</v>
      </c>
    </row>
    <row r="958" spans="1:40" ht="30" customHeight="1" x14ac:dyDescent="0.2">
      <c r="A958" s="230" t="s">
        <v>197</v>
      </c>
      <c r="B958" s="230">
        <v>2617972922</v>
      </c>
      <c r="C958" s="230" t="s">
        <v>105</v>
      </c>
      <c r="D958" s="230" t="s">
        <v>80</v>
      </c>
      <c r="E958" s="230" t="s">
        <v>198</v>
      </c>
      <c r="F958" s="230" t="s">
        <v>2497</v>
      </c>
      <c r="G958" s="230">
        <v>478</v>
      </c>
      <c r="H958" s="230"/>
      <c r="I958" s="230" t="s">
        <v>2498</v>
      </c>
      <c r="J958" s="230" t="s">
        <v>226</v>
      </c>
      <c r="K958" s="230"/>
      <c r="L958" s="230" t="s">
        <v>2396</v>
      </c>
      <c r="M958" s="230" t="s">
        <v>2499</v>
      </c>
      <c r="N958" s="230" t="s">
        <v>317</v>
      </c>
      <c r="O958" s="158" t="s">
        <v>204</v>
      </c>
      <c r="P958" s="92"/>
      <c r="Q958" s="146" t="s">
        <v>204</v>
      </c>
      <c r="R958" s="92"/>
      <c r="S958" s="146" t="s">
        <v>204</v>
      </c>
      <c r="T958" s="92"/>
      <c r="U958" s="146" t="s">
        <v>204</v>
      </c>
      <c r="V958" s="92"/>
      <c r="W958" s="146" t="s">
        <v>204</v>
      </c>
      <c r="X958" s="92"/>
      <c r="Y958" s="146" t="s">
        <v>61</v>
      </c>
      <c r="Z958" s="92"/>
      <c r="AA958" s="146" t="s">
        <v>204</v>
      </c>
      <c r="AB958" s="92"/>
      <c r="AC958" s="146" t="s">
        <v>204</v>
      </c>
      <c r="AD958" s="92"/>
      <c r="AE958" s="146" t="s">
        <v>204</v>
      </c>
      <c r="AF958" s="187" t="str">
        <f t="shared" si="60"/>
        <v>C</v>
      </c>
      <c r="AG958" s="54" t="str">
        <f t="shared" ref="AG958:AG1004" si="63">IF(AND(AE958="C",AF958="C"),"UTILIZOU O PDA CORRETAMENTE",IF(AND(AE958="C",AF958="NC"),"UTILIZOU O PDA CORRETAMENTE. NÃO HÁ FOTOS DE TODAS AS ETAPAS",IF(AND(AE958="NC",AF958="NC"),"NÃO UTILIZOU O PDA",IF(AND(AE958="NA",AF958="NA"),"NÃO AVALIADO POR FALHA DE SINCRONISMO"))))</f>
        <v>UTILIZOU O PDA CORRETAMENTE</v>
      </c>
      <c r="AH958" s="144" t="s">
        <v>204</v>
      </c>
      <c r="AI958" s="210" t="s">
        <v>6</v>
      </c>
      <c r="AJ958" s="97" t="str">
        <f t="shared" si="61"/>
        <v>GUARULHOS</v>
      </c>
      <c r="AK958" s="213" t="s">
        <v>39</v>
      </c>
      <c r="AL958" s="53">
        <v>9.7283966401848443E-2</v>
      </c>
      <c r="AM958" s="53" t="str" cm="1">
        <f t="array" ref="AM958">IF(OR(O958&lt;&gt;"", SUMPRODUCT(($AN$2:$AN$5000=AN958)*($AL$2:$AL$5000&lt;=AL958)) &lt;= (COUNTIF($AN$2:$AN$5000,AN958)*0.5)), "SORTEADO", "-")</f>
        <v>SORTEADO</v>
      </c>
      <c r="AN958" s="245" t="s">
        <v>2396</v>
      </c>
    </row>
    <row r="959" spans="1:40" ht="30" hidden="1" customHeight="1" x14ac:dyDescent="0.2">
      <c r="A959" s="230" t="s">
        <v>197</v>
      </c>
      <c r="B959" s="230">
        <v>2617731674</v>
      </c>
      <c r="C959" s="230" t="s">
        <v>99</v>
      </c>
      <c r="D959" s="230" t="s">
        <v>80</v>
      </c>
      <c r="E959" s="230" t="s">
        <v>198</v>
      </c>
      <c r="F959" s="230" t="s">
        <v>2500</v>
      </c>
      <c r="G959" s="230">
        <v>161</v>
      </c>
      <c r="H959" s="230" t="s">
        <v>2501</v>
      </c>
      <c r="I959" s="230" t="s">
        <v>2502</v>
      </c>
      <c r="J959" s="230" t="s">
        <v>305</v>
      </c>
      <c r="K959" s="230" t="s">
        <v>2503</v>
      </c>
      <c r="L959" s="230" t="s">
        <v>2396</v>
      </c>
      <c r="M959" s="230" t="s">
        <v>2504</v>
      </c>
      <c r="N959" s="230" t="s">
        <v>250</v>
      </c>
      <c r="O959" s="158"/>
      <c r="P959" s="92"/>
      <c r="Q959" s="146"/>
      <c r="R959" s="92"/>
      <c r="S959" s="146"/>
      <c r="T959" s="92"/>
      <c r="U959" s="146"/>
      <c r="V959" s="92"/>
      <c r="W959" s="146"/>
      <c r="X959" s="92"/>
      <c r="Y959" s="146"/>
      <c r="Z959" s="92"/>
      <c r="AA959" s="146"/>
      <c r="AB959" s="92"/>
      <c r="AC959" s="146"/>
      <c r="AD959" s="92"/>
      <c r="AE959" s="146"/>
      <c r="AF959" s="187" t="str">
        <f t="shared" si="60"/>
        <v/>
      </c>
      <c r="AG959" s="54" t="b">
        <f t="shared" si="63"/>
        <v>0</v>
      </c>
      <c r="AH959" s="146"/>
      <c r="AI959" s="210" t="s">
        <v>6</v>
      </c>
      <c r="AJ959" s="97" t="str">
        <f t="shared" si="61"/>
        <v>GUARULHOS</v>
      </c>
      <c r="AK959" s="213" t="s">
        <v>39</v>
      </c>
      <c r="AL959" s="53">
        <v>0.46912507995034247</v>
      </c>
      <c r="AM959" s="53" t="str" cm="1">
        <f t="array" ref="AM959">IF(OR(O959&lt;&gt;"", SUMPRODUCT(($AN$2:$AN$5000=AN959)*($AL$2:$AL$5000&lt;=AL959)) &lt;= (COUNTIF($AN$2:$AN$5000,AN959)*0.5)), "SORTEADO", "-")</f>
        <v>-</v>
      </c>
      <c r="AN959" s="245" t="s">
        <v>2396</v>
      </c>
    </row>
    <row r="960" spans="1:40" ht="30" hidden="1" customHeight="1" x14ac:dyDescent="0.2">
      <c r="A960" s="230" t="s">
        <v>197</v>
      </c>
      <c r="B960" s="230">
        <v>2617731383</v>
      </c>
      <c r="C960" s="230" t="s">
        <v>99</v>
      </c>
      <c r="D960" s="230" t="s">
        <v>80</v>
      </c>
      <c r="E960" s="230" t="s">
        <v>198</v>
      </c>
      <c r="F960" s="230" t="s">
        <v>2505</v>
      </c>
      <c r="G960" s="230">
        <v>183</v>
      </c>
      <c r="H960" s="230" t="s">
        <v>2506</v>
      </c>
      <c r="I960" s="230" t="s">
        <v>281</v>
      </c>
      <c r="J960" s="230" t="s">
        <v>305</v>
      </c>
      <c r="K960" s="230"/>
      <c r="L960" s="230" t="s">
        <v>2396</v>
      </c>
      <c r="M960" s="230" t="s">
        <v>2507</v>
      </c>
      <c r="N960" s="230" t="s">
        <v>263</v>
      </c>
      <c r="O960" s="158"/>
      <c r="P960" s="92"/>
      <c r="Q960" s="146"/>
      <c r="R960" s="92"/>
      <c r="S960" s="146"/>
      <c r="T960" s="92"/>
      <c r="U960" s="146"/>
      <c r="V960" s="92"/>
      <c r="W960" s="146"/>
      <c r="X960" s="92"/>
      <c r="Y960" s="146"/>
      <c r="Z960" s="92"/>
      <c r="AA960" s="146"/>
      <c r="AB960" s="92"/>
      <c r="AC960" s="146"/>
      <c r="AD960" s="92"/>
      <c r="AE960" s="146"/>
      <c r="AF960" s="187" t="str">
        <f t="shared" si="60"/>
        <v/>
      </c>
      <c r="AG960" s="54" t="b">
        <f t="shared" si="63"/>
        <v>0</v>
      </c>
      <c r="AH960" s="146"/>
      <c r="AI960" s="210" t="s">
        <v>6</v>
      </c>
      <c r="AJ960" s="97" t="str">
        <f t="shared" si="61"/>
        <v>GUARULHOS</v>
      </c>
      <c r="AK960" s="213" t="s">
        <v>39</v>
      </c>
      <c r="AL960" s="53">
        <v>0.95720643978714248</v>
      </c>
      <c r="AM960" s="53" t="str" cm="1">
        <f t="array" ref="AM960">IF(OR(O960&lt;&gt;"", SUMPRODUCT(($AN$2:$AN$5000=AN960)*($AL$2:$AL$5000&lt;=AL960)) &lt;= (COUNTIF($AN$2:$AN$5000,AN960)*0.5)), "SORTEADO", "-")</f>
        <v>-</v>
      </c>
      <c r="AN960" s="245" t="s">
        <v>2396</v>
      </c>
    </row>
    <row r="961" spans="1:40" ht="30" customHeight="1" x14ac:dyDescent="0.2">
      <c r="A961" s="230" t="s">
        <v>197</v>
      </c>
      <c r="B961" s="230">
        <v>2617731383</v>
      </c>
      <c r="C961" s="230" t="s">
        <v>875</v>
      </c>
      <c r="D961" s="230" t="s">
        <v>80</v>
      </c>
      <c r="E961" s="230" t="s">
        <v>198</v>
      </c>
      <c r="F961" s="230" t="s">
        <v>2505</v>
      </c>
      <c r="G961" s="230">
        <v>183</v>
      </c>
      <c r="H961" s="230" t="s">
        <v>2506</v>
      </c>
      <c r="I961" s="230" t="s">
        <v>281</v>
      </c>
      <c r="J961" s="230" t="s">
        <v>876</v>
      </c>
      <c r="K961" s="230" t="s">
        <v>213</v>
      </c>
      <c r="L961" s="230" t="s">
        <v>2396</v>
      </c>
      <c r="M961" s="230" t="s">
        <v>2508</v>
      </c>
      <c r="N961" s="230" t="s">
        <v>263</v>
      </c>
      <c r="O961" s="158" t="s">
        <v>204</v>
      </c>
      <c r="P961" s="92"/>
      <c r="Q961" s="146" t="s">
        <v>204</v>
      </c>
      <c r="R961" s="92"/>
      <c r="S961" s="146" t="s">
        <v>204</v>
      </c>
      <c r="T961" s="92"/>
      <c r="U961" s="146" t="s">
        <v>204</v>
      </c>
      <c r="V961" s="92"/>
      <c r="W961" s="146" t="s">
        <v>204</v>
      </c>
      <c r="X961" s="92"/>
      <c r="Y961" s="146" t="s">
        <v>61</v>
      </c>
      <c r="Z961" s="92"/>
      <c r="AA961" s="146" t="s">
        <v>204</v>
      </c>
      <c r="AB961" s="92"/>
      <c r="AC961" s="146" t="s">
        <v>204</v>
      </c>
      <c r="AD961" s="92"/>
      <c r="AE961" s="146" t="s">
        <v>204</v>
      </c>
      <c r="AF961" s="187" t="str">
        <f t="shared" si="60"/>
        <v>C</v>
      </c>
      <c r="AG961" s="54" t="str">
        <f t="shared" si="63"/>
        <v>UTILIZOU O PDA CORRETAMENTE</v>
      </c>
      <c r="AH961" s="144" t="s">
        <v>204</v>
      </c>
      <c r="AI961" s="210" t="s">
        <v>6</v>
      </c>
      <c r="AJ961" s="97" t="str">
        <f t="shared" si="61"/>
        <v>GUARULHOS</v>
      </c>
      <c r="AK961" s="213" t="s">
        <v>39</v>
      </c>
      <c r="AL961" s="53">
        <v>3.8112199458416596E-3</v>
      </c>
      <c r="AM961" s="53" t="str" cm="1">
        <f t="array" ref="AM961">IF(OR(O961&lt;&gt;"", SUMPRODUCT(($AN$2:$AN$5000=AN961)*($AL$2:$AL$5000&lt;=AL961)) &lt;= (COUNTIF($AN$2:$AN$5000,AN961)*0.5)), "SORTEADO", "-")</f>
        <v>SORTEADO</v>
      </c>
      <c r="AN961" s="245" t="s">
        <v>2396</v>
      </c>
    </row>
    <row r="962" spans="1:40" ht="30" hidden="1" customHeight="1" x14ac:dyDescent="0.2">
      <c r="A962" s="230" t="s">
        <v>197</v>
      </c>
      <c r="B962" s="230">
        <v>2691913531</v>
      </c>
      <c r="C962" s="230" t="s">
        <v>102</v>
      </c>
      <c r="D962" s="230" t="s">
        <v>80</v>
      </c>
      <c r="E962" s="230" t="s">
        <v>198</v>
      </c>
      <c r="F962" s="230" t="s">
        <v>423</v>
      </c>
      <c r="G962" s="230">
        <v>605</v>
      </c>
      <c r="H962" s="230" t="s">
        <v>460</v>
      </c>
      <c r="I962" s="230" t="s">
        <v>425</v>
      </c>
      <c r="J962" s="230" t="s">
        <v>259</v>
      </c>
      <c r="K962" s="230" t="s">
        <v>2509</v>
      </c>
      <c r="L962" s="230" t="s">
        <v>2396</v>
      </c>
      <c r="M962" s="230" t="s">
        <v>2510</v>
      </c>
      <c r="N962" s="230" t="s">
        <v>241</v>
      </c>
      <c r="O962" s="158"/>
      <c r="P962" s="92"/>
      <c r="Q962" s="146"/>
      <c r="R962" s="92"/>
      <c r="S962" s="146"/>
      <c r="T962" s="92"/>
      <c r="U962" s="146"/>
      <c r="V962" s="92"/>
      <c r="W962" s="146"/>
      <c r="X962" s="92"/>
      <c r="Y962" s="146"/>
      <c r="Z962" s="92"/>
      <c r="AA962" s="146"/>
      <c r="AB962" s="92"/>
      <c r="AC962" s="146"/>
      <c r="AD962" s="92"/>
      <c r="AE962" s="146"/>
      <c r="AF962" s="187" t="str">
        <f t="shared" si="60"/>
        <v/>
      </c>
      <c r="AG962" s="54" t="b">
        <f t="shared" si="63"/>
        <v>0</v>
      </c>
      <c r="AH962" s="146"/>
      <c r="AI962" s="210" t="s">
        <v>6</v>
      </c>
      <c r="AJ962" s="97" t="str">
        <f t="shared" si="61"/>
        <v>GUARULHOS</v>
      </c>
      <c r="AK962" s="213" t="s">
        <v>39</v>
      </c>
      <c r="AL962" s="53">
        <v>0.84154294996587453</v>
      </c>
      <c r="AM962" s="53" t="str" cm="1">
        <f t="array" ref="AM962">IF(OR(O962&lt;&gt;"", SUMPRODUCT(($AN$2:$AN$5000=AN962)*($AL$2:$AL$5000&lt;=AL962)) &lt;= (COUNTIF($AN$2:$AN$5000,AN962)*0.5)), "SORTEADO", "-")</f>
        <v>-</v>
      </c>
      <c r="AN962" s="245" t="s">
        <v>2396</v>
      </c>
    </row>
    <row r="963" spans="1:40" ht="30" hidden="1" customHeight="1" x14ac:dyDescent="0.2">
      <c r="A963" s="230" t="s">
        <v>197</v>
      </c>
      <c r="B963" s="230">
        <v>2617733324</v>
      </c>
      <c r="C963" s="230" t="s">
        <v>98</v>
      </c>
      <c r="D963" s="230" t="s">
        <v>80</v>
      </c>
      <c r="E963" s="230" t="s">
        <v>198</v>
      </c>
      <c r="F963" s="230" t="s">
        <v>2511</v>
      </c>
      <c r="G963" s="230">
        <v>183</v>
      </c>
      <c r="H963" s="230" t="s">
        <v>2512</v>
      </c>
      <c r="I963" s="230" t="s">
        <v>730</v>
      </c>
      <c r="J963" s="230" t="s">
        <v>297</v>
      </c>
      <c r="K963" s="230" t="s">
        <v>723</v>
      </c>
      <c r="L963" s="230" t="s">
        <v>2396</v>
      </c>
      <c r="M963" s="230" t="s">
        <v>2513</v>
      </c>
      <c r="N963" s="230" t="s">
        <v>250</v>
      </c>
      <c r="O963" s="158"/>
      <c r="P963" s="92"/>
      <c r="Q963" s="146"/>
      <c r="R963" s="92"/>
      <c r="S963" s="146"/>
      <c r="T963" s="92"/>
      <c r="U963" s="146"/>
      <c r="V963" s="92"/>
      <c r="W963" s="146"/>
      <c r="X963" s="92"/>
      <c r="Y963" s="146"/>
      <c r="Z963" s="92"/>
      <c r="AA963" s="146"/>
      <c r="AB963" s="92"/>
      <c r="AC963" s="146"/>
      <c r="AD963" s="92"/>
      <c r="AE963" s="146"/>
      <c r="AF963" s="187" t="str">
        <f t="shared" si="60"/>
        <v/>
      </c>
      <c r="AG963" s="54" t="b">
        <f t="shared" si="63"/>
        <v>0</v>
      </c>
      <c r="AH963" s="146"/>
      <c r="AI963" s="210" t="s">
        <v>6</v>
      </c>
      <c r="AJ963" s="97" t="str">
        <f t="shared" si="61"/>
        <v>GUARULHOS</v>
      </c>
      <c r="AK963" s="213" t="s">
        <v>39</v>
      </c>
      <c r="AL963" s="53">
        <v>0.48500145693941266</v>
      </c>
      <c r="AM963" s="53" t="str" cm="1">
        <f t="array" ref="AM963">IF(OR(O963&lt;&gt;"", SUMPRODUCT(($AN$2:$AN$5000=AN963)*($AL$2:$AL$5000&lt;=AL963)) &lt;= (COUNTIF($AN$2:$AN$5000,AN963)*0.5)), "SORTEADO", "-")</f>
        <v>-</v>
      </c>
      <c r="AN963" s="245" t="s">
        <v>2396</v>
      </c>
    </row>
    <row r="964" spans="1:40" ht="30" customHeight="1" x14ac:dyDescent="0.2">
      <c r="A964" s="242" t="s">
        <v>197</v>
      </c>
      <c r="B964" s="242">
        <v>2617730120</v>
      </c>
      <c r="C964" s="242" t="s">
        <v>99</v>
      </c>
      <c r="D964" s="242" t="s">
        <v>80</v>
      </c>
      <c r="E964" s="242" t="s">
        <v>198</v>
      </c>
      <c r="F964" s="242" t="s">
        <v>995</v>
      </c>
      <c r="G964" s="242">
        <v>83</v>
      </c>
      <c r="H964" s="242" t="s">
        <v>912</v>
      </c>
      <c r="I964" s="242" t="s">
        <v>997</v>
      </c>
      <c r="J964" s="242" t="s">
        <v>305</v>
      </c>
      <c r="K964" s="242"/>
      <c r="L964" s="242" t="s">
        <v>2396</v>
      </c>
      <c r="M964" s="242" t="s">
        <v>2514</v>
      </c>
      <c r="N964" s="242" t="s">
        <v>263</v>
      </c>
      <c r="O964" s="157" t="s">
        <v>204</v>
      </c>
      <c r="P964" s="143"/>
      <c r="Q964" s="144" t="s">
        <v>204</v>
      </c>
      <c r="R964" s="143"/>
      <c r="S964" s="144" t="s">
        <v>204</v>
      </c>
      <c r="T964" s="143"/>
      <c r="U964" s="144" t="s">
        <v>204</v>
      </c>
      <c r="V964" s="143"/>
      <c r="W964" s="144" t="s">
        <v>204</v>
      </c>
      <c r="X964" s="143"/>
      <c r="Y964" s="144" t="s">
        <v>204</v>
      </c>
      <c r="Z964" s="143"/>
      <c r="AA964" s="144" t="s">
        <v>204</v>
      </c>
      <c r="AB964" s="143"/>
      <c r="AC964" s="144" t="s">
        <v>204</v>
      </c>
      <c r="AD964" s="56"/>
      <c r="AE964" s="144" t="s">
        <v>204</v>
      </c>
      <c r="AF964" s="187" t="str">
        <f t="shared" si="60"/>
        <v>C</v>
      </c>
      <c r="AG964" s="54" t="str">
        <f t="shared" si="63"/>
        <v>UTILIZOU O PDA CORRETAMENTE</v>
      </c>
      <c r="AH964" s="144" t="s">
        <v>204</v>
      </c>
      <c r="AI964" s="210" t="s">
        <v>6</v>
      </c>
      <c r="AJ964" s="97" t="str">
        <f t="shared" si="61"/>
        <v>GUARULHOS</v>
      </c>
      <c r="AK964" s="213" t="s">
        <v>39</v>
      </c>
      <c r="AL964" s="53">
        <v>0.32076685384114456</v>
      </c>
      <c r="AM964" s="53" t="str" cm="1">
        <f t="array" ref="AM964">IF(OR(O964&lt;&gt;"", SUMPRODUCT(($AN$2:$AN$5000=AN964)*($AL$2:$AL$5000&lt;=AL964)) &lt;= (COUNTIF($AN$2:$AN$5000,AN964)*0.5)), "SORTEADO", "-")</f>
        <v>SORTEADO</v>
      </c>
      <c r="AN964" s="253" t="s">
        <v>2396</v>
      </c>
    </row>
    <row r="965" spans="1:40" ht="30" customHeight="1" x14ac:dyDescent="0.2">
      <c r="A965" s="230" t="s">
        <v>197</v>
      </c>
      <c r="B965" s="230">
        <v>2618032791</v>
      </c>
      <c r="C965" s="230" t="s">
        <v>89</v>
      </c>
      <c r="D965" s="230" t="s">
        <v>77</v>
      </c>
      <c r="E965" s="230" t="s">
        <v>198</v>
      </c>
      <c r="F965" s="230" t="s">
        <v>781</v>
      </c>
      <c r="G965" s="230">
        <v>95</v>
      </c>
      <c r="H965" s="230" t="s">
        <v>2190</v>
      </c>
      <c r="I965" s="230" t="s">
        <v>262</v>
      </c>
      <c r="J965" s="230" t="s">
        <v>346</v>
      </c>
      <c r="K965" s="230" t="s">
        <v>2515</v>
      </c>
      <c r="L965" s="230" t="s">
        <v>2516</v>
      </c>
      <c r="M965" s="230" t="s">
        <v>2517</v>
      </c>
      <c r="N965" s="230" t="s">
        <v>287</v>
      </c>
      <c r="O965" s="158" t="s">
        <v>328</v>
      </c>
      <c r="P965" s="92"/>
      <c r="Q965" s="146" t="s">
        <v>328</v>
      </c>
      <c r="R965" s="92"/>
      <c r="S965" s="146" t="s">
        <v>328</v>
      </c>
      <c r="T965" s="92"/>
      <c r="U965" s="146" t="s">
        <v>328</v>
      </c>
      <c r="V965" s="92"/>
      <c r="W965" s="146" t="s">
        <v>328</v>
      </c>
      <c r="X965" s="92"/>
      <c r="Y965" s="146" t="s">
        <v>328</v>
      </c>
      <c r="Z965" s="92"/>
      <c r="AA965" s="146" t="s">
        <v>328</v>
      </c>
      <c r="AB965" s="92"/>
      <c r="AC965" s="146" t="s">
        <v>328</v>
      </c>
      <c r="AD965" s="92"/>
      <c r="AE965" s="146" t="s">
        <v>210</v>
      </c>
      <c r="AF965" s="187" t="str">
        <f t="shared" si="60"/>
        <v>NC</v>
      </c>
      <c r="AG965" s="54" t="str">
        <f t="shared" si="63"/>
        <v>NÃO UTILIZOU O PDA</v>
      </c>
      <c r="AH965" s="146" t="s">
        <v>204</v>
      </c>
      <c r="AI965" s="210" t="s">
        <v>6</v>
      </c>
      <c r="AJ965" s="97" t="str">
        <f t="shared" si="61"/>
        <v>GUARULHOS</v>
      </c>
      <c r="AK965" s="213" t="s">
        <v>39</v>
      </c>
      <c r="AL965" s="53">
        <v>0.17408486189434846</v>
      </c>
      <c r="AM965" s="53" t="str" cm="1">
        <f t="array" ref="AM965">IF(OR(O965&lt;&gt;"", SUMPRODUCT(($AN$2:$AN$5000=AN965)*($AL$2:$AL$5000&lt;=AL965)) &lt;= (COUNTIF($AN$2:$AN$5000,AN965)*0.5)), "SORTEADO", "-")</f>
        <v>SORTEADO</v>
      </c>
      <c r="AN965" s="245" t="s">
        <v>2516</v>
      </c>
    </row>
    <row r="966" spans="1:40" ht="30" customHeight="1" x14ac:dyDescent="0.2">
      <c r="A966" s="230" t="s">
        <v>197</v>
      </c>
      <c r="B966" s="230">
        <v>2618032946</v>
      </c>
      <c r="C966" s="230" t="s">
        <v>89</v>
      </c>
      <c r="D966" s="230" t="s">
        <v>77</v>
      </c>
      <c r="E966" s="230" t="s">
        <v>198</v>
      </c>
      <c r="F966" s="230" t="s">
        <v>781</v>
      </c>
      <c r="G966" s="230">
        <v>100</v>
      </c>
      <c r="H966" s="230" t="s">
        <v>276</v>
      </c>
      <c r="I966" s="230" t="s">
        <v>262</v>
      </c>
      <c r="J966" s="230" t="s">
        <v>346</v>
      </c>
      <c r="K966" s="230" t="s">
        <v>2518</v>
      </c>
      <c r="L966" s="230" t="s">
        <v>2516</v>
      </c>
      <c r="M966" s="230" t="s">
        <v>2519</v>
      </c>
      <c r="N966" s="230" t="s">
        <v>287</v>
      </c>
      <c r="O966" s="158" t="s">
        <v>328</v>
      </c>
      <c r="P966" s="92"/>
      <c r="Q966" s="146" t="s">
        <v>328</v>
      </c>
      <c r="R966" s="92"/>
      <c r="S966" s="146" t="s">
        <v>328</v>
      </c>
      <c r="T966" s="92"/>
      <c r="U966" s="146" t="s">
        <v>328</v>
      </c>
      <c r="V966" s="92"/>
      <c r="W966" s="146" t="s">
        <v>328</v>
      </c>
      <c r="X966" s="92"/>
      <c r="Y966" s="146" t="s">
        <v>328</v>
      </c>
      <c r="Z966" s="92"/>
      <c r="AA966" s="146" t="s">
        <v>328</v>
      </c>
      <c r="AB966" s="92"/>
      <c r="AC966" s="146" t="s">
        <v>328</v>
      </c>
      <c r="AD966" s="92"/>
      <c r="AE966" s="146" t="s">
        <v>210</v>
      </c>
      <c r="AF966" s="187" t="str">
        <f t="shared" si="60"/>
        <v>NC</v>
      </c>
      <c r="AG966" s="54" t="str">
        <f t="shared" si="63"/>
        <v>NÃO UTILIZOU O PDA</v>
      </c>
      <c r="AH966" s="146" t="s">
        <v>204</v>
      </c>
      <c r="AI966" s="210" t="s">
        <v>6</v>
      </c>
      <c r="AJ966" s="97" t="str">
        <f t="shared" si="61"/>
        <v>GUARULHOS</v>
      </c>
      <c r="AK966" s="213" t="s">
        <v>39</v>
      </c>
      <c r="AL966" s="53">
        <v>0.36647581395747486</v>
      </c>
      <c r="AM966" s="53" t="str" cm="1">
        <f t="array" ref="AM966">IF(OR(O966&lt;&gt;"", SUMPRODUCT(($AN$2:$AN$5000=AN966)*($AL$2:$AL$5000&lt;=AL966)) &lt;= (COUNTIF($AN$2:$AN$5000,AN966)*0.5)), "SORTEADO", "-")</f>
        <v>SORTEADO</v>
      </c>
      <c r="AN966" s="245" t="s">
        <v>2516</v>
      </c>
    </row>
    <row r="967" spans="1:40" ht="30" hidden="1" customHeight="1" x14ac:dyDescent="0.2">
      <c r="A967" s="230" t="s">
        <v>197</v>
      </c>
      <c r="B967" s="230">
        <v>2691908171</v>
      </c>
      <c r="C967" s="230" t="s">
        <v>102</v>
      </c>
      <c r="D967" s="230" t="s">
        <v>80</v>
      </c>
      <c r="E967" s="230" t="s">
        <v>198</v>
      </c>
      <c r="F967" s="230" t="s">
        <v>2520</v>
      </c>
      <c r="G967" s="230">
        <v>52</v>
      </c>
      <c r="H967" s="230" t="s">
        <v>2521</v>
      </c>
      <c r="I967" s="230" t="s">
        <v>791</v>
      </c>
      <c r="J967" s="230" t="s">
        <v>270</v>
      </c>
      <c r="K967" s="230" t="s">
        <v>213</v>
      </c>
      <c r="L967" s="230" t="s">
        <v>2516</v>
      </c>
      <c r="M967" s="230" t="s">
        <v>2522</v>
      </c>
      <c r="N967" s="230" t="s">
        <v>237</v>
      </c>
      <c r="O967" s="158"/>
      <c r="P967" s="92"/>
      <c r="Q967" s="146"/>
      <c r="R967" s="92"/>
      <c r="S967" s="146"/>
      <c r="T967" s="92"/>
      <c r="U967" s="146"/>
      <c r="V967" s="92"/>
      <c r="W967" s="146"/>
      <c r="X967" s="92"/>
      <c r="Y967" s="146"/>
      <c r="Z967" s="92"/>
      <c r="AA967" s="146"/>
      <c r="AB967" s="92"/>
      <c r="AC967" s="146"/>
      <c r="AD967" s="92"/>
      <c r="AE967" s="146"/>
      <c r="AF967" s="187" t="str">
        <f t="shared" ref="AF967:AF996" si="64">IF(AND(O967="",Q967="",S967="",U967="",W967="",Y967="",AA967="",AC967=""),"",IF(OR(AND(O967&lt;&gt;"NA",O967&lt;&gt;"C",O967&lt;&gt;"NC",O967&lt;&gt;"SF",O967&lt;&gt;""),AND(Q967&lt;&gt;"NA",Q967&lt;&gt;"C",Q967&lt;&gt;"NC",Q967&lt;&gt;"SF",Q967&lt;&gt;""),AND(S967&lt;&gt;"NA",S967&lt;&gt;"C",S967&lt;&gt;"NC",S967&lt;&gt;"SF",S967&lt;&gt;""),AND(U967&lt;&gt;"NA",U967&lt;&gt;"C",U967&lt;&gt;"NC",U967&lt;&gt;"SF",U967&lt;&gt;""),AND(W967&lt;&gt;"NA",W967&lt;&gt;"C",W967&lt;&gt;"NC",W967&lt;&gt;"SF",W967&lt;&gt;""),AND(Y967&lt;&gt;"NA",Y967&lt;&gt;"C",Y967&lt;&gt;"NC",Y967&lt;&gt;"SF",Y967&lt;&gt;""),AND(AA967&lt;&gt;"NA",AA967&lt;&gt;"C",AA967&lt;&gt;"NC",AA967&lt;&gt;"SF",AA967&lt;&gt;""),AND(AC967&lt;&gt;"NA",AC967&lt;&gt;"C",AC967&lt;&gt;"NC",AC967&lt;&gt;"SF",AC967&lt;&gt;"")),"FALSO",IF(AND(O967="NA",Q967="NA",S967="NA",U967="NA",W967="NA",Y967="NA",AA967="NA",AC967="NA"),"NA",IF(OR(O967="NC",Q967="NC",S967="NC",U967="NC",W967="NC",Y967="NC",AA967="NC",AC967="NC",O967="SF",Q967="SF",S967="SF",U967="SF",W967="SF",Y967="SF",AA967="SF",AC967="SF"),"NC",IF(OR(O967="C",Q967="C",S967="C",U967="C",W967="C",Y967="C",AA967="C",AC967="C"),"C","")))))</f>
        <v/>
      </c>
      <c r="AG967" s="54" t="b">
        <f t="shared" si="63"/>
        <v>0</v>
      </c>
      <c r="AH967" s="146"/>
      <c r="AI967" s="210" t="s">
        <v>6</v>
      </c>
      <c r="AJ967" s="97" t="str">
        <f t="shared" ref="AJ967:AJ1004" si="65">E967</f>
        <v>GUARULHOS</v>
      </c>
      <c r="AK967" s="213" t="s">
        <v>39</v>
      </c>
      <c r="AL967" s="53">
        <v>0.97294130860721995</v>
      </c>
      <c r="AM967" s="53" t="str" cm="1">
        <f t="array" ref="AM967">IF(OR(O967&lt;&gt;"", SUMPRODUCT(($AN$2:$AN$5000=AN967)*($AL$2:$AL$5000&lt;=AL967)) &lt;= (COUNTIF($AN$2:$AN$5000,AN967)*0.5)), "SORTEADO", "-")</f>
        <v>-</v>
      </c>
      <c r="AN967" s="245" t="s">
        <v>2516</v>
      </c>
    </row>
    <row r="968" spans="1:40" ht="30" hidden="1" customHeight="1" x14ac:dyDescent="0.2">
      <c r="A968" s="230" t="s">
        <v>197</v>
      </c>
      <c r="B968" s="230">
        <v>2617995061</v>
      </c>
      <c r="C968" s="230" t="s">
        <v>106</v>
      </c>
      <c r="D968" s="230" t="s">
        <v>80</v>
      </c>
      <c r="E968" s="230" t="s">
        <v>198</v>
      </c>
      <c r="F968" s="230" t="s">
        <v>2523</v>
      </c>
      <c r="G968" s="230">
        <v>77</v>
      </c>
      <c r="H968" s="230"/>
      <c r="I968" s="230" t="s">
        <v>1150</v>
      </c>
      <c r="J968" s="230" t="s">
        <v>259</v>
      </c>
      <c r="K968" s="230" t="s">
        <v>2524</v>
      </c>
      <c r="L968" s="230" t="s">
        <v>2516</v>
      </c>
      <c r="M968" s="230" t="s">
        <v>2525</v>
      </c>
      <c r="N968" s="230" t="s">
        <v>237</v>
      </c>
      <c r="O968" s="158"/>
      <c r="P968" s="92"/>
      <c r="Q968" s="146"/>
      <c r="R968" s="92"/>
      <c r="S968" s="146"/>
      <c r="T968" s="92"/>
      <c r="U968" s="146"/>
      <c r="V968" s="92"/>
      <c r="W968" s="146"/>
      <c r="X968" s="92"/>
      <c r="Y968" s="146"/>
      <c r="Z968" s="92"/>
      <c r="AA968" s="146"/>
      <c r="AB968" s="92"/>
      <c r="AC968" s="146"/>
      <c r="AD968" s="92"/>
      <c r="AE968" s="146"/>
      <c r="AF968" s="187" t="str">
        <f t="shared" si="64"/>
        <v/>
      </c>
      <c r="AG968" s="54" t="b">
        <f t="shared" si="63"/>
        <v>0</v>
      </c>
      <c r="AH968" s="146"/>
      <c r="AI968" s="210" t="s">
        <v>6</v>
      </c>
      <c r="AJ968" s="97" t="str">
        <f t="shared" si="65"/>
        <v>GUARULHOS</v>
      </c>
      <c r="AK968" s="213" t="s">
        <v>39</v>
      </c>
      <c r="AL968" s="53">
        <v>0.72624986414963122</v>
      </c>
      <c r="AM968" s="53" t="str" cm="1">
        <f t="array" ref="AM968">IF(OR(O968&lt;&gt;"", SUMPRODUCT(($AN$2:$AN$5000=AN968)*($AL$2:$AL$5000&lt;=AL968)) &lt;= (COUNTIF($AN$2:$AN$5000,AN968)*0.5)), "SORTEADO", "-")</f>
        <v>-</v>
      </c>
      <c r="AN968" s="245" t="s">
        <v>2516</v>
      </c>
    </row>
    <row r="969" spans="1:40" ht="30" customHeight="1" x14ac:dyDescent="0.2">
      <c r="A969" s="230" t="s">
        <v>197</v>
      </c>
      <c r="B969" s="230">
        <v>2617937604</v>
      </c>
      <c r="C969" s="230" t="s">
        <v>106</v>
      </c>
      <c r="D969" s="230" t="s">
        <v>80</v>
      </c>
      <c r="E969" s="230" t="s">
        <v>198</v>
      </c>
      <c r="F969" s="230" t="s">
        <v>2526</v>
      </c>
      <c r="G969" s="230">
        <v>105</v>
      </c>
      <c r="H969" s="230" t="s">
        <v>213</v>
      </c>
      <c r="I969" s="230" t="s">
        <v>253</v>
      </c>
      <c r="J969" s="230" t="s">
        <v>259</v>
      </c>
      <c r="K969" s="230" t="s">
        <v>213</v>
      </c>
      <c r="L969" s="230" t="s">
        <v>2516</v>
      </c>
      <c r="M969" s="230" t="s">
        <v>2527</v>
      </c>
      <c r="N969" s="230" t="s">
        <v>348</v>
      </c>
      <c r="O969" s="158" t="s">
        <v>204</v>
      </c>
      <c r="P969" s="92"/>
      <c r="Q969" s="146" t="s">
        <v>204</v>
      </c>
      <c r="R969" s="92"/>
      <c r="S969" s="146" t="s">
        <v>204</v>
      </c>
      <c r="T969" s="92"/>
      <c r="U969" s="146" t="s">
        <v>204</v>
      </c>
      <c r="V969" s="92"/>
      <c r="W969" s="146" t="s">
        <v>204</v>
      </c>
      <c r="X969" s="92"/>
      <c r="Y969" s="146" t="s">
        <v>61</v>
      </c>
      <c r="Z969" s="92"/>
      <c r="AA969" s="146" t="s">
        <v>204</v>
      </c>
      <c r="AB969" s="92"/>
      <c r="AC969" s="146" t="s">
        <v>204</v>
      </c>
      <c r="AD969" s="92"/>
      <c r="AE969" s="146" t="s">
        <v>204</v>
      </c>
      <c r="AF969" s="187" t="str">
        <f t="shared" si="64"/>
        <v>C</v>
      </c>
      <c r="AG969" s="54" t="str">
        <f t="shared" si="63"/>
        <v>UTILIZOU O PDA CORRETAMENTE</v>
      </c>
      <c r="AH969" s="144" t="s">
        <v>204</v>
      </c>
      <c r="AI969" s="210" t="s">
        <v>6</v>
      </c>
      <c r="AJ969" s="97" t="str">
        <f t="shared" si="65"/>
        <v>GUARULHOS</v>
      </c>
      <c r="AK969" s="213" t="s">
        <v>39</v>
      </c>
      <c r="AL969" s="53">
        <v>0.18672051236035081</v>
      </c>
      <c r="AM969" s="53" t="str" cm="1">
        <f t="array" ref="AM969">IF(OR(O969&lt;&gt;"", SUMPRODUCT(($AN$2:$AN$5000=AN969)*($AL$2:$AL$5000&lt;=AL969)) &lt;= (COUNTIF($AN$2:$AN$5000,AN969)*0.5)), "SORTEADO", "-")</f>
        <v>SORTEADO</v>
      </c>
      <c r="AN969" s="245" t="s">
        <v>2516</v>
      </c>
    </row>
    <row r="970" spans="1:40" ht="30" hidden="1" customHeight="1" x14ac:dyDescent="0.2">
      <c r="A970" s="230" t="s">
        <v>197</v>
      </c>
      <c r="B970" s="230">
        <v>2618015489</v>
      </c>
      <c r="C970" s="230" t="s">
        <v>100</v>
      </c>
      <c r="D970" s="230" t="s">
        <v>78</v>
      </c>
      <c r="E970" s="230" t="s">
        <v>198</v>
      </c>
      <c r="F970" s="230" t="s">
        <v>2176</v>
      </c>
      <c r="G970" s="230">
        <v>13</v>
      </c>
      <c r="H970" s="230" t="s">
        <v>362</v>
      </c>
      <c r="I970" s="230" t="s">
        <v>2528</v>
      </c>
      <c r="J970" s="230" t="s">
        <v>248</v>
      </c>
      <c r="K970" s="230" t="s">
        <v>2529</v>
      </c>
      <c r="L970" s="230" t="s">
        <v>2516</v>
      </c>
      <c r="M970" s="230" t="s">
        <v>2530</v>
      </c>
      <c r="N970" s="230" t="s">
        <v>244</v>
      </c>
      <c r="O970" s="158"/>
      <c r="P970" s="92"/>
      <c r="Q970" s="146"/>
      <c r="R970" s="92"/>
      <c r="S970" s="146"/>
      <c r="T970" s="92"/>
      <c r="U970" s="146"/>
      <c r="V970" s="92"/>
      <c r="W970" s="146"/>
      <c r="X970" s="92"/>
      <c r="Y970" s="146"/>
      <c r="Z970" s="92"/>
      <c r="AA970" s="146"/>
      <c r="AB970" s="92"/>
      <c r="AC970" s="146"/>
      <c r="AD970" s="92"/>
      <c r="AE970" s="146"/>
      <c r="AF970" s="187" t="str">
        <f t="shared" si="64"/>
        <v/>
      </c>
      <c r="AG970" s="54" t="b">
        <f t="shared" si="63"/>
        <v>0</v>
      </c>
      <c r="AH970" s="146"/>
      <c r="AI970" s="210" t="s">
        <v>6</v>
      </c>
      <c r="AJ970" s="97" t="str">
        <f t="shared" si="65"/>
        <v>GUARULHOS</v>
      </c>
      <c r="AK970" s="213" t="s">
        <v>39</v>
      </c>
      <c r="AL970" s="53">
        <v>0.65640316149158051</v>
      </c>
      <c r="AM970" s="53" t="str" cm="1">
        <f t="array" ref="AM970">IF(OR(O970&lt;&gt;"", SUMPRODUCT(($AN$2:$AN$5000=AN970)*($AL$2:$AL$5000&lt;=AL970)) &lt;= (COUNTIF($AN$2:$AN$5000,AN970)*0.5)), "SORTEADO", "-")</f>
        <v>-</v>
      </c>
      <c r="AN970" s="245" t="s">
        <v>2516</v>
      </c>
    </row>
    <row r="971" spans="1:40" ht="30" customHeight="1" x14ac:dyDescent="0.2">
      <c r="A971" s="230" t="s">
        <v>197</v>
      </c>
      <c r="B971" s="230">
        <v>2691956796</v>
      </c>
      <c r="C971" s="230" t="s">
        <v>101</v>
      </c>
      <c r="D971" s="230" t="s">
        <v>80</v>
      </c>
      <c r="E971" s="230" t="s">
        <v>198</v>
      </c>
      <c r="F971" s="230" t="s">
        <v>2531</v>
      </c>
      <c r="G971" s="230">
        <v>859</v>
      </c>
      <c r="H971" s="230" t="s">
        <v>213</v>
      </c>
      <c r="I971" s="230" t="s">
        <v>200</v>
      </c>
      <c r="J971" s="230" t="s">
        <v>270</v>
      </c>
      <c r="K971" s="230" t="s">
        <v>2532</v>
      </c>
      <c r="L971" s="230" t="s">
        <v>2516</v>
      </c>
      <c r="M971" s="230" t="s">
        <v>2533</v>
      </c>
      <c r="N971" s="230" t="s">
        <v>244</v>
      </c>
      <c r="O971" s="158" t="s">
        <v>204</v>
      </c>
      <c r="P971" s="92"/>
      <c r="Q971" s="146" t="s">
        <v>204</v>
      </c>
      <c r="R971" s="92"/>
      <c r="S971" s="146" t="s">
        <v>204</v>
      </c>
      <c r="T971" s="92"/>
      <c r="U971" s="146" t="s">
        <v>204</v>
      </c>
      <c r="V971" s="92"/>
      <c r="W971" s="146" t="s">
        <v>204</v>
      </c>
      <c r="X971" s="92"/>
      <c r="Y971" s="146" t="s">
        <v>61</v>
      </c>
      <c r="Z971" s="92"/>
      <c r="AA971" s="146" t="s">
        <v>204</v>
      </c>
      <c r="AB971" s="92"/>
      <c r="AC971" s="146" t="s">
        <v>204</v>
      </c>
      <c r="AD971" s="92"/>
      <c r="AE971" s="146" t="s">
        <v>204</v>
      </c>
      <c r="AF971" s="187" t="str">
        <f t="shared" si="64"/>
        <v>C</v>
      </c>
      <c r="AG971" s="54" t="str">
        <f t="shared" si="63"/>
        <v>UTILIZOU O PDA CORRETAMENTE</v>
      </c>
      <c r="AH971" s="144" t="s">
        <v>204</v>
      </c>
      <c r="AI971" s="210" t="s">
        <v>6</v>
      </c>
      <c r="AJ971" s="97" t="str">
        <f t="shared" si="65"/>
        <v>GUARULHOS</v>
      </c>
      <c r="AK971" s="213" t="s">
        <v>39</v>
      </c>
      <c r="AL971" s="53">
        <v>0.41175793791334925</v>
      </c>
      <c r="AM971" s="53" t="str" cm="1">
        <f t="array" ref="AM971">IF(OR(O971&lt;&gt;"", SUMPRODUCT(($AN$2:$AN$5000=AN971)*($AL$2:$AL$5000&lt;=AL971)) &lt;= (COUNTIF($AN$2:$AN$5000,AN971)*0.5)), "SORTEADO", "-")</f>
        <v>SORTEADO</v>
      </c>
      <c r="AN971" s="245" t="s">
        <v>2516</v>
      </c>
    </row>
    <row r="972" spans="1:40" ht="30" customHeight="1" x14ac:dyDescent="0.2">
      <c r="A972" s="230" t="s">
        <v>197</v>
      </c>
      <c r="B972" s="230">
        <v>2617986892</v>
      </c>
      <c r="C972" s="230" t="s">
        <v>100</v>
      </c>
      <c r="D972" s="230" t="s">
        <v>78</v>
      </c>
      <c r="E972" s="230" t="s">
        <v>198</v>
      </c>
      <c r="F972" s="230" t="s">
        <v>835</v>
      </c>
      <c r="G972" s="230">
        <v>202</v>
      </c>
      <c r="H972" s="230"/>
      <c r="I972" s="230" t="s">
        <v>683</v>
      </c>
      <c r="J972" s="230" t="s">
        <v>248</v>
      </c>
      <c r="K972" s="230" t="s">
        <v>2534</v>
      </c>
      <c r="L972" s="230" t="s">
        <v>2516</v>
      </c>
      <c r="M972" s="230" t="s">
        <v>2535</v>
      </c>
      <c r="N972" s="230" t="s">
        <v>432</v>
      </c>
      <c r="O972" s="157" t="s">
        <v>204</v>
      </c>
      <c r="P972" s="143"/>
      <c r="Q972" s="144" t="s">
        <v>204</v>
      </c>
      <c r="R972" s="143"/>
      <c r="S972" s="144" t="s">
        <v>204</v>
      </c>
      <c r="T972" s="143"/>
      <c r="U972" s="144" t="s">
        <v>204</v>
      </c>
      <c r="V972" s="143"/>
      <c r="W972" s="144" t="s">
        <v>204</v>
      </c>
      <c r="X972" s="143"/>
      <c r="Y972" s="144" t="s">
        <v>204</v>
      </c>
      <c r="Z972" s="143"/>
      <c r="AA972" s="144" t="s">
        <v>204</v>
      </c>
      <c r="AB972" s="143"/>
      <c r="AC972" s="144" t="s">
        <v>204</v>
      </c>
      <c r="AD972" s="56"/>
      <c r="AE972" s="144" t="s">
        <v>204</v>
      </c>
      <c r="AF972" s="187" t="str">
        <f t="shared" si="64"/>
        <v>C</v>
      </c>
      <c r="AG972" s="54" t="str">
        <f t="shared" si="63"/>
        <v>UTILIZOU O PDA CORRETAMENTE</v>
      </c>
      <c r="AH972" s="144" t="s">
        <v>204</v>
      </c>
      <c r="AI972" s="210" t="s">
        <v>6</v>
      </c>
      <c r="AJ972" s="97" t="str">
        <f t="shared" si="65"/>
        <v>GUARULHOS</v>
      </c>
      <c r="AK972" s="213" t="s">
        <v>39</v>
      </c>
      <c r="AL972" s="53">
        <v>0.11527328141900894</v>
      </c>
      <c r="AM972" s="53" t="str" cm="1">
        <f t="array" ref="AM972">IF(OR(O972&lt;&gt;"", SUMPRODUCT(($AN$2:$AN$5000=AN972)*($AL$2:$AL$5000&lt;=AL972)) &lt;= (COUNTIF($AN$2:$AN$5000,AN972)*0.5)), "SORTEADO", "-")</f>
        <v>SORTEADO</v>
      </c>
      <c r="AN972" s="245" t="s">
        <v>2516</v>
      </c>
    </row>
    <row r="973" spans="1:40" ht="30" customHeight="1" x14ac:dyDescent="0.2">
      <c r="A973" s="230" t="s">
        <v>197</v>
      </c>
      <c r="B973" s="230">
        <v>2618017727</v>
      </c>
      <c r="C973" s="230" t="s">
        <v>105</v>
      </c>
      <c r="D973" s="230" t="s">
        <v>80</v>
      </c>
      <c r="E973" s="230" t="s">
        <v>198</v>
      </c>
      <c r="F973" s="230" t="s">
        <v>2536</v>
      </c>
      <c r="G973" s="230">
        <v>99</v>
      </c>
      <c r="H973" s="230" t="s">
        <v>2537</v>
      </c>
      <c r="I973" s="230" t="s">
        <v>1644</v>
      </c>
      <c r="J973" s="230" t="s">
        <v>254</v>
      </c>
      <c r="K973" s="230" t="s">
        <v>2538</v>
      </c>
      <c r="L973" s="230" t="s">
        <v>2516</v>
      </c>
      <c r="M973" s="230" t="s">
        <v>2539</v>
      </c>
      <c r="N973" s="230" t="s">
        <v>250</v>
      </c>
      <c r="O973" s="158" t="s">
        <v>204</v>
      </c>
      <c r="P973" s="92"/>
      <c r="Q973" s="146" t="s">
        <v>204</v>
      </c>
      <c r="R973" s="92"/>
      <c r="S973" s="146" t="s">
        <v>204</v>
      </c>
      <c r="T973" s="92"/>
      <c r="U973" s="146" t="s">
        <v>204</v>
      </c>
      <c r="V973" s="92"/>
      <c r="W973" s="146" t="s">
        <v>204</v>
      </c>
      <c r="X973" s="92"/>
      <c r="Y973" s="146" t="s">
        <v>61</v>
      </c>
      <c r="Z973" s="92"/>
      <c r="AA973" s="146" t="s">
        <v>204</v>
      </c>
      <c r="AB973" s="92"/>
      <c r="AC973" s="146" t="s">
        <v>204</v>
      </c>
      <c r="AD973" s="92"/>
      <c r="AE973" s="146" t="s">
        <v>204</v>
      </c>
      <c r="AF973" s="187" t="str">
        <f t="shared" si="64"/>
        <v>C</v>
      </c>
      <c r="AG973" s="54" t="str">
        <f t="shared" si="63"/>
        <v>UTILIZOU O PDA CORRETAMENTE</v>
      </c>
      <c r="AH973" s="144" t="s">
        <v>204</v>
      </c>
      <c r="AI973" s="210" t="s">
        <v>6</v>
      </c>
      <c r="AJ973" s="97" t="str">
        <f t="shared" si="65"/>
        <v>GUARULHOS</v>
      </c>
      <c r="AK973" s="213" t="s">
        <v>39</v>
      </c>
      <c r="AL973" s="53">
        <v>0.34359268204423821</v>
      </c>
      <c r="AM973" s="53" t="str" cm="1">
        <f t="array" ref="AM973">IF(OR(O973&lt;&gt;"", SUMPRODUCT(($AN$2:$AN$5000=AN973)*($AL$2:$AL$5000&lt;=AL973)) &lt;= (COUNTIF($AN$2:$AN$5000,AN973)*0.5)), "SORTEADO", "-")</f>
        <v>SORTEADO</v>
      </c>
      <c r="AN973" s="245" t="s">
        <v>2516</v>
      </c>
    </row>
    <row r="974" spans="1:40" ht="30" hidden="1" customHeight="1" x14ac:dyDescent="0.2">
      <c r="A974" s="230" t="s">
        <v>197</v>
      </c>
      <c r="B974" s="230">
        <v>2617947011</v>
      </c>
      <c r="C974" s="230" t="s">
        <v>105</v>
      </c>
      <c r="D974" s="230" t="s">
        <v>80</v>
      </c>
      <c r="E974" s="230" t="s">
        <v>198</v>
      </c>
      <c r="F974" s="230" t="s">
        <v>2540</v>
      </c>
      <c r="G974" s="230">
        <v>77</v>
      </c>
      <c r="H974" s="230"/>
      <c r="I974" s="230" t="s">
        <v>281</v>
      </c>
      <c r="J974" s="230" t="s">
        <v>226</v>
      </c>
      <c r="K974" s="230"/>
      <c r="L974" s="230" t="s">
        <v>2516</v>
      </c>
      <c r="M974" s="230" t="s">
        <v>2541</v>
      </c>
      <c r="N974" s="230" t="s">
        <v>250</v>
      </c>
      <c r="O974" s="158"/>
      <c r="P974" s="92"/>
      <c r="Q974" s="146"/>
      <c r="R974" s="92"/>
      <c r="S974" s="146"/>
      <c r="T974" s="92"/>
      <c r="U974" s="146"/>
      <c r="V974" s="92"/>
      <c r="W974" s="146"/>
      <c r="X974" s="92"/>
      <c r="Y974" s="146"/>
      <c r="Z974" s="92"/>
      <c r="AA974" s="146"/>
      <c r="AB974" s="92"/>
      <c r="AC974" s="146"/>
      <c r="AD974" s="92"/>
      <c r="AE974" s="146"/>
      <c r="AF974" s="187" t="str">
        <f t="shared" si="64"/>
        <v/>
      </c>
      <c r="AG974" s="54" t="b">
        <f t="shared" si="63"/>
        <v>0</v>
      </c>
      <c r="AH974" s="146"/>
      <c r="AI974" s="210" t="s">
        <v>6</v>
      </c>
      <c r="AJ974" s="97" t="str">
        <f t="shared" si="65"/>
        <v>GUARULHOS</v>
      </c>
      <c r="AK974" s="213" t="s">
        <v>39</v>
      </c>
      <c r="AL974" s="53">
        <v>0.54219942557508327</v>
      </c>
      <c r="AM974" s="53" t="str" cm="1">
        <f t="array" ref="AM974">IF(OR(O974&lt;&gt;"", SUMPRODUCT(($AN$2:$AN$5000=AN974)*($AL$2:$AL$5000&lt;=AL974)) &lt;= (COUNTIF($AN$2:$AN$5000,AN974)*0.5)), "SORTEADO", "-")</f>
        <v>-</v>
      </c>
      <c r="AN974" s="245" t="s">
        <v>2516</v>
      </c>
    </row>
    <row r="975" spans="1:40" ht="30" customHeight="1" x14ac:dyDescent="0.2">
      <c r="A975" s="230" t="s">
        <v>197</v>
      </c>
      <c r="B975" s="230">
        <v>2617946661</v>
      </c>
      <c r="C975" s="230" t="s">
        <v>105</v>
      </c>
      <c r="D975" s="230" t="s">
        <v>80</v>
      </c>
      <c r="E975" s="230" t="s">
        <v>198</v>
      </c>
      <c r="F975" s="230" t="s">
        <v>2542</v>
      </c>
      <c r="G975" s="230">
        <v>103</v>
      </c>
      <c r="H975" s="230" t="s">
        <v>235</v>
      </c>
      <c r="I975" s="230" t="s">
        <v>1611</v>
      </c>
      <c r="J975" s="230" t="s">
        <v>226</v>
      </c>
      <c r="K975" s="230" t="s">
        <v>213</v>
      </c>
      <c r="L975" s="230" t="s">
        <v>2516</v>
      </c>
      <c r="M975" s="230" t="s">
        <v>2543</v>
      </c>
      <c r="N975" s="230" t="s">
        <v>263</v>
      </c>
      <c r="O975" s="158" t="s">
        <v>204</v>
      </c>
      <c r="P975" s="92"/>
      <c r="Q975" s="146" t="s">
        <v>204</v>
      </c>
      <c r="R975" s="92"/>
      <c r="S975" s="146" t="s">
        <v>204</v>
      </c>
      <c r="T975" s="92"/>
      <c r="U975" s="146" t="s">
        <v>204</v>
      </c>
      <c r="V975" s="92"/>
      <c r="W975" s="146" t="s">
        <v>204</v>
      </c>
      <c r="X975" s="92"/>
      <c r="Y975" s="146" t="s">
        <v>61</v>
      </c>
      <c r="Z975" s="92"/>
      <c r="AA975" s="146" t="s">
        <v>204</v>
      </c>
      <c r="AB975" s="92"/>
      <c r="AC975" s="146" t="s">
        <v>204</v>
      </c>
      <c r="AD975" s="92"/>
      <c r="AE975" s="146" t="s">
        <v>204</v>
      </c>
      <c r="AF975" s="187" t="str">
        <f t="shared" si="64"/>
        <v>C</v>
      </c>
      <c r="AG975" s="54" t="str">
        <f t="shared" si="63"/>
        <v>UTILIZOU O PDA CORRETAMENTE</v>
      </c>
      <c r="AH975" s="144" t="s">
        <v>204</v>
      </c>
      <c r="AI975" s="210" t="s">
        <v>6</v>
      </c>
      <c r="AJ975" s="97" t="str">
        <f t="shared" si="65"/>
        <v>GUARULHOS</v>
      </c>
      <c r="AK975" s="213" t="s">
        <v>39</v>
      </c>
      <c r="AL975" s="53">
        <v>0.16521267972601583</v>
      </c>
      <c r="AM975" s="53" t="str" cm="1">
        <f t="array" ref="AM975">IF(OR(O975&lt;&gt;"", SUMPRODUCT(($AN$2:$AN$5000=AN975)*($AL$2:$AL$5000&lt;=AL975)) &lt;= (COUNTIF($AN$2:$AN$5000,AN975)*0.5)), "SORTEADO", "-")</f>
        <v>SORTEADO</v>
      </c>
      <c r="AN975" s="245" t="s">
        <v>2516</v>
      </c>
    </row>
    <row r="976" spans="1:40" ht="30" hidden="1" customHeight="1" x14ac:dyDescent="0.2">
      <c r="A976" s="230" t="s">
        <v>197</v>
      </c>
      <c r="B976" s="230">
        <v>2617992091</v>
      </c>
      <c r="C976" s="230" t="s">
        <v>100</v>
      </c>
      <c r="D976" s="230" t="s">
        <v>78</v>
      </c>
      <c r="E976" s="230" t="s">
        <v>198</v>
      </c>
      <c r="F976" s="230" t="s">
        <v>1233</v>
      </c>
      <c r="G976" s="230">
        <v>560</v>
      </c>
      <c r="H976" s="230" t="s">
        <v>508</v>
      </c>
      <c r="I976" s="230" t="s">
        <v>801</v>
      </c>
      <c r="J976" s="230" t="s">
        <v>248</v>
      </c>
      <c r="K976" s="230"/>
      <c r="L976" s="230" t="s">
        <v>2516</v>
      </c>
      <c r="M976" s="230" t="s">
        <v>2544</v>
      </c>
      <c r="N976" s="230" t="s">
        <v>228</v>
      </c>
      <c r="O976" s="158"/>
      <c r="P976" s="92"/>
      <c r="Q976" s="146"/>
      <c r="R976" s="92"/>
      <c r="S976" s="146"/>
      <c r="T976" s="92"/>
      <c r="U976" s="146"/>
      <c r="V976" s="92"/>
      <c r="W976" s="146"/>
      <c r="X976" s="92"/>
      <c r="Y976" s="146"/>
      <c r="Z976" s="92"/>
      <c r="AA976" s="146"/>
      <c r="AB976" s="92"/>
      <c r="AC976" s="146"/>
      <c r="AD976" s="92"/>
      <c r="AE976" s="146"/>
      <c r="AF976" s="187" t="str">
        <f t="shared" si="64"/>
        <v/>
      </c>
      <c r="AG976" s="54" t="b">
        <f t="shared" si="63"/>
        <v>0</v>
      </c>
      <c r="AH976" s="146"/>
      <c r="AI976" s="210" t="s">
        <v>6</v>
      </c>
      <c r="AJ976" s="97" t="str">
        <f t="shared" si="65"/>
        <v>GUARULHOS</v>
      </c>
      <c r="AK976" s="213" t="s">
        <v>39</v>
      </c>
      <c r="AL976" s="53">
        <v>0.91600753547963676</v>
      </c>
      <c r="AM976" s="53" t="str" cm="1">
        <f t="array" ref="AM976">IF(OR(O976&lt;&gt;"", SUMPRODUCT(($AN$2:$AN$5000=AN976)*($AL$2:$AL$5000&lt;=AL976)) &lt;= (COUNTIF($AN$2:$AN$5000,AN976)*0.5)), "SORTEADO", "-")</f>
        <v>-</v>
      </c>
      <c r="AN976" s="245" t="s">
        <v>2516</v>
      </c>
    </row>
    <row r="977" spans="1:40" ht="30" hidden="1" customHeight="1" x14ac:dyDescent="0.2">
      <c r="A977" s="230" t="s">
        <v>197</v>
      </c>
      <c r="B977" s="230">
        <v>2617735442</v>
      </c>
      <c r="C977" s="230" t="s">
        <v>86</v>
      </c>
      <c r="D977" s="230" t="s">
        <v>79</v>
      </c>
      <c r="E977" s="230" t="s">
        <v>198</v>
      </c>
      <c r="F977" s="230" t="s">
        <v>2545</v>
      </c>
      <c r="G977" s="230">
        <v>15</v>
      </c>
      <c r="H977" s="230" t="s">
        <v>213</v>
      </c>
      <c r="I977" s="230" t="s">
        <v>859</v>
      </c>
      <c r="J977" s="230" t="s">
        <v>510</v>
      </c>
      <c r="K977" s="230" t="s">
        <v>1107</v>
      </c>
      <c r="L977" s="230" t="s">
        <v>2516</v>
      </c>
      <c r="M977" s="230" t="s">
        <v>2546</v>
      </c>
      <c r="N977" s="230" t="s">
        <v>1104</v>
      </c>
      <c r="O977" s="158"/>
      <c r="P977" s="92"/>
      <c r="Q977" s="146"/>
      <c r="R977" s="92"/>
      <c r="S977" s="146"/>
      <c r="T977" s="92"/>
      <c r="U977" s="146"/>
      <c r="V977" s="92"/>
      <c r="W977" s="146"/>
      <c r="X977" s="92"/>
      <c r="Y977" s="146"/>
      <c r="Z977" s="92"/>
      <c r="AA977" s="146"/>
      <c r="AB977" s="92"/>
      <c r="AC977" s="146"/>
      <c r="AD977" s="92"/>
      <c r="AE977" s="146"/>
      <c r="AF977" s="187" t="str">
        <f t="shared" si="64"/>
        <v/>
      </c>
      <c r="AG977" s="54" t="b">
        <f t="shared" si="63"/>
        <v>0</v>
      </c>
      <c r="AH977" s="146"/>
      <c r="AI977" s="210" t="s">
        <v>6</v>
      </c>
      <c r="AJ977" s="97" t="str">
        <f t="shared" si="65"/>
        <v>GUARULHOS</v>
      </c>
      <c r="AK977" s="213" t="s">
        <v>39</v>
      </c>
      <c r="AL977" s="53">
        <v>0.62189491637522576</v>
      </c>
      <c r="AM977" s="53" t="str" cm="1">
        <f t="array" ref="AM977">IF(OR(O977&lt;&gt;"", SUMPRODUCT(($AN$2:$AN$5000=AN977)*($AL$2:$AL$5000&lt;=AL977)) &lt;= (COUNTIF($AN$2:$AN$5000,AN977)*0.5)), "SORTEADO", "-")</f>
        <v>-</v>
      </c>
      <c r="AN977" s="245" t="s">
        <v>2516</v>
      </c>
    </row>
    <row r="978" spans="1:40" ht="30" hidden="1" customHeight="1" x14ac:dyDescent="0.2">
      <c r="A978" s="230" t="s">
        <v>197</v>
      </c>
      <c r="B978" s="230">
        <v>2617787384</v>
      </c>
      <c r="C978" s="230" t="s">
        <v>86</v>
      </c>
      <c r="D978" s="230" t="s">
        <v>79</v>
      </c>
      <c r="E978" s="230" t="s">
        <v>198</v>
      </c>
      <c r="F978" s="230" t="s">
        <v>2547</v>
      </c>
      <c r="G978" s="230">
        <v>200</v>
      </c>
      <c r="H978" s="230"/>
      <c r="I978" s="230" t="s">
        <v>2548</v>
      </c>
      <c r="J978" s="230" t="s">
        <v>510</v>
      </c>
      <c r="K978" s="230"/>
      <c r="L978" s="230" t="s">
        <v>2516</v>
      </c>
      <c r="M978" s="230" t="s">
        <v>2549</v>
      </c>
      <c r="N978" s="230" t="s">
        <v>1104</v>
      </c>
      <c r="O978" s="158"/>
      <c r="P978" s="92"/>
      <c r="Q978" s="146"/>
      <c r="R978" s="92"/>
      <c r="S978" s="146"/>
      <c r="T978" s="92"/>
      <c r="U978" s="146"/>
      <c r="V978" s="92"/>
      <c r="W978" s="146"/>
      <c r="X978" s="92"/>
      <c r="Y978" s="146"/>
      <c r="Z978" s="92"/>
      <c r="AA978" s="146"/>
      <c r="AB978" s="92"/>
      <c r="AC978" s="146"/>
      <c r="AD978" s="92"/>
      <c r="AE978" s="146"/>
      <c r="AF978" s="187" t="str">
        <f t="shared" si="64"/>
        <v/>
      </c>
      <c r="AG978" s="54" t="b">
        <f t="shared" si="63"/>
        <v>0</v>
      </c>
      <c r="AH978" s="146"/>
      <c r="AI978" s="210" t="s">
        <v>6</v>
      </c>
      <c r="AJ978" s="97" t="str">
        <f t="shared" si="65"/>
        <v>GUARULHOS</v>
      </c>
      <c r="AK978" s="213" t="s">
        <v>39</v>
      </c>
      <c r="AL978" s="53">
        <v>0.7395901571249327</v>
      </c>
      <c r="AM978" s="53" t="str" cm="1">
        <f t="array" ref="AM978">IF(OR(O978&lt;&gt;"", SUMPRODUCT(($AN$2:$AN$5000=AN978)*($AL$2:$AL$5000&lt;=AL978)) &lt;= (COUNTIF($AN$2:$AN$5000,AN978)*0.5)), "SORTEADO", "-")</f>
        <v>-</v>
      </c>
      <c r="AN978" s="245" t="s">
        <v>2516</v>
      </c>
    </row>
    <row r="979" spans="1:40" ht="30" customHeight="1" x14ac:dyDescent="0.2">
      <c r="A979" s="230" t="s">
        <v>197</v>
      </c>
      <c r="B979" s="230">
        <v>2617947571</v>
      </c>
      <c r="C979" s="230" t="s">
        <v>95</v>
      </c>
      <c r="D979" s="230" t="s">
        <v>76</v>
      </c>
      <c r="E979" s="230" t="s">
        <v>198</v>
      </c>
      <c r="F979" s="230" t="s">
        <v>835</v>
      </c>
      <c r="G979" s="230">
        <v>62</v>
      </c>
      <c r="H979" s="230" t="s">
        <v>217</v>
      </c>
      <c r="I979" s="230" t="s">
        <v>683</v>
      </c>
      <c r="J979" s="230" t="s">
        <v>95</v>
      </c>
      <c r="K979" s="230" t="s">
        <v>2550</v>
      </c>
      <c r="L979" s="230" t="s">
        <v>2516</v>
      </c>
      <c r="M979" s="230" t="s">
        <v>2549</v>
      </c>
      <c r="N979" s="230" t="s">
        <v>215</v>
      </c>
      <c r="O979" s="158" t="s">
        <v>204</v>
      </c>
      <c r="P979" s="92"/>
      <c r="Q979" s="146" t="s">
        <v>61</v>
      </c>
      <c r="R979" s="92"/>
      <c r="S979" s="146" t="s">
        <v>61</v>
      </c>
      <c r="T979" s="92"/>
      <c r="U979" s="146" t="s">
        <v>61</v>
      </c>
      <c r="V979" s="92"/>
      <c r="W979" s="146" t="s">
        <v>61</v>
      </c>
      <c r="X979" s="92"/>
      <c r="Y979" s="146" t="s">
        <v>61</v>
      </c>
      <c r="Z979" s="92"/>
      <c r="AA979" s="146" t="s">
        <v>204</v>
      </c>
      <c r="AB979" s="92"/>
      <c r="AC979" s="146" t="s">
        <v>204</v>
      </c>
      <c r="AD979" s="92"/>
      <c r="AE979" s="146" t="s">
        <v>204</v>
      </c>
      <c r="AF979" s="187" t="str">
        <f t="shared" si="64"/>
        <v>C</v>
      </c>
      <c r="AG979" s="54" t="str">
        <f t="shared" si="63"/>
        <v>UTILIZOU O PDA CORRETAMENTE</v>
      </c>
      <c r="AH979" s="146" t="s">
        <v>204</v>
      </c>
      <c r="AI979" s="210" t="s">
        <v>6</v>
      </c>
      <c r="AJ979" s="97" t="str">
        <f t="shared" si="65"/>
        <v>GUARULHOS</v>
      </c>
      <c r="AK979" s="213" t="s">
        <v>39</v>
      </c>
      <c r="AL979" s="53">
        <v>0.39489914156622863</v>
      </c>
      <c r="AM979" s="53" t="str" cm="1">
        <f t="array" ref="AM979">IF(OR(O979&lt;&gt;"", SUMPRODUCT(($AN$2:$AN$5000=AN979)*($AL$2:$AL$5000&lt;=AL979)) &lt;= (COUNTIF($AN$2:$AN$5000,AN979)*0.5)), "SORTEADO", "-")</f>
        <v>SORTEADO</v>
      </c>
      <c r="AN979" s="245" t="s">
        <v>2516</v>
      </c>
    </row>
    <row r="980" spans="1:40" ht="30" customHeight="1" x14ac:dyDescent="0.2">
      <c r="A980" s="230" t="s">
        <v>197</v>
      </c>
      <c r="B980" s="230">
        <v>2617947569</v>
      </c>
      <c r="C980" s="230" t="s">
        <v>95</v>
      </c>
      <c r="D980" s="230" t="s">
        <v>76</v>
      </c>
      <c r="E980" s="230" t="s">
        <v>198</v>
      </c>
      <c r="F980" s="230" t="s">
        <v>835</v>
      </c>
      <c r="G980" s="230">
        <v>62</v>
      </c>
      <c r="H980" s="230" t="s">
        <v>211</v>
      </c>
      <c r="I980" s="230" t="s">
        <v>683</v>
      </c>
      <c r="J980" s="230" t="s">
        <v>95</v>
      </c>
      <c r="K980" s="230" t="s">
        <v>2550</v>
      </c>
      <c r="L980" s="230" t="s">
        <v>2516</v>
      </c>
      <c r="M980" s="230" t="s">
        <v>2551</v>
      </c>
      <c r="N980" s="230" t="s">
        <v>215</v>
      </c>
      <c r="O980" s="158" t="s">
        <v>204</v>
      </c>
      <c r="P980" s="92"/>
      <c r="Q980" s="146" t="s">
        <v>61</v>
      </c>
      <c r="R980" s="92"/>
      <c r="S980" s="146" t="s">
        <v>61</v>
      </c>
      <c r="T980" s="92"/>
      <c r="U980" s="146" t="s">
        <v>61</v>
      </c>
      <c r="V980" s="92"/>
      <c r="W980" s="146" t="s">
        <v>61</v>
      </c>
      <c r="X980" s="92"/>
      <c r="Y980" s="146" t="s">
        <v>61</v>
      </c>
      <c r="Z980" s="92"/>
      <c r="AA980" s="146" t="s">
        <v>204</v>
      </c>
      <c r="AB980" s="92"/>
      <c r="AC980" s="146" t="s">
        <v>204</v>
      </c>
      <c r="AD980" s="92"/>
      <c r="AE980" s="146" t="s">
        <v>204</v>
      </c>
      <c r="AF980" s="187" t="str">
        <f t="shared" si="64"/>
        <v>C</v>
      </c>
      <c r="AG980" s="54" t="str">
        <f t="shared" si="63"/>
        <v>UTILIZOU O PDA CORRETAMENTE</v>
      </c>
      <c r="AH980" s="146" t="s">
        <v>204</v>
      </c>
      <c r="AI980" s="210" t="s">
        <v>6</v>
      </c>
      <c r="AJ980" s="97" t="str">
        <f t="shared" si="65"/>
        <v>GUARULHOS</v>
      </c>
      <c r="AK980" s="213" t="s">
        <v>39</v>
      </c>
      <c r="AL980" s="53">
        <v>0.38733875230688886</v>
      </c>
      <c r="AM980" s="53" t="str" cm="1">
        <f t="array" ref="AM980">IF(OR(O980&lt;&gt;"", SUMPRODUCT(($AN$2:$AN$5000=AN980)*($AL$2:$AL$5000&lt;=AL980)) &lt;= (COUNTIF($AN$2:$AN$5000,AN980)*0.5)), "SORTEADO", "-")</f>
        <v>SORTEADO</v>
      </c>
      <c r="AN980" s="245" t="s">
        <v>2516</v>
      </c>
    </row>
    <row r="981" spans="1:40" ht="30" hidden="1" customHeight="1" x14ac:dyDescent="0.2">
      <c r="A981" s="230" t="s">
        <v>197</v>
      </c>
      <c r="B981" s="230">
        <v>2617934072</v>
      </c>
      <c r="C981" s="230" t="s">
        <v>93</v>
      </c>
      <c r="D981" s="230" t="s">
        <v>76</v>
      </c>
      <c r="E981" s="230" t="s">
        <v>198</v>
      </c>
      <c r="F981" s="230" t="s">
        <v>2552</v>
      </c>
      <c r="G981" s="230">
        <v>63</v>
      </c>
      <c r="H981" s="230" t="s">
        <v>2247</v>
      </c>
      <c r="I981" s="230" t="s">
        <v>2553</v>
      </c>
      <c r="J981" s="230" t="s">
        <v>93</v>
      </c>
      <c r="K981" s="230" t="s">
        <v>2554</v>
      </c>
      <c r="L981" s="230" t="s">
        <v>2516</v>
      </c>
      <c r="M981" s="230" t="s">
        <v>2555</v>
      </c>
      <c r="N981" s="230" t="s">
        <v>215</v>
      </c>
      <c r="O981" s="158"/>
      <c r="P981" s="92"/>
      <c r="Q981" s="146"/>
      <c r="R981" s="92"/>
      <c r="S981" s="146"/>
      <c r="T981" s="92"/>
      <c r="U981" s="146"/>
      <c r="V981" s="92"/>
      <c r="W981" s="146"/>
      <c r="X981" s="92"/>
      <c r="Y981" s="146"/>
      <c r="Z981" s="92"/>
      <c r="AA981" s="146"/>
      <c r="AB981" s="92"/>
      <c r="AC981" s="146"/>
      <c r="AD981" s="92"/>
      <c r="AE981" s="146"/>
      <c r="AF981" s="187" t="str">
        <f t="shared" si="64"/>
        <v/>
      </c>
      <c r="AG981" s="54" t="b">
        <f t="shared" si="63"/>
        <v>0</v>
      </c>
      <c r="AH981" s="146"/>
      <c r="AI981" s="210" t="s">
        <v>6</v>
      </c>
      <c r="AJ981" s="97" t="str">
        <f t="shared" si="65"/>
        <v>GUARULHOS</v>
      </c>
      <c r="AK981" s="213" t="s">
        <v>39</v>
      </c>
      <c r="AL981" s="53">
        <v>0.81172892115933881</v>
      </c>
      <c r="AM981" s="53" t="str" cm="1">
        <f t="array" ref="AM981">IF(OR(O981&lt;&gt;"", SUMPRODUCT(($AN$2:$AN$5000=AN981)*($AL$2:$AL$5000&lt;=AL981)) &lt;= (COUNTIF($AN$2:$AN$5000,AN981)*0.5)), "SORTEADO", "-")</f>
        <v>-</v>
      </c>
      <c r="AN981" s="245" t="s">
        <v>2516</v>
      </c>
    </row>
    <row r="982" spans="1:40" ht="30" customHeight="1" x14ac:dyDescent="0.2">
      <c r="A982" s="230" t="s">
        <v>197</v>
      </c>
      <c r="B982" s="230">
        <v>2617934073</v>
      </c>
      <c r="C982" s="230" t="s">
        <v>95</v>
      </c>
      <c r="D982" s="230" t="s">
        <v>76</v>
      </c>
      <c r="E982" s="230" t="s">
        <v>198</v>
      </c>
      <c r="F982" s="230" t="s">
        <v>2552</v>
      </c>
      <c r="G982" s="230">
        <v>63</v>
      </c>
      <c r="H982" s="230" t="s">
        <v>1715</v>
      </c>
      <c r="I982" s="230" t="s">
        <v>2553</v>
      </c>
      <c r="J982" s="230" t="s">
        <v>95</v>
      </c>
      <c r="K982" s="230"/>
      <c r="L982" s="230" t="s">
        <v>2516</v>
      </c>
      <c r="M982" s="230" t="s">
        <v>2556</v>
      </c>
      <c r="N982" s="230" t="s">
        <v>215</v>
      </c>
      <c r="O982" s="158" t="s">
        <v>204</v>
      </c>
      <c r="P982" s="92"/>
      <c r="Q982" s="146" t="s">
        <v>61</v>
      </c>
      <c r="R982" s="92"/>
      <c r="S982" s="146" t="s">
        <v>61</v>
      </c>
      <c r="T982" s="92"/>
      <c r="U982" s="146" t="s">
        <v>61</v>
      </c>
      <c r="V982" s="92"/>
      <c r="W982" s="146" t="s">
        <v>61</v>
      </c>
      <c r="X982" s="92"/>
      <c r="Y982" s="146" t="s">
        <v>61</v>
      </c>
      <c r="Z982" s="92"/>
      <c r="AA982" s="146" t="s">
        <v>204</v>
      </c>
      <c r="AB982" s="92"/>
      <c r="AC982" s="146" t="s">
        <v>204</v>
      </c>
      <c r="AD982" s="92"/>
      <c r="AE982" s="146" t="s">
        <v>204</v>
      </c>
      <c r="AF982" s="187" t="str">
        <f t="shared" si="64"/>
        <v>C</v>
      </c>
      <c r="AG982" s="54" t="str">
        <f t="shared" si="63"/>
        <v>UTILIZOU O PDA CORRETAMENTE</v>
      </c>
      <c r="AH982" s="146" t="s">
        <v>204</v>
      </c>
      <c r="AI982" s="210" t="s">
        <v>6</v>
      </c>
      <c r="AJ982" s="97" t="str">
        <f t="shared" si="65"/>
        <v>GUARULHOS</v>
      </c>
      <c r="AK982" s="213" t="s">
        <v>39</v>
      </c>
      <c r="AL982" s="53">
        <v>0.22762195077279834</v>
      </c>
      <c r="AM982" s="53" t="str" cm="1">
        <f t="array" ref="AM982">IF(OR(O982&lt;&gt;"", SUMPRODUCT(($AN$2:$AN$5000=AN982)*($AL$2:$AL$5000&lt;=AL982)) &lt;= (COUNTIF($AN$2:$AN$5000,AN982)*0.5)), "SORTEADO", "-")</f>
        <v>SORTEADO</v>
      </c>
      <c r="AN982" s="245" t="s">
        <v>2516</v>
      </c>
    </row>
    <row r="983" spans="1:40" ht="30" hidden="1" customHeight="1" x14ac:dyDescent="0.2">
      <c r="A983" s="230" t="s">
        <v>197</v>
      </c>
      <c r="B983" s="230">
        <v>2617947553</v>
      </c>
      <c r="C983" s="230" t="s">
        <v>93</v>
      </c>
      <c r="D983" s="230" t="s">
        <v>76</v>
      </c>
      <c r="E983" s="230" t="s">
        <v>198</v>
      </c>
      <c r="F983" s="230" t="s">
        <v>835</v>
      </c>
      <c r="G983" s="230">
        <v>62</v>
      </c>
      <c r="H983" s="230" t="s">
        <v>206</v>
      </c>
      <c r="I983" s="230" t="s">
        <v>683</v>
      </c>
      <c r="J983" s="230" t="s">
        <v>93</v>
      </c>
      <c r="K983" s="230" t="s">
        <v>213</v>
      </c>
      <c r="L983" s="230" t="s">
        <v>2516</v>
      </c>
      <c r="M983" s="230" t="s">
        <v>2557</v>
      </c>
      <c r="N983" s="230" t="s">
        <v>215</v>
      </c>
      <c r="O983" s="158"/>
      <c r="P983" s="92"/>
      <c r="Q983" s="146"/>
      <c r="R983" s="92"/>
      <c r="S983" s="146"/>
      <c r="T983" s="92"/>
      <c r="U983" s="146"/>
      <c r="V983" s="92"/>
      <c r="W983" s="146"/>
      <c r="X983" s="92"/>
      <c r="Y983" s="146"/>
      <c r="Z983" s="92"/>
      <c r="AA983" s="146"/>
      <c r="AB983" s="92"/>
      <c r="AC983" s="146"/>
      <c r="AD983" s="92"/>
      <c r="AE983" s="146"/>
      <c r="AF983" s="187" t="str">
        <f t="shared" si="64"/>
        <v/>
      </c>
      <c r="AG983" s="54" t="b">
        <f t="shared" si="63"/>
        <v>0</v>
      </c>
      <c r="AH983" s="146"/>
      <c r="AI983" s="210" t="s">
        <v>6</v>
      </c>
      <c r="AJ983" s="97" t="str">
        <f t="shared" si="65"/>
        <v>GUARULHOS</v>
      </c>
      <c r="AK983" s="213" t="s">
        <v>39</v>
      </c>
      <c r="AL983" s="53">
        <v>0.86033215486087489</v>
      </c>
      <c r="AM983" s="53" t="str" cm="1">
        <f t="array" ref="AM983">IF(OR(O983&lt;&gt;"", SUMPRODUCT(($AN$2:$AN$5000=AN983)*($AL$2:$AL$5000&lt;=AL983)) &lt;= (COUNTIF($AN$2:$AN$5000,AN983)*0.5)), "SORTEADO", "-")</f>
        <v>-</v>
      </c>
      <c r="AN983" s="245" t="s">
        <v>2516</v>
      </c>
    </row>
    <row r="984" spans="1:40" ht="30" customHeight="1" x14ac:dyDescent="0.2">
      <c r="A984" s="230" t="s">
        <v>197</v>
      </c>
      <c r="B984" s="230">
        <v>2617184401</v>
      </c>
      <c r="C984" s="230" t="s">
        <v>85</v>
      </c>
      <c r="D984" s="230" t="s">
        <v>76</v>
      </c>
      <c r="E984" s="230" t="s">
        <v>198</v>
      </c>
      <c r="F984" s="230" t="s">
        <v>1352</v>
      </c>
      <c r="G984" s="230">
        <v>662</v>
      </c>
      <c r="H984" s="230"/>
      <c r="I984" s="230" t="s">
        <v>622</v>
      </c>
      <c r="J984" s="230" t="s">
        <v>85</v>
      </c>
      <c r="K984" s="230"/>
      <c r="L984" s="230" t="s">
        <v>2516</v>
      </c>
      <c r="M984" s="230" t="s">
        <v>2558</v>
      </c>
      <c r="N984" s="230" t="s">
        <v>209</v>
      </c>
      <c r="O984" s="158" t="s">
        <v>204</v>
      </c>
      <c r="P984" s="92"/>
      <c r="Q984" s="146" t="s">
        <v>204</v>
      </c>
      <c r="R984" s="92"/>
      <c r="S984" s="146" t="s">
        <v>204</v>
      </c>
      <c r="T984" s="92"/>
      <c r="U984" s="146" t="s">
        <v>204</v>
      </c>
      <c r="V984" s="92"/>
      <c r="W984" s="146" t="s">
        <v>204</v>
      </c>
      <c r="X984" s="92"/>
      <c r="Y984" s="146" t="s">
        <v>61</v>
      </c>
      <c r="Z984" s="92"/>
      <c r="AA984" s="146" t="s">
        <v>210</v>
      </c>
      <c r="AB984" s="92" t="s">
        <v>618</v>
      </c>
      <c r="AC984" s="146" t="s">
        <v>204</v>
      </c>
      <c r="AD984" s="92"/>
      <c r="AE984" s="146" t="s">
        <v>204</v>
      </c>
      <c r="AF984" s="187" t="str">
        <f t="shared" si="64"/>
        <v>NC</v>
      </c>
      <c r="AG984" s="54" t="str">
        <f t="shared" si="63"/>
        <v>UTILIZOU O PDA CORRETAMENTE. NÃO HÁ FOTOS DE TODAS AS ETAPAS</v>
      </c>
      <c r="AH984" s="146" t="s">
        <v>204</v>
      </c>
      <c r="AI984" s="210" t="s">
        <v>6</v>
      </c>
      <c r="AJ984" s="97" t="str">
        <f t="shared" si="65"/>
        <v>GUARULHOS</v>
      </c>
      <c r="AK984" s="213" t="s">
        <v>39</v>
      </c>
      <c r="AL984" s="53">
        <v>0.35890488845998081</v>
      </c>
      <c r="AM984" s="53" t="str" cm="1">
        <f t="array" ref="AM984">IF(OR(O984&lt;&gt;"", SUMPRODUCT(($AN$2:$AN$5000=AN984)*($AL$2:$AL$5000&lt;=AL984)) &lt;= (COUNTIF($AN$2:$AN$5000,AN984)*0.5)), "SORTEADO", "-")</f>
        <v>SORTEADO</v>
      </c>
      <c r="AN984" s="245" t="s">
        <v>2516</v>
      </c>
    </row>
    <row r="985" spans="1:40" ht="30" hidden="1" customHeight="1" x14ac:dyDescent="0.2">
      <c r="A985" s="230" t="s">
        <v>197</v>
      </c>
      <c r="B985" s="230">
        <v>2617287104</v>
      </c>
      <c r="C985" s="230" t="s">
        <v>83</v>
      </c>
      <c r="D985" s="230" t="s">
        <v>76</v>
      </c>
      <c r="E985" s="230" t="s">
        <v>198</v>
      </c>
      <c r="F985" s="230" t="s">
        <v>251</v>
      </c>
      <c r="G985" s="230">
        <v>64</v>
      </c>
      <c r="H985" s="230" t="s">
        <v>460</v>
      </c>
      <c r="I985" s="230" t="s">
        <v>253</v>
      </c>
      <c r="J985" s="230" t="s">
        <v>219</v>
      </c>
      <c r="K985" s="230" t="s">
        <v>2559</v>
      </c>
      <c r="L985" s="230" t="s">
        <v>2516</v>
      </c>
      <c r="M985" s="230" t="s">
        <v>2560</v>
      </c>
      <c r="N985" s="230" t="s">
        <v>209</v>
      </c>
      <c r="O985" s="158"/>
      <c r="P985" s="92"/>
      <c r="Q985" s="146"/>
      <c r="R985" s="92"/>
      <c r="S985" s="146"/>
      <c r="T985" s="92"/>
      <c r="U985" s="146"/>
      <c r="V985" s="92"/>
      <c r="W985" s="146"/>
      <c r="X985" s="92"/>
      <c r="Y985" s="146"/>
      <c r="Z985" s="92"/>
      <c r="AA985" s="146"/>
      <c r="AB985" s="92"/>
      <c r="AC985" s="146"/>
      <c r="AD985" s="92"/>
      <c r="AE985" s="146"/>
      <c r="AF985" s="187" t="str">
        <f t="shared" si="64"/>
        <v/>
      </c>
      <c r="AG985" s="54" t="b">
        <f t="shared" si="63"/>
        <v>0</v>
      </c>
      <c r="AH985" s="146"/>
      <c r="AI985" s="210" t="s">
        <v>6</v>
      </c>
      <c r="AJ985" s="97" t="str">
        <f t="shared" si="65"/>
        <v>GUARULHOS</v>
      </c>
      <c r="AK985" s="213" t="s">
        <v>39</v>
      </c>
      <c r="AL985" s="53">
        <v>0.41823127446744879</v>
      </c>
      <c r="AM985" s="53" t="str" cm="1">
        <f t="array" ref="AM985">IF(OR(O985&lt;&gt;"", SUMPRODUCT(($AN$2:$AN$5000=AN985)*($AL$2:$AL$5000&lt;=AL985)) &lt;= (COUNTIF($AN$2:$AN$5000,AN985)*0.5)), "SORTEADO", "-")</f>
        <v>-</v>
      </c>
      <c r="AN985" s="245" t="s">
        <v>2516</v>
      </c>
    </row>
    <row r="986" spans="1:40" ht="30" hidden="1" customHeight="1" x14ac:dyDescent="0.2">
      <c r="A986" s="230" t="s">
        <v>197</v>
      </c>
      <c r="B986" s="230">
        <v>2614614498</v>
      </c>
      <c r="C986" s="230" t="s">
        <v>91</v>
      </c>
      <c r="D986" s="230" t="s">
        <v>76</v>
      </c>
      <c r="E986" s="230" t="s">
        <v>198</v>
      </c>
      <c r="F986" s="230" t="s">
        <v>2561</v>
      </c>
      <c r="G986" s="230">
        <v>95</v>
      </c>
      <c r="H986" s="230" t="s">
        <v>2043</v>
      </c>
      <c r="I986" s="230" t="s">
        <v>1277</v>
      </c>
      <c r="J986" s="230" t="s">
        <v>448</v>
      </c>
      <c r="K986" s="230"/>
      <c r="L986" s="230" t="s">
        <v>2516</v>
      </c>
      <c r="M986" s="230" t="s">
        <v>2562</v>
      </c>
      <c r="N986" s="230" t="s">
        <v>408</v>
      </c>
      <c r="O986" s="158"/>
      <c r="P986" s="92"/>
      <c r="Q986" s="146"/>
      <c r="R986" s="92"/>
      <c r="S986" s="146"/>
      <c r="T986" s="92"/>
      <c r="U986" s="146"/>
      <c r="V986" s="92"/>
      <c r="W986" s="146"/>
      <c r="X986" s="92"/>
      <c r="Y986" s="146"/>
      <c r="Z986" s="92"/>
      <c r="AA986" s="146"/>
      <c r="AB986" s="92"/>
      <c r="AC986" s="146"/>
      <c r="AD986" s="92"/>
      <c r="AE986" s="146"/>
      <c r="AF986" s="187" t="str">
        <f t="shared" si="64"/>
        <v/>
      </c>
      <c r="AG986" s="54" t="b">
        <f t="shared" si="63"/>
        <v>0</v>
      </c>
      <c r="AH986" s="146"/>
      <c r="AI986" s="210" t="s">
        <v>6</v>
      </c>
      <c r="AJ986" s="97" t="str">
        <f t="shared" si="65"/>
        <v>GUARULHOS</v>
      </c>
      <c r="AK986" s="213" t="s">
        <v>39</v>
      </c>
      <c r="AL986" s="53">
        <v>0.97975465051091082</v>
      </c>
      <c r="AM986" s="53" t="str" cm="1">
        <f t="array" ref="AM986">IF(OR(O986&lt;&gt;"", SUMPRODUCT(($AN$2:$AN$5000=AN986)*($AL$2:$AL$5000&lt;=AL986)) &lt;= (COUNTIF($AN$2:$AN$5000,AN986)*0.5)), "SORTEADO", "-")</f>
        <v>-</v>
      </c>
      <c r="AN986" s="245" t="s">
        <v>2516</v>
      </c>
    </row>
    <row r="987" spans="1:40" ht="30" customHeight="1" x14ac:dyDescent="0.2">
      <c r="A987" s="230" t="s">
        <v>197</v>
      </c>
      <c r="B987" s="230">
        <v>2617353966</v>
      </c>
      <c r="C987" s="230" t="s">
        <v>94</v>
      </c>
      <c r="D987" s="230" t="s">
        <v>76</v>
      </c>
      <c r="E987" s="230" t="s">
        <v>198</v>
      </c>
      <c r="F987" s="230" t="s">
        <v>2563</v>
      </c>
      <c r="G987" s="230">
        <v>135</v>
      </c>
      <c r="H987" s="230" t="s">
        <v>206</v>
      </c>
      <c r="I987" s="230" t="s">
        <v>366</v>
      </c>
      <c r="J987" s="230" t="s">
        <v>94</v>
      </c>
      <c r="K987" s="230" t="s">
        <v>213</v>
      </c>
      <c r="L987" s="230" t="s">
        <v>2516</v>
      </c>
      <c r="M987" s="230" t="s">
        <v>2564</v>
      </c>
      <c r="N987" s="230" t="s">
        <v>408</v>
      </c>
      <c r="O987" s="158" t="s">
        <v>204</v>
      </c>
      <c r="P987" s="92"/>
      <c r="Q987" s="146" t="s">
        <v>204</v>
      </c>
      <c r="R987" s="92"/>
      <c r="S987" s="146" t="s">
        <v>204</v>
      </c>
      <c r="T987" s="92"/>
      <c r="U987" s="146" t="s">
        <v>204</v>
      </c>
      <c r="V987" s="92"/>
      <c r="W987" s="146" t="s">
        <v>204</v>
      </c>
      <c r="X987" s="92"/>
      <c r="Y987" s="146" t="s">
        <v>204</v>
      </c>
      <c r="Z987" s="92"/>
      <c r="AA987" s="146" t="s">
        <v>204</v>
      </c>
      <c r="AB987" s="92"/>
      <c r="AC987" s="146" t="s">
        <v>204</v>
      </c>
      <c r="AD987" s="92"/>
      <c r="AE987" s="146" t="s">
        <v>204</v>
      </c>
      <c r="AF987" s="187" t="str">
        <f t="shared" si="64"/>
        <v>C</v>
      </c>
      <c r="AG987" s="54" t="str">
        <f t="shared" si="63"/>
        <v>UTILIZOU O PDA CORRETAMENTE</v>
      </c>
      <c r="AH987" s="146"/>
      <c r="AI987" s="210" t="s">
        <v>6</v>
      </c>
      <c r="AJ987" s="97" t="str">
        <f t="shared" si="65"/>
        <v>GUARULHOS</v>
      </c>
      <c r="AK987" s="213" t="s">
        <v>39</v>
      </c>
      <c r="AL987" s="53">
        <v>0.18637066626906618</v>
      </c>
      <c r="AM987" s="53" t="str" cm="1">
        <f t="array" ref="AM987">IF(OR(O987&lt;&gt;"", SUMPRODUCT(($AN$2:$AN$5000=AN987)*($AL$2:$AL$5000&lt;=AL987)) &lt;= (COUNTIF($AN$2:$AN$5000,AN987)*0.5)), "SORTEADO", "-")</f>
        <v>SORTEADO</v>
      </c>
      <c r="AN987" s="245" t="s">
        <v>2516</v>
      </c>
    </row>
    <row r="988" spans="1:40" ht="30" hidden="1" customHeight="1" x14ac:dyDescent="0.2">
      <c r="A988" s="230" t="s">
        <v>197</v>
      </c>
      <c r="B988" s="230">
        <v>2617353997</v>
      </c>
      <c r="C988" s="230" t="s">
        <v>96</v>
      </c>
      <c r="D988" s="230" t="s">
        <v>76</v>
      </c>
      <c r="E988" s="230" t="s">
        <v>198</v>
      </c>
      <c r="F988" s="230" t="s">
        <v>2563</v>
      </c>
      <c r="G988" s="230">
        <v>135</v>
      </c>
      <c r="H988" s="230" t="s">
        <v>211</v>
      </c>
      <c r="I988" s="230" t="s">
        <v>366</v>
      </c>
      <c r="J988" s="230" t="s">
        <v>96</v>
      </c>
      <c r="K988" s="230" t="s">
        <v>2565</v>
      </c>
      <c r="L988" s="230" t="s">
        <v>2516</v>
      </c>
      <c r="M988" s="230" t="s">
        <v>2566</v>
      </c>
      <c r="N988" s="230" t="s">
        <v>408</v>
      </c>
      <c r="O988" s="158"/>
      <c r="P988" s="92"/>
      <c r="Q988" s="146"/>
      <c r="R988" s="92"/>
      <c r="S988" s="146"/>
      <c r="T988" s="92"/>
      <c r="U988" s="146"/>
      <c r="V988" s="92"/>
      <c r="W988" s="146"/>
      <c r="X988" s="92"/>
      <c r="Y988" s="146"/>
      <c r="Z988" s="92"/>
      <c r="AA988" s="146"/>
      <c r="AB988" s="92"/>
      <c r="AC988" s="146"/>
      <c r="AD988" s="92"/>
      <c r="AE988" s="146"/>
      <c r="AF988" s="187" t="str">
        <f t="shared" si="64"/>
        <v/>
      </c>
      <c r="AG988" s="54" t="b">
        <f t="shared" si="63"/>
        <v>0</v>
      </c>
      <c r="AH988" s="146"/>
      <c r="AI988" s="210" t="s">
        <v>6</v>
      </c>
      <c r="AJ988" s="97" t="str">
        <f t="shared" si="65"/>
        <v>GUARULHOS</v>
      </c>
      <c r="AK988" s="213" t="s">
        <v>39</v>
      </c>
      <c r="AL988" s="53">
        <v>0.59843032889605685</v>
      </c>
      <c r="AM988" s="53" t="str" cm="1">
        <f t="array" ref="AM988">IF(OR(O988&lt;&gt;"", SUMPRODUCT(($AN$2:$AN$5000=AN988)*($AL$2:$AL$5000&lt;=AL988)) &lt;= (COUNTIF($AN$2:$AN$5000,AN988)*0.5)), "SORTEADO", "-")</f>
        <v>-</v>
      </c>
      <c r="AN988" s="245" t="s">
        <v>2516</v>
      </c>
    </row>
    <row r="989" spans="1:40" ht="30" customHeight="1" x14ac:dyDescent="0.2">
      <c r="A989" s="230" t="s">
        <v>197</v>
      </c>
      <c r="B989" s="230">
        <v>2617273711</v>
      </c>
      <c r="C989" s="230" t="s">
        <v>229</v>
      </c>
      <c r="D989" s="230" t="s">
        <v>76</v>
      </c>
      <c r="E989" s="230" t="s">
        <v>198</v>
      </c>
      <c r="F989" s="230" t="s">
        <v>748</v>
      </c>
      <c r="G989" s="230">
        <v>53</v>
      </c>
      <c r="H989" s="230" t="s">
        <v>2567</v>
      </c>
      <c r="I989" s="230" t="s">
        <v>2455</v>
      </c>
      <c r="J989" s="230" t="s">
        <v>232</v>
      </c>
      <c r="K989" s="230" t="s">
        <v>2568</v>
      </c>
      <c r="L989" s="230" t="s">
        <v>2516</v>
      </c>
      <c r="M989" s="230" t="s">
        <v>2569</v>
      </c>
      <c r="N989" s="230" t="s">
        <v>203</v>
      </c>
      <c r="O989" s="158" t="s">
        <v>204</v>
      </c>
      <c r="P989" s="92"/>
      <c r="Q989" s="146" t="s">
        <v>204</v>
      </c>
      <c r="R989" s="92"/>
      <c r="S989" s="146" t="s">
        <v>204</v>
      </c>
      <c r="T989" s="92"/>
      <c r="U989" s="146" t="s">
        <v>204</v>
      </c>
      <c r="V989" s="92"/>
      <c r="W989" s="146" t="s">
        <v>204</v>
      </c>
      <c r="X989" s="92"/>
      <c r="Y989" s="146" t="s">
        <v>61</v>
      </c>
      <c r="Z989" s="92"/>
      <c r="AA989" s="146" t="s">
        <v>210</v>
      </c>
      <c r="AB989" s="92" t="s">
        <v>618</v>
      </c>
      <c r="AC989" s="146" t="s">
        <v>204</v>
      </c>
      <c r="AD989" s="92"/>
      <c r="AE989" s="146" t="s">
        <v>204</v>
      </c>
      <c r="AF989" s="187" t="str">
        <f t="shared" si="64"/>
        <v>NC</v>
      </c>
      <c r="AG989" s="54" t="str">
        <f t="shared" si="63"/>
        <v>UTILIZOU O PDA CORRETAMENTE. NÃO HÁ FOTOS DE TODAS AS ETAPAS</v>
      </c>
      <c r="AH989" s="146" t="s">
        <v>204</v>
      </c>
      <c r="AI989" s="210" t="s">
        <v>6</v>
      </c>
      <c r="AJ989" s="97" t="str">
        <f t="shared" si="65"/>
        <v>GUARULHOS</v>
      </c>
      <c r="AK989" s="213" t="s">
        <v>39</v>
      </c>
      <c r="AL989" s="53">
        <v>9.9026361061081314E-2</v>
      </c>
      <c r="AM989" s="53" t="str" cm="1">
        <f t="array" ref="AM989">IF(OR(O989&lt;&gt;"", SUMPRODUCT(($AN$2:$AN$5000=AN989)*($AL$2:$AL$5000&lt;=AL989)) &lt;= (COUNTIF($AN$2:$AN$5000,AN989)*0.5)), "SORTEADO", "-")</f>
        <v>SORTEADO</v>
      </c>
      <c r="AN989" s="245" t="s">
        <v>2516</v>
      </c>
    </row>
    <row r="990" spans="1:40" ht="30" hidden="1" customHeight="1" x14ac:dyDescent="0.2">
      <c r="A990" s="230" t="s">
        <v>197</v>
      </c>
      <c r="B990" s="230">
        <v>2617273712</v>
      </c>
      <c r="C990" s="230" t="s">
        <v>229</v>
      </c>
      <c r="D990" s="230" t="s">
        <v>76</v>
      </c>
      <c r="E990" s="230" t="s">
        <v>198</v>
      </c>
      <c r="F990" s="230" t="s">
        <v>748</v>
      </c>
      <c r="G990" s="230">
        <v>53</v>
      </c>
      <c r="H990" s="230" t="s">
        <v>2570</v>
      </c>
      <c r="I990" s="230" t="s">
        <v>2455</v>
      </c>
      <c r="J990" s="230" t="s">
        <v>232</v>
      </c>
      <c r="K990" s="230" t="s">
        <v>2568</v>
      </c>
      <c r="L990" s="230" t="s">
        <v>2516</v>
      </c>
      <c r="M990" s="230" t="s">
        <v>2571</v>
      </c>
      <c r="N990" s="230" t="s">
        <v>203</v>
      </c>
      <c r="O990" s="158"/>
      <c r="P990" s="92"/>
      <c r="Q990" s="146"/>
      <c r="R990" s="92"/>
      <c r="S990" s="146"/>
      <c r="T990" s="92"/>
      <c r="U990" s="146"/>
      <c r="V990" s="92"/>
      <c r="W990" s="146"/>
      <c r="X990" s="92"/>
      <c r="Y990" s="146"/>
      <c r="Z990" s="92"/>
      <c r="AA990" s="146"/>
      <c r="AB990" s="92"/>
      <c r="AC990" s="146"/>
      <c r="AD990" s="92"/>
      <c r="AE990" s="146"/>
      <c r="AF990" s="187" t="str">
        <f t="shared" si="64"/>
        <v/>
      </c>
      <c r="AG990" s="54" t="b">
        <f t="shared" si="63"/>
        <v>0</v>
      </c>
      <c r="AH990" s="146"/>
      <c r="AI990" s="210" t="s">
        <v>6</v>
      </c>
      <c r="AJ990" s="97" t="str">
        <f t="shared" si="65"/>
        <v>GUARULHOS</v>
      </c>
      <c r="AK990" s="213" t="s">
        <v>39</v>
      </c>
      <c r="AL990" s="53">
        <v>0.78203372252483538</v>
      </c>
      <c r="AM990" s="53" t="str" cm="1">
        <f t="array" ref="AM990">IF(OR(O990&lt;&gt;"", SUMPRODUCT(($AN$2:$AN$5000=AN990)*($AL$2:$AL$5000&lt;=AL990)) &lt;= (COUNTIF($AN$2:$AN$5000,AN990)*0.5)), "SORTEADO", "-")</f>
        <v>-</v>
      </c>
      <c r="AN990" s="245" t="s">
        <v>2516</v>
      </c>
    </row>
    <row r="991" spans="1:40" ht="30" hidden="1" customHeight="1" x14ac:dyDescent="0.2">
      <c r="A991" s="230" t="s">
        <v>197</v>
      </c>
      <c r="B991" s="230">
        <v>2617306556</v>
      </c>
      <c r="C991" s="230" t="s">
        <v>229</v>
      </c>
      <c r="D991" s="230" t="s">
        <v>76</v>
      </c>
      <c r="E991" s="230" t="s">
        <v>198</v>
      </c>
      <c r="F991" s="230" t="s">
        <v>1845</v>
      </c>
      <c r="G991" s="230">
        <v>456</v>
      </c>
      <c r="H991" s="230" t="s">
        <v>206</v>
      </c>
      <c r="I991" s="230" t="s">
        <v>315</v>
      </c>
      <c r="J991" s="230" t="s">
        <v>232</v>
      </c>
      <c r="K991" s="230" t="s">
        <v>2572</v>
      </c>
      <c r="L991" s="230" t="s">
        <v>2516</v>
      </c>
      <c r="M991" s="230" t="s">
        <v>2573</v>
      </c>
      <c r="N991" s="230" t="s">
        <v>203</v>
      </c>
      <c r="O991" s="158"/>
      <c r="P991" s="92"/>
      <c r="Q991" s="146"/>
      <c r="R991" s="92"/>
      <c r="S991" s="146"/>
      <c r="T991" s="92"/>
      <c r="U991" s="146"/>
      <c r="V991" s="92"/>
      <c r="W991" s="146"/>
      <c r="X991" s="92"/>
      <c r="Y991" s="146"/>
      <c r="Z991" s="92"/>
      <c r="AA991" s="146"/>
      <c r="AB991" s="92"/>
      <c r="AC991" s="146"/>
      <c r="AD991" s="92"/>
      <c r="AE991" s="146"/>
      <c r="AF991" s="187" t="str">
        <f t="shared" si="64"/>
        <v/>
      </c>
      <c r="AG991" s="54" t="b">
        <f t="shared" si="63"/>
        <v>0</v>
      </c>
      <c r="AH991" s="146"/>
      <c r="AI991" s="210" t="s">
        <v>6</v>
      </c>
      <c r="AJ991" s="97" t="str">
        <f t="shared" si="65"/>
        <v>GUARULHOS</v>
      </c>
      <c r="AK991" s="213" t="s">
        <v>39</v>
      </c>
      <c r="AL991" s="53">
        <v>0.61087825406215235</v>
      </c>
      <c r="AM991" s="53" t="str" cm="1">
        <f t="array" ref="AM991">IF(OR(O991&lt;&gt;"", SUMPRODUCT(($AN$2:$AN$5000=AN991)*($AL$2:$AL$5000&lt;=AL991)) &lt;= (COUNTIF($AN$2:$AN$5000,AN991)*0.5)), "SORTEADO", "-")</f>
        <v>-</v>
      </c>
      <c r="AN991" s="245" t="s">
        <v>2516</v>
      </c>
    </row>
    <row r="992" spans="1:40" ht="30" customHeight="1" x14ac:dyDescent="0.2">
      <c r="A992" s="230" t="s">
        <v>197</v>
      </c>
      <c r="B992" s="230">
        <v>2617306579</v>
      </c>
      <c r="C992" s="230" t="s">
        <v>229</v>
      </c>
      <c r="D992" s="230" t="s">
        <v>76</v>
      </c>
      <c r="E992" s="230" t="s">
        <v>198</v>
      </c>
      <c r="F992" s="230" t="s">
        <v>1845</v>
      </c>
      <c r="G992" s="230">
        <v>456</v>
      </c>
      <c r="H992" s="230" t="s">
        <v>211</v>
      </c>
      <c r="I992" s="230" t="s">
        <v>315</v>
      </c>
      <c r="J992" s="230" t="s">
        <v>232</v>
      </c>
      <c r="K992" s="230" t="s">
        <v>2574</v>
      </c>
      <c r="L992" s="230" t="s">
        <v>2516</v>
      </c>
      <c r="M992" s="230" t="s">
        <v>2575</v>
      </c>
      <c r="N992" s="230" t="s">
        <v>203</v>
      </c>
      <c r="O992" s="158" t="s">
        <v>204</v>
      </c>
      <c r="P992" s="92"/>
      <c r="Q992" s="146" t="s">
        <v>204</v>
      </c>
      <c r="R992" s="92"/>
      <c r="S992" s="146" t="s">
        <v>204</v>
      </c>
      <c r="T992" s="92"/>
      <c r="U992" s="146" t="s">
        <v>204</v>
      </c>
      <c r="V992" s="92"/>
      <c r="W992" s="146" t="s">
        <v>204</v>
      </c>
      <c r="X992" s="92"/>
      <c r="Y992" s="146" t="s">
        <v>61</v>
      </c>
      <c r="Z992" s="92"/>
      <c r="AA992" s="146" t="s">
        <v>210</v>
      </c>
      <c r="AB992" s="92" t="s">
        <v>618</v>
      </c>
      <c r="AC992" s="146" t="s">
        <v>204</v>
      </c>
      <c r="AD992" s="92"/>
      <c r="AE992" s="146" t="s">
        <v>204</v>
      </c>
      <c r="AF992" s="187" t="str">
        <f t="shared" si="64"/>
        <v>NC</v>
      </c>
      <c r="AG992" s="54" t="str">
        <f t="shared" si="63"/>
        <v>UTILIZOU O PDA CORRETAMENTE. NÃO HÁ FOTOS DE TODAS AS ETAPAS</v>
      </c>
      <c r="AH992" s="146" t="s">
        <v>204</v>
      </c>
      <c r="AI992" s="210" t="s">
        <v>6</v>
      </c>
      <c r="AJ992" s="97" t="str">
        <f t="shared" si="65"/>
        <v>GUARULHOS</v>
      </c>
      <c r="AK992" s="213" t="s">
        <v>39</v>
      </c>
      <c r="AL992" s="53">
        <v>0.30446760745668822</v>
      </c>
      <c r="AM992" s="53" t="str" cm="1">
        <f t="array" ref="AM992">IF(OR(O992&lt;&gt;"", SUMPRODUCT(($AN$2:$AN$5000=AN992)*($AL$2:$AL$5000&lt;=AL992)) &lt;= (COUNTIF($AN$2:$AN$5000,AN992)*0.5)), "SORTEADO", "-")</f>
        <v>SORTEADO</v>
      </c>
      <c r="AN992" s="245" t="s">
        <v>2516</v>
      </c>
    </row>
    <row r="993" spans="1:40" ht="30" customHeight="1" x14ac:dyDescent="0.2">
      <c r="A993" s="230" t="s">
        <v>197</v>
      </c>
      <c r="B993" s="230">
        <v>2617997273</v>
      </c>
      <c r="C993" s="230" t="s">
        <v>89</v>
      </c>
      <c r="D993" s="230" t="s">
        <v>77</v>
      </c>
      <c r="E993" s="230" t="s">
        <v>198</v>
      </c>
      <c r="F993" s="230" t="s">
        <v>1854</v>
      </c>
      <c r="G993" s="230">
        <v>77</v>
      </c>
      <c r="H993" s="230" t="s">
        <v>213</v>
      </c>
      <c r="I993" s="230" t="s">
        <v>416</v>
      </c>
      <c r="J993" s="230" t="s">
        <v>346</v>
      </c>
      <c r="K993" s="230" t="s">
        <v>213</v>
      </c>
      <c r="L993" s="230" t="s">
        <v>2516</v>
      </c>
      <c r="M993" s="230" t="s">
        <v>2576</v>
      </c>
      <c r="N993" s="230" t="s">
        <v>244</v>
      </c>
      <c r="O993" s="158" t="s">
        <v>204</v>
      </c>
      <c r="P993" s="146"/>
      <c r="Q993" s="146" t="s">
        <v>204</v>
      </c>
      <c r="R993" s="209"/>
      <c r="S993" s="146" t="s">
        <v>204</v>
      </c>
      <c r="T993" s="146"/>
      <c r="U993" s="146" t="s">
        <v>204</v>
      </c>
      <c r="V993" s="146"/>
      <c r="W993" s="146" t="s">
        <v>204</v>
      </c>
      <c r="X993" s="146"/>
      <c r="Y993" s="146" t="s">
        <v>61</v>
      </c>
      <c r="Z993" s="146"/>
      <c r="AA993" s="146" t="s">
        <v>204</v>
      </c>
      <c r="AB993" s="146"/>
      <c r="AC993" s="146" t="s">
        <v>204</v>
      </c>
      <c r="AD993" s="146"/>
      <c r="AE993" s="146" t="s">
        <v>204</v>
      </c>
      <c r="AF993" s="187" t="str">
        <f t="shared" si="64"/>
        <v>C</v>
      </c>
      <c r="AG993" s="54" t="str">
        <f t="shared" si="63"/>
        <v>UTILIZOU O PDA CORRETAMENTE</v>
      </c>
      <c r="AH993" s="146"/>
      <c r="AI993" s="210" t="s">
        <v>6</v>
      </c>
      <c r="AJ993" s="97" t="str">
        <f t="shared" si="65"/>
        <v>GUARULHOS</v>
      </c>
      <c r="AK993" s="213" t="s">
        <v>39</v>
      </c>
      <c r="AL993" s="53">
        <v>1.2532134288075869E-2</v>
      </c>
      <c r="AM993" s="53" t="str" cm="1">
        <f t="array" ref="AM993">IF(OR(O993&lt;&gt;"", SUMPRODUCT(($AN$2:$AN$5000=AN993)*($AL$2:$AL$5000&lt;=AL993)) &lt;= (COUNTIF($AN$2:$AN$5000,AN993)*0.5)), "SORTEADO", "-")</f>
        <v>SORTEADO</v>
      </c>
      <c r="AN993" s="245" t="s">
        <v>2516</v>
      </c>
    </row>
    <row r="994" spans="1:40" ht="30" customHeight="1" x14ac:dyDescent="0.2">
      <c r="A994" s="230" t="s">
        <v>197</v>
      </c>
      <c r="B994" s="230">
        <v>2618067168</v>
      </c>
      <c r="C994" s="230" t="s">
        <v>102</v>
      </c>
      <c r="D994" s="230" t="s">
        <v>80</v>
      </c>
      <c r="E994" s="230" t="s">
        <v>198</v>
      </c>
      <c r="F994" s="230" t="s">
        <v>2577</v>
      </c>
      <c r="G994" s="230">
        <v>102</v>
      </c>
      <c r="H994" s="230"/>
      <c r="I994" s="230" t="s">
        <v>2578</v>
      </c>
      <c r="J994" s="230" t="s">
        <v>270</v>
      </c>
      <c r="K994" s="230"/>
      <c r="L994" s="230" t="s">
        <v>2516</v>
      </c>
      <c r="M994" s="230" t="s">
        <v>2539</v>
      </c>
      <c r="N994" s="230" t="s">
        <v>303</v>
      </c>
      <c r="O994" s="158" t="s">
        <v>204</v>
      </c>
      <c r="P994" s="92"/>
      <c r="Q994" s="146" t="s">
        <v>204</v>
      </c>
      <c r="R994" s="92"/>
      <c r="S994" s="146" t="s">
        <v>204</v>
      </c>
      <c r="T994" s="92"/>
      <c r="U994" s="146" t="s">
        <v>204</v>
      </c>
      <c r="V994" s="92"/>
      <c r="W994" s="146" t="s">
        <v>204</v>
      </c>
      <c r="X994" s="92"/>
      <c r="Y994" s="146" t="s">
        <v>61</v>
      </c>
      <c r="Z994" s="92"/>
      <c r="AA994" s="146" t="s">
        <v>204</v>
      </c>
      <c r="AB994" s="92"/>
      <c r="AC994" s="146" t="s">
        <v>204</v>
      </c>
      <c r="AD994" s="92"/>
      <c r="AE994" s="146" t="s">
        <v>204</v>
      </c>
      <c r="AF994" s="187" t="str">
        <f t="shared" si="64"/>
        <v>C</v>
      </c>
      <c r="AG994" s="54" t="str">
        <f t="shared" si="63"/>
        <v>UTILIZOU O PDA CORRETAMENTE</v>
      </c>
      <c r="AH994" s="144" t="s">
        <v>204</v>
      </c>
      <c r="AI994" s="210" t="s">
        <v>6</v>
      </c>
      <c r="AJ994" s="97" t="str">
        <f t="shared" si="65"/>
        <v>GUARULHOS</v>
      </c>
      <c r="AK994" s="213" t="s">
        <v>39</v>
      </c>
      <c r="AL994" s="53">
        <v>0.35865775830859303</v>
      </c>
      <c r="AM994" s="53" t="str" cm="1">
        <f t="array" ref="AM994">IF(OR(O994&lt;&gt;"", SUMPRODUCT(($AN$2:$AN$5000=AN994)*($AL$2:$AL$5000&lt;=AL994)) &lt;= (COUNTIF($AN$2:$AN$5000,AN994)*0.5)), "SORTEADO", "-")</f>
        <v>SORTEADO</v>
      </c>
      <c r="AN994" s="245" t="s">
        <v>2516</v>
      </c>
    </row>
    <row r="995" spans="1:40" ht="30" hidden="1" customHeight="1" x14ac:dyDescent="0.2">
      <c r="A995" s="230" t="s">
        <v>197</v>
      </c>
      <c r="B995" s="230">
        <v>2692002023</v>
      </c>
      <c r="C995" s="230" t="s">
        <v>101</v>
      </c>
      <c r="D995" s="230" t="s">
        <v>80</v>
      </c>
      <c r="E995" s="230" t="s">
        <v>198</v>
      </c>
      <c r="F995" s="230" t="s">
        <v>2579</v>
      </c>
      <c r="G995" s="230">
        <v>264</v>
      </c>
      <c r="H995" s="230" t="s">
        <v>1106</v>
      </c>
      <c r="I995" s="230" t="s">
        <v>513</v>
      </c>
      <c r="J995" s="230" t="s">
        <v>270</v>
      </c>
      <c r="K995" s="230" t="s">
        <v>2580</v>
      </c>
      <c r="L995" s="230" t="s">
        <v>2516</v>
      </c>
      <c r="M995" s="230" t="s">
        <v>2581</v>
      </c>
      <c r="N995" s="230" t="s">
        <v>303</v>
      </c>
      <c r="O995" s="158"/>
      <c r="P995" s="92"/>
      <c r="Q995" s="146"/>
      <c r="R995" s="92"/>
      <c r="S995" s="146"/>
      <c r="T995" s="92"/>
      <c r="U995" s="146"/>
      <c r="V995" s="92"/>
      <c r="W995" s="146"/>
      <c r="X995" s="92"/>
      <c r="Y995" s="146"/>
      <c r="Z995" s="92"/>
      <c r="AA995" s="146"/>
      <c r="AB995" s="92"/>
      <c r="AC995" s="146"/>
      <c r="AD995" s="92"/>
      <c r="AE995" s="146"/>
      <c r="AF995" s="187" t="str">
        <f t="shared" si="64"/>
        <v/>
      </c>
      <c r="AG995" s="54" t="b">
        <f t="shared" si="63"/>
        <v>0</v>
      </c>
      <c r="AH995" s="146"/>
      <c r="AI995" s="210" t="s">
        <v>6</v>
      </c>
      <c r="AJ995" s="97" t="str">
        <f t="shared" si="65"/>
        <v>GUARULHOS</v>
      </c>
      <c r="AK995" s="213" t="s">
        <v>39</v>
      </c>
      <c r="AL995" s="53">
        <v>0.55407897238341064</v>
      </c>
      <c r="AM995" s="53" t="str" cm="1">
        <f t="array" ref="AM995">IF(OR(O995&lt;&gt;"", SUMPRODUCT(($AN$2:$AN$5000=AN995)*($AL$2:$AL$5000&lt;=AL995)) &lt;= (COUNTIF($AN$2:$AN$5000,AN995)*0.5)), "SORTEADO", "-")</f>
        <v>-</v>
      </c>
      <c r="AN995" s="245" t="s">
        <v>2516</v>
      </c>
    </row>
    <row r="996" spans="1:40" ht="30" customHeight="1" x14ac:dyDescent="0.2">
      <c r="A996" s="230" t="s">
        <v>197</v>
      </c>
      <c r="B996" s="230">
        <v>2691999302</v>
      </c>
      <c r="C996" s="230" t="s">
        <v>102</v>
      </c>
      <c r="D996" s="230" t="s">
        <v>80</v>
      </c>
      <c r="E996" s="230" t="s">
        <v>198</v>
      </c>
      <c r="F996" s="230" t="s">
        <v>734</v>
      </c>
      <c r="G996" s="230">
        <v>725</v>
      </c>
      <c r="H996" s="230" t="s">
        <v>2582</v>
      </c>
      <c r="I996" s="230" t="s">
        <v>253</v>
      </c>
      <c r="J996" s="230" t="s">
        <v>270</v>
      </c>
      <c r="K996" s="230"/>
      <c r="L996" s="230" t="s">
        <v>2516</v>
      </c>
      <c r="M996" s="230" t="s">
        <v>2583</v>
      </c>
      <c r="N996" s="230" t="s">
        <v>260</v>
      </c>
      <c r="O996" s="158" t="s">
        <v>204</v>
      </c>
      <c r="P996" s="92"/>
      <c r="Q996" s="146" t="s">
        <v>204</v>
      </c>
      <c r="R996" s="92"/>
      <c r="S996" s="146" t="s">
        <v>204</v>
      </c>
      <c r="T996" s="92"/>
      <c r="U996" s="146" t="s">
        <v>204</v>
      </c>
      <c r="V996" s="92"/>
      <c r="W996" s="146" t="s">
        <v>204</v>
      </c>
      <c r="X996" s="92"/>
      <c r="Y996" s="146" t="s">
        <v>61</v>
      </c>
      <c r="Z996" s="92"/>
      <c r="AA996" s="146" t="s">
        <v>204</v>
      </c>
      <c r="AB996" s="92"/>
      <c r="AC996" s="146" t="s">
        <v>204</v>
      </c>
      <c r="AD996" s="92"/>
      <c r="AE996" s="146" t="s">
        <v>204</v>
      </c>
      <c r="AF996" s="187" t="str">
        <f t="shared" si="64"/>
        <v>C</v>
      </c>
      <c r="AG996" s="54" t="str">
        <f t="shared" si="63"/>
        <v>UTILIZOU O PDA CORRETAMENTE</v>
      </c>
      <c r="AH996" s="144" t="s">
        <v>204</v>
      </c>
      <c r="AI996" s="210" t="s">
        <v>6</v>
      </c>
      <c r="AJ996" s="97" t="str">
        <f t="shared" si="65"/>
        <v>GUARULHOS</v>
      </c>
      <c r="AK996" s="213" t="s">
        <v>39</v>
      </c>
      <c r="AL996" s="53">
        <v>0.23482438912895143</v>
      </c>
      <c r="AM996" s="53" t="str" cm="1">
        <f t="array" ref="AM996">IF(OR(O996&lt;&gt;"", SUMPRODUCT(($AN$2:$AN$5000=AN996)*($AL$2:$AL$5000&lt;=AL996)) &lt;= (COUNTIF($AN$2:$AN$5000,AN996)*0.5)), "SORTEADO", "-")</f>
        <v>SORTEADO</v>
      </c>
      <c r="AN996" s="245" t="s">
        <v>2516</v>
      </c>
    </row>
    <row r="997" spans="1:40" ht="30" hidden="1" customHeight="1" x14ac:dyDescent="0.2">
      <c r="A997" s="230" t="s">
        <v>197</v>
      </c>
      <c r="B997" s="230">
        <v>2618068574</v>
      </c>
      <c r="C997" s="230" t="s">
        <v>105</v>
      </c>
      <c r="D997" s="230" t="s">
        <v>80</v>
      </c>
      <c r="E997" s="230" t="s">
        <v>198</v>
      </c>
      <c r="F997" s="230" t="s">
        <v>2584</v>
      </c>
      <c r="G997" s="230">
        <v>23</v>
      </c>
      <c r="H997" s="230" t="s">
        <v>2585</v>
      </c>
      <c r="I997" s="230" t="s">
        <v>281</v>
      </c>
      <c r="J997" s="230" t="s">
        <v>226</v>
      </c>
      <c r="K997" s="230" t="s">
        <v>213</v>
      </c>
      <c r="L997" s="230" t="s">
        <v>2516</v>
      </c>
      <c r="M997" s="230" t="s">
        <v>2586</v>
      </c>
      <c r="N997" s="230" t="s">
        <v>381</v>
      </c>
      <c r="O997" s="158"/>
      <c r="P997" s="92"/>
      <c r="Q997" s="146"/>
      <c r="R997" s="92"/>
      <c r="S997" s="146"/>
      <c r="T997" s="92"/>
      <c r="U997" s="146"/>
      <c r="V997" s="92"/>
      <c r="W997" s="146"/>
      <c r="X997" s="92"/>
      <c r="Y997" s="146"/>
      <c r="Z997" s="92"/>
      <c r="AA997" s="146"/>
      <c r="AB997" s="92"/>
      <c r="AC997" s="146"/>
      <c r="AD997" s="92"/>
      <c r="AE997" s="146"/>
      <c r="AF997" s="187" t="str">
        <f t="shared" ref="AF997:AF1000" si="66">IF(AND(O997="",Q997="",S997="",U997="",W997="",Y997="",AA997="",AC997=""),"",IF(OR(AND(O997&lt;&gt;"NA",O997&lt;&gt;"C",O997&lt;&gt;"NC",O997&lt;&gt;"SF",O997&lt;&gt;""),AND(Q997&lt;&gt;"NA",Q997&lt;&gt;"C",Q997&lt;&gt;"NC",Q997&lt;&gt;"SF",Q997&lt;&gt;""),AND(S997&lt;&gt;"NA",S997&lt;&gt;"C",S997&lt;&gt;"NC",S997&lt;&gt;"SF",S997&lt;&gt;""),AND(U997&lt;&gt;"NA",U997&lt;&gt;"C",U997&lt;&gt;"NC",U997&lt;&gt;"SF",U997&lt;&gt;""),AND(W997&lt;&gt;"NA",W997&lt;&gt;"C",W997&lt;&gt;"NC",W997&lt;&gt;"SF",W997&lt;&gt;""),AND(Y997&lt;&gt;"NA",Y997&lt;&gt;"C",Y997&lt;&gt;"NC",Y997&lt;&gt;"SF",Y997&lt;&gt;""),AND(AA997&lt;&gt;"NA",AA997&lt;&gt;"C",AA997&lt;&gt;"NC",AA997&lt;&gt;"SF",AA997&lt;&gt;""),AND(AC997&lt;&gt;"NA",AC997&lt;&gt;"C",AC997&lt;&gt;"NC",AC997&lt;&gt;"SF",AC997&lt;&gt;"")),"FALSO",IF(AND(O997="NA",Q997="NA",S997="NA",U997="NA",W997="NA",Y997="NA",AA997="NA",AC997="NA"),"NA",IF(OR(O997="NC",Q997="NC",S997="NC",U997="NC",W997="NC",Y997="NC",AA997="NC",AC997="NC",O997="SF",Q997="SF",S997="SF",U997="SF",W997="SF",Y997="SF",AA997="SF",AC997="SF"),"NC",IF(OR(O997="C",Q997="C",S997="C",U997="C",W997="C",Y997="C",AA997="C",AC997="C"),"C","")))))</f>
        <v/>
      </c>
      <c r="AG997" s="54" t="b">
        <f t="shared" si="63"/>
        <v>0</v>
      </c>
      <c r="AH997" s="146"/>
      <c r="AI997" s="210" t="s">
        <v>6</v>
      </c>
      <c r="AJ997" s="97" t="str">
        <f t="shared" si="65"/>
        <v>GUARULHOS</v>
      </c>
      <c r="AK997" s="213" t="s">
        <v>39</v>
      </c>
      <c r="AL997" s="53">
        <v>0.50507000645372113</v>
      </c>
      <c r="AM997" s="53" t="str" cm="1">
        <f t="array" ref="AM997">IF(OR(O997&lt;&gt;"", SUMPRODUCT(($AN$2:$AN$5000=AN997)*($AL$2:$AL$5000&lt;=AL997)) &lt;= (COUNTIF($AN$2:$AN$5000,AN997)*0.5)), "SORTEADO", "-")</f>
        <v>-</v>
      </c>
      <c r="AN997" s="245" t="s">
        <v>2516</v>
      </c>
    </row>
    <row r="998" spans="1:40" ht="30" hidden="1" customHeight="1" x14ac:dyDescent="0.2">
      <c r="A998" s="230" t="s">
        <v>197</v>
      </c>
      <c r="B998" s="230">
        <v>2692007889</v>
      </c>
      <c r="C998" s="230" t="s">
        <v>102</v>
      </c>
      <c r="D998" s="230" t="s">
        <v>80</v>
      </c>
      <c r="E998" s="230" t="s">
        <v>198</v>
      </c>
      <c r="F998" s="230" t="s">
        <v>829</v>
      </c>
      <c r="G998" s="230">
        <v>1700</v>
      </c>
      <c r="H998" s="230" t="s">
        <v>2587</v>
      </c>
      <c r="I998" s="230" t="s">
        <v>664</v>
      </c>
      <c r="J998" s="230" t="s">
        <v>270</v>
      </c>
      <c r="K998" s="230"/>
      <c r="L998" s="230" t="s">
        <v>2516</v>
      </c>
      <c r="M998" s="230" t="s">
        <v>2588</v>
      </c>
      <c r="N998" s="230" t="s">
        <v>241</v>
      </c>
      <c r="O998" s="158"/>
      <c r="P998" s="92"/>
      <c r="Q998" s="146"/>
      <c r="R998" s="92"/>
      <c r="S998" s="146"/>
      <c r="T998" s="92"/>
      <c r="U998" s="146"/>
      <c r="V998" s="92"/>
      <c r="W998" s="146"/>
      <c r="X998" s="92"/>
      <c r="Y998" s="146"/>
      <c r="Z998" s="92"/>
      <c r="AA998" s="146"/>
      <c r="AB998" s="92"/>
      <c r="AC998" s="146"/>
      <c r="AD998" s="92"/>
      <c r="AE998" s="146"/>
      <c r="AF998" s="187" t="str">
        <f t="shared" si="66"/>
        <v/>
      </c>
      <c r="AG998" s="54" t="b">
        <f t="shared" si="63"/>
        <v>0</v>
      </c>
      <c r="AH998" s="146"/>
      <c r="AI998" s="210" t="s">
        <v>6</v>
      </c>
      <c r="AJ998" s="97" t="str">
        <f t="shared" si="65"/>
        <v>GUARULHOS</v>
      </c>
      <c r="AK998" s="213" t="s">
        <v>39</v>
      </c>
      <c r="AL998" s="53">
        <v>0.43254089609729518</v>
      </c>
      <c r="AM998" s="53" t="str" cm="1">
        <f t="array" ref="AM998">IF(OR(O998&lt;&gt;"", SUMPRODUCT(($AN$2:$AN$5000=AN998)*($AL$2:$AL$5000&lt;=AL998)) &lt;= (COUNTIF($AN$2:$AN$5000,AN998)*0.5)), "SORTEADO", "-")</f>
        <v>-</v>
      </c>
      <c r="AN998" s="245" t="s">
        <v>2516</v>
      </c>
    </row>
    <row r="999" spans="1:40" ht="30" hidden="1" customHeight="1" x14ac:dyDescent="0.2">
      <c r="A999" s="230" t="s">
        <v>197</v>
      </c>
      <c r="B999" s="230">
        <v>2618068402</v>
      </c>
      <c r="C999" s="230" t="s">
        <v>105</v>
      </c>
      <c r="D999" s="230" t="s">
        <v>80</v>
      </c>
      <c r="E999" s="230" t="s">
        <v>198</v>
      </c>
      <c r="F999" s="230" t="s">
        <v>2589</v>
      </c>
      <c r="G999" s="230">
        <v>320</v>
      </c>
      <c r="H999" s="230" t="s">
        <v>213</v>
      </c>
      <c r="I999" s="230" t="s">
        <v>281</v>
      </c>
      <c r="J999" s="230" t="s">
        <v>226</v>
      </c>
      <c r="K999" s="230" t="s">
        <v>213</v>
      </c>
      <c r="L999" s="230" t="s">
        <v>2516</v>
      </c>
      <c r="M999" s="230" t="s">
        <v>2590</v>
      </c>
      <c r="N999" s="230" t="s">
        <v>271</v>
      </c>
      <c r="O999" s="158"/>
      <c r="P999" s="92"/>
      <c r="Q999" s="146"/>
      <c r="R999" s="92"/>
      <c r="S999" s="146"/>
      <c r="T999" s="92"/>
      <c r="U999" s="146"/>
      <c r="V999" s="92"/>
      <c r="W999" s="146"/>
      <c r="X999" s="92"/>
      <c r="Y999" s="146"/>
      <c r="Z999" s="92"/>
      <c r="AA999" s="146"/>
      <c r="AB999" s="92"/>
      <c r="AC999" s="146"/>
      <c r="AD999" s="92"/>
      <c r="AE999" s="146"/>
      <c r="AF999" s="187" t="str">
        <f t="shared" si="66"/>
        <v/>
      </c>
      <c r="AG999" s="54" t="b">
        <f t="shared" si="63"/>
        <v>0</v>
      </c>
      <c r="AH999" s="146"/>
      <c r="AI999" s="210" t="s">
        <v>6</v>
      </c>
      <c r="AJ999" s="97" t="str">
        <f t="shared" si="65"/>
        <v>GUARULHOS</v>
      </c>
      <c r="AK999" s="213" t="s">
        <v>39</v>
      </c>
      <c r="AL999" s="53">
        <v>0.82755376408353665</v>
      </c>
      <c r="AM999" s="53" t="str" cm="1">
        <f t="array" ref="AM999">IF(OR(O999&lt;&gt;"", SUMPRODUCT(($AN$2:$AN$5000=AN999)*($AL$2:$AL$5000&lt;=AL999)) &lt;= (COUNTIF($AN$2:$AN$5000,AN999)*0.5)), "SORTEADO", "-")</f>
        <v>-</v>
      </c>
      <c r="AN999" s="245" t="s">
        <v>2516</v>
      </c>
    </row>
    <row r="1000" spans="1:40" ht="30" hidden="1" customHeight="1" x14ac:dyDescent="0.2">
      <c r="A1000" s="230" t="s">
        <v>197</v>
      </c>
      <c r="B1000" s="230">
        <v>2618070544</v>
      </c>
      <c r="C1000" s="230" t="s">
        <v>105</v>
      </c>
      <c r="D1000" s="230" t="s">
        <v>80</v>
      </c>
      <c r="E1000" s="230" t="s">
        <v>198</v>
      </c>
      <c r="F1000" s="230" t="s">
        <v>1636</v>
      </c>
      <c r="G1000" s="230">
        <v>355</v>
      </c>
      <c r="H1000" s="230" t="s">
        <v>235</v>
      </c>
      <c r="I1000" s="230" t="s">
        <v>538</v>
      </c>
      <c r="J1000" s="230" t="s">
        <v>278</v>
      </c>
      <c r="K1000" s="230" t="s">
        <v>2591</v>
      </c>
      <c r="L1000" s="230" t="s">
        <v>2516</v>
      </c>
      <c r="M1000" s="230" t="s">
        <v>2592</v>
      </c>
      <c r="N1000" s="230" t="s">
        <v>287</v>
      </c>
      <c r="O1000" s="258"/>
      <c r="P1000" s="259"/>
      <c r="Q1000" s="260"/>
      <c r="R1000" s="259"/>
      <c r="S1000" s="260"/>
      <c r="T1000" s="259"/>
      <c r="U1000" s="260"/>
      <c r="V1000" s="259"/>
      <c r="W1000" s="260"/>
      <c r="X1000" s="259"/>
      <c r="Y1000" s="260"/>
      <c r="Z1000" s="259"/>
      <c r="AA1000" s="260"/>
      <c r="AB1000" s="259"/>
      <c r="AC1000" s="260"/>
      <c r="AD1000" s="259"/>
      <c r="AE1000" s="260"/>
      <c r="AF1000" s="187" t="str">
        <f t="shared" si="66"/>
        <v/>
      </c>
      <c r="AG1000" s="261" t="b">
        <f t="shared" si="63"/>
        <v>0</v>
      </c>
      <c r="AH1000" s="260"/>
      <c r="AI1000" s="262" t="s">
        <v>6</v>
      </c>
      <c r="AJ1000" s="263" t="str">
        <f t="shared" si="65"/>
        <v>GUARULHOS</v>
      </c>
      <c r="AK1000" s="264" t="s">
        <v>39</v>
      </c>
      <c r="AL1000" s="53">
        <v>0.83432213219748586</v>
      </c>
      <c r="AM1000" s="53" t="str" cm="1">
        <f t="array" ref="AM1000">IF(OR(O1000&lt;&gt;"", SUMPRODUCT(($AN$2:$AN$5000=AN1000)*($AL$2:$AL$5000&lt;=AL1000)) &lt;= (COUNTIF($AN$2:$AN$5000,AN1000)*0.5)), "SORTEADO", "-")</f>
        <v>-</v>
      </c>
      <c r="AN1000" s="245" t="s">
        <v>2516</v>
      </c>
    </row>
    <row r="1001" spans="1:40" ht="30" customHeight="1" x14ac:dyDescent="0.2">
      <c r="A1001" s="230" t="s">
        <v>197</v>
      </c>
      <c r="B1001" s="230">
        <v>2618074341</v>
      </c>
      <c r="C1001" s="230" t="s">
        <v>106</v>
      </c>
      <c r="D1001" s="230" t="s">
        <v>80</v>
      </c>
      <c r="E1001" s="230" t="s">
        <v>198</v>
      </c>
      <c r="F1001" s="230" t="s">
        <v>1347</v>
      </c>
      <c r="G1001" s="230">
        <v>2378</v>
      </c>
      <c r="H1001" s="230" t="s">
        <v>213</v>
      </c>
      <c r="I1001" s="230" t="s">
        <v>394</v>
      </c>
      <c r="J1001" s="230" t="s">
        <v>270</v>
      </c>
      <c r="K1001" s="230" t="s">
        <v>213</v>
      </c>
      <c r="L1001" s="230" t="s">
        <v>2516</v>
      </c>
      <c r="M1001" s="230" t="s">
        <v>2593</v>
      </c>
      <c r="N1001" s="266" t="s">
        <v>317</v>
      </c>
      <c r="O1001" s="158" t="s">
        <v>204</v>
      </c>
      <c r="P1001" s="92"/>
      <c r="Q1001" s="146" t="s">
        <v>204</v>
      </c>
      <c r="R1001" s="92"/>
      <c r="S1001" s="146" t="s">
        <v>204</v>
      </c>
      <c r="T1001" s="92"/>
      <c r="U1001" s="146" t="s">
        <v>204</v>
      </c>
      <c r="V1001" s="92"/>
      <c r="W1001" s="146" t="s">
        <v>204</v>
      </c>
      <c r="X1001" s="92"/>
      <c r="Y1001" s="146" t="s">
        <v>61</v>
      </c>
      <c r="Z1001" s="92"/>
      <c r="AA1001" s="146" t="s">
        <v>204</v>
      </c>
      <c r="AB1001" s="92"/>
      <c r="AC1001" s="146" t="s">
        <v>204</v>
      </c>
      <c r="AD1001" s="92"/>
      <c r="AE1001" s="146" t="s">
        <v>204</v>
      </c>
      <c r="AF1001" s="187" t="str">
        <f>IF(AND(O1001="",Q1001="",S1001="",U1001="",W1001="",Y1001="",AA1001="",AC1001=""),"",IF(OR(AND(O1001&lt;&gt;"NA",O1001&lt;&gt;"C",O1001&lt;&gt;"NC",O1001&lt;&gt;"SF",O1001&lt;&gt;""),AND(Q1001&lt;&gt;"NA",Q1001&lt;&gt;"C",Q1001&lt;&gt;"NC",Q1001&lt;&gt;"SF",Q1001&lt;&gt;""),AND(S1001&lt;&gt;"NA",S1001&lt;&gt;"C",S1001&lt;&gt;"NC",S1001&lt;&gt;"SF",S1001&lt;&gt;""),AND(U1001&lt;&gt;"NA",U1001&lt;&gt;"C",U1001&lt;&gt;"NC",U1001&lt;&gt;"SF",U1001&lt;&gt;""),AND(W1001&lt;&gt;"NA",W1001&lt;&gt;"C",W1001&lt;&gt;"NC",W1001&lt;&gt;"SF",W1001&lt;&gt;""),AND(Y1001&lt;&gt;"NA",Y1001&lt;&gt;"C",Y1001&lt;&gt;"NC",Y1001&lt;&gt;"SF",Y1001&lt;&gt;""),AND(AA1001&lt;&gt;"NA",AA1001&lt;&gt;"C",AA1001&lt;&gt;"NC",AA1001&lt;&gt;"SF",AA1001&lt;&gt;""),AND(AC1001&lt;&gt;"NA",AC1001&lt;&gt;"C",AC1001&lt;&gt;"NC",AC1001&lt;&gt;"SF",AC1001&lt;&gt;"")),"FALSO",IF(AND(O1001="NA",Q1001="NA",S1001="NA",U1001="NA",W1001="NA",Y1001="NA",AA1001="NA",AC1001="NA"),"NA",IF(OR(O1001="NC",Q1001="NC",S1001="NC",U1001="NC",W1001="NC",Y1001="NC",AA1001="NC",AC1001="NC",O1001="SF",Q1001="SF",S1001="SF",U1001="SF",W1001="SF",Y1001="SF",AA1001="SF",AC1001="SF"),"NC",IF(OR(O1001="C",Q1001="C",S1001="C",U1001="C",W1001="C",Y1001="C",AA1001="C",AC1001="C"),"C","")))))</f>
        <v>C</v>
      </c>
      <c r="AG1001" s="261" t="str">
        <f t="shared" si="63"/>
        <v>UTILIZOU O PDA CORRETAMENTE</v>
      </c>
      <c r="AH1001" s="144" t="s">
        <v>204</v>
      </c>
      <c r="AI1001" s="262" t="s">
        <v>6</v>
      </c>
      <c r="AJ1001" s="263" t="str">
        <f t="shared" si="65"/>
        <v>GUARULHOS</v>
      </c>
      <c r="AK1001" s="264" t="s">
        <v>39</v>
      </c>
      <c r="AL1001" s="53">
        <v>0.2471995205119375</v>
      </c>
      <c r="AM1001" s="53" t="str" cm="1">
        <f t="array" ref="AM1001">IF(OR(O1001&lt;&gt;"", SUMPRODUCT(($AN$2:$AN$5000=AN1001)*($AL$2:$AL$5000&lt;=AL1001)) &lt;= (COUNTIF($AN$2:$AN$5000,AN1001)*0.5)), "SORTEADO", "-")</f>
        <v>SORTEADO</v>
      </c>
      <c r="AN1001" s="245" t="s">
        <v>2516</v>
      </c>
    </row>
    <row r="1002" spans="1:40" ht="30" hidden="1" customHeight="1" x14ac:dyDescent="0.2">
      <c r="A1002" s="230" t="s">
        <v>197</v>
      </c>
      <c r="B1002" s="230">
        <v>2618088118</v>
      </c>
      <c r="C1002" s="230" t="s">
        <v>105</v>
      </c>
      <c r="D1002" s="230" t="s">
        <v>80</v>
      </c>
      <c r="E1002" s="230" t="s">
        <v>198</v>
      </c>
      <c r="F1002" s="230" t="s">
        <v>2594</v>
      </c>
      <c r="G1002" s="230">
        <v>909</v>
      </c>
      <c r="H1002" s="230"/>
      <c r="I1002" s="230" t="s">
        <v>200</v>
      </c>
      <c r="J1002" s="230" t="s">
        <v>467</v>
      </c>
      <c r="K1002" s="230" t="s">
        <v>2595</v>
      </c>
      <c r="L1002" s="230" t="s">
        <v>2516</v>
      </c>
      <c r="M1002" s="230" t="s">
        <v>2596</v>
      </c>
      <c r="N1002" s="266" t="s">
        <v>348</v>
      </c>
      <c r="O1002" s="56"/>
      <c r="P1002" s="56"/>
      <c r="Q1002" s="56"/>
      <c r="R1002" s="56"/>
      <c r="S1002" s="56"/>
      <c r="T1002" s="56"/>
      <c r="U1002" s="56"/>
      <c r="V1002" s="56"/>
      <c r="W1002" s="56"/>
      <c r="X1002" s="56"/>
      <c r="Y1002" s="56"/>
      <c r="Z1002" s="56"/>
      <c r="AA1002" s="56"/>
      <c r="AB1002" s="56"/>
      <c r="AC1002" s="56"/>
      <c r="AD1002" s="56"/>
      <c r="AE1002" s="56"/>
      <c r="AF1002" s="187" t="str">
        <f>IF(AND(O1002="",Q1002="",S1002="",U1002="",W1002="",Y1002="",AA1002="",AC1002=""),"",IF(OR(AND(O1002&lt;&gt;"NA",O1002&lt;&gt;"C",O1002&lt;&gt;"NC",O1002&lt;&gt;"SF",O1002&lt;&gt;""),AND(Q1002&lt;&gt;"NA",Q1002&lt;&gt;"C",Q1002&lt;&gt;"NC",Q1002&lt;&gt;"SF",Q1002&lt;&gt;""),AND(S1002&lt;&gt;"NA",S1002&lt;&gt;"C",S1002&lt;&gt;"NC",S1002&lt;&gt;"SF",S1002&lt;&gt;""),AND(U1002&lt;&gt;"NA",U1002&lt;&gt;"C",U1002&lt;&gt;"NC",U1002&lt;&gt;"SF",U1002&lt;&gt;""),AND(W1002&lt;&gt;"NA",W1002&lt;&gt;"C",W1002&lt;&gt;"NC",W1002&lt;&gt;"SF",W1002&lt;&gt;""),AND(Y1002&lt;&gt;"NA",Y1002&lt;&gt;"C",Y1002&lt;&gt;"NC",Y1002&lt;&gt;"SF",Y1002&lt;&gt;""),AND(AA1002&lt;&gt;"NA",AA1002&lt;&gt;"C",AA1002&lt;&gt;"NC",AA1002&lt;&gt;"SF",AA1002&lt;&gt;""),AND(AC1002&lt;&gt;"NA",AC1002&lt;&gt;"C",AC1002&lt;&gt;"NC",AC1002&lt;&gt;"SF",AC1002&lt;&gt;"")),"FALSO",IF(AND(O1002="NA",Q1002="NA",S1002="NA",U1002="NA",W1002="NA",Y1002="NA",AA1002="NA",AC1002="NA"),"NA",IF(OR(O1002="NC",Q1002="NC",S1002="NC",U1002="NC",W1002="NC",Y1002="NC",AA1002="NC",AC1002="NC",O1002="SF",Q1002="SF",S1002="SF",U1002="SF",W1002="SF",Y1002="SF",AA1002="SF",AC1002="SF"),"NC",IF(OR(O1002="C",Q1002="C",S1002="C",U1002="C",W1002="C",Y1002="C",AA1002="C",AC1002="C"),"C","")))))</f>
        <v/>
      </c>
      <c r="AG1002" s="261" t="b">
        <f t="shared" si="63"/>
        <v>0</v>
      </c>
      <c r="AH1002" s="56"/>
      <c r="AI1002" s="262" t="s">
        <v>6</v>
      </c>
      <c r="AJ1002" s="263" t="str">
        <f t="shared" si="65"/>
        <v>GUARULHOS</v>
      </c>
      <c r="AK1002" s="264" t="s">
        <v>39</v>
      </c>
      <c r="AL1002" s="53">
        <v>0.81164132269761147</v>
      </c>
      <c r="AM1002" s="53" t="str" cm="1">
        <f t="array" ref="AM1002">IF(OR(O1002&lt;&gt;"", SUMPRODUCT(($AN$2:$AN$5000=AN1002)*($AL$2:$AL$5000&lt;=AL1002)) &lt;= (COUNTIF($AN$2:$AN$5000,AN1002)*0.5)), "SORTEADO", "-")</f>
        <v>-</v>
      </c>
      <c r="AN1002" s="245" t="s">
        <v>2516</v>
      </c>
    </row>
    <row r="1003" spans="1:40" ht="30" customHeight="1" x14ac:dyDescent="0.2">
      <c r="A1003" s="230" t="s">
        <v>197</v>
      </c>
      <c r="B1003" s="230">
        <v>2618089786</v>
      </c>
      <c r="C1003" s="230" t="s">
        <v>105</v>
      </c>
      <c r="D1003" s="230" t="s">
        <v>80</v>
      </c>
      <c r="E1003" s="230" t="s">
        <v>198</v>
      </c>
      <c r="F1003" s="230" t="s">
        <v>2597</v>
      </c>
      <c r="G1003" s="230">
        <v>408</v>
      </c>
      <c r="H1003" s="230" t="s">
        <v>276</v>
      </c>
      <c r="I1003" s="230" t="s">
        <v>1587</v>
      </c>
      <c r="J1003" s="230" t="s">
        <v>278</v>
      </c>
      <c r="K1003" s="230" t="s">
        <v>213</v>
      </c>
      <c r="L1003" s="230" t="s">
        <v>2516</v>
      </c>
      <c r="M1003" s="230" t="s">
        <v>2598</v>
      </c>
      <c r="N1003" s="266" t="s">
        <v>228</v>
      </c>
      <c r="O1003" s="158" t="s">
        <v>204</v>
      </c>
      <c r="P1003" s="92"/>
      <c r="Q1003" s="146" t="s">
        <v>204</v>
      </c>
      <c r="R1003" s="92"/>
      <c r="S1003" s="146" t="s">
        <v>204</v>
      </c>
      <c r="T1003" s="92"/>
      <c r="U1003" s="146" t="s">
        <v>204</v>
      </c>
      <c r="V1003" s="92"/>
      <c r="W1003" s="146" t="s">
        <v>204</v>
      </c>
      <c r="X1003" s="92"/>
      <c r="Y1003" s="146" t="s">
        <v>61</v>
      </c>
      <c r="Z1003" s="92"/>
      <c r="AA1003" s="146" t="s">
        <v>204</v>
      </c>
      <c r="AB1003" s="92"/>
      <c r="AC1003" s="146" t="s">
        <v>204</v>
      </c>
      <c r="AD1003" s="92"/>
      <c r="AE1003" s="146" t="s">
        <v>204</v>
      </c>
      <c r="AF1003" s="187" t="str">
        <f>IF(AND(O1003="",Q1003="",S1003="",U1003="",W1003="",Y1003="",AA1003="",AC1003=""),"",IF(OR(AND(O1003&lt;&gt;"NA",O1003&lt;&gt;"C",O1003&lt;&gt;"NC",O1003&lt;&gt;"SF",O1003&lt;&gt;""),AND(Q1003&lt;&gt;"NA",Q1003&lt;&gt;"C",Q1003&lt;&gt;"NC",Q1003&lt;&gt;"SF",Q1003&lt;&gt;""),AND(S1003&lt;&gt;"NA",S1003&lt;&gt;"C",S1003&lt;&gt;"NC",S1003&lt;&gt;"SF",S1003&lt;&gt;""),AND(U1003&lt;&gt;"NA",U1003&lt;&gt;"C",U1003&lt;&gt;"NC",U1003&lt;&gt;"SF",U1003&lt;&gt;""),AND(W1003&lt;&gt;"NA",W1003&lt;&gt;"C",W1003&lt;&gt;"NC",W1003&lt;&gt;"SF",W1003&lt;&gt;""),AND(Y1003&lt;&gt;"NA",Y1003&lt;&gt;"C",Y1003&lt;&gt;"NC",Y1003&lt;&gt;"SF",Y1003&lt;&gt;""),AND(AA1003&lt;&gt;"NA",AA1003&lt;&gt;"C",AA1003&lt;&gt;"NC",AA1003&lt;&gt;"SF",AA1003&lt;&gt;""),AND(AC1003&lt;&gt;"NA",AC1003&lt;&gt;"C",AC1003&lt;&gt;"NC",AC1003&lt;&gt;"SF",AC1003&lt;&gt;"")),"FALSO",IF(AND(O1003="NA",Q1003="NA",S1003="NA",U1003="NA",W1003="NA",Y1003="NA",AA1003="NA",AC1003="NA"),"NA",IF(OR(O1003="NC",Q1003="NC",S1003="NC",U1003="NC",W1003="NC",Y1003="NC",AA1003="NC",AC1003="NC",O1003="SF",Q1003="SF",S1003="SF",U1003="SF",W1003="SF",Y1003="SF",AA1003="SF",AC1003="SF"),"NC",IF(OR(O1003="C",Q1003="C",S1003="C",U1003="C",W1003="C",Y1003="C",AA1003="C",AC1003="C"),"C","")))))</f>
        <v>C</v>
      </c>
      <c r="AG1003" s="261" t="str">
        <f t="shared" si="63"/>
        <v>UTILIZOU O PDA CORRETAMENTE</v>
      </c>
      <c r="AH1003" s="144" t="s">
        <v>204</v>
      </c>
      <c r="AI1003" s="262" t="s">
        <v>6</v>
      </c>
      <c r="AJ1003" s="263" t="str">
        <f t="shared" si="65"/>
        <v>GUARULHOS</v>
      </c>
      <c r="AK1003" s="264" t="s">
        <v>39</v>
      </c>
      <c r="AL1003" s="53">
        <v>0.38553531554542275</v>
      </c>
      <c r="AM1003" s="53" t="str" cm="1">
        <f t="array" ref="AM1003">IF(OR(O1003&lt;&gt;"", SUMPRODUCT(($AN$2:$AN$5000=AN1003)*($AL$2:$AL$5000&lt;=AL1003)) &lt;= (COUNTIF($AN$2:$AN$5000,AN1003)*0.5)), "SORTEADO", "-")</f>
        <v>SORTEADO</v>
      </c>
      <c r="AN1003" s="245" t="s">
        <v>2516</v>
      </c>
    </row>
    <row r="1004" spans="1:40" ht="30" hidden="1" customHeight="1" x14ac:dyDescent="0.2">
      <c r="A1004" s="230" t="s">
        <v>197</v>
      </c>
      <c r="B1004" s="230">
        <v>2617773208</v>
      </c>
      <c r="C1004" s="230" t="s">
        <v>93</v>
      </c>
      <c r="D1004" s="230" t="s">
        <v>76</v>
      </c>
      <c r="E1004" s="230" t="s">
        <v>198</v>
      </c>
      <c r="F1004" s="230" t="s">
        <v>2599</v>
      </c>
      <c r="G1004" s="230">
        <v>70</v>
      </c>
      <c r="H1004" s="230" t="s">
        <v>2062</v>
      </c>
      <c r="I1004" s="230" t="s">
        <v>1190</v>
      </c>
      <c r="J1004" s="230" t="s">
        <v>93</v>
      </c>
      <c r="K1004" s="230" t="s">
        <v>1200</v>
      </c>
      <c r="L1004" s="230" t="s">
        <v>2516</v>
      </c>
      <c r="M1004" s="230" t="s">
        <v>2600</v>
      </c>
      <c r="N1004" s="266" t="s">
        <v>215</v>
      </c>
      <c r="O1004" s="56"/>
      <c r="P1004" s="56"/>
      <c r="Q1004" s="56"/>
      <c r="R1004" s="56"/>
      <c r="S1004" s="56"/>
      <c r="T1004" s="56"/>
      <c r="U1004" s="56"/>
      <c r="V1004" s="56"/>
      <c r="W1004" s="56"/>
      <c r="X1004" s="56"/>
      <c r="Y1004" s="56"/>
      <c r="Z1004" s="56"/>
      <c r="AA1004" s="56"/>
      <c r="AB1004" s="56"/>
      <c r="AC1004" s="56"/>
      <c r="AD1004" s="56"/>
      <c r="AE1004" s="56"/>
      <c r="AF1004" s="187" t="str">
        <f t="shared" ref="AF1004:AF1005" si="67">IF(AND(O1004="",Q1004="",S1004="",U1004="",W1004="",Y1004="",AA1004="",AC1004=""),"",IF(OR(AND(O1004&lt;&gt;"NA",O1004&lt;&gt;"C",O1004&lt;&gt;"NC",O1004&lt;&gt;"SF",O1004&lt;&gt;""),AND(Q1004&lt;&gt;"NA",Q1004&lt;&gt;"C",Q1004&lt;&gt;"NC",Q1004&lt;&gt;"SF",Q1004&lt;&gt;""),AND(S1004&lt;&gt;"NA",S1004&lt;&gt;"C",S1004&lt;&gt;"NC",S1004&lt;&gt;"SF",S1004&lt;&gt;""),AND(U1004&lt;&gt;"NA",U1004&lt;&gt;"C",U1004&lt;&gt;"NC",U1004&lt;&gt;"SF",U1004&lt;&gt;""),AND(W1004&lt;&gt;"NA",W1004&lt;&gt;"C",W1004&lt;&gt;"NC",W1004&lt;&gt;"SF",W1004&lt;&gt;""),AND(Y1004&lt;&gt;"NA",Y1004&lt;&gt;"C",Y1004&lt;&gt;"NC",Y1004&lt;&gt;"SF",Y1004&lt;&gt;""),AND(AA1004&lt;&gt;"NA",AA1004&lt;&gt;"C",AA1004&lt;&gt;"NC",AA1004&lt;&gt;"SF",AA1004&lt;&gt;""),AND(AC1004&lt;&gt;"NA",AC1004&lt;&gt;"C",AC1004&lt;&gt;"NC",AC1004&lt;&gt;"SF",AC1004&lt;&gt;"")),"FALSO",IF(AND(O1004="NA",Q1004="NA",S1004="NA",U1004="NA",W1004="NA",Y1004="NA",AA1004="NA",AC1004="NA"),"NA",IF(OR(O1004="NC",Q1004="NC",S1004="NC",U1004="NC",W1004="NC",Y1004="NC",AA1004="NC",AC1004="NC",O1004="SF",Q1004="SF",S1004="SF",U1004="SF",W1004="SF",Y1004="SF",AA1004="SF",AC1004="SF"),"NC",IF(OR(O1004="C",Q1004="C",S1004="C",U1004="C",W1004="C",Y1004="C",AA1004="C",AC1004="C"),"C","")))))</f>
        <v/>
      </c>
      <c r="AG1004" s="261" t="b">
        <f t="shared" si="63"/>
        <v>0</v>
      </c>
      <c r="AH1004" s="56"/>
      <c r="AI1004" s="262" t="s">
        <v>6</v>
      </c>
      <c r="AJ1004" s="263" t="str">
        <f t="shared" si="65"/>
        <v>GUARULHOS</v>
      </c>
      <c r="AK1004" s="264" t="s">
        <v>39</v>
      </c>
      <c r="AL1004" s="53">
        <v>0.67911338274406874</v>
      </c>
      <c r="AM1004" s="53" t="str" cm="1">
        <f t="array" ref="AM1004">IF(OR(O1004&lt;&gt;"", SUMPRODUCT(($AN$2:$AN$5000=AN1004)*($AL$2:$AL$5000&lt;=AL1004)) &lt;= (COUNTIF($AN$2:$AN$5000,AN1004)*0.5)), "SORTEADO", "-")</f>
        <v>-</v>
      </c>
      <c r="AN1004" s="245" t="s">
        <v>2516</v>
      </c>
    </row>
    <row r="1005" spans="1:40" ht="30" customHeight="1" x14ac:dyDescent="0.2">
      <c r="A1005" s="230" t="s">
        <v>197</v>
      </c>
      <c r="B1005" s="230">
        <v>2617773224</v>
      </c>
      <c r="C1005" s="230" t="s">
        <v>95</v>
      </c>
      <c r="D1005" s="230" t="s">
        <v>76</v>
      </c>
      <c r="E1005" s="230" t="s">
        <v>198</v>
      </c>
      <c r="F1005" s="230" t="s">
        <v>2599</v>
      </c>
      <c r="G1005" s="230">
        <v>70</v>
      </c>
      <c r="H1005" s="230" t="s">
        <v>2080</v>
      </c>
      <c r="I1005" s="230" t="s">
        <v>1190</v>
      </c>
      <c r="J1005" s="230" t="s">
        <v>95</v>
      </c>
      <c r="K1005" s="230" t="s">
        <v>213</v>
      </c>
      <c r="L1005" s="230" t="s">
        <v>2516</v>
      </c>
      <c r="M1005" s="230" t="s">
        <v>2601</v>
      </c>
      <c r="N1005" s="266" t="s">
        <v>215</v>
      </c>
      <c r="O1005" s="158" t="s">
        <v>204</v>
      </c>
      <c r="P1005" s="92"/>
      <c r="Q1005" s="146" t="s">
        <v>61</v>
      </c>
      <c r="R1005" s="92"/>
      <c r="S1005" s="146" t="s">
        <v>61</v>
      </c>
      <c r="T1005" s="92"/>
      <c r="U1005" s="146" t="s">
        <v>61</v>
      </c>
      <c r="V1005" s="92"/>
      <c r="W1005" s="146" t="s">
        <v>61</v>
      </c>
      <c r="X1005" s="92"/>
      <c r="Y1005" s="146" t="s">
        <v>61</v>
      </c>
      <c r="Z1005" s="92"/>
      <c r="AA1005" s="146" t="s">
        <v>204</v>
      </c>
      <c r="AB1005" s="92"/>
      <c r="AC1005" s="146" t="s">
        <v>204</v>
      </c>
      <c r="AD1005" s="92"/>
      <c r="AE1005" s="146" t="s">
        <v>204</v>
      </c>
      <c r="AF1005" s="187" t="str">
        <f t="shared" si="67"/>
        <v>C</v>
      </c>
      <c r="AG1005" s="261" t="str">
        <f t="shared" ref="AG1005:AG1014" si="68">IF(AND(AE1005="C",AF1005="C"),"UTILIZOU O PDA CORRETAMENTE",IF(AND(AE1005="C",AF1005="NC"),"UTILIZOU O PDA CORRETAMENTE. NÃO HÁ FOTOS DE TODAS AS ETAPAS",IF(AND(AE1005="NC",AF1005="NC"),"NÃO UTILIZOU O PDA",IF(AND(AE1005="NA",AF1005="NA"),"NÃO AVALIADO POR FALHA DE SINCRONISMO"))))</f>
        <v>UTILIZOU O PDA CORRETAMENTE</v>
      </c>
      <c r="AH1005" s="146" t="s">
        <v>204</v>
      </c>
      <c r="AI1005" s="262" t="s">
        <v>6</v>
      </c>
      <c r="AJ1005" s="263" t="str">
        <f t="shared" ref="AJ1005:AJ1014" si="69">E1005</f>
        <v>GUARULHOS</v>
      </c>
      <c r="AK1005" s="264" t="s">
        <v>39</v>
      </c>
      <c r="AL1005" s="53">
        <v>0.19899657646594182</v>
      </c>
      <c r="AM1005" s="53" t="str" cm="1">
        <f t="array" ref="AM1005">IF(OR(O1005&lt;&gt;"", SUMPRODUCT(($AN$2:$AN$5000=AN1005)*($AL$2:$AL$5000&lt;=AL1005)) &lt;= (COUNTIF($AN$2:$AN$5000,AN1005)*0.5)), "SORTEADO", "-")</f>
        <v>SORTEADO</v>
      </c>
      <c r="AN1005" s="245" t="s">
        <v>2516</v>
      </c>
    </row>
    <row r="1006" spans="1:40" ht="30" customHeight="1" x14ac:dyDescent="0.2">
      <c r="A1006" s="230" t="s">
        <v>197</v>
      </c>
      <c r="B1006" s="230">
        <v>2618096348</v>
      </c>
      <c r="C1006" s="230" t="s">
        <v>105</v>
      </c>
      <c r="D1006" s="230" t="s">
        <v>80</v>
      </c>
      <c r="E1006" s="230" t="s">
        <v>198</v>
      </c>
      <c r="F1006" s="230" t="s">
        <v>982</v>
      </c>
      <c r="G1006" s="230">
        <v>393</v>
      </c>
      <c r="H1006" s="230" t="s">
        <v>2602</v>
      </c>
      <c r="I1006" s="230" t="s">
        <v>984</v>
      </c>
      <c r="J1006" s="230" t="s">
        <v>226</v>
      </c>
      <c r="K1006" s="230" t="s">
        <v>274</v>
      </c>
      <c r="L1006" s="230" t="s">
        <v>2516</v>
      </c>
      <c r="M1006" s="230" t="s">
        <v>2603</v>
      </c>
      <c r="N1006" s="266" t="s">
        <v>237</v>
      </c>
      <c r="O1006" s="158" t="s">
        <v>204</v>
      </c>
      <c r="P1006" s="92"/>
      <c r="Q1006" s="146" t="s">
        <v>204</v>
      </c>
      <c r="R1006" s="92"/>
      <c r="S1006" s="146" t="s">
        <v>204</v>
      </c>
      <c r="T1006" s="92"/>
      <c r="U1006" s="146" t="s">
        <v>204</v>
      </c>
      <c r="V1006" s="92"/>
      <c r="W1006" s="146" t="s">
        <v>204</v>
      </c>
      <c r="X1006" s="92"/>
      <c r="Y1006" s="146" t="s">
        <v>61</v>
      </c>
      <c r="Z1006" s="92"/>
      <c r="AA1006" s="146" t="s">
        <v>204</v>
      </c>
      <c r="AB1006" s="92"/>
      <c r="AC1006" s="146" t="s">
        <v>204</v>
      </c>
      <c r="AD1006" s="92"/>
      <c r="AE1006" s="146" t="s">
        <v>204</v>
      </c>
      <c r="AF1006" s="187" t="str">
        <f t="shared" ref="AF1006" si="70">IF(AND(O1006="",Q1006="",S1006="",U1006="",W1006="",Y1006="",AA1006="",AC1006=""),"",IF(OR(AND(O1006&lt;&gt;"NA",O1006&lt;&gt;"C",O1006&lt;&gt;"NC",O1006&lt;&gt;"SF",O1006&lt;&gt;""),AND(Q1006&lt;&gt;"NA",Q1006&lt;&gt;"C",Q1006&lt;&gt;"NC",Q1006&lt;&gt;"SF",Q1006&lt;&gt;""),AND(S1006&lt;&gt;"NA",S1006&lt;&gt;"C",S1006&lt;&gt;"NC",S1006&lt;&gt;"SF",S1006&lt;&gt;""),AND(U1006&lt;&gt;"NA",U1006&lt;&gt;"C",U1006&lt;&gt;"NC",U1006&lt;&gt;"SF",U1006&lt;&gt;""),AND(W1006&lt;&gt;"NA",W1006&lt;&gt;"C",W1006&lt;&gt;"NC",W1006&lt;&gt;"SF",W1006&lt;&gt;""),AND(Y1006&lt;&gt;"NA",Y1006&lt;&gt;"C",Y1006&lt;&gt;"NC",Y1006&lt;&gt;"SF",Y1006&lt;&gt;""),AND(AA1006&lt;&gt;"NA",AA1006&lt;&gt;"C",AA1006&lt;&gt;"NC",AA1006&lt;&gt;"SF",AA1006&lt;&gt;""),AND(AC1006&lt;&gt;"NA",AC1006&lt;&gt;"C",AC1006&lt;&gt;"NC",AC1006&lt;&gt;"SF",AC1006&lt;&gt;"")),"FALSO",IF(AND(O1006="NA",Q1006="NA",S1006="NA",U1006="NA",W1006="NA",Y1006="NA",AA1006="NA",AC1006="NA"),"NA",IF(OR(O1006="NC",Q1006="NC",S1006="NC",U1006="NC",W1006="NC",Y1006="NC",AA1006="NC",AC1006="NC",O1006="SF",Q1006="SF",S1006="SF",U1006="SF",W1006="SF",Y1006="SF",AA1006="SF",AC1006="SF"),"NC",IF(OR(O1006="C",Q1006="C",S1006="C",U1006="C",W1006="C",Y1006="C",AA1006="C",AC1006="C"),"C","")))))</f>
        <v>C</v>
      </c>
      <c r="AG1006" s="261" t="str">
        <f t="shared" si="68"/>
        <v>UTILIZOU O PDA CORRETAMENTE</v>
      </c>
      <c r="AH1006" s="144" t="s">
        <v>204</v>
      </c>
      <c r="AI1006" s="262" t="s">
        <v>6</v>
      </c>
      <c r="AJ1006" s="263" t="str">
        <f t="shared" si="69"/>
        <v>GUARULHOS</v>
      </c>
      <c r="AK1006" s="264" t="s">
        <v>39</v>
      </c>
      <c r="AL1006" s="53">
        <v>6.6573653558944179E-2</v>
      </c>
      <c r="AM1006" s="53" t="str" cm="1">
        <f t="array" ref="AM1006">IF(OR(O1006&lt;&gt;"", SUMPRODUCT(($AN$2:$AN$5000=AN1006)*($AL$2:$AL$5000&lt;=AL1006)) &lt;= (COUNTIF($AN$2:$AN$5000,AN1006)*0.5)), "SORTEADO", "-")</f>
        <v>SORTEADO</v>
      </c>
      <c r="AN1006" s="245" t="s">
        <v>2516</v>
      </c>
    </row>
    <row r="1007" spans="1:40" ht="30" customHeight="1" x14ac:dyDescent="0.2">
      <c r="A1007" s="230" t="s">
        <v>197</v>
      </c>
      <c r="B1007" s="230">
        <v>2617944852</v>
      </c>
      <c r="C1007" s="230" t="s">
        <v>99</v>
      </c>
      <c r="D1007" s="230" t="s">
        <v>80</v>
      </c>
      <c r="E1007" s="230" t="s">
        <v>198</v>
      </c>
      <c r="F1007" s="230" t="s">
        <v>2604</v>
      </c>
      <c r="G1007" s="230">
        <v>6</v>
      </c>
      <c r="H1007" s="230"/>
      <c r="I1007" s="230" t="s">
        <v>281</v>
      </c>
      <c r="J1007" s="230" t="s">
        <v>305</v>
      </c>
      <c r="K1007" s="230" t="s">
        <v>2605</v>
      </c>
      <c r="L1007" s="230" t="s">
        <v>2516</v>
      </c>
      <c r="M1007" s="230" t="s">
        <v>2606</v>
      </c>
      <c r="N1007" s="266" t="s">
        <v>250</v>
      </c>
      <c r="O1007" s="157" t="s">
        <v>204</v>
      </c>
      <c r="P1007" s="143"/>
      <c r="Q1007" s="144" t="s">
        <v>204</v>
      </c>
      <c r="R1007" s="143"/>
      <c r="S1007" s="144" t="s">
        <v>204</v>
      </c>
      <c r="T1007" s="143"/>
      <c r="U1007" s="144" t="s">
        <v>204</v>
      </c>
      <c r="V1007" s="143"/>
      <c r="W1007" s="144" t="s">
        <v>204</v>
      </c>
      <c r="X1007" s="143"/>
      <c r="Y1007" s="144" t="s">
        <v>204</v>
      </c>
      <c r="Z1007" s="143"/>
      <c r="AA1007" s="144" t="s">
        <v>204</v>
      </c>
      <c r="AB1007" s="143"/>
      <c r="AC1007" s="144" t="s">
        <v>204</v>
      </c>
      <c r="AD1007" s="56"/>
      <c r="AE1007" s="144" t="s">
        <v>204</v>
      </c>
      <c r="AF1007" s="187" t="str">
        <f t="shared" ref="AF1007:AF1009" si="71">IF(AND(O1007="",Q1007="",S1007="",U1007="",W1007="",Y1007="",AA1007="",AC1007=""),"",IF(OR(AND(O1007&lt;&gt;"NA",O1007&lt;&gt;"C",O1007&lt;&gt;"NC",O1007&lt;&gt;"SF",O1007&lt;&gt;""),AND(Q1007&lt;&gt;"NA",Q1007&lt;&gt;"C",Q1007&lt;&gt;"NC",Q1007&lt;&gt;"SF",Q1007&lt;&gt;""),AND(S1007&lt;&gt;"NA",S1007&lt;&gt;"C",S1007&lt;&gt;"NC",S1007&lt;&gt;"SF",S1007&lt;&gt;""),AND(U1007&lt;&gt;"NA",U1007&lt;&gt;"C",U1007&lt;&gt;"NC",U1007&lt;&gt;"SF",U1007&lt;&gt;""),AND(W1007&lt;&gt;"NA",W1007&lt;&gt;"C",W1007&lt;&gt;"NC",W1007&lt;&gt;"SF",W1007&lt;&gt;""),AND(Y1007&lt;&gt;"NA",Y1007&lt;&gt;"C",Y1007&lt;&gt;"NC",Y1007&lt;&gt;"SF",Y1007&lt;&gt;""),AND(AA1007&lt;&gt;"NA",AA1007&lt;&gt;"C",AA1007&lt;&gt;"NC",AA1007&lt;&gt;"SF",AA1007&lt;&gt;""),AND(AC1007&lt;&gt;"NA",AC1007&lt;&gt;"C",AC1007&lt;&gt;"NC",AC1007&lt;&gt;"SF",AC1007&lt;&gt;"")),"FALSO",IF(AND(O1007="NA",Q1007="NA",S1007="NA",U1007="NA",W1007="NA",Y1007="NA",AA1007="NA",AC1007="NA"),"NA",IF(OR(O1007="NC",Q1007="NC",S1007="NC",U1007="NC",W1007="NC",Y1007="NC",AA1007="NC",AC1007="NC",O1007="SF",Q1007="SF",S1007="SF",U1007="SF",W1007="SF",Y1007="SF",AA1007="SF",AC1007="SF"),"NC",IF(OR(O1007="C",Q1007="C",S1007="C",U1007="C",W1007="C",Y1007="C",AA1007="C",AC1007="C"),"C","")))))</f>
        <v>C</v>
      </c>
      <c r="AG1007" s="261" t="str">
        <f t="shared" si="68"/>
        <v>UTILIZOU O PDA CORRETAMENTE</v>
      </c>
      <c r="AH1007" s="144" t="s">
        <v>204</v>
      </c>
      <c r="AI1007" s="262" t="s">
        <v>6</v>
      </c>
      <c r="AJ1007" s="263" t="str">
        <f t="shared" si="69"/>
        <v>GUARULHOS</v>
      </c>
      <c r="AK1007" s="264" t="s">
        <v>39</v>
      </c>
      <c r="AL1007" s="53">
        <v>3.0628985929377128E-2</v>
      </c>
      <c r="AM1007" s="53" t="str" cm="1">
        <f t="array" ref="AM1007">IF(OR(O1007&lt;&gt;"", SUMPRODUCT(($AN$2:$AN$5000=AN1007)*($AL$2:$AL$5000&lt;=AL1007)) &lt;= (COUNTIF($AN$2:$AN$5000,AN1007)*0.5)), "SORTEADO", "-")</f>
        <v>SORTEADO</v>
      </c>
      <c r="AN1007" s="245" t="s">
        <v>2516</v>
      </c>
    </row>
    <row r="1008" spans="1:40" ht="30" customHeight="1" x14ac:dyDescent="0.2">
      <c r="A1008" s="230" t="s">
        <v>197</v>
      </c>
      <c r="B1008" s="230">
        <v>2691999302</v>
      </c>
      <c r="C1008" s="230" t="s">
        <v>89</v>
      </c>
      <c r="D1008" s="230" t="s">
        <v>77</v>
      </c>
      <c r="E1008" s="230" t="s">
        <v>198</v>
      </c>
      <c r="F1008" s="230" t="s">
        <v>734</v>
      </c>
      <c r="G1008" s="230">
        <v>725</v>
      </c>
      <c r="H1008" s="230" t="s">
        <v>2582</v>
      </c>
      <c r="I1008" s="230" t="s">
        <v>253</v>
      </c>
      <c r="J1008" s="230" t="s">
        <v>346</v>
      </c>
      <c r="K1008" s="230" t="s">
        <v>2607</v>
      </c>
      <c r="L1008" s="230" t="s">
        <v>2516</v>
      </c>
      <c r="M1008" s="230" t="s">
        <v>2608</v>
      </c>
      <c r="N1008" s="266" t="s">
        <v>260</v>
      </c>
      <c r="O1008" s="158" t="s">
        <v>204</v>
      </c>
      <c r="P1008" s="146"/>
      <c r="Q1008" s="146" t="s">
        <v>204</v>
      </c>
      <c r="R1008" s="209"/>
      <c r="S1008" s="146" t="s">
        <v>204</v>
      </c>
      <c r="T1008" s="146"/>
      <c r="U1008" s="146" t="s">
        <v>204</v>
      </c>
      <c r="V1008" s="146"/>
      <c r="W1008" s="146" t="s">
        <v>204</v>
      </c>
      <c r="X1008" s="146"/>
      <c r="Y1008" s="146" t="s">
        <v>61</v>
      </c>
      <c r="Z1008" s="146"/>
      <c r="AA1008" s="146" t="s">
        <v>204</v>
      </c>
      <c r="AB1008" s="146"/>
      <c r="AC1008" s="146" t="s">
        <v>204</v>
      </c>
      <c r="AD1008" s="146"/>
      <c r="AE1008" s="146" t="s">
        <v>204</v>
      </c>
      <c r="AF1008" s="187" t="str">
        <f t="shared" si="71"/>
        <v>C</v>
      </c>
      <c r="AG1008" s="261" t="str">
        <f t="shared" si="68"/>
        <v>UTILIZOU O PDA CORRETAMENTE</v>
      </c>
      <c r="AH1008" s="56"/>
      <c r="AI1008" s="262" t="s">
        <v>6</v>
      </c>
      <c r="AJ1008" s="263" t="str">
        <f t="shared" si="69"/>
        <v>GUARULHOS</v>
      </c>
      <c r="AK1008" s="264" t="s">
        <v>39</v>
      </c>
      <c r="AL1008" s="53">
        <v>0.19633334266899338</v>
      </c>
      <c r="AM1008" s="53" t="str" cm="1">
        <f t="array" ref="AM1008">IF(OR(O1008&lt;&gt;"", SUMPRODUCT(($AN$2:$AN$5000=AN1008)*($AL$2:$AL$5000&lt;=AL1008)) &lt;= (COUNTIF($AN$2:$AN$5000,AN1008)*0.5)), "SORTEADO", "-")</f>
        <v>SORTEADO</v>
      </c>
      <c r="AN1008" s="245" t="s">
        <v>2516</v>
      </c>
    </row>
    <row r="1009" spans="1:40" ht="30" hidden="1" customHeight="1" x14ac:dyDescent="0.2">
      <c r="A1009" s="230" t="s">
        <v>197</v>
      </c>
      <c r="B1009" s="230">
        <v>2618068402</v>
      </c>
      <c r="C1009" s="230" t="s">
        <v>89</v>
      </c>
      <c r="D1009" s="230" t="s">
        <v>77</v>
      </c>
      <c r="E1009" s="230" t="s">
        <v>198</v>
      </c>
      <c r="F1009" s="230" t="s">
        <v>2589</v>
      </c>
      <c r="G1009" s="230">
        <v>320</v>
      </c>
      <c r="H1009" s="230"/>
      <c r="I1009" s="230" t="s">
        <v>281</v>
      </c>
      <c r="J1009" s="230" t="s">
        <v>346</v>
      </c>
      <c r="K1009" s="230" t="s">
        <v>2609</v>
      </c>
      <c r="L1009" s="230" t="s">
        <v>2516</v>
      </c>
      <c r="M1009" s="230" t="s">
        <v>2590</v>
      </c>
      <c r="N1009" s="266" t="s">
        <v>271</v>
      </c>
      <c r="O1009" s="56"/>
      <c r="P1009" s="56"/>
      <c r="Q1009" s="56"/>
      <c r="R1009" s="56"/>
      <c r="S1009" s="56"/>
      <c r="T1009" s="56"/>
      <c r="U1009" s="56"/>
      <c r="V1009" s="56"/>
      <c r="W1009" s="56"/>
      <c r="X1009" s="56"/>
      <c r="Y1009" s="56"/>
      <c r="Z1009" s="56"/>
      <c r="AA1009" s="56"/>
      <c r="AB1009" s="56"/>
      <c r="AC1009" s="56"/>
      <c r="AD1009" s="56"/>
      <c r="AE1009" s="56"/>
      <c r="AF1009" s="187" t="str">
        <f t="shared" si="71"/>
        <v/>
      </c>
      <c r="AG1009" s="261" t="b">
        <f t="shared" si="68"/>
        <v>0</v>
      </c>
      <c r="AH1009" s="56"/>
      <c r="AI1009" s="262" t="s">
        <v>6</v>
      </c>
      <c r="AJ1009" s="263" t="str">
        <f t="shared" si="69"/>
        <v>GUARULHOS</v>
      </c>
      <c r="AK1009" s="264" t="s">
        <v>39</v>
      </c>
      <c r="AL1009" s="53">
        <v>0.53944734493200797</v>
      </c>
      <c r="AM1009" s="53" t="str" cm="1">
        <f t="array" ref="AM1009">IF(OR(O1009&lt;&gt;"", SUMPRODUCT(($AN$2:$AN$5000=AN1009)*($AL$2:$AL$5000&lt;=AL1009)) &lt;= (COUNTIF($AN$2:$AN$5000,AN1009)*0.5)), "SORTEADO", "-")</f>
        <v>-</v>
      </c>
      <c r="AN1009" s="245" t="s">
        <v>2516</v>
      </c>
    </row>
    <row r="1010" spans="1:40" ht="30" customHeight="1" x14ac:dyDescent="0.2">
      <c r="A1010" s="230" t="s">
        <v>197</v>
      </c>
      <c r="B1010" s="230">
        <v>2692002023</v>
      </c>
      <c r="C1010" s="230" t="s">
        <v>710</v>
      </c>
      <c r="D1010" s="230" t="s">
        <v>80</v>
      </c>
      <c r="E1010" s="230" t="s">
        <v>198</v>
      </c>
      <c r="F1010" s="230" t="s">
        <v>2579</v>
      </c>
      <c r="G1010" s="230">
        <v>264</v>
      </c>
      <c r="H1010" s="230" t="s">
        <v>1106</v>
      </c>
      <c r="I1010" s="230" t="s">
        <v>513</v>
      </c>
      <c r="J1010" s="230" t="s">
        <v>259</v>
      </c>
      <c r="K1010" s="230" t="s">
        <v>213</v>
      </c>
      <c r="L1010" s="230" t="s">
        <v>2516</v>
      </c>
      <c r="M1010" s="230" t="s">
        <v>2610</v>
      </c>
      <c r="N1010" s="266" t="s">
        <v>303</v>
      </c>
      <c r="O1010" s="158" t="s">
        <v>204</v>
      </c>
      <c r="P1010" s="92"/>
      <c r="Q1010" s="146" t="s">
        <v>204</v>
      </c>
      <c r="R1010" s="92"/>
      <c r="S1010" s="146" t="s">
        <v>204</v>
      </c>
      <c r="T1010" s="92"/>
      <c r="U1010" s="146" t="s">
        <v>204</v>
      </c>
      <c r="V1010" s="92"/>
      <c r="W1010" s="146" t="s">
        <v>204</v>
      </c>
      <c r="X1010" s="92"/>
      <c r="Y1010" s="146" t="s">
        <v>61</v>
      </c>
      <c r="Z1010" s="92"/>
      <c r="AA1010" s="146" t="s">
        <v>204</v>
      </c>
      <c r="AB1010" s="92"/>
      <c r="AC1010" s="146" t="s">
        <v>204</v>
      </c>
      <c r="AD1010" s="92"/>
      <c r="AE1010" s="146" t="s">
        <v>204</v>
      </c>
      <c r="AF1010" s="187" t="str">
        <f t="shared" ref="AF1010:AF1012" si="72">IF(AND(O1010="",Q1010="",S1010="",U1010="",W1010="",Y1010="",AA1010="",AC1010=""),"",IF(OR(AND(O1010&lt;&gt;"NA",O1010&lt;&gt;"C",O1010&lt;&gt;"NC",O1010&lt;&gt;"SF",O1010&lt;&gt;""),AND(Q1010&lt;&gt;"NA",Q1010&lt;&gt;"C",Q1010&lt;&gt;"NC",Q1010&lt;&gt;"SF",Q1010&lt;&gt;""),AND(S1010&lt;&gt;"NA",S1010&lt;&gt;"C",S1010&lt;&gt;"NC",S1010&lt;&gt;"SF",S1010&lt;&gt;""),AND(U1010&lt;&gt;"NA",U1010&lt;&gt;"C",U1010&lt;&gt;"NC",U1010&lt;&gt;"SF",U1010&lt;&gt;""),AND(W1010&lt;&gt;"NA",W1010&lt;&gt;"C",W1010&lt;&gt;"NC",W1010&lt;&gt;"SF",W1010&lt;&gt;""),AND(Y1010&lt;&gt;"NA",Y1010&lt;&gt;"C",Y1010&lt;&gt;"NC",Y1010&lt;&gt;"SF",Y1010&lt;&gt;""),AND(AA1010&lt;&gt;"NA",AA1010&lt;&gt;"C",AA1010&lt;&gt;"NC",AA1010&lt;&gt;"SF",AA1010&lt;&gt;""),AND(AC1010&lt;&gt;"NA",AC1010&lt;&gt;"C",AC1010&lt;&gt;"NC",AC1010&lt;&gt;"SF",AC1010&lt;&gt;"")),"FALSO",IF(AND(O1010="NA",Q1010="NA",S1010="NA",U1010="NA",W1010="NA",Y1010="NA",AA1010="NA",AC1010="NA"),"NA",IF(OR(O1010="NC",Q1010="NC",S1010="NC",U1010="NC",W1010="NC",Y1010="NC",AA1010="NC",AC1010="NC",O1010="SF",Q1010="SF",S1010="SF",U1010="SF",W1010="SF",Y1010="SF",AA1010="SF",AC1010="SF"),"NC",IF(OR(O1010="C",Q1010="C",S1010="C",U1010="C",W1010="C",Y1010="C",AA1010="C",AC1010="C"),"C","")))))</f>
        <v>C</v>
      </c>
      <c r="AG1010" s="261" t="str">
        <f t="shared" si="68"/>
        <v>UTILIZOU O PDA CORRETAMENTE</v>
      </c>
      <c r="AH1010" s="144" t="s">
        <v>204</v>
      </c>
      <c r="AI1010" s="262" t="s">
        <v>6</v>
      </c>
      <c r="AJ1010" s="263" t="str">
        <f t="shared" si="69"/>
        <v>GUARULHOS</v>
      </c>
      <c r="AK1010" s="264" t="s">
        <v>39</v>
      </c>
      <c r="AL1010" s="53">
        <v>5.3964246752535083E-2</v>
      </c>
      <c r="AM1010" s="53" t="str" cm="1">
        <f t="array" ref="AM1010">IF(OR(O1010&lt;&gt;"", SUMPRODUCT(($AN$2:$AN$5000=AN1010)*($AL$2:$AL$5000&lt;=AL1010)) &lt;= (COUNTIF($AN$2:$AN$5000,AN1010)*0.5)), "SORTEADO", "-")</f>
        <v>SORTEADO</v>
      </c>
      <c r="AN1010" s="245" t="s">
        <v>2516</v>
      </c>
    </row>
    <row r="1011" spans="1:40" ht="30" hidden="1" customHeight="1" x14ac:dyDescent="0.2">
      <c r="A1011" s="230" t="s">
        <v>197</v>
      </c>
      <c r="B1011" s="230">
        <v>2617988569</v>
      </c>
      <c r="C1011" s="230" t="s">
        <v>89</v>
      </c>
      <c r="D1011" s="230" t="s">
        <v>77</v>
      </c>
      <c r="E1011" s="230" t="s">
        <v>198</v>
      </c>
      <c r="F1011" s="230" t="s">
        <v>2611</v>
      </c>
      <c r="G1011" s="230">
        <v>704</v>
      </c>
      <c r="H1011" s="230" t="s">
        <v>213</v>
      </c>
      <c r="I1011" s="230" t="s">
        <v>2498</v>
      </c>
      <c r="J1011" s="230" t="s">
        <v>346</v>
      </c>
      <c r="K1011" s="230" t="s">
        <v>2612</v>
      </c>
      <c r="L1011" s="230" t="s">
        <v>2516</v>
      </c>
      <c r="M1011" s="230" t="s">
        <v>2613</v>
      </c>
      <c r="N1011" s="266" t="s">
        <v>432</v>
      </c>
      <c r="O1011" s="56"/>
      <c r="P1011" s="56"/>
      <c r="Q1011" s="56"/>
      <c r="R1011" s="56"/>
      <c r="S1011" s="56"/>
      <c r="T1011" s="56"/>
      <c r="U1011" s="56"/>
      <c r="V1011" s="56"/>
      <c r="W1011" s="56"/>
      <c r="X1011" s="56"/>
      <c r="Y1011" s="56"/>
      <c r="Z1011" s="56"/>
      <c r="AA1011" s="56"/>
      <c r="AB1011" s="56"/>
      <c r="AC1011" s="56"/>
      <c r="AD1011" s="56"/>
      <c r="AE1011" s="56"/>
      <c r="AF1011" s="187" t="str">
        <f t="shared" si="72"/>
        <v/>
      </c>
      <c r="AG1011" s="261" t="b">
        <f t="shared" si="68"/>
        <v>0</v>
      </c>
      <c r="AH1011" s="56"/>
      <c r="AI1011" s="262" t="s">
        <v>6</v>
      </c>
      <c r="AJ1011" s="263" t="str">
        <f t="shared" si="69"/>
        <v>GUARULHOS</v>
      </c>
      <c r="AK1011" s="264" t="s">
        <v>39</v>
      </c>
      <c r="AL1011" s="53">
        <v>0.8785090551398258</v>
      </c>
      <c r="AM1011" s="53" t="str" cm="1">
        <f t="array" ref="AM1011">IF(OR(O1011&lt;&gt;"", SUMPRODUCT(($AN$2:$AN$5000=AN1011)*($AL$2:$AL$5000&lt;=AL1011)) &lt;= (COUNTIF($AN$2:$AN$5000,AN1011)*0.5)), "SORTEADO", "-")</f>
        <v>-</v>
      </c>
      <c r="AN1011" s="245" t="s">
        <v>2516</v>
      </c>
    </row>
    <row r="1012" spans="1:40" ht="30" hidden="1" customHeight="1" x14ac:dyDescent="0.2">
      <c r="A1012" s="230" t="s">
        <v>197</v>
      </c>
      <c r="B1012" s="230">
        <v>2618141330</v>
      </c>
      <c r="C1012" s="230" t="s">
        <v>105</v>
      </c>
      <c r="D1012" s="230" t="s">
        <v>80</v>
      </c>
      <c r="E1012" s="230" t="s">
        <v>198</v>
      </c>
      <c r="F1012" s="230" t="s">
        <v>2614</v>
      </c>
      <c r="G1012" s="230">
        <v>61</v>
      </c>
      <c r="H1012" s="230" t="s">
        <v>2615</v>
      </c>
      <c r="I1012" s="230" t="s">
        <v>2616</v>
      </c>
      <c r="J1012" s="230" t="s">
        <v>254</v>
      </c>
      <c r="K1012" s="230" t="s">
        <v>2617</v>
      </c>
      <c r="L1012" s="230" t="s">
        <v>2516</v>
      </c>
      <c r="M1012" s="230" t="s">
        <v>2618</v>
      </c>
      <c r="N1012" s="266" t="s">
        <v>348</v>
      </c>
      <c r="O1012" s="56"/>
      <c r="P1012" s="56"/>
      <c r="Q1012" s="56"/>
      <c r="R1012" s="56"/>
      <c r="S1012" s="56"/>
      <c r="T1012" s="56"/>
      <c r="U1012" s="56"/>
      <c r="V1012" s="56"/>
      <c r="W1012" s="56"/>
      <c r="X1012" s="56"/>
      <c r="Y1012" s="56"/>
      <c r="Z1012" s="56"/>
      <c r="AA1012" s="56"/>
      <c r="AB1012" s="56"/>
      <c r="AC1012" s="56"/>
      <c r="AD1012" s="56"/>
      <c r="AE1012" s="56"/>
      <c r="AF1012" s="187" t="str">
        <f t="shared" si="72"/>
        <v/>
      </c>
      <c r="AG1012" s="261" t="b">
        <f t="shared" si="68"/>
        <v>0</v>
      </c>
      <c r="AH1012" s="56"/>
      <c r="AI1012" s="262" t="s">
        <v>6</v>
      </c>
      <c r="AJ1012" s="263" t="str">
        <f t="shared" si="69"/>
        <v>GUARULHOS</v>
      </c>
      <c r="AK1012" s="264" t="s">
        <v>39</v>
      </c>
      <c r="AL1012" s="53">
        <v>0.68886342677882606</v>
      </c>
      <c r="AM1012" s="53" t="str" cm="1">
        <f t="array" ref="AM1012">IF(OR(O1012&lt;&gt;"", SUMPRODUCT(($AN$2:$AN$5000=AN1012)*($AL$2:$AL$5000&lt;=AL1012)) &lt;= (COUNTIF($AN$2:$AN$5000,AN1012)*0.5)), "SORTEADO", "-")</f>
        <v>-</v>
      </c>
      <c r="AN1012" s="245" t="s">
        <v>2516</v>
      </c>
    </row>
    <row r="1013" spans="1:40" ht="30" customHeight="1" x14ac:dyDescent="0.2">
      <c r="A1013" s="230" t="s">
        <v>197</v>
      </c>
      <c r="B1013" s="230">
        <v>2617944840</v>
      </c>
      <c r="C1013" s="230" t="s">
        <v>99</v>
      </c>
      <c r="D1013" s="230" t="s">
        <v>80</v>
      </c>
      <c r="E1013" s="230" t="s">
        <v>198</v>
      </c>
      <c r="F1013" s="230" t="s">
        <v>1524</v>
      </c>
      <c r="G1013" s="230">
        <v>275</v>
      </c>
      <c r="H1013" s="230" t="s">
        <v>2619</v>
      </c>
      <c r="I1013" s="230" t="s">
        <v>791</v>
      </c>
      <c r="J1013" s="230" t="s">
        <v>305</v>
      </c>
      <c r="K1013" s="230" t="s">
        <v>2620</v>
      </c>
      <c r="L1013" s="230" t="s">
        <v>2516</v>
      </c>
      <c r="M1013" s="230" t="s">
        <v>2621</v>
      </c>
      <c r="N1013" s="266" t="s">
        <v>263</v>
      </c>
      <c r="O1013" s="157" t="s">
        <v>204</v>
      </c>
      <c r="P1013" s="143"/>
      <c r="Q1013" s="144" t="s">
        <v>204</v>
      </c>
      <c r="R1013" s="143"/>
      <c r="S1013" s="144" t="s">
        <v>204</v>
      </c>
      <c r="T1013" s="143"/>
      <c r="U1013" s="144" t="s">
        <v>204</v>
      </c>
      <c r="V1013" s="143"/>
      <c r="W1013" s="144" t="s">
        <v>204</v>
      </c>
      <c r="X1013" s="143"/>
      <c r="Y1013" s="144" t="s">
        <v>204</v>
      </c>
      <c r="Z1013" s="143"/>
      <c r="AA1013" s="144" t="s">
        <v>204</v>
      </c>
      <c r="AB1013" s="143"/>
      <c r="AC1013" s="144" t="s">
        <v>204</v>
      </c>
      <c r="AD1013" s="56"/>
      <c r="AE1013" s="144" t="s">
        <v>204</v>
      </c>
      <c r="AF1013" s="187" t="str">
        <f t="shared" ref="AF1013" si="73">IF(AND(O1013="",Q1013="",S1013="",U1013="",W1013="",Y1013="",AA1013="",AC1013=""),"",IF(OR(AND(O1013&lt;&gt;"NA",O1013&lt;&gt;"C",O1013&lt;&gt;"NC",O1013&lt;&gt;"SF",O1013&lt;&gt;""),AND(Q1013&lt;&gt;"NA",Q1013&lt;&gt;"C",Q1013&lt;&gt;"NC",Q1013&lt;&gt;"SF",Q1013&lt;&gt;""),AND(S1013&lt;&gt;"NA",S1013&lt;&gt;"C",S1013&lt;&gt;"NC",S1013&lt;&gt;"SF",S1013&lt;&gt;""),AND(U1013&lt;&gt;"NA",U1013&lt;&gt;"C",U1013&lt;&gt;"NC",U1013&lt;&gt;"SF",U1013&lt;&gt;""),AND(W1013&lt;&gt;"NA",W1013&lt;&gt;"C",W1013&lt;&gt;"NC",W1013&lt;&gt;"SF",W1013&lt;&gt;""),AND(Y1013&lt;&gt;"NA",Y1013&lt;&gt;"C",Y1013&lt;&gt;"NC",Y1013&lt;&gt;"SF",Y1013&lt;&gt;""),AND(AA1013&lt;&gt;"NA",AA1013&lt;&gt;"C",AA1013&lt;&gt;"NC",AA1013&lt;&gt;"SF",AA1013&lt;&gt;""),AND(AC1013&lt;&gt;"NA",AC1013&lt;&gt;"C",AC1013&lt;&gt;"NC",AC1013&lt;&gt;"SF",AC1013&lt;&gt;"")),"FALSO",IF(AND(O1013="NA",Q1013="NA",S1013="NA",U1013="NA",W1013="NA",Y1013="NA",AA1013="NA",AC1013="NA"),"NA",IF(OR(O1013="NC",Q1013="NC",S1013="NC",U1013="NC",W1013="NC",Y1013="NC",AA1013="NC",AC1013="NC",O1013="SF",Q1013="SF",S1013="SF",U1013="SF",W1013="SF",Y1013="SF",AA1013="SF",AC1013="SF"),"NC",IF(OR(O1013="C",Q1013="C",S1013="C",U1013="C",W1013="C",Y1013="C",AA1013="C",AC1013="C"),"C","")))))</f>
        <v>C</v>
      </c>
      <c r="AG1013" s="261" t="str">
        <f t="shared" si="68"/>
        <v>UTILIZOU O PDA CORRETAMENTE</v>
      </c>
      <c r="AH1013" s="144" t="s">
        <v>204</v>
      </c>
      <c r="AI1013" s="262" t="s">
        <v>6</v>
      </c>
      <c r="AJ1013" s="263" t="str">
        <f t="shared" si="69"/>
        <v>GUARULHOS</v>
      </c>
      <c r="AK1013" s="264" t="s">
        <v>39</v>
      </c>
      <c r="AL1013" s="53">
        <v>1.2260026892900955E-2</v>
      </c>
      <c r="AM1013" s="53" t="str" cm="1">
        <f t="array" ref="AM1013">IF(OR(O1013&lt;&gt;"", SUMPRODUCT(($AN$2:$AN$5000=AN1013)*($AL$2:$AL$5000&lt;=AL1013)) &lt;= (COUNTIF($AN$2:$AN$5000,AN1013)*0.5)), "SORTEADO", "-")</f>
        <v>SORTEADO</v>
      </c>
      <c r="AN1013" s="245" t="s">
        <v>2516</v>
      </c>
    </row>
    <row r="1014" spans="1:40" ht="30" hidden="1" customHeight="1" x14ac:dyDescent="0.2">
      <c r="A1014" s="230" t="s">
        <v>197</v>
      </c>
      <c r="B1014" s="230">
        <v>2618086899</v>
      </c>
      <c r="C1014" s="230" t="s">
        <v>89</v>
      </c>
      <c r="D1014" s="230" t="s">
        <v>77</v>
      </c>
      <c r="E1014" s="230" t="s">
        <v>198</v>
      </c>
      <c r="F1014" s="230" t="s">
        <v>1226</v>
      </c>
      <c r="G1014" s="230">
        <v>828</v>
      </c>
      <c r="H1014" s="230" t="s">
        <v>213</v>
      </c>
      <c r="I1014" s="230" t="s">
        <v>416</v>
      </c>
      <c r="J1014" s="230" t="s">
        <v>346</v>
      </c>
      <c r="K1014" s="230" t="s">
        <v>213</v>
      </c>
      <c r="L1014" s="230" t="s">
        <v>2516</v>
      </c>
      <c r="M1014" s="230" t="s">
        <v>2622</v>
      </c>
      <c r="N1014" s="266" t="s">
        <v>260</v>
      </c>
      <c r="O1014" s="56"/>
      <c r="P1014" s="56"/>
      <c r="Q1014" s="56"/>
      <c r="R1014" s="56"/>
      <c r="S1014" s="56"/>
      <c r="T1014" s="56"/>
      <c r="U1014" s="56"/>
      <c r="V1014" s="56"/>
      <c r="W1014" s="56"/>
      <c r="X1014" s="56"/>
      <c r="Y1014" s="56"/>
      <c r="Z1014" s="56"/>
      <c r="AA1014" s="56"/>
      <c r="AB1014" s="56"/>
      <c r="AC1014" s="56"/>
      <c r="AD1014" s="56"/>
      <c r="AE1014" s="56"/>
      <c r="AF1014" s="187" t="str">
        <f>IF(AND(O1014="",Q1014="",S1014="",U1014="",W1014="",Y1014="",AA1014="",AC1014=""),"",IF(OR(AND(O1014&lt;&gt;"NA",O1014&lt;&gt;"C",O1014&lt;&gt;"NC",O1014&lt;&gt;"SF",O1014&lt;&gt;""),AND(Q1014&lt;&gt;"NA",Q1014&lt;&gt;"C",Q1014&lt;&gt;"NC",Q1014&lt;&gt;"SF",Q1014&lt;&gt;""),AND(S1014&lt;&gt;"NA",S1014&lt;&gt;"C",S1014&lt;&gt;"NC",S1014&lt;&gt;"SF",S1014&lt;&gt;""),AND(U1014&lt;&gt;"NA",U1014&lt;&gt;"C",U1014&lt;&gt;"NC",U1014&lt;&gt;"SF",U1014&lt;&gt;""),AND(W1014&lt;&gt;"NA",W1014&lt;&gt;"C",W1014&lt;&gt;"NC",W1014&lt;&gt;"SF",W1014&lt;&gt;""),AND(Y1014&lt;&gt;"NA",Y1014&lt;&gt;"C",Y1014&lt;&gt;"NC",Y1014&lt;&gt;"SF",Y1014&lt;&gt;""),AND(AA1014&lt;&gt;"NA",AA1014&lt;&gt;"C",AA1014&lt;&gt;"NC",AA1014&lt;&gt;"SF",AA1014&lt;&gt;""),AND(AC1014&lt;&gt;"NA",AC1014&lt;&gt;"C",AC1014&lt;&gt;"NC",AC1014&lt;&gt;"SF",AC1014&lt;&gt;"")),"FALSO",IF(AND(O1014="NA",Q1014="NA",S1014="NA",U1014="NA",W1014="NA",Y1014="NA",AA1014="NA",AC1014="NA"),"NA",IF(OR(O1014="NC",Q1014="NC",S1014="NC",U1014="NC",W1014="NC",Y1014="NC",AA1014="NC",AC1014="NC",O1014="SF",Q1014="SF",S1014="SF",U1014="SF",W1014="SF",Y1014="SF",AA1014="SF",AC1014="SF"),"NC",IF(OR(O1014="C",Q1014="C",S1014="C",U1014="C",W1014="C",Y1014="C",AA1014="C",AC1014="C"),"C","")))))</f>
        <v/>
      </c>
      <c r="AG1014" s="261" t="b">
        <f t="shared" si="68"/>
        <v>0</v>
      </c>
      <c r="AH1014" s="56"/>
      <c r="AI1014" s="262" t="s">
        <v>6</v>
      </c>
      <c r="AJ1014" s="263" t="str">
        <f t="shared" si="69"/>
        <v>GUARULHOS</v>
      </c>
      <c r="AK1014" s="264" t="s">
        <v>39</v>
      </c>
      <c r="AL1014" s="53">
        <v>0.88477269766344313</v>
      </c>
      <c r="AM1014" s="53" t="str" cm="1">
        <f t="array" ref="AM1014">IF(OR(O1014&lt;&gt;"", SUMPRODUCT(($AN$2:$AN$5000=AN1014)*($AL$2:$AL$5000&lt;=AL1014)) &lt;= (COUNTIF($AN$2:$AN$5000,AN1014)*0.5)), "SORTEADO", "-")</f>
        <v>-</v>
      </c>
      <c r="AN1014" s="245" t="s">
        <v>2516</v>
      </c>
    </row>
  </sheetData>
  <autoFilter ref="A1:AN1014" xr:uid="{00000000-0001-0000-0500-000000000000}">
    <filterColumn colId="31">
      <filters>
        <filter val="C"/>
        <filter val="NC"/>
      </filters>
    </filterColumn>
  </autoFilter>
  <conditionalFormatting sqref="A1 C1 E1">
    <cfRule type="duplicateValues" dxfId="78" priority="142"/>
  </conditionalFormatting>
  <conditionalFormatting sqref="Q1:Q195 S1:S195 U1:U195">
    <cfRule type="expression" dxfId="77" priority="18">
      <formula>Q1=""</formula>
    </cfRule>
    <cfRule type="expression" dxfId="76" priority="19" stopIfTrue="1">
      <formula>NOT(OR(Q1="C",Q1="NC",Q1="SF",Q1="NA"))</formula>
    </cfRule>
  </conditionalFormatting>
  <conditionalFormatting sqref="Q214:Q216 Q221:Q287 Q289:Q1001 Q1005:Q1008 Q1013">
    <cfRule type="expression" dxfId="75" priority="52">
      <formula>Q214=""</formula>
    </cfRule>
    <cfRule type="expression" dxfId="74" priority="53" stopIfTrue="1">
      <formula>NOT(OR(Q214="C",Q214="NC",Q214="SF",Q214="NA"))</formula>
    </cfRule>
  </conditionalFormatting>
  <conditionalFormatting sqref="S214:S216 S221:S287 S289:S1001 S1005:S1008 S1013">
    <cfRule type="expression" dxfId="73" priority="48">
      <formula>S214=""</formula>
    </cfRule>
    <cfRule type="expression" dxfId="72" priority="49" stopIfTrue="1">
      <formula>NOT(OR(S214="C",S214="NC",S214="SF",S214="NA"))</formula>
    </cfRule>
  </conditionalFormatting>
  <conditionalFormatting sqref="U214:U216 U221:U287 U289:U1001 U1005:U1008 U1013">
    <cfRule type="expression" dxfId="71" priority="44">
      <formula>U214=""</formula>
    </cfRule>
    <cfRule type="expression" dxfId="70" priority="45" stopIfTrue="1">
      <formula>NOT(OR(U214="C",U214="NC",U214="SF",U214="NA"))</formula>
    </cfRule>
  </conditionalFormatting>
  <conditionalFormatting sqref="W1:W195 Y1:Y195 AC1:AC195">
    <cfRule type="expression" dxfId="69" priority="14">
      <formula>W1=""</formula>
    </cfRule>
    <cfRule type="expression" dxfId="68" priority="15" stopIfTrue="1">
      <formula>NOT(OR(W1="C",W1="NC",W1="SF",W1="NA"))</formula>
    </cfRule>
  </conditionalFormatting>
  <conditionalFormatting sqref="AA1:AA195">
    <cfRule type="expression" dxfId="67" priority="8">
      <formula>AA1=""</formula>
    </cfRule>
    <cfRule type="expression" dxfId="66" priority="9" stopIfTrue="1">
      <formula>NOT(OR(AA1="C",AA1="NC",AA1="SF",AA1="NA"))</formula>
    </cfRule>
  </conditionalFormatting>
  <conditionalFormatting sqref="AE2:AE195">
    <cfRule type="expression" dxfId="65" priority="30">
      <formula>AE2=""</formula>
    </cfRule>
    <cfRule type="expression" dxfId="64" priority="31" stopIfTrue="1">
      <formula>NOT(OR(AE2="C",AE2="NC",AE2="SF",AE2="NA"))</formula>
    </cfRule>
  </conditionalFormatting>
  <conditionalFormatting sqref="AE1:AF1 O1:O1001 AF2:AF1002 Q197 S197 U197 W197 Y197 AA197 AC197 AE197 Q202 S202 U202 W202 Y202 AA202 AC202 AE202 Q206 S206 U206 W206 Y206 AA206 AC206 AE206 Q210 S210 U210 W210 Y210 AA210 AC210 AE210 W214:W216 Y214:Y216 AA214:AA216 AC214:AC216 AE214:AE216 W221:W287 Y221:Y287 AA221:AA287 AC221:AC287 AE221:AE287 AH272 AH275:AH287 W289:W1001 Y289:Y1001 AA289:AA1001 AC289:AC1001 AE289:AE1001 AH289:AH1001 O1003 Q1003 S1003 U1003 W1003 Y1003 AA1003 AC1003 AE1003:AF1003 AH1003 AF1004:AF1009 AH1005:AH1007 O1005:O1008 W1005:W1008 Y1005:Y1008 AA1005:AA1008 AC1005:AC1008 AE1005:AE1008 O1010 Q1010 S1010 U1010 W1010 Y1010 AA1010 AC1010 AE1010:AF1010 AH1010 AF1011:AF1012 O1013 W1013 Y1013 AA1013 AC1013 AE1013:AF1013 AH1013 AF1014">
    <cfRule type="expression" dxfId="63" priority="56">
      <formula>O1=""</formula>
    </cfRule>
    <cfRule type="expression" dxfId="62" priority="57" stopIfTrue="1">
      <formula>NOT(OR(O1="C",O1="NC",O1="SF",O1="NA"))</formula>
    </cfRule>
  </conditionalFormatting>
  <conditionalFormatting sqref="AH1:AH268">
    <cfRule type="expression" dxfId="61" priority="22">
      <formula>AH1=""</formula>
    </cfRule>
    <cfRule type="expression" dxfId="60" priority="23" stopIfTrue="1">
      <formula>NOT(OR(AH1="C",AH1="NC",AH1="SF",AH1="NA"))</formula>
    </cfRule>
  </conditionalFormatting>
  <pageMargins left="0.511811024" right="0.511811024" top="0.78740157499999996" bottom="0.78740157499999996" header="0.31496062000000002" footer="0.31496062000000002"/>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8" tint="0.59999389629810485"/>
    <pageSetUpPr fitToPage="1"/>
  </sheetPr>
  <dimension ref="A1:H271"/>
  <sheetViews>
    <sheetView topLeftCell="A227" zoomScale="55" zoomScaleNormal="55" zoomScaleSheetLayoutView="70" workbookViewId="0">
      <selection activeCell="B251" sqref="B251:G251"/>
    </sheetView>
  </sheetViews>
  <sheetFormatPr defaultColWidth="9.140625" defaultRowHeight="21" customHeight="1" x14ac:dyDescent="0.3"/>
  <cols>
    <col min="1" max="1" width="5.7109375" style="100" customWidth="1"/>
    <col min="2" max="7" width="30.7109375" style="100" customWidth="1"/>
    <col min="8" max="8" width="5.7109375" style="100" customWidth="1"/>
    <col min="9" max="16384" width="9.140625" style="29"/>
  </cols>
  <sheetData>
    <row r="1" spans="1:8" s="35" customFormat="1" ht="35.1" customHeight="1" x14ac:dyDescent="0.25">
      <c r="A1" s="327" t="s">
        <v>39</v>
      </c>
      <c r="B1" s="327"/>
      <c r="C1" s="327"/>
      <c r="D1" s="327"/>
      <c r="E1" s="327"/>
      <c r="F1" s="327"/>
      <c r="G1" s="327"/>
      <c r="H1" s="327"/>
    </row>
    <row r="2" spans="1:8" s="31" customFormat="1" ht="20.100000000000001" customHeight="1" x14ac:dyDescent="0.25">
      <c r="A2" s="44"/>
      <c r="B2" s="44"/>
      <c r="C2" s="44"/>
      <c r="D2" s="44"/>
      <c r="E2" s="44"/>
      <c r="F2" s="44"/>
      <c r="G2" s="44"/>
      <c r="H2" s="45"/>
    </row>
    <row r="3" spans="1:8" s="18" customFormat="1" ht="35.1" customHeight="1" x14ac:dyDescent="0.25">
      <c r="A3" s="333" t="s">
        <v>2623</v>
      </c>
      <c r="B3" s="333"/>
      <c r="C3" s="333"/>
      <c r="D3" s="333"/>
      <c r="E3" s="333"/>
      <c r="F3" s="333"/>
      <c r="G3" s="333"/>
      <c r="H3" s="333"/>
    </row>
    <row r="5" spans="1:8" ht="21" customHeight="1" x14ac:dyDescent="0.3">
      <c r="B5" s="334" t="str">
        <f>'DADOS - GOPOÚVA'!B74</f>
        <v>ADEMAR JOSE VIANA</v>
      </c>
      <c r="C5" s="334"/>
      <c r="D5" s="334"/>
      <c r="E5" s="334"/>
      <c r="F5" s="334"/>
      <c r="G5" s="334"/>
    </row>
    <row r="6" spans="1:8" ht="21" customHeight="1" x14ac:dyDescent="0.3">
      <c r="B6" s="334" t="s">
        <v>2624</v>
      </c>
      <c r="C6" s="334"/>
      <c r="D6" s="147" t="s">
        <v>56</v>
      </c>
      <c r="E6" s="147" t="s">
        <v>2625</v>
      </c>
      <c r="F6" s="147" t="s">
        <v>41</v>
      </c>
      <c r="G6" s="147" t="s">
        <v>42</v>
      </c>
    </row>
    <row r="7" spans="1:8" ht="21" customHeight="1" x14ac:dyDescent="0.3">
      <c r="B7" s="332" t="s">
        <v>46</v>
      </c>
      <c r="C7" s="332"/>
      <c r="D7" s="98">
        <f t="shared" ref="D7:D14" si="0">F7+G7+E7</f>
        <v>20</v>
      </c>
      <c r="E7" s="98">
        <f>COUNTIFS(ÁGUA!N:N,'EQUIPES - ÁGUA'!B5,ÁGUA!O:O,"SF")</f>
        <v>0</v>
      </c>
      <c r="F7" s="98">
        <f>COUNTIFS(ÁGUA!N:N,'EQUIPES - ÁGUA'!B5,ÁGUA!O:O,"c")</f>
        <v>20</v>
      </c>
      <c r="G7" s="98">
        <f>COUNTIFS(ÁGUA!N:N,'EQUIPES - ÁGUA'!B5,ÁGUA!O:O,"NC")</f>
        <v>0</v>
      </c>
    </row>
    <row r="8" spans="1:8" ht="21" customHeight="1" x14ac:dyDescent="0.3">
      <c r="B8" s="332" t="s">
        <v>47</v>
      </c>
      <c r="C8" s="332"/>
      <c r="D8" s="98">
        <f t="shared" si="0"/>
        <v>20</v>
      </c>
      <c r="E8" s="98">
        <f>COUNTIFS(ÁGUA!N:N,'EQUIPES - ÁGUA'!B5,ÁGUA!Q:Q,"SF")</f>
        <v>0</v>
      </c>
      <c r="F8" s="98">
        <f>COUNTIFS(ÁGUA!N:N,'EQUIPES - ÁGUA'!B5,ÁGUA!Q:Q,"c")</f>
        <v>20</v>
      </c>
      <c r="G8" s="98">
        <f>COUNTIFS(ÁGUA!N:N,'EQUIPES - ÁGUA'!B5,ÁGUA!Q:Q,"NC")</f>
        <v>0</v>
      </c>
    </row>
    <row r="9" spans="1:8" ht="21" customHeight="1" x14ac:dyDescent="0.3">
      <c r="B9" s="332" t="s">
        <v>48</v>
      </c>
      <c r="C9" s="332"/>
      <c r="D9" s="98">
        <f t="shared" si="0"/>
        <v>20</v>
      </c>
      <c r="E9" s="98">
        <f>COUNTIFS(ÁGUA!N:N,'EQUIPES - ÁGUA'!B5,ÁGUA!S:S,"SF")</f>
        <v>0</v>
      </c>
      <c r="F9" s="98">
        <f>COUNTIFS(ÁGUA!N:N,'EQUIPES - ÁGUA'!B5,ÁGUA!S:S,"c")</f>
        <v>20</v>
      </c>
      <c r="G9" s="98">
        <f>COUNTIFS(ÁGUA!N:N,'EQUIPES - ÁGUA'!B5,ÁGUA!S:S,"NC")</f>
        <v>0</v>
      </c>
    </row>
    <row r="10" spans="1:8" ht="21" customHeight="1" x14ac:dyDescent="0.3">
      <c r="B10" s="332" t="s">
        <v>49</v>
      </c>
      <c r="C10" s="332"/>
      <c r="D10" s="98">
        <f t="shared" si="0"/>
        <v>20</v>
      </c>
      <c r="E10" s="98">
        <f>COUNTIFS(ÁGUA!N:N,'EQUIPES - ÁGUA'!B5,ÁGUA!U:U,"SF")</f>
        <v>0</v>
      </c>
      <c r="F10" s="98">
        <f>COUNTIFS(ÁGUA!N:N,'EQUIPES - ÁGUA'!B5,ÁGUA!U:U,"c")</f>
        <v>20</v>
      </c>
      <c r="G10" s="98">
        <f>COUNTIFS(ÁGUA!N:N,'EQUIPES - ÁGUA'!B5,ÁGUA!U:U,"NC")</f>
        <v>0</v>
      </c>
    </row>
    <row r="11" spans="1:8" ht="21" customHeight="1" x14ac:dyDescent="0.3">
      <c r="B11" s="332" t="s">
        <v>50</v>
      </c>
      <c r="C11" s="332"/>
      <c r="D11" s="98">
        <f t="shared" si="0"/>
        <v>20</v>
      </c>
      <c r="E11" s="98">
        <f>COUNTIFS(ÁGUA!N:N,'EQUIPES - ÁGUA'!B5,ÁGUA!W:W,"SF")</f>
        <v>0</v>
      </c>
      <c r="F11" s="98">
        <f>COUNTIFS(ÁGUA!N:N,'EQUIPES - ÁGUA'!B5,ÁGUA!W:W,"c")</f>
        <v>20</v>
      </c>
      <c r="G11" s="98">
        <f>COUNTIFS(ÁGUA!N:N,'EQUIPES - ÁGUA'!B5,ÁGUA!W:W,"NC")</f>
        <v>0</v>
      </c>
    </row>
    <row r="12" spans="1:8" ht="21" customHeight="1" x14ac:dyDescent="0.3">
      <c r="B12" s="332" t="s">
        <v>51</v>
      </c>
      <c r="C12" s="332"/>
      <c r="D12" s="98">
        <f t="shared" si="0"/>
        <v>2</v>
      </c>
      <c r="E12" s="98">
        <f>COUNTIFS(ÁGUA!N:N,'EQUIPES - ÁGUA'!B5,ÁGUA!Y:Y,"SF")</f>
        <v>0</v>
      </c>
      <c r="F12" s="98">
        <f>COUNTIFS(ÁGUA!N:N,'EQUIPES - ÁGUA'!B5,ÁGUA!Y:Y,"c")</f>
        <v>2</v>
      </c>
      <c r="G12" s="98">
        <f>COUNTIFS(ÁGUA!N:N,'EQUIPES - ÁGUA'!B5,ÁGUA!Y:Y,"NC")</f>
        <v>0</v>
      </c>
    </row>
    <row r="13" spans="1:8" ht="21" customHeight="1" x14ac:dyDescent="0.3">
      <c r="B13" s="332" t="s">
        <v>52</v>
      </c>
      <c r="C13" s="332"/>
      <c r="D13" s="98">
        <f t="shared" si="0"/>
        <v>20</v>
      </c>
      <c r="E13" s="98">
        <f>COUNTIFS(ÁGUA!N:N,'EQUIPES - ÁGUA'!B5,ÁGUA!AA:AA,"SF")</f>
        <v>0</v>
      </c>
      <c r="F13" s="98">
        <f>COUNTIFS(ÁGUA!N:N,'EQUIPES - ÁGUA'!B5,ÁGUA!AA:AA,"c")</f>
        <v>20</v>
      </c>
      <c r="G13" s="98">
        <f>COUNTIFS(ÁGUA!N:N,'EQUIPES - ÁGUA'!B5,ÁGUA!AA:AA,"NC")</f>
        <v>0</v>
      </c>
    </row>
    <row r="14" spans="1:8" ht="21" customHeight="1" x14ac:dyDescent="0.3">
      <c r="B14" s="332" t="s">
        <v>53</v>
      </c>
      <c r="C14" s="332"/>
      <c r="D14" s="98">
        <f t="shared" si="0"/>
        <v>20</v>
      </c>
      <c r="E14" s="98">
        <f>COUNTIFS(ÁGUA!N:N,'EQUIPES - ÁGUA'!B5,ÁGUA!AC:AC,"SF")</f>
        <v>0</v>
      </c>
      <c r="F14" s="98">
        <f>COUNTIFS(ÁGUA!N:N,'EQUIPES - ÁGUA'!B5,ÁGUA!AC:AC,"c")</f>
        <v>20</v>
      </c>
      <c r="G14" s="98">
        <f>COUNTIFS(ÁGUA!N:N,'EQUIPES - ÁGUA'!B5,ÁGUA!AC:AC,"NC")</f>
        <v>0</v>
      </c>
    </row>
    <row r="16" spans="1:8" ht="21" customHeight="1" x14ac:dyDescent="0.3">
      <c r="B16" s="334" t="str">
        <f>'DADOS - GOPOÚVA'!B75</f>
        <v>ADIMILSON SOUZA OLIVEIRA</v>
      </c>
      <c r="C16" s="334"/>
      <c r="D16" s="334"/>
      <c r="E16" s="334"/>
      <c r="F16" s="334"/>
      <c r="G16" s="334"/>
    </row>
    <row r="17" spans="2:7" ht="21" customHeight="1" x14ac:dyDescent="0.3">
      <c r="B17" s="334" t="s">
        <v>2624</v>
      </c>
      <c r="C17" s="334"/>
      <c r="D17" s="147" t="s">
        <v>56</v>
      </c>
      <c r="E17" s="147" t="s">
        <v>2625</v>
      </c>
      <c r="F17" s="147" t="s">
        <v>41</v>
      </c>
      <c r="G17" s="147" t="s">
        <v>42</v>
      </c>
    </row>
    <row r="18" spans="2:7" ht="21" customHeight="1" x14ac:dyDescent="0.3">
      <c r="B18" s="332" t="s">
        <v>46</v>
      </c>
      <c r="C18" s="332"/>
      <c r="D18" s="98">
        <f t="shared" ref="D18:D25" si="1">F18+G18+E18</f>
        <v>18</v>
      </c>
      <c r="E18" s="98">
        <f>COUNTIFS(ÁGUA!N:N,'EQUIPES - ÁGUA'!B16,ÁGUA!O:O,"SF")</f>
        <v>0</v>
      </c>
      <c r="F18" s="98">
        <f>COUNTIFS(ÁGUA!N:N,'EQUIPES - ÁGUA'!B16,ÁGUA!O:O,"c")</f>
        <v>18</v>
      </c>
      <c r="G18" s="98">
        <f>COUNTIFS(ÁGUA!N:N,'EQUIPES - ÁGUA'!B16,ÁGUA!O:O,"NC")</f>
        <v>0</v>
      </c>
    </row>
    <row r="19" spans="2:7" ht="21" customHeight="1" x14ac:dyDescent="0.3">
      <c r="B19" s="332" t="s">
        <v>47</v>
      </c>
      <c r="C19" s="332"/>
      <c r="D19" s="98">
        <f t="shared" si="1"/>
        <v>18</v>
      </c>
      <c r="E19" s="98">
        <f>COUNTIFS(ÁGUA!N:N,'EQUIPES - ÁGUA'!B16,ÁGUA!Q:Q,"SF")</f>
        <v>0</v>
      </c>
      <c r="F19" s="98">
        <f>COUNTIFS(ÁGUA!N:N,'EQUIPES - ÁGUA'!B16,ÁGUA!Q:Q,"c")</f>
        <v>18</v>
      </c>
      <c r="G19" s="98">
        <f>COUNTIFS(ÁGUA!N:N,'EQUIPES - ÁGUA'!B16,ÁGUA!Q:Q,"NC")</f>
        <v>0</v>
      </c>
    </row>
    <row r="20" spans="2:7" ht="21" customHeight="1" x14ac:dyDescent="0.3">
      <c r="B20" s="332" t="s">
        <v>48</v>
      </c>
      <c r="C20" s="332"/>
      <c r="D20" s="98">
        <f t="shared" si="1"/>
        <v>18</v>
      </c>
      <c r="E20" s="98">
        <f>COUNTIFS(ÁGUA!N:N,'EQUIPES - ÁGUA'!B16,ÁGUA!S:S,"SF")</f>
        <v>0</v>
      </c>
      <c r="F20" s="98">
        <f>COUNTIFS(ÁGUA!N:N,'EQUIPES - ÁGUA'!B16,ÁGUA!S:S,"c")</f>
        <v>18</v>
      </c>
      <c r="G20" s="98">
        <f>COUNTIFS(ÁGUA!N:N,'EQUIPES - ÁGUA'!B16,ÁGUA!S:S,"NC")</f>
        <v>0</v>
      </c>
    </row>
    <row r="21" spans="2:7" ht="21" customHeight="1" x14ac:dyDescent="0.3">
      <c r="B21" s="332" t="s">
        <v>49</v>
      </c>
      <c r="C21" s="332"/>
      <c r="D21" s="98">
        <f t="shared" si="1"/>
        <v>18</v>
      </c>
      <c r="E21" s="98">
        <f>COUNTIFS(ÁGUA!N:N,'EQUIPES - ÁGUA'!B16,ÁGUA!U:U,"SF")</f>
        <v>0</v>
      </c>
      <c r="F21" s="98">
        <f>COUNTIFS(ÁGUA!N:N,'EQUIPES - ÁGUA'!B16,ÁGUA!U:U,"c")</f>
        <v>18</v>
      </c>
      <c r="G21" s="98">
        <f>COUNTIFS(ÁGUA!N:N,'EQUIPES - ÁGUA'!B16,ÁGUA!U:U,"NC")</f>
        <v>0</v>
      </c>
    </row>
    <row r="22" spans="2:7" ht="21" customHeight="1" x14ac:dyDescent="0.3">
      <c r="B22" s="332" t="s">
        <v>50</v>
      </c>
      <c r="C22" s="332"/>
      <c r="D22" s="98">
        <f t="shared" si="1"/>
        <v>18</v>
      </c>
      <c r="E22" s="98">
        <f>COUNTIFS(ÁGUA!N:N,'EQUIPES - ÁGUA'!B16,ÁGUA!W:W,"SF")</f>
        <v>0</v>
      </c>
      <c r="F22" s="98">
        <f>COUNTIFS(ÁGUA!N:N,'EQUIPES - ÁGUA'!B16,ÁGUA!W:W,"c")</f>
        <v>18</v>
      </c>
      <c r="G22" s="98">
        <f>COUNTIFS(ÁGUA!N:N,'EQUIPES - ÁGUA'!B16,ÁGUA!W:W,"NC")</f>
        <v>0</v>
      </c>
    </row>
    <row r="23" spans="2:7" ht="21" customHeight="1" x14ac:dyDescent="0.3">
      <c r="B23" s="332" t="s">
        <v>51</v>
      </c>
      <c r="C23" s="332"/>
      <c r="D23" s="98">
        <f t="shared" si="1"/>
        <v>2</v>
      </c>
      <c r="E23" s="98">
        <f>COUNTIFS(ÁGUA!N:N,'EQUIPES - ÁGUA'!B16,ÁGUA!Y:Y,"SF")</f>
        <v>0</v>
      </c>
      <c r="F23" s="98">
        <f>COUNTIFS(ÁGUA!N:N,'EQUIPES - ÁGUA'!B16,ÁGUA!Y:Y,"c")</f>
        <v>2</v>
      </c>
      <c r="G23" s="98">
        <f>COUNTIFS(ÁGUA!N:N,'EQUIPES - ÁGUA'!B16,ÁGUA!Y:Y,"NC")</f>
        <v>0</v>
      </c>
    </row>
    <row r="24" spans="2:7" ht="21" customHeight="1" x14ac:dyDescent="0.3">
      <c r="B24" s="332" t="s">
        <v>52</v>
      </c>
      <c r="C24" s="332"/>
      <c r="D24" s="98">
        <f t="shared" si="1"/>
        <v>18</v>
      </c>
      <c r="E24" s="98">
        <f>COUNTIFS(ÁGUA!N:N,'EQUIPES - ÁGUA'!B16,ÁGUA!AA:AA,"SF")</f>
        <v>0</v>
      </c>
      <c r="F24" s="98">
        <f>COUNTIFS(ÁGUA!N:N,'EQUIPES - ÁGUA'!B16,ÁGUA!AA:AA,"c")</f>
        <v>18</v>
      </c>
      <c r="G24" s="98">
        <f>COUNTIFS(ÁGUA!N:N,'EQUIPES - ÁGUA'!B16,ÁGUA!AA:AA,"NC")</f>
        <v>0</v>
      </c>
    </row>
    <row r="25" spans="2:7" ht="21" customHeight="1" x14ac:dyDescent="0.3">
      <c r="B25" s="332" t="s">
        <v>53</v>
      </c>
      <c r="C25" s="332"/>
      <c r="D25" s="98">
        <f t="shared" si="1"/>
        <v>18</v>
      </c>
      <c r="E25" s="98">
        <f>COUNTIFS(ÁGUA!N:N,'EQUIPES - ÁGUA'!B16,ÁGUA!AC:AC,"SF")</f>
        <v>0</v>
      </c>
      <c r="F25" s="98">
        <f>COUNTIFS(ÁGUA!N:N,'EQUIPES - ÁGUA'!B16,ÁGUA!AC:AC,"c")</f>
        <v>18</v>
      </c>
      <c r="G25" s="98">
        <f>COUNTIFS(ÁGUA!N:N,'EQUIPES - ÁGUA'!B16,ÁGUA!AC:AC,"NC")</f>
        <v>0</v>
      </c>
    </row>
    <row r="27" spans="2:7" ht="21" customHeight="1" x14ac:dyDescent="0.3">
      <c r="B27" s="334" t="str">
        <f>'DADOS - GOPOÚVA'!B76</f>
        <v>ALISSON ARAUJO DA SILVA</v>
      </c>
      <c r="C27" s="334"/>
      <c r="D27" s="334"/>
      <c r="E27" s="334"/>
      <c r="F27" s="334"/>
      <c r="G27" s="334"/>
    </row>
    <row r="28" spans="2:7" ht="21" customHeight="1" x14ac:dyDescent="0.3">
      <c r="B28" s="334" t="s">
        <v>2624</v>
      </c>
      <c r="C28" s="334"/>
      <c r="D28" s="147" t="s">
        <v>56</v>
      </c>
      <c r="E28" s="147" t="s">
        <v>2625</v>
      </c>
      <c r="F28" s="147" t="s">
        <v>41</v>
      </c>
      <c r="G28" s="147" t="s">
        <v>42</v>
      </c>
    </row>
    <row r="29" spans="2:7" ht="21" customHeight="1" x14ac:dyDescent="0.3">
      <c r="B29" s="332" t="s">
        <v>46</v>
      </c>
      <c r="C29" s="332"/>
      <c r="D29" s="98">
        <f t="shared" ref="D29:D36" si="2">F29+G29+E29</f>
        <v>18</v>
      </c>
      <c r="E29" s="98">
        <f>COUNTIFS(ÁGUA!N:N,'EQUIPES - ÁGUA'!B27,ÁGUA!O:O,"SF")</f>
        <v>0</v>
      </c>
      <c r="F29" s="98">
        <f>COUNTIFS(ÁGUA!N:N,'EQUIPES - ÁGUA'!B27,ÁGUA!O:O,"c")</f>
        <v>18</v>
      </c>
      <c r="G29" s="98">
        <f>COUNTIFS(ÁGUA!N:N,'EQUIPES - ÁGUA'!B27,ÁGUA!O:O,"NC")</f>
        <v>0</v>
      </c>
    </row>
    <row r="30" spans="2:7" ht="21" customHeight="1" x14ac:dyDescent="0.3">
      <c r="B30" s="332" t="s">
        <v>47</v>
      </c>
      <c r="C30" s="332"/>
      <c r="D30" s="98">
        <f t="shared" si="2"/>
        <v>18</v>
      </c>
      <c r="E30" s="98">
        <f>COUNTIFS(ÁGUA!N:N,'EQUIPES - ÁGUA'!B27,ÁGUA!Q:Q,"SF")</f>
        <v>0</v>
      </c>
      <c r="F30" s="98">
        <f>COUNTIFS(ÁGUA!N:N,'EQUIPES - ÁGUA'!B27,ÁGUA!Q:Q,"c")</f>
        <v>18</v>
      </c>
      <c r="G30" s="98">
        <f>COUNTIFS(ÁGUA!N:N,'EQUIPES - ÁGUA'!B27,ÁGUA!Q:Q,"NC")</f>
        <v>0</v>
      </c>
    </row>
    <row r="31" spans="2:7" ht="21" customHeight="1" x14ac:dyDescent="0.3">
      <c r="B31" s="332" t="s">
        <v>48</v>
      </c>
      <c r="C31" s="332"/>
      <c r="D31" s="98">
        <f t="shared" si="2"/>
        <v>17</v>
      </c>
      <c r="E31" s="98">
        <f>COUNTIFS(ÁGUA!N:N,'EQUIPES - ÁGUA'!B27,ÁGUA!S:S,"SF")</f>
        <v>0</v>
      </c>
      <c r="F31" s="98">
        <f>COUNTIFS(ÁGUA!N:N,'EQUIPES - ÁGUA'!B27,ÁGUA!S:S,"c")</f>
        <v>17</v>
      </c>
      <c r="G31" s="98">
        <f>COUNTIFS(ÁGUA!N:N,'EQUIPES - ÁGUA'!B27,ÁGUA!S:S,"NC")</f>
        <v>0</v>
      </c>
    </row>
    <row r="32" spans="2:7" ht="21" customHeight="1" x14ac:dyDescent="0.3">
      <c r="B32" s="332" t="s">
        <v>49</v>
      </c>
      <c r="C32" s="332"/>
      <c r="D32" s="98">
        <f t="shared" si="2"/>
        <v>17</v>
      </c>
      <c r="E32" s="98">
        <f>COUNTIFS(ÁGUA!N:N,'EQUIPES - ÁGUA'!B27,ÁGUA!U:U,"SF")</f>
        <v>0</v>
      </c>
      <c r="F32" s="98">
        <f>COUNTIFS(ÁGUA!N:N,'EQUIPES - ÁGUA'!B27,ÁGUA!U:U,"c")</f>
        <v>17</v>
      </c>
      <c r="G32" s="98">
        <f>COUNTIFS(ÁGUA!N:N,'EQUIPES - ÁGUA'!B27,ÁGUA!U:U,"NC")</f>
        <v>0</v>
      </c>
    </row>
    <row r="33" spans="2:7" ht="21" customHeight="1" x14ac:dyDescent="0.3">
      <c r="B33" s="332" t="s">
        <v>50</v>
      </c>
      <c r="C33" s="332"/>
      <c r="D33" s="98">
        <f t="shared" si="2"/>
        <v>17</v>
      </c>
      <c r="E33" s="98">
        <f>COUNTIFS(ÁGUA!N:N,'EQUIPES - ÁGUA'!B27,ÁGUA!W:W,"SF")</f>
        <v>0</v>
      </c>
      <c r="F33" s="98">
        <f>COUNTIFS(ÁGUA!N:N,'EQUIPES - ÁGUA'!B27,ÁGUA!W:W,"c")</f>
        <v>17</v>
      </c>
      <c r="G33" s="98">
        <f>COUNTIFS(ÁGUA!N:N,'EQUIPES - ÁGUA'!B27,ÁGUA!W:W,"NC")</f>
        <v>0</v>
      </c>
    </row>
    <row r="34" spans="2:7" ht="21" customHeight="1" x14ac:dyDescent="0.3">
      <c r="B34" s="332" t="s">
        <v>51</v>
      </c>
      <c r="C34" s="332"/>
      <c r="D34" s="98">
        <f t="shared" si="2"/>
        <v>4</v>
      </c>
      <c r="E34" s="98">
        <f>COUNTIFS(ÁGUA!N:N,'EQUIPES - ÁGUA'!B27,ÁGUA!Y:Y,"SF")</f>
        <v>0</v>
      </c>
      <c r="F34" s="98">
        <f>COUNTIFS(ÁGUA!N:N,'EQUIPES - ÁGUA'!B27,ÁGUA!Y:Y,"c")</f>
        <v>4</v>
      </c>
      <c r="G34" s="98">
        <f>COUNTIFS(ÁGUA!N:N,'EQUIPES - ÁGUA'!B27,ÁGUA!Y:Y,"NC")</f>
        <v>0</v>
      </c>
    </row>
    <row r="35" spans="2:7" ht="21" customHeight="1" x14ac:dyDescent="0.3">
      <c r="B35" s="332" t="s">
        <v>52</v>
      </c>
      <c r="C35" s="332"/>
      <c r="D35" s="98">
        <f t="shared" si="2"/>
        <v>17</v>
      </c>
      <c r="E35" s="98">
        <f>COUNTIFS(ÁGUA!N:N,'EQUIPES - ÁGUA'!B27,ÁGUA!AA:AA,"SF")</f>
        <v>0</v>
      </c>
      <c r="F35" s="98">
        <f>COUNTIFS(ÁGUA!N:N,'EQUIPES - ÁGUA'!B27,ÁGUA!AA:AA,"c")</f>
        <v>17</v>
      </c>
      <c r="G35" s="98">
        <f>COUNTIFS(ÁGUA!N:N,'EQUIPES - ÁGUA'!B27,ÁGUA!AA:AA,"NC")</f>
        <v>0</v>
      </c>
    </row>
    <row r="36" spans="2:7" ht="21" customHeight="1" x14ac:dyDescent="0.3">
      <c r="B36" s="332" t="s">
        <v>53</v>
      </c>
      <c r="C36" s="332"/>
      <c r="D36" s="98">
        <f t="shared" si="2"/>
        <v>18</v>
      </c>
      <c r="E36" s="98">
        <f>COUNTIFS(ÁGUA!N:N,'EQUIPES - ÁGUA'!B27,ÁGUA!AC:AC,"SF")</f>
        <v>0</v>
      </c>
      <c r="F36" s="98">
        <f>COUNTIFS(ÁGUA!N:N,'EQUIPES - ÁGUA'!B27,ÁGUA!AC:AC,"c")</f>
        <v>18</v>
      </c>
      <c r="G36" s="98">
        <f>COUNTIFS(ÁGUA!N:N,'EQUIPES - ÁGUA'!B27,ÁGUA!AC:AC,"NC")</f>
        <v>0</v>
      </c>
    </row>
    <row r="38" spans="2:7" ht="21" customHeight="1" x14ac:dyDescent="0.3">
      <c r="B38" s="334" t="str">
        <f>'DADOS - GOPOÚVA'!B77</f>
        <v>CARLOS HENRIQUE DO AMARAL</v>
      </c>
      <c r="C38" s="334"/>
      <c r="D38" s="334"/>
      <c r="E38" s="334"/>
      <c r="F38" s="334"/>
      <c r="G38" s="334"/>
    </row>
    <row r="39" spans="2:7" ht="21" customHeight="1" x14ac:dyDescent="0.3">
      <c r="B39" s="334" t="s">
        <v>2624</v>
      </c>
      <c r="C39" s="334"/>
      <c r="D39" s="147" t="s">
        <v>56</v>
      </c>
      <c r="E39" s="147" t="s">
        <v>2625</v>
      </c>
      <c r="F39" s="147" t="s">
        <v>41</v>
      </c>
      <c r="G39" s="147" t="s">
        <v>42</v>
      </c>
    </row>
    <row r="40" spans="2:7" ht="21" customHeight="1" x14ac:dyDescent="0.3">
      <c r="B40" s="332" t="s">
        <v>46</v>
      </c>
      <c r="C40" s="332"/>
      <c r="D40" s="98">
        <f t="shared" ref="D40:D47" si="3">F40+G40+E40</f>
        <v>14</v>
      </c>
      <c r="E40" s="98">
        <f>COUNTIFS(ÁGUA!N:N,'EQUIPES - ÁGUA'!B38,ÁGUA!O:O,"SF")</f>
        <v>0</v>
      </c>
      <c r="F40" s="98">
        <f>COUNTIFS(ÁGUA!N:N,'EQUIPES - ÁGUA'!B38,ÁGUA!O:O,"c")</f>
        <v>14</v>
      </c>
      <c r="G40" s="98">
        <f>COUNTIFS(ÁGUA!N:N,'EQUIPES - ÁGUA'!B38,ÁGUA!O:O,"NC")</f>
        <v>0</v>
      </c>
    </row>
    <row r="41" spans="2:7" ht="21" customHeight="1" x14ac:dyDescent="0.3">
      <c r="B41" s="332" t="s">
        <v>47</v>
      </c>
      <c r="C41" s="332"/>
      <c r="D41" s="98">
        <f t="shared" si="3"/>
        <v>12</v>
      </c>
      <c r="E41" s="98">
        <f>COUNTIFS(ÁGUA!N:N,'EQUIPES - ÁGUA'!B38,ÁGUA!Q:Q,"SF")</f>
        <v>0</v>
      </c>
      <c r="F41" s="98">
        <f>COUNTIFS(ÁGUA!N:N,'EQUIPES - ÁGUA'!B38,ÁGUA!Q:Q,"c")</f>
        <v>12</v>
      </c>
      <c r="G41" s="98">
        <f>COUNTIFS(ÁGUA!N:N,'EQUIPES - ÁGUA'!B38,ÁGUA!Q:Q,"NC")</f>
        <v>0</v>
      </c>
    </row>
    <row r="42" spans="2:7" ht="21" customHeight="1" x14ac:dyDescent="0.3">
      <c r="B42" s="332" t="s">
        <v>48</v>
      </c>
      <c r="C42" s="332"/>
      <c r="D42" s="98">
        <f t="shared" si="3"/>
        <v>12</v>
      </c>
      <c r="E42" s="98">
        <f>COUNTIFS(ÁGUA!N:N,'EQUIPES - ÁGUA'!B38,ÁGUA!S:S,"SF")</f>
        <v>0</v>
      </c>
      <c r="F42" s="98">
        <f>COUNTIFS(ÁGUA!N:N,'EQUIPES - ÁGUA'!B38,ÁGUA!S:S,"c")</f>
        <v>12</v>
      </c>
      <c r="G42" s="98">
        <f>COUNTIFS(ÁGUA!N:N,'EQUIPES - ÁGUA'!B38,ÁGUA!S:S,"NC")</f>
        <v>0</v>
      </c>
    </row>
    <row r="43" spans="2:7" ht="21" customHeight="1" x14ac:dyDescent="0.3">
      <c r="B43" s="332" t="s">
        <v>49</v>
      </c>
      <c r="C43" s="332"/>
      <c r="D43" s="98">
        <f t="shared" si="3"/>
        <v>12</v>
      </c>
      <c r="E43" s="98">
        <f>COUNTIFS(ÁGUA!N:N,'EQUIPES - ÁGUA'!B38,ÁGUA!U:U,"SF")</f>
        <v>0</v>
      </c>
      <c r="F43" s="98">
        <f>COUNTIFS(ÁGUA!N:N,'EQUIPES - ÁGUA'!B38,ÁGUA!U:U,"c")</f>
        <v>12</v>
      </c>
      <c r="G43" s="98">
        <f>COUNTIFS(ÁGUA!N:N,'EQUIPES - ÁGUA'!B38,ÁGUA!U:U,"NC")</f>
        <v>0</v>
      </c>
    </row>
    <row r="44" spans="2:7" ht="21" customHeight="1" x14ac:dyDescent="0.3">
      <c r="B44" s="332" t="s">
        <v>50</v>
      </c>
      <c r="C44" s="332"/>
      <c r="D44" s="98">
        <f t="shared" si="3"/>
        <v>12</v>
      </c>
      <c r="E44" s="98">
        <f>COUNTIFS(ÁGUA!N:N,'EQUIPES - ÁGUA'!B38,ÁGUA!W:W,"SF")</f>
        <v>0</v>
      </c>
      <c r="F44" s="98">
        <f>COUNTIFS(ÁGUA!N:N,'EQUIPES - ÁGUA'!B38,ÁGUA!W:W,"c")</f>
        <v>12</v>
      </c>
      <c r="G44" s="98">
        <f>COUNTIFS(ÁGUA!N:N,'EQUIPES - ÁGUA'!B38,ÁGUA!W:W,"NC")</f>
        <v>0</v>
      </c>
    </row>
    <row r="45" spans="2:7" ht="21" customHeight="1" x14ac:dyDescent="0.3">
      <c r="B45" s="332" t="s">
        <v>51</v>
      </c>
      <c r="C45" s="332"/>
      <c r="D45" s="98">
        <f t="shared" si="3"/>
        <v>2</v>
      </c>
      <c r="E45" s="98">
        <f>COUNTIFS(ÁGUA!N:N,'EQUIPES - ÁGUA'!B38,ÁGUA!Y:Y,"SF")</f>
        <v>0</v>
      </c>
      <c r="F45" s="98">
        <f>COUNTIFS(ÁGUA!N:N,'EQUIPES - ÁGUA'!B38,ÁGUA!Y:Y,"c")</f>
        <v>2</v>
      </c>
      <c r="G45" s="98">
        <f>COUNTIFS(ÁGUA!N:N,'EQUIPES - ÁGUA'!B38,ÁGUA!Y:Y,"NC")</f>
        <v>0</v>
      </c>
    </row>
    <row r="46" spans="2:7" ht="21" customHeight="1" x14ac:dyDescent="0.3">
      <c r="B46" s="332" t="s">
        <v>52</v>
      </c>
      <c r="C46" s="332"/>
      <c r="D46" s="98">
        <f t="shared" si="3"/>
        <v>13</v>
      </c>
      <c r="E46" s="98">
        <f>COUNTIFS(ÁGUA!N:N,'EQUIPES - ÁGUA'!B38,ÁGUA!AA:AA,"SF")</f>
        <v>1</v>
      </c>
      <c r="F46" s="98">
        <f>COUNTIFS(ÁGUA!N:N,'EQUIPES - ÁGUA'!B38,ÁGUA!AA:AA,"c")</f>
        <v>12</v>
      </c>
      <c r="G46" s="98">
        <f>COUNTIFS(ÁGUA!N:N,'EQUIPES - ÁGUA'!B38,ÁGUA!AA:AA,"NC")</f>
        <v>0</v>
      </c>
    </row>
    <row r="47" spans="2:7" ht="21" customHeight="1" x14ac:dyDescent="0.3">
      <c r="B47" s="332" t="s">
        <v>53</v>
      </c>
      <c r="C47" s="332"/>
      <c r="D47" s="98">
        <f t="shared" si="3"/>
        <v>14</v>
      </c>
      <c r="E47" s="98">
        <f>COUNTIFS(ÁGUA!N:N,'EQUIPES - ÁGUA'!B38,ÁGUA!AC:AC,"SF")</f>
        <v>0</v>
      </c>
      <c r="F47" s="98">
        <f>COUNTIFS(ÁGUA!N:N,'EQUIPES - ÁGUA'!B38,ÁGUA!AC:AC,"c")</f>
        <v>12</v>
      </c>
      <c r="G47" s="98">
        <f>COUNTIFS(ÁGUA!N:N,'EQUIPES - ÁGUA'!B38,ÁGUA!AC:AC,"NC")</f>
        <v>2</v>
      </c>
    </row>
    <row r="49" spans="2:7" ht="21" customHeight="1" x14ac:dyDescent="0.3">
      <c r="B49" s="334" t="str">
        <f>'DADOS - GOPOÚVA'!B78</f>
        <v>CICERO XAVIER DA SILVA</v>
      </c>
      <c r="C49" s="334"/>
      <c r="D49" s="334"/>
      <c r="E49" s="334"/>
      <c r="F49" s="334"/>
      <c r="G49" s="334"/>
    </row>
    <row r="50" spans="2:7" ht="21" customHeight="1" x14ac:dyDescent="0.3">
      <c r="B50" s="334" t="s">
        <v>2624</v>
      </c>
      <c r="C50" s="334"/>
      <c r="D50" s="147" t="s">
        <v>56</v>
      </c>
      <c r="E50" s="147" t="s">
        <v>2625</v>
      </c>
      <c r="F50" s="147" t="s">
        <v>41</v>
      </c>
      <c r="G50" s="147" t="s">
        <v>42</v>
      </c>
    </row>
    <row r="51" spans="2:7" ht="21" customHeight="1" x14ac:dyDescent="0.3">
      <c r="B51" s="332" t="s">
        <v>46</v>
      </c>
      <c r="C51" s="332"/>
      <c r="D51" s="98">
        <f t="shared" ref="D51:D58" si="4">F51+G51+E51</f>
        <v>39</v>
      </c>
      <c r="E51" s="98">
        <f>COUNTIFS(ÁGUA!N:N,'EQUIPES - ÁGUA'!B49,ÁGUA!O:O,"SF")</f>
        <v>0</v>
      </c>
      <c r="F51" s="98">
        <f>COUNTIFS(ÁGUA!N:N,'EQUIPES - ÁGUA'!B49,ÁGUA!O:O,"c")</f>
        <v>39</v>
      </c>
      <c r="G51" s="98">
        <f>COUNTIFS(ÁGUA!N:N,'EQUIPES - ÁGUA'!B49,ÁGUA!O:O,"NC")</f>
        <v>0</v>
      </c>
    </row>
    <row r="52" spans="2:7" ht="21" customHeight="1" x14ac:dyDescent="0.3">
      <c r="B52" s="332" t="s">
        <v>47</v>
      </c>
      <c r="C52" s="332"/>
      <c r="D52" s="98">
        <f t="shared" si="4"/>
        <v>29</v>
      </c>
      <c r="E52" s="98">
        <f>COUNTIFS(ÁGUA!N:N,'EQUIPES - ÁGUA'!B49,ÁGUA!Q:Q,"SF")</f>
        <v>0</v>
      </c>
      <c r="F52" s="98">
        <f>COUNTIFS(ÁGUA!N:N,'EQUIPES - ÁGUA'!B49,ÁGUA!Q:Q,"c")</f>
        <v>29</v>
      </c>
      <c r="G52" s="98">
        <f>COUNTIFS(ÁGUA!N:N,'EQUIPES - ÁGUA'!B49,ÁGUA!Q:Q,"NC")</f>
        <v>0</v>
      </c>
    </row>
    <row r="53" spans="2:7" ht="21" customHeight="1" x14ac:dyDescent="0.3">
      <c r="B53" s="332" t="s">
        <v>48</v>
      </c>
      <c r="C53" s="332"/>
      <c r="D53" s="98">
        <f t="shared" si="4"/>
        <v>29</v>
      </c>
      <c r="E53" s="98">
        <f>COUNTIFS(ÁGUA!N:N,'EQUIPES - ÁGUA'!B49,ÁGUA!S:S,"SF")</f>
        <v>0</v>
      </c>
      <c r="F53" s="98">
        <f>COUNTIFS(ÁGUA!N:N,'EQUIPES - ÁGUA'!B49,ÁGUA!S:S,"c")</f>
        <v>29</v>
      </c>
      <c r="G53" s="98">
        <f>COUNTIFS(ÁGUA!N:N,'EQUIPES - ÁGUA'!B49,ÁGUA!S:S,"NC")</f>
        <v>0</v>
      </c>
    </row>
    <row r="54" spans="2:7" ht="21" customHeight="1" x14ac:dyDescent="0.3">
      <c r="B54" s="332" t="s">
        <v>49</v>
      </c>
      <c r="C54" s="332"/>
      <c r="D54" s="98">
        <f t="shared" si="4"/>
        <v>29</v>
      </c>
      <c r="E54" s="98">
        <f>COUNTIFS(ÁGUA!N:N,'EQUIPES - ÁGUA'!B49,ÁGUA!U:U,"SF")</f>
        <v>0</v>
      </c>
      <c r="F54" s="98">
        <f>COUNTIFS(ÁGUA!N:N,'EQUIPES - ÁGUA'!B49,ÁGUA!U:U,"c")</f>
        <v>29</v>
      </c>
      <c r="G54" s="98">
        <f>COUNTIFS(ÁGUA!N:N,'EQUIPES - ÁGUA'!B49,ÁGUA!U:U,"NC")</f>
        <v>0</v>
      </c>
    </row>
    <row r="55" spans="2:7" ht="21" customHeight="1" x14ac:dyDescent="0.3">
      <c r="B55" s="332" t="s">
        <v>50</v>
      </c>
      <c r="C55" s="332"/>
      <c r="D55" s="98">
        <f t="shared" si="4"/>
        <v>29</v>
      </c>
      <c r="E55" s="98">
        <f>COUNTIFS(ÁGUA!N:N,'EQUIPES - ÁGUA'!B49,ÁGUA!W:W,"SF")</f>
        <v>0</v>
      </c>
      <c r="F55" s="98">
        <f>COUNTIFS(ÁGUA!N:N,'EQUIPES - ÁGUA'!B49,ÁGUA!W:W,"c")</f>
        <v>29</v>
      </c>
      <c r="G55" s="98">
        <f>COUNTIFS(ÁGUA!N:N,'EQUIPES - ÁGUA'!B49,ÁGUA!W:W,"NC")</f>
        <v>0</v>
      </c>
    </row>
    <row r="56" spans="2:7" ht="21" customHeight="1" x14ac:dyDescent="0.3">
      <c r="B56" s="332" t="s">
        <v>51</v>
      </c>
      <c r="C56" s="332"/>
      <c r="D56" s="98">
        <f t="shared" si="4"/>
        <v>20</v>
      </c>
      <c r="E56" s="98">
        <f>COUNTIFS(ÁGUA!N:N,'EQUIPES - ÁGUA'!B49,ÁGUA!Y:Y,"SF")</f>
        <v>0</v>
      </c>
      <c r="F56" s="98">
        <f>COUNTIFS(ÁGUA!N:N,'EQUIPES - ÁGUA'!B49,ÁGUA!Y:Y,"c")</f>
        <v>20</v>
      </c>
      <c r="G56" s="98">
        <f>COUNTIFS(ÁGUA!N:N,'EQUIPES - ÁGUA'!B49,ÁGUA!Y:Y,"NC")</f>
        <v>0</v>
      </c>
    </row>
    <row r="57" spans="2:7" ht="21" customHeight="1" x14ac:dyDescent="0.3">
      <c r="B57" s="332" t="s">
        <v>52</v>
      </c>
      <c r="C57" s="332"/>
      <c r="D57" s="98">
        <f t="shared" si="4"/>
        <v>35</v>
      </c>
      <c r="E57" s="98">
        <f>COUNTIFS(ÁGUA!N:N,'EQUIPES - ÁGUA'!B49,ÁGUA!AA:AA,"SF")</f>
        <v>0</v>
      </c>
      <c r="F57" s="98">
        <f>COUNTIFS(ÁGUA!N:N,'EQUIPES - ÁGUA'!B49,ÁGUA!AA:AA,"c")</f>
        <v>31</v>
      </c>
      <c r="G57" s="98">
        <f>COUNTIFS(ÁGUA!N:N,'EQUIPES - ÁGUA'!B49,ÁGUA!AA:AA,"NC")</f>
        <v>4</v>
      </c>
    </row>
    <row r="58" spans="2:7" ht="21" customHeight="1" x14ac:dyDescent="0.3">
      <c r="B58" s="332" t="s">
        <v>53</v>
      </c>
      <c r="C58" s="332"/>
      <c r="D58" s="98">
        <f t="shared" si="4"/>
        <v>39</v>
      </c>
      <c r="E58" s="98">
        <f>COUNTIFS(ÁGUA!N:N,'EQUIPES - ÁGUA'!B49,ÁGUA!AC:AC,"SF")</f>
        <v>0</v>
      </c>
      <c r="F58" s="98">
        <f>COUNTIFS(ÁGUA!N:N,'EQUIPES - ÁGUA'!B49,ÁGUA!AC:AC,"c")</f>
        <v>37</v>
      </c>
      <c r="G58" s="98">
        <f>COUNTIFS(ÁGUA!N:N,'EQUIPES - ÁGUA'!B49,ÁGUA!AC:AC,"NC")</f>
        <v>2</v>
      </c>
    </row>
    <row r="61" spans="2:7" ht="21" customHeight="1" x14ac:dyDescent="0.3">
      <c r="B61" s="334" t="str">
        <f>'DADOS - GOPOÚVA'!B79</f>
        <v>CLAUDIO JOSE SILVA SANTOS</v>
      </c>
      <c r="C61" s="334"/>
      <c r="D61" s="334"/>
      <c r="E61" s="334"/>
      <c r="F61" s="334"/>
      <c r="G61" s="334"/>
    </row>
    <row r="62" spans="2:7" ht="21" customHeight="1" x14ac:dyDescent="0.3">
      <c r="B62" s="334" t="s">
        <v>2624</v>
      </c>
      <c r="C62" s="334"/>
      <c r="D62" s="147" t="s">
        <v>56</v>
      </c>
      <c r="E62" s="147" t="s">
        <v>2625</v>
      </c>
      <c r="F62" s="147" t="s">
        <v>41</v>
      </c>
      <c r="G62" s="147" t="s">
        <v>42</v>
      </c>
    </row>
    <row r="63" spans="2:7" ht="21" customHeight="1" x14ac:dyDescent="0.3">
      <c r="B63" s="332" t="s">
        <v>46</v>
      </c>
      <c r="C63" s="332"/>
      <c r="D63" s="98">
        <f t="shared" ref="D63:D70" si="5">F63+G63+E63</f>
        <v>17</v>
      </c>
      <c r="E63" s="98">
        <f>COUNTIFS(ÁGUA!N:N,'EQUIPES - ÁGUA'!B61,ÁGUA!O:O,"SF")</f>
        <v>0</v>
      </c>
      <c r="F63" s="98">
        <f>COUNTIFS(ÁGUA!N:N,'EQUIPES - ÁGUA'!B61,ÁGUA!O:O,"c")</f>
        <v>17</v>
      </c>
      <c r="G63" s="98">
        <f>COUNTIFS(ÁGUA!N:N,'EQUIPES - ÁGUA'!B61,ÁGUA!O:O,"NC")</f>
        <v>0</v>
      </c>
    </row>
    <row r="64" spans="2:7" ht="21" customHeight="1" x14ac:dyDescent="0.3">
      <c r="B64" s="332" t="s">
        <v>47</v>
      </c>
      <c r="C64" s="332"/>
      <c r="D64" s="98">
        <f t="shared" si="5"/>
        <v>17</v>
      </c>
      <c r="E64" s="98">
        <f>COUNTIFS(ÁGUA!N:N,'EQUIPES - ÁGUA'!B61,ÁGUA!Q:Q,"SF")</f>
        <v>0</v>
      </c>
      <c r="F64" s="98">
        <f>COUNTIFS(ÁGUA!N:N,'EQUIPES - ÁGUA'!B61,ÁGUA!Q:Q,"c")</f>
        <v>17</v>
      </c>
      <c r="G64" s="98">
        <f>COUNTIFS(ÁGUA!N:N,'EQUIPES - ÁGUA'!B61,ÁGUA!Q:Q,"NC")</f>
        <v>0</v>
      </c>
    </row>
    <row r="65" spans="2:7" ht="21" customHeight="1" x14ac:dyDescent="0.3">
      <c r="B65" s="332" t="s">
        <v>48</v>
      </c>
      <c r="C65" s="332"/>
      <c r="D65" s="98">
        <f t="shared" si="5"/>
        <v>17</v>
      </c>
      <c r="E65" s="98">
        <f>COUNTIFS(ÁGUA!N:N,'EQUIPES - ÁGUA'!B61,ÁGUA!S:S,"SF")</f>
        <v>0</v>
      </c>
      <c r="F65" s="98">
        <f>COUNTIFS(ÁGUA!N:N,'EQUIPES - ÁGUA'!B61,ÁGUA!S:S,"c")</f>
        <v>17</v>
      </c>
      <c r="G65" s="98">
        <f>COUNTIFS(ÁGUA!N:N,'EQUIPES - ÁGUA'!B61,ÁGUA!S:S,"NC")</f>
        <v>0</v>
      </c>
    </row>
    <row r="66" spans="2:7" ht="21" customHeight="1" x14ac:dyDescent="0.3">
      <c r="B66" s="332" t="s">
        <v>49</v>
      </c>
      <c r="C66" s="332"/>
      <c r="D66" s="98">
        <f t="shared" si="5"/>
        <v>17</v>
      </c>
      <c r="E66" s="98">
        <f>COUNTIFS(ÁGUA!N:N,'EQUIPES - ÁGUA'!B61,ÁGUA!U:U,"SF")</f>
        <v>0</v>
      </c>
      <c r="F66" s="98">
        <f>COUNTIFS(ÁGUA!N:N,'EQUIPES - ÁGUA'!B61,ÁGUA!U:U,"c")</f>
        <v>17</v>
      </c>
      <c r="G66" s="98">
        <f>COUNTIFS(ÁGUA!N:N,'EQUIPES - ÁGUA'!B61,ÁGUA!U:U,"NC")</f>
        <v>0</v>
      </c>
    </row>
    <row r="67" spans="2:7" ht="21" customHeight="1" x14ac:dyDescent="0.3">
      <c r="B67" s="332" t="s">
        <v>50</v>
      </c>
      <c r="C67" s="332"/>
      <c r="D67" s="98">
        <f t="shared" si="5"/>
        <v>17</v>
      </c>
      <c r="E67" s="98">
        <f>COUNTIFS(ÁGUA!N:N,'EQUIPES - ÁGUA'!B61,ÁGUA!W:W,"SF")</f>
        <v>0</v>
      </c>
      <c r="F67" s="98">
        <f>COUNTIFS(ÁGUA!N:N,'EQUIPES - ÁGUA'!B61,ÁGUA!W:W,"c")</f>
        <v>17</v>
      </c>
      <c r="G67" s="98">
        <f>COUNTIFS(ÁGUA!N:N,'EQUIPES - ÁGUA'!B61,ÁGUA!W:W,"NC")</f>
        <v>0</v>
      </c>
    </row>
    <row r="68" spans="2:7" ht="21" customHeight="1" x14ac:dyDescent="0.3">
      <c r="B68" s="332" t="s">
        <v>51</v>
      </c>
      <c r="C68" s="332"/>
      <c r="D68" s="98">
        <f t="shared" si="5"/>
        <v>3</v>
      </c>
      <c r="E68" s="98">
        <f>COUNTIFS(ÁGUA!N:N,'EQUIPES - ÁGUA'!B61,ÁGUA!Y:Y,"SF")</f>
        <v>0</v>
      </c>
      <c r="F68" s="98">
        <f>COUNTIFS(ÁGUA!N:N,'EQUIPES - ÁGUA'!B61,ÁGUA!Y:Y,"c")</f>
        <v>3</v>
      </c>
      <c r="G68" s="98">
        <f>COUNTIFS(ÁGUA!N:N,'EQUIPES - ÁGUA'!B61,ÁGUA!Y:Y,"NC")</f>
        <v>0</v>
      </c>
    </row>
    <row r="69" spans="2:7" ht="21" customHeight="1" x14ac:dyDescent="0.3">
      <c r="B69" s="332" t="s">
        <v>52</v>
      </c>
      <c r="C69" s="332"/>
      <c r="D69" s="98">
        <f t="shared" si="5"/>
        <v>17</v>
      </c>
      <c r="E69" s="98">
        <f>COUNTIFS(ÁGUA!N:N,'EQUIPES - ÁGUA'!B61,ÁGUA!AA:AA,"SF")</f>
        <v>0</v>
      </c>
      <c r="F69" s="98">
        <f>COUNTIFS(ÁGUA!N:N,'EQUIPES - ÁGUA'!B61,ÁGUA!AA:AA,"c")</f>
        <v>17</v>
      </c>
      <c r="G69" s="98">
        <f>COUNTIFS(ÁGUA!N:N,'EQUIPES - ÁGUA'!B61,ÁGUA!AA:AA,"NC")</f>
        <v>0</v>
      </c>
    </row>
    <row r="70" spans="2:7" ht="21" customHeight="1" x14ac:dyDescent="0.3">
      <c r="B70" s="332" t="s">
        <v>53</v>
      </c>
      <c r="C70" s="332"/>
      <c r="D70" s="98">
        <f t="shared" si="5"/>
        <v>17</v>
      </c>
      <c r="E70" s="98">
        <f>COUNTIFS(ÁGUA!N:N,'EQUIPES - ÁGUA'!B61,ÁGUA!AC:AC,"SF")</f>
        <v>0</v>
      </c>
      <c r="F70" s="98">
        <f>COUNTIFS(ÁGUA!N:N,'EQUIPES - ÁGUA'!B61,ÁGUA!AC:AC,"c")</f>
        <v>17</v>
      </c>
      <c r="G70" s="98">
        <f>COUNTIFS(ÁGUA!N:N,'EQUIPES - ÁGUA'!B61,ÁGUA!AC:AC,"NC")</f>
        <v>0</v>
      </c>
    </row>
    <row r="72" spans="2:7" ht="21" customHeight="1" x14ac:dyDescent="0.3">
      <c r="B72" s="334" t="str">
        <f>'DADOS - GOPOÚVA'!B80</f>
        <v>EDILSON BARRETO DA SILVA</v>
      </c>
      <c r="C72" s="334"/>
      <c r="D72" s="334"/>
      <c r="E72" s="334"/>
      <c r="F72" s="334"/>
      <c r="G72" s="334"/>
    </row>
    <row r="73" spans="2:7" ht="21" customHeight="1" x14ac:dyDescent="0.3">
      <c r="B73" s="334" t="s">
        <v>2624</v>
      </c>
      <c r="C73" s="334"/>
      <c r="D73" s="147" t="s">
        <v>56</v>
      </c>
      <c r="E73" s="147" t="s">
        <v>2625</v>
      </c>
      <c r="F73" s="147" t="s">
        <v>41</v>
      </c>
      <c r="G73" s="147" t="s">
        <v>42</v>
      </c>
    </row>
    <row r="74" spans="2:7" ht="21" customHeight="1" x14ac:dyDescent="0.3">
      <c r="B74" s="332" t="s">
        <v>46</v>
      </c>
      <c r="C74" s="332"/>
      <c r="D74" s="98">
        <f t="shared" ref="D74:D81" si="6">F74+G74+E74</f>
        <v>26</v>
      </c>
      <c r="E74" s="98">
        <f>COUNTIFS(ÁGUA!N:N,'EQUIPES - ÁGUA'!B72,ÁGUA!O:O,"SF")</f>
        <v>0</v>
      </c>
      <c r="F74" s="98">
        <f>COUNTIFS(ÁGUA!N:N,'EQUIPES - ÁGUA'!B72,ÁGUA!O:O,"c")</f>
        <v>26</v>
      </c>
      <c r="G74" s="98">
        <f>COUNTIFS(ÁGUA!N:N,'EQUIPES - ÁGUA'!B72,ÁGUA!O:O,"NC")</f>
        <v>0</v>
      </c>
    </row>
    <row r="75" spans="2:7" ht="21" customHeight="1" x14ac:dyDescent="0.3">
      <c r="B75" s="332" t="s">
        <v>47</v>
      </c>
      <c r="C75" s="332"/>
      <c r="D75" s="98">
        <f t="shared" si="6"/>
        <v>26</v>
      </c>
      <c r="E75" s="98">
        <f>COUNTIFS(ÁGUA!N:N,'EQUIPES - ÁGUA'!B72,ÁGUA!Q:Q,"SF")</f>
        <v>0</v>
      </c>
      <c r="F75" s="98">
        <f>COUNTIFS(ÁGUA!N:N,'EQUIPES - ÁGUA'!B72,ÁGUA!Q:Q,"c")</f>
        <v>26</v>
      </c>
      <c r="G75" s="98">
        <f>COUNTIFS(ÁGUA!N:N,'EQUIPES - ÁGUA'!B72,ÁGUA!Q:Q,"NC")</f>
        <v>0</v>
      </c>
    </row>
    <row r="76" spans="2:7" ht="21" customHeight="1" x14ac:dyDescent="0.3">
      <c r="B76" s="332" t="s">
        <v>48</v>
      </c>
      <c r="C76" s="332"/>
      <c r="D76" s="98">
        <f t="shared" si="6"/>
        <v>26</v>
      </c>
      <c r="E76" s="98">
        <f>COUNTIFS(ÁGUA!N:N,'EQUIPES - ÁGUA'!B72,ÁGUA!S:S,"SF")</f>
        <v>0</v>
      </c>
      <c r="F76" s="98">
        <f>COUNTIFS(ÁGUA!N:N,'EQUIPES - ÁGUA'!B72,ÁGUA!S:S,"c")</f>
        <v>26</v>
      </c>
      <c r="G76" s="98">
        <f>COUNTIFS(ÁGUA!N:N,'EQUIPES - ÁGUA'!B72,ÁGUA!S:S,"NC")</f>
        <v>0</v>
      </c>
    </row>
    <row r="77" spans="2:7" ht="21" customHeight="1" x14ac:dyDescent="0.3">
      <c r="B77" s="332" t="s">
        <v>49</v>
      </c>
      <c r="C77" s="332"/>
      <c r="D77" s="98">
        <f t="shared" si="6"/>
        <v>26</v>
      </c>
      <c r="E77" s="98">
        <f>COUNTIFS(ÁGUA!N:N,'EQUIPES - ÁGUA'!B72,ÁGUA!U:U,"SF")</f>
        <v>0</v>
      </c>
      <c r="F77" s="98">
        <f>COUNTIFS(ÁGUA!N:N,'EQUIPES - ÁGUA'!B72,ÁGUA!U:U,"c")</f>
        <v>26</v>
      </c>
      <c r="G77" s="98">
        <f>COUNTIFS(ÁGUA!N:N,'EQUIPES - ÁGUA'!B72,ÁGUA!U:U,"NC")</f>
        <v>0</v>
      </c>
    </row>
    <row r="78" spans="2:7" ht="21" customHeight="1" x14ac:dyDescent="0.3">
      <c r="B78" s="332" t="s">
        <v>50</v>
      </c>
      <c r="C78" s="332"/>
      <c r="D78" s="98">
        <f t="shared" si="6"/>
        <v>26</v>
      </c>
      <c r="E78" s="98">
        <f>COUNTIFS(ÁGUA!N:N,'EQUIPES - ÁGUA'!B72,ÁGUA!W:W,"SF")</f>
        <v>0</v>
      </c>
      <c r="F78" s="98">
        <f>COUNTIFS(ÁGUA!N:N,'EQUIPES - ÁGUA'!B72,ÁGUA!W:W,"c")</f>
        <v>26</v>
      </c>
      <c r="G78" s="98">
        <f>COUNTIFS(ÁGUA!N:N,'EQUIPES - ÁGUA'!B72,ÁGUA!W:W,"NC")</f>
        <v>0</v>
      </c>
    </row>
    <row r="79" spans="2:7" ht="21" customHeight="1" x14ac:dyDescent="0.3">
      <c r="B79" s="332" t="s">
        <v>51</v>
      </c>
      <c r="C79" s="332"/>
      <c r="D79" s="98">
        <f t="shared" si="6"/>
        <v>21</v>
      </c>
      <c r="E79" s="98">
        <f>COUNTIFS(ÁGUA!N:N,'EQUIPES - ÁGUA'!B72,ÁGUA!Y:Y,"SF")</f>
        <v>0</v>
      </c>
      <c r="F79" s="98">
        <f>COUNTIFS(ÁGUA!N:N,'EQUIPES - ÁGUA'!B72,ÁGUA!Y:Y,"c")</f>
        <v>21</v>
      </c>
      <c r="G79" s="98">
        <f>COUNTIFS(ÁGUA!N:N,'EQUIPES - ÁGUA'!B72,ÁGUA!Y:Y,"NC")</f>
        <v>0</v>
      </c>
    </row>
    <row r="80" spans="2:7" ht="21" customHeight="1" x14ac:dyDescent="0.3">
      <c r="B80" s="332" t="s">
        <v>52</v>
      </c>
      <c r="C80" s="332"/>
      <c r="D80" s="98">
        <f t="shared" si="6"/>
        <v>26</v>
      </c>
      <c r="E80" s="98">
        <f>COUNTIFS(ÁGUA!N:N,'EQUIPES - ÁGUA'!B72,ÁGUA!AA:AA,"SF")</f>
        <v>0</v>
      </c>
      <c r="F80" s="98">
        <f>COUNTIFS(ÁGUA!N:N,'EQUIPES - ÁGUA'!B72,ÁGUA!AA:AA,"c")</f>
        <v>22</v>
      </c>
      <c r="G80" s="98">
        <f>COUNTIFS(ÁGUA!N:N,'EQUIPES - ÁGUA'!B72,ÁGUA!AA:AA,"NC")</f>
        <v>4</v>
      </c>
    </row>
    <row r="81" spans="2:7" ht="21" customHeight="1" x14ac:dyDescent="0.3">
      <c r="B81" s="332" t="s">
        <v>53</v>
      </c>
      <c r="C81" s="332"/>
      <c r="D81" s="98">
        <f t="shared" si="6"/>
        <v>26</v>
      </c>
      <c r="E81" s="98">
        <f>COUNTIFS(ÁGUA!N:N,'EQUIPES - ÁGUA'!B72,ÁGUA!AC:AC,"SF")</f>
        <v>0</v>
      </c>
      <c r="F81" s="98">
        <f>COUNTIFS(ÁGUA!N:N,'EQUIPES - ÁGUA'!B72,ÁGUA!AC:AC,"c")</f>
        <v>24</v>
      </c>
      <c r="G81" s="98">
        <f>COUNTIFS(ÁGUA!N:N,'EQUIPES - ÁGUA'!B72,ÁGUA!AC:AC,"NC")</f>
        <v>2</v>
      </c>
    </row>
    <row r="83" spans="2:7" ht="21" customHeight="1" x14ac:dyDescent="0.3">
      <c r="B83" s="334" t="str">
        <f>'DADOS - GOPOÚVA'!B81</f>
        <v>EDILSON DA SILVA DE ALMEIDA</v>
      </c>
      <c r="C83" s="334"/>
      <c r="D83" s="334"/>
      <c r="E83" s="334"/>
      <c r="F83" s="334"/>
      <c r="G83" s="334"/>
    </row>
    <row r="84" spans="2:7" ht="21" customHeight="1" x14ac:dyDescent="0.3">
      <c r="B84" s="334" t="s">
        <v>2624</v>
      </c>
      <c r="C84" s="334"/>
      <c r="D84" s="147" t="s">
        <v>56</v>
      </c>
      <c r="E84" s="147" t="s">
        <v>2625</v>
      </c>
      <c r="F84" s="147" t="s">
        <v>41</v>
      </c>
      <c r="G84" s="147" t="s">
        <v>42</v>
      </c>
    </row>
    <row r="85" spans="2:7" ht="21" customHeight="1" x14ac:dyDescent="0.3">
      <c r="B85" s="332" t="s">
        <v>46</v>
      </c>
      <c r="C85" s="332"/>
      <c r="D85" s="98">
        <f t="shared" ref="D85:D92" si="7">F85+G85+E85</f>
        <v>16</v>
      </c>
      <c r="E85" s="98">
        <f>COUNTIFS(ÁGUA!N:N,'EQUIPES - ÁGUA'!B83,ÁGUA!O:O,"SF")</f>
        <v>0</v>
      </c>
      <c r="F85" s="98">
        <f>COUNTIFS(ÁGUA!N:N,'EQUIPES - ÁGUA'!B83,ÁGUA!O:O,"c")</f>
        <v>16</v>
      </c>
      <c r="G85" s="98">
        <f>COUNTIFS(ÁGUA!N:N,'EQUIPES - ÁGUA'!B83,ÁGUA!O:O,"NC")</f>
        <v>0</v>
      </c>
    </row>
    <row r="86" spans="2:7" ht="21" customHeight="1" x14ac:dyDescent="0.3">
      <c r="B86" s="332" t="s">
        <v>47</v>
      </c>
      <c r="C86" s="332"/>
      <c r="D86" s="98">
        <f t="shared" si="7"/>
        <v>16</v>
      </c>
      <c r="E86" s="98">
        <f>COUNTIFS(ÁGUA!N:N,'EQUIPES - ÁGUA'!B83,ÁGUA!Q:Q,"SF")</f>
        <v>0</v>
      </c>
      <c r="F86" s="98">
        <f>COUNTIFS(ÁGUA!N:N,'EQUIPES - ÁGUA'!B83,ÁGUA!Q:Q,"c")</f>
        <v>16</v>
      </c>
      <c r="G86" s="98">
        <f>COUNTIFS(ÁGUA!N:N,'EQUIPES - ÁGUA'!B83,ÁGUA!Q:Q,"NC")</f>
        <v>0</v>
      </c>
    </row>
    <row r="87" spans="2:7" ht="21" customHeight="1" x14ac:dyDescent="0.3">
      <c r="B87" s="332" t="s">
        <v>48</v>
      </c>
      <c r="C87" s="332"/>
      <c r="D87" s="98">
        <f t="shared" si="7"/>
        <v>16</v>
      </c>
      <c r="E87" s="98">
        <f>COUNTIFS(ÁGUA!N:N,'EQUIPES - ÁGUA'!B83,ÁGUA!S:S,"SF")</f>
        <v>0</v>
      </c>
      <c r="F87" s="98">
        <f>COUNTIFS(ÁGUA!N:N,'EQUIPES - ÁGUA'!B83,ÁGUA!S:S,"c")</f>
        <v>16</v>
      </c>
      <c r="G87" s="98">
        <f>COUNTIFS(ÁGUA!N:N,'EQUIPES - ÁGUA'!B83,ÁGUA!S:S,"NC")</f>
        <v>0</v>
      </c>
    </row>
    <row r="88" spans="2:7" ht="21" customHeight="1" x14ac:dyDescent="0.3">
      <c r="B88" s="332" t="s">
        <v>49</v>
      </c>
      <c r="C88" s="332"/>
      <c r="D88" s="98">
        <f t="shared" si="7"/>
        <v>16</v>
      </c>
      <c r="E88" s="98">
        <f>COUNTIFS(ÁGUA!N:N,'EQUIPES - ÁGUA'!B83,ÁGUA!U:U,"SF")</f>
        <v>0</v>
      </c>
      <c r="F88" s="98">
        <f>COUNTIFS(ÁGUA!N:N,'EQUIPES - ÁGUA'!B83,ÁGUA!U:U,"c")</f>
        <v>16</v>
      </c>
      <c r="G88" s="98">
        <f>COUNTIFS(ÁGUA!N:N,'EQUIPES - ÁGUA'!B83,ÁGUA!U:U,"NC")</f>
        <v>0</v>
      </c>
    </row>
    <row r="89" spans="2:7" ht="21" customHeight="1" x14ac:dyDescent="0.3">
      <c r="B89" s="332" t="s">
        <v>50</v>
      </c>
      <c r="C89" s="332"/>
      <c r="D89" s="98">
        <f t="shared" si="7"/>
        <v>16</v>
      </c>
      <c r="E89" s="98">
        <f>COUNTIFS(ÁGUA!N:N,'EQUIPES - ÁGUA'!B83,ÁGUA!W:W,"SF")</f>
        <v>0</v>
      </c>
      <c r="F89" s="98">
        <f>COUNTIFS(ÁGUA!N:N,'EQUIPES - ÁGUA'!B83,ÁGUA!W:W,"c")</f>
        <v>16</v>
      </c>
      <c r="G89" s="98">
        <f>COUNTIFS(ÁGUA!N:N,'EQUIPES - ÁGUA'!B83,ÁGUA!W:W,"NC")</f>
        <v>0</v>
      </c>
    </row>
    <row r="90" spans="2:7" ht="21" customHeight="1" x14ac:dyDescent="0.3">
      <c r="B90" s="332" t="s">
        <v>51</v>
      </c>
      <c r="C90" s="332"/>
      <c r="D90" s="98">
        <f t="shared" si="7"/>
        <v>2</v>
      </c>
      <c r="E90" s="98">
        <f>COUNTIFS(ÁGUA!N:N,'EQUIPES - ÁGUA'!B83,ÁGUA!Y:Y,"SF")</f>
        <v>0</v>
      </c>
      <c r="F90" s="98">
        <f>COUNTIFS(ÁGUA!N:N,'EQUIPES - ÁGUA'!B83,ÁGUA!Y:Y,"c")</f>
        <v>2</v>
      </c>
      <c r="G90" s="98">
        <f>COUNTIFS(ÁGUA!N:N,'EQUIPES - ÁGUA'!B83,ÁGUA!Y:Y,"NC")</f>
        <v>0</v>
      </c>
    </row>
    <row r="91" spans="2:7" ht="21" customHeight="1" x14ac:dyDescent="0.3">
      <c r="B91" s="332" t="s">
        <v>52</v>
      </c>
      <c r="C91" s="332"/>
      <c r="D91" s="98">
        <f t="shared" si="7"/>
        <v>16</v>
      </c>
      <c r="E91" s="98">
        <f>COUNTIFS(ÁGUA!N:N,'EQUIPES - ÁGUA'!B83,ÁGUA!AA:AA,"SF")</f>
        <v>0</v>
      </c>
      <c r="F91" s="98">
        <f>COUNTIFS(ÁGUA!N:N,'EQUIPES - ÁGUA'!B83,ÁGUA!AA:AA,"c")</f>
        <v>16</v>
      </c>
      <c r="G91" s="98">
        <f>COUNTIFS(ÁGUA!N:N,'EQUIPES - ÁGUA'!B83,ÁGUA!AA:AA,"NC")</f>
        <v>0</v>
      </c>
    </row>
    <row r="92" spans="2:7" ht="21" customHeight="1" x14ac:dyDescent="0.3">
      <c r="B92" s="332" t="s">
        <v>53</v>
      </c>
      <c r="C92" s="332"/>
      <c r="D92" s="98">
        <f t="shared" si="7"/>
        <v>16</v>
      </c>
      <c r="E92" s="98">
        <f>COUNTIFS(ÁGUA!N:N,'EQUIPES - ÁGUA'!B83,ÁGUA!AC:AC,"SF")</f>
        <v>0</v>
      </c>
      <c r="F92" s="98">
        <f>COUNTIFS(ÁGUA!N:N,'EQUIPES - ÁGUA'!B83,ÁGUA!AC:AC,"c")</f>
        <v>16</v>
      </c>
      <c r="G92" s="98">
        <f>COUNTIFS(ÁGUA!N:N,'EQUIPES - ÁGUA'!B83,ÁGUA!AC:AC,"NC")</f>
        <v>0</v>
      </c>
    </row>
    <row r="94" spans="2:7" ht="21" customHeight="1" x14ac:dyDescent="0.3">
      <c r="B94" s="334" t="str">
        <f>'DADOS - GOPOÚVA'!B82</f>
        <v>EDSON COUTINHO DOS SANTOS</v>
      </c>
      <c r="C94" s="334"/>
      <c r="D94" s="334"/>
      <c r="E94" s="334"/>
      <c r="F94" s="334"/>
      <c r="G94" s="334"/>
    </row>
    <row r="95" spans="2:7" ht="21" customHeight="1" x14ac:dyDescent="0.3">
      <c r="B95" s="334" t="s">
        <v>2624</v>
      </c>
      <c r="C95" s="334"/>
      <c r="D95" s="147" t="s">
        <v>56</v>
      </c>
      <c r="E95" s="147" t="s">
        <v>2625</v>
      </c>
      <c r="F95" s="147" t="s">
        <v>41</v>
      </c>
      <c r="G95" s="147" t="s">
        <v>42</v>
      </c>
    </row>
    <row r="96" spans="2:7" ht="21" customHeight="1" x14ac:dyDescent="0.3">
      <c r="B96" s="332" t="s">
        <v>46</v>
      </c>
      <c r="C96" s="332"/>
      <c r="D96" s="98">
        <f t="shared" ref="D96:D103" si="8">F96+G96+E96</f>
        <v>15</v>
      </c>
      <c r="E96" s="98">
        <f>COUNTIFS(ÁGUA!N:N,'EQUIPES - ÁGUA'!B94,ÁGUA!O:O,"SF")</f>
        <v>2</v>
      </c>
      <c r="F96" s="98">
        <f>COUNTIFS(ÁGUA!N:N,'EQUIPES - ÁGUA'!B94,ÁGUA!O:O,"c")</f>
        <v>13</v>
      </c>
      <c r="G96" s="98">
        <f>COUNTIFS(ÁGUA!N:N,'EQUIPES - ÁGUA'!B94,ÁGUA!O:O,"NC")</f>
        <v>0</v>
      </c>
    </row>
    <row r="97" spans="2:7" ht="21" customHeight="1" x14ac:dyDescent="0.3">
      <c r="B97" s="332" t="s">
        <v>47</v>
      </c>
      <c r="C97" s="332"/>
      <c r="D97" s="98">
        <f t="shared" si="8"/>
        <v>15</v>
      </c>
      <c r="E97" s="98">
        <f>COUNTIFS(ÁGUA!N:N,'EQUIPES - ÁGUA'!B94,ÁGUA!Q:Q,"SF")</f>
        <v>2</v>
      </c>
      <c r="F97" s="98">
        <f>COUNTIFS(ÁGUA!N:N,'EQUIPES - ÁGUA'!B94,ÁGUA!Q:Q,"c")</f>
        <v>13</v>
      </c>
      <c r="G97" s="98">
        <f>COUNTIFS(ÁGUA!N:N,'EQUIPES - ÁGUA'!B94,ÁGUA!Q:Q,"NC")</f>
        <v>0</v>
      </c>
    </row>
    <row r="98" spans="2:7" ht="21" customHeight="1" x14ac:dyDescent="0.3">
      <c r="B98" s="332" t="s">
        <v>48</v>
      </c>
      <c r="C98" s="332"/>
      <c r="D98" s="98">
        <f t="shared" si="8"/>
        <v>15</v>
      </c>
      <c r="E98" s="98">
        <f>COUNTIFS(ÁGUA!N:N,'EQUIPES - ÁGUA'!B94,ÁGUA!S:S,"SF")</f>
        <v>2</v>
      </c>
      <c r="F98" s="98">
        <f>COUNTIFS(ÁGUA!N:N,'EQUIPES - ÁGUA'!B94,ÁGUA!S:S,"c")</f>
        <v>13</v>
      </c>
      <c r="G98" s="98">
        <f>COUNTIFS(ÁGUA!N:N,'EQUIPES - ÁGUA'!B94,ÁGUA!S:S,"NC")</f>
        <v>0</v>
      </c>
    </row>
    <row r="99" spans="2:7" ht="21" customHeight="1" x14ac:dyDescent="0.3">
      <c r="B99" s="332" t="s">
        <v>49</v>
      </c>
      <c r="C99" s="332"/>
      <c r="D99" s="98">
        <f t="shared" si="8"/>
        <v>15</v>
      </c>
      <c r="E99" s="98">
        <f>COUNTIFS(ÁGUA!N:N,'EQUIPES - ÁGUA'!B94,ÁGUA!U:U,"SF")</f>
        <v>2</v>
      </c>
      <c r="F99" s="98">
        <f>COUNTIFS(ÁGUA!N:N,'EQUIPES - ÁGUA'!B94,ÁGUA!U:U,"c")</f>
        <v>13</v>
      </c>
      <c r="G99" s="98">
        <f>COUNTIFS(ÁGUA!N:N,'EQUIPES - ÁGUA'!B94,ÁGUA!U:U,"NC")</f>
        <v>0</v>
      </c>
    </row>
    <row r="100" spans="2:7" ht="21" customHeight="1" x14ac:dyDescent="0.3">
      <c r="B100" s="332" t="s">
        <v>50</v>
      </c>
      <c r="C100" s="332"/>
      <c r="D100" s="98">
        <f t="shared" si="8"/>
        <v>15</v>
      </c>
      <c r="E100" s="98">
        <f>COUNTIFS(ÁGUA!N:N,'EQUIPES - ÁGUA'!B94,ÁGUA!W:W,"SF")</f>
        <v>2</v>
      </c>
      <c r="F100" s="98">
        <f>COUNTIFS(ÁGUA!N:N,'EQUIPES - ÁGUA'!B94,ÁGUA!W:W,"c")</f>
        <v>13</v>
      </c>
      <c r="G100" s="98">
        <f>COUNTIFS(ÁGUA!N:N,'EQUIPES - ÁGUA'!B94,ÁGUA!W:W,"NC")</f>
        <v>0</v>
      </c>
    </row>
    <row r="101" spans="2:7" ht="21" customHeight="1" x14ac:dyDescent="0.3">
      <c r="B101" s="332" t="s">
        <v>51</v>
      </c>
      <c r="C101" s="332"/>
      <c r="D101" s="98">
        <f t="shared" si="8"/>
        <v>5</v>
      </c>
      <c r="E101" s="98">
        <f>COUNTIFS(ÁGUA!N:N,'EQUIPES - ÁGUA'!B94,ÁGUA!Y:Y,"SF")</f>
        <v>2</v>
      </c>
      <c r="F101" s="98">
        <f>COUNTIFS(ÁGUA!N:N,'EQUIPES - ÁGUA'!B94,ÁGUA!Y:Y,"c")</f>
        <v>3</v>
      </c>
      <c r="G101" s="98">
        <f>COUNTIFS(ÁGUA!N:N,'EQUIPES - ÁGUA'!B94,ÁGUA!Y:Y,"NC")</f>
        <v>0</v>
      </c>
    </row>
    <row r="102" spans="2:7" ht="21" customHeight="1" x14ac:dyDescent="0.3">
      <c r="B102" s="332" t="s">
        <v>52</v>
      </c>
      <c r="C102" s="332"/>
      <c r="D102" s="98">
        <f t="shared" si="8"/>
        <v>15</v>
      </c>
      <c r="E102" s="98">
        <f>COUNTIFS(ÁGUA!N:N,'EQUIPES - ÁGUA'!B94,ÁGUA!AA:AA,"SF")</f>
        <v>2</v>
      </c>
      <c r="F102" s="98">
        <f>COUNTIFS(ÁGUA!N:N,'EQUIPES - ÁGUA'!B94,ÁGUA!AA:AA,"c")</f>
        <v>13</v>
      </c>
      <c r="G102" s="98">
        <f>COUNTIFS(ÁGUA!N:N,'EQUIPES - ÁGUA'!B94,ÁGUA!AA:AA,"NC")</f>
        <v>0</v>
      </c>
    </row>
    <row r="103" spans="2:7" ht="21" customHeight="1" x14ac:dyDescent="0.3">
      <c r="B103" s="332" t="s">
        <v>53</v>
      </c>
      <c r="C103" s="332"/>
      <c r="D103" s="98">
        <f t="shared" si="8"/>
        <v>15</v>
      </c>
      <c r="E103" s="98">
        <f>COUNTIFS(ÁGUA!N:N,'EQUIPES - ÁGUA'!B94,ÁGUA!AC:AC,"SF")</f>
        <v>2</v>
      </c>
      <c r="F103" s="98">
        <f>COUNTIFS(ÁGUA!N:N,'EQUIPES - ÁGUA'!B94,ÁGUA!AC:AC,"c")</f>
        <v>13</v>
      </c>
      <c r="G103" s="98">
        <f>COUNTIFS(ÁGUA!N:N,'EQUIPES - ÁGUA'!B94,ÁGUA!AC:AC,"NC")</f>
        <v>0</v>
      </c>
    </row>
    <row r="105" spans="2:7" ht="21" customHeight="1" x14ac:dyDescent="0.3">
      <c r="B105" s="334" t="str">
        <f>'DADOS - GOPOÚVA'!B83</f>
        <v>EDSON EVANGELISTA CABRAL SOARES</v>
      </c>
      <c r="C105" s="334"/>
      <c r="D105" s="334"/>
      <c r="E105" s="334"/>
      <c r="F105" s="334"/>
      <c r="G105" s="334"/>
    </row>
    <row r="106" spans="2:7" ht="21" customHeight="1" x14ac:dyDescent="0.3">
      <c r="B106" s="334" t="s">
        <v>2624</v>
      </c>
      <c r="C106" s="334"/>
      <c r="D106" s="147" t="s">
        <v>56</v>
      </c>
      <c r="E106" s="147" t="s">
        <v>2625</v>
      </c>
      <c r="F106" s="147" t="s">
        <v>41</v>
      </c>
      <c r="G106" s="147" t="s">
        <v>42</v>
      </c>
    </row>
    <row r="107" spans="2:7" ht="21" customHeight="1" x14ac:dyDescent="0.3">
      <c r="B107" s="332" t="s">
        <v>46</v>
      </c>
      <c r="C107" s="332"/>
      <c r="D107" s="98">
        <f t="shared" ref="D107:D114" si="9">F107+G107+E107</f>
        <v>1</v>
      </c>
      <c r="E107" s="98">
        <f>COUNTIFS(ÁGUA!N:N,'EQUIPES - ÁGUA'!B105,ÁGUA!O:O,"SF")</f>
        <v>0</v>
      </c>
      <c r="F107" s="98">
        <f>COUNTIFS(ÁGUA!N:N,'EQUIPES - ÁGUA'!B105,ÁGUA!O:O,"c")</f>
        <v>1</v>
      </c>
      <c r="G107" s="98">
        <f>COUNTIFS(ÁGUA!N:N,'EQUIPES - ÁGUA'!B105,ÁGUA!O:O,"NC")</f>
        <v>0</v>
      </c>
    </row>
    <row r="108" spans="2:7" ht="21" customHeight="1" x14ac:dyDescent="0.3">
      <c r="B108" s="332" t="s">
        <v>47</v>
      </c>
      <c r="C108" s="332"/>
      <c r="D108" s="98">
        <f t="shared" si="9"/>
        <v>0</v>
      </c>
      <c r="E108" s="98">
        <f>COUNTIFS(ÁGUA!N:N,'EQUIPES - ÁGUA'!B105,ÁGUA!Q:Q,"SF")</f>
        <v>0</v>
      </c>
      <c r="F108" s="98">
        <f>COUNTIFS(ÁGUA!N:N,'EQUIPES - ÁGUA'!B105,ÁGUA!Q:Q,"c")</f>
        <v>0</v>
      </c>
      <c r="G108" s="98">
        <f>COUNTIFS(ÁGUA!N:N,'EQUIPES - ÁGUA'!B105,ÁGUA!Q:Q,"NC")</f>
        <v>0</v>
      </c>
    </row>
    <row r="109" spans="2:7" ht="21" customHeight="1" x14ac:dyDescent="0.3">
      <c r="B109" s="332" t="s">
        <v>48</v>
      </c>
      <c r="C109" s="332"/>
      <c r="D109" s="98">
        <f t="shared" si="9"/>
        <v>1</v>
      </c>
      <c r="E109" s="98">
        <f>COUNTIFS(ÁGUA!N:N,'EQUIPES - ÁGUA'!B105,ÁGUA!S:S,"SF")</f>
        <v>0</v>
      </c>
      <c r="F109" s="98">
        <f>COUNTIFS(ÁGUA!N:N,'EQUIPES - ÁGUA'!B105,ÁGUA!S:S,"c")</f>
        <v>1</v>
      </c>
      <c r="G109" s="98">
        <f>COUNTIFS(ÁGUA!N:N,'EQUIPES - ÁGUA'!B105,ÁGUA!S:S,"NC")</f>
        <v>0</v>
      </c>
    </row>
    <row r="110" spans="2:7" ht="21" customHeight="1" x14ac:dyDescent="0.3">
      <c r="B110" s="332" t="s">
        <v>49</v>
      </c>
      <c r="C110" s="332"/>
      <c r="D110" s="98">
        <f t="shared" si="9"/>
        <v>1</v>
      </c>
      <c r="E110" s="98">
        <f>COUNTIFS(ÁGUA!N:N,'EQUIPES - ÁGUA'!B105,ÁGUA!U:U,"SF")</f>
        <v>0</v>
      </c>
      <c r="F110" s="98">
        <f>COUNTIFS(ÁGUA!N:N,'EQUIPES - ÁGUA'!B105,ÁGUA!U:U,"c")</f>
        <v>1</v>
      </c>
      <c r="G110" s="98">
        <f>COUNTIFS(ÁGUA!N:N,'EQUIPES - ÁGUA'!B105,ÁGUA!U:U,"NC")</f>
        <v>0</v>
      </c>
    </row>
    <row r="111" spans="2:7" ht="21" customHeight="1" x14ac:dyDescent="0.3">
      <c r="B111" s="332" t="s">
        <v>50</v>
      </c>
      <c r="C111" s="332"/>
      <c r="D111" s="98">
        <f t="shared" si="9"/>
        <v>1</v>
      </c>
      <c r="E111" s="98">
        <f>COUNTIFS(ÁGUA!N:N,'EQUIPES - ÁGUA'!B105,ÁGUA!W:W,"SF")</f>
        <v>0</v>
      </c>
      <c r="F111" s="98">
        <f>COUNTIFS(ÁGUA!N:N,'EQUIPES - ÁGUA'!B105,ÁGUA!W:W,"c")</f>
        <v>1</v>
      </c>
      <c r="G111" s="98">
        <f>COUNTIFS(ÁGUA!N:N,'EQUIPES - ÁGUA'!B105,ÁGUA!W:W,"NC")</f>
        <v>0</v>
      </c>
    </row>
    <row r="112" spans="2:7" ht="21" customHeight="1" x14ac:dyDescent="0.3">
      <c r="B112" s="332" t="s">
        <v>51</v>
      </c>
      <c r="C112" s="332"/>
      <c r="D112" s="98">
        <f t="shared" si="9"/>
        <v>0</v>
      </c>
      <c r="E112" s="98">
        <f>COUNTIFS(ÁGUA!N:N,'EQUIPES - ÁGUA'!B105,ÁGUA!Y:Y,"SF")</f>
        <v>0</v>
      </c>
      <c r="F112" s="98">
        <f>COUNTIFS(ÁGUA!N:N,'EQUIPES - ÁGUA'!B105,ÁGUA!Y:Y,"c")</f>
        <v>0</v>
      </c>
      <c r="G112" s="98">
        <f>COUNTIFS(ÁGUA!N:N,'EQUIPES - ÁGUA'!B105,ÁGUA!Y:Y,"NC")</f>
        <v>0</v>
      </c>
    </row>
    <row r="113" spans="2:7" ht="21" customHeight="1" x14ac:dyDescent="0.3">
      <c r="B113" s="332" t="s">
        <v>52</v>
      </c>
      <c r="C113" s="332"/>
      <c r="D113" s="98">
        <f t="shared" si="9"/>
        <v>1</v>
      </c>
      <c r="E113" s="98">
        <f>COUNTIFS(ÁGUA!N:N,'EQUIPES - ÁGUA'!B105,ÁGUA!AA:AA,"SF")</f>
        <v>0</v>
      </c>
      <c r="F113" s="98">
        <f>COUNTIFS(ÁGUA!N:N,'EQUIPES - ÁGUA'!B105,ÁGUA!AA:AA,"c")</f>
        <v>1</v>
      </c>
      <c r="G113" s="98">
        <f>COUNTIFS(ÁGUA!N:N,'EQUIPES - ÁGUA'!B105,ÁGUA!AA:AA,"NC")</f>
        <v>0</v>
      </c>
    </row>
    <row r="114" spans="2:7" ht="21" customHeight="1" x14ac:dyDescent="0.3">
      <c r="B114" s="332" t="s">
        <v>53</v>
      </c>
      <c r="C114" s="332"/>
      <c r="D114" s="98">
        <f t="shared" si="9"/>
        <v>1</v>
      </c>
      <c r="E114" s="98">
        <f>COUNTIFS(ÁGUA!N:N,'EQUIPES - ÁGUA'!B105,ÁGUA!AC:AC,"SF")</f>
        <v>0</v>
      </c>
      <c r="F114" s="98">
        <f>COUNTIFS(ÁGUA!N:N,'EQUIPES - ÁGUA'!B105,ÁGUA!AC:AC,"c")</f>
        <v>1</v>
      </c>
      <c r="G114" s="98">
        <f>COUNTIFS(ÁGUA!N:N,'EQUIPES - ÁGUA'!B105,ÁGUA!AC:AC,"NC")</f>
        <v>0</v>
      </c>
    </row>
    <row r="117" spans="2:7" ht="21" customHeight="1" x14ac:dyDescent="0.3">
      <c r="B117" s="334" t="str">
        <f>'DADOS - GOPOÚVA'!B84</f>
        <v>FABIO SANTOS</v>
      </c>
      <c r="C117" s="334"/>
      <c r="D117" s="334"/>
      <c r="E117" s="334"/>
      <c r="F117" s="334"/>
      <c r="G117" s="334"/>
    </row>
    <row r="118" spans="2:7" ht="21" customHeight="1" x14ac:dyDescent="0.3">
      <c r="B118" s="334" t="s">
        <v>2624</v>
      </c>
      <c r="C118" s="334"/>
      <c r="D118" s="147" t="s">
        <v>56</v>
      </c>
      <c r="E118" s="147" t="s">
        <v>2625</v>
      </c>
      <c r="F118" s="147" t="s">
        <v>41</v>
      </c>
      <c r="G118" s="147" t="s">
        <v>42</v>
      </c>
    </row>
    <row r="119" spans="2:7" ht="21" customHeight="1" x14ac:dyDescent="0.3">
      <c r="B119" s="332" t="s">
        <v>46</v>
      </c>
      <c r="C119" s="332"/>
      <c r="D119" s="98">
        <f t="shared" ref="D119:D126" si="10">F119+G119+E119</f>
        <v>7</v>
      </c>
      <c r="E119" s="98">
        <f>COUNTIFS(ÁGUA!N:N,'EQUIPES - ÁGUA'!B117,ÁGUA!O:O,"SF")</f>
        <v>0</v>
      </c>
      <c r="F119" s="98">
        <f>COUNTIFS(ÁGUA!N:N,'EQUIPES - ÁGUA'!B117,ÁGUA!O:O,"c")</f>
        <v>7</v>
      </c>
      <c r="G119" s="98">
        <f>COUNTIFS(ÁGUA!N:N,'EQUIPES - ÁGUA'!B117,ÁGUA!O:O,"NC")</f>
        <v>0</v>
      </c>
    </row>
    <row r="120" spans="2:7" ht="21" customHeight="1" x14ac:dyDescent="0.3">
      <c r="B120" s="332" t="s">
        <v>47</v>
      </c>
      <c r="C120" s="332"/>
      <c r="D120" s="98">
        <f t="shared" si="10"/>
        <v>7</v>
      </c>
      <c r="E120" s="98">
        <f>COUNTIFS(ÁGUA!N:N,'EQUIPES - ÁGUA'!B117,ÁGUA!Q:Q,"SF")</f>
        <v>0</v>
      </c>
      <c r="F120" s="98">
        <f>COUNTIFS(ÁGUA!N:N,'EQUIPES - ÁGUA'!B117,ÁGUA!Q:Q,"c")</f>
        <v>6</v>
      </c>
      <c r="G120" s="98">
        <f>COUNTIFS(ÁGUA!N:N,'EQUIPES - ÁGUA'!B117,ÁGUA!Q:Q,"NC")</f>
        <v>1</v>
      </c>
    </row>
    <row r="121" spans="2:7" ht="21" customHeight="1" x14ac:dyDescent="0.3">
      <c r="B121" s="332" t="s">
        <v>48</v>
      </c>
      <c r="C121" s="332"/>
      <c r="D121" s="98">
        <f t="shared" si="10"/>
        <v>7</v>
      </c>
      <c r="E121" s="98">
        <f>COUNTIFS(ÁGUA!N:N,'EQUIPES - ÁGUA'!B117,ÁGUA!S:S,"SF")</f>
        <v>0</v>
      </c>
      <c r="F121" s="98">
        <f>COUNTIFS(ÁGUA!N:N,'EQUIPES - ÁGUA'!B117,ÁGUA!S:S,"c")</f>
        <v>7</v>
      </c>
      <c r="G121" s="98">
        <f>COUNTIFS(ÁGUA!N:N,'EQUIPES - ÁGUA'!B117,ÁGUA!S:S,"NC")</f>
        <v>0</v>
      </c>
    </row>
    <row r="122" spans="2:7" ht="21" customHeight="1" x14ac:dyDescent="0.3">
      <c r="B122" s="332" t="s">
        <v>49</v>
      </c>
      <c r="C122" s="332"/>
      <c r="D122" s="98">
        <f t="shared" si="10"/>
        <v>7</v>
      </c>
      <c r="E122" s="98">
        <f>COUNTIFS(ÁGUA!N:N,'EQUIPES - ÁGUA'!B117,ÁGUA!U:U,"SF")</f>
        <v>0</v>
      </c>
      <c r="F122" s="98">
        <f>COUNTIFS(ÁGUA!N:N,'EQUIPES - ÁGUA'!B117,ÁGUA!U:U,"c")</f>
        <v>7</v>
      </c>
      <c r="G122" s="98">
        <f>COUNTIFS(ÁGUA!N:N,'EQUIPES - ÁGUA'!B117,ÁGUA!U:U,"NC")</f>
        <v>0</v>
      </c>
    </row>
    <row r="123" spans="2:7" ht="21" customHeight="1" x14ac:dyDescent="0.3">
      <c r="B123" s="332" t="s">
        <v>50</v>
      </c>
      <c r="C123" s="332"/>
      <c r="D123" s="98">
        <f t="shared" si="10"/>
        <v>7</v>
      </c>
      <c r="E123" s="98">
        <f>COUNTIFS(ÁGUA!N:N,'EQUIPES - ÁGUA'!B117,ÁGUA!W:W,"SF")</f>
        <v>0</v>
      </c>
      <c r="F123" s="98">
        <f>COUNTIFS(ÁGUA!N:N,'EQUIPES - ÁGUA'!B117,ÁGUA!W:W,"c")</f>
        <v>6</v>
      </c>
      <c r="G123" s="98">
        <f>COUNTIFS(ÁGUA!N:N,'EQUIPES - ÁGUA'!B117,ÁGUA!W:W,"NC")</f>
        <v>1</v>
      </c>
    </row>
    <row r="124" spans="2:7" ht="21" customHeight="1" x14ac:dyDescent="0.3">
      <c r="B124" s="332" t="s">
        <v>51</v>
      </c>
      <c r="C124" s="332"/>
      <c r="D124" s="98">
        <f t="shared" si="10"/>
        <v>1</v>
      </c>
      <c r="E124" s="98">
        <f>COUNTIFS(ÁGUA!N:N,'EQUIPES - ÁGUA'!B117,ÁGUA!Y:Y,"SF")</f>
        <v>0</v>
      </c>
      <c r="F124" s="98">
        <f>COUNTIFS(ÁGUA!N:N,'EQUIPES - ÁGUA'!B117,ÁGUA!Y:Y,"c")</f>
        <v>1</v>
      </c>
      <c r="G124" s="98">
        <f>COUNTIFS(ÁGUA!N:N,'EQUIPES - ÁGUA'!B117,ÁGUA!Y:Y,"NC")</f>
        <v>0</v>
      </c>
    </row>
    <row r="125" spans="2:7" ht="21" customHeight="1" x14ac:dyDescent="0.3">
      <c r="B125" s="332" t="s">
        <v>52</v>
      </c>
      <c r="C125" s="332"/>
      <c r="D125" s="98">
        <f t="shared" si="10"/>
        <v>7</v>
      </c>
      <c r="E125" s="98">
        <f>COUNTIFS(ÁGUA!N:N,'EQUIPES - ÁGUA'!B117,ÁGUA!AA:AA,"SF")</f>
        <v>0</v>
      </c>
      <c r="F125" s="98">
        <f>COUNTIFS(ÁGUA!N:N,'EQUIPES - ÁGUA'!B117,ÁGUA!AA:AA,"c")</f>
        <v>7</v>
      </c>
      <c r="G125" s="98">
        <f>COUNTIFS(ÁGUA!N:N,'EQUIPES - ÁGUA'!B117,ÁGUA!AA:AA,"NC")</f>
        <v>0</v>
      </c>
    </row>
    <row r="126" spans="2:7" ht="21" customHeight="1" x14ac:dyDescent="0.3">
      <c r="B126" s="332" t="s">
        <v>53</v>
      </c>
      <c r="C126" s="332"/>
      <c r="D126" s="98">
        <f t="shared" si="10"/>
        <v>7</v>
      </c>
      <c r="E126" s="98">
        <f>COUNTIFS(ÁGUA!N:N,'EQUIPES - ÁGUA'!B117,ÁGUA!AC:AC,"SF")</f>
        <v>0</v>
      </c>
      <c r="F126" s="98">
        <f>COUNTIFS(ÁGUA!N:N,'EQUIPES - ÁGUA'!B117,ÁGUA!AC:AC,"c")</f>
        <v>7</v>
      </c>
      <c r="G126" s="98">
        <f>COUNTIFS(ÁGUA!N:N,'EQUIPES - ÁGUA'!B117,ÁGUA!AC:AC,"NC")</f>
        <v>0</v>
      </c>
    </row>
    <row r="128" spans="2:7" ht="21" customHeight="1" x14ac:dyDescent="0.3">
      <c r="B128" s="334" t="str">
        <f>'DADOS - GOPOÚVA'!B85</f>
        <v>GILVAN FERREIRA DOS SANTOS</v>
      </c>
      <c r="C128" s="334"/>
      <c r="D128" s="334"/>
      <c r="E128" s="334"/>
      <c r="F128" s="334"/>
      <c r="G128" s="334"/>
    </row>
    <row r="129" spans="2:7" ht="21" customHeight="1" x14ac:dyDescent="0.3">
      <c r="B129" s="334" t="s">
        <v>2624</v>
      </c>
      <c r="C129" s="334"/>
      <c r="D129" s="147" t="s">
        <v>56</v>
      </c>
      <c r="E129" s="147" t="s">
        <v>2625</v>
      </c>
      <c r="F129" s="147" t="s">
        <v>41</v>
      </c>
      <c r="G129" s="147" t="s">
        <v>42</v>
      </c>
    </row>
    <row r="130" spans="2:7" ht="21" customHeight="1" x14ac:dyDescent="0.3">
      <c r="B130" s="332" t="s">
        <v>46</v>
      </c>
      <c r="C130" s="332"/>
      <c r="D130" s="98">
        <f t="shared" ref="D130:D137" si="11">F130+G130+E130</f>
        <v>1</v>
      </c>
      <c r="E130" s="98">
        <f>COUNTIFS(ÁGUA!N:N,'EQUIPES - ÁGUA'!B128,ÁGUA!O:O,"SF")</f>
        <v>0</v>
      </c>
      <c r="F130" s="98">
        <f>COUNTIFS(ÁGUA!N:N,'EQUIPES - ÁGUA'!B128,ÁGUA!O:O,"c")</f>
        <v>1</v>
      </c>
      <c r="G130" s="98">
        <f>COUNTIFS(ÁGUA!N:N,'EQUIPES - ÁGUA'!B128,ÁGUA!O:O,"NC")</f>
        <v>0</v>
      </c>
    </row>
    <row r="131" spans="2:7" ht="21" customHeight="1" x14ac:dyDescent="0.3">
      <c r="B131" s="332" t="s">
        <v>47</v>
      </c>
      <c r="C131" s="332"/>
      <c r="D131" s="98">
        <f t="shared" si="11"/>
        <v>1</v>
      </c>
      <c r="E131" s="98">
        <f>COUNTIFS(ÁGUA!N:N,'EQUIPES - ÁGUA'!B128,ÁGUA!Q:Q,"SF")</f>
        <v>0</v>
      </c>
      <c r="F131" s="98">
        <f>COUNTIFS(ÁGUA!N:N,'EQUIPES - ÁGUA'!B128,ÁGUA!Q:Q,"c")</f>
        <v>1</v>
      </c>
      <c r="G131" s="98">
        <f>COUNTIFS(ÁGUA!N:N,'EQUIPES - ÁGUA'!B128,ÁGUA!Q:Q,"NC")</f>
        <v>0</v>
      </c>
    </row>
    <row r="132" spans="2:7" ht="21" customHeight="1" x14ac:dyDescent="0.3">
      <c r="B132" s="332" t="s">
        <v>48</v>
      </c>
      <c r="C132" s="332"/>
      <c r="D132" s="98">
        <f t="shared" si="11"/>
        <v>1</v>
      </c>
      <c r="E132" s="98">
        <f>COUNTIFS(ÁGUA!N:N,'EQUIPES - ÁGUA'!B128,ÁGUA!S:S,"SF")</f>
        <v>0</v>
      </c>
      <c r="F132" s="98">
        <f>COUNTIFS(ÁGUA!N:N,'EQUIPES - ÁGUA'!B128,ÁGUA!S:S,"c")</f>
        <v>1</v>
      </c>
      <c r="G132" s="98">
        <f>COUNTIFS(ÁGUA!N:N,'EQUIPES - ÁGUA'!B128,ÁGUA!S:S,"NC")</f>
        <v>0</v>
      </c>
    </row>
    <row r="133" spans="2:7" ht="21" customHeight="1" x14ac:dyDescent="0.3">
      <c r="B133" s="332" t="s">
        <v>49</v>
      </c>
      <c r="C133" s="332"/>
      <c r="D133" s="98">
        <f t="shared" si="11"/>
        <v>1</v>
      </c>
      <c r="E133" s="98">
        <f>COUNTIFS(ÁGUA!N:N,'EQUIPES - ÁGUA'!B128,ÁGUA!U:U,"SF")</f>
        <v>0</v>
      </c>
      <c r="F133" s="98">
        <f>COUNTIFS(ÁGUA!N:N,'EQUIPES - ÁGUA'!B128,ÁGUA!U:U,"c")</f>
        <v>1</v>
      </c>
      <c r="G133" s="98">
        <f>COUNTIFS(ÁGUA!N:N,'EQUIPES - ÁGUA'!B128,ÁGUA!U:U,"NC")</f>
        <v>0</v>
      </c>
    </row>
    <row r="134" spans="2:7" ht="21" customHeight="1" x14ac:dyDescent="0.3">
      <c r="B134" s="332" t="s">
        <v>50</v>
      </c>
      <c r="C134" s="332"/>
      <c r="D134" s="98">
        <f t="shared" si="11"/>
        <v>1</v>
      </c>
      <c r="E134" s="98">
        <f>COUNTIFS(ÁGUA!N:N,'EQUIPES - ÁGUA'!B128,ÁGUA!W:W,"SF")</f>
        <v>0</v>
      </c>
      <c r="F134" s="98">
        <f>COUNTIFS(ÁGUA!N:N,'EQUIPES - ÁGUA'!B128,ÁGUA!W:W,"c")</f>
        <v>1</v>
      </c>
      <c r="G134" s="98">
        <f>COUNTIFS(ÁGUA!N:N,'EQUIPES - ÁGUA'!B128,ÁGUA!W:W,"NC")</f>
        <v>0</v>
      </c>
    </row>
    <row r="135" spans="2:7" ht="21" customHeight="1" x14ac:dyDescent="0.3">
      <c r="B135" s="332" t="s">
        <v>51</v>
      </c>
      <c r="C135" s="332"/>
      <c r="D135" s="98">
        <f t="shared" si="11"/>
        <v>0</v>
      </c>
      <c r="E135" s="98">
        <f>COUNTIFS(ÁGUA!N:N,'EQUIPES - ÁGUA'!B128,ÁGUA!Y:Y,"SF")</f>
        <v>0</v>
      </c>
      <c r="F135" s="98">
        <f>COUNTIFS(ÁGUA!N:N,'EQUIPES - ÁGUA'!B128,ÁGUA!Y:Y,"c")</f>
        <v>0</v>
      </c>
      <c r="G135" s="98">
        <f>COUNTIFS(ÁGUA!N:N,'EQUIPES - ÁGUA'!B128,ÁGUA!Y:Y,"NC")</f>
        <v>0</v>
      </c>
    </row>
    <row r="136" spans="2:7" ht="21" customHeight="1" x14ac:dyDescent="0.3">
      <c r="B136" s="332" t="s">
        <v>52</v>
      </c>
      <c r="C136" s="332"/>
      <c r="D136" s="98">
        <f t="shared" si="11"/>
        <v>1</v>
      </c>
      <c r="E136" s="98">
        <f>COUNTIFS(ÁGUA!N:N,'EQUIPES - ÁGUA'!B128,ÁGUA!AA:AA,"SF")</f>
        <v>0</v>
      </c>
      <c r="F136" s="98">
        <f>COUNTIFS(ÁGUA!N:N,'EQUIPES - ÁGUA'!B128,ÁGUA!AA:AA,"c")</f>
        <v>1</v>
      </c>
      <c r="G136" s="98">
        <f>COUNTIFS(ÁGUA!N:N,'EQUIPES - ÁGUA'!B128,ÁGUA!AA:AA,"NC")</f>
        <v>0</v>
      </c>
    </row>
    <row r="137" spans="2:7" ht="21" customHeight="1" x14ac:dyDescent="0.3">
      <c r="B137" s="332" t="s">
        <v>53</v>
      </c>
      <c r="C137" s="332"/>
      <c r="D137" s="98">
        <f t="shared" si="11"/>
        <v>1</v>
      </c>
      <c r="E137" s="98">
        <f>COUNTIFS(ÁGUA!N:N,'EQUIPES - ÁGUA'!B128,ÁGUA!AC:AC,"SF")</f>
        <v>0</v>
      </c>
      <c r="F137" s="98">
        <f>COUNTIFS(ÁGUA!N:N,'EQUIPES - ÁGUA'!B128,ÁGUA!AC:AC,"c")</f>
        <v>1</v>
      </c>
      <c r="G137" s="98">
        <f>COUNTIFS(ÁGUA!N:N,'EQUIPES - ÁGUA'!B128,ÁGUA!AC:AC,"NC")</f>
        <v>0</v>
      </c>
    </row>
    <row r="139" spans="2:7" ht="21" customHeight="1" x14ac:dyDescent="0.3">
      <c r="B139" s="334" t="str">
        <f>'DADOS - GOPOÚVA'!B86</f>
        <v>GIVALDO COSTA DOS SANTOS</v>
      </c>
      <c r="C139" s="334"/>
      <c r="D139" s="334"/>
      <c r="E139" s="334"/>
      <c r="F139" s="334"/>
      <c r="G139" s="334"/>
    </row>
    <row r="140" spans="2:7" ht="21" customHeight="1" x14ac:dyDescent="0.3">
      <c r="B140" s="334" t="s">
        <v>2624</v>
      </c>
      <c r="C140" s="334"/>
      <c r="D140" s="147" t="s">
        <v>56</v>
      </c>
      <c r="E140" s="147" t="s">
        <v>2625</v>
      </c>
      <c r="F140" s="147" t="s">
        <v>41</v>
      </c>
      <c r="G140" s="147" t="s">
        <v>42</v>
      </c>
    </row>
    <row r="141" spans="2:7" ht="21" customHeight="1" x14ac:dyDescent="0.3">
      <c r="B141" s="332" t="s">
        <v>46</v>
      </c>
      <c r="C141" s="332"/>
      <c r="D141" s="98">
        <f t="shared" ref="D141:D148" si="12">F141+G141+E141</f>
        <v>16</v>
      </c>
      <c r="E141" s="98">
        <f>COUNTIFS(ÁGUA!N:N,'EQUIPES - ÁGUA'!B139,ÁGUA!O:O,"SF")</f>
        <v>0</v>
      </c>
      <c r="F141" s="98">
        <f>COUNTIFS(ÁGUA!N:N,'EQUIPES - ÁGUA'!B139,ÁGUA!O:O,"c")</f>
        <v>16</v>
      </c>
      <c r="G141" s="98">
        <f>COUNTIFS(ÁGUA!N:N,'EQUIPES - ÁGUA'!B139,ÁGUA!O:O,"NC")</f>
        <v>0</v>
      </c>
    </row>
    <row r="142" spans="2:7" ht="21" customHeight="1" x14ac:dyDescent="0.3">
      <c r="B142" s="332" t="s">
        <v>47</v>
      </c>
      <c r="C142" s="332"/>
      <c r="D142" s="98">
        <f t="shared" si="12"/>
        <v>16</v>
      </c>
      <c r="E142" s="98">
        <f>COUNTIFS(ÁGUA!N:N,'EQUIPES - ÁGUA'!B139,ÁGUA!Q:Q,"SF")</f>
        <v>0</v>
      </c>
      <c r="F142" s="98">
        <f>COUNTIFS(ÁGUA!N:N,'EQUIPES - ÁGUA'!B139,ÁGUA!Q:Q,"c")</f>
        <v>16</v>
      </c>
      <c r="G142" s="98">
        <f>COUNTIFS(ÁGUA!N:N,'EQUIPES - ÁGUA'!B139,ÁGUA!Q:Q,"NC")</f>
        <v>0</v>
      </c>
    </row>
    <row r="143" spans="2:7" ht="21" customHeight="1" x14ac:dyDescent="0.3">
      <c r="B143" s="332" t="s">
        <v>48</v>
      </c>
      <c r="C143" s="332"/>
      <c r="D143" s="98">
        <f t="shared" si="12"/>
        <v>16</v>
      </c>
      <c r="E143" s="98">
        <f>COUNTIFS(ÁGUA!N:N,'EQUIPES - ÁGUA'!B139,ÁGUA!S:S,"SF")</f>
        <v>0</v>
      </c>
      <c r="F143" s="98">
        <f>COUNTIFS(ÁGUA!N:N,'EQUIPES - ÁGUA'!B139,ÁGUA!S:S,"c")</f>
        <v>16</v>
      </c>
      <c r="G143" s="98">
        <f>COUNTIFS(ÁGUA!N:N,'EQUIPES - ÁGUA'!B139,ÁGUA!S:S,"NC")</f>
        <v>0</v>
      </c>
    </row>
    <row r="144" spans="2:7" ht="21" customHeight="1" x14ac:dyDescent="0.3">
      <c r="B144" s="332" t="s">
        <v>49</v>
      </c>
      <c r="C144" s="332"/>
      <c r="D144" s="98">
        <f t="shared" si="12"/>
        <v>16</v>
      </c>
      <c r="E144" s="98">
        <f>COUNTIFS(ÁGUA!N:N,'EQUIPES - ÁGUA'!B139,ÁGUA!U:U,"SF")</f>
        <v>0</v>
      </c>
      <c r="F144" s="98">
        <f>COUNTIFS(ÁGUA!N:N,'EQUIPES - ÁGUA'!B139,ÁGUA!U:U,"c")</f>
        <v>16</v>
      </c>
      <c r="G144" s="98">
        <f>COUNTIFS(ÁGUA!N:N,'EQUIPES - ÁGUA'!B139,ÁGUA!U:U,"NC")</f>
        <v>0</v>
      </c>
    </row>
    <row r="145" spans="2:7" ht="21" customHeight="1" x14ac:dyDescent="0.3">
      <c r="B145" s="332" t="s">
        <v>50</v>
      </c>
      <c r="C145" s="332"/>
      <c r="D145" s="98">
        <f t="shared" si="12"/>
        <v>16</v>
      </c>
      <c r="E145" s="98">
        <f>COUNTIFS(ÁGUA!N:N,'EQUIPES - ÁGUA'!B139,ÁGUA!W:W,"SF")</f>
        <v>0</v>
      </c>
      <c r="F145" s="98">
        <f>COUNTIFS(ÁGUA!N:N,'EQUIPES - ÁGUA'!B139,ÁGUA!W:W,"c")</f>
        <v>16</v>
      </c>
      <c r="G145" s="98">
        <f>COUNTIFS(ÁGUA!N:N,'EQUIPES - ÁGUA'!B139,ÁGUA!W:W,"NC")</f>
        <v>0</v>
      </c>
    </row>
    <row r="146" spans="2:7" ht="21" customHeight="1" x14ac:dyDescent="0.3">
      <c r="B146" s="332" t="s">
        <v>51</v>
      </c>
      <c r="C146" s="332"/>
      <c r="D146" s="98">
        <f t="shared" si="12"/>
        <v>7</v>
      </c>
      <c r="E146" s="98">
        <f>COUNTIFS(ÁGUA!N:N,'EQUIPES - ÁGUA'!B139,ÁGUA!Y:Y,"SF")</f>
        <v>0</v>
      </c>
      <c r="F146" s="98">
        <f>COUNTIFS(ÁGUA!N:N,'EQUIPES - ÁGUA'!B139,ÁGUA!Y:Y,"c")</f>
        <v>7</v>
      </c>
      <c r="G146" s="98">
        <f>COUNTIFS(ÁGUA!N:N,'EQUIPES - ÁGUA'!B139,ÁGUA!Y:Y,"NC")</f>
        <v>0</v>
      </c>
    </row>
    <row r="147" spans="2:7" ht="21" customHeight="1" x14ac:dyDescent="0.3">
      <c r="B147" s="332" t="s">
        <v>52</v>
      </c>
      <c r="C147" s="332"/>
      <c r="D147" s="98">
        <f t="shared" si="12"/>
        <v>16</v>
      </c>
      <c r="E147" s="98">
        <f>COUNTIFS(ÁGUA!N:N,'EQUIPES - ÁGUA'!B139,ÁGUA!AA:AA,"SF")</f>
        <v>0</v>
      </c>
      <c r="F147" s="98">
        <f>COUNTIFS(ÁGUA!N:N,'EQUIPES - ÁGUA'!B139,ÁGUA!AA:AA,"c")</f>
        <v>16</v>
      </c>
      <c r="G147" s="98">
        <f>COUNTIFS(ÁGUA!N:N,'EQUIPES - ÁGUA'!B139,ÁGUA!AA:AA,"NC")</f>
        <v>0</v>
      </c>
    </row>
    <row r="148" spans="2:7" ht="21" customHeight="1" x14ac:dyDescent="0.3">
      <c r="B148" s="332" t="s">
        <v>53</v>
      </c>
      <c r="C148" s="332"/>
      <c r="D148" s="98">
        <f t="shared" si="12"/>
        <v>16</v>
      </c>
      <c r="E148" s="98">
        <f>COUNTIFS(ÁGUA!N:N,'EQUIPES - ÁGUA'!B139,ÁGUA!AC:AC,"SF")</f>
        <v>0</v>
      </c>
      <c r="F148" s="98">
        <f>COUNTIFS(ÁGUA!N:N,'EQUIPES - ÁGUA'!B139,ÁGUA!AC:AC,"c")</f>
        <v>16</v>
      </c>
      <c r="G148" s="98">
        <f>COUNTIFS(ÁGUA!N:N,'EQUIPES - ÁGUA'!B139,ÁGUA!AC:AC,"NC")</f>
        <v>0</v>
      </c>
    </row>
    <row r="150" spans="2:7" ht="21" customHeight="1" x14ac:dyDescent="0.3">
      <c r="B150" s="334" t="str">
        <f>'DADOS - GOPOÚVA'!B87</f>
        <v>HENRIQUE ANDRADE PEREIRA</v>
      </c>
      <c r="C150" s="334"/>
      <c r="D150" s="334"/>
      <c r="E150" s="334"/>
      <c r="F150" s="334"/>
      <c r="G150" s="334"/>
    </row>
    <row r="151" spans="2:7" ht="21" customHeight="1" x14ac:dyDescent="0.3">
      <c r="B151" s="334" t="s">
        <v>2624</v>
      </c>
      <c r="C151" s="334"/>
      <c r="D151" s="147" t="s">
        <v>56</v>
      </c>
      <c r="E151" s="147" t="s">
        <v>2625</v>
      </c>
      <c r="F151" s="147" t="s">
        <v>41</v>
      </c>
      <c r="G151" s="147" t="s">
        <v>42</v>
      </c>
    </row>
    <row r="152" spans="2:7" ht="21" customHeight="1" x14ac:dyDescent="0.3">
      <c r="B152" s="332" t="s">
        <v>46</v>
      </c>
      <c r="C152" s="332"/>
      <c r="D152" s="98">
        <f t="shared" ref="D152:D159" si="13">F152+G152+E152</f>
        <v>26</v>
      </c>
      <c r="E152" s="98">
        <f>COUNTIFS(ÁGUA!N:N,'EQUIPES - ÁGUA'!B150,ÁGUA!O:O,"SF")</f>
        <v>1</v>
      </c>
      <c r="F152" s="98">
        <f>COUNTIFS(ÁGUA!N:N,'EQUIPES - ÁGUA'!B150,ÁGUA!O:O,"c")</f>
        <v>24</v>
      </c>
      <c r="G152" s="98">
        <f>COUNTIFS(ÁGUA!N:N,'EQUIPES - ÁGUA'!B150,ÁGUA!O:O,"NC")</f>
        <v>1</v>
      </c>
    </row>
    <row r="153" spans="2:7" ht="21" customHeight="1" x14ac:dyDescent="0.3">
      <c r="B153" s="332" t="s">
        <v>47</v>
      </c>
      <c r="C153" s="332"/>
      <c r="D153" s="98">
        <f t="shared" si="13"/>
        <v>26</v>
      </c>
      <c r="E153" s="98">
        <f>COUNTIFS(ÁGUA!N:N,'EQUIPES - ÁGUA'!B150,ÁGUA!Q:Q,"SF")</f>
        <v>1</v>
      </c>
      <c r="F153" s="98">
        <f>COUNTIFS(ÁGUA!N:N,'EQUIPES - ÁGUA'!B150,ÁGUA!Q:Q,"c")</f>
        <v>24</v>
      </c>
      <c r="G153" s="98">
        <f>COUNTIFS(ÁGUA!N:N,'EQUIPES - ÁGUA'!B150,ÁGUA!Q:Q,"NC")</f>
        <v>1</v>
      </c>
    </row>
    <row r="154" spans="2:7" ht="21" customHeight="1" x14ac:dyDescent="0.3">
      <c r="B154" s="332" t="s">
        <v>48</v>
      </c>
      <c r="C154" s="332"/>
      <c r="D154" s="98">
        <f t="shared" si="13"/>
        <v>26</v>
      </c>
      <c r="E154" s="98">
        <f>COUNTIFS(ÁGUA!N:N,'EQUIPES - ÁGUA'!B150,ÁGUA!S:S,"SF")</f>
        <v>1</v>
      </c>
      <c r="F154" s="98">
        <f>COUNTIFS(ÁGUA!N:N,'EQUIPES - ÁGUA'!B150,ÁGUA!S:S,"c")</f>
        <v>24</v>
      </c>
      <c r="G154" s="98">
        <f>COUNTIFS(ÁGUA!N:N,'EQUIPES - ÁGUA'!B150,ÁGUA!S:S,"NC")</f>
        <v>1</v>
      </c>
    </row>
    <row r="155" spans="2:7" ht="21" customHeight="1" x14ac:dyDescent="0.3">
      <c r="B155" s="332" t="s">
        <v>49</v>
      </c>
      <c r="C155" s="332"/>
      <c r="D155" s="98">
        <f t="shared" si="13"/>
        <v>26</v>
      </c>
      <c r="E155" s="98">
        <f>COUNTIFS(ÁGUA!N:N,'EQUIPES - ÁGUA'!B150,ÁGUA!U:U,"SF")</f>
        <v>1</v>
      </c>
      <c r="F155" s="98">
        <f>COUNTIFS(ÁGUA!N:N,'EQUIPES - ÁGUA'!B150,ÁGUA!U:U,"c")</f>
        <v>24</v>
      </c>
      <c r="G155" s="98">
        <f>COUNTIFS(ÁGUA!N:N,'EQUIPES - ÁGUA'!B150,ÁGUA!U:U,"NC")</f>
        <v>1</v>
      </c>
    </row>
    <row r="156" spans="2:7" ht="21" customHeight="1" x14ac:dyDescent="0.3">
      <c r="B156" s="332" t="s">
        <v>50</v>
      </c>
      <c r="C156" s="332"/>
      <c r="D156" s="98">
        <f t="shared" si="13"/>
        <v>26</v>
      </c>
      <c r="E156" s="98">
        <f>COUNTIFS(ÁGUA!N:N,'EQUIPES - ÁGUA'!B150,ÁGUA!W:W,"SF")</f>
        <v>1</v>
      </c>
      <c r="F156" s="98">
        <f>COUNTIFS(ÁGUA!N:N,'EQUIPES - ÁGUA'!B150,ÁGUA!W:W,"c")</f>
        <v>24</v>
      </c>
      <c r="G156" s="98">
        <f>COUNTIFS(ÁGUA!N:N,'EQUIPES - ÁGUA'!B150,ÁGUA!W:W,"NC")</f>
        <v>1</v>
      </c>
    </row>
    <row r="157" spans="2:7" ht="21" customHeight="1" x14ac:dyDescent="0.3">
      <c r="B157" s="332" t="s">
        <v>51</v>
      </c>
      <c r="C157" s="332"/>
      <c r="D157" s="98">
        <f t="shared" si="13"/>
        <v>11</v>
      </c>
      <c r="E157" s="98">
        <f>COUNTIFS(ÁGUA!N:N,'EQUIPES - ÁGUA'!B150,ÁGUA!Y:Y,"SF")</f>
        <v>1</v>
      </c>
      <c r="F157" s="98">
        <f>COUNTIFS(ÁGUA!N:N,'EQUIPES - ÁGUA'!B150,ÁGUA!Y:Y,"c")</f>
        <v>9</v>
      </c>
      <c r="G157" s="98">
        <f>COUNTIFS(ÁGUA!N:N,'EQUIPES - ÁGUA'!B150,ÁGUA!Y:Y,"NC")</f>
        <v>1</v>
      </c>
    </row>
    <row r="158" spans="2:7" ht="21" customHeight="1" x14ac:dyDescent="0.3">
      <c r="B158" s="332" t="s">
        <v>52</v>
      </c>
      <c r="C158" s="332"/>
      <c r="D158" s="98">
        <f t="shared" si="13"/>
        <v>26</v>
      </c>
      <c r="E158" s="98">
        <f>COUNTIFS(ÁGUA!N:N,'EQUIPES - ÁGUA'!B150,ÁGUA!AA:AA,"SF")</f>
        <v>1</v>
      </c>
      <c r="F158" s="98">
        <f>COUNTIFS(ÁGUA!N:N,'EQUIPES - ÁGUA'!B150,ÁGUA!AA:AA,"c")</f>
        <v>24</v>
      </c>
      <c r="G158" s="98">
        <f>COUNTIFS(ÁGUA!N:N,'EQUIPES - ÁGUA'!B150,ÁGUA!AA:AA,"NC")</f>
        <v>1</v>
      </c>
    </row>
    <row r="159" spans="2:7" ht="21" customHeight="1" x14ac:dyDescent="0.3">
      <c r="B159" s="332" t="s">
        <v>53</v>
      </c>
      <c r="C159" s="332"/>
      <c r="D159" s="98">
        <f t="shared" si="13"/>
        <v>26</v>
      </c>
      <c r="E159" s="98">
        <f>COUNTIFS(ÁGUA!N:N,'EQUIPES - ÁGUA'!B150,ÁGUA!AC:AC,"SF")</f>
        <v>1</v>
      </c>
      <c r="F159" s="98">
        <f>COUNTIFS(ÁGUA!N:N,'EQUIPES - ÁGUA'!B150,ÁGUA!AC:AC,"c")</f>
        <v>24</v>
      </c>
      <c r="G159" s="98">
        <f>COUNTIFS(ÁGUA!N:N,'EQUIPES - ÁGUA'!B150,ÁGUA!AC:AC,"NC")</f>
        <v>1</v>
      </c>
    </row>
    <row r="161" spans="2:7" ht="21" customHeight="1" x14ac:dyDescent="0.3">
      <c r="B161" s="334" t="str">
        <f>'DADOS - GOPOÚVA'!B88</f>
        <v>JOAO MANOEL PEREIRA DOS SANTOS</v>
      </c>
      <c r="C161" s="334"/>
      <c r="D161" s="334"/>
      <c r="E161" s="334"/>
      <c r="F161" s="334"/>
      <c r="G161" s="334"/>
    </row>
    <row r="162" spans="2:7" ht="21" customHeight="1" x14ac:dyDescent="0.3">
      <c r="B162" s="334" t="s">
        <v>2624</v>
      </c>
      <c r="C162" s="334"/>
      <c r="D162" s="147" t="s">
        <v>56</v>
      </c>
      <c r="E162" s="147" t="s">
        <v>2625</v>
      </c>
      <c r="F162" s="147" t="s">
        <v>41</v>
      </c>
      <c r="G162" s="147" t="s">
        <v>42</v>
      </c>
    </row>
    <row r="163" spans="2:7" ht="21" customHeight="1" x14ac:dyDescent="0.3">
      <c r="B163" s="332" t="s">
        <v>46</v>
      </c>
      <c r="C163" s="332"/>
      <c r="D163" s="98">
        <f t="shared" ref="D163:D170" si="14">F163+G163+E163</f>
        <v>20</v>
      </c>
      <c r="E163" s="98">
        <f>COUNTIFS(ÁGUA!N:N,'EQUIPES - ÁGUA'!B161,ÁGUA!O:O,"SF")</f>
        <v>0</v>
      </c>
      <c r="F163" s="98">
        <f>COUNTIFS(ÁGUA!N:N,'EQUIPES - ÁGUA'!B161,ÁGUA!O:O,"c")</f>
        <v>20</v>
      </c>
      <c r="G163" s="98">
        <f>COUNTIFS(ÁGUA!N:N,'EQUIPES - ÁGUA'!B161,ÁGUA!O:O,"NC")</f>
        <v>0</v>
      </c>
    </row>
    <row r="164" spans="2:7" ht="21" customHeight="1" x14ac:dyDescent="0.3">
      <c r="B164" s="332" t="s">
        <v>47</v>
      </c>
      <c r="C164" s="332"/>
      <c r="D164" s="98">
        <f t="shared" si="14"/>
        <v>20</v>
      </c>
      <c r="E164" s="98">
        <f>COUNTIFS(ÁGUA!N:N,'EQUIPES - ÁGUA'!B161,ÁGUA!Q:Q,"SF")</f>
        <v>0</v>
      </c>
      <c r="F164" s="98">
        <f>COUNTIFS(ÁGUA!N:N,'EQUIPES - ÁGUA'!B161,ÁGUA!Q:Q,"c")</f>
        <v>20</v>
      </c>
      <c r="G164" s="98">
        <f>COUNTIFS(ÁGUA!N:N,'EQUIPES - ÁGUA'!B161,ÁGUA!Q:Q,"NC")</f>
        <v>0</v>
      </c>
    </row>
    <row r="165" spans="2:7" ht="21" customHeight="1" x14ac:dyDescent="0.3">
      <c r="B165" s="332" t="s">
        <v>48</v>
      </c>
      <c r="C165" s="332"/>
      <c r="D165" s="98">
        <f t="shared" si="14"/>
        <v>20</v>
      </c>
      <c r="E165" s="98">
        <f>COUNTIFS(ÁGUA!N:N,'EQUIPES - ÁGUA'!B161,ÁGUA!S:S,"SF")</f>
        <v>0</v>
      </c>
      <c r="F165" s="98">
        <f>COUNTIFS(ÁGUA!N:N,'EQUIPES - ÁGUA'!B161,ÁGUA!S:S,"c")</f>
        <v>20</v>
      </c>
      <c r="G165" s="98">
        <f>COUNTIFS(ÁGUA!N:N,'EQUIPES - ÁGUA'!B161,ÁGUA!S:S,"NC")</f>
        <v>0</v>
      </c>
    </row>
    <row r="166" spans="2:7" ht="21" customHeight="1" x14ac:dyDescent="0.3">
      <c r="B166" s="332" t="s">
        <v>49</v>
      </c>
      <c r="C166" s="332"/>
      <c r="D166" s="98">
        <f t="shared" si="14"/>
        <v>20</v>
      </c>
      <c r="E166" s="98">
        <f>COUNTIFS(ÁGUA!N:N,'EQUIPES - ÁGUA'!B161,ÁGUA!U:U,"SF")</f>
        <v>0</v>
      </c>
      <c r="F166" s="98">
        <f>COUNTIFS(ÁGUA!N:N,'EQUIPES - ÁGUA'!B161,ÁGUA!U:U,"c")</f>
        <v>20</v>
      </c>
      <c r="G166" s="98">
        <f>COUNTIFS(ÁGUA!N:N,'EQUIPES - ÁGUA'!B161,ÁGUA!U:U,"NC")</f>
        <v>0</v>
      </c>
    </row>
    <row r="167" spans="2:7" ht="21" customHeight="1" x14ac:dyDescent="0.3">
      <c r="B167" s="332" t="s">
        <v>50</v>
      </c>
      <c r="C167" s="332"/>
      <c r="D167" s="98">
        <f t="shared" si="14"/>
        <v>20</v>
      </c>
      <c r="E167" s="98">
        <f>COUNTIFS(ÁGUA!N:N,'EQUIPES - ÁGUA'!B161,ÁGUA!W:W,"SF")</f>
        <v>0</v>
      </c>
      <c r="F167" s="98">
        <f>COUNTIFS(ÁGUA!N:N,'EQUIPES - ÁGUA'!B161,ÁGUA!W:W,"c")</f>
        <v>20</v>
      </c>
      <c r="G167" s="98">
        <f>COUNTIFS(ÁGUA!N:N,'EQUIPES - ÁGUA'!B161,ÁGUA!W:W,"NC")</f>
        <v>0</v>
      </c>
    </row>
    <row r="168" spans="2:7" ht="21" customHeight="1" x14ac:dyDescent="0.3">
      <c r="B168" s="332" t="s">
        <v>51</v>
      </c>
      <c r="C168" s="332"/>
      <c r="D168" s="98">
        <f t="shared" si="14"/>
        <v>11</v>
      </c>
      <c r="E168" s="98">
        <f>COUNTIFS(ÁGUA!N:N,'EQUIPES - ÁGUA'!B161,ÁGUA!Y:Y,"SF")</f>
        <v>0</v>
      </c>
      <c r="F168" s="98">
        <f>COUNTIFS(ÁGUA!N:N,'EQUIPES - ÁGUA'!B161,ÁGUA!Y:Y,"c")</f>
        <v>11</v>
      </c>
      <c r="G168" s="98">
        <f>COUNTIFS(ÁGUA!N:N,'EQUIPES - ÁGUA'!B161,ÁGUA!Y:Y,"NC")</f>
        <v>0</v>
      </c>
    </row>
    <row r="169" spans="2:7" ht="21" customHeight="1" x14ac:dyDescent="0.3">
      <c r="B169" s="332" t="s">
        <v>52</v>
      </c>
      <c r="C169" s="332"/>
      <c r="D169" s="98">
        <f t="shared" si="14"/>
        <v>20</v>
      </c>
      <c r="E169" s="98">
        <f>COUNTIFS(ÁGUA!N:N,'EQUIPES - ÁGUA'!B161,ÁGUA!AA:AA,"SF")</f>
        <v>0</v>
      </c>
      <c r="F169" s="98">
        <f>COUNTIFS(ÁGUA!N:N,'EQUIPES - ÁGUA'!B161,ÁGUA!AA:AA,"c")</f>
        <v>20</v>
      </c>
      <c r="G169" s="98">
        <f>COUNTIFS(ÁGUA!N:N,'EQUIPES - ÁGUA'!B161,ÁGUA!AA:AA,"NC")</f>
        <v>0</v>
      </c>
    </row>
    <row r="170" spans="2:7" ht="21" customHeight="1" x14ac:dyDescent="0.3">
      <c r="B170" s="332" t="s">
        <v>53</v>
      </c>
      <c r="C170" s="332"/>
      <c r="D170" s="98">
        <f t="shared" si="14"/>
        <v>20</v>
      </c>
      <c r="E170" s="98">
        <f>COUNTIFS(ÁGUA!N:N,'EQUIPES - ÁGUA'!B161,ÁGUA!AC:AC,"SF")</f>
        <v>0</v>
      </c>
      <c r="F170" s="98">
        <f>COUNTIFS(ÁGUA!N:N,'EQUIPES - ÁGUA'!B161,ÁGUA!AC:AC,"c")</f>
        <v>18</v>
      </c>
      <c r="G170" s="98">
        <f>COUNTIFS(ÁGUA!N:N,'EQUIPES - ÁGUA'!B161,ÁGUA!AC:AC,"NC")</f>
        <v>2</v>
      </c>
    </row>
    <row r="173" spans="2:7" ht="21" customHeight="1" x14ac:dyDescent="0.3">
      <c r="B173" s="334" t="str">
        <f>'DADOS - GOPOÚVA'!B89</f>
        <v>JOSE LIMA SILVA</v>
      </c>
      <c r="C173" s="334"/>
      <c r="D173" s="334"/>
      <c r="E173" s="334"/>
      <c r="F173" s="334"/>
      <c r="G173" s="334"/>
    </row>
    <row r="174" spans="2:7" ht="21" customHeight="1" x14ac:dyDescent="0.3">
      <c r="B174" s="334" t="s">
        <v>2624</v>
      </c>
      <c r="C174" s="334"/>
      <c r="D174" s="147" t="s">
        <v>56</v>
      </c>
      <c r="E174" s="147" t="s">
        <v>2625</v>
      </c>
      <c r="F174" s="147" t="s">
        <v>41</v>
      </c>
      <c r="G174" s="147" t="s">
        <v>42</v>
      </c>
    </row>
    <row r="175" spans="2:7" ht="21" customHeight="1" x14ac:dyDescent="0.3">
      <c r="B175" s="332" t="s">
        <v>46</v>
      </c>
      <c r="C175" s="332"/>
      <c r="D175" s="98">
        <f t="shared" ref="D175:D182" si="15">F175+G175+E175</f>
        <v>15</v>
      </c>
      <c r="E175" s="98">
        <f>COUNTIFS(ÁGUA!N:N,'EQUIPES - ÁGUA'!B173,ÁGUA!O:O,"SF")</f>
        <v>1</v>
      </c>
      <c r="F175" s="98">
        <f>COUNTIFS(ÁGUA!N:N,'EQUIPES - ÁGUA'!B173,ÁGUA!O:O,"c")</f>
        <v>14</v>
      </c>
      <c r="G175" s="98">
        <f>COUNTIFS(ÁGUA!N:N,'EQUIPES - ÁGUA'!B173,ÁGUA!O:O,"NC")</f>
        <v>0</v>
      </c>
    </row>
    <row r="176" spans="2:7" ht="21" customHeight="1" x14ac:dyDescent="0.3">
      <c r="B176" s="332" t="s">
        <v>47</v>
      </c>
      <c r="C176" s="332"/>
      <c r="D176" s="98">
        <f t="shared" si="15"/>
        <v>15</v>
      </c>
      <c r="E176" s="98">
        <f>COUNTIFS(ÁGUA!N:N,'EQUIPES - ÁGUA'!B173,ÁGUA!Q:Q,"SF")</f>
        <v>1</v>
      </c>
      <c r="F176" s="98">
        <f>COUNTIFS(ÁGUA!N:N,'EQUIPES - ÁGUA'!B173,ÁGUA!Q:Q,"c")</f>
        <v>14</v>
      </c>
      <c r="G176" s="98">
        <f>COUNTIFS(ÁGUA!N:N,'EQUIPES - ÁGUA'!B173,ÁGUA!Q:Q,"NC")</f>
        <v>0</v>
      </c>
    </row>
    <row r="177" spans="2:7" ht="21" customHeight="1" x14ac:dyDescent="0.3">
      <c r="B177" s="332" t="s">
        <v>48</v>
      </c>
      <c r="C177" s="332"/>
      <c r="D177" s="98">
        <f t="shared" si="15"/>
        <v>15</v>
      </c>
      <c r="E177" s="98">
        <f>COUNTIFS(ÁGUA!N:N,'EQUIPES - ÁGUA'!B173,ÁGUA!S:S,"SF")</f>
        <v>1</v>
      </c>
      <c r="F177" s="98">
        <f>COUNTIFS(ÁGUA!N:N,'EQUIPES - ÁGUA'!B173,ÁGUA!S:S,"c")</f>
        <v>14</v>
      </c>
      <c r="G177" s="98">
        <f>COUNTIFS(ÁGUA!N:N,'EQUIPES - ÁGUA'!B173,ÁGUA!S:S,"NC")</f>
        <v>0</v>
      </c>
    </row>
    <row r="178" spans="2:7" ht="21" customHeight="1" x14ac:dyDescent="0.3">
      <c r="B178" s="332" t="s">
        <v>49</v>
      </c>
      <c r="C178" s="332"/>
      <c r="D178" s="98">
        <f t="shared" si="15"/>
        <v>15</v>
      </c>
      <c r="E178" s="98">
        <f>COUNTIFS(ÁGUA!N:N,'EQUIPES - ÁGUA'!B173,ÁGUA!U:U,"SF")</f>
        <v>1</v>
      </c>
      <c r="F178" s="98">
        <f>COUNTIFS(ÁGUA!N:N,'EQUIPES - ÁGUA'!B173,ÁGUA!U:U,"c")</f>
        <v>14</v>
      </c>
      <c r="G178" s="98">
        <f>COUNTIFS(ÁGUA!N:N,'EQUIPES - ÁGUA'!B173,ÁGUA!U:U,"NC")</f>
        <v>0</v>
      </c>
    </row>
    <row r="179" spans="2:7" ht="21" customHeight="1" x14ac:dyDescent="0.3">
      <c r="B179" s="332" t="s">
        <v>50</v>
      </c>
      <c r="C179" s="332"/>
      <c r="D179" s="98">
        <f t="shared" si="15"/>
        <v>15</v>
      </c>
      <c r="E179" s="98">
        <f>COUNTIFS(ÁGUA!N:N,'EQUIPES - ÁGUA'!B173,ÁGUA!W:W,"SF")</f>
        <v>1</v>
      </c>
      <c r="F179" s="98">
        <f>COUNTIFS(ÁGUA!N:N,'EQUIPES - ÁGUA'!B173,ÁGUA!W:W,"c")</f>
        <v>14</v>
      </c>
      <c r="G179" s="98">
        <f>COUNTIFS(ÁGUA!N:N,'EQUIPES - ÁGUA'!B173,ÁGUA!W:W,"NC")</f>
        <v>0</v>
      </c>
    </row>
    <row r="180" spans="2:7" ht="21" customHeight="1" x14ac:dyDescent="0.3">
      <c r="B180" s="332" t="s">
        <v>51</v>
      </c>
      <c r="C180" s="332"/>
      <c r="D180" s="98">
        <f t="shared" si="15"/>
        <v>5</v>
      </c>
      <c r="E180" s="98">
        <f>COUNTIFS(ÁGUA!N:N,'EQUIPES - ÁGUA'!B173,ÁGUA!Y:Y,"SF")</f>
        <v>1</v>
      </c>
      <c r="F180" s="98">
        <f>COUNTIFS(ÁGUA!N:N,'EQUIPES - ÁGUA'!B173,ÁGUA!Y:Y,"c")</f>
        <v>4</v>
      </c>
      <c r="G180" s="98">
        <f>COUNTIFS(ÁGUA!N:N,'EQUIPES - ÁGUA'!B173,ÁGUA!Y:Y,"NC")</f>
        <v>0</v>
      </c>
    </row>
    <row r="181" spans="2:7" ht="21" customHeight="1" x14ac:dyDescent="0.3">
      <c r="B181" s="332" t="s">
        <v>52</v>
      </c>
      <c r="C181" s="332"/>
      <c r="D181" s="98">
        <f t="shared" si="15"/>
        <v>15</v>
      </c>
      <c r="E181" s="98">
        <f>COUNTIFS(ÁGUA!N:N,'EQUIPES - ÁGUA'!B173,ÁGUA!AA:AA,"SF")</f>
        <v>1</v>
      </c>
      <c r="F181" s="98">
        <f>COUNTIFS(ÁGUA!N:N,'EQUIPES - ÁGUA'!B173,ÁGUA!AA:AA,"c")</f>
        <v>14</v>
      </c>
      <c r="G181" s="98">
        <f>COUNTIFS(ÁGUA!N:N,'EQUIPES - ÁGUA'!B173,ÁGUA!AA:AA,"NC")</f>
        <v>0</v>
      </c>
    </row>
    <row r="182" spans="2:7" ht="21" customHeight="1" x14ac:dyDescent="0.3">
      <c r="B182" s="332" t="s">
        <v>53</v>
      </c>
      <c r="C182" s="332"/>
      <c r="D182" s="98">
        <f t="shared" si="15"/>
        <v>15</v>
      </c>
      <c r="E182" s="98">
        <f>COUNTIFS(ÁGUA!N:N,'EQUIPES - ÁGUA'!B173,ÁGUA!AC:AC,"SF")</f>
        <v>1</v>
      </c>
      <c r="F182" s="98">
        <f>COUNTIFS(ÁGUA!N:N,'EQUIPES - ÁGUA'!B173,ÁGUA!AC:AC,"c")</f>
        <v>14</v>
      </c>
      <c r="G182" s="98">
        <f>COUNTIFS(ÁGUA!N:N,'EQUIPES - ÁGUA'!B173,ÁGUA!AC:AC,"NC")</f>
        <v>0</v>
      </c>
    </row>
    <row r="184" spans="2:7" ht="21" customHeight="1" x14ac:dyDescent="0.3">
      <c r="B184" s="334" t="str">
        <f>'DADOS - GOPOÚVA'!B90</f>
        <v>JOSE PETRUCIO SANTOS FILHO</v>
      </c>
      <c r="C184" s="334"/>
      <c r="D184" s="334"/>
      <c r="E184" s="334"/>
      <c r="F184" s="334"/>
      <c r="G184" s="334"/>
    </row>
    <row r="185" spans="2:7" ht="21" customHeight="1" x14ac:dyDescent="0.3">
      <c r="B185" s="334" t="s">
        <v>2624</v>
      </c>
      <c r="C185" s="334"/>
      <c r="D185" s="147" t="s">
        <v>56</v>
      </c>
      <c r="E185" s="147" t="s">
        <v>2625</v>
      </c>
      <c r="F185" s="147" t="s">
        <v>41</v>
      </c>
      <c r="G185" s="147" t="s">
        <v>42</v>
      </c>
    </row>
    <row r="186" spans="2:7" ht="21" customHeight="1" x14ac:dyDescent="0.3">
      <c r="B186" s="332" t="s">
        <v>46</v>
      </c>
      <c r="C186" s="332"/>
      <c r="D186" s="98">
        <f t="shared" ref="D186:D193" si="16">F186+G186+E186</f>
        <v>21</v>
      </c>
      <c r="E186" s="98">
        <f>COUNTIFS(ÁGUA!N:N,'EQUIPES - ÁGUA'!B184,ÁGUA!O:O,"SF")</f>
        <v>2</v>
      </c>
      <c r="F186" s="98">
        <f>COUNTIFS(ÁGUA!N:N,'EQUIPES - ÁGUA'!B184,ÁGUA!O:O,"c")</f>
        <v>19</v>
      </c>
      <c r="G186" s="98">
        <f>COUNTIFS(ÁGUA!N:N,'EQUIPES - ÁGUA'!B184,ÁGUA!O:O,"NC")</f>
        <v>0</v>
      </c>
    </row>
    <row r="187" spans="2:7" ht="21" customHeight="1" x14ac:dyDescent="0.3">
      <c r="B187" s="332" t="s">
        <v>47</v>
      </c>
      <c r="C187" s="332"/>
      <c r="D187" s="98">
        <f t="shared" si="16"/>
        <v>21</v>
      </c>
      <c r="E187" s="98">
        <f>COUNTIFS(ÁGUA!N:N,'EQUIPES - ÁGUA'!B184,ÁGUA!Q:Q,"SF")</f>
        <v>2</v>
      </c>
      <c r="F187" s="98">
        <f>COUNTIFS(ÁGUA!N:N,'EQUIPES - ÁGUA'!B184,ÁGUA!Q:Q,"c")</f>
        <v>19</v>
      </c>
      <c r="G187" s="98">
        <f>COUNTIFS(ÁGUA!N:N,'EQUIPES - ÁGUA'!B184,ÁGUA!Q:Q,"NC")</f>
        <v>0</v>
      </c>
    </row>
    <row r="188" spans="2:7" ht="21" customHeight="1" x14ac:dyDescent="0.3">
      <c r="B188" s="332" t="s">
        <v>48</v>
      </c>
      <c r="C188" s="332"/>
      <c r="D188" s="98">
        <f t="shared" si="16"/>
        <v>21</v>
      </c>
      <c r="E188" s="98">
        <f>COUNTIFS(ÁGUA!N:N,'EQUIPES - ÁGUA'!B184,ÁGUA!S:S,"SF")</f>
        <v>2</v>
      </c>
      <c r="F188" s="98">
        <f>COUNTIFS(ÁGUA!N:N,'EQUIPES - ÁGUA'!B184,ÁGUA!S:S,"c")</f>
        <v>19</v>
      </c>
      <c r="G188" s="98">
        <f>COUNTIFS(ÁGUA!N:N,'EQUIPES - ÁGUA'!B184,ÁGUA!S:S,"NC")</f>
        <v>0</v>
      </c>
    </row>
    <row r="189" spans="2:7" ht="21" customHeight="1" x14ac:dyDescent="0.3">
      <c r="B189" s="332" t="s">
        <v>49</v>
      </c>
      <c r="C189" s="332"/>
      <c r="D189" s="98">
        <f t="shared" si="16"/>
        <v>21</v>
      </c>
      <c r="E189" s="98">
        <f>COUNTIFS(ÁGUA!N:N,'EQUIPES - ÁGUA'!B184,ÁGUA!U:U,"SF")</f>
        <v>3</v>
      </c>
      <c r="F189" s="98">
        <f>COUNTIFS(ÁGUA!N:N,'EQUIPES - ÁGUA'!B184,ÁGUA!U:U,"c")</f>
        <v>18</v>
      </c>
      <c r="G189" s="98">
        <f>COUNTIFS(ÁGUA!N:N,'EQUIPES - ÁGUA'!B184,ÁGUA!U:U,"NC")</f>
        <v>0</v>
      </c>
    </row>
    <row r="190" spans="2:7" ht="21" customHeight="1" x14ac:dyDescent="0.3">
      <c r="B190" s="332" t="s">
        <v>50</v>
      </c>
      <c r="C190" s="332"/>
      <c r="D190" s="98">
        <f t="shared" si="16"/>
        <v>21</v>
      </c>
      <c r="E190" s="98">
        <f>COUNTIFS(ÁGUA!N:N,'EQUIPES - ÁGUA'!B184,ÁGUA!W:W,"SF")</f>
        <v>3</v>
      </c>
      <c r="F190" s="98">
        <f>COUNTIFS(ÁGUA!N:N,'EQUIPES - ÁGUA'!B184,ÁGUA!W:W,"c")</f>
        <v>18</v>
      </c>
      <c r="G190" s="98">
        <f>COUNTIFS(ÁGUA!N:N,'EQUIPES - ÁGUA'!B184,ÁGUA!W:W,"NC")</f>
        <v>0</v>
      </c>
    </row>
    <row r="191" spans="2:7" ht="21" customHeight="1" x14ac:dyDescent="0.3">
      <c r="B191" s="332" t="s">
        <v>51</v>
      </c>
      <c r="C191" s="332"/>
      <c r="D191" s="98">
        <f t="shared" si="16"/>
        <v>6</v>
      </c>
      <c r="E191" s="98">
        <f>COUNTIFS(ÁGUA!N:N,'EQUIPES - ÁGUA'!B184,ÁGUA!Y:Y,"SF")</f>
        <v>3</v>
      </c>
      <c r="F191" s="98">
        <f>COUNTIFS(ÁGUA!N:N,'EQUIPES - ÁGUA'!B184,ÁGUA!Y:Y,"c")</f>
        <v>3</v>
      </c>
      <c r="G191" s="98">
        <f>COUNTIFS(ÁGUA!N:N,'EQUIPES - ÁGUA'!B184,ÁGUA!Y:Y,"NC")</f>
        <v>0</v>
      </c>
    </row>
    <row r="192" spans="2:7" ht="21" customHeight="1" x14ac:dyDescent="0.3">
      <c r="B192" s="332" t="s">
        <v>52</v>
      </c>
      <c r="C192" s="332"/>
      <c r="D192" s="98">
        <f t="shared" si="16"/>
        <v>21</v>
      </c>
      <c r="E192" s="98">
        <f>COUNTIFS(ÁGUA!N:N,'EQUIPES - ÁGUA'!B184,ÁGUA!AA:AA,"SF")</f>
        <v>3</v>
      </c>
      <c r="F192" s="98">
        <f>COUNTIFS(ÁGUA!N:N,'EQUIPES - ÁGUA'!B184,ÁGUA!AA:AA,"c")</f>
        <v>18</v>
      </c>
      <c r="G192" s="98">
        <f>COUNTIFS(ÁGUA!N:N,'EQUIPES - ÁGUA'!B184,ÁGUA!AA:AA,"NC")</f>
        <v>0</v>
      </c>
    </row>
    <row r="193" spans="2:7" ht="21" customHeight="1" x14ac:dyDescent="0.3">
      <c r="B193" s="332" t="s">
        <v>53</v>
      </c>
      <c r="C193" s="332"/>
      <c r="D193" s="98">
        <f t="shared" si="16"/>
        <v>21</v>
      </c>
      <c r="E193" s="98">
        <f>COUNTIFS(ÁGUA!N:N,'EQUIPES - ÁGUA'!B184,ÁGUA!AC:AC,"SF")</f>
        <v>3</v>
      </c>
      <c r="F193" s="98">
        <f>COUNTIFS(ÁGUA!N:N,'EQUIPES - ÁGUA'!B184,ÁGUA!AC:AC,"c")</f>
        <v>18</v>
      </c>
      <c r="G193" s="98">
        <f>COUNTIFS(ÁGUA!N:N,'EQUIPES - ÁGUA'!B184,ÁGUA!AC:AC,"NC")</f>
        <v>0</v>
      </c>
    </row>
    <row r="195" spans="2:7" ht="21" customHeight="1" x14ac:dyDescent="0.3">
      <c r="B195" s="334" t="str">
        <f>'DADOS - GOPOÚVA'!B91</f>
        <v>RENATO RAMOS MANCCINI</v>
      </c>
      <c r="C195" s="334"/>
      <c r="D195" s="334"/>
      <c r="E195" s="334"/>
      <c r="F195" s="334"/>
      <c r="G195" s="334"/>
    </row>
    <row r="196" spans="2:7" ht="21" customHeight="1" x14ac:dyDescent="0.3">
      <c r="B196" s="334" t="s">
        <v>2624</v>
      </c>
      <c r="C196" s="334"/>
      <c r="D196" s="147" t="s">
        <v>56</v>
      </c>
      <c r="E196" s="147" t="s">
        <v>2625</v>
      </c>
      <c r="F196" s="147" t="s">
        <v>41</v>
      </c>
      <c r="G196" s="147" t="s">
        <v>42</v>
      </c>
    </row>
    <row r="197" spans="2:7" ht="21" customHeight="1" x14ac:dyDescent="0.3">
      <c r="B197" s="332" t="s">
        <v>46</v>
      </c>
      <c r="C197" s="332"/>
      <c r="D197" s="98">
        <f t="shared" ref="D197:D204" si="17">F197+G197+E197</f>
        <v>42</v>
      </c>
      <c r="E197" s="98">
        <f>COUNTIFS(ÁGUA!N:N,'EQUIPES - ÁGUA'!B195,ÁGUA!O:O,"SF")</f>
        <v>0</v>
      </c>
      <c r="F197" s="98">
        <f>COUNTIFS(ÁGUA!N:N,'EQUIPES - ÁGUA'!B195,ÁGUA!O:O,"c")</f>
        <v>42</v>
      </c>
      <c r="G197" s="98">
        <f>COUNTIFS(ÁGUA!N:N,'EQUIPES - ÁGUA'!B195,ÁGUA!O:O,"NC")</f>
        <v>0</v>
      </c>
    </row>
    <row r="198" spans="2:7" ht="21" customHeight="1" x14ac:dyDescent="0.3">
      <c r="B198" s="332" t="s">
        <v>47</v>
      </c>
      <c r="C198" s="332"/>
      <c r="D198" s="98">
        <f t="shared" si="17"/>
        <v>38</v>
      </c>
      <c r="E198" s="98">
        <f>COUNTIFS(ÁGUA!N:N,'EQUIPES - ÁGUA'!B195,ÁGUA!Q:Q,"SF")</f>
        <v>0</v>
      </c>
      <c r="F198" s="98">
        <f>COUNTIFS(ÁGUA!N:N,'EQUIPES - ÁGUA'!B195,ÁGUA!Q:Q,"c")</f>
        <v>38</v>
      </c>
      <c r="G198" s="98">
        <f>COUNTIFS(ÁGUA!N:N,'EQUIPES - ÁGUA'!B195,ÁGUA!Q:Q,"NC")</f>
        <v>0</v>
      </c>
    </row>
    <row r="199" spans="2:7" ht="21" customHeight="1" x14ac:dyDescent="0.3">
      <c r="B199" s="332" t="s">
        <v>48</v>
      </c>
      <c r="C199" s="332"/>
      <c r="D199" s="98">
        <f t="shared" si="17"/>
        <v>38</v>
      </c>
      <c r="E199" s="98">
        <f>COUNTIFS(ÁGUA!N:N,'EQUIPES - ÁGUA'!B195,ÁGUA!S:S,"SF")</f>
        <v>0</v>
      </c>
      <c r="F199" s="98">
        <f>COUNTIFS(ÁGUA!N:N,'EQUIPES - ÁGUA'!B195,ÁGUA!S:S,"c")</f>
        <v>38</v>
      </c>
      <c r="G199" s="98">
        <f>COUNTIFS(ÁGUA!N:N,'EQUIPES - ÁGUA'!B195,ÁGUA!S:S,"NC")</f>
        <v>0</v>
      </c>
    </row>
    <row r="200" spans="2:7" ht="21" customHeight="1" x14ac:dyDescent="0.3">
      <c r="B200" s="332" t="s">
        <v>49</v>
      </c>
      <c r="C200" s="332"/>
      <c r="D200" s="98">
        <f t="shared" si="17"/>
        <v>38</v>
      </c>
      <c r="E200" s="98">
        <f>COUNTIFS(ÁGUA!N:N,'EQUIPES - ÁGUA'!B195,ÁGUA!U:U,"SF")</f>
        <v>0</v>
      </c>
      <c r="F200" s="98">
        <f>COUNTIFS(ÁGUA!N:N,'EQUIPES - ÁGUA'!B195,ÁGUA!U:U,"c")</f>
        <v>38</v>
      </c>
      <c r="G200" s="98">
        <f>COUNTIFS(ÁGUA!N:N,'EQUIPES - ÁGUA'!B195,ÁGUA!U:U,"NC")</f>
        <v>0</v>
      </c>
    </row>
    <row r="201" spans="2:7" ht="21" customHeight="1" x14ac:dyDescent="0.3">
      <c r="B201" s="332" t="s">
        <v>50</v>
      </c>
      <c r="C201" s="332"/>
      <c r="D201" s="98">
        <f t="shared" si="17"/>
        <v>38</v>
      </c>
      <c r="E201" s="98">
        <f>COUNTIFS(ÁGUA!N:N,'EQUIPES - ÁGUA'!B195,ÁGUA!W:W,"SF")</f>
        <v>0</v>
      </c>
      <c r="F201" s="98">
        <f>COUNTIFS(ÁGUA!N:N,'EQUIPES - ÁGUA'!B195,ÁGUA!W:W,"c")</f>
        <v>38</v>
      </c>
      <c r="G201" s="98">
        <f>COUNTIFS(ÁGUA!N:N,'EQUIPES - ÁGUA'!B195,ÁGUA!W:W,"NC")</f>
        <v>0</v>
      </c>
    </row>
    <row r="202" spans="2:7" ht="21" customHeight="1" x14ac:dyDescent="0.3">
      <c r="B202" s="332" t="s">
        <v>51</v>
      </c>
      <c r="C202" s="332"/>
      <c r="D202" s="98">
        <f t="shared" si="17"/>
        <v>21</v>
      </c>
      <c r="E202" s="98">
        <f>COUNTIFS(ÁGUA!N:N,'EQUIPES - ÁGUA'!B195,ÁGUA!Y:Y,"SF")</f>
        <v>0</v>
      </c>
      <c r="F202" s="98">
        <f>COUNTIFS(ÁGUA!N:N,'EQUIPES - ÁGUA'!B195,ÁGUA!Y:Y,"c")</f>
        <v>21</v>
      </c>
      <c r="G202" s="98">
        <f>COUNTIFS(ÁGUA!N:N,'EQUIPES - ÁGUA'!B195,ÁGUA!Y:Y,"NC")</f>
        <v>0</v>
      </c>
    </row>
    <row r="203" spans="2:7" ht="21" customHeight="1" x14ac:dyDescent="0.3">
      <c r="B203" s="332" t="s">
        <v>52</v>
      </c>
      <c r="C203" s="332"/>
      <c r="D203" s="98">
        <f t="shared" si="17"/>
        <v>42</v>
      </c>
      <c r="E203" s="98">
        <f>COUNTIFS(ÁGUA!N:N,'EQUIPES - ÁGUA'!B195,ÁGUA!AA:AA,"SF")</f>
        <v>0</v>
      </c>
      <c r="F203" s="98">
        <f>COUNTIFS(ÁGUA!N:N,'EQUIPES - ÁGUA'!B195,ÁGUA!AA:AA,"c")</f>
        <v>36</v>
      </c>
      <c r="G203" s="98">
        <f>COUNTIFS(ÁGUA!N:N,'EQUIPES - ÁGUA'!B195,ÁGUA!AA:AA,"NC")</f>
        <v>6</v>
      </c>
    </row>
    <row r="204" spans="2:7" ht="21" customHeight="1" x14ac:dyDescent="0.3">
      <c r="B204" s="332" t="s">
        <v>53</v>
      </c>
      <c r="C204" s="332"/>
      <c r="D204" s="98">
        <f t="shared" si="17"/>
        <v>42</v>
      </c>
      <c r="E204" s="98">
        <f>COUNTIFS(ÁGUA!N:N,'EQUIPES - ÁGUA'!B195,ÁGUA!AC:AC,"SF")</f>
        <v>0</v>
      </c>
      <c r="F204" s="98">
        <f>COUNTIFS(ÁGUA!N:N,'EQUIPES - ÁGUA'!B195,ÁGUA!AC:AC,"c")</f>
        <v>40</v>
      </c>
      <c r="G204" s="98">
        <f>COUNTIFS(ÁGUA!N:N,'EQUIPES - ÁGUA'!B195,ÁGUA!AC:AC,"NC")</f>
        <v>2</v>
      </c>
    </row>
    <row r="206" spans="2:7" ht="21" customHeight="1" x14ac:dyDescent="0.3">
      <c r="B206" s="334" t="str">
        <f>'DADOS - GOPOÚVA'!B92</f>
        <v>ROBERTO APARECIDO BARBOSA SANTOS</v>
      </c>
      <c r="C206" s="334"/>
      <c r="D206" s="334"/>
      <c r="E206" s="334"/>
      <c r="F206" s="334"/>
      <c r="G206" s="334"/>
    </row>
    <row r="207" spans="2:7" ht="21" customHeight="1" x14ac:dyDescent="0.3">
      <c r="B207" s="334" t="s">
        <v>2624</v>
      </c>
      <c r="C207" s="334"/>
      <c r="D207" s="147" t="s">
        <v>56</v>
      </c>
      <c r="E207" s="147" t="s">
        <v>2625</v>
      </c>
      <c r="F207" s="147" t="s">
        <v>41</v>
      </c>
      <c r="G207" s="147" t="s">
        <v>42</v>
      </c>
    </row>
    <row r="208" spans="2:7" ht="21" customHeight="1" x14ac:dyDescent="0.3">
      <c r="B208" s="332" t="s">
        <v>46</v>
      </c>
      <c r="C208" s="332"/>
      <c r="D208" s="98">
        <f t="shared" ref="D208:D215" si="18">F208+G208+E208</f>
        <v>53</v>
      </c>
      <c r="E208" s="98">
        <f>COUNTIFS(ÁGUA!N:N,'EQUIPES - ÁGUA'!B206,ÁGUA!O:O,"SF")</f>
        <v>0</v>
      </c>
      <c r="F208" s="98">
        <f>COUNTIFS(ÁGUA!N:N,'EQUIPES - ÁGUA'!B206,ÁGUA!O:O,"c")</f>
        <v>53</v>
      </c>
      <c r="G208" s="98">
        <f>COUNTIFS(ÁGUA!N:N,'EQUIPES - ÁGUA'!B206,ÁGUA!O:O,"NC")</f>
        <v>0</v>
      </c>
    </row>
    <row r="209" spans="2:7" ht="21" customHeight="1" x14ac:dyDescent="0.3">
      <c r="B209" s="332" t="s">
        <v>47</v>
      </c>
      <c r="C209" s="332"/>
      <c r="D209" s="98">
        <f t="shared" si="18"/>
        <v>38</v>
      </c>
      <c r="E209" s="98">
        <f>COUNTIFS(ÁGUA!N:N,'EQUIPES - ÁGUA'!B206,ÁGUA!Q:Q,"SF")</f>
        <v>0</v>
      </c>
      <c r="F209" s="98">
        <f>COUNTIFS(ÁGUA!N:N,'EQUIPES - ÁGUA'!B206,ÁGUA!Q:Q,"c")</f>
        <v>38</v>
      </c>
      <c r="G209" s="98">
        <f>COUNTIFS(ÁGUA!N:N,'EQUIPES - ÁGUA'!B206,ÁGUA!Q:Q,"NC")</f>
        <v>0</v>
      </c>
    </row>
    <row r="210" spans="2:7" ht="21" customHeight="1" x14ac:dyDescent="0.3">
      <c r="B210" s="332" t="s">
        <v>48</v>
      </c>
      <c r="C210" s="332"/>
      <c r="D210" s="98">
        <f t="shared" si="18"/>
        <v>34</v>
      </c>
      <c r="E210" s="98">
        <f>COUNTIFS(ÁGUA!N:N,'EQUIPES - ÁGUA'!B206,ÁGUA!S:S,"SF")</f>
        <v>0</v>
      </c>
      <c r="F210" s="98">
        <f>COUNTIFS(ÁGUA!N:N,'EQUIPES - ÁGUA'!B206,ÁGUA!S:S,"c")</f>
        <v>34</v>
      </c>
      <c r="G210" s="98">
        <f>COUNTIFS(ÁGUA!N:N,'EQUIPES - ÁGUA'!B206,ÁGUA!S:S,"NC")</f>
        <v>0</v>
      </c>
    </row>
    <row r="211" spans="2:7" ht="21" customHeight="1" x14ac:dyDescent="0.3">
      <c r="B211" s="332" t="s">
        <v>49</v>
      </c>
      <c r="C211" s="332"/>
      <c r="D211" s="98">
        <f t="shared" si="18"/>
        <v>33</v>
      </c>
      <c r="E211" s="98">
        <f>COUNTIFS(ÁGUA!N:N,'EQUIPES - ÁGUA'!B206,ÁGUA!U:U,"SF")</f>
        <v>0</v>
      </c>
      <c r="F211" s="98">
        <f>COUNTIFS(ÁGUA!N:N,'EQUIPES - ÁGUA'!B206,ÁGUA!U:U,"c")</f>
        <v>33</v>
      </c>
      <c r="G211" s="98">
        <f>COUNTIFS(ÁGUA!N:N,'EQUIPES - ÁGUA'!B206,ÁGUA!U:U,"NC")</f>
        <v>0</v>
      </c>
    </row>
    <row r="212" spans="2:7" ht="21" customHeight="1" x14ac:dyDescent="0.3">
      <c r="B212" s="332" t="s">
        <v>50</v>
      </c>
      <c r="C212" s="332"/>
      <c r="D212" s="98">
        <f t="shared" si="18"/>
        <v>33</v>
      </c>
      <c r="E212" s="98">
        <f>COUNTIFS(ÁGUA!N:N,'EQUIPES - ÁGUA'!B206,ÁGUA!W:W,"SF")</f>
        <v>0</v>
      </c>
      <c r="F212" s="98">
        <f>COUNTIFS(ÁGUA!N:N,'EQUIPES - ÁGUA'!B206,ÁGUA!W:W,"c")</f>
        <v>33</v>
      </c>
      <c r="G212" s="98">
        <f>COUNTIFS(ÁGUA!N:N,'EQUIPES - ÁGUA'!B206,ÁGUA!W:W,"NC")</f>
        <v>0</v>
      </c>
    </row>
    <row r="213" spans="2:7" ht="21" customHeight="1" x14ac:dyDescent="0.3">
      <c r="B213" s="332" t="s">
        <v>51</v>
      </c>
      <c r="C213" s="332"/>
      <c r="D213" s="98">
        <f t="shared" si="18"/>
        <v>26</v>
      </c>
      <c r="E213" s="98">
        <f>COUNTIFS(ÁGUA!N:N,'EQUIPES - ÁGUA'!B206,ÁGUA!Y:Y,"SF")</f>
        <v>0</v>
      </c>
      <c r="F213" s="98">
        <f>COUNTIFS(ÁGUA!N:N,'EQUIPES - ÁGUA'!B206,ÁGUA!Y:Y,"c")</f>
        <v>17</v>
      </c>
      <c r="G213" s="98">
        <f>COUNTIFS(ÁGUA!N:N,'EQUIPES - ÁGUA'!B206,ÁGUA!Y:Y,"NC")</f>
        <v>9</v>
      </c>
    </row>
    <row r="214" spans="2:7" ht="21" customHeight="1" x14ac:dyDescent="0.3">
      <c r="B214" s="332" t="s">
        <v>52</v>
      </c>
      <c r="C214" s="332"/>
      <c r="D214" s="98">
        <f t="shared" si="18"/>
        <v>46</v>
      </c>
      <c r="E214" s="98">
        <f>COUNTIFS(ÁGUA!N:N,'EQUIPES - ÁGUA'!B206,ÁGUA!AA:AA,"SF")</f>
        <v>0</v>
      </c>
      <c r="F214" s="98">
        <f>COUNTIFS(ÁGUA!N:N,'EQUIPES - ÁGUA'!B206,ÁGUA!AA:AA,"c")</f>
        <v>41</v>
      </c>
      <c r="G214" s="98">
        <f>COUNTIFS(ÁGUA!N:N,'EQUIPES - ÁGUA'!B206,ÁGUA!AA:AA,"NC")</f>
        <v>5</v>
      </c>
    </row>
    <row r="215" spans="2:7" ht="21" customHeight="1" x14ac:dyDescent="0.3">
      <c r="B215" s="332" t="s">
        <v>53</v>
      </c>
      <c r="C215" s="332"/>
      <c r="D215" s="98">
        <f t="shared" si="18"/>
        <v>53</v>
      </c>
      <c r="E215" s="98">
        <f>COUNTIFS(ÁGUA!N:N,'EQUIPES - ÁGUA'!B206,ÁGUA!AC:AC,"SF")</f>
        <v>0</v>
      </c>
      <c r="F215" s="98">
        <f>COUNTIFS(ÁGUA!N:N,'EQUIPES - ÁGUA'!B206,ÁGUA!AC:AC,"c")</f>
        <v>52</v>
      </c>
      <c r="G215" s="98">
        <f>COUNTIFS(ÁGUA!N:N,'EQUIPES - ÁGUA'!B206,ÁGUA!AC:AC,"NC")</f>
        <v>1</v>
      </c>
    </row>
    <row r="217" spans="2:7" ht="21" customHeight="1" x14ac:dyDescent="0.3">
      <c r="B217" s="334" t="str">
        <f>'DADOS - GOPOÚVA'!B93</f>
        <v>ROBERTO SOARES DE ALMEIDA</v>
      </c>
      <c r="C217" s="334"/>
      <c r="D217" s="334"/>
      <c r="E217" s="334"/>
      <c r="F217" s="334"/>
      <c r="G217" s="334"/>
    </row>
    <row r="218" spans="2:7" ht="21" customHeight="1" x14ac:dyDescent="0.3">
      <c r="B218" s="334" t="s">
        <v>2624</v>
      </c>
      <c r="C218" s="334"/>
      <c r="D218" s="147" t="s">
        <v>56</v>
      </c>
      <c r="E218" s="147" t="s">
        <v>2625</v>
      </c>
      <c r="F218" s="147" t="s">
        <v>41</v>
      </c>
      <c r="G218" s="147" t="s">
        <v>42</v>
      </c>
    </row>
    <row r="219" spans="2:7" ht="21" customHeight="1" x14ac:dyDescent="0.3">
      <c r="B219" s="332" t="s">
        <v>46</v>
      </c>
      <c r="C219" s="332"/>
      <c r="D219" s="98">
        <f t="shared" ref="D219:D226" si="19">F219+G219+E219</f>
        <v>4</v>
      </c>
      <c r="E219" s="98">
        <f>COUNTIFS(ÁGUA!N:N,'EQUIPES - ÁGUA'!B217,ÁGUA!O:O,"SF")</f>
        <v>0</v>
      </c>
      <c r="F219" s="98">
        <f>COUNTIFS(ÁGUA!N:N,'EQUIPES - ÁGUA'!B217,ÁGUA!O:O,"c")</f>
        <v>4</v>
      </c>
      <c r="G219" s="98">
        <f>COUNTIFS(ÁGUA!N:N,'EQUIPES - ÁGUA'!B217,ÁGUA!O:O,"NC")</f>
        <v>0</v>
      </c>
    </row>
    <row r="220" spans="2:7" ht="21" customHeight="1" x14ac:dyDescent="0.3">
      <c r="B220" s="332" t="s">
        <v>47</v>
      </c>
      <c r="C220" s="332"/>
      <c r="D220" s="98">
        <f t="shared" si="19"/>
        <v>4</v>
      </c>
      <c r="E220" s="98">
        <f>COUNTIFS(ÁGUA!N:N,'EQUIPES - ÁGUA'!B217,ÁGUA!Q:Q,"SF")</f>
        <v>0</v>
      </c>
      <c r="F220" s="98">
        <f>COUNTIFS(ÁGUA!N:N,'EQUIPES - ÁGUA'!B217,ÁGUA!Q:Q,"c")</f>
        <v>4</v>
      </c>
      <c r="G220" s="98">
        <f>COUNTIFS(ÁGUA!N:N,'EQUIPES - ÁGUA'!B217,ÁGUA!Q:Q,"NC")</f>
        <v>0</v>
      </c>
    </row>
    <row r="221" spans="2:7" ht="21" customHeight="1" x14ac:dyDescent="0.3">
      <c r="B221" s="332" t="s">
        <v>48</v>
      </c>
      <c r="C221" s="332"/>
      <c r="D221" s="98">
        <f t="shared" si="19"/>
        <v>4</v>
      </c>
      <c r="E221" s="98">
        <f>COUNTIFS(ÁGUA!N:N,'EQUIPES - ÁGUA'!B217,ÁGUA!S:S,"SF")</f>
        <v>0</v>
      </c>
      <c r="F221" s="98">
        <f>COUNTIFS(ÁGUA!N:N,'EQUIPES - ÁGUA'!B217,ÁGUA!S:S,"c")</f>
        <v>4</v>
      </c>
      <c r="G221" s="98">
        <f>COUNTIFS(ÁGUA!N:N,'EQUIPES - ÁGUA'!B217,ÁGUA!S:S,"NC")</f>
        <v>0</v>
      </c>
    </row>
    <row r="222" spans="2:7" ht="21" customHeight="1" x14ac:dyDescent="0.3">
      <c r="B222" s="332" t="s">
        <v>49</v>
      </c>
      <c r="C222" s="332"/>
      <c r="D222" s="98">
        <f t="shared" si="19"/>
        <v>4</v>
      </c>
      <c r="E222" s="98">
        <f>COUNTIFS(ÁGUA!N:N,'EQUIPES - ÁGUA'!B217,ÁGUA!U:U,"SF")</f>
        <v>0</v>
      </c>
      <c r="F222" s="98">
        <f>COUNTIFS(ÁGUA!N:N,'EQUIPES - ÁGUA'!B217,ÁGUA!U:U,"c")</f>
        <v>4</v>
      </c>
      <c r="G222" s="98">
        <f>COUNTIFS(ÁGUA!N:N,'EQUIPES - ÁGUA'!B217,ÁGUA!U:U,"NC")</f>
        <v>0</v>
      </c>
    </row>
    <row r="223" spans="2:7" ht="21" customHeight="1" x14ac:dyDescent="0.3">
      <c r="B223" s="332" t="s">
        <v>50</v>
      </c>
      <c r="C223" s="332"/>
      <c r="D223" s="98">
        <f t="shared" si="19"/>
        <v>4</v>
      </c>
      <c r="E223" s="98">
        <f>COUNTIFS(ÁGUA!N:N,'EQUIPES - ÁGUA'!B217,ÁGUA!W:W,"SF")</f>
        <v>0</v>
      </c>
      <c r="F223" s="98">
        <f>COUNTIFS(ÁGUA!N:N,'EQUIPES - ÁGUA'!B217,ÁGUA!W:W,"c")</f>
        <v>4</v>
      </c>
      <c r="G223" s="98">
        <f>COUNTIFS(ÁGUA!N:N,'EQUIPES - ÁGUA'!B217,ÁGUA!W:W,"NC")</f>
        <v>0</v>
      </c>
    </row>
    <row r="224" spans="2:7" ht="21" customHeight="1" x14ac:dyDescent="0.3">
      <c r="B224" s="332" t="s">
        <v>51</v>
      </c>
      <c r="C224" s="332"/>
      <c r="D224" s="98">
        <f t="shared" si="19"/>
        <v>1</v>
      </c>
      <c r="E224" s="98">
        <f>COUNTIFS(ÁGUA!N:N,'EQUIPES - ÁGUA'!B217,ÁGUA!Y:Y,"SF")</f>
        <v>0</v>
      </c>
      <c r="F224" s="98">
        <f>COUNTIFS(ÁGUA!N:N,'EQUIPES - ÁGUA'!B217,ÁGUA!Y:Y,"c")</f>
        <v>1</v>
      </c>
      <c r="G224" s="98">
        <f>COUNTIFS(ÁGUA!N:N,'EQUIPES - ÁGUA'!B217,ÁGUA!Y:Y,"NC")</f>
        <v>0</v>
      </c>
    </row>
    <row r="225" spans="2:7" ht="21" customHeight="1" x14ac:dyDescent="0.3">
      <c r="B225" s="332" t="s">
        <v>52</v>
      </c>
      <c r="C225" s="332"/>
      <c r="D225" s="98">
        <f t="shared" si="19"/>
        <v>4</v>
      </c>
      <c r="E225" s="98">
        <f>COUNTIFS(ÁGUA!N:N,'EQUIPES - ÁGUA'!B217,ÁGUA!AA:AA,"SF")</f>
        <v>0</v>
      </c>
      <c r="F225" s="98">
        <f>COUNTIFS(ÁGUA!N:N,'EQUIPES - ÁGUA'!B217,ÁGUA!AA:AA,"c")</f>
        <v>3</v>
      </c>
      <c r="G225" s="98">
        <f>COUNTIFS(ÁGUA!N:N,'EQUIPES - ÁGUA'!B217,ÁGUA!AA:AA,"NC")</f>
        <v>1</v>
      </c>
    </row>
    <row r="226" spans="2:7" ht="21" customHeight="1" x14ac:dyDescent="0.3">
      <c r="B226" s="332" t="s">
        <v>53</v>
      </c>
      <c r="C226" s="332"/>
      <c r="D226" s="98">
        <f t="shared" si="19"/>
        <v>4</v>
      </c>
      <c r="E226" s="98">
        <f>COUNTIFS(ÁGUA!N:N,'EQUIPES - ÁGUA'!B217,ÁGUA!AC:AC,"SF")</f>
        <v>0</v>
      </c>
      <c r="F226" s="98">
        <f>COUNTIFS(ÁGUA!N:N,'EQUIPES - ÁGUA'!B217,ÁGUA!AC:AC,"c")</f>
        <v>4</v>
      </c>
      <c r="G226" s="98">
        <f>COUNTIFS(ÁGUA!N:N,'EQUIPES - ÁGUA'!B217,ÁGUA!AC:AC,"NC")</f>
        <v>0</v>
      </c>
    </row>
    <row r="229" spans="2:7" ht="21" customHeight="1" x14ac:dyDescent="0.3">
      <c r="B229" s="334" t="str">
        <f>'DADOS - GOPOÚVA'!B94</f>
        <v>RODRIGO PEREIRA VILAS BOAS</v>
      </c>
      <c r="C229" s="334"/>
      <c r="D229" s="334"/>
      <c r="E229" s="334"/>
      <c r="F229" s="334"/>
      <c r="G229" s="334"/>
    </row>
    <row r="230" spans="2:7" ht="21" customHeight="1" x14ac:dyDescent="0.3">
      <c r="B230" s="334" t="s">
        <v>2624</v>
      </c>
      <c r="C230" s="334"/>
      <c r="D230" s="147" t="s">
        <v>56</v>
      </c>
      <c r="E230" s="147" t="s">
        <v>2625</v>
      </c>
      <c r="F230" s="147" t="s">
        <v>41</v>
      </c>
      <c r="G230" s="147" t="s">
        <v>42</v>
      </c>
    </row>
    <row r="231" spans="2:7" ht="21" customHeight="1" x14ac:dyDescent="0.3">
      <c r="B231" s="332" t="s">
        <v>46</v>
      </c>
      <c r="C231" s="332"/>
      <c r="D231" s="98">
        <f t="shared" ref="D231:D238" si="20">F231+G231+E231</f>
        <v>1</v>
      </c>
      <c r="E231" s="98">
        <f>COUNTIFS(ÁGUA!N:N,'EQUIPES - ÁGUA'!B229,ÁGUA!O:O,"SF")</f>
        <v>0</v>
      </c>
      <c r="F231" s="98">
        <f>COUNTIFS(ÁGUA!N:N,'EQUIPES - ÁGUA'!B229,ÁGUA!O:O,"c")</f>
        <v>1</v>
      </c>
      <c r="G231" s="98">
        <f>COUNTIFS(ÁGUA!N:N,'EQUIPES - ÁGUA'!B229,ÁGUA!O:O,"NC")</f>
        <v>0</v>
      </c>
    </row>
    <row r="232" spans="2:7" ht="21" customHeight="1" x14ac:dyDescent="0.3">
      <c r="B232" s="332" t="s">
        <v>47</v>
      </c>
      <c r="C232" s="332"/>
      <c r="D232" s="98">
        <f t="shared" si="20"/>
        <v>0</v>
      </c>
      <c r="E232" s="98">
        <f>COUNTIFS(ÁGUA!N:N,'EQUIPES - ÁGUA'!B229,ÁGUA!Q:Q,"SF")</f>
        <v>0</v>
      </c>
      <c r="F232" s="98">
        <f>COUNTIFS(ÁGUA!N:N,'EQUIPES - ÁGUA'!B229,ÁGUA!Q:Q,"c")</f>
        <v>0</v>
      </c>
      <c r="G232" s="98">
        <f>COUNTIFS(ÁGUA!N:N,'EQUIPES - ÁGUA'!B229,ÁGUA!Q:Q,"NC")</f>
        <v>0</v>
      </c>
    </row>
    <row r="233" spans="2:7" ht="21" customHeight="1" x14ac:dyDescent="0.3">
      <c r="B233" s="332" t="s">
        <v>48</v>
      </c>
      <c r="C233" s="332"/>
      <c r="D233" s="98">
        <f t="shared" si="20"/>
        <v>0</v>
      </c>
      <c r="E233" s="98">
        <f>COUNTIFS(ÁGUA!N:N,'EQUIPES - ÁGUA'!B229,ÁGUA!S:S,"SF")</f>
        <v>0</v>
      </c>
      <c r="F233" s="98">
        <f>COUNTIFS(ÁGUA!N:N,'EQUIPES - ÁGUA'!B229,ÁGUA!S:S,"c")</f>
        <v>0</v>
      </c>
      <c r="G233" s="98">
        <f>COUNTIFS(ÁGUA!N:N,'EQUIPES - ÁGUA'!B229,ÁGUA!S:S,"NC")</f>
        <v>0</v>
      </c>
    </row>
    <row r="234" spans="2:7" ht="21" customHeight="1" x14ac:dyDescent="0.3">
      <c r="B234" s="332" t="s">
        <v>49</v>
      </c>
      <c r="C234" s="332"/>
      <c r="D234" s="98">
        <f t="shared" si="20"/>
        <v>0</v>
      </c>
      <c r="E234" s="98">
        <f>COUNTIFS(ÁGUA!N:N,'EQUIPES - ÁGUA'!B229,ÁGUA!U:U,"SF")</f>
        <v>0</v>
      </c>
      <c r="F234" s="98">
        <f>COUNTIFS(ÁGUA!N:N,'EQUIPES - ÁGUA'!B229,ÁGUA!U:U,"c")</f>
        <v>0</v>
      </c>
      <c r="G234" s="98">
        <f>COUNTIFS(ÁGUA!N:N,'EQUIPES - ÁGUA'!B229,ÁGUA!U:U,"NC")</f>
        <v>0</v>
      </c>
    </row>
    <row r="235" spans="2:7" ht="21" customHeight="1" x14ac:dyDescent="0.3">
      <c r="B235" s="332" t="s">
        <v>50</v>
      </c>
      <c r="C235" s="332"/>
      <c r="D235" s="98">
        <f t="shared" si="20"/>
        <v>0</v>
      </c>
      <c r="E235" s="98">
        <f>COUNTIFS(ÁGUA!N:N,'EQUIPES - ÁGUA'!B229,ÁGUA!W:W,"SF")</f>
        <v>0</v>
      </c>
      <c r="F235" s="98">
        <f>COUNTIFS(ÁGUA!N:N,'EQUIPES - ÁGUA'!B229,ÁGUA!W:W,"c")</f>
        <v>0</v>
      </c>
      <c r="G235" s="98">
        <f>COUNTIFS(ÁGUA!N:N,'EQUIPES - ÁGUA'!B229,ÁGUA!W:W,"NC")</f>
        <v>0</v>
      </c>
    </row>
    <row r="236" spans="2:7" ht="21" customHeight="1" x14ac:dyDescent="0.3">
      <c r="B236" s="332" t="s">
        <v>51</v>
      </c>
      <c r="C236" s="332"/>
      <c r="D236" s="98">
        <f t="shared" si="20"/>
        <v>0</v>
      </c>
      <c r="E236" s="98">
        <f>COUNTIFS(ÁGUA!N:N,'EQUIPES - ÁGUA'!B229,ÁGUA!Y:Y,"SF")</f>
        <v>0</v>
      </c>
      <c r="F236" s="98">
        <f>COUNTIFS(ÁGUA!N:N,'EQUIPES - ÁGUA'!B229,ÁGUA!Y:Y,"c")</f>
        <v>0</v>
      </c>
      <c r="G236" s="98">
        <f>COUNTIFS(ÁGUA!N:N,'EQUIPES - ÁGUA'!B229,ÁGUA!Y:Y,"NC")</f>
        <v>0</v>
      </c>
    </row>
    <row r="237" spans="2:7" ht="21" customHeight="1" x14ac:dyDescent="0.3">
      <c r="B237" s="332" t="s">
        <v>52</v>
      </c>
      <c r="C237" s="332"/>
      <c r="D237" s="98">
        <f t="shared" si="20"/>
        <v>0</v>
      </c>
      <c r="E237" s="98">
        <f>COUNTIFS(ÁGUA!N:N,'EQUIPES - ÁGUA'!B229,ÁGUA!AA:AA,"SF")</f>
        <v>0</v>
      </c>
      <c r="F237" s="98">
        <f>COUNTIFS(ÁGUA!N:N,'EQUIPES - ÁGUA'!B229,ÁGUA!AA:AA,"c")</f>
        <v>0</v>
      </c>
      <c r="G237" s="98">
        <f>COUNTIFS(ÁGUA!N:N,'EQUIPES - ÁGUA'!B229,ÁGUA!AA:AA,"NC")</f>
        <v>0</v>
      </c>
    </row>
    <row r="238" spans="2:7" ht="21" customHeight="1" x14ac:dyDescent="0.3">
      <c r="B238" s="332" t="s">
        <v>53</v>
      </c>
      <c r="C238" s="332"/>
      <c r="D238" s="98">
        <f t="shared" si="20"/>
        <v>1</v>
      </c>
      <c r="E238" s="98">
        <f>COUNTIFS(ÁGUA!N:N,'EQUIPES - ÁGUA'!B229,ÁGUA!AC:AC,"SF")</f>
        <v>0</v>
      </c>
      <c r="F238" s="98">
        <f>COUNTIFS(ÁGUA!N:N,'EQUIPES - ÁGUA'!B229,ÁGUA!AC:AC,"c")</f>
        <v>1</v>
      </c>
      <c r="G238" s="98">
        <f>COUNTIFS(ÁGUA!N:N,'EQUIPES - ÁGUA'!B229,ÁGUA!AC:AC,"NC")</f>
        <v>0</v>
      </c>
    </row>
    <row r="240" spans="2:7" ht="21" customHeight="1" x14ac:dyDescent="0.3">
      <c r="B240" s="334" t="str">
        <f>'DADOS - GOPOÚVA'!B95</f>
        <v>ROMARIO MARINHO SANTOS</v>
      </c>
      <c r="C240" s="334"/>
      <c r="D240" s="334"/>
      <c r="E240" s="334"/>
      <c r="F240" s="334"/>
      <c r="G240" s="334"/>
    </row>
    <row r="241" spans="2:7" ht="21" customHeight="1" x14ac:dyDescent="0.3">
      <c r="B241" s="334" t="s">
        <v>2624</v>
      </c>
      <c r="C241" s="334"/>
      <c r="D241" s="147" t="s">
        <v>56</v>
      </c>
      <c r="E241" s="147" t="s">
        <v>2625</v>
      </c>
      <c r="F241" s="147" t="s">
        <v>41</v>
      </c>
      <c r="G241" s="147" t="s">
        <v>42</v>
      </c>
    </row>
    <row r="242" spans="2:7" ht="21" customHeight="1" x14ac:dyDescent="0.3">
      <c r="B242" s="332" t="s">
        <v>46</v>
      </c>
      <c r="C242" s="332"/>
      <c r="D242" s="98">
        <f t="shared" ref="D242:D249" si="21">F242+G242+E242</f>
        <v>14</v>
      </c>
      <c r="E242" s="98">
        <f>COUNTIFS(ÁGUA!N:N,'EQUIPES - ÁGUA'!B240,ÁGUA!O:O,"SF")</f>
        <v>2</v>
      </c>
      <c r="F242" s="98">
        <f>COUNTIFS(ÁGUA!N:N,'EQUIPES - ÁGUA'!B240,ÁGUA!O:O,"c")</f>
        <v>11</v>
      </c>
      <c r="G242" s="98">
        <f>COUNTIFS(ÁGUA!N:N,'EQUIPES - ÁGUA'!B240,ÁGUA!O:O,"NC")</f>
        <v>1</v>
      </c>
    </row>
    <row r="243" spans="2:7" ht="21" customHeight="1" x14ac:dyDescent="0.3">
      <c r="B243" s="332" t="s">
        <v>47</v>
      </c>
      <c r="C243" s="332"/>
      <c r="D243" s="98">
        <f t="shared" si="21"/>
        <v>14</v>
      </c>
      <c r="E243" s="98">
        <f>COUNTIFS(ÁGUA!N:N,'EQUIPES - ÁGUA'!B240,ÁGUA!Q:Q,"SF")</f>
        <v>2</v>
      </c>
      <c r="F243" s="98">
        <f>COUNTIFS(ÁGUA!N:N,'EQUIPES - ÁGUA'!B240,ÁGUA!Q:Q,"c")</f>
        <v>11</v>
      </c>
      <c r="G243" s="98">
        <f>COUNTIFS(ÁGUA!N:N,'EQUIPES - ÁGUA'!B240,ÁGUA!Q:Q,"NC")</f>
        <v>1</v>
      </c>
    </row>
    <row r="244" spans="2:7" ht="21" customHeight="1" x14ac:dyDescent="0.3">
      <c r="B244" s="332" t="s">
        <v>48</v>
      </c>
      <c r="C244" s="332"/>
      <c r="D244" s="98">
        <f t="shared" si="21"/>
        <v>14</v>
      </c>
      <c r="E244" s="98">
        <f>COUNTIFS(ÁGUA!N:N,'EQUIPES - ÁGUA'!B240,ÁGUA!S:S,"SF")</f>
        <v>2</v>
      </c>
      <c r="F244" s="98">
        <f>COUNTIFS(ÁGUA!N:N,'EQUIPES - ÁGUA'!B240,ÁGUA!S:S,"c")</f>
        <v>11</v>
      </c>
      <c r="G244" s="98">
        <f>COUNTIFS(ÁGUA!N:N,'EQUIPES - ÁGUA'!B240,ÁGUA!S:S,"NC")</f>
        <v>1</v>
      </c>
    </row>
    <row r="245" spans="2:7" ht="21" customHeight="1" x14ac:dyDescent="0.3">
      <c r="B245" s="332" t="s">
        <v>49</v>
      </c>
      <c r="C245" s="332"/>
      <c r="D245" s="98">
        <f t="shared" si="21"/>
        <v>14</v>
      </c>
      <c r="E245" s="98">
        <f>COUNTIFS(ÁGUA!N:N,'EQUIPES - ÁGUA'!B240,ÁGUA!U:U,"SF")</f>
        <v>2</v>
      </c>
      <c r="F245" s="98">
        <f>COUNTIFS(ÁGUA!N:N,'EQUIPES - ÁGUA'!B240,ÁGUA!U:U,"c")</f>
        <v>11</v>
      </c>
      <c r="G245" s="98">
        <f>COUNTIFS(ÁGUA!N:N,'EQUIPES - ÁGUA'!B240,ÁGUA!U:U,"NC")</f>
        <v>1</v>
      </c>
    </row>
    <row r="246" spans="2:7" ht="21" customHeight="1" x14ac:dyDescent="0.3">
      <c r="B246" s="332" t="s">
        <v>50</v>
      </c>
      <c r="C246" s="332"/>
      <c r="D246" s="98">
        <f t="shared" si="21"/>
        <v>14</v>
      </c>
      <c r="E246" s="98">
        <f>COUNTIFS(ÁGUA!N:N,'EQUIPES - ÁGUA'!B240,ÁGUA!W:W,"SF")</f>
        <v>2</v>
      </c>
      <c r="F246" s="98">
        <f>COUNTIFS(ÁGUA!N:N,'EQUIPES - ÁGUA'!B240,ÁGUA!W:W,"c")</f>
        <v>11</v>
      </c>
      <c r="G246" s="98">
        <f>COUNTIFS(ÁGUA!N:N,'EQUIPES - ÁGUA'!B240,ÁGUA!W:W,"NC")</f>
        <v>1</v>
      </c>
    </row>
    <row r="247" spans="2:7" ht="21" customHeight="1" x14ac:dyDescent="0.3">
      <c r="B247" s="332" t="s">
        <v>51</v>
      </c>
      <c r="C247" s="332"/>
      <c r="D247" s="98">
        <f t="shared" si="21"/>
        <v>6</v>
      </c>
      <c r="E247" s="98">
        <f>COUNTIFS(ÁGUA!N:N,'EQUIPES - ÁGUA'!B240,ÁGUA!Y:Y,"SF")</f>
        <v>2</v>
      </c>
      <c r="F247" s="98">
        <f>COUNTIFS(ÁGUA!N:N,'EQUIPES - ÁGUA'!B240,ÁGUA!Y:Y,"c")</f>
        <v>3</v>
      </c>
      <c r="G247" s="98">
        <f>COUNTIFS(ÁGUA!N:N,'EQUIPES - ÁGUA'!B240,ÁGUA!Y:Y,"NC")</f>
        <v>1</v>
      </c>
    </row>
    <row r="248" spans="2:7" ht="21" customHeight="1" x14ac:dyDescent="0.3">
      <c r="B248" s="332" t="s">
        <v>52</v>
      </c>
      <c r="C248" s="332"/>
      <c r="D248" s="98">
        <f t="shared" si="21"/>
        <v>14</v>
      </c>
      <c r="E248" s="98">
        <f>COUNTIFS(ÁGUA!N:N,'EQUIPES - ÁGUA'!B240,ÁGUA!AA:AA,"SF")</f>
        <v>2</v>
      </c>
      <c r="F248" s="98">
        <f>COUNTIFS(ÁGUA!N:N,'EQUIPES - ÁGUA'!B240,ÁGUA!AA:AA,"c")</f>
        <v>11</v>
      </c>
      <c r="G248" s="98">
        <f>COUNTIFS(ÁGUA!N:N,'EQUIPES - ÁGUA'!B240,ÁGUA!AA:AA,"NC")</f>
        <v>1</v>
      </c>
    </row>
    <row r="249" spans="2:7" ht="21" customHeight="1" x14ac:dyDescent="0.3">
      <c r="B249" s="332" t="s">
        <v>53</v>
      </c>
      <c r="C249" s="332"/>
      <c r="D249" s="98">
        <f t="shared" si="21"/>
        <v>14</v>
      </c>
      <c r="E249" s="98">
        <f>COUNTIFS(ÁGUA!N:N,'EQUIPES - ÁGUA'!B240,ÁGUA!AC:AC,"SF")</f>
        <v>2</v>
      </c>
      <c r="F249" s="98">
        <f>COUNTIFS(ÁGUA!N:N,'EQUIPES - ÁGUA'!B240,ÁGUA!AC:AC,"c")</f>
        <v>11</v>
      </c>
      <c r="G249" s="98">
        <f>COUNTIFS(ÁGUA!N:N,'EQUIPES - ÁGUA'!B240,ÁGUA!AC:AC,"NC")</f>
        <v>1</v>
      </c>
    </row>
    <row r="251" spans="2:7" ht="21" customHeight="1" x14ac:dyDescent="0.3">
      <c r="B251" s="334" t="str">
        <f>'DADOS - GOPOÚVA'!B96</f>
        <v>RONALDO BISPO ROCHA</v>
      </c>
      <c r="C251" s="334"/>
      <c r="D251" s="334"/>
      <c r="E251" s="334"/>
      <c r="F251" s="334"/>
      <c r="G251" s="334"/>
    </row>
    <row r="252" spans="2:7" ht="21" customHeight="1" x14ac:dyDescent="0.3">
      <c r="B252" s="334" t="s">
        <v>2624</v>
      </c>
      <c r="C252" s="334"/>
      <c r="D252" s="147" t="s">
        <v>56</v>
      </c>
      <c r="E252" s="147" t="s">
        <v>2625</v>
      </c>
      <c r="F252" s="147" t="s">
        <v>41</v>
      </c>
      <c r="G252" s="147" t="s">
        <v>42</v>
      </c>
    </row>
    <row r="253" spans="2:7" ht="21" customHeight="1" x14ac:dyDescent="0.3">
      <c r="B253" s="332" t="s">
        <v>46</v>
      </c>
      <c r="C253" s="332"/>
      <c r="D253" s="98">
        <f t="shared" ref="D253:D260" si="22">F253+G253+E253</f>
        <v>4</v>
      </c>
      <c r="E253" s="98">
        <f>COUNTIFS(ÁGUA!N:N,'EQUIPES - ÁGUA'!B251,ÁGUA!O:O,"SF")</f>
        <v>0</v>
      </c>
      <c r="F253" s="98">
        <f>COUNTIFS(ÁGUA!N:N,'EQUIPES - ÁGUA'!B251,ÁGUA!O:O,"c")</f>
        <v>4</v>
      </c>
      <c r="G253" s="98">
        <f>COUNTIFS(ÁGUA!N:N,'EQUIPES - ÁGUA'!B251,ÁGUA!O:O,"NC")</f>
        <v>0</v>
      </c>
    </row>
    <row r="254" spans="2:7" ht="21" customHeight="1" x14ac:dyDescent="0.3">
      <c r="B254" s="332" t="s">
        <v>47</v>
      </c>
      <c r="C254" s="332"/>
      <c r="D254" s="98">
        <f t="shared" si="22"/>
        <v>4</v>
      </c>
      <c r="E254" s="98">
        <f>COUNTIFS(ÁGUA!N:N,'EQUIPES - ÁGUA'!B251,ÁGUA!Q:Q,"SF")</f>
        <v>0</v>
      </c>
      <c r="F254" s="98">
        <f>COUNTIFS(ÁGUA!N:N,'EQUIPES - ÁGUA'!B251,ÁGUA!Q:Q,"c")</f>
        <v>4</v>
      </c>
      <c r="G254" s="98">
        <f>COUNTIFS(ÁGUA!N:N,'EQUIPES - ÁGUA'!B251,ÁGUA!Q:Q,"NC")</f>
        <v>0</v>
      </c>
    </row>
    <row r="255" spans="2:7" ht="21" customHeight="1" x14ac:dyDescent="0.3">
      <c r="B255" s="332" t="s">
        <v>48</v>
      </c>
      <c r="C255" s="332"/>
      <c r="D255" s="98">
        <f t="shared" si="22"/>
        <v>4</v>
      </c>
      <c r="E255" s="98">
        <f>COUNTIFS(ÁGUA!N:N,'EQUIPES - ÁGUA'!B251,ÁGUA!S:S,"SF")</f>
        <v>0</v>
      </c>
      <c r="F255" s="98">
        <f>COUNTIFS(ÁGUA!N:N,'EQUIPES - ÁGUA'!B251,ÁGUA!S:S,"c")</f>
        <v>4</v>
      </c>
      <c r="G255" s="98">
        <f>COUNTIFS(ÁGUA!N:N,'EQUIPES - ÁGUA'!B251,ÁGUA!S:S,"NC")</f>
        <v>0</v>
      </c>
    </row>
    <row r="256" spans="2:7" ht="21" customHeight="1" x14ac:dyDescent="0.3">
      <c r="B256" s="332" t="s">
        <v>49</v>
      </c>
      <c r="C256" s="332"/>
      <c r="D256" s="98">
        <f t="shared" si="22"/>
        <v>4</v>
      </c>
      <c r="E256" s="98">
        <f>COUNTIFS(ÁGUA!N:N,'EQUIPES - ÁGUA'!B251,ÁGUA!U:U,"SF")</f>
        <v>0</v>
      </c>
      <c r="F256" s="98">
        <f>COUNTIFS(ÁGUA!N:N,'EQUIPES - ÁGUA'!B251,ÁGUA!U:U,"c")</f>
        <v>4</v>
      </c>
      <c r="G256" s="98">
        <f>COUNTIFS(ÁGUA!N:N,'EQUIPES - ÁGUA'!B251,ÁGUA!U:U,"NC")</f>
        <v>0</v>
      </c>
    </row>
    <row r="257" spans="2:7" ht="21" customHeight="1" x14ac:dyDescent="0.3">
      <c r="B257" s="332" t="s">
        <v>50</v>
      </c>
      <c r="C257" s="332"/>
      <c r="D257" s="98">
        <f t="shared" si="22"/>
        <v>4</v>
      </c>
      <c r="E257" s="98">
        <f>COUNTIFS(ÁGUA!N:N,'EQUIPES - ÁGUA'!B251,ÁGUA!W:W,"SF")</f>
        <v>0</v>
      </c>
      <c r="F257" s="98">
        <f>COUNTIFS(ÁGUA!N:N,'EQUIPES - ÁGUA'!B251,ÁGUA!W:W,"c")</f>
        <v>4</v>
      </c>
      <c r="G257" s="98">
        <f>COUNTIFS(ÁGUA!N:N,'EQUIPES - ÁGUA'!B251,ÁGUA!W:W,"NC")</f>
        <v>0</v>
      </c>
    </row>
    <row r="258" spans="2:7" ht="21" customHeight="1" x14ac:dyDescent="0.3">
      <c r="B258" s="332" t="s">
        <v>51</v>
      </c>
      <c r="C258" s="332"/>
      <c r="D258" s="98">
        <f t="shared" si="22"/>
        <v>0</v>
      </c>
      <c r="E258" s="98">
        <f>COUNTIFS(ÁGUA!N:N,'EQUIPES - ÁGUA'!B251,ÁGUA!Y:Y,"SF")</f>
        <v>0</v>
      </c>
      <c r="F258" s="98">
        <f>COUNTIFS(ÁGUA!N:N,'EQUIPES - ÁGUA'!B251,ÁGUA!Y:Y,"c")</f>
        <v>0</v>
      </c>
      <c r="G258" s="98">
        <f>COUNTIFS(ÁGUA!N:N,'EQUIPES - ÁGUA'!B251,ÁGUA!Y:Y,"NC")</f>
        <v>0</v>
      </c>
    </row>
    <row r="259" spans="2:7" ht="21" customHeight="1" x14ac:dyDescent="0.3">
      <c r="B259" s="332" t="s">
        <v>52</v>
      </c>
      <c r="C259" s="332"/>
      <c r="D259" s="98">
        <f t="shared" si="22"/>
        <v>4</v>
      </c>
      <c r="E259" s="98">
        <f>COUNTIFS(ÁGUA!N:N,'EQUIPES - ÁGUA'!B251,ÁGUA!AA:AA,"SF")</f>
        <v>0</v>
      </c>
      <c r="F259" s="98">
        <f>COUNTIFS(ÁGUA!N:N,'EQUIPES - ÁGUA'!B251,ÁGUA!AA:AA,"c")</f>
        <v>4</v>
      </c>
      <c r="G259" s="98">
        <f>COUNTIFS(ÁGUA!N:N,'EQUIPES - ÁGUA'!B251,ÁGUA!AA:AA,"NC")</f>
        <v>0</v>
      </c>
    </row>
    <row r="260" spans="2:7" ht="21" customHeight="1" x14ac:dyDescent="0.3">
      <c r="B260" s="332" t="s">
        <v>53</v>
      </c>
      <c r="C260" s="332"/>
      <c r="D260" s="98">
        <f t="shared" si="22"/>
        <v>4</v>
      </c>
      <c r="E260" s="98">
        <f>COUNTIFS(ÁGUA!N:N,'EQUIPES - ÁGUA'!B251,ÁGUA!AC:AC,"SF")</f>
        <v>0</v>
      </c>
      <c r="F260" s="98">
        <f>COUNTIFS(ÁGUA!N:N,'EQUIPES - ÁGUA'!B251,ÁGUA!AC:AC,"c")</f>
        <v>4</v>
      </c>
      <c r="G260" s="98">
        <f>COUNTIFS(ÁGUA!N:N,'EQUIPES - ÁGUA'!B251,ÁGUA!AC:AC,"NC")</f>
        <v>0</v>
      </c>
    </row>
    <row r="262" spans="2:7" ht="21" customHeight="1" x14ac:dyDescent="0.3">
      <c r="B262" s="337" t="str">
        <f>'DADOS - GOPOÚVA'!B97</f>
        <v>SANDRO DE FREITAS GALINDO</v>
      </c>
      <c r="C262" s="339"/>
      <c r="D262" s="339"/>
      <c r="E262" s="339"/>
      <c r="F262" s="339"/>
      <c r="G262" s="338"/>
    </row>
    <row r="263" spans="2:7" ht="21" customHeight="1" x14ac:dyDescent="0.3">
      <c r="B263" s="337" t="s">
        <v>2624</v>
      </c>
      <c r="C263" s="338"/>
      <c r="D263" s="147" t="s">
        <v>56</v>
      </c>
      <c r="E263" s="147" t="s">
        <v>2625</v>
      </c>
      <c r="F263" s="147" t="s">
        <v>41</v>
      </c>
      <c r="G263" s="147" t="s">
        <v>42</v>
      </c>
    </row>
    <row r="264" spans="2:7" ht="21" customHeight="1" x14ac:dyDescent="0.3">
      <c r="B264" s="335" t="s">
        <v>46</v>
      </c>
      <c r="C264" s="336"/>
      <c r="D264" s="98">
        <f t="shared" ref="D264:D271" si="23">F264+G264+E264</f>
        <v>38</v>
      </c>
      <c r="E264" s="98">
        <f>COUNTIFS(ÁGUA!N:N,'EQUIPES - ÁGUA'!B262,ÁGUA!O:O,"SF")</f>
        <v>2</v>
      </c>
      <c r="F264" s="98">
        <f>COUNTIFS(ÁGUA!N:N,'EQUIPES - ÁGUA'!B262,ÁGUA!O:O,"c")</f>
        <v>36</v>
      </c>
      <c r="G264" s="98">
        <f>COUNTIFS(ÁGUA!N:N,'EQUIPES - ÁGUA'!B262,ÁGUA!O:O,"NC")</f>
        <v>0</v>
      </c>
    </row>
    <row r="265" spans="2:7" ht="21" customHeight="1" x14ac:dyDescent="0.3">
      <c r="B265" s="335" t="s">
        <v>47</v>
      </c>
      <c r="C265" s="336"/>
      <c r="D265" s="98">
        <f t="shared" si="23"/>
        <v>27</v>
      </c>
      <c r="E265" s="98">
        <f>COUNTIFS(ÁGUA!N:N,'EQUIPES - ÁGUA'!B262,ÁGUA!Q:Q,"SF")</f>
        <v>2</v>
      </c>
      <c r="F265" s="98">
        <f>COUNTIFS(ÁGUA!N:N,'EQUIPES - ÁGUA'!B262,ÁGUA!Q:Q,"c")</f>
        <v>23</v>
      </c>
      <c r="G265" s="98">
        <f>COUNTIFS(ÁGUA!N:N,'EQUIPES - ÁGUA'!B262,ÁGUA!Q:Q,"NC")</f>
        <v>2</v>
      </c>
    </row>
    <row r="266" spans="2:7" ht="21" customHeight="1" x14ac:dyDescent="0.3">
      <c r="B266" s="335" t="s">
        <v>48</v>
      </c>
      <c r="C266" s="336"/>
      <c r="D266" s="98">
        <f t="shared" si="23"/>
        <v>27</v>
      </c>
      <c r="E266" s="98">
        <f>COUNTIFS(ÁGUA!N:N,'EQUIPES - ÁGUA'!B262,ÁGUA!S:S,"SF")</f>
        <v>2</v>
      </c>
      <c r="F266" s="98">
        <f>COUNTIFS(ÁGUA!N:N,'EQUIPES - ÁGUA'!B262,ÁGUA!S:S,"c")</f>
        <v>25</v>
      </c>
      <c r="G266" s="98">
        <f>COUNTIFS(ÁGUA!N:N,'EQUIPES - ÁGUA'!B262,ÁGUA!S:S,"NC")</f>
        <v>0</v>
      </c>
    </row>
    <row r="267" spans="2:7" ht="21" customHeight="1" x14ac:dyDescent="0.3">
      <c r="B267" s="335" t="s">
        <v>49</v>
      </c>
      <c r="C267" s="336"/>
      <c r="D267" s="98">
        <f t="shared" si="23"/>
        <v>27</v>
      </c>
      <c r="E267" s="98">
        <f>COUNTIFS(ÁGUA!N:N,'EQUIPES - ÁGUA'!B262,ÁGUA!U:U,"SF")</f>
        <v>7</v>
      </c>
      <c r="F267" s="98">
        <f>COUNTIFS(ÁGUA!N:N,'EQUIPES - ÁGUA'!B262,ÁGUA!U:U,"c")</f>
        <v>20</v>
      </c>
      <c r="G267" s="98">
        <f>COUNTIFS(ÁGUA!N:N,'EQUIPES - ÁGUA'!B262,ÁGUA!U:U,"NC")</f>
        <v>0</v>
      </c>
    </row>
    <row r="268" spans="2:7" ht="21" customHeight="1" x14ac:dyDescent="0.3">
      <c r="B268" s="335" t="s">
        <v>50</v>
      </c>
      <c r="C268" s="336"/>
      <c r="D268" s="98">
        <f t="shared" si="23"/>
        <v>27</v>
      </c>
      <c r="E268" s="98">
        <f>COUNTIFS(ÁGUA!N:N,'EQUIPES - ÁGUA'!B262,ÁGUA!W:W,"SF")</f>
        <v>7</v>
      </c>
      <c r="F268" s="98">
        <f>COUNTIFS(ÁGUA!N:N,'EQUIPES - ÁGUA'!B262,ÁGUA!W:W,"c")</f>
        <v>20</v>
      </c>
      <c r="G268" s="98">
        <f>COUNTIFS(ÁGUA!N:N,'EQUIPES - ÁGUA'!B262,ÁGUA!W:W,"NC")</f>
        <v>0</v>
      </c>
    </row>
    <row r="269" spans="2:7" ht="21" customHeight="1" x14ac:dyDescent="0.3">
      <c r="B269" s="335" t="s">
        <v>51</v>
      </c>
      <c r="C269" s="336"/>
      <c r="D269" s="98">
        <f t="shared" si="23"/>
        <v>20</v>
      </c>
      <c r="E269" s="98">
        <f>COUNTIFS(ÁGUA!N:N,'EQUIPES - ÁGUA'!B262,ÁGUA!Y:Y,"SF")</f>
        <v>7</v>
      </c>
      <c r="F269" s="98">
        <f>COUNTIFS(ÁGUA!N:N,'EQUIPES - ÁGUA'!B262,ÁGUA!Y:Y,"c")</f>
        <v>13</v>
      </c>
      <c r="G269" s="98">
        <f>COUNTIFS(ÁGUA!N:N,'EQUIPES - ÁGUA'!B262,ÁGUA!Y:Y,"NC")</f>
        <v>0</v>
      </c>
    </row>
    <row r="270" spans="2:7" ht="21" customHeight="1" x14ac:dyDescent="0.3">
      <c r="B270" s="335" t="s">
        <v>52</v>
      </c>
      <c r="C270" s="336"/>
      <c r="D270" s="98">
        <f t="shared" si="23"/>
        <v>38</v>
      </c>
      <c r="E270" s="98">
        <f>COUNTIFS(ÁGUA!N:N,'EQUIPES - ÁGUA'!B262,ÁGUA!AA:AA,"SF")</f>
        <v>7</v>
      </c>
      <c r="F270" s="98">
        <f>COUNTIFS(ÁGUA!N:N,'EQUIPES - ÁGUA'!B262,ÁGUA!AA:AA,"c")</f>
        <v>31</v>
      </c>
      <c r="G270" s="98">
        <f>COUNTIFS(ÁGUA!N:N,'EQUIPES - ÁGUA'!B262,ÁGUA!AA:AA,"NC")</f>
        <v>0</v>
      </c>
    </row>
    <row r="271" spans="2:7" ht="21" customHeight="1" x14ac:dyDescent="0.3">
      <c r="B271" s="335" t="s">
        <v>53</v>
      </c>
      <c r="C271" s="336"/>
      <c r="D271" s="98">
        <f t="shared" si="23"/>
        <v>38</v>
      </c>
      <c r="E271" s="98">
        <f>COUNTIFS(ÁGUA!N:N,'EQUIPES - ÁGUA'!B262,ÁGUA!AC:AC,"SF")</f>
        <v>7</v>
      </c>
      <c r="F271" s="98">
        <f>COUNTIFS(ÁGUA!N:N,'EQUIPES - ÁGUA'!B262,ÁGUA!AC:AC,"c")</f>
        <v>31</v>
      </c>
      <c r="G271" s="98">
        <f>COUNTIFS(ÁGUA!N:N,'EQUIPES - ÁGUA'!B262,ÁGUA!AC:AC,"NC")</f>
        <v>0</v>
      </c>
    </row>
  </sheetData>
  <mergeCells count="242">
    <mergeCell ref="B264:C264"/>
    <mergeCell ref="B263:C263"/>
    <mergeCell ref="B262:G262"/>
    <mergeCell ref="B270:C270"/>
    <mergeCell ref="B271:C271"/>
    <mergeCell ref="B265:C265"/>
    <mergeCell ref="B266:C266"/>
    <mergeCell ref="B267:C267"/>
    <mergeCell ref="B268:C268"/>
    <mergeCell ref="B269:C269"/>
    <mergeCell ref="B259:C259"/>
    <mergeCell ref="B260:C260"/>
    <mergeCell ref="B254:C254"/>
    <mergeCell ref="B255:C255"/>
    <mergeCell ref="B256:C256"/>
    <mergeCell ref="B257:C257"/>
    <mergeCell ref="B258:C258"/>
    <mergeCell ref="B248:C248"/>
    <mergeCell ref="B249:C249"/>
    <mergeCell ref="B251:G251"/>
    <mergeCell ref="B252:C252"/>
    <mergeCell ref="B253:C253"/>
    <mergeCell ref="B243:C243"/>
    <mergeCell ref="B244:C244"/>
    <mergeCell ref="B245:C245"/>
    <mergeCell ref="B246:C246"/>
    <mergeCell ref="B247:C247"/>
    <mergeCell ref="B237:C237"/>
    <mergeCell ref="B238:C238"/>
    <mergeCell ref="B240:G240"/>
    <mergeCell ref="B241:C241"/>
    <mergeCell ref="B242:C242"/>
    <mergeCell ref="B232:C232"/>
    <mergeCell ref="B233:C233"/>
    <mergeCell ref="B234:C234"/>
    <mergeCell ref="B235:C235"/>
    <mergeCell ref="B236:C236"/>
    <mergeCell ref="B225:C225"/>
    <mergeCell ref="B226:C226"/>
    <mergeCell ref="B229:G229"/>
    <mergeCell ref="B230:C230"/>
    <mergeCell ref="B231:C231"/>
    <mergeCell ref="B220:C220"/>
    <mergeCell ref="B221:C221"/>
    <mergeCell ref="B222:C222"/>
    <mergeCell ref="B223:C223"/>
    <mergeCell ref="B224:C224"/>
    <mergeCell ref="B214:C214"/>
    <mergeCell ref="B215:C215"/>
    <mergeCell ref="B217:G217"/>
    <mergeCell ref="B218:C218"/>
    <mergeCell ref="B219:C219"/>
    <mergeCell ref="B209:C209"/>
    <mergeCell ref="B210:C210"/>
    <mergeCell ref="B211:C211"/>
    <mergeCell ref="B212:C212"/>
    <mergeCell ref="B213:C213"/>
    <mergeCell ref="B203:C203"/>
    <mergeCell ref="B204:C204"/>
    <mergeCell ref="B206:G206"/>
    <mergeCell ref="B207:C207"/>
    <mergeCell ref="B208:C208"/>
    <mergeCell ref="B198:C198"/>
    <mergeCell ref="B199:C199"/>
    <mergeCell ref="B200:C200"/>
    <mergeCell ref="B201:C201"/>
    <mergeCell ref="B202:C202"/>
    <mergeCell ref="B192:C192"/>
    <mergeCell ref="B193:C193"/>
    <mergeCell ref="B195:G195"/>
    <mergeCell ref="B196:C196"/>
    <mergeCell ref="B197:C197"/>
    <mergeCell ref="B187:C187"/>
    <mergeCell ref="B188:C188"/>
    <mergeCell ref="B189:C189"/>
    <mergeCell ref="B190:C190"/>
    <mergeCell ref="B191:C191"/>
    <mergeCell ref="B181:C181"/>
    <mergeCell ref="B182:C182"/>
    <mergeCell ref="B184:G184"/>
    <mergeCell ref="B185:C185"/>
    <mergeCell ref="B186:C186"/>
    <mergeCell ref="B176:C176"/>
    <mergeCell ref="B177:C177"/>
    <mergeCell ref="B178:C178"/>
    <mergeCell ref="B179:C179"/>
    <mergeCell ref="B180:C180"/>
    <mergeCell ref="B161:G161"/>
    <mergeCell ref="B162:C162"/>
    <mergeCell ref="B173:G173"/>
    <mergeCell ref="B174:C174"/>
    <mergeCell ref="B175:C175"/>
    <mergeCell ref="B167:C167"/>
    <mergeCell ref="B168:C168"/>
    <mergeCell ref="B169:C169"/>
    <mergeCell ref="B170:C170"/>
    <mergeCell ref="B163:C163"/>
    <mergeCell ref="B164:C164"/>
    <mergeCell ref="B165:C165"/>
    <mergeCell ref="B166:C166"/>
    <mergeCell ref="B155:C155"/>
    <mergeCell ref="B156:C156"/>
    <mergeCell ref="B157:C157"/>
    <mergeCell ref="B158:C158"/>
    <mergeCell ref="B159:C159"/>
    <mergeCell ref="B150:G150"/>
    <mergeCell ref="B151:C151"/>
    <mergeCell ref="B152:C152"/>
    <mergeCell ref="B153:C153"/>
    <mergeCell ref="B154:C154"/>
    <mergeCell ref="B144:C144"/>
    <mergeCell ref="B145:C145"/>
    <mergeCell ref="B146:C146"/>
    <mergeCell ref="B147:C147"/>
    <mergeCell ref="B148:C148"/>
    <mergeCell ref="B139:G139"/>
    <mergeCell ref="B140:C140"/>
    <mergeCell ref="B141:C141"/>
    <mergeCell ref="B142:C142"/>
    <mergeCell ref="B143:C143"/>
    <mergeCell ref="B133:C133"/>
    <mergeCell ref="B134:C134"/>
    <mergeCell ref="B135:C135"/>
    <mergeCell ref="B136:C136"/>
    <mergeCell ref="B137:C137"/>
    <mergeCell ref="B128:G128"/>
    <mergeCell ref="B129:C129"/>
    <mergeCell ref="B130:C130"/>
    <mergeCell ref="B131:C131"/>
    <mergeCell ref="B132:C132"/>
    <mergeCell ref="B122:C122"/>
    <mergeCell ref="B123:C123"/>
    <mergeCell ref="B124:C124"/>
    <mergeCell ref="B125:C125"/>
    <mergeCell ref="B126:C126"/>
    <mergeCell ref="B117:G117"/>
    <mergeCell ref="B118:C118"/>
    <mergeCell ref="B119:C119"/>
    <mergeCell ref="B120:C120"/>
    <mergeCell ref="B121:C121"/>
    <mergeCell ref="B110:C110"/>
    <mergeCell ref="B111:C111"/>
    <mergeCell ref="B112:C112"/>
    <mergeCell ref="B113:C113"/>
    <mergeCell ref="B114:C114"/>
    <mergeCell ref="B105:G105"/>
    <mergeCell ref="B106:C106"/>
    <mergeCell ref="B107:C107"/>
    <mergeCell ref="B108:C108"/>
    <mergeCell ref="B109:C109"/>
    <mergeCell ref="B99:C99"/>
    <mergeCell ref="B100:C100"/>
    <mergeCell ref="B101:C101"/>
    <mergeCell ref="B102:C102"/>
    <mergeCell ref="B103:C103"/>
    <mergeCell ref="B94:G94"/>
    <mergeCell ref="B95:C95"/>
    <mergeCell ref="B96:C96"/>
    <mergeCell ref="B97:C97"/>
    <mergeCell ref="B98:C98"/>
    <mergeCell ref="B88:C88"/>
    <mergeCell ref="B89:C89"/>
    <mergeCell ref="B90:C90"/>
    <mergeCell ref="B91:C91"/>
    <mergeCell ref="B92:C92"/>
    <mergeCell ref="B83:G83"/>
    <mergeCell ref="B84:C84"/>
    <mergeCell ref="B85:C85"/>
    <mergeCell ref="B86:C86"/>
    <mergeCell ref="B87:C87"/>
    <mergeCell ref="B77:C77"/>
    <mergeCell ref="B78:C78"/>
    <mergeCell ref="B79:C79"/>
    <mergeCell ref="B80:C80"/>
    <mergeCell ref="B81:C81"/>
    <mergeCell ref="B72:G72"/>
    <mergeCell ref="B73:C73"/>
    <mergeCell ref="B74:C74"/>
    <mergeCell ref="B75:C75"/>
    <mergeCell ref="B76:C76"/>
    <mergeCell ref="B66:C66"/>
    <mergeCell ref="B67:C67"/>
    <mergeCell ref="B68:C68"/>
    <mergeCell ref="B69:C69"/>
    <mergeCell ref="B70:C70"/>
    <mergeCell ref="B61:G61"/>
    <mergeCell ref="B62:C62"/>
    <mergeCell ref="B63:C63"/>
    <mergeCell ref="B64:C64"/>
    <mergeCell ref="B65:C65"/>
    <mergeCell ref="B54:C54"/>
    <mergeCell ref="B55:C55"/>
    <mergeCell ref="B56:C56"/>
    <mergeCell ref="B57:C57"/>
    <mergeCell ref="B58:C58"/>
    <mergeCell ref="B49:G49"/>
    <mergeCell ref="B50:C50"/>
    <mergeCell ref="B51:C51"/>
    <mergeCell ref="B52:C52"/>
    <mergeCell ref="B53:C53"/>
    <mergeCell ref="B43:C43"/>
    <mergeCell ref="B44:C44"/>
    <mergeCell ref="B45:C45"/>
    <mergeCell ref="B46:C46"/>
    <mergeCell ref="B47:C47"/>
    <mergeCell ref="B38:G38"/>
    <mergeCell ref="B39:C39"/>
    <mergeCell ref="B40:C40"/>
    <mergeCell ref="B41:C41"/>
    <mergeCell ref="B42:C42"/>
    <mergeCell ref="B32:C32"/>
    <mergeCell ref="B33:C33"/>
    <mergeCell ref="B34:C34"/>
    <mergeCell ref="B35:C35"/>
    <mergeCell ref="B36:C36"/>
    <mergeCell ref="B27:G27"/>
    <mergeCell ref="B28:C28"/>
    <mergeCell ref="B29:C29"/>
    <mergeCell ref="B30:C30"/>
    <mergeCell ref="B31:C31"/>
    <mergeCell ref="B21:C21"/>
    <mergeCell ref="B22:C22"/>
    <mergeCell ref="B23:C23"/>
    <mergeCell ref="B24:C24"/>
    <mergeCell ref="B25:C25"/>
    <mergeCell ref="B16:G16"/>
    <mergeCell ref="B17:C17"/>
    <mergeCell ref="B18:C18"/>
    <mergeCell ref="B19:C19"/>
    <mergeCell ref="B20:C20"/>
    <mergeCell ref="B14:C14"/>
    <mergeCell ref="A1:H1"/>
    <mergeCell ref="A3:H3"/>
    <mergeCell ref="B5:G5"/>
    <mergeCell ref="B12:C12"/>
    <mergeCell ref="B13:C13"/>
    <mergeCell ref="B6:C6"/>
    <mergeCell ref="B7:C7"/>
    <mergeCell ref="B8:C8"/>
    <mergeCell ref="B9:C9"/>
    <mergeCell ref="B10:C10"/>
    <mergeCell ref="B11:C11"/>
  </mergeCells>
  <pageMargins left="0.25" right="0.25" top="0.75" bottom="0.75" header="0.3" footer="0.3"/>
  <pageSetup paperSize="9" scale="34" fitToHeight="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P127"/>
  <sheetViews>
    <sheetView topLeftCell="A83" zoomScale="70" zoomScaleNormal="70" zoomScaleSheetLayoutView="70" workbookViewId="0">
      <selection activeCell="C79" sqref="C79"/>
    </sheetView>
  </sheetViews>
  <sheetFormatPr defaultColWidth="9.140625" defaultRowHeight="19.899999999999999" customHeight="1" x14ac:dyDescent="0.25"/>
  <cols>
    <col min="1" max="7" width="37.7109375" style="18" customWidth="1"/>
    <col min="8" max="16384" width="9.140625" style="18"/>
  </cols>
  <sheetData>
    <row r="1" spans="1:7" s="35" customFormat="1" ht="35.1" customHeight="1" x14ac:dyDescent="0.25">
      <c r="A1" s="340" t="s">
        <v>157</v>
      </c>
      <c r="B1" s="340"/>
      <c r="C1" s="340"/>
      <c r="D1" s="340"/>
      <c r="E1" s="340"/>
      <c r="F1" s="340"/>
    </row>
    <row r="2" spans="1:7" s="35" customFormat="1" ht="30" customHeight="1" thickBot="1" x14ac:dyDescent="0.3">
      <c r="A2" s="44"/>
      <c r="B2" s="44"/>
      <c r="C2" s="44"/>
      <c r="D2" s="44"/>
      <c r="E2" s="44"/>
      <c r="F2" s="44"/>
    </row>
    <row r="3" spans="1:7" s="26" customFormat="1" ht="30" customHeight="1" x14ac:dyDescent="0.25">
      <c r="B3" s="330" t="s">
        <v>158</v>
      </c>
      <c r="C3" s="331"/>
      <c r="D3" s="343" t="s">
        <v>56</v>
      </c>
      <c r="E3" s="331"/>
    </row>
    <row r="4" spans="1:7" s="27" customFormat="1" ht="30" customHeight="1" thickBot="1" x14ac:dyDescent="0.3">
      <c r="B4" s="328">
        <f>COUNTIFS(ESGOTO!A:A,"ONMG - DIV MANUT SERV OPE GOPOÚVA")</f>
        <v>560</v>
      </c>
      <c r="C4" s="329"/>
      <c r="D4" s="341">
        <f>'DADOS - GOPOÚVA'!C28</f>
        <v>23</v>
      </c>
      <c r="E4" s="342"/>
    </row>
    <row r="5" spans="1:7" s="27" customFormat="1" ht="35.1" customHeight="1" x14ac:dyDescent="0.25">
      <c r="B5" s="88" t="s">
        <v>159</v>
      </c>
      <c r="C5" s="89" t="s">
        <v>160</v>
      </c>
      <c r="D5" s="88" t="s">
        <v>161</v>
      </c>
      <c r="E5" s="89" t="s">
        <v>160</v>
      </c>
      <c r="F5" s="28"/>
    </row>
    <row r="6" spans="1:7" s="27" customFormat="1" ht="35.1" customHeight="1" thickBot="1" x14ac:dyDescent="0.3">
      <c r="B6" s="87">
        <f>'DADOS - GOPOÚVA'!C28+'GRÁFICOS - ESGOTO'!D8</f>
        <v>297</v>
      </c>
      <c r="C6" s="46">
        <f>IFERROR(B6/B4,"-")</f>
        <v>0.53035714285714286</v>
      </c>
      <c r="D6" s="87">
        <f>COUNTIFS(ESGOTO!O:O,"SF",ESGOTO!Q:Q,"SF",ESGOTO!S:S,"SF",ESGOTO!U:U,"SF",ESGOTO!W:W,"SF",ESGOTO!AC:AC,"SF")</f>
        <v>3</v>
      </c>
      <c r="E6" s="46">
        <f>IFERROR(D6/B4,"-")</f>
        <v>5.3571428571428572E-3</v>
      </c>
      <c r="F6" s="28"/>
    </row>
    <row r="7" spans="1:7" s="27" customFormat="1" ht="35.1" customHeight="1" x14ac:dyDescent="0.25">
      <c r="B7" s="91" t="s">
        <v>162</v>
      </c>
      <c r="C7" s="90" t="s">
        <v>160</v>
      </c>
      <c r="D7" s="91" t="s">
        <v>163</v>
      </c>
      <c r="E7" s="90" t="s">
        <v>160</v>
      </c>
      <c r="F7" s="28"/>
    </row>
    <row r="8" spans="1:7" s="27" customFormat="1" ht="35.1" customHeight="1" thickBot="1" x14ac:dyDescent="0.3">
      <c r="B8" s="87">
        <f>B4-B6</f>
        <v>263</v>
      </c>
      <c r="C8" s="46">
        <f>IFERROR(B8/B4,"-")</f>
        <v>0.46964285714285714</v>
      </c>
      <c r="D8" s="87">
        <f>COUNTIFS(ESGOTO!O:O,"NA",ESGOTO!Q:Q,"NA",ESGOTO!S:S,"NA",ESGOTO!U:U,"NA",ESGOTO!W:W,"NA",ESGOTO!AC:AC,"NA")</f>
        <v>274</v>
      </c>
      <c r="E8" s="46">
        <f>IFERROR(D8/B4,"-")</f>
        <v>0.48928571428571427</v>
      </c>
      <c r="F8" s="28"/>
    </row>
    <row r="9" spans="1:7" s="27" customFormat="1" ht="20.100000000000001" customHeight="1" x14ac:dyDescent="0.25">
      <c r="B9" s="24"/>
      <c r="C9" s="24"/>
      <c r="D9" s="28"/>
      <c r="E9" s="24"/>
      <c r="F9" s="28"/>
    </row>
    <row r="10" spans="1:7" s="27" customFormat="1" ht="20.100000000000001" customHeight="1" x14ac:dyDescent="0.25">
      <c r="B10" s="24"/>
      <c r="C10" s="24"/>
      <c r="D10" s="28"/>
      <c r="E10" s="24"/>
      <c r="F10" s="28"/>
    </row>
    <row r="11" spans="1:7" s="27" customFormat="1" ht="35.1" customHeight="1" x14ac:dyDescent="0.25">
      <c r="A11" s="340" t="s">
        <v>164</v>
      </c>
      <c r="B11" s="340"/>
      <c r="C11" s="340"/>
      <c r="D11" s="340"/>
      <c r="E11" s="340"/>
      <c r="F11" s="340"/>
      <c r="G11" s="340"/>
    </row>
    <row r="12" spans="1:7" s="27" customFormat="1" ht="19.899999999999999" customHeight="1" x14ac:dyDescent="0.25">
      <c r="A12" s="24"/>
      <c r="F12" s="24"/>
    </row>
    <row r="13" spans="1:7" s="27" customFormat="1" ht="19.899999999999999" customHeight="1" x14ac:dyDescent="0.25">
      <c r="A13" s="24"/>
      <c r="F13" s="24"/>
    </row>
    <row r="14" spans="1:7" s="27" customFormat="1" ht="19.899999999999999" customHeight="1" x14ac:dyDescent="0.25">
      <c r="A14" s="24"/>
      <c r="B14" s="24"/>
      <c r="C14" s="24"/>
      <c r="D14" s="24"/>
      <c r="E14" s="24"/>
      <c r="F14" s="25"/>
    </row>
    <row r="40" spans="1:7" ht="35.1" customHeight="1" x14ac:dyDescent="0.25">
      <c r="A40" s="340" t="s">
        <v>165</v>
      </c>
      <c r="B40" s="340"/>
      <c r="C40" s="340"/>
      <c r="D40" s="340"/>
      <c r="E40" s="340"/>
      <c r="F40" s="340"/>
      <c r="G40" s="340"/>
    </row>
    <row r="63" ht="19.5" customHeight="1" x14ac:dyDescent="0.25"/>
    <row r="64" ht="19.5" customHeight="1" x14ac:dyDescent="0.25"/>
    <row r="65" spans="1:7" ht="19.5" customHeight="1" x14ac:dyDescent="0.25"/>
    <row r="66" spans="1:7" ht="19.5" customHeight="1" x14ac:dyDescent="0.25"/>
    <row r="67" spans="1:7" ht="19.5" customHeight="1" x14ac:dyDescent="0.25"/>
    <row r="68" spans="1:7" ht="19.5" customHeight="1" x14ac:dyDescent="0.25"/>
    <row r="69" spans="1:7" s="35" customFormat="1" ht="35.1" customHeight="1" x14ac:dyDescent="0.25">
      <c r="A69" s="340" t="s">
        <v>166</v>
      </c>
      <c r="B69" s="340"/>
      <c r="C69" s="340"/>
      <c r="D69" s="340"/>
      <c r="E69" s="340"/>
      <c r="F69" s="340"/>
      <c r="G69" s="340"/>
    </row>
    <row r="103" spans="1:16" s="37" customFormat="1" ht="35.1" customHeight="1" x14ac:dyDescent="0.25">
      <c r="A103" s="340" t="s">
        <v>167</v>
      </c>
      <c r="B103" s="340"/>
      <c r="C103" s="340"/>
      <c r="D103" s="340"/>
      <c r="E103" s="340"/>
      <c r="F103" s="340"/>
      <c r="G103" s="340"/>
      <c r="H103" s="340"/>
      <c r="I103" s="340"/>
      <c r="J103" s="340"/>
      <c r="K103" s="340"/>
      <c r="L103" s="93"/>
      <c r="M103" s="93"/>
      <c r="N103" s="93"/>
      <c r="O103" s="93"/>
      <c r="P103" s="93"/>
    </row>
    <row r="127" spans="3:6" ht="19.899999999999999" customHeight="1" x14ac:dyDescent="0.25">
      <c r="C127" s="19"/>
      <c r="D127" s="19"/>
      <c r="E127" s="19"/>
      <c r="F127" s="19"/>
    </row>
  </sheetData>
  <sheetProtection formatCells="0" formatColumns="0" formatRows="0" insertColumns="0" insertRows="0" insertHyperlinks="0" deleteColumns="0" deleteRows="0" sort="0" autoFilter="0" pivotTables="0"/>
  <mergeCells count="9">
    <mergeCell ref="A11:G11"/>
    <mergeCell ref="A40:G40"/>
    <mergeCell ref="A69:G69"/>
    <mergeCell ref="A103:K103"/>
    <mergeCell ref="A1:F1"/>
    <mergeCell ref="D4:E4"/>
    <mergeCell ref="D3:E3"/>
    <mergeCell ref="B4:C4"/>
    <mergeCell ref="B3:C3"/>
  </mergeCells>
  <pageMargins left="0.511811024" right="0.14000000000000001" top="0.78740157499999996" bottom="0.78740157499999996" header="0.31496062000000002" footer="0.31496062000000002"/>
  <pageSetup paperSize="9" scale="33"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tabColor theme="9" tint="-0.249977111117893"/>
  </sheetPr>
  <dimension ref="A1:AN561"/>
  <sheetViews>
    <sheetView topLeftCell="C1" zoomScale="55" zoomScaleNormal="55" workbookViewId="0">
      <pane ySplit="1" topLeftCell="A3" activePane="bottomLeft" state="frozen"/>
      <selection activeCell="K1" sqref="K1"/>
      <selection pane="bottomLeft" activeCell="Q18" sqref="Q18"/>
    </sheetView>
  </sheetViews>
  <sheetFormatPr defaultColWidth="9.140625" defaultRowHeight="30" customHeight="1" x14ac:dyDescent="0.2"/>
  <cols>
    <col min="1" max="1" width="61.7109375" style="14" bestFit="1" customWidth="1"/>
    <col min="2" max="2" width="25.28515625" style="14" bestFit="1" customWidth="1"/>
    <col min="3" max="3" width="53.28515625" style="14" bestFit="1" customWidth="1"/>
    <col min="4" max="4" width="20.140625" style="14" bestFit="1" customWidth="1"/>
    <col min="5" max="5" width="23.5703125" style="14" bestFit="1" customWidth="1"/>
    <col min="6" max="6" width="48.140625" style="14" bestFit="1" customWidth="1"/>
    <col min="7" max="7" width="20.7109375" style="14" bestFit="1" customWidth="1"/>
    <col min="8" max="8" width="27.42578125" style="14" bestFit="1" customWidth="1"/>
    <col min="9" max="9" width="18.85546875" style="14" bestFit="1" customWidth="1"/>
    <col min="10" max="10" width="51.85546875" style="14" bestFit="1" customWidth="1"/>
    <col min="11" max="11" width="37.5703125" style="14" bestFit="1" customWidth="1"/>
    <col min="12" max="12" width="24.85546875" style="14" customWidth="1"/>
    <col min="13" max="13" width="23" style="14" customWidth="1"/>
    <col min="14" max="14" width="35" style="214" bestFit="1" customWidth="1"/>
    <col min="15" max="15" width="24.85546875" style="53" bestFit="1" customWidth="1"/>
    <col min="16" max="16" width="38.85546875" style="53" bestFit="1" customWidth="1"/>
    <col min="17" max="17" width="29.42578125" style="53" bestFit="1" customWidth="1"/>
    <col min="18" max="18" width="43" style="53" bestFit="1" customWidth="1"/>
    <col min="19" max="19" width="26.85546875" style="53" bestFit="1" customWidth="1"/>
    <col min="20" max="20" width="39.85546875" style="53" bestFit="1" customWidth="1"/>
    <col min="21" max="21" width="28" style="53" bestFit="1" customWidth="1"/>
    <col min="22" max="22" width="41.42578125" style="53" bestFit="1" customWidth="1"/>
    <col min="23" max="23" width="35" style="53" bestFit="1" customWidth="1"/>
    <col min="24" max="24" width="48" style="53" bestFit="1" customWidth="1"/>
    <col min="25" max="25" width="33.42578125" style="53" bestFit="1" customWidth="1"/>
    <col min="26" max="26" width="45.5703125" style="53" bestFit="1" customWidth="1"/>
    <col min="27" max="27" width="34.42578125" style="53" bestFit="1" customWidth="1"/>
    <col min="28" max="28" width="46.42578125" style="53" bestFit="1" customWidth="1"/>
    <col min="29" max="29" width="28" style="53" bestFit="1" customWidth="1"/>
    <col min="30" max="30" width="42" style="53" bestFit="1" customWidth="1"/>
    <col min="31" max="32" width="42.42578125" style="53" bestFit="1" customWidth="1"/>
    <col min="33" max="33" width="43.28515625" style="57" customWidth="1"/>
    <col min="34" max="34" width="41.42578125" style="53" customWidth="1"/>
    <col min="35" max="35" width="23.5703125" style="53" bestFit="1" customWidth="1"/>
    <col min="36" max="36" width="25.5703125" style="53" customWidth="1"/>
    <col min="37" max="37" width="55.42578125" style="53" customWidth="1"/>
    <col min="38" max="38" width="9.28515625" style="11" customWidth="1"/>
    <col min="39" max="39" width="16.28515625" style="11" customWidth="1"/>
    <col min="40" max="40" width="12.28515625" style="11" customWidth="1"/>
    <col min="41" max="16384" width="9.140625" style="11"/>
  </cols>
  <sheetData>
    <row r="1" spans="1:40" s="53" customFormat="1" ht="33" customHeight="1" x14ac:dyDescent="0.25">
      <c r="A1" s="224" t="s">
        <v>168</v>
      </c>
      <c r="B1" s="224" t="s">
        <v>169</v>
      </c>
      <c r="C1" s="224" t="s">
        <v>170</v>
      </c>
      <c r="D1" s="224" t="s">
        <v>171</v>
      </c>
      <c r="E1" s="224" t="s">
        <v>172</v>
      </c>
      <c r="F1" s="224" t="s">
        <v>173</v>
      </c>
      <c r="G1" s="224" t="s">
        <v>174</v>
      </c>
      <c r="H1" s="225" t="s">
        <v>175</v>
      </c>
      <c r="I1" s="225" t="s">
        <v>176</v>
      </c>
      <c r="J1" s="225" t="s">
        <v>177</v>
      </c>
      <c r="K1" s="225" t="s">
        <v>178</v>
      </c>
      <c r="L1" s="225" t="s">
        <v>179</v>
      </c>
      <c r="M1" s="225" t="s">
        <v>180</v>
      </c>
      <c r="N1" s="225" t="s">
        <v>2626</v>
      </c>
      <c r="O1" s="33" t="s">
        <v>46</v>
      </c>
      <c r="P1" s="33" t="s">
        <v>181</v>
      </c>
      <c r="Q1" s="33" t="s">
        <v>47</v>
      </c>
      <c r="R1" s="33" t="s">
        <v>182</v>
      </c>
      <c r="S1" s="33" t="s">
        <v>48</v>
      </c>
      <c r="T1" s="33" t="s">
        <v>183</v>
      </c>
      <c r="U1" s="33" t="s">
        <v>49</v>
      </c>
      <c r="V1" s="33" t="s">
        <v>184</v>
      </c>
      <c r="W1" s="33" t="s">
        <v>50</v>
      </c>
      <c r="X1" s="33" t="s">
        <v>185</v>
      </c>
      <c r="Y1" s="33" t="s">
        <v>62</v>
      </c>
      <c r="Z1" s="33" t="s">
        <v>2627</v>
      </c>
      <c r="AA1" s="33" t="s">
        <v>187</v>
      </c>
      <c r="AB1" s="33" t="s">
        <v>188</v>
      </c>
      <c r="AC1" s="33" t="s">
        <v>2628</v>
      </c>
      <c r="AD1" s="33" t="s">
        <v>2629</v>
      </c>
      <c r="AE1" s="141" t="s">
        <v>34</v>
      </c>
      <c r="AF1" s="141" t="s">
        <v>2630</v>
      </c>
      <c r="AG1" s="200" t="s">
        <v>192</v>
      </c>
      <c r="AH1" s="140" t="s">
        <v>38</v>
      </c>
      <c r="AI1" s="34" t="s">
        <v>194</v>
      </c>
      <c r="AJ1" s="34" t="s">
        <v>195</v>
      </c>
      <c r="AK1" s="34" t="s">
        <v>196</v>
      </c>
      <c r="AL1" s="265" t="s">
        <v>2631</v>
      </c>
    </row>
    <row r="2" spans="1:40" s="53" customFormat="1" ht="30" hidden="1" customHeight="1" x14ac:dyDescent="0.2">
      <c r="A2" s="230" t="s">
        <v>197</v>
      </c>
      <c r="B2" s="230">
        <v>2613675713</v>
      </c>
      <c r="C2" s="230" t="s">
        <v>122</v>
      </c>
      <c r="D2" s="230" t="s">
        <v>108</v>
      </c>
      <c r="E2" s="230" t="s">
        <v>198</v>
      </c>
      <c r="F2" s="230" t="s">
        <v>2632</v>
      </c>
      <c r="G2" s="230">
        <v>293</v>
      </c>
      <c r="H2" s="230" t="s">
        <v>213</v>
      </c>
      <c r="I2" s="230" t="s">
        <v>1397</v>
      </c>
      <c r="J2" s="230" t="s">
        <v>2633</v>
      </c>
      <c r="K2" s="230" t="s">
        <v>213</v>
      </c>
      <c r="L2" s="235" t="s">
        <v>202</v>
      </c>
      <c r="M2" s="235">
        <v>46026.619444444441</v>
      </c>
      <c r="N2" s="230" t="s">
        <v>2634</v>
      </c>
      <c r="O2" s="184" t="s">
        <v>204</v>
      </c>
      <c r="P2" s="186"/>
      <c r="Q2" s="166" t="s">
        <v>204</v>
      </c>
      <c r="R2" s="186"/>
      <c r="S2" s="166" t="s">
        <v>204</v>
      </c>
      <c r="T2" s="186"/>
      <c r="U2" s="166" t="s">
        <v>204</v>
      </c>
      <c r="V2" s="186"/>
      <c r="W2" s="166" t="s">
        <v>204</v>
      </c>
      <c r="X2" s="186"/>
      <c r="Y2" s="166" t="s">
        <v>204</v>
      </c>
      <c r="Z2" s="186"/>
      <c r="AA2" s="166" t="s">
        <v>204</v>
      </c>
      <c r="AB2" s="186"/>
      <c r="AC2" s="166" t="s">
        <v>204</v>
      </c>
      <c r="AD2" s="186"/>
      <c r="AE2" s="166" t="s">
        <v>204</v>
      </c>
      <c r="AF2" s="186" t="str">
        <f>IF(AND(O2="",Q2="",S2="",U2="",W2="",Y2="",AA2="",AC2=""),"",IF(OR(AND(O2&lt;&gt;"NA",O2&lt;&gt;"C",O2&lt;&gt;"NC",O2&lt;&gt;"SF",O2&lt;&gt;""),AND(Q2&lt;&gt;"NA",Q2&lt;&gt;"C",Q2&lt;&gt;"NC",Q2&lt;&gt;"SF",Q2&lt;&gt;""),AND(S2&lt;&gt;"NA",S2&lt;&gt;"C",S2&lt;&gt;"NC",S2&lt;&gt;"SF",S2&lt;&gt;""),AND(U2&lt;&gt;"NA",U2&lt;&gt;"C",U2&lt;&gt;"NC",U2&lt;&gt;"SF",U2&lt;&gt;""),AND(W2&lt;&gt;"NA",W2&lt;&gt;"C",W2&lt;&gt;"NC",W2&lt;&gt;"SF",W2&lt;&gt;""),AND(Y2&lt;&gt;"NA",Y2&lt;&gt;"C",Y2&lt;&gt;"NC",Y2&lt;&gt;"SF",Y2&lt;&gt;""),AND(AA2&lt;&gt;"NA",AA2&lt;&gt;"C",AA2&lt;&gt;"NC",AA2&lt;&gt;"SF",AA2&lt;&gt;""),AND(AC2&lt;&gt;"NA",AC2&lt;&gt;"C",AC2&lt;&gt;"NC",AC2&lt;&gt;"SF",AC2&lt;&gt;"")),"FALSO",IF(AND(O2="NA",Q2="NA",S2="NA",U2="NA",W2="NA",Y2="NA",AA2="NA",AC2="NA"),"NA",IF(OR(O2="NC",Q2="NC",S2="NC",U2="NC",W2="NC",Y2="NC",AA2="NC",AC2="NC",O2="SF",Q2="SF",S2="SF",U2="SF",W2="SF",Y2="SF",AA2="SF",AC2="SF"),"NC",IF(OR(O2="C",Q2="C",S2="C",U2="C",W2="C",Y2="C",AA2="C",AC2="C"),"C","")))))</f>
        <v>C</v>
      </c>
      <c r="AG2" s="199" t="str">
        <f t="shared" ref="AG2:AG64" si="0">IF(AND(AE2="C",AF2="C"),"UTILIZOU O PDA CORRETAMENTE",IF(AND(AE2="C",AF2="NC"),"UTILIZOU O PDA CORRETAMENTE. NÃO HÁ FOTOS DE TODAS AS ETAPAS",IF(AND(AE2="NC",AF2="NC"),"NÃO UTILIZOU O PDA",IF(AND(AE2="NA",AF2="NA"),"NÃO AVALIADO POR FALHA DE SINCRONISMO"))))</f>
        <v>UTILIZOU O PDA CORRETAMENTE</v>
      </c>
      <c r="AH2" s="166" t="s">
        <v>204</v>
      </c>
      <c r="AI2" s="190" t="s">
        <v>6</v>
      </c>
      <c r="AJ2" s="190" t="str">
        <f>E2</f>
        <v>GUARULHOS</v>
      </c>
      <c r="AK2" s="153" t="s">
        <v>59</v>
      </c>
      <c r="AL2" s="53">
        <v>-2.0000000000000001E-4</v>
      </c>
      <c r="AM2" s="53" t="str" cm="1">
        <f t="array" ref="AM2">IF(OR(O2&lt;&gt;"", SUMPRODUCT(($AN$2:$AN$561=AN2)*($AL$2:$AL$561&lt;=AL2)) &lt;= (COUNTIF($AN$2:$AN$561,AN2)*0.5)), "SORTEADO", "-")</f>
        <v>SORTEADO</v>
      </c>
      <c r="AN2" s="53" t="str">
        <f>TEXT(L2, "mm/dd/aaaa")</f>
        <v>04/01/2026</v>
      </c>
    </row>
    <row r="3" spans="1:40" ht="30" customHeight="1" x14ac:dyDescent="0.2">
      <c r="A3" s="230" t="s">
        <v>197</v>
      </c>
      <c r="B3" s="230">
        <v>2613572072</v>
      </c>
      <c r="C3" s="230" t="s">
        <v>120</v>
      </c>
      <c r="D3" s="230" t="s">
        <v>111</v>
      </c>
      <c r="E3" s="230" t="s">
        <v>198</v>
      </c>
      <c r="F3" s="230" t="s">
        <v>2635</v>
      </c>
      <c r="G3" s="230">
        <v>57</v>
      </c>
      <c r="H3" s="230" t="s">
        <v>2636</v>
      </c>
      <c r="I3" s="230" t="s">
        <v>281</v>
      </c>
      <c r="J3" s="230" t="s">
        <v>2637</v>
      </c>
      <c r="K3" s="230"/>
      <c r="L3" s="235" t="s">
        <v>202</v>
      </c>
      <c r="M3" s="235">
        <v>46026.376388888886</v>
      </c>
      <c r="N3" s="230" t="s">
        <v>2638</v>
      </c>
      <c r="O3" s="184" t="s">
        <v>204</v>
      </c>
      <c r="P3" s="186"/>
      <c r="Q3" s="166" t="s">
        <v>204</v>
      </c>
      <c r="R3" s="186"/>
      <c r="S3" s="166" t="s">
        <v>204</v>
      </c>
      <c r="T3" s="186"/>
      <c r="U3" s="166" t="s">
        <v>204</v>
      </c>
      <c r="V3" s="186"/>
      <c r="W3" s="166" t="s">
        <v>204</v>
      </c>
      <c r="X3" s="186"/>
      <c r="Y3" s="166" t="s">
        <v>204</v>
      </c>
      <c r="Z3" s="186"/>
      <c r="AA3" s="166" t="s">
        <v>204</v>
      </c>
      <c r="AB3" s="186"/>
      <c r="AC3" s="166" t="s">
        <v>204</v>
      </c>
      <c r="AD3" s="186"/>
      <c r="AE3" s="166" t="s">
        <v>204</v>
      </c>
      <c r="AF3" s="143" t="str">
        <f t="shared" ref="AF3:AF65" si="1">IF(AND(O3="",Q3="",S3="",U3="",W3="",Y3="",AA3="",AC3=""),"",IF(OR(AND(O3&lt;&gt;"NA",O3&lt;&gt;"C",O3&lt;&gt;"NC",O3&lt;&gt;"SF",O3&lt;&gt;""),AND(Q3&lt;&gt;"NA",Q3&lt;&gt;"C",Q3&lt;&gt;"NC",Q3&lt;&gt;"SF",Q3&lt;&gt;""),AND(S3&lt;&gt;"NA",S3&lt;&gt;"C",S3&lt;&gt;"NC",S3&lt;&gt;"SF",S3&lt;&gt;""),AND(U3&lt;&gt;"NA",U3&lt;&gt;"C",U3&lt;&gt;"NC",U3&lt;&gt;"SF",U3&lt;&gt;""),AND(W3&lt;&gt;"NA",W3&lt;&gt;"C",W3&lt;&gt;"NC",W3&lt;&gt;"SF",W3&lt;&gt;""),AND(Y3&lt;&gt;"NA",Y3&lt;&gt;"C",Y3&lt;&gt;"NC",Y3&lt;&gt;"SF",Y3&lt;&gt;""),AND(AA3&lt;&gt;"NA",AA3&lt;&gt;"C",AA3&lt;&gt;"NC",AA3&lt;&gt;"SF",AA3&lt;&gt;""),AND(AC3&lt;&gt;"NA",AC3&lt;&gt;"C",AC3&lt;&gt;"NC",AC3&lt;&gt;"SF",AC3&lt;&gt;"")),"FALSO",IF(AND(O3="NA",Q3="NA",S3="NA",U3="NA",W3="NA",Y3="NA",AA3="NA",AC3="NA"),"NA",IF(OR(O3="NC",Q3="NC",S3="NC",U3="NC",W3="NC",Y3="NC",AA3="NC",AC3="NC",O3="SF",Q3="SF",S3="SF",U3="SF",W3="SF",Y3="SF",AA3="SF",AC3="SF"),"NC",IF(OR(O3="C",Q3="C",S3="C",U3="C",W3="C",Y3="C",AA3="C",AC3="C"),"C","")))))</f>
        <v>C</v>
      </c>
      <c r="AG3" s="199" t="str">
        <f t="shared" si="0"/>
        <v>UTILIZOU O PDA CORRETAMENTE</v>
      </c>
      <c r="AH3" s="144" t="s">
        <v>204</v>
      </c>
      <c r="AI3" s="151" t="s">
        <v>6</v>
      </c>
      <c r="AJ3" s="151" t="str">
        <f t="shared" ref="AJ3:AJ44" si="2">E3</f>
        <v>GUARULHOS</v>
      </c>
      <c r="AK3" s="61" t="s">
        <v>59</v>
      </c>
      <c r="AL3" s="53">
        <v>-4.0000000000000002E-4</v>
      </c>
      <c r="AM3" s="53" t="str" cm="1">
        <f t="array" ref="AM3">IF(OR(O3&lt;&gt;"", SUMPRODUCT(($AN$2:$AN$561=AN3)*($AL$2:$AL$561&lt;=AL3)) &lt;= (COUNTIF($AN$2:$AN$561,AN3)*0.5)), "SORTEADO", "-")</f>
        <v>SORTEADO</v>
      </c>
      <c r="AN3" s="53" t="str">
        <f t="shared" ref="AN3:AN66" si="3">TEXT(L3, "mm/dd/aaaa")</f>
        <v>04/01/2026</v>
      </c>
    </row>
    <row r="4" spans="1:40" ht="30" hidden="1" customHeight="1" x14ac:dyDescent="0.2">
      <c r="A4" s="230" t="s">
        <v>197</v>
      </c>
      <c r="B4" s="230">
        <v>2613824748</v>
      </c>
      <c r="C4" s="230" t="s">
        <v>122</v>
      </c>
      <c r="D4" s="230" t="s">
        <v>108</v>
      </c>
      <c r="E4" s="230" t="s">
        <v>198</v>
      </c>
      <c r="F4" s="230" t="s">
        <v>747</v>
      </c>
      <c r="G4" s="230">
        <v>233</v>
      </c>
      <c r="H4" s="230" t="s">
        <v>2639</v>
      </c>
      <c r="I4" s="230" t="s">
        <v>732</v>
      </c>
      <c r="J4" s="230" t="s">
        <v>2633</v>
      </c>
      <c r="K4" s="230"/>
      <c r="L4" s="235" t="s">
        <v>202</v>
      </c>
      <c r="M4" s="235">
        <v>46026.632638888892</v>
      </c>
      <c r="N4" s="230" t="s">
        <v>2640</v>
      </c>
      <c r="O4" s="157"/>
      <c r="P4" s="143"/>
      <c r="Q4" s="144"/>
      <c r="R4" s="143"/>
      <c r="S4" s="144"/>
      <c r="T4" s="143"/>
      <c r="U4" s="144"/>
      <c r="V4" s="143"/>
      <c r="W4" s="144"/>
      <c r="X4" s="143"/>
      <c r="Y4" s="144"/>
      <c r="Z4" s="143"/>
      <c r="AA4" s="144"/>
      <c r="AB4" s="143"/>
      <c r="AC4" s="144"/>
      <c r="AD4" s="143"/>
      <c r="AE4" s="144"/>
      <c r="AF4" s="143" t="str">
        <f t="shared" si="1"/>
        <v/>
      </c>
      <c r="AG4" s="199" t="b">
        <f t="shared" si="0"/>
        <v>0</v>
      </c>
      <c r="AH4" s="144"/>
      <c r="AI4" s="151" t="s">
        <v>6</v>
      </c>
      <c r="AJ4" s="151" t="str">
        <f t="shared" si="2"/>
        <v>GUARULHOS</v>
      </c>
      <c r="AK4" s="61" t="s">
        <v>59</v>
      </c>
      <c r="AL4" s="53">
        <v>0.11060002645853895</v>
      </c>
      <c r="AM4" s="53" t="str" cm="1">
        <f t="array" ref="AM4">IF(OR(O4&lt;&gt;"", SUMPRODUCT(($AN$2:$AN$561=AN4)*($AL$2:$AL$561&lt;=AL4)) &lt;= (COUNTIF($AN$2:$AN$561,AN4)*0.5)), "SORTEADO", "-")</f>
        <v>-</v>
      </c>
      <c r="AN4" s="53" t="str">
        <f t="shared" si="3"/>
        <v>04/01/2026</v>
      </c>
    </row>
    <row r="5" spans="1:40" ht="30" customHeight="1" x14ac:dyDescent="0.2">
      <c r="A5" s="230" t="s">
        <v>197</v>
      </c>
      <c r="B5" s="230">
        <v>2613846631</v>
      </c>
      <c r="C5" s="230" t="s">
        <v>120</v>
      </c>
      <c r="D5" s="230" t="s">
        <v>111</v>
      </c>
      <c r="E5" s="230" t="s">
        <v>198</v>
      </c>
      <c r="F5" s="230" t="s">
        <v>1562</v>
      </c>
      <c r="G5" s="230">
        <v>1659</v>
      </c>
      <c r="H5" s="230" t="s">
        <v>213</v>
      </c>
      <c r="I5" s="230" t="s">
        <v>2616</v>
      </c>
      <c r="J5" s="230" t="s">
        <v>2637</v>
      </c>
      <c r="K5" s="230" t="s">
        <v>213</v>
      </c>
      <c r="L5" s="235" t="s">
        <v>202</v>
      </c>
      <c r="M5" s="235">
        <v>46026.454861111109</v>
      </c>
      <c r="N5" s="230" t="s">
        <v>2638</v>
      </c>
      <c r="O5" s="157" t="s">
        <v>328</v>
      </c>
      <c r="P5" s="143"/>
      <c r="Q5" s="144" t="s">
        <v>328</v>
      </c>
      <c r="R5" s="143"/>
      <c r="S5" s="144" t="s">
        <v>328</v>
      </c>
      <c r="T5" s="143"/>
      <c r="U5" s="144" t="s">
        <v>328</v>
      </c>
      <c r="V5" s="143"/>
      <c r="W5" s="144" t="s">
        <v>328</v>
      </c>
      <c r="X5" s="143"/>
      <c r="Y5" s="144" t="s">
        <v>328</v>
      </c>
      <c r="Z5" s="143"/>
      <c r="AA5" s="144" t="s">
        <v>328</v>
      </c>
      <c r="AB5" s="143"/>
      <c r="AC5" s="144" t="s">
        <v>328</v>
      </c>
      <c r="AD5" s="143"/>
      <c r="AE5" s="144" t="s">
        <v>210</v>
      </c>
      <c r="AF5" s="143" t="str">
        <f t="shared" si="1"/>
        <v>NC</v>
      </c>
      <c r="AG5" s="199" t="str">
        <f t="shared" si="0"/>
        <v>NÃO UTILIZOU O PDA</v>
      </c>
      <c r="AH5" s="144" t="s">
        <v>204</v>
      </c>
      <c r="AI5" s="151" t="s">
        <v>6</v>
      </c>
      <c r="AJ5" s="151" t="str">
        <f t="shared" si="2"/>
        <v>GUARULHOS</v>
      </c>
      <c r="AK5" s="61" t="s">
        <v>59</v>
      </c>
      <c r="AL5" s="53">
        <v>0.71084658055505978</v>
      </c>
      <c r="AM5" s="53" t="str" cm="1">
        <f t="array" ref="AM5">IF(OR(O5&lt;&gt;"", SUMPRODUCT(($AN$2:$AN$561=AN5)*($AL$2:$AL$561&lt;=AL5)) &lt;= (COUNTIF($AN$2:$AN$561,AN5)*0.5)), "SORTEADO", "-")</f>
        <v>SORTEADO</v>
      </c>
      <c r="AN5" s="53" t="str">
        <f t="shared" si="3"/>
        <v>04/01/2026</v>
      </c>
    </row>
    <row r="6" spans="1:40" ht="30" hidden="1" customHeight="1" x14ac:dyDescent="0.2">
      <c r="A6" s="230" t="s">
        <v>197</v>
      </c>
      <c r="B6" s="230">
        <v>2612942604</v>
      </c>
      <c r="C6" s="230" t="s">
        <v>117</v>
      </c>
      <c r="D6" s="230" t="s">
        <v>109</v>
      </c>
      <c r="E6" s="230" t="s">
        <v>198</v>
      </c>
      <c r="F6" s="230" t="s">
        <v>1501</v>
      </c>
      <c r="G6" s="230">
        <v>222</v>
      </c>
      <c r="H6" s="230" t="s">
        <v>2641</v>
      </c>
      <c r="I6" s="230" t="s">
        <v>480</v>
      </c>
      <c r="J6" s="230" t="s">
        <v>117</v>
      </c>
      <c r="K6" s="230" t="s">
        <v>2642</v>
      </c>
      <c r="L6" s="235" t="s">
        <v>332</v>
      </c>
      <c r="M6" s="235">
        <v>46057.538888888892</v>
      </c>
      <c r="N6" s="230" t="s">
        <v>2640</v>
      </c>
      <c r="O6" s="157"/>
      <c r="P6" s="143"/>
      <c r="Q6" s="144"/>
      <c r="R6" s="143"/>
      <c r="S6" s="144"/>
      <c r="T6" s="143"/>
      <c r="U6" s="144"/>
      <c r="V6" s="143"/>
      <c r="W6" s="144"/>
      <c r="X6" s="143"/>
      <c r="Y6" s="144"/>
      <c r="Z6" s="143"/>
      <c r="AA6" s="144"/>
      <c r="AB6" s="143"/>
      <c r="AC6" s="144"/>
      <c r="AD6" s="143"/>
      <c r="AE6" s="144"/>
      <c r="AF6" s="143" t="str">
        <f t="shared" si="1"/>
        <v/>
      </c>
      <c r="AG6" s="199" t="b">
        <f t="shared" si="0"/>
        <v>0</v>
      </c>
      <c r="AH6" s="144"/>
      <c r="AI6" s="151" t="s">
        <v>6</v>
      </c>
      <c r="AJ6" s="151" t="str">
        <f t="shared" si="2"/>
        <v>GUARULHOS</v>
      </c>
      <c r="AK6" s="61" t="s">
        <v>59</v>
      </c>
      <c r="AL6" s="53">
        <v>0.88545052765459353</v>
      </c>
      <c r="AM6" s="53" t="str" cm="1">
        <f t="array" ref="AM6">IF(OR(O6&lt;&gt;"", SUMPRODUCT(($AN$2:$AN$561=AN6)*($AL$2:$AL$561&lt;=AL6)) &lt;= (COUNTIF($AN$2:$AN$561,AN6)*0.5)), "SORTEADO", "-")</f>
        <v>-</v>
      </c>
      <c r="AN6" s="53" t="str">
        <f t="shared" si="3"/>
        <v>04/02/2026</v>
      </c>
    </row>
    <row r="7" spans="1:40" ht="30" hidden="1" customHeight="1" x14ac:dyDescent="0.2">
      <c r="A7" s="230" t="s">
        <v>197</v>
      </c>
      <c r="B7" s="230">
        <v>2613563716</v>
      </c>
      <c r="C7" s="230" t="s">
        <v>115</v>
      </c>
      <c r="D7" s="230" t="s">
        <v>108</v>
      </c>
      <c r="E7" s="230" t="s">
        <v>198</v>
      </c>
      <c r="F7" s="230" t="s">
        <v>2643</v>
      </c>
      <c r="G7" s="230">
        <v>112</v>
      </c>
      <c r="H7" s="230" t="s">
        <v>211</v>
      </c>
      <c r="I7" s="230" t="s">
        <v>2455</v>
      </c>
      <c r="J7" s="230" t="s">
        <v>2644</v>
      </c>
      <c r="K7" s="230" t="s">
        <v>2645</v>
      </c>
      <c r="L7" s="235" t="s">
        <v>332</v>
      </c>
      <c r="M7" s="235">
        <v>46057.474999999999</v>
      </c>
      <c r="N7" s="230" t="s">
        <v>2646</v>
      </c>
      <c r="O7" s="157"/>
      <c r="P7" s="143"/>
      <c r="Q7" s="144"/>
      <c r="R7" s="143"/>
      <c r="S7" s="144"/>
      <c r="T7" s="143"/>
      <c r="U7" s="144"/>
      <c r="V7" s="143"/>
      <c r="W7" s="144"/>
      <c r="X7" s="143"/>
      <c r="Y7" s="144"/>
      <c r="Z7" s="143"/>
      <c r="AA7" s="144"/>
      <c r="AB7" s="143"/>
      <c r="AC7" s="144"/>
      <c r="AD7" s="143"/>
      <c r="AE7" s="144"/>
      <c r="AF7" s="143" t="str">
        <f t="shared" si="1"/>
        <v/>
      </c>
      <c r="AG7" s="199" t="b">
        <f t="shared" si="0"/>
        <v>0</v>
      </c>
      <c r="AH7" s="144"/>
      <c r="AI7" s="151" t="s">
        <v>6</v>
      </c>
      <c r="AJ7" s="151" t="str">
        <f t="shared" si="2"/>
        <v>GUARULHOS</v>
      </c>
      <c r="AK7" s="61" t="s">
        <v>59</v>
      </c>
      <c r="AL7" s="53">
        <v>0.65343550276297824</v>
      </c>
      <c r="AM7" s="53" t="str" cm="1">
        <f t="array" ref="AM7">IF(OR(O7&lt;&gt;"", SUMPRODUCT(($AN$2:$AN$561=AN7)*($AL$2:$AL$561&lt;=AL7)) &lt;= (COUNTIF($AN$2:$AN$561,AN7)*0.5)), "SORTEADO", "-")</f>
        <v>-</v>
      </c>
      <c r="AN7" s="53" t="str">
        <f t="shared" si="3"/>
        <v>04/02/2026</v>
      </c>
    </row>
    <row r="8" spans="1:40" ht="30" hidden="1" customHeight="1" x14ac:dyDescent="0.2">
      <c r="A8" s="230" t="s">
        <v>197</v>
      </c>
      <c r="B8" s="230">
        <v>2613827789</v>
      </c>
      <c r="C8" s="230" t="s">
        <v>122</v>
      </c>
      <c r="D8" s="230" t="s">
        <v>108</v>
      </c>
      <c r="E8" s="230" t="s">
        <v>198</v>
      </c>
      <c r="F8" s="230" t="s">
        <v>2647</v>
      </c>
      <c r="G8" s="230">
        <v>256</v>
      </c>
      <c r="H8" s="230" t="s">
        <v>2648</v>
      </c>
      <c r="I8" s="230" t="s">
        <v>247</v>
      </c>
      <c r="J8" s="230" t="s">
        <v>2649</v>
      </c>
      <c r="K8" s="230" t="s">
        <v>2650</v>
      </c>
      <c r="L8" s="235" t="s">
        <v>332</v>
      </c>
      <c r="M8" s="235">
        <v>46057.710416666669</v>
      </c>
      <c r="N8" s="230" t="s">
        <v>2646</v>
      </c>
      <c r="O8" s="157"/>
      <c r="P8" s="143"/>
      <c r="Q8" s="144"/>
      <c r="R8" s="143"/>
      <c r="S8" s="144"/>
      <c r="T8" s="143"/>
      <c r="U8" s="144"/>
      <c r="V8" s="143"/>
      <c r="W8" s="144"/>
      <c r="X8" s="143"/>
      <c r="Y8" s="144"/>
      <c r="Z8" s="143"/>
      <c r="AA8" s="144"/>
      <c r="AB8" s="143"/>
      <c r="AC8" s="144"/>
      <c r="AD8" s="143"/>
      <c r="AE8" s="144"/>
      <c r="AF8" s="143" t="str">
        <f t="shared" si="1"/>
        <v/>
      </c>
      <c r="AG8" s="199" t="b">
        <f t="shared" si="0"/>
        <v>0</v>
      </c>
      <c r="AH8" s="144"/>
      <c r="AI8" s="151" t="s">
        <v>6</v>
      </c>
      <c r="AJ8" s="151" t="str">
        <f t="shared" si="2"/>
        <v>GUARULHOS</v>
      </c>
      <c r="AK8" s="61" t="s">
        <v>59</v>
      </c>
      <c r="AL8" s="53">
        <v>0.86781601211761317</v>
      </c>
      <c r="AM8" s="53" t="str" cm="1">
        <f t="array" ref="AM8">IF(OR(O8&lt;&gt;"", SUMPRODUCT(($AN$2:$AN$561=AN8)*($AL$2:$AL$561&lt;=AL8)) &lt;= (COUNTIF($AN$2:$AN$561,AN8)*0.5)), "SORTEADO", "-")</f>
        <v>-</v>
      </c>
      <c r="AN8" s="53" t="str">
        <f t="shared" si="3"/>
        <v>04/02/2026</v>
      </c>
    </row>
    <row r="9" spans="1:40" ht="30" hidden="1" customHeight="1" x14ac:dyDescent="0.2">
      <c r="A9" s="230" t="s">
        <v>197</v>
      </c>
      <c r="B9" s="230">
        <v>2614104445</v>
      </c>
      <c r="C9" s="230" t="s">
        <v>122</v>
      </c>
      <c r="D9" s="230" t="s">
        <v>108</v>
      </c>
      <c r="E9" s="230" t="s">
        <v>198</v>
      </c>
      <c r="F9" s="230" t="s">
        <v>2651</v>
      </c>
      <c r="G9" s="230">
        <v>35</v>
      </c>
      <c r="H9" s="230" t="s">
        <v>276</v>
      </c>
      <c r="I9" s="230" t="s">
        <v>335</v>
      </c>
      <c r="J9" s="230" t="s">
        <v>2633</v>
      </c>
      <c r="K9" s="230"/>
      <c r="L9" s="235" t="s">
        <v>332</v>
      </c>
      <c r="M9" s="235">
        <v>46057.500694444447</v>
      </c>
      <c r="N9" s="230" t="s">
        <v>2634</v>
      </c>
      <c r="O9" s="157"/>
      <c r="P9" s="143"/>
      <c r="Q9" s="144"/>
      <c r="R9" s="143"/>
      <c r="S9" s="144"/>
      <c r="T9" s="143"/>
      <c r="U9" s="144"/>
      <c r="V9" s="143"/>
      <c r="W9" s="144"/>
      <c r="X9" s="143"/>
      <c r="Y9" s="144"/>
      <c r="Z9" s="143"/>
      <c r="AA9" s="144"/>
      <c r="AB9" s="143"/>
      <c r="AC9" s="144"/>
      <c r="AD9" s="143"/>
      <c r="AE9" s="144"/>
      <c r="AF9" s="143" t="str">
        <f t="shared" si="1"/>
        <v/>
      </c>
      <c r="AG9" s="199" t="b">
        <f t="shared" si="0"/>
        <v>0</v>
      </c>
      <c r="AH9" s="144"/>
      <c r="AI9" s="151" t="s">
        <v>6</v>
      </c>
      <c r="AJ9" s="151" t="str">
        <f t="shared" si="2"/>
        <v>GUARULHOS</v>
      </c>
      <c r="AK9" s="61" t="s">
        <v>59</v>
      </c>
      <c r="AL9" s="53">
        <v>0.22716006310324721</v>
      </c>
      <c r="AM9" s="53" t="str" cm="1">
        <f t="array" ref="AM9">IF(OR(O9&lt;&gt;"", SUMPRODUCT(($AN$2:$AN$561=AN9)*($AL$2:$AL$561&lt;=AL9)) &lt;= (COUNTIF($AN$2:$AN$561,AN9)*0.5)), "SORTEADO", "-")</f>
        <v>SORTEADO</v>
      </c>
      <c r="AN9" s="53" t="str">
        <f t="shared" si="3"/>
        <v>04/02/2026</v>
      </c>
    </row>
    <row r="10" spans="1:40" ht="30" customHeight="1" x14ac:dyDescent="0.2">
      <c r="A10" s="230" t="s">
        <v>197</v>
      </c>
      <c r="B10" s="230">
        <v>2614130776</v>
      </c>
      <c r="C10" s="230" t="s">
        <v>120</v>
      </c>
      <c r="D10" s="230" t="s">
        <v>111</v>
      </c>
      <c r="E10" s="230" t="s">
        <v>198</v>
      </c>
      <c r="F10" s="230" t="s">
        <v>484</v>
      </c>
      <c r="G10" s="230">
        <v>71</v>
      </c>
      <c r="H10" s="230"/>
      <c r="I10" s="230" t="s">
        <v>899</v>
      </c>
      <c r="J10" s="230" t="s">
        <v>2637</v>
      </c>
      <c r="K10" s="230" t="s">
        <v>2652</v>
      </c>
      <c r="L10" s="235" t="s">
        <v>332</v>
      </c>
      <c r="M10" s="235">
        <v>46057.627083333333</v>
      </c>
      <c r="N10" s="230" t="s">
        <v>2638</v>
      </c>
      <c r="O10" s="157" t="s">
        <v>328</v>
      </c>
      <c r="P10" s="143"/>
      <c r="Q10" s="144" t="s">
        <v>328</v>
      </c>
      <c r="R10" s="143"/>
      <c r="S10" s="144" t="s">
        <v>328</v>
      </c>
      <c r="T10" s="143"/>
      <c r="U10" s="144" t="s">
        <v>328</v>
      </c>
      <c r="V10" s="143"/>
      <c r="W10" s="144" t="s">
        <v>328</v>
      </c>
      <c r="X10" s="143"/>
      <c r="Y10" s="144" t="s">
        <v>328</v>
      </c>
      <c r="Z10" s="143"/>
      <c r="AA10" s="144" t="s">
        <v>328</v>
      </c>
      <c r="AB10" s="143"/>
      <c r="AC10" s="144" t="s">
        <v>328</v>
      </c>
      <c r="AD10" s="143"/>
      <c r="AE10" s="144" t="s">
        <v>210</v>
      </c>
      <c r="AF10" s="143" t="str">
        <f t="shared" si="1"/>
        <v>NC</v>
      </c>
      <c r="AG10" s="199" t="str">
        <f t="shared" si="0"/>
        <v>NÃO UTILIZOU O PDA</v>
      </c>
      <c r="AH10" s="144" t="s">
        <v>204</v>
      </c>
      <c r="AI10" s="151" t="s">
        <v>6</v>
      </c>
      <c r="AJ10" s="151" t="str">
        <f t="shared" si="2"/>
        <v>GUARULHOS</v>
      </c>
      <c r="AK10" s="61" t="s">
        <v>59</v>
      </c>
      <c r="AL10" s="53">
        <v>0.64022418345857712</v>
      </c>
      <c r="AM10" s="53" t="str" cm="1">
        <f t="array" ref="AM10">IF(OR(O10&lt;&gt;"", SUMPRODUCT(($AN$2:$AN$561=AN10)*($AL$2:$AL$561&lt;=AL10)) &lt;= (COUNTIF($AN$2:$AN$561,AN10)*0.5)), "SORTEADO", "-")</f>
        <v>SORTEADO</v>
      </c>
      <c r="AN10" s="53" t="str">
        <f t="shared" si="3"/>
        <v>04/02/2026</v>
      </c>
    </row>
    <row r="11" spans="1:40" ht="30" customHeight="1" x14ac:dyDescent="0.2">
      <c r="A11" s="230" t="s">
        <v>197</v>
      </c>
      <c r="B11" s="230">
        <v>2614131037</v>
      </c>
      <c r="C11" s="230" t="s">
        <v>120</v>
      </c>
      <c r="D11" s="230" t="s">
        <v>111</v>
      </c>
      <c r="E11" s="230" t="s">
        <v>198</v>
      </c>
      <c r="F11" s="230" t="s">
        <v>1352</v>
      </c>
      <c r="G11" s="230">
        <v>1235</v>
      </c>
      <c r="H11" s="230" t="s">
        <v>2653</v>
      </c>
      <c r="I11" s="230" t="s">
        <v>622</v>
      </c>
      <c r="J11" s="230" t="s">
        <v>2637</v>
      </c>
      <c r="K11" s="230" t="s">
        <v>2654</v>
      </c>
      <c r="L11" s="235" t="s">
        <v>332</v>
      </c>
      <c r="M11" s="235">
        <v>46057.621527777781</v>
      </c>
      <c r="N11" s="230" t="s">
        <v>2638</v>
      </c>
      <c r="O11" s="157" t="s">
        <v>328</v>
      </c>
      <c r="P11" s="143"/>
      <c r="Q11" s="144" t="s">
        <v>328</v>
      </c>
      <c r="R11" s="143"/>
      <c r="S11" s="144" t="s">
        <v>328</v>
      </c>
      <c r="T11" s="143"/>
      <c r="U11" s="144" t="s">
        <v>328</v>
      </c>
      <c r="V11" s="143"/>
      <c r="W11" s="144" t="s">
        <v>328</v>
      </c>
      <c r="X11" s="143"/>
      <c r="Y11" s="144" t="s">
        <v>328</v>
      </c>
      <c r="Z11" s="143"/>
      <c r="AA11" s="144" t="s">
        <v>328</v>
      </c>
      <c r="AB11" s="143"/>
      <c r="AC11" s="144" t="s">
        <v>328</v>
      </c>
      <c r="AD11" s="143"/>
      <c r="AE11" s="144" t="s">
        <v>210</v>
      </c>
      <c r="AF11" s="143" t="str">
        <f t="shared" si="1"/>
        <v>NC</v>
      </c>
      <c r="AG11" s="199" t="str">
        <f t="shared" si="0"/>
        <v>NÃO UTILIZOU O PDA</v>
      </c>
      <c r="AH11" s="144" t="s">
        <v>204</v>
      </c>
      <c r="AI11" s="151" t="s">
        <v>6</v>
      </c>
      <c r="AJ11" s="151" t="str">
        <f t="shared" si="2"/>
        <v>GUARULHOS</v>
      </c>
      <c r="AK11" s="62" t="s">
        <v>59</v>
      </c>
      <c r="AL11" s="53">
        <v>0.95755932465553195</v>
      </c>
      <c r="AM11" s="53" t="str" cm="1">
        <f t="array" ref="AM11">IF(OR(O11&lt;&gt;"", SUMPRODUCT(($AN$2:$AN$561=AN11)*($AL$2:$AL$561&lt;=AL11)) &lt;= (COUNTIF($AN$2:$AN$561,AN11)*0.5)), "SORTEADO", "-")</f>
        <v>SORTEADO</v>
      </c>
      <c r="AN11" s="53" t="str">
        <f t="shared" si="3"/>
        <v>04/02/2026</v>
      </c>
    </row>
    <row r="12" spans="1:40" ht="30" hidden="1" customHeight="1" x14ac:dyDescent="0.2">
      <c r="A12" s="230" t="s">
        <v>197</v>
      </c>
      <c r="B12" s="230">
        <v>2614114581</v>
      </c>
      <c r="C12" s="230" t="s">
        <v>115</v>
      </c>
      <c r="D12" s="230" t="s">
        <v>108</v>
      </c>
      <c r="E12" s="230" t="s">
        <v>198</v>
      </c>
      <c r="F12" s="230" t="s">
        <v>369</v>
      </c>
      <c r="G12" s="230">
        <v>36</v>
      </c>
      <c r="H12" s="230"/>
      <c r="I12" s="230" t="s">
        <v>200</v>
      </c>
      <c r="J12" s="230" t="s">
        <v>2644</v>
      </c>
      <c r="K12" s="230" t="s">
        <v>2655</v>
      </c>
      <c r="L12" s="235" t="s">
        <v>332</v>
      </c>
      <c r="M12" s="235">
        <v>46057.633333333331</v>
      </c>
      <c r="N12" s="230" t="s">
        <v>2638</v>
      </c>
      <c r="O12" s="157"/>
      <c r="P12" s="143"/>
      <c r="Q12" s="144"/>
      <c r="R12" s="143"/>
      <c r="S12" s="144"/>
      <c r="T12" s="143"/>
      <c r="U12" s="144"/>
      <c r="V12" s="143"/>
      <c r="W12" s="144"/>
      <c r="X12" s="143"/>
      <c r="Y12" s="144"/>
      <c r="Z12" s="143"/>
      <c r="AA12" s="144"/>
      <c r="AB12" s="143"/>
      <c r="AC12" s="144"/>
      <c r="AD12" s="143"/>
      <c r="AE12" s="144"/>
      <c r="AF12" s="143" t="str">
        <f t="shared" si="1"/>
        <v/>
      </c>
      <c r="AG12" s="199" t="b">
        <f t="shared" si="0"/>
        <v>0</v>
      </c>
      <c r="AH12" s="144"/>
      <c r="AI12" s="151" t="s">
        <v>6</v>
      </c>
      <c r="AJ12" s="151" t="str">
        <f t="shared" si="2"/>
        <v>GUARULHOS</v>
      </c>
      <c r="AK12" s="61" t="s">
        <v>59</v>
      </c>
      <c r="AL12" s="53">
        <v>0.11291668355162632</v>
      </c>
      <c r="AM12" s="53" t="str" cm="1">
        <f t="array" ref="AM12">IF(OR(O12&lt;&gt;"", SUMPRODUCT(($AN$2:$AN$561=AN12)*($AL$2:$AL$561&lt;=AL12)) &lt;= (COUNTIF($AN$2:$AN$561,AN12)*0.5)), "SORTEADO", "-")</f>
        <v>SORTEADO</v>
      </c>
      <c r="AN12" s="53" t="str">
        <f t="shared" si="3"/>
        <v>04/02/2026</v>
      </c>
    </row>
    <row r="13" spans="1:40" ht="30" hidden="1" customHeight="1" x14ac:dyDescent="0.2">
      <c r="A13" s="230" t="s">
        <v>197</v>
      </c>
      <c r="B13" s="230">
        <v>2614123875</v>
      </c>
      <c r="C13" s="230" t="s">
        <v>122</v>
      </c>
      <c r="D13" s="230" t="s">
        <v>108</v>
      </c>
      <c r="E13" s="230" t="s">
        <v>198</v>
      </c>
      <c r="F13" s="230" t="s">
        <v>2656</v>
      </c>
      <c r="G13" s="230">
        <v>127</v>
      </c>
      <c r="H13" s="230" t="s">
        <v>2657</v>
      </c>
      <c r="I13" s="230" t="s">
        <v>269</v>
      </c>
      <c r="J13" s="230" t="s">
        <v>2633</v>
      </c>
      <c r="K13" s="237" t="s">
        <v>2658</v>
      </c>
      <c r="L13" s="235" t="s">
        <v>407</v>
      </c>
      <c r="M13" s="235">
        <v>46085.652777777781</v>
      </c>
      <c r="N13" s="230" t="s">
        <v>2132</v>
      </c>
      <c r="O13" s="157"/>
      <c r="P13" s="143"/>
      <c r="Q13" s="144"/>
      <c r="R13" s="143"/>
      <c r="S13" s="144"/>
      <c r="T13" s="143"/>
      <c r="U13" s="144"/>
      <c r="V13" s="143"/>
      <c r="W13" s="144"/>
      <c r="X13" s="143"/>
      <c r="Y13" s="144"/>
      <c r="Z13" s="143"/>
      <c r="AA13" s="144"/>
      <c r="AB13" s="143"/>
      <c r="AC13" s="144"/>
      <c r="AD13" s="143"/>
      <c r="AE13" s="144"/>
      <c r="AF13" s="143" t="str">
        <f t="shared" si="1"/>
        <v/>
      </c>
      <c r="AG13" s="199" t="b">
        <f t="shared" si="0"/>
        <v>0</v>
      </c>
      <c r="AH13" s="144"/>
      <c r="AI13" s="151" t="s">
        <v>6</v>
      </c>
      <c r="AJ13" s="151" t="str">
        <f t="shared" si="2"/>
        <v>GUARULHOS</v>
      </c>
      <c r="AK13" s="61" t="s">
        <v>59</v>
      </c>
      <c r="AL13" s="53">
        <v>0.41748657836391223</v>
      </c>
      <c r="AM13" s="53" t="str" cm="1">
        <f t="array" ref="AM13">IF(OR(O13&lt;&gt;"", SUMPRODUCT(($AN$2:$AN$561=AN13)*($AL$2:$AL$561&lt;=AL13)) &lt;= (COUNTIF($AN$2:$AN$561,AN13)*0.5)), "SORTEADO", "-")</f>
        <v>-</v>
      </c>
      <c r="AN13" s="53" t="str">
        <f t="shared" si="3"/>
        <v>04/03/2026</v>
      </c>
    </row>
    <row r="14" spans="1:40" ht="30" hidden="1" customHeight="1" x14ac:dyDescent="0.2">
      <c r="A14" s="230" t="s">
        <v>197</v>
      </c>
      <c r="B14" s="230">
        <v>2614104946</v>
      </c>
      <c r="C14" s="230" t="s">
        <v>121</v>
      </c>
      <c r="D14" s="230" t="s">
        <v>110</v>
      </c>
      <c r="E14" s="230" t="s">
        <v>198</v>
      </c>
      <c r="F14" s="230" t="s">
        <v>2659</v>
      </c>
      <c r="G14" s="230">
        <v>327</v>
      </c>
      <c r="H14" s="230" t="s">
        <v>2660</v>
      </c>
      <c r="I14" s="230" t="s">
        <v>285</v>
      </c>
      <c r="J14" s="230" t="s">
        <v>2661</v>
      </c>
      <c r="K14" s="237" t="s">
        <v>2662</v>
      </c>
      <c r="L14" s="235" t="s">
        <v>407</v>
      </c>
      <c r="M14" s="235">
        <v>46085.354861111111</v>
      </c>
      <c r="N14" s="230" t="s">
        <v>2132</v>
      </c>
      <c r="O14" s="157" t="s">
        <v>61</v>
      </c>
      <c r="P14" s="143"/>
      <c r="Q14" s="144" t="s">
        <v>61</v>
      </c>
      <c r="R14" s="143"/>
      <c r="S14" s="144" t="s">
        <v>61</v>
      </c>
      <c r="T14" s="143"/>
      <c r="U14" s="144" t="s">
        <v>61</v>
      </c>
      <c r="V14" s="143"/>
      <c r="W14" s="144" t="s">
        <v>61</v>
      </c>
      <c r="X14" s="143"/>
      <c r="Y14" s="144" t="s">
        <v>61</v>
      </c>
      <c r="Z14" s="143"/>
      <c r="AA14" s="144" t="s">
        <v>61</v>
      </c>
      <c r="AB14" s="143"/>
      <c r="AC14" s="144" t="s">
        <v>61</v>
      </c>
      <c r="AD14" s="143"/>
      <c r="AE14" s="144" t="s">
        <v>61</v>
      </c>
      <c r="AF14" s="143" t="str">
        <f t="shared" si="1"/>
        <v>NA</v>
      </c>
      <c r="AG14" s="199" t="str">
        <f t="shared" si="0"/>
        <v>NÃO AVALIADO POR FALHA DE SINCRONISMO</v>
      </c>
      <c r="AH14" s="144" t="s">
        <v>204</v>
      </c>
      <c r="AI14" s="151" t="s">
        <v>6</v>
      </c>
      <c r="AJ14" s="151" t="str">
        <f t="shared" si="2"/>
        <v>GUARULHOS</v>
      </c>
      <c r="AK14" s="61" t="s">
        <v>59</v>
      </c>
      <c r="AL14" s="53">
        <v>-2.5999999999999999E-3</v>
      </c>
      <c r="AM14" s="53" t="str" cm="1">
        <f t="array" ref="AM14">IF(OR(O14&lt;&gt;"", SUMPRODUCT(($AN$2:$AN$561=AN14)*($AL$2:$AL$561&lt;=AL14)) &lt;= (COUNTIF($AN$2:$AN$561,AN14)*0.5)), "SORTEADO", "-")</f>
        <v>SORTEADO</v>
      </c>
      <c r="AN14" s="53" t="str">
        <f t="shared" si="3"/>
        <v>04/03/2026</v>
      </c>
    </row>
    <row r="15" spans="1:40" ht="30" hidden="1" customHeight="1" x14ac:dyDescent="0.2">
      <c r="A15" s="230" t="s">
        <v>197</v>
      </c>
      <c r="B15" s="230">
        <v>2614124061</v>
      </c>
      <c r="C15" s="230" t="s">
        <v>122</v>
      </c>
      <c r="D15" s="230" t="s">
        <v>108</v>
      </c>
      <c r="E15" s="230" t="s">
        <v>198</v>
      </c>
      <c r="F15" s="230" t="s">
        <v>2663</v>
      </c>
      <c r="G15" s="230">
        <v>43</v>
      </c>
      <c r="H15" s="230" t="s">
        <v>2664</v>
      </c>
      <c r="I15" s="230" t="s">
        <v>394</v>
      </c>
      <c r="J15" s="230" t="s">
        <v>2633</v>
      </c>
      <c r="K15" s="237" t="s">
        <v>2665</v>
      </c>
      <c r="L15" s="235" t="s">
        <v>407</v>
      </c>
      <c r="M15" s="235">
        <v>46085.674305555556</v>
      </c>
      <c r="N15" s="230" t="s">
        <v>2640</v>
      </c>
      <c r="O15" s="157"/>
      <c r="P15" s="143"/>
      <c r="Q15" s="144"/>
      <c r="R15" s="143"/>
      <c r="S15" s="144"/>
      <c r="T15" s="143"/>
      <c r="U15" s="144"/>
      <c r="V15" s="143"/>
      <c r="W15" s="144"/>
      <c r="X15" s="143"/>
      <c r="Y15" s="144"/>
      <c r="Z15" s="143"/>
      <c r="AA15" s="144"/>
      <c r="AB15" s="143"/>
      <c r="AC15" s="144"/>
      <c r="AD15" s="143"/>
      <c r="AE15" s="144"/>
      <c r="AF15" s="143" t="str">
        <f t="shared" si="1"/>
        <v/>
      </c>
      <c r="AG15" s="199" t="b">
        <f t="shared" si="0"/>
        <v>0</v>
      </c>
      <c r="AH15" s="144"/>
      <c r="AI15" s="151" t="s">
        <v>6</v>
      </c>
      <c r="AJ15" s="151" t="str">
        <f t="shared" si="2"/>
        <v>GUARULHOS</v>
      </c>
      <c r="AK15" s="61" t="s">
        <v>59</v>
      </c>
      <c r="AL15" s="53">
        <v>0.6913928646448283</v>
      </c>
      <c r="AM15" s="53" t="str" cm="1">
        <f t="array" ref="AM15">IF(OR(O15&lt;&gt;"", SUMPRODUCT(($AN$2:$AN$561=AN15)*($AL$2:$AL$561&lt;=AL15)) &lt;= (COUNTIF($AN$2:$AN$561,AN15)*0.5)), "SORTEADO", "-")</f>
        <v>-</v>
      </c>
      <c r="AN15" s="53" t="str">
        <f t="shared" si="3"/>
        <v>04/03/2026</v>
      </c>
    </row>
    <row r="16" spans="1:40" ht="30" hidden="1" customHeight="1" x14ac:dyDescent="0.2">
      <c r="A16" s="230" t="s">
        <v>197</v>
      </c>
      <c r="B16" s="230">
        <v>2613629129</v>
      </c>
      <c r="C16" s="230" t="s">
        <v>119</v>
      </c>
      <c r="D16" s="230" t="s">
        <v>109</v>
      </c>
      <c r="E16" s="230" t="s">
        <v>198</v>
      </c>
      <c r="F16" s="230" t="s">
        <v>450</v>
      </c>
      <c r="G16" s="230">
        <v>125</v>
      </c>
      <c r="H16" s="230"/>
      <c r="I16" s="230" t="s">
        <v>315</v>
      </c>
      <c r="J16" s="230" t="s">
        <v>119</v>
      </c>
      <c r="K16" s="230" t="s">
        <v>2666</v>
      </c>
      <c r="L16" s="235" t="s">
        <v>407</v>
      </c>
      <c r="M16" s="235">
        <v>46085.712500000001</v>
      </c>
      <c r="N16" s="230" t="s">
        <v>2646</v>
      </c>
      <c r="O16" s="157"/>
      <c r="P16" s="143"/>
      <c r="Q16" s="144"/>
      <c r="R16" s="143"/>
      <c r="S16" s="144"/>
      <c r="T16" s="143"/>
      <c r="U16" s="144"/>
      <c r="V16" s="143"/>
      <c r="W16" s="144"/>
      <c r="X16" s="143"/>
      <c r="Y16" s="144"/>
      <c r="Z16" s="143"/>
      <c r="AA16" s="144"/>
      <c r="AB16" s="143"/>
      <c r="AC16" s="144"/>
      <c r="AD16" s="143"/>
      <c r="AE16" s="144"/>
      <c r="AF16" s="143" t="str">
        <f t="shared" si="1"/>
        <v/>
      </c>
      <c r="AG16" s="199" t="b">
        <f t="shared" si="0"/>
        <v>0</v>
      </c>
      <c r="AH16" s="144"/>
      <c r="AI16" s="151" t="s">
        <v>6</v>
      </c>
      <c r="AJ16" s="151" t="str">
        <f t="shared" si="2"/>
        <v>GUARULHOS</v>
      </c>
      <c r="AK16" s="61" t="s">
        <v>59</v>
      </c>
      <c r="AL16" s="53">
        <v>0.72447669670449921</v>
      </c>
      <c r="AM16" s="53" t="str" cm="1">
        <f t="array" ref="AM16">IF(OR(O16&lt;&gt;"", SUMPRODUCT(($AN$2:$AN$561=AN16)*($AL$2:$AL$561&lt;=AL16)) &lt;= (COUNTIF($AN$2:$AN$561,AN16)*0.5)), "SORTEADO", "-")</f>
        <v>-</v>
      </c>
      <c r="AN16" s="53" t="str">
        <f t="shared" si="3"/>
        <v>04/03/2026</v>
      </c>
    </row>
    <row r="17" spans="1:40" ht="30" hidden="1" customHeight="1" x14ac:dyDescent="0.2">
      <c r="A17" s="230" t="s">
        <v>197</v>
      </c>
      <c r="B17" s="230">
        <v>2614124061</v>
      </c>
      <c r="C17" s="230" t="s">
        <v>115</v>
      </c>
      <c r="D17" s="230" t="s">
        <v>108</v>
      </c>
      <c r="E17" s="230" t="s">
        <v>198</v>
      </c>
      <c r="F17" s="230" t="s">
        <v>2663</v>
      </c>
      <c r="G17" s="230">
        <v>43</v>
      </c>
      <c r="H17" s="230" t="s">
        <v>2664</v>
      </c>
      <c r="I17" s="230" t="s">
        <v>394</v>
      </c>
      <c r="J17" s="230" t="s">
        <v>2644</v>
      </c>
      <c r="K17" s="237" t="s">
        <v>2667</v>
      </c>
      <c r="L17" s="235" t="s">
        <v>407</v>
      </c>
      <c r="M17" s="235">
        <v>46085.682638888888</v>
      </c>
      <c r="N17" s="230" t="s">
        <v>2640</v>
      </c>
      <c r="O17" s="157"/>
      <c r="P17" s="143"/>
      <c r="Q17" s="144"/>
      <c r="R17" s="143"/>
      <c r="S17" s="144"/>
      <c r="T17" s="143"/>
      <c r="U17" s="144"/>
      <c r="V17" s="143"/>
      <c r="W17" s="144"/>
      <c r="X17" s="143"/>
      <c r="Y17" s="144"/>
      <c r="Z17" s="143"/>
      <c r="AA17" s="144"/>
      <c r="AB17" s="143"/>
      <c r="AC17" s="144"/>
      <c r="AD17" s="143"/>
      <c r="AE17" s="144"/>
      <c r="AF17" s="143" t="str">
        <f t="shared" si="1"/>
        <v/>
      </c>
      <c r="AG17" s="199" t="b">
        <f t="shared" si="0"/>
        <v>0</v>
      </c>
      <c r="AH17" s="144"/>
      <c r="AI17" s="151" t="s">
        <v>6</v>
      </c>
      <c r="AJ17" s="151" t="str">
        <f t="shared" si="2"/>
        <v>GUARULHOS</v>
      </c>
      <c r="AK17" s="61" t="s">
        <v>59</v>
      </c>
      <c r="AL17" s="53">
        <v>0.69927060996479795</v>
      </c>
      <c r="AM17" s="53" t="str" cm="1">
        <f t="array" ref="AM17">IF(OR(O17&lt;&gt;"", SUMPRODUCT(($AN$2:$AN$561=AN17)*($AL$2:$AL$561&lt;=AL17)) &lt;= (COUNTIF($AN$2:$AN$561,AN17)*0.5)), "SORTEADO", "-")</f>
        <v>-</v>
      </c>
      <c r="AN17" s="53" t="str">
        <f t="shared" si="3"/>
        <v>04/03/2026</v>
      </c>
    </row>
    <row r="18" spans="1:40" ht="30" customHeight="1" x14ac:dyDescent="0.2">
      <c r="A18" s="230" t="s">
        <v>197</v>
      </c>
      <c r="B18" s="230">
        <v>2614223845</v>
      </c>
      <c r="C18" s="230" t="s">
        <v>120</v>
      </c>
      <c r="D18" s="230" t="s">
        <v>111</v>
      </c>
      <c r="E18" s="230" t="s">
        <v>198</v>
      </c>
      <c r="F18" s="230" t="s">
        <v>2668</v>
      </c>
      <c r="G18" s="230">
        <v>835</v>
      </c>
      <c r="H18" s="230" t="s">
        <v>2669</v>
      </c>
      <c r="I18" s="230" t="s">
        <v>466</v>
      </c>
      <c r="J18" s="230" t="s">
        <v>2670</v>
      </c>
      <c r="K18" s="230" t="s">
        <v>2671</v>
      </c>
      <c r="L18" s="235" t="s">
        <v>449</v>
      </c>
      <c r="M18" s="235">
        <v>46116.292361111111</v>
      </c>
      <c r="N18" s="230" t="s">
        <v>2132</v>
      </c>
      <c r="O18" s="157" t="s">
        <v>204</v>
      </c>
      <c r="P18" s="143"/>
      <c r="Q18" s="144" t="s">
        <v>204</v>
      </c>
      <c r="R18" s="143"/>
      <c r="S18" s="144" t="s">
        <v>61</v>
      </c>
      <c r="T18" s="143"/>
      <c r="U18" s="144" t="s">
        <v>61</v>
      </c>
      <c r="V18" s="143"/>
      <c r="W18" s="144" t="s">
        <v>61</v>
      </c>
      <c r="X18" s="143"/>
      <c r="Y18" s="144" t="s">
        <v>61</v>
      </c>
      <c r="Z18" s="143"/>
      <c r="AA18" s="144" t="s">
        <v>61</v>
      </c>
      <c r="AB18" s="143"/>
      <c r="AC18" s="144" t="s">
        <v>210</v>
      </c>
      <c r="AD18" s="143" t="s">
        <v>2672</v>
      </c>
      <c r="AE18" s="144" t="s">
        <v>204</v>
      </c>
      <c r="AF18" s="143" t="str">
        <f t="shared" si="1"/>
        <v>NC</v>
      </c>
      <c r="AG18" s="199" t="str">
        <f t="shared" si="0"/>
        <v>UTILIZOU O PDA CORRETAMENTE. NÃO HÁ FOTOS DE TODAS AS ETAPAS</v>
      </c>
      <c r="AH18" s="144" t="s">
        <v>204</v>
      </c>
      <c r="AI18" s="151" t="s">
        <v>6</v>
      </c>
      <c r="AJ18" s="151" t="str">
        <f t="shared" si="2"/>
        <v>GUARULHOS</v>
      </c>
      <c r="AK18" s="61" t="s">
        <v>59</v>
      </c>
      <c r="AL18" s="53">
        <v>0.86251291620597326</v>
      </c>
      <c r="AM18" s="53" t="str" cm="1">
        <f t="array" ref="AM18">IF(OR(O18&lt;&gt;"", SUMPRODUCT(($AN$2:$AN$561=AN18)*($AL$2:$AL$561&lt;=AL18)) &lt;= (COUNTIF($AN$2:$AN$561,AN18)*0.5)), "SORTEADO", "-")</f>
        <v>SORTEADO</v>
      </c>
      <c r="AN18" s="53" t="str">
        <f t="shared" si="3"/>
        <v>04/04/2026</v>
      </c>
    </row>
    <row r="19" spans="1:40" ht="30" hidden="1" customHeight="1" x14ac:dyDescent="0.2">
      <c r="A19" s="230" t="s">
        <v>197</v>
      </c>
      <c r="B19" s="230">
        <v>2614229309</v>
      </c>
      <c r="C19" s="230" t="s">
        <v>121</v>
      </c>
      <c r="D19" s="230" t="s">
        <v>110</v>
      </c>
      <c r="E19" s="230" t="s">
        <v>198</v>
      </c>
      <c r="F19" s="230" t="s">
        <v>702</v>
      </c>
      <c r="G19" s="230">
        <v>672</v>
      </c>
      <c r="H19" s="230" t="s">
        <v>2472</v>
      </c>
      <c r="I19" s="230" t="s">
        <v>436</v>
      </c>
      <c r="J19" s="230" t="s">
        <v>2661</v>
      </c>
      <c r="K19" s="230"/>
      <c r="L19" s="235" t="s">
        <v>449</v>
      </c>
      <c r="M19" s="235">
        <v>46116.444444444445</v>
      </c>
      <c r="N19" s="230" t="s">
        <v>2646</v>
      </c>
      <c r="O19" s="165"/>
      <c r="P19" s="143"/>
      <c r="Q19" s="144"/>
      <c r="R19" s="143"/>
      <c r="S19" s="144"/>
      <c r="T19" s="143"/>
      <c r="U19" s="144"/>
      <c r="V19" s="143"/>
      <c r="W19" s="144"/>
      <c r="X19" s="143"/>
      <c r="Y19" s="144"/>
      <c r="Z19" s="143"/>
      <c r="AA19" s="144"/>
      <c r="AB19" s="143"/>
      <c r="AC19" s="144"/>
      <c r="AD19" s="143"/>
      <c r="AE19" s="144"/>
      <c r="AF19" s="143" t="str">
        <f t="shared" si="1"/>
        <v/>
      </c>
      <c r="AG19" s="199" t="b">
        <f t="shared" si="0"/>
        <v>0</v>
      </c>
      <c r="AH19" s="144"/>
      <c r="AI19" s="151" t="s">
        <v>6</v>
      </c>
      <c r="AJ19" s="151" t="str">
        <f t="shared" si="2"/>
        <v>GUARULHOS</v>
      </c>
      <c r="AK19" s="61" t="s">
        <v>59</v>
      </c>
      <c r="AL19" s="53">
        <v>0.67931469728833294</v>
      </c>
      <c r="AM19" s="53" t="str" cm="1">
        <f t="array" ref="AM19">IF(OR(O19&lt;&gt;"", SUMPRODUCT(($AN$2:$AN$561=AN19)*($AL$2:$AL$561&lt;=AL19)) &lt;= (COUNTIF($AN$2:$AN$561,AN19)*0.5)), "SORTEADO", "-")</f>
        <v>-</v>
      </c>
      <c r="AN19" s="53" t="str">
        <f t="shared" si="3"/>
        <v>04/04/2026</v>
      </c>
    </row>
    <row r="20" spans="1:40" ht="30" hidden="1" customHeight="1" x14ac:dyDescent="0.2">
      <c r="A20" s="230" t="s">
        <v>197</v>
      </c>
      <c r="B20" s="230">
        <v>2614104946</v>
      </c>
      <c r="C20" s="230" t="s">
        <v>2673</v>
      </c>
      <c r="D20" s="230" t="s">
        <v>111</v>
      </c>
      <c r="E20" s="230" t="s">
        <v>198</v>
      </c>
      <c r="F20" s="230" t="s">
        <v>2659</v>
      </c>
      <c r="G20" s="230">
        <v>327</v>
      </c>
      <c r="H20" s="230" t="s">
        <v>2660</v>
      </c>
      <c r="I20" s="230" t="s">
        <v>285</v>
      </c>
      <c r="J20" s="230" t="s">
        <v>2674</v>
      </c>
      <c r="K20" s="237" t="s">
        <v>2675</v>
      </c>
      <c r="L20" s="235" t="s">
        <v>407</v>
      </c>
      <c r="M20" s="235">
        <v>46085.359722222223</v>
      </c>
      <c r="N20" s="230" t="s">
        <v>2132</v>
      </c>
      <c r="O20" s="157" t="s">
        <v>61</v>
      </c>
      <c r="P20" s="168"/>
      <c r="Q20" s="144" t="s">
        <v>61</v>
      </c>
      <c r="R20" s="143"/>
      <c r="S20" s="144" t="s">
        <v>61</v>
      </c>
      <c r="T20" s="143"/>
      <c r="U20" s="144" t="s">
        <v>61</v>
      </c>
      <c r="V20" s="143"/>
      <c r="W20" s="144" t="s">
        <v>61</v>
      </c>
      <c r="X20" s="143"/>
      <c r="Y20" s="144" t="s">
        <v>61</v>
      </c>
      <c r="Z20" s="143"/>
      <c r="AA20" s="144" t="s">
        <v>61</v>
      </c>
      <c r="AB20" s="143"/>
      <c r="AC20" s="144" t="s">
        <v>61</v>
      </c>
      <c r="AD20" s="143"/>
      <c r="AE20" s="144" t="s">
        <v>61</v>
      </c>
      <c r="AF20" s="143" t="str">
        <f t="shared" si="1"/>
        <v>NA</v>
      </c>
      <c r="AG20" s="199" t="str">
        <f t="shared" si="0"/>
        <v>NÃO AVALIADO POR FALHA DE SINCRONISMO</v>
      </c>
      <c r="AH20" s="144" t="s">
        <v>204</v>
      </c>
      <c r="AI20" s="151" t="s">
        <v>6</v>
      </c>
      <c r="AJ20" s="151" t="str">
        <f t="shared" si="2"/>
        <v>GUARULHOS</v>
      </c>
      <c r="AK20" s="152" t="s">
        <v>59</v>
      </c>
      <c r="AL20" s="53">
        <v>-3.8E-3</v>
      </c>
      <c r="AM20" s="53" t="str" cm="1">
        <f t="array" ref="AM20">IF(OR(O20&lt;&gt;"", SUMPRODUCT(($AN$2:$AN$561=AN20)*($AL$2:$AL$561&lt;=AL20)) &lt;= (COUNTIF($AN$2:$AN$561,AN20)*0.5)), "SORTEADO", "-")</f>
        <v>SORTEADO</v>
      </c>
      <c r="AN20" s="53" t="str">
        <f t="shared" si="3"/>
        <v>04/03/2026</v>
      </c>
    </row>
    <row r="21" spans="1:40" ht="30" hidden="1" customHeight="1" x14ac:dyDescent="0.2">
      <c r="A21" s="230" t="s">
        <v>197</v>
      </c>
      <c r="B21" s="230">
        <v>2614104946</v>
      </c>
      <c r="C21" s="230" t="s">
        <v>2676</v>
      </c>
      <c r="D21" s="230" t="s">
        <v>111</v>
      </c>
      <c r="E21" s="230" t="s">
        <v>198</v>
      </c>
      <c r="F21" s="230" t="s">
        <v>2659</v>
      </c>
      <c r="G21" s="230">
        <v>327</v>
      </c>
      <c r="H21" s="230" t="s">
        <v>2660</v>
      </c>
      <c r="I21" s="230" t="s">
        <v>285</v>
      </c>
      <c r="J21" s="230" t="s">
        <v>2670</v>
      </c>
      <c r="K21" s="237" t="s">
        <v>2675</v>
      </c>
      <c r="L21" s="235" t="s">
        <v>407</v>
      </c>
      <c r="M21" s="235">
        <v>46085.423611111109</v>
      </c>
      <c r="N21" s="230" t="s">
        <v>2132</v>
      </c>
      <c r="O21" s="157" t="s">
        <v>61</v>
      </c>
      <c r="P21" s="169"/>
      <c r="Q21" s="144" t="s">
        <v>61</v>
      </c>
      <c r="R21" s="56"/>
      <c r="S21" s="144" t="s">
        <v>61</v>
      </c>
      <c r="T21" s="56"/>
      <c r="U21" s="144" t="s">
        <v>61</v>
      </c>
      <c r="V21" s="56"/>
      <c r="W21" s="144" t="s">
        <v>61</v>
      </c>
      <c r="X21" s="56"/>
      <c r="Y21" s="144" t="s">
        <v>61</v>
      </c>
      <c r="Z21" s="56"/>
      <c r="AA21" s="144" t="s">
        <v>61</v>
      </c>
      <c r="AB21" s="56"/>
      <c r="AC21" s="144" t="s">
        <v>61</v>
      </c>
      <c r="AD21" s="56"/>
      <c r="AE21" s="144" t="s">
        <v>61</v>
      </c>
      <c r="AF21" s="143" t="str">
        <f t="shared" si="1"/>
        <v>NA</v>
      </c>
      <c r="AG21" s="199" t="str">
        <f t="shared" si="0"/>
        <v>NÃO AVALIADO POR FALHA DE SINCRONISMO</v>
      </c>
      <c r="AH21" s="144" t="s">
        <v>204</v>
      </c>
      <c r="AI21" s="151" t="s">
        <v>6</v>
      </c>
      <c r="AJ21" s="151" t="str">
        <f t="shared" si="2"/>
        <v>GUARULHOS</v>
      </c>
      <c r="AK21" s="152" t="s">
        <v>59</v>
      </c>
      <c r="AL21" s="53">
        <v>-4.0000000000000001E-3</v>
      </c>
      <c r="AM21" s="53" t="str" cm="1">
        <f t="array" ref="AM21">IF(OR(O21&lt;&gt;"", SUMPRODUCT(($AN$2:$AN$561=AN21)*($AL$2:$AL$561&lt;=AL21)) &lt;= (COUNTIF($AN$2:$AN$561,AN21)*0.5)), "SORTEADO", "-")</f>
        <v>SORTEADO</v>
      </c>
      <c r="AN21" s="53" t="str">
        <f t="shared" si="3"/>
        <v>04/03/2026</v>
      </c>
    </row>
    <row r="22" spans="1:40" ht="30" hidden="1" customHeight="1" x14ac:dyDescent="0.2">
      <c r="A22" s="230" t="s">
        <v>197</v>
      </c>
      <c r="B22" s="230">
        <v>2614316524</v>
      </c>
      <c r="C22" s="230" t="s">
        <v>122</v>
      </c>
      <c r="D22" s="230" t="s">
        <v>108</v>
      </c>
      <c r="E22" s="230" t="s">
        <v>198</v>
      </c>
      <c r="F22" s="230" t="s">
        <v>2677</v>
      </c>
      <c r="G22" s="230">
        <v>214</v>
      </c>
      <c r="H22" s="230" t="s">
        <v>2678</v>
      </c>
      <c r="I22" s="230" t="s">
        <v>660</v>
      </c>
      <c r="J22" s="230" t="s">
        <v>2649</v>
      </c>
      <c r="K22" s="230" t="s">
        <v>2679</v>
      </c>
      <c r="L22" s="235" t="s">
        <v>455</v>
      </c>
      <c r="M22" s="235">
        <v>46146.365277777775</v>
      </c>
      <c r="N22" s="230" t="s">
        <v>2646</v>
      </c>
      <c r="O22" s="184"/>
      <c r="P22" s="56"/>
      <c r="Q22" s="166"/>
      <c r="R22" s="56"/>
      <c r="S22" s="166"/>
      <c r="T22" s="56"/>
      <c r="U22" s="166"/>
      <c r="V22" s="56"/>
      <c r="W22" s="166"/>
      <c r="X22" s="56"/>
      <c r="Y22" s="166"/>
      <c r="Z22" s="56"/>
      <c r="AA22" s="166"/>
      <c r="AB22" s="56"/>
      <c r="AC22" s="166"/>
      <c r="AD22" s="56"/>
      <c r="AE22" s="166"/>
      <c r="AF22" s="143" t="str">
        <f t="shared" si="1"/>
        <v/>
      </c>
      <c r="AG22" s="199" t="b">
        <f t="shared" si="0"/>
        <v>0</v>
      </c>
      <c r="AH22" s="166"/>
      <c r="AI22" s="151" t="s">
        <v>6</v>
      </c>
      <c r="AJ22" s="151" t="str">
        <f t="shared" si="2"/>
        <v>GUARULHOS</v>
      </c>
      <c r="AK22" s="152" t="s">
        <v>59</v>
      </c>
      <c r="AL22" s="53">
        <v>4.8404284271601927E-2</v>
      </c>
      <c r="AM22" s="53" t="str" cm="1">
        <f t="array" ref="AM22">IF(OR(O22&lt;&gt;"", SUMPRODUCT(($AN$2:$AN$561=AN22)*($AL$2:$AL$561&lt;=AL22)) &lt;= (COUNTIF($AN$2:$AN$561,AN22)*0.5)), "SORTEADO", "-")</f>
        <v>SORTEADO</v>
      </c>
      <c r="AN22" s="53" t="str">
        <f t="shared" si="3"/>
        <v>04/05/2026</v>
      </c>
    </row>
    <row r="23" spans="1:40" ht="30" hidden="1" customHeight="1" x14ac:dyDescent="0.2">
      <c r="A23" s="230" t="s">
        <v>197</v>
      </c>
      <c r="B23" s="230">
        <v>2613893400</v>
      </c>
      <c r="C23" s="230" t="s">
        <v>121</v>
      </c>
      <c r="D23" s="230" t="s">
        <v>110</v>
      </c>
      <c r="E23" s="230" t="s">
        <v>198</v>
      </c>
      <c r="F23" s="230" t="s">
        <v>2680</v>
      </c>
      <c r="G23" s="230">
        <v>57</v>
      </c>
      <c r="H23" s="230" t="s">
        <v>309</v>
      </c>
      <c r="I23" s="230" t="s">
        <v>746</v>
      </c>
      <c r="J23" s="230" t="s">
        <v>2661</v>
      </c>
      <c r="K23" s="230" t="s">
        <v>2681</v>
      </c>
      <c r="L23" s="235" t="s">
        <v>449</v>
      </c>
      <c r="M23" s="235">
        <v>46116.334027777775</v>
      </c>
      <c r="N23" s="230" t="s">
        <v>2132</v>
      </c>
      <c r="O23" s="157"/>
      <c r="P23" s="56"/>
      <c r="Q23" s="144"/>
      <c r="R23" s="56"/>
      <c r="S23" s="144"/>
      <c r="T23" s="56"/>
      <c r="U23" s="144"/>
      <c r="V23" s="56"/>
      <c r="W23" s="144"/>
      <c r="X23" s="56"/>
      <c r="Y23" s="144"/>
      <c r="Z23" s="56"/>
      <c r="AA23" s="144"/>
      <c r="AB23" s="56"/>
      <c r="AC23" s="144"/>
      <c r="AD23" s="56"/>
      <c r="AE23" s="144"/>
      <c r="AF23" s="143" t="str">
        <f t="shared" si="1"/>
        <v/>
      </c>
      <c r="AG23" s="199" t="b">
        <f t="shared" si="0"/>
        <v>0</v>
      </c>
      <c r="AH23" s="144"/>
      <c r="AI23" s="151" t="s">
        <v>6</v>
      </c>
      <c r="AJ23" s="151" t="str">
        <f t="shared" si="2"/>
        <v>GUARULHOS</v>
      </c>
      <c r="AK23" s="152" t="s">
        <v>59</v>
      </c>
      <c r="AL23" s="53">
        <v>1.2387498710209166E-2</v>
      </c>
      <c r="AM23" s="53" t="str" cm="1">
        <f t="array" ref="AM23">IF(OR(O23&lt;&gt;"", SUMPRODUCT(($AN$2:$AN$561=AN23)*($AL$2:$AL$561&lt;=AL23)) &lt;= (COUNTIF($AN$2:$AN$561,AN23)*0.5)), "SORTEADO", "-")</f>
        <v>SORTEADO</v>
      </c>
      <c r="AN23" s="53" t="str">
        <f t="shared" si="3"/>
        <v>04/04/2026</v>
      </c>
    </row>
    <row r="24" spans="1:40" ht="30" hidden="1" customHeight="1" x14ac:dyDescent="0.2">
      <c r="A24" s="230" t="s">
        <v>197</v>
      </c>
      <c r="B24" s="230">
        <v>2614141833</v>
      </c>
      <c r="C24" s="230" t="s">
        <v>2682</v>
      </c>
      <c r="D24" s="230" t="s">
        <v>108</v>
      </c>
      <c r="E24" s="230" t="s">
        <v>198</v>
      </c>
      <c r="F24" s="230" t="s">
        <v>2677</v>
      </c>
      <c r="G24" s="230">
        <v>214</v>
      </c>
      <c r="H24" s="230" t="s">
        <v>2678</v>
      </c>
      <c r="I24" s="230" t="s">
        <v>660</v>
      </c>
      <c r="J24" s="230" t="s">
        <v>2649</v>
      </c>
      <c r="K24" s="230" t="s">
        <v>2683</v>
      </c>
      <c r="L24" s="235" t="s">
        <v>449</v>
      </c>
      <c r="M24" s="235">
        <v>46116.667361111111</v>
      </c>
      <c r="N24" s="230" t="s">
        <v>2646</v>
      </c>
      <c r="O24" s="157"/>
      <c r="P24" s="56"/>
      <c r="Q24" s="144"/>
      <c r="R24" s="56"/>
      <c r="S24" s="144"/>
      <c r="T24" s="56"/>
      <c r="U24" s="144"/>
      <c r="V24" s="56"/>
      <c r="W24" s="144"/>
      <c r="X24" s="56"/>
      <c r="Y24" s="144"/>
      <c r="Z24" s="56"/>
      <c r="AA24" s="144"/>
      <c r="AB24" s="56"/>
      <c r="AC24" s="144"/>
      <c r="AD24" s="56"/>
      <c r="AE24" s="144"/>
      <c r="AF24" s="143" t="str">
        <f t="shared" si="1"/>
        <v/>
      </c>
      <c r="AG24" s="199" t="b">
        <f t="shared" si="0"/>
        <v>0</v>
      </c>
      <c r="AH24" s="144"/>
      <c r="AI24" s="151" t="s">
        <v>6</v>
      </c>
      <c r="AJ24" s="151" t="str">
        <f t="shared" si="2"/>
        <v>GUARULHOS</v>
      </c>
      <c r="AK24" s="152" t="s">
        <v>59</v>
      </c>
      <c r="AL24" s="53">
        <v>0.46103875008535844</v>
      </c>
      <c r="AM24" s="53" t="str" cm="1">
        <f t="array" ref="AM24">IF(OR(O24&lt;&gt;"", SUMPRODUCT(($AN$2:$AN$561=AN24)*($AL$2:$AL$561&lt;=AL24)) &lt;= (COUNTIF($AN$2:$AN$561,AN24)*0.5)), "SORTEADO", "-")</f>
        <v>SORTEADO</v>
      </c>
      <c r="AN24" s="53" t="str">
        <f t="shared" si="3"/>
        <v>04/04/2026</v>
      </c>
    </row>
    <row r="25" spans="1:40" ht="30" hidden="1" customHeight="1" x14ac:dyDescent="0.2">
      <c r="A25" s="230" t="s">
        <v>197</v>
      </c>
      <c r="B25" s="230">
        <v>2614318719</v>
      </c>
      <c r="C25" s="230" t="s">
        <v>2676</v>
      </c>
      <c r="D25" s="230" t="s">
        <v>111</v>
      </c>
      <c r="E25" s="230" t="s">
        <v>198</v>
      </c>
      <c r="F25" s="230" t="s">
        <v>434</v>
      </c>
      <c r="G25" s="230">
        <v>436</v>
      </c>
      <c r="H25" s="230" t="s">
        <v>2684</v>
      </c>
      <c r="I25" s="230" t="s">
        <v>436</v>
      </c>
      <c r="J25" s="230" t="s">
        <v>2670</v>
      </c>
      <c r="K25" s="230" t="s">
        <v>2685</v>
      </c>
      <c r="L25" s="235" t="s">
        <v>455</v>
      </c>
      <c r="M25" s="235">
        <v>46146.375</v>
      </c>
      <c r="N25" s="230" t="s">
        <v>2132</v>
      </c>
      <c r="O25" s="157"/>
      <c r="P25" s="56"/>
      <c r="Q25" s="144"/>
      <c r="R25" s="56"/>
      <c r="S25" s="144"/>
      <c r="T25" s="56"/>
      <c r="U25" s="144"/>
      <c r="V25" s="56"/>
      <c r="W25" s="144"/>
      <c r="X25" s="56"/>
      <c r="Y25" s="144"/>
      <c r="Z25" s="56"/>
      <c r="AA25" s="144"/>
      <c r="AB25" s="56"/>
      <c r="AC25" s="144"/>
      <c r="AD25" s="56"/>
      <c r="AE25" s="144"/>
      <c r="AF25" s="143" t="str">
        <f t="shared" si="1"/>
        <v/>
      </c>
      <c r="AG25" s="199" t="b">
        <f t="shared" si="0"/>
        <v>0</v>
      </c>
      <c r="AH25" s="144"/>
      <c r="AI25" s="151" t="s">
        <v>6</v>
      </c>
      <c r="AJ25" s="151" t="str">
        <f t="shared" si="2"/>
        <v>GUARULHOS</v>
      </c>
      <c r="AK25" s="152" t="s">
        <v>59</v>
      </c>
      <c r="AL25" s="53">
        <v>0.5097392597715632</v>
      </c>
      <c r="AM25" s="53" t="str" cm="1">
        <f t="array" ref="AM25">IF(OR(O25&lt;&gt;"", SUMPRODUCT(($AN$2:$AN$561=AN25)*($AL$2:$AL$561&lt;=AL25)) &lt;= (COUNTIF($AN$2:$AN$561,AN25)*0.5)), "SORTEADO", "-")</f>
        <v>-</v>
      </c>
      <c r="AN25" s="53" t="str">
        <f t="shared" si="3"/>
        <v>04/05/2026</v>
      </c>
    </row>
    <row r="26" spans="1:40" ht="30" hidden="1" customHeight="1" x14ac:dyDescent="0.2">
      <c r="A26" s="230" t="s">
        <v>197</v>
      </c>
      <c r="B26" s="230">
        <v>2613685207</v>
      </c>
      <c r="C26" s="230" t="s">
        <v>109</v>
      </c>
      <c r="D26" s="230" t="s">
        <v>109</v>
      </c>
      <c r="E26" s="230" t="s">
        <v>198</v>
      </c>
      <c r="F26" s="230" t="s">
        <v>230</v>
      </c>
      <c r="G26" s="230">
        <v>11</v>
      </c>
      <c r="H26" s="230"/>
      <c r="I26" s="230" t="s">
        <v>231</v>
      </c>
      <c r="J26" s="230" t="s">
        <v>109</v>
      </c>
      <c r="K26" s="237" t="s">
        <v>2686</v>
      </c>
      <c r="L26" s="235" t="s">
        <v>525</v>
      </c>
      <c r="M26" s="235">
        <v>46177.292361111111</v>
      </c>
      <c r="N26" s="230" t="s">
        <v>2132</v>
      </c>
      <c r="O26" s="157"/>
      <c r="P26" s="56"/>
      <c r="Q26" s="144"/>
      <c r="R26" s="56"/>
      <c r="S26" s="144"/>
      <c r="T26" s="56"/>
      <c r="U26" s="144"/>
      <c r="V26" s="56"/>
      <c r="W26" s="144"/>
      <c r="X26" s="56"/>
      <c r="Y26" s="144"/>
      <c r="Z26" s="56"/>
      <c r="AA26" s="144"/>
      <c r="AB26" s="56"/>
      <c r="AC26" s="144"/>
      <c r="AD26" s="56"/>
      <c r="AE26" s="144"/>
      <c r="AF26" s="143" t="str">
        <f t="shared" si="1"/>
        <v/>
      </c>
      <c r="AG26" s="199" t="b">
        <f t="shared" si="0"/>
        <v>0</v>
      </c>
      <c r="AH26" s="144"/>
      <c r="AI26" s="151" t="s">
        <v>6</v>
      </c>
      <c r="AJ26" s="151" t="str">
        <f t="shared" si="2"/>
        <v>GUARULHOS</v>
      </c>
      <c r="AK26" s="152" t="s">
        <v>59</v>
      </c>
      <c r="AL26" s="53">
        <v>0.61183129880802978</v>
      </c>
      <c r="AM26" s="53" t="str" cm="1">
        <f t="array" ref="AM26">IF(OR(O26&lt;&gt;"", SUMPRODUCT(($AN$2:$AN$561=AN26)*($AL$2:$AL$561&lt;=AL26)) &lt;= (COUNTIF($AN$2:$AN$561,AN26)*0.5)), "SORTEADO", "-")</f>
        <v>-</v>
      </c>
      <c r="AN26" s="53" t="str">
        <f t="shared" si="3"/>
        <v>04/06/2026</v>
      </c>
    </row>
    <row r="27" spans="1:40" ht="30" customHeight="1" x14ac:dyDescent="0.2">
      <c r="A27" s="230" t="s">
        <v>197</v>
      </c>
      <c r="B27" s="230">
        <v>2614318419</v>
      </c>
      <c r="C27" s="230" t="s">
        <v>120</v>
      </c>
      <c r="D27" s="230" t="s">
        <v>111</v>
      </c>
      <c r="E27" s="230" t="s">
        <v>198</v>
      </c>
      <c r="F27" s="230" t="s">
        <v>2687</v>
      </c>
      <c r="G27" s="230">
        <v>1296</v>
      </c>
      <c r="H27" s="230" t="s">
        <v>213</v>
      </c>
      <c r="I27" s="230" t="s">
        <v>247</v>
      </c>
      <c r="J27" s="230" t="s">
        <v>2688</v>
      </c>
      <c r="K27" s="230" t="s">
        <v>2689</v>
      </c>
      <c r="L27" s="235" t="s">
        <v>455</v>
      </c>
      <c r="M27" s="235">
        <v>46146.418055555558</v>
      </c>
      <c r="N27" s="230" t="s">
        <v>2646</v>
      </c>
      <c r="O27" s="157" t="s">
        <v>204</v>
      </c>
      <c r="P27" s="56"/>
      <c r="Q27" s="144" t="s">
        <v>204</v>
      </c>
      <c r="R27" s="56"/>
      <c r="S27" s="144" t="s">
        <v>61</v>
      </c>
      <c r="T27" s="56"/>
      <c r="U27" s="144" t="s">
        <v>61</v>
      </c>
      <c r="V27" s="56"/>
      <c r="W27" s="144" t="s">
        <v>61</v>
      </c>
      <c r="X27" s="56"/>
      <c r="Y27" s="144" t="s">
        <v>61</v>
      </c>
      <c r="Z27" s="56"/>
      <c r="AA27" s="144" t="s">
        <v>61</v>
      </c>
      <c r="AB27" s="56"/>
      <c r="AC27" s="144" t="s">
        <v>204</v>
      </c>
      <c r="AD27" s="56"/>
      <c r="AE27" s="144" t="s">
        <v>204</v>
      </c>
      <c r="AF27" s="143" t="str">
        <f t="shared" si="1"/>
        <v>C</v>
      </c>
      <c r="AG27" s="199" t="str">
        <f t="shared" si="0"/>
        <v>UTILIZOU O PDA CORRETAMENTE</v>
      </c>
      <c r="AH27" s="144" t="s">
        <v>204</v>
      </c>
      <c r="AI27" s="151" t="s">
        <v>6</v>
      </c>
      <c r="AJ27" s="151" t="str">
        <f t="shared" si="2"/>
        <v>GUARULHOS</v>
      </c>
      <c r="AK27" s="152" t="s">
        <v>59</v>
      </c>
      <c r="AL27" s="53">
        <v>0.14413048112509519</v>
      </c>
      <c r="AM27" s="53" t="str" cm="1">
        <f t="array" ref="AM27">IF(OR(O27&lt;&gt;"", SUMPRODUCT(($AN$2:$AN$561=AN27)*($AL$2:$AL$561&lt;=AL27)) &lt;= (COUNTIF($AN$2:$AN$561,AN27)*0.5)), "SORTEADO", "-")</f>
        <v>SORTEADO</v>
      </c>
      <c r="AN27" s="53" t="str">
        <f t="shared" si="3"/>
        <v>04/05/2026</v>
      </c>
    </row>
    <row r="28" spans="1:40" ht="30" hidden="1" customHeight="1" x14ac:dyDescent="0.2">
      <c r="A28" s="230" t="s">
        <v>197</v>
      </c>
      <c r="B28" s="230">
        <v>2610944265</v>
      </c>
      <c r="C28" s="230" t="s">
        <v>117</v>
      </c>
      <c r="D28" s="230" t="s">
        <v>109</v>
      </c>
      <c r="E28" s="230" t="s">
        <v>198</v>
      </c>
      <c r="F28" s="230" t="s">
        <v>2687</v>
      </c>
      <c r="G28" s="230">
        <v>913</v>
      </c>
      <c r="H28" s="230" t="s">
        <v>2690</v>
      </c>
      <c r="I28" s="230" t="s">
        <v>247</v>
      </c>
      <c r="J28" s="230" t="s">
        <v>117</v>
      </c>
      <c r="K28" s="230" t="s">
        <v>2691</v>
      </c>
      <c r="L28" s="235" t="s">
        <v>455</v>
      </c>
      <c r="M28" s="235">
        <v>46146.635416666664</v>
      </c>
      <c r="N28" s="230" t="s">
        <v>2646</v>
      </c>
      <c r="O28" s="157"/>
      <c r="P28" s="56"/>
      <c r="Q28" s="144"/>
      <c r="R28" s="56"/>
      <c r="S28" s="144"/>
      <c r="T28" s="56"/>
      <c r="U28" s="144"/>
      <c r="V28" s="56"/>
      <c r="W28" s="144"/>
      <c r="X28" s="56"/>
      <c r="Y28" s="144"/>
      <c r="Z28" s="56"/>
      <c r="AA28" s="144"/>
      <c r="AB28" s="56"/>
      <c r="AC28" s="144"/>
      <c r="AD28" s="56"/>
      <c r="AE28" s="144"/>
      <c r="AF28" s="143" t="str">
        <f t="shared" si="1"/>
        <v/>
      </c>
      <c r="AG28" s="199" t="b">
        <f t="shared" si="0"/>
        <v>0</v>
      </c>
      <c r="AH28" s="144"/>
      <c r="AI28" s="151" t="s">
        <v>6</v>
      </c>
      <c r="AJ28" s="151" t="str">
        <f t="shared" si="2"/>
        <v>GUARULHOS</v>
      </c>
      <c r="AK28" s="61" t="s">
        <v>59</v>
      </c>
      <c r="AL28" s="53">
        <v>0.10759701002371014</v>
      </c>
      <c r="AM28" s="53" t="str" cm="1">
        <f t="array" ref="AM28">IF(OR(O28&lt;&gt;"", SUMPRODUCT(($AN$2:$AN$561=AN28)*($AL$2:$AL$561&lt;=AL28)) &lt;= (COUNTIF($AN$2:$AN$561,AN28)*0.5)), "SORTEADO", "-")</f>
        <v>SORTEADO</v>
      </c>
      <c r="AN28" s="53" t="str">
        <f t="shared" si="3"/>
        <v>04/05/2026</v>
      </c>
    </row>
    <row r="29" spans="1:40" ht="30" hidden="1" customHeight="1" x14ac:dyDescent="0.2">
      <c r="A29" s="230" t="s">
        <v>197</v>
      </c>
      <c r="B29" s="230">
        <v>2614333724</v>
      </c>
      <c r="C29" s="230" t="s">
        <v>122</v>
      </c>
      <c r="D29" s="230" t="s">
        <v>108</v>
      </c>
      <c r="E29" s="230" t="s">
        <v>198</v>
      </c>
      <c r="F29" s="230" t="s">
        <v>1377</v>
      </c>
      <c r="G29" s="230">
        <v>60</v>
      </c>
      <c r="H29" s="230" t="s">
        <v>2692</v>
      </c>
      <c r="I29" s="230" t="s">
        <v>200</v>
      </c>
      <c r="J29" s="230" t="s">
        <v>2633</v>
      </c>
      <c r="K29" s="230" t="s">
        <v>2693</v>
      </c>
      <c r="L29" s="235" t="s">
        <v>455</v>
      </c>
      <c r="M29" s="235">
        <v>46146.379166666666</v>
      </c>
      <c r="N29" s="230" t="s">
        <v>2646</v>
      </c>
      <c r="O29" s="157"/>
      <c r="P29" s="56"/>
      <c r="Q29" s="144"/>
      <c r="R29" s="56"/>
      <c r="S29" s="144"/>
      <c r="T29" s="56"/>
      <c r="U29" s="144"/>
      <c r="V29" s="56"/>
      <c r="W29" s="144"/>
      <c r="X29" s="56"/>
      <c r="Y29" s="144"/>
      <c r="Z29" s="56"/>
      <c r="AA29" s="144"/>
      <c r="AB29" s="56"/>
      <c r="AC29" s="144"/>
      <c r="AD29" s="56"/>
      <c r="AE29" s="144"/>
      <c r="AF29" s="143" t="str">
        <f t="shared" si="1"/>
        <v/>
      </c>
      <c r="AG29" s="199" t="b">
        <f t="shared" si="0"/>
        <v>0</v>
      </c>
      <c r="AH29" s="144"/>
      <c r="AI29" s="151" t="s">
        <v>6</v>
      </c>
      <c r="AJ29" s="151" t="str">
        <f t="shared" si="2"/>
        <v>GUARULHOS</v>
      </c>
      <c r="AK29" s="61" t="s">
        <v>59</v>
      </c>
      <c r="AL29" s="53">
        <v>0.58525022291131923</v>
      </c>
      <c r="AM29" s="53" t="str" cm="1">
        <f t="array" ref="AM29">IF(OR(O29&lt;&gt;"", SUMPRODUCT(($AN$2:$AN$561=AN29)*($AL$2:$AL$561&lt;=AL29)) &lt;= (COUNTIF($AN$2:$AN$561,AN29)*0.5)), "SORTEADO", "-")</f>
        <v>-</v>
      </c>
      <c r="AN29" s="53" t="str">
        <f t="shared" si="3"/>
        <v>04/05/2026</v>
      </c>
    </row>
    <row r="30" spans="1:40" ht="30" customHeight="1" x14ac:dyDescent="0.2">
      <c r="A30" s="230" t="s">
        <v>197</v>
      </c>
      <c r="B30" s="230">
        <v>2614168094</v>
      </c>
      <c r="C30" s="230" t="s">
        <v>120</v>
      </c>
      <c r="D30" s="230" t="s">
        <v>111</v>
      </c>
      <c r="E30" s="230" t="s">
        <v>198</v>
      </c>
      <c r="F30" s="230" t="s">
        <v>2694</v>
      </c>
      <c r="G30" s="230">
        <v>138</v>
      </c>
      <c r="H30" s="230" t="s">
        <v>2695</v>
      </c>
      <c r="I30" s="230" t="s">
        <v>2696</v>
      </c>
      <c r="J30" s="230" t="s">
        <v>2637</v>
      </c>
      <c r="K30" s="230"/>
      <c r="L30" s="235" t="s">
        <v>525</v>
      </c>
      <c r="M30" s="235">
        <v>46177.42291666667</v>
      </c>
      <c r="N30" s="230" t="s">
        <v>2638</v>
      </c>
      <c r="O30" s="157" t="s">
        <v>204</v>
      </c>
      <c r="P30" s="56"/>
      <c r="Q30" s="144" t="s">
        <v>204</v>
      </c>
      <c r="R30" s="56"/>
      <c r="S30" s="144" t="s">
        <v>61</v>
      </c>
      <c r="T30" s="56"/>
      <c r="U30" s="144" t="s">
        <v>61</v>
      </c>
      <c r="V30" s="56"/>
      <c r="W30" s="144" t="s">
        <v>61</v>
      </c>
      <c r="X30" s="56"/>
      <c r="Y30" s="144" t="s">
        <v>61</v>
      </c>
      <c r="Z30" s="56"/>
      <c r="AA30" s="144" t="s">
        <v>61</v>
      </c>
      <c r="AB30" s="56"/>
      <c r="AC30" s="144" t="s">
        <v>210</v>
      </c>
      <c r="AD30" s="56" t="s">
        <v>264</v>
      </c>
      <c r="AE30" s="144" t="s">
        <v>204</v>
      </c>
      <c r="AF30" s="143" t="str">
        <f t="shared" si="1"/>
        <v>NC</v>
      </c>
      <c r="AG30" s="199" t="str">
        <f t="shared" si="0"/>
        <v>UTILIZOU O PDA CORRETAMENTE. NÃO HÁ FOTOS DE TODAS AS ETAPAS</v>
      </c>
      <c r="AH30" s="144" t="s">
        <v>204</v>
      </c>
      <c r="AI30" s="151" t="s">
        <v>6</v>
      </c>
      <c r="AJ30" s="151" t="str">
        <f t="shared" si="2"/>
        <v>GUARULHOS</v>
      </c>
      <c r="AK30" s="61" t="s">
        <v>59</v>
      </c>
      <c r="AL30" s="53">
        <v>0.34983820723790571</v>
      </c>
      <c r="AM30" s="53" t="str" cm="1">
        <f t="array" ref="AM30">IF(OR(O30&lt;&gt;"", SUMPRODUCT(($AN$2:$AN$561=AN30)*($AL$2:$AL$561&lt;=AL30)) &lt;= (COUNTIF($AN$2:$AN$561,AN30)*0.5)), "SORTEADO", "-")</f>
        <v>SORTEADO</v>
      </c>
      <c r="AN30" s="53" t="str">
        <f t="shared" si="3"/>
        <v>04/06/2026</v>
      </c>
    </row>
    <row r="31" spans="1:40" ht="30" customHeight="1" x14ac:dyDescent="0.2">
      <c r="A31" s="230" t="s">
        <v>197</v>
      </c>
      <c r="B31" s="230">
        <v>2614194668</v>
      </c>
      <c r="C31" s="230" t="s">
        <v>120</v>
      </c>
      <c r="D31" s="230" t="s">
        <v>111</v>
      </c>
      <c r="E31" s="230" t="s">
        <v>198</v>
      </c>
      <c r="F31" s="230" t="s">
        <v>2697</v>
      </c>
      <c r="G31" s="230">
        <v>234</v>
      </c>
      <c r="H31" s="230" t="s">
        <v>213</v>
      </c>
      <c r="I31" s="230" t="s">
        <v>730</v>
      </c>
      <c r="J31" s="230" t="s">
        <v>2637</v>
      </c>
      <c r="K31" s="230" t="s">
        <v>213</v>
      </c>
      <c r="L31" s="235" t="s">
        <v>525</v>
      </c>
      <c r="M31" s="235">
        <v>46177.652083333334</v>
      </c>
      <c r="N31" s="230" t="s">
        <v>2638</v>
      </c>
      <c r="O31" s="157" t="s">
        <v>204</v>
      </c>
      <c r="P31" s="56"/>
      <c r="Q31" s="144" t="s">
        <v>204</v>
      </c>
      <c r="R31" s="56"/>
      <c r="S31" s="144" t="s">
        <v>61</v>
      </c>
      <c r="T31" s="56"/>
      <c r="U31" s="144" t="s">
        <v>61</v>
      </c>
      <c r="V31" s="56"/>
      <c r="W31" s="144" t="s">
        <v>61</v>
      </c>
      <c r="X31" s="56"/>
      <c r="Y31" s="144" t="s">
        <v>61</v>
      </c>
      <c r="Z31" s="56"/>
      <c r="AA31" s="144" t="s">
        <v>61</v>
      </c>
      <c r="AB31" s="56"/>
      <c r="AC31" s="144" t="s">
        <v>210</v>
      </c>
      <c r="AD31" s="56" t="s">
        <v>264</v>
      </c>
      <c r="AE31" s="144" t="s">
        <v>204</v>
      </c>
      <c r="AF31" s="143" t="str">
        <f t="shared" si="1"/>
        <v>NC</v>
      </c>
      <c r="AG31" s="199" t="str">
        <f t="shared" si="0"/>
        <v>UTILIZOU O PDA CORRETAMENTE. NÃO HÁ FOTOS DE TODAS AS ETAPAS</v>
      </c>
      <c r="AH31" s="144" t="s">
        <v>204</v>
      </c>
      <c r="AI31" s="151" t="s">
        <v>6</v>
      </c>
      <c r="AJ31" s="151" t="str">
        <f t="shared" si="2"/>
        <v>GUARULHOS</v>
      </c>
      <c r="AK31" s="61" t="s">
        <v>59</v>
      </c>
      <c r="AL31" s="53">
        <v>0.34352146508602699</v>
      </c>
      <c r="AM31" s="53" t="str" cm="1">
        <f t="array" ref="AM31">IF(OR(O31&lt;&gt;"", SUMPRODUCT(($AN$2:$AN$561=AN31)*($AL$2:$AL$561&lt;=AL31)) &lt;= (COUNTIF($AN$2:$AN$561,AN31)*0.5)), "SORTEADO", "-")</f>
        <v>SORTEADO</v>
      </c>
      <c r="AN31" s="53" t="str">
        <f t="shared" si="3"/>
        <v>04/06/2026</v>
      </c>
    </row>
    <row r="32" spans="1:40" ht="30" customHeight="1" x14ac:dyDescent="0.2">
      <c r="A32" s="230" t="s">
        <v>197</v>
      </c>
      <c r="B32" s="230">
        <v>2614318818</v>
      </c>
      <c r="C32" s="230" t="s">
        <v>120</v>
      </c>
      <c r="D32" s="230" t="s">
        <v>111</v>
      </c>
      <c r="E32" s="230" t="s">
        <v>198</v>
      </c>
      <c r="F32" s="230" t="s">
        <v>2668</v>
      </c>
      <c r="G32" s="230">
        <v>623</v>
      </c>
      <c r="H32" s="230" t="s">
        <v>206</v>
      </c>
      <c r="I32" s="230" t="s">
        <v>466</v>
      </c>
      <c r="J32" s="230" t="s">
        <v>2637</v>
      </c>
      <c r="K32" s="230"/>
      <c r="L32" s="235" t="s">
        <v>525</v>
      </c>
      <c r="M32" s="235">
        <v>46177.478472222225</v>
      </c>
      <c r="N32" s="230" t="s">
        <v>2638</v>
      </c>
      <c r="O32" s="157"/>
      <c r="P32" s="56"/>
      <c r="Q32" s="144"/>
      <c r="R32" s="56"/>
      <c r="S32" s="144"/>
      <c r="T32" s="56"/>
      <c r="U32" s="144"/>
      <c r="V32" s="56"/>
      <c r="W32" s="144"/>
      <c r="X32" s="56"/>
      <c r="Y32" s="144"/>
      <c r="Z32" s="56"/>
      <c r="AA32" s="144"/>
      <c r="AB32" s="56"/>
      <c r="AC32" s="144"/>
      <c r="AD32" s="56"/>
      <c r="AE32" s="144"/>
      <c r="AF32" s="143" t="str">
        <f t="shared" si="1"/>
        <v/>
      </c>
      <c r="AG32" s="199" t="b">
        <f t="shared" si="0"/>
        <v>0</v>
      </c>
      <c r="AH32" s="144"/>
      <c r="AI32" s="151" t="s">
        <v>6</v>
      </c>
      <c r="AJ32" s="151" t="str">
        <f t="shared" si="2"/>
        <v>GUARULHOS</v>
      </c>
      <c r="AK32" s="61" t="s">
        <v>59</v>
      </c>
      <c r="AL32" s="53">
        <v>0.66441985068712595</v>
      </c>
      <c r="AM32" s="53" t="str" cm="1">
        <f t="array" ref="AM32">IF(OR(O32&lt;&gt;"", SUMPRODUCT(($AN$2:$AN$561=AN32)*($AL$2:$AL$561&lt;=AL32)) &lt;= (COUNTIF($AN$2:$AN$561,AN32)*0.5)), "SORTEADO", "-")</f>
        <v>-</v>
      </c>
      <c r="AN32" s="53" t="str">
        <f t="shared" si="3"/>
        <v>04/06/2026</v>
      </c>
    </row>
    <row r="33" spans="1:40" ht="30" hidden="1" customHeight="1" x14ac:dyDescent="0.2">
      <c r="A33" s="230" t="s">
        <v>197</v>
      </c>
      <c r="B33" s="230">
        <v>2613907964</v>
      </c>
      <c r="C33" s="230" t="s">
        <v>118</v>
      </c>
      <c r="D33" s="230" t="s">
        <v>109</v>
      </c>
      <c r="E33" s="230" t="s">
        <v>198</v>
      </c>
      <c r="F33" s="230" t="s">
        <v>2698</v>
      </c>
      <c r="G33" s="230">
        <v>160</v>
      </c>
      <c r="H33" s="230" t="s">
        <v>213</v>
      </c>
      <c r="I33" s="230" t="s">
        <v>775</v>
      </c>
      <c r="J33" s="230" t="s">
        <v>118</v>
      </c>
      <c r="K33" s="230" t="s">
        <v>2699</v>
      </c>
      <c r="L33" s="235" t="s">
        <v>525</v>
      </c>
      <c r="M33" s="235">
        <v>46177.62222222222</v>
      </c>
      <c r="N33" s="230" t="s">
        <v>2634</v>
      </c>
      <c r="O33" s="157"/>
      <c r="P33" s="56"/>
      <c r="Q33" s="144"/>
      <c r="R33" s="56"/>
      <c r="S33" s="144"/>
      <c r="T33" s="56"/>
      <c r="U33" s="144"/>
      <c r="V33" s="56"/>
      <c r="W33" s="144"/>
      <c r="X33" s="56"/>
      <c r="Y33" s="144"/>
      <c r="Z33" s="56"/>
      <c r="AA33" s="144"/>
      <c r="AB33" s="56"/>
      <c r="AC33" s="144"/>
      <c r="AD33" s="144"/>
      <c r="AE33" s="144"/>
      <c r="AF33" s="143" t="str">
        <f t="shared" si="1"/>
        <v/>
      </c>
      <c r="AG33" s="199" t="b">
        <f t="shared" si="0"/>
        <v>0</v>
      </c>
      <c r="AH33" s="144"/>
      <c r="AI33" s="151" t="s">
        <v>6</v>
      </c>
      <c r="AJ33" s="151" t="str">
        <f t="shared" si="2"/>
        <v>GUARULHOS</v>
      </c>
      <c r="AK33" s="61" t="s">
        <v>59</v>
      </c>
      <c r="AL33" s="53">
        <v>0.28814487575937275</v>
      </c>
      <c r="AM33" s="53" t="str" cm="1">
        <f t="array" ref="AM33">IF(OR(O33&lt;&gt;"", SUMPRODUCT(($AN$2:$AN$561=AN33)*($AL$2:$AL$561&lt;=AL33)) &lt;= (COUNTIF($AN$2:$AN$561,AN33)*0.5)), "SORTEADO", "-")</f>
        <v>-</v>
      </c>
      <c r="AN33" s="53" t="str">
        <f t="shared" si="3"/>
        <v>04/06/2026</v>
      </c>
    </row>
    <row r="34" spans="1:40" ht="30" hidden="1" customHeight="1" x14ac:dyDescent="0.2">
      <c r="A34" s="230" t="s">
        <v>197</v>
      </c>
      <c r="B34" s="230">
        <v>2613593519</v>
      </c>
      <c r="C34" s="230" t="s">
        <v>118</v>
      </c>
      <c r="D34" s="230" t="s">
        <v>109</v>
      </c>
      <c r="E34" s="230" t="s">
        <v>198</v>
      </c>
      <c r="F34" s="230" t="s">
        <v>771</v>
      </c>
      <c r="G34" s="230">
        <v>512</v>
      </c>
      <c r="H34" s="230" t="s">
        <v>2700</v>
      </c>
      <c r="I34" s="230" t="s">
        <v>772</v>
      </c>
      <c r="J34" s="230" t="s">
        <v>118</v>
      </c>
      <c r="K34" s="230"/>
      <c r="L34" s="235" t="s">
        <v>525</v>
      </c>
      <c r="M34" s="235">
        <v>46177.463888888888</v>
      </c>
      <c r="N34" s="230" t="s">
        <v>2646</v>
      </c>
      <c r="O34" s="157"/>
      <c r="P34" s="56"/>
      <c r="Q34" s="144"/>
      <c r="R34" s="56"/>
      <c r="S34" s="144"/>
      <c r="T34" s="56"/>
      <c r="U34" s="144"/>
      <c r="V34" s="56"/>
      <c r="W34" s="144"/>
      <c r="X34" s="56"/>
      <c r="Y34" s="144"/>
      <c r="Z34" s="56"/>
      <c r="AA34" s="144"/>
      <c r="AB34" s="56"/>
      <c r="AC34" s="144"/>
      <c r="AD34" s="56"/>
      <c r="AE34" s="144"/>
      <c r="AF34" s="143" t="str">
        <f t="shared" si="1"/>
        <v/>
      </c>
      <c r="AG34" s="199" t="b">
        <f t="shared" si="0"/>
        <v>0</v>
      </c>
      <c r="AH34" s="144"/>
      <c r="AI34" s="151" t="s">
        <v>6</v>
      </c>
      <c r="AJ34" s="151" t="str">
        <f t="shared" si="2"/>
        <v>GUARULHOS</v>
      </c>
      <c r="AK34" s="61" t="s">
        <v>59</v>
      </c>
      <c r="AL34" s="53">
        <v>0.74154611054176467</v>
      </c>
      <c r="AM34" s="53" t="str" cm="1">
        <f t="array" ref="AM34">IF(OR(O34&lt;&gt;"", SUMPRODUCT(($AN$2:$AN$561=AN34)*($AL$2:$AL$561&lt;=AL34)) &lt;= (COUNTIF($AN$2:$AN$561,AN34)*0.5)), "SORTEADO", "-")</f>
        <v>-</v>
      </c>
      <c r="AN34" s="53" t="str">
        <f t="shared" si="3"/>
        <v>04/06/2026</v>
      </c>
    </row>
    <row r="35" spans="1:40" ht="30" customHeight="1" x14ac:dyDescent="0.2">
      <c r="A35" s="230" t="s">
        <v>197</v>
      </c>
      <c r="B35" s="230">
        <v>2614436718</v>
      </c>
      <c r="C35" s="230" t="s">
        <v>120</v>
      </c>
      <c r="D35" s="230" t="s">
        <v>111</v>
      </c>
      <c r="E35" s="230" t="s">
        <v>198</v>
      </c>
      <c r="F35" s="230" t="s">
        <v>1352</v>
      </c>
      <c r="G35" s="230">
        <v>1235</v>
      </c>
      <c r="H35" s="230" t="s">
        <v>2653</v>
      </c>
      <c r="I35" s="230" t="s">
        <v>622</v>
      </c>
      <c r="J35" s="230" t="s">
        <v>2637</v>
      </c>
      <c r="K35" s="230" t="s">
        <v>213</v>
      </c>
      <c r="L35" s="235" t="s">
        <v>525</v>
      </c>
      <c r="M35" s="235">
        <v>46177.465277777781</v>
      </c>
      <c r="N35" s="230" t="s">
        <v>2634</v>
      </c>
      <c r="O35" s="157"/>
      <c r="P35" s="56"/>
      <c r="Q35" s="144"/>
      <c r="R35" s="56"/>
      <c r="S35" s="144"/>
      <c r="T35" s="56"/>
      <c r="U35" s="144"/>
      <c r="V35" s="56"/>
      <c r="W35" s="144"/>
      <c r="X35" s="56"/>
      <c r="Y35" s="144"/>
      <c r="Z35" s="56"/>
      <c r="AA35" s="144"/>
      <c r="AB35" s="56"/>
      <c r="AC35" s="144"/>
      <c r="AD35" s="56"/>
      <c r="AE35" s="144"/>
      <c r="AF35" s="143" t="str">
        <f t="shared" si="1"/>
        <v/>
      </c>
      <c r="AG35" s="199" t="b">
        <f t="shared" si="0"/>
        <v>0</v>
      </c>
      <c r="AH35" s="144"/>
      <c r="AI35" s="151" t="s">
        <v>6</v>
      </c>
      <c r="AJ35" s="151" t="str">
        <f t="shared" si="2"/>
        <v>GUARULHOS</v>
      </c>
      <c r="AK35" s="61" t="s">
        <v>59</v>
      </c>
      <c r="AL35" s="53">
        <v>0.17032218501291929</v>
      </c>
      <c r="AM35" s="53" t="str" cm="1">
        <f t="array" ref="AM35">IF(OR(O35&lt;&gt;"", SUMPRODUCT(($AN$2:$AN$561=AN35)*($AL$2:$AL$561&lt;=AL35)) &lt;= (COUNTIF($AN$2:$AN$561,AN35)*0.5)), "SORTEADO", "-")</f>
        <v>-</v>
      </c>
      <c r="AN35" s="53" t="str">
        <f t="shared" si="3"/>
        <v>04/06/2026</v>
      </c>
    </row>
    <row r="36" spans="1:40" ht="30" hidden="1" customHeight="1" x14ac:dyDescent="0.2">
      <c r="A36" s="230" t="s">
        <v>197</v>
      </c>
      <c r="B36" s="230">
        <v>2613698947</v>
      </c>
      <c r="C36" s="230" t="s">
        <v>2701</v>
      </c>
      <c r="D36" s="230" t="s">
        <v>110</v>
      </c>
      <c r="E36" s="230" t="s">
        <v>198</v>
      </c>
      <c r="F36" s="230" t="s">
        <v>358</v>
      </c>
      <c r="G36" s="230">
        <v>1062</v>
      </c>
      <c r="H36" s="230" t="s">
        <v>2702</v>
      </c>
      <c r="I36" s="230" t="s">
        <v>262</v>
      </c>
      <c r="J36" s="230" t="s">
        <v>2703</v>
      </c>
      <c r="K36" s="237" t="s">
        <v>2704</v>
      </c>
      <c r="L36" s="235" t="s">
        <v>525</v>
      </c>
      <c r="M36" s="235">
        <v>46177.570138888892</v>
      </c>
      <c r="N36" s="230" t="s">
        <v>2705</v>
      </c>
      <c r="O36" s="157" t="s">
        <v>61</v>
      </c>
      <c r="P36" s="56"/>
      <c r="Q36" s="144" t="s">
        <v>61</v>
      </c>
      <c r="R36" s="56"/>
      <c r="S36" s="144" t="s">
        <v>61</v>
      </c>
      <c r="T36" s="56"/>
      <c r="U36" s="144" t="s">
        <v>61</v>
      </c>
      <c r="V36" s="56"/>
      <c r="W36" s="144" t="s">
        <v>61</v>
      </c>
      <c r="X36" s="56"/>
      <c r="Y36" s="144" t="s">
        <v>61</v>
      </c>
      <c r="Z36" s="56"/>
      <c r="AA36" s="144" t="s">
        <v>61</v>
      </c>
      <c r="AB36" s="56"/>
      <c r="AC36" s="144" t="s">
        <v>61</v>
      </c>
      <c r="AD36" s="56"/>
      <c r="AE36" s="144" t="s">
        <v>61</v>
      </c>
      <c r="AF36" s="143" t="str">
        <f t="shared" si="1"/>
        <v>NA</v>
      </c>
      <c r="AG36" s="199" t="str">
        <f t="shared" si="0"/>
        <v>NÃO AVALIADO POR FALHA DE SINCRONISMO</v>
      </c>
      <c r="AH36" s="144" t="s">
        <v>204</v>
      </c>
      <c r="AI36" s="151" t="s">
        <v>6</v>
      </c>
      <c r="AJ36" s="151" t="str">
        <f t="shared" si="2"/>
        <v>GUARULHOS</v>
      </c>
      <c r="AK36" s="61" t="s">
        <v>59</v>
      </c>
      <c r="AL36" s="53">
        <v>-7.0000000000000001E-3</v>
      </c>
      <c r="AM36" s="53" t="str" cm="1">
        <f t="array" ref="AM36">IF(OR(O36&lt;&gt;"", SUMPRODUCT(($AN$2:$AN$561=AN36)*($AL$2:$AL$561&lt;=AL36)) &lt;= (COUNTIF($AN$2:$AN$561,AN36)*0.5)), "SORTEADO", "-")</f>
        <v>SORTEADO</v>
      </c>
      <c r="AN36" s="53" t="str">
        <f t="shared" si="3"/>
        <v>04/06/2026</v>
      </c>
    </row>
    <row r="37" spans="1:40" ht="30" hidden="1" customHeight="1" x14ac:dyDescent="0.2">
      <c r="A37" s="230" t="s">
        <v>197</v>
      </c>
      <c r="B37" s="230">
        <v>2613698470</v>
      </c>
      <c r="C37" s="230" t="s">
        <v>2701</v>
      </c>
      <c r="D37" s="230" t="s">
        <v>110</v>
      </c>
      <c r="E37" s="230" t="s">
        <v>198</v>
      </c>
      <c r="F37" s="230" t="s">
        <v>261</v>
      </c>
      <c r="G37" s="230">
        <v>212</v>
      </c>
      <c r="H37" s="230"/>
      <c r="I37" s="230" t="s">
        <v>262</v>
      </c>
      <c r="J37" s="230" t="s">
        <v>2703</v>
      </c>
      <c r="K37" s="237" t="s">
        <v>2706</v>
      </c>
      <c r="L37" s="235" t="s">
        <v>525</v>
      </c>
      <c r="M37" s="235">
        <v>46177.582638888889</v>
      </c>
      <c r="N37" s="230" t="s">
        <v>2707</v>
      </c>
      <c r="O37" s="157" t="s">
        <v>61</v>
      </c>
      <c r="P37" s="56"/>
      <c r="Q37" s="144" t="s">
        <v>61</v>
      </c>
      <c r="R37" s="56"/>
      <c r="S37" s="144" t="s">
        <v>61</v>
      </c>
      <c r="T37" s="56"/>
      <c r="U37" s="144" t="s">
        <v>61</v>
      </c>
      <c r="V37" s="56"/>
      <c r="W37" s="144" t="s">
        <v>61</v>
      </c>
      <c r="X37" s="56"/>
      <c r="Y37" s="144" t="s">
        <v>61</v>
      </c>
      <c r="Z37" s="56"/>
      <c r="AA37" s="144" t="s">
        <v>61</v>
      </c>
      <c r="AB37" s="56"/>
      <c r="AC37" s="144" t="s">
        <v>61</v>
      </c>
      <c r="AD37" s="56"/>
      <c r="AE37" s="144" t="s">
        <v>61</v>
      </c>
      <c r="AF37" s="143" t="str">
        <f t="shared" si="1"/>
        <v>NA</v>
      </c>
      <c r="AG37" s="199" t="str">
        <f t="shared" si="0"/>
        <v>NÃO AVALIADO POR FALHA DE SINCRONISMO</v>
      </c>
      <c r="AH37" s="144" t="s">
        <v>204</v>
      </c>
      <c r="AI37" s="151" t="s">
        <v>6</v>
      </c>
      <c r="AJ37" s="151" t="str">
        <f t="shared" si="2"/>
        <v>GUARULHOS</v>
      </c>
      <c r="AK37" s="61" t="s">
        <v>59</v>
      </c>
      <c r="AL37" s="53">
        <v>-7.1999999999999998E-3</v>
      </c>
      <c r="AM37" s="53" t="str" cm="1">
        <f t="array" ref="AM37">IF(OR(O37&lt;&gt;"", SUMPRODUCT(($AN$2:$AN$561=AN37)*($AL$2:$AL$561&lt;=AL37)) &lt;= (COUNTIF($AN$2:$AN$561,AN37)*0.5)), "SORTEADO", "-")</f>
        <v>SORTEADO</v>
      </c>
      <c r="AN37" s="53" t="str">
        <f t="shared" si="3"/>
        <v>04/06/2026</v>
      </c>
    </row>
    <row r="38" spans="1:40" ht="30" hidden="1" customHeight="1" x14ac:dyDescent="0.2">
      <c r="A38" s="230" t="s">
        <v>197</v>
      </c>
      <c r="B38" s="230">
        <v>2613699010</v>
      </c>
      <c r="C38" s="230" t="s">
        <v>2701</v>
      </c>
      <c r="D38" s="230" t="s">
        <v>110</v>
      </c>
      <c r="E38" s="230" t="s">
        <v>198</v>
      </c>
      <c r="F38" s="230" t="s">
        <v>261</v>
      </c>
      <c r="G38" s="230">
        <v>240</v>
      </c>
      <c r="H38" s="230" t="s">
        <v>2708</v>
      </c>
      <c r="I38" s="230" t="s">
        <v>262</v>
      </c>
      <c r="J38" s="230" t="s">
        <v>2703</v>
      </c>
      <c r="K38" s="237" t="s">
        <v>2709</v>
      </c>
      <c r="L38" s="235" t="s">
        <v>525</v>
      </c>
      <c r="M38" s="235">
        <v>46177.584722222222</v>
      </c>
      <c r="N38" s="230" t="s">
        <v>2707</v>
      </c>
      <c r="O38" s="157" t="s">
        <v>61</v>
      </c>
      <c r="P38" s="56"/>
      <c r="Q38" s="144" t="s">
        <v>61</v>
      </c>
      <c r="R38" s="56"/>
      <c r="S38" s="144" t="s">
        <v>61</v>
      </c>
      <c r="T38" s="56"/>
      <c r="U38" s="144" t="s">
        <v>61</v>
      </c>
      <c r="V38" s="56"/>
      <c r="W38" s="144" t="s">
        <v>61</v>
      </c>
      <c r="X38" s="56"/>
      <c r="Y38" s="144" t="s">
        <v>61</v>
      </c>
      <c r="Z38" s="56"/>
      <c r="AA38" s="144" t="s">
        <v>61</v>
      </c>
      <c r="AB38" s="56"/>
      <c r="AC38" s="144" t="s">
        <v>61</v>
      </c>
      <c r="AD38" s="56"/>
      <c r="AE38" s="144" t="s">
        <v>61</v>
      </c>
      <c r="AF38" s="143" t="str">
        <f t="shared" si="1"/>
        <v>NA</v>
      </c>
      <c r="AG38" s="199" t="str">
        <f t="shared" si="0"/>
        <v>NÃO AVALIADO POR FALHA DE SINCRONISMO</v>
      </c>
      <c r="AH38" s="144" t="s">
        <v>204</v>
      </c>
      <c r="AI38" s="151" t="s">
        <v>6</v>
      </c>
      <c r="AJ38" s="151" t="str">
        <f t="shared" si="2"/>
        <v>GUARULHOS</v>
      </c>
      <c r="AK38" s="61" t="s">
        <v>59</v>
      </c>
      <c r="AL38" s="53">
        <v>-7.4000000000000003E-3</v>
      </c>
      <c r="AM38" s="53" t="str" cm="1">
        <f t="array" ref="AM38">IF(OR(O38&lt;&gt;"", SUMPRODUCT(($AN$2:$AN$561=AN38)*($AL$2:$AL$561&lt;=AL38)) &lt;= (COUNTIF($AN$2:$AN$561,AN38)*0.5)), "SORTEADO", "-")</f>
        <v>SORTEADO</v>
      </c>
      <c r="AN38" s="53" t="str">
        <f t="shared" si="3"/>
        <v>04/06/2026</v>
      </c>
    </row>
    <row r="39" spans="1:40" ht="30" hidden="1" customHeight="1" x14ac:dyDescent="0.2">
      <c r="A39" s="230" t="s">
        <v>197</v>
      </c>
      <c r="B39" s="230">
        <v>2613727920</v>
      </c>
      <c r="C39" s="230" t="s">
        <v>2701</v>
      </c>
      <c r="D39" s="230" t="s">
        <v>110</v>
      </c>
      <c r="E39" s="230" t="s">
        <v>198</v>
      </c>
      <c r="F39" s="230" t="s">
        <v>261</v>
      </c>
      <c r="G39" s="230">
        <v>329</v>
      </c>
      <c r="H39" s="230" t="s">
        <v>2710</v>
      </c>
      <c r="I39" s="230" t="s">
        <v>262</v>
      </c>
      <c r="J39" s="230" t="s">
        <v>2703</v>
      </c>
      <c r="K39" s="237" t="s">
        <v>2709</v>
      </c>
      <c r="L39" s="235" t="s">
        <v>525</v>
      </c>
      <c r="M39" s="235">
        <v>46177.595138888886</v>
      </c>
      <c r="N39" s="230" t="s">
        <v>2707</v>
      </c>
      <c r="O39" s="157" t="s">
        <v>61</v>
      </c>
      <c r="P39" s="56"/>
      <c r="Q39" s="144" t="s">
        <v>61</v>
      </c>
      <c r="R39" s="56"/>
      <c r="S39" s="144" t="s">
        <v>61</v>
      </c>
      <c r="T39" s="56"/>
      <c r="U39" s="144" t="s">
        <v>61</v>
      </c>
      <c r="V39" s="56"/>
      <c r="W39" s="144" t="s">
        <v>61</v>
      </c>
      <c r="X39" s="56"/>
      <c r="Y39" s="144" t="s">
        <v>61</v>
      </c>
      <c r="Z39" s="56"/>
      <c r="AA39" s="144" t="s">
        <v>61</v>
      </c>
      <c r="AB39" s="56"/>
      <c r="AC39" s="144" t="s">
        <v>61</v>
      </c>
      <c r="AD39" s="56"/>
      <c r="AE39" s="144" t="s">
        <v>61</v>
      </c>
      <c r="AF39" s="143" t="str">
        <f t="shared" si="1"/>
        <v>NA</v>
      </c>
      <c r="AG39" s="199" t="str">
        <f t="shared" si="0"/>
        <v>NÃO AVALIADO POR FALHA DE SINCRONISMO</v>
      </c>
      <c r="AH39" s="144" t="s">
        <v>204</v>
      </c>
      <c r="AI39" s="151" t="s">
        <v>6</v>
      </c>
      <c r="AJ39" s="151" t="str">
        <f t="shared" si="2"/>
        <v>GUARULHOS</v>
      </c>
      <c r="AK39" s="61" t="s">
        <v>59</v>
      </c>
      <c r="AL39" s="53">
        <v>-7.6E-3</v>
      </c>
      <c r="AM39" s="53" t="str" cm="1">
        <f t="array" ref="AM39">IF(OR(O39&lt;&gt;"", SUMPRODUCT(($AN$2:$AN$561=AN39)*($AL$2:$AL$561&lt;=AL39)) &lt;= (COUNTIF($AN$2:$AN$561,AN39)*0.5)), "SORTEADO", "-")</f>
        <v>SORTEADO</v>
      </c>
      <c r="AN39" s="53" t="str">
        <f t="shared" si="3"/>
        <v>04/06/2026</v>
      </c>
    </row>
    <row r="40" spans="1:40" ht="30" hidden="1" customHeight="1" x14ac:dyDescent="0.2">
      <c r="A40" s="230" t="s">
        <v>197</v>
      </c>
      <c r="B40" s="230">
        <v>2613727834</v>
      </c>
      <c r="C40" s="230" t="s">
        <v>2701</v>
      </c>
      <c r="D40" s="230" t="s">
        <v>110</v>
      </c>
      <c r="E40" s="230" t="s">
        <v>198</v>
      </c>
      <c r="F40" s="230" t="s">
        <v>261</v>
      </c>
      <c r="G40" s="230">
        <v>264</v>
      </c>
      <c r="H40" s="230" t="s">
        <v>2711</v>
      </c>
      <c r="I40" s="230" t="s">
        <v>262</v>
      </c>
      <c r="J40" s="230" t="s">
        <v>2703</v>
      </c>
      <c r="K40" s="237" t="s">
        <v>2709</v>
      </c>
      <c r="L40" s="235" t="s">
        <v>525</v>
      </c>
      <c r="M40" s="235">
        <v>46177.590277777781</v>
      </c>
      <c r="N40" s="230" t="s">
        <v>2707</v>
      </c>
      <c r="O40" s="157" t="s">
        <v>61</v>
      </c>
      <c r="P40" s="56"/>
      <c r="Q40" s="144" t="s">
        <v>61</v>
      </c>
      <c r="R40" s="56"/>
      <c r="S40" s="144" t="s">
        <v>61</v>
      </c>
      <c r="T40" s="56"/>
      <c r="U40" s="144" t="s">
        <v>61</v>
      </c>
      <c r="V40" s="56"/>
      <c r="W40" s="144" t="s">
        <v>61</v>
      </c>
      <c r="X40" s="56"/>
      <c r="Y40" s="144" t="s">
        <v>61</v>
      </c>
      <c r="Z40" s="56"/>
      <c r="AA40" s="144" t="s">
        <v>61</v>
      </c>
      <c r="AB40" s="56"/>
      <c r="AC40" s="144" t="s">
        <v>61</v>
      </c>
      <c r="AD40" s="56"/>
      <c r="AE40" s="144" t="s">
        <v>61</v>
      </c>
      <c r="AF40" s="143" t="str">
        <f t="shared" si="1"/>
        <v>NA</v>
      </c>
      <c r="AG40" s="199" t="str">
        <f t="shared" si="0"/>
        <v>NÃO AVALIADO POR FALHA DE SINCRONISMO</v>
      </c>
      <c r="AH40" s="144" t="s">
        <v>204</v>
      </c>
      <c r="AI40" s="151" t="s">
        <v>6</v>
      </c>
      <c r="AJ40" s="151" t="str">
        <f t="shared" si="2"/>
        <v>GUARULHOS</v>
      </c>
      <c r="AK40" s="61" t="s">
        <v>59</v>
      </c>
      <c r="AL40" s="53">
        <v>-7.7999999999999996E-3</v>
      </c>
      <c r="AM40" s="53" t="str" cm="1">
        <f t="array" ref="AM40">IF(OR(O40&lt;&gt;"", SUMPRODUCT(($AN$2:$AN$561=AN40)*($AL$2:$AL$561&lt;=AL40)) &lt;= (COUNTIF($AN$2:$AN$561,AN40)*0.5)), "SORTEADO", "-")</f>
        <v>SORTEADO</v>
      </c>
      <c r="AN40" s="53" t="str">
        <f t="shared" si="3"/>
        <v>04/06/2026</v>
      </c>
    </row>
    <row r="41" spans="1:40" ht="30" hidden="1" customHeight="1" x14ac:dyDescent="0.2">
      <c r="A41" s="230" t="s">
        <v>197</v>
      </c>
      <c r="B41" s="230">
        <v>2613699300</v>
      </c>
      <c r="C41" s="230" t="s">
        <v>2701</v>
      </c>
      <c r="D41" s="230" t="s">
        <v>110</v>
      </c>
      <c r="E41" s="230" t="s">
        <v>198</v>
      </c>
      <c r="F41" s="230" t="s">
        <v>261</v>
      </c>
      <c r="G41" s="230">
        <v>229</v>
      </c>
      <c r="H41" s="230" t="s">
        <v>2712</v>
      </c>
      <c r="I41" s="230" t="s">
        <v>262</v>
      </c>
      <c r="J41" s="230" t="s">
        <v>2703</v>
      </c>
      <c r="K41" s="237" t="s">
        <v>2709</v>
      </c>
      <c r="L41" s="235" t="s">
        <v>525</v>
      </c>
      <c r="M41" s="235">
        <v>46177.586805555555</v>
      </c>
      <c r="N41" s="230" t="s">
        <v>2707</v>
      </c>
      <c r="O41" s="157" t="s">
        <v>61</v>
      </c>
      <c r="P41" s="56"/>
      <c r="Q41" s="144" t="s">
        <v>61</v>
      </c>
      <c r="R41" s="56"/>
      <c r="S41" s="144" t="s">
        <v>61</v>
      </c>
      <c r="T41" s="56"/>
      <c r="U41" s="144" t="s">
        <v>61</v>
      </c>
      <c r="V41" s="56"/>
      <c r="W41" s="144" t="s">
        <v>61</v>
      </c>
      <c r="X41" s="56"/>
      <c r="Y41" s="144" t="s">
        <v>61</v>
      </c>
      <c r="Z41" s="56"/>
      <c r="AA41" s="144" t="s">
        <v>61</v>
      </c>
      <c r="AB41" s="56"/>
      <c r="AC41" s="144" t="s">
        <v>61</v>
      </c>
      <c r="AD41" s="56"/>
      <c r="AE41" s="144" t="s">
        <v>61</v>
      </c>
      <c r="AF41" s="143" t="str">
        <f t="shared" si="1"/>
        <v>NA</v>
      </c>
      <c r="AG41" s="199" t="str">
        <f t="shared" si="0"/>
        <v>NÃO AVALIADO POR FALHA DE SINCRONISMO</v>
      </c>
      <c r="AH41" s="144" t="s">
        <v>204</v>
      </c>
      <c r="AI41" s="151" t="s">
        <v>6</v>
      </c>
      <c r="AJ41" s="151" t="str">
        <f t="shared" si="2"/>
        <v>GUARULHOS</v>
      </c>
      <c r="AK41" s="61" t="s">
        <v>59</v>
      </c>
      <c r="AL41" s="53">
        <v>-8.0000000000000002E-3</v>
      </c>
      <c r="AM41" s="53" t="str" cm="1">
        <f t="array" ref="AM41">IF(OR(O41&lt;&gt;"", SUMPRODUCT(($AN$2:$AN$561=AN41)*($AL$2:$AL$561&lt;=AL41)) &lt;= (COUNTIF($AN$2:$AN$561,AN41)*0.5)), "SORTEADO", "-")</f>
        <v>SORTEADO</v>
      </c>
      <c r="AN41" s="53" t="str">
        <f t="shared" si="3"/>
        <v>04/06/2026</v>
      </c>
    </row>
    <row r="42" spans="1:40" ht="30" hidden="1" customHeight="1" x14ac:dyDescent="0.2">
      <c r="A42" s="230" t="s">
        <v>197</v>
      </c>
      <c r="B42" s="230">
        <v>2613726606</v>
      </c>
      <c r="C42" s="230" t="s">
        <v>2701</v>
      </c>
      <c r="D42" s="230" t="s">
        <v>110</v>
      </c>
      <c r="E42" s="230" t="s">
        <v>198</v>
      </c>
      <c r="F42" s="230" t="s">
        <v>308</v>
      </c>
      <c r="G42" s="230">
        <v>355</v>
      </c>
      <c r="H42" s="230" t="s">
        <v>2713</v>
      </c>
      <c r="I42" s="230" t="s">
        <v>262</v>
      </c>
      <c r="J42" s="230" t="s">
        <v>2703</v>
      </c>
      <c r="K42" s="237" t="s">
        <v>2714</v>
      </c>
      <c r="L42" s="235" t="s">
        <v>525</v>
      </c>
      <c r="M42" s="235">
        <v>46177.57708333333</v>
      </c>
      <c r="N42" s="230" t="s">
        <v>2707</v>
      </c>
      <c r="O42" s="157" t="s">
        <v>61</v>
      </c>
      <c r="P42" s="56"/>
      <c r="Q42" s="144" t="s">
        <v>61</v>
      </c>
      <c r="R42" s="56"/>
      <c r="S42" s="144" t="s">
        <v>61</v>
      </c>
      <c r="T42" s="56"/>
      <c r="U42" s="144" t="s">
        <v>61</v>
      </c>
      <c r="V42" s="56"/>
      <c r="W42" s="144" t="s">
        <v>61</v>
      </c>
      <c r="X42" s="56"/>
      <c r="Y42" s="144" t="s">
        <v>61</v>
      </c>
      <c r="Z42" s="56"/>
      <c r="AA42" s="144" t="s">
        <v>61</v>
      </c>
      <c r="AB42" s="56"/>
      <c r="AC42" s="144" t="s">
        <v>61</v>
      </c>
      <c r="AD42" s="56"/>
      <c r="AE42" s="144" t="s">
        <v>61</v>
      </c>
      <c r="AF42" s="143" t="str">
        <f t="shared" si="1"/>
        <v>NA</v>
      </c>
      <c r="AG42" s="199" t="str">
        <f t="shared" si="0"/>
        <v>NÃO AVALIADO POR FALHA DE SINCRONISMO</v>
      </c>
      <c r="AH42" s="144" t="s">
        <v>204</v>
      </c>
      <c r="AI42" s="151" t="s">
        <v>6</v>
      </c>
      <c r="AJ42" s="151" t="str">
        <f t="shared" si="2"/>
        <v>GUARULHOS</v>
      </c>
      <c r="AK42" s="61" t="s">
        <v>59</v>
      </c>
      <c r="AL42" s="53">
        <v>-8.2000000000000007E-3</v>
      </c>
      <c r="AM42" s="53" t="str" cm="1">
        <f t="array" ref="AM42">IF(OR(O42&lt;&gt;"", SUMPRODUCT(($AN$2:$AN$561=AN42)*($AL$2:$AL$561&lt;=AL42)) &lt;= (COUNTIF($AN$2:$AN$561,AN42)*0.5)), "SORTEADO", "-")</f>
        <v>SORTEADO</v>
      </c>
      <c r="AN42" s="53" t="str">
        <f t="shared" si="3"/>
        <v>04/06/2026</v>
      </c>
    </row>
    <row r="43" spans="1:40" ht="30" hidden="1" customHeight="1" x14ac:dyDescent="0.2">
      <c r="A43" s="230" t="s">
        <v>197</v>
      </c>
      <c r="B43" s="230">
        <v>2613699185</v>
      </c>
      <c r="C43" s="230" t="s">
        <v>2701</v>
      </c>
      <c r="D43" s="230" t="s">
        <v>110</v>
      </c>
      <c r="E43" s="230" t="s">
        <v>198</v>
      </c>
      <c r="F43" s="230" t="s">
        <v>261</v>
      </c>
      <c r="G43" s="230">
        <v>223</v>
      </c>
      <c r="H43" s="230"/>
      <c r="I43" s="230" t="s">
        <v>262</v>
      </c>
      <c r="J43" s="230" t="s">
        <v>2703</v>
      </c>
      <c r="K43" s="237" t="s">
        <v>2709</v>
      </c>
      <c r="L43" s="235" t="s">
        <v>525</v>
      </c>
      <c r="M43" s="235">
        <v>46177.585416666669</v>
      </c>
      <c r="N43" s="230" t="s">
        <v>2707</v>
      </c>
      <c r="O43" s="157" t="s">
        <v>61</v>
      </c>
      <c r="P43" s="56"/>
      <c r="Q43" s="144" t="s">
        <v>61</v>
      </c>
      <c r="R43" s="56"/>
      <c r="S43" s="144" t="s">
        <v>61</v>
      </c>
      <c r="T43" s="56"/>
      <c r="U43" s="144" t="s">
        <v>61</v>
      </c>
      <c r="V43" s="56"/>
      <c r="W43" s="144" t="s">
        <v>61</v>
      </c>
      <c r="X43" s="56"/>
      <c r="Y43" s="144" t="s">
        <v>61</v>
      </c>
      <c r="Z43" s="56"/>
      <c r="AA43" s="144" t="s">
        <v>61</v>
      </c>
      <c r="AB43" s="56"/>
      <c r="AC43" s="144" t="s">
        <v>61</v>
      </c>
      <c r="AD43" s="56"/>
      <c r="AE43" s="144" t="s">
        <v>61</v>
      </c>
      <c r="AF43" s="143" t="str">
        <f t="shared" si="1"/>
        <v>NA</v>
      </c>
      <c r="AG43" s="199" t="str">
        <f t="shared" si="0"/>
        <v>NÃO AVALIADO POR FALHA DE SINCRONISMO</v>
      </c>
      <c r="AH43" s="144" t="s">
        <v>204</v>
      </c>
      <c r="AI43" s="151" t="s">
        <v>6</v>
      </c>
      <c r="AJ43" s="151" t="str">
        <f t="shared" si="2"/>
        <v>GUARULHOS</v>
      </c>
      <c r="AK43" s="61" t="s">
        <v>59</v>
      </c>
      <c r="AL43" s="53">
        <v>-8.3999999999999995E-3</v>
      </c>
      <c r="AM43" s="53" t="str" cm="1">
        <f t="array" ref="AM43">IF(OR(O43&lt;&gt;"", SUMPRODUCT(($AN$2:$AN$561=AN43)*($AL$2:$AL$561&lt;=AL43)) &lt;= (COUNTIF($AN$2:$AN$561,AN43)*0.5)), "SORTEADO", "-")</f>
        <v>SORTEADO</v>
      </c>
      <c r="AN43" s="53" t="str">
        <f t="shared" si="3"/>
        <v>04/06/2026</v>
      </c>
    </row>
    <row r="44" spans="1:40" ht="30" hidden="1" customHeight="1" x14ac:dyDescent="0.2">
      <c r="A44" s="230" t="s">
        <v>197</v>
      </c>
      <c r="B44" s="230">
        <v>2613726079</v>
      </c>
      <c r="C44" s="230" t="s">
        <v>2701</v>
      </c>
      <c r="D44" s="230" t="s">
        <v>110</v>
      </c>
      <c r="E44" s="230" t="s">
        <v>198</v>
      </c>
      <c r="F44" s="230" t="s">
        <v>404</v>
      </c>
      <c r="G44" s="230">
        <v>532</v>
      </c>
      <c r="H44" s="230" t="s">
        <v>213</v>
      </c>
      <c r="I44" s="230" t="s">
        <v>262</v>
      </c>
      <c r="J44" s="230" t="s">
        <v>2703</v>
      </c>
      <c r="K44" s="237" t="s">
        <v>2715</v>
      </c>
      <c r="L44" s="235" t="s">
        <v>525</v>
      </c>
      <c r="M44" s="235">
        <v>46177.57916666667</v>
      </c>
      <c r="N44" s="230" t="s">
        <v>2707</v>
      </c>
      <c r="O44" s="157" t="s">
        <v>61</v>
      </c>
      <c r="P44" s="56"/>
      <c r="Q44" s="144" t="s">
        <v>61</v>
      </c>
      <c r="R44" s="56"/>
      <c r="S44" s="144" t="s">
        <v>61</v>
      </c>
      <c r="T44" s="56"/>
      <c r="U44" s="144" t="s">
        <v>61</v>
      </c>
      <c r="V44" s="56"/>
      <c r="W44" s="144" t="s">
        <v>61</v>
      </c>
      <c r="X44" s="56"/>
      <c r="Y44" s="144" t="s">
        <v>61</v>
      </c>
      <c r="Z44" s="56"/>
      <c r="AA44" s="144" t="s">
        <v>61</v>
      </c>
      <c r="AB44" s="56"/>
      <c r="AC44" s="144" t="s">
        <v>61</v>
      </c>
      <c r="AD44" s="56"/>
      <c r="AE44" s="144" t="s">
        <v>61</v>
      </c>
      <c r="AF44" s="143" t="str">
        <f t="shared" si="1"/>
        <v>NA</v>
      </c>
      <c r="AG44" s="199" t="str">
        <f t="shared" si="0"/>
        <v>NÃO AVALIADO POR FALHA DE SINCRONISMO</v>
      </c>
      <c r="AH44" s="144" t="s">
        <v>204</v>
      </c>
      <c r="AI44" s="151" t="s">
        <v>6</v>
      </c>
      <c r="AJ44" s="151" t="str">
        <f t="shared" si="2"/>
        <v>GUARULHOS</v>
      </c>
      <c r="AK44" s="61" t="s">
        <v>59</v>
      </c>
      <c r="AL44" s="53">
        <v>-8.6E-3</v>
      </c>
      <c r="AM44" s="53" t="str" cm="1">
        <f t="array" ref="AM44">IF(OR(O44&lt;&gt;"", SUMPRODUCT(($AN$2:$AN$561=AN44)*($AL$2:$AL$561&lt;=AL44)) &lt;= (COUNTIF($AN$2:$AN$561,AN44)*0.5)), "SORTEADO", "-")</f>
        <v>SORTEADO</v>
      </c>
      <c r="AN44" s="53" t="str">
        <f t="shared" si="3"/>
        <v>04/06/2026</v>
      </c>
    </row>
    <row r="45" spans="1:40" ht="30" hidden="1" customHeight="1" x14ac:dyDescent="0.2">
      <c r="A45" s="230" t="s">
        <v>197</v>
      </c>
      <c r="B45" s="230">
        <v>2613727740</v>
      </c>
      <c r="C45" s="230" t="s">
        <v>2701</v>
      </c>
      <c r="D45" s="230" t="s">
        <v>110</v>
      </c>
      <c r="E45" s="230" t="s">
        <v>198</v>
      </c>
      <c r="F45" s="230" t="s">
        <v>261</v>
      </c>
      <c r="G45" s="230">
        <v>323</v>
      </c>
      <c r="H45" s="230"/>
      <c r="I45" s="230" t="s">
        <v>262</v>
      </c>
      <c r="J45" s="230" t="s">
        <v>2703</v>
      </c>
      <c r="K45" s="237" t="s">
        <v>2709</v>
      </c>
      <c r="L45" s="235" t="s">
        <v>525</v>
      </c>
      <c r="M45" s="235">
        <v>46177.589583333334</v>
      </c>
      <c r="N45" s="230" t="s">
        <v>2707</v>
      </c>
      <c r="O45" s="157" t="s">
        <v>61</v>
      </c>
      <c r="P45" s="56"/>
      <c r="Q45" s="144" t="s">
        <v>61</v>
      </c>
      <c r="R45" s="56"/>
      <c r="S45" s="144" t="s">
        <v>61</v>
      </c>
      <c r="T45" s="56"/>
      <c r="U45" s="144" t="s">
        <v>61</v>
      </c>
      <c r="V45" s="56"/>
      <c r="W45" s="144" t="s">
        <v>61</v>
      </c>
      <c r="X45" s="56"/>
      <c r="Y45" s="144" t="s">
        <v>61</v>
      </c>
      <c r="Z45" s="56"/>
      <c r="AA45" s="144" t="s">
        <v>61</v>
      </c>
      <c r="AB45" s="56"/>
      <c r="AC45" s="144" t="s">
        <v>61</v>
      </c>
      <c r="AD45" s="56"/>
      <c r="AE45" s="144" t="s">
        <v>61</v>
      </c>
      <c r="AF45" s="143" t="str">
        <f t="shared" si="1"/>
        <v>NA</v>
      </c>
      <c r="AG45" s="199" t="str">
        <f t="shared" si="0"/>
        <v>NÃO AVALIADO POR FALHA DE SINCRONISMO</v>
      </c>
      <c r="AH45" s="144" t="s">
        <v>204</v>
      </c>
      <c r="AI45" s="151" t="s">
        <v>6</v>
      </c>
      <c r="AJ45" s="151" t="str">
        <f t="shared" ref="AJ45:AJ95" si="4">E45</f>
        <v>GUARULHOS</v>
      </c>
      <c r="AK45" s="61" t="s">
        <v>59</v>
      </c>
      <c r="AL45" s="53">
        <v>-8.8000000000000005E-3</v>
      </c>
      <c r="AM45" s="53" t="str" cm="1">
        <f t="array" ref="AM45">IF(OR(O45&lt;&gt;"", SUMPRODUCT(($AN$2:$AN$561=AN45)*($AL$2:$AL$561&lt;=AL45)) &lt;= (COUNTIF($AN$2:$AN$561,AN45)*0.5)), "SORTEADO", "-")</f>
        <v>SORTEADO</v>
      </c>
      <c r="AN45" s="53" t="str">
        <f t="shared" si="3"/>
        <v>04/06/2026</v>
      </c>
    </row>
    <row r="46" spans="1:40" ht="30" hidden="1" customHeight="1" x14ac:dyDescent="0.2">
      <c r="A46" s="230" t="s">
        <v>197</v>
      </c>
      <c r="B46" s="230">
        <v>2613726269</v>
      </c>
      <c r="C46" s="230" t="s">
        <v>2701</v>
      </c>
      <c r="D46" s="230" t="s">
        <v>110</v>
      </c>
      <c r="E46" s="230" t="s">
        <v>198</v>
      </c>
      <c r="F46" s="230" t="s">
        <v>404</v>
      </c>
      <c r="G46" s="230">
        <v>522</v>
      </c>
      <c r="H46" s="230" t="s">
        <v>213</v>
      </c>
      <c r="I46" s="230" t="s">
        <v>262</v>
      </c>
      <c r="J46" s="230" t="s">
        <v>2703</v>
      </c>
      <c r="K46" s="237" t="s">
        <v>2715</v>
      </c>
      <c r="L46" s="235" t="s">
        <v>525</v>
      </c>
      <c r="M46" s="235">
        <v>46177.580555555556</v>
      </c>
      <c r="N46" s="230" t="s">
        <v>2707</v>
      </c>
      <c r="O46" s="157" t="s">
        <v>61</v>
      </c>
      <c r="P46" s="56"/>
      <c r="Q46" s="144" t="s">
        <v>61</v>
      </c>
      <c r="R46" s="56"/>
      <c r="S46" s="144" t="s">
        <v>61</v>
      </c>
      <c r="T46" s="56"/>
      <c r="U46" s="144" t="s">
        <v>61</v>
      </c>
      <c r="V46" s="56"/>
      <c r="W46" s="144" t="s">
        <v>61</v>
      </c>
      <c r="X46" s="56"/>
      <c r="Y46" s="144" t="s">
        <v>61</v>
      </c>
      <c r="Z46" s="56"/>
      <c r="AA46" s="144" t="s">
        <v>61</v>
      </c>
      <c r="AB46" s="56"/>
      <c r="AC46" s="144" t="s">
        <v>61</v>
      </c>
      <c r="AD46" s="56"/>
      <c r="AE46" s="144" t="s">
        <v>61</v>
      </c>
      <c r="AF46" s="143" t="str">
        <f t="shared" si="1"/>
        <v>NA</v>
      </c>
      <c r="AG46" s="199" t="str">
        <f t="shared" si="0"/>
        <v>NÃO AVALIADO POR FALHA DE SINCRONISMO</v>
      </c>
      <c r="AH46" s="144" t="s">
        <v>204</v>
      </c>
      <c r="AI46" s="151" t="s">
        <v>6</v>
      </c>
      <c r="AJ46" s="151" t="str">
        <f t="shared" si="4"/>
        <v>GUARULHOS</v>
      </c>
      <c r="AK46" s="61" t="s">
        <v>59</v>
      </c>
      <c r="AL46" s="53">
        <v>-8.9999999999999993E-3</v>
      </c>
      <c r="AM46" s="53" t="str" cm="1">
        <f t="array" ref="AM46">IF(OR(O46&lt;&gt;"", SUMPRODUCT(($AN$2:$AN$561=AN46)*($AL$2:$AL$561&lt;=AL46)) &lt;= (COUNTIF($AN$2:$AN$561,AN46)*0.5)), "SORTEADO", "-")</f>
        <v>SORTEADO</v>
      </c>
      <c r="AN46" s="53" t="str">
        <f t="shared" si="3"/>
        <v>04/06/2026</v>
      </c>
    </row>
    <row r="47" spans="1:40" ht="30" hidden="1" customHeight="1" x14ac:dyDescent="0.2">
      <c r="A47" s="230" t="s">
        <v>197</v>
      </c>
      <c r="B47" s="230">
        <v>2613728021</v>
      </c>
      <c r="C47" s="230" t="s">
        <v>2701</v>
      </c>
      <c r="D47" s="230" t="s">
        <v>110</v>
      </c>
      <c r="E47" s="230" t="s">
        <v>198</v>
      </c>
      <c r="F47" s="230" t="s">
        <v>261</v>
      </c>
      <c r="G47" s="230">
        <v>270</v>
      </c>
      <c r="H47" s="230" t="s">
        <v>2716</v>
      </c>
      <c r="I47" s="230" t="s">
        <v>262</v>
      </c>
      <c r="J47" s="230" t="s">
        <v>2703</v>
      </c>
      <c r="K47" s="237" t="s">
        <v>2709</v>
      </c>
      <c r="L47" s="235" t="s">
        <v>525</v>
      </c>
      <c r="M47" s="235">
        <v>46177.595833333333</v>
      </c>
      <c r="N47" s="230" t="s">
        <v>2707</v>
      </c>
      <c r="O47" s="157" t="s">
        <v>61</v>
      </c>
      <c r="P47" s="56"/>
      <c r="Q47" s="144" t="s">
        <v>61</v>
      </c>
      <c r="R47" s="56"/>
      <c r="S47" s="144" t="s">
        <v>61</v>
      </c>
      <c r="T47" s="56"/>
      <c r="U47" s="144" t="s">
        <v>61</v>
      </c>
      <c r="V47" s="56"/>
      <c r="W47" s="144" t="s">
        <v>61</v>
      </c>
      <c r="X47" s="56"/>
      <c r="Y47" s="144" t="s">
        <v>61</v>
      </c>
      <c r="Z47" s="56"/>
      <c r="AA47" s="144" t="s">
        <v>61</v>
      </c>
      <c r="AB47" s="56"/>
      <c r="AC47" s="144" t="s">
        <v>61</v>
      </c>
      <c r="AD47" s="56"/>
      <c r="AE47" s="144" t="s">
        <v>61</v>
      </c>
      <c r="AF47" s="143" t="str">
        <f t="shared" si="1"/>
        <v>NA</v>
      </c>
      <c r="AG47" s="199" t="str">
        <f t="shared" si="0"/>
        <v>NÃO AVALIADO POR FALHA DE SINCRONISMO</v>
      </c>
      <c r="AH47" s="144" t="s">
        <v>204</v>
      </c>
      <c r="AI47" s="151" t="s">
        <v>6</v>
      </c>
      <c r="AJ47" s="151" t="str">
        <f t="shared" si="4"/>
        <v>GUARULHOS</v>
      </c>
      <c r="AK47" s="61" t="s">
        <v>59</v>
      </c>
      <c r="AL47" s="53">
        <v>-9.1999999999999998E-3</v>
      </c>
      <c r="AM47" s="53" t="str" cm="1">
        <f t="array" ref="AM47">IF(OR(O47&lt;&gt;"", SUMPRODUCT(($AN$2:$AN$561=AN47)*($AL$2:$AL$561&lt;=AL47)) &lt;= (COUNTIF($AN$2:$AN$561,AN47)*0.5)), "SORTEADO", "-")</f>
        <v>SORTEADO</v>
      </c>
      <c r="AN47" s="53" t="str">
        <f t="shared" si="3"/>
        <v>04/06/2026</v>
      </c>
    </row>
    <row r="48" spans="1:40" ht="30" hidden="1" customHeight="1" x14ac:dyDescent="0.2">
      <c r="A48" s="230" t="s">
        <v>197</v>
      </c>
      <c r="B48" s="230">
        <v>2613727742</v>
      </c>
      <c r="C48" s="230" t="s">
        <v>2701</v>
      </c>
      <c r="D48" s="230" t="s">
        <v>110</v>
      </c>
      <c r="E48" s="230" t="s">
        <v>198</v>
      </c>
      <c r="F48" s="230" t="s">
        <v>261</v>
      </c>
      <c r="G48" s="230">
        <v>262</v>
      </c>
      <c r="H48" s="230" t="s">
        <v>213</v>
      </c>
      <c r="I48" s="230" t="s">
        <v>262</v>
      </c>
      <c r="J48" s="230" t="s">
        <v>2703</v>
      </c>
      <c r="K48" s="237" t="s">
        <v>2709</v>
      </c>
      <c r="L48" s="235" t="s">
        <v>525</v>
      </c>
      <c r="M48" s="235">
        <v>46177.588888888888</v>
      </c>
      <c r="N48" s="230" t="s">
        <v>2707</v>
      </c>
      <c r="O48" s="157" t="s">
        <v>61</v>
      </c>
      <c r="P48" s="56"/>
      <c r="Q48" s="144" t="s">
        <v>61</v>
      </c>
      <c r="R48" s="56"/>
      <c r="S48" s="144" t="s">
        <v>61</v>
      </c>
      <c r="T48" s="56"/>
      <c r="U48" s="144" t="s">
        <v>61</v>
      </c>
      <c r="V48" s="56"/>
      <c r="W48" s="144" t="s">
        <v>61</v>
      </c>
      <c r="X48" s="56"/>
      <c r="Y48" s="144" t="s">
        <v>61</v>
      </c>
      <c r="Z48" s="56"/>
      <c r="AA48" s="144" t="s">
        <v>61</v>
      </c>
      <c r="AB48" s="56"/>
      <c r="AC48" s="144" t="s">
        <v>61</v>
      </c>
      <c r="AD48" s="56"/>
      <c r="AE48" s="144" t="s">
        <v>61</v>
      </c>
      <c r="AF48" s="143" t="str">
        <f t="shared" si="1"/>
        <v>NA</v>
      </c>
      <c r="AG48" s="199" t="str">
        <f t="shared" si="0"/>
        <v>NÃO AVALIADO POR FALHA DE SINCRONISMO</v>
      </c>
      <c r="AH48" s="144" t="s">
        <v>204</v>
      </c>
      <c r="AI48" s="151" t="s">
        <v>6</v>
      </c>
      <c r="AJ48" s="151" t="str">
        <f t="shared" si="4"/>
        <v>GUARULHOS</v>
      </c>
      <c r="AK48" s="61" t="s">
        <v>59</v>
      </c>
      <c r="AL48" s="53">
        <v>-9.4000000000000004E-3</v>
      </c>
      <c r="AM48" s="53" t="str" cm="1">
        <f t="array" ref="AM48">IF(OR(O48&lt;&gt;"", SUMPRODUCT(($AN$2:$AN$561=AN48)*($AL$2:$AL$561&lt;=AL48)) &lt;= (COUNTIF($AN$2:$AN$561,AN48)*0.5)), "SORTEADO", "-")</f>
        <v>SORTEADO</v>
      </c>
      <c r="AN48" s="53" t="str">
        <f t="shared" si="3"/>
        <v>04/06/2026</v>
      </c>
    </row>
    <row r="49" spans="1:40" ht="30" hidden="1" customHeight="1" x14ac:dyDescent="0.2">
      <c r="A49" s="230" t="s">
        <v>197</v>
      </c>
      <c r="B49" s="230">
        <v>2613699924</v>
      </c>
      <c r="C49" s="230" t="s">
        <v>2701</v>
      </c>
      <c r="D49" s="230" t="s">
        <v>110</v>
      </c>
      <c r="E49" s="230" t="s">
        <v>198</v>
      </c>
      <c r="F49" s="230" t="s">
        <v>261</v>
      </c>
      <c r="G49" s="230">
        <v>232</v>
      </c>
      <c r="H49" s="230" t="s">
        <v>2717</v>
      </c>
      <c r="I49" s="230" t="s">
        <v>262</v>
      </c>
      <c r="J49" s="230" t="s">
        <v>2703</v>
      </c>
      <c r="K49" s="237" t="s">
        <v>2709</v>
      </c>
      <c r="L49" s="235" t="s">
        <v>525</v>
      </c>
      <c r="M49" s="235">
        <v>46177.587500000001</v>
      </c>
      <c r="N49" s="230" t="s">
        <v>2707</v>
      </c>
      <c r="O49" s="157" t="s">
        <v>61</v>
      </c>
      <c r="P49" s="56"/>
      <c r="Q49" s="144" t="s">
        <v>61</v>
      </c>
      <c r="R49" s="56"/>
      <c r="S49" s="144" t="s">
        <v>61</v>
      </c>
      <c r="T49" s="56"/>
      <c r="U49" s="144" t="s">
        <v>61</v>
      </c>
      <c r="V49" s="56"/>
      <c r="W49" s="144" t="s">
        <v>61</v>
      </c>
      <c r="X49" s="56"/>
      <c r="Y49" s="144" t="s">
        <v>61</v>
      </c>
      <c r="Z49" s="56"/>
      <c r="AA49" s="144" t="s">
        <v>61</v>
      </c>
      <c r="AB49" s="56"/>
      <c r="AC49" s="144" t="s">
        <v>61</v>
      </c>
      <c r="AD49" s="56"/>
      <c r="AE49" s="144" t="s">
        <v>61</v>
      </c>
      <c r="AF49" s="143" t="str">
        <f t="shared" si="1"/>
        <v>NA</v>
      </c>
      <c r="AG49" s="199" t="str">
        <f t="shared" si="0"/>
        <v>NÃO AVALIADO POR FALHA DE SINCRONISMO</v>
      </c>
      <c r="AH49" s="144" t="s">
        <v>204</v>
      </c>
      <c r="AI49" s="151" t="s">
        <v>6</v>
      </c>
      <c r="AJ49" s="151" t="str">
        <f t="shared" si="4"/>
        <v>GUARULHOS</v>
      </c>
      <c r="AK49" s="61" t="s">
        <v>59</v>
      </c>
      <c r="AL49" s="53">
        <v>-9.5999999999999992E-3</v>
      </c>
      <c r="AM49" s="53" t="str" cm="1">
        <f t="array" ref="AM49">IF(OR(O49&lt;&gt;"", SUMPRODUCT(($AN$2:$AN$561=AN49)*($AL$2:$AL$561&lt;=AL49)) &lt;= (COUNTIF($AN$2:$AN$561,AN49)*0.5)), "SORTEADO", "-")</f>
        <v>SORTEADO</v>
      </c>
      <c r="AN49" s="53" t="str">
        <f t="shared" si="3"/>
        <v>04/06/2026</v>
      </c>
    </row>
    <row r="50" spans="1:40" ht="30" hidden="1" customHeight="1" x14ac:dyDescent="0.2">
      <c r="A50" s="230" t="s">
        <v>197</v>
      </c>
      <c r="B50" s="230">
        <v>2613726858</v>
      </c>
      <c r="C50" s="230" t="s">
        <v>2701</v>
      </c>
      <c r="D50" s="230" t="s">
        <v>110</v>
      </c>
      <c r="E50" s="230" t="s">
        <v>198</v>
      </c>
      <c r="F50" s="230" t="s">
        <v>2718</v>
      </c>
      <c r="G50" s="230">
        <v>12</v>
      </c>
      <c r="H50" s="230" t="s">
        <v>276</v>
      </c>
      <c r="I50" s="230" t="s">
        <v>262</v>
      </c>
      <c r="J50" s="230" t="s">
        <v>2703</v>
      </c>
      <c r="K50" s="237" t="s">
        <v>2706</v>
      </c>
      <c r="L50" s="235" t="s">
        <v>525</v>
      </c>
      <c r="M50" s="235">
        <v>46177.584027777775</v>
      </c>
      <c r="N50" s="230" t="s">
        <v>2707</v>
      </c>
      <c r="O50" s="157" t="s">
        <v>61</v>
      </c>
      <c r="P50" s="56"/>
      <c r="Q50" s="144" t="s">
        <v>61</v>
      </c>
      <c r="R50" s="56"/>
      <c r="S50" s="144" t="s">
        <v>61</v>
      </c>
      <c r="T50" s="56"/>
      <c r="U50" s="144" t="s">
        <v>61</v>
      </c>
      <c r="V50" s="56"/>
      <c r="W50" s="144" t="s">
        <v>61</v>
      </c>
      <c r="X50" s="56"/>
      <c r="Y50" s="144" t="s">
        <v>61</v>
      </c>
      <c r="Z50" s="56"/>
      <c r="AA50" s="144" t="s">
        <v>61</v>
      </c>
      <c r="AB50" s="56"/>
      <c r="AC50" s="144" t="s">
        <v>61</v>
      </c>
      <c r="AD50" s="56"/>
      <c r="AE50" s="144" t="s">
        <v>61</v>
      </c>
      <c r="AF50" s="143" t="str">
        <f t="shared" si="1"/>
        <v>NA</v>
      </c>
      <c r="AG50" s="199" t="str">
        <f t="shared" si="0"/>
        <v>NÃO AVALIADO POR FALHA DE SINCRONISMO</v>
      </c>
      <c r="AH50" s="144" t="s">
        <v>204</v>
      </c>
      <c r="AI50" s="151" t="s">
        <v>6</v>
      </c>
      <c r="AJ50" s="151" t="str">
        <f t="shared" si="4"/>
        <v>GUARULHOS</v>
      </c>
      <c r="AK50" s="61" t="s">
        <v>59</v>
      </c>
      <c r="AL50" s="53">
        <v>-9.7999999999999997E-3</v>
      </c>
      <c r="AM50" s="53" t="str" cm="1">
        <f t="array" ref="AM50">IF(OR(O50&lt;&gt;"", SUMPRODUCT(($AN$2:$AN$561=AN50)*($AL$2:$AL$561&lt;=AL50)) &lt;= (COUNTIF($AN$2:$AN$561,AN50)*0.5)), "SORTEADO", "-")</f>
        <v>SORTEADO</v>
      </c>
      <c r="AN50" s="53" t="str">
        <f t="shared" si="3"/>
        <v>04/06/2026</v>
      </c>
    </row>
    <row r="51" spans="1:40" ht="30" customHeight="1" x14ac:dyDescent="0.2">
      <c r="A51" s="230" t="s">
        <v>197</v>
      </c>
      <c r="B51" s="230">
        <v>2614312534</v>
      </c>
      <c r="C51" s="230" t="s">
        <v>120</v>
      </c>
      <c r="D51" s="230" t="s">
        <v>111</v>
      </c>
      <c r="E51" s="230" t="s">
        <v>198</v>
      </c>
      <c r="F51" s="230" t="s">
        <v>2719</v>
      </c>
      <c r="G51" s="230">
        <v>28</v>
      </c>
      <c r="H51" s="230" t="s">
        <v>213</v>
      </c>
      <c r="I51" s="230" t="s">
        <v>919</v>
      </c>
      <c r="J51" s="230" t="s">
        <v>2637</v>
      </c>
      <c r="K51" s="230" t="s">
        <v>2720</v>
      </c>
      <c r="L51" s="235" t="s">
        <v>580</v>
      </c>
      <c r="M51" s="235">
        <v>46207.597222222219</v>
      </c>
      <c r="N51" s="230" t="s">
        <v>2638</v>
      </c>
      <c r="O51" s="157"/>
      <c r="P51" s="56"/>
      <c r="Q51" s="144"/>
      <c r="R51" s="56"/>
      <c r="S51" s="144"/>
      <c r="T51" s="56"/>
      <c r="U51" s="144"/>
      <c r="V51" s="56"/>
      <c r="W51" s="144"/>
      <c r="X51" s="56"/>
      <c r="Y51" s="144"/>
      <c r="Z51" s="56"/>
      <c r="AA51" s="144"/>
      <c r="AB51" s="56"/>
      <c r="AC51" s="144"/>
      <c r="AD51" s="56"/>
      <c r="AE51" s="144"/>
      <c r="AF51" s="143" t="str">
        <f t="shared" si="1"/>
        <v/>
      </c>
      <c r="AG51" s="199" t="b">
        <f t="shared" si="0"/>
        <v>0</v>
      </c>
      <c r="AH51" s="144"/>
      <c r="AI51" s="151" t="s">
        <v>6</v>
      </c>
      <c r="AJ51" s="151" t="str">
        <f t="shared" si="4"/>
        <v>GUARULHOS</v>
      </c>
      <c r="AK51" s="61" t="s">
        <v>59</v>
      </c>
      <c r="AL51" s="53">
        <v>0.27774656038165302</v>
      </c>
      <c r="AM51" s="53" t="str" cm="1">
        <f t="array" ref="AM51">IF(OR(O51&lt;&gt;"", SUMPRODUCT(($AN$2:$AN$561=AN51)*($AL$2:$AL$561&lt;=AL51)) &lt;= (COUNTIF($AN$2:$AN$561,AN51)*0.5)), "SORTEADO", "-")</f>
        <v>SORTEADO</v>
      </c>
      <c r="AN51" s="53" t="str">
        <f t="shared" si="3"/>
        <v>04/07/2026</v>
      </c>
    </row>
    <row r="52" spans="1:40" ht="30" hidden="1" customHeight="1" x14ac:dyDescent="0.2">
      <c r="A52" s="230" t="s">
        <v>197</v>
      </c>
      <c r="B52" s="230">
        <v>2614490349</v>
      </c>
      <c r="C52" s="230" t="s">
        <v>119</v>
      </c>
      <c r="D52" s="230" t="s">
        <v>109</v>
      </c>
      <c r="E52" s="230" t="s">
        <v>198</v>
      </c>
      <c r="F52" s="230" t="s">
        <v>922</v>
      </c>
      <c r="G52" s="230">
        <v>56</v>
      </c>
      <c r="H52" s="230" t="s">
        <v>362</v>
      </c>
      <c r="I52" s="230" t="s">
        <v>923</v>
      </c>
      <c r="J52" s="230" t="s">
        <v>119</v>
      </c>
      <c r="K52" s="237" t="s">
        <v>2721</v>
      </c>
      <c r="L52" s="235" t="s">
        <v>580</v>
      </c>
      <c r="M52" s="235">
        <v>46207.667361111111</v>
      </c>
      <c r="N52" s="230" t="s">
        <v>2634</v>
      </c>
      <c r="O52" s="157"/>
      <c r="P52" s="56"/>
      <c r="Q52" s="144"/>
      <c r="R52" s="56"/>
      <c r="S52" s="144"/>
      <c r="T52" s="56"/>
      <c r="U52" s="144"/>
      <c r="V52" s="56"/>
      <c r="W52" s="144"/>
      <c r="X52" s="56"/>
      <c r="Y52" s="144"/>
      <c r="Z52" s="56"/>
      <c r="AA52" s="144"/>
      <c r="AB52" s="56"/>
      <c r="AC52" s="144"/>
      <c r="AD52" s="56"/>
      <c r="AE52" s="144"/>
      <c r="AF52" s="143" t="str">
        <f t="shared" si="1"/>
        <v/>
      </c>
      <c r="AG52" s="199" t="b">
        <f t="shared" si="0"/>
        <v>0</v>
      </c>
      <c r="AH52" s="144"/>
      <c r="AI52" s="151" t="s">
        <v>6</v>
      </c>
      <c r="AJ52" s="151" t="str">
        <f t="shared" si="4"/>
        <v>GUARULHOS</v>
      </c>
      <c r="AK52" s="61" t="s">
        <v>59</v>
      </c>
      <c r="AL52" s="53">
        <v>0.55744751592252106</v>
      </c>
      <c r="AM52" s="53" t="str" cm="1">
        <f t="array" ref="AM52">IF(OR(O52&lt;&gt;"", SUMPRODUCT(($AN$2:$AN$561=AN52)*($AL$2:$AL$561&lt;=AL52)) &lt;= (COUNTIF($AN$2:$AN$561,AN52)*0.5)), "SORTEADO", "-")</f>
        <v>-</v>
      </c>
      <c r="AN52" s="53" t="str">
        <f t="shared" si="3"/>
        <v>04/07/2026</v>
      </c>
    </row>
    <row r="53" spans="1:40" ht="30" hidden="1" customHeight="1" x14ac:dyDescent="0.2">
      <c r="A53" s="230" t="s">
        <v>197</v>
      </c>
      <c r="B53" s="230">
        <v>2614498794</v>
      </c>
      <c r="C53" s="230" t="s">
        <v>122</v>
      </c>
      <c r="D53" s="230" t="s">
        <v>108</v>
      </c>
      <c r="E53" s="230" t="s">
        <v>198</v>
      </c>
      <c r="F53" s="230" t="s">
        <v>2722</v>
      </c>
      <c r="G53" s="230">
        <v>10</v>
      </c>
      <c r="H53" s="230" t="s">
        <v>213</v>
      </c>
      <c r="I53" s="230" t="s">
        <v>2723</v>
      </c>
      <c r="J53" s="230" t="s">
        <v>2633</v>
      </c>
      <c r="K53" s="230" t="s">
        <v>2724</v>
      </c>
      <c r="L53" s="235" t="s">
        <v>580</v>
      </c>
      <c r="M53" s="235">
        <v>46207.672222222223</v>
      </c>
      <c r="N53" s="230" t="s">
        <v>2646</v>
      </c>
      <c r="O53" s="157"/>
      <c r="P53" s="56"/>
      <c r="Q53" s="144"/>
      <c r="R53" s="56"/>
      <c r="S53" s="144"/>
      <c r="T53" s="56"/>
      <c r="U53" s="144"/>
      <c r="V53" s="56"/>
      <c r="W53" s="144"/>
      <c r="X53" s="56"/>
      <c r="Y53" s="144"/>
      <c r="Z53" s="56"/>
      <c r="AA53" s="144"/>
      <c r="AB53" s="56"/>
      <c r="AC53" s="144"/>
      <c r="AD53" s="56"/>
      <c r="AE53" s="144"/>
      <c r="AF53" s="143" t="str">
        <f t="shared" si="1"/>
        <v/>
      </c>
      <c r="AG53" s="199" t="b">
        <f t="shared" si="0"/>
        <v>0</v>
      </c>
      <c r="AH53" s="144"/>
      <c r="AI53" s="151" t="s">
        <v>6</v>
      </c>
      <c r="AJ53" s="151" t="str">
        <f t="shared" si="4"/>
        <v>GUARULHOS</v>
      </c>
      <c r="AK53" s="61" t="s">
        <v>59</v>
      </c>
      <c r="AL53" s="53">
        <v>0.74409227826100899</v>
      </c>
      <c r="AM53" s="53" t="str" cm="1">
        <f t="array" ref="AM53">IF(OR(O53&lt;&gt;"", SUMPRODUCT(($AN$2:$AN$561=AN53)*($AL$2:$AL$561&lt;=AL53)) &lt;= (COUNTIF($AN$2:$AN$561,AN53)*0.5)), "SORTEADO", "-")</f>
        <v>-</v>
      </c>
      <c r="AN53" s="53" t="str">
        <f t="shared" si="3"/>
        <v>04/07/2026</v>
      </c>
    </row>
    <row r="54" spans="1:40" ht="30" hidden="1" customHeight="1" x14ac:dyDescent="0.2">
      <c r="A54" s="230" t="s">
        <v>197</v>
      </c>
      <c r="B54" s="230">
        <v>2614635924</v>
      </c>
      <c r="C54" s="230" t="s">
        <v>119</v>
      </c>
      <c r="D54" s="230" t="s">
        <v>109</v>
      </c>
      <c r="E54" s="230" t="s">
        <v>198</v>
      </c>
      <c r="F54" s="230" t="s">
        <v>938</v>
      </c>
      <c r="G54" s="230">
        <v>431</v>
      </c>
      <c r="H54" s="230"/>
      <c r="I54" s="230" t="s">
        <v>923</v>
      </c>
      <c r="J54" s="230" t="s">
        <v>119</v>
      </c>
      <c r="K54" s="230"/>
      <c r="L54" s="235" t="s">
        <v>661</v>
      </c>
      <c r="M54" s="235">
        <v>46238.665972222225</v>
      </c>
      <c r="N54" s="230" t="s">
        <v>2646</v>
      </c>
      <c r="O54" s="157"/>
      <c r="P54" s="56"/>
      <c r="Q54" s="144"/>
      <c r="R54" s="56"/>
      <c r="S54" s="144"/>
      <c r="T54" s="56"/>
      <c r="U54" s="144"/>
      <c r="V54" s="56"/>
      <c r="W54" s="144"/>
      <c r="X54" s="56"/>
      <c r="Y54" s="144"/>
      <c r="Z54" s="56"/>
      <c r="AA54" s="144"/>
      <c r="AB54" s="56"/>
      <c r="AC54" s="144"/>
      <c r="AD54" s="56"/>
      <c r="AE54" s="144"/>
      <c r="AF54" s="143" t="str">
        <f t="shared" si="1"/>
        <v/>
      </c>
      <c r="AG54" s="199" t="b">
        <f t="shared" si="0"/>
        <v>0</v>
      </c>
      <c r="AH54" s="144"/>
      <c r="AI54" s="151" t="s">
        <v>6</v>
      </c>
      <c r="AJ54" s="151" t="str">
        <f t="shared" si="4"/>
        <v>GUARULHOS</v>
      </c>
      <c r="AK54" s="61" t="s">
        <v>59</v>
      </c>
      <c r="AL54" s="53">
        <v>0.72915615806714573</v>
      </c>
      <c r="AM54" s="53" t="str" cm="1">
        <f t="array" ref="AM54">IF(OR(O54&lt;&gt;"", SUMPRODUCT(($AN$2:$AN$561=AN54)*($AL$2:$AL$561&lt;=AL54)) &lt;= (COUNTIF($AN$2:$AN$561,AN54)*0.5)), "SORTEADO", "-")</f>
        <v>-</v>
      </c>
      <c r="AN54" s="53" t="str">
        <f t="shared" si="3"/>
        <v>04/08/2026</v>
      </c>
    </row>
    <row r="55" spans="1:40" ht="30" hidden="1" customHeight="1" x14ac:dyDescent="0.2">
      <c r="A55" s="230" t="s">
        <v>197</v>
      </c>
      <c r="B55" s="230">
        <v>2614505043</v>
      </c>
      <c r="C55" s="230" t="s">
        <v>121</v>
      </c>
      <c r="D55" s="230" t="s">
        <v>110</v>
      </c>
      <c r="E55" s="230" t="s">
        <v>198</v>
      </c>
      <c r="F55" s="230" t="s">
        <v>2725</v>
      </c>
      <c r="G55" s="230">
        <v>351</v>
      </c>
      <c r="H55" s="230" t="s">
        <v>206</v>
      </c>
      <c r="I55" s="230" t="s">
        <v>915</v>
      </c>
      <c r="J55" s="230" t="s">
        <v>2661</v>
      </c>
      <c r="K55" s="230" t="s">
        <v>213</v>
      </c>
      <c r="L55" s="235" t="s">
        <v>661</v>
      </c>
      <c r="M55" s="235">
        <v>46238.508333333331</v>
      </c>
      <c r="N55" s="230" t="s">
        <v>2640</v>
      </c>
      <c r="O55" s="157"/>
      <c r="P55" s="56"/>
      <c r="Q55" s="144"/>
      <c r="R55" s="56"/>
      <c r="S55" s="144"/>
      <c r="T55" s="56"/>
      <c r="U55" s="144"/>
      <c r="V55" s="56"/>
      <c r="W55" s="144"/>
      <c r="X55" s="56"/>
      <c r="Y55" s="144"/>
      <c r="Z55" s="56"/>
      <c r="AA55" s="144"/>
      <c r="AB55" s="56"/>
      <c r="AC55" s="144"/>
      <c r="AD55" s="56"/>
      <c r="AE55" s="144"/>
      <c r="AF55" s="143" t="str">
        <f t="shared" si="1"/>
        <v/>
      </c>
      <c r="AG55" s="199" t="b">
        <f t="shared" si="0"/>
        <v>0</v>
      </c>
      <c r="AH55" s="144"/>
      <c r="AI55" s="151" t="s">
        <v>6</v>
      </c>
      <c r="AJ55" s="151" t="str">
        <f t="shared" si="4"/>
        <v>GUARULHOS</v>
      </c>
      <c r="AK55" s="61" t="s">
        <v>59</v>
      </c>
      <c r="AL55" s="53">
        <v>0.35000923807933604</v>
      </c>
      <c r="AM55" s="53" t="str" cm="1">
        <f t="array" ref="AM55">IF(OR(O55&lt;&gt;"", SUMPRODUCT(($AN$2:$AN$561=AN55)*($AL$2:$AL$561&lt;=AL55)) &lt;= (COUNTIF($AN$2:$AN$561,AN55)*0.5)), "SORTEADO", "-")</f>
        <v>SORTEADO</v>
      </c>
      <c r="AN55" s="53" t="str">
        <f t="shared" si="3"/>
        <v>04/08/2026</v>
      </c>
    </row>
    <row r="56" spans="1:40" ht="30" hidden="1" customHeight="1" x14ac:dyDescent="0.2">
      <c r="A56" s="230" t="s">
        <v>197</v>
      </c>
      <c r="B56" s="230">
        <v>2614662067</v>
      </c>
      <c r="C56" s="230" t="s">
        <v>121</v>
      </c>
      <c r="D56" s="230" t="s">
        <v>110</v>
      </c>
      <c r="E56" s="230" t="s">
        <v>198</v>
      </c>
      <c r="F56" s="230" t="s">
        <v>2722</v>
      </c>
      <c r="G56" s="230">
        <v>10</v>
      </c>
      <c r="H56" s="230"/>
      <c r="I56" s="230" t="s">
        <v>2723</v>
      </c>
      <c r="J56" s="230" t="s">
        <v>2661</v>
      </c>
      <c r="K56" s="230" t="s">
        <v>2726</v>
      </c>
      <c r="L56" s="235" t="s">
        <v>661</v>
      </c>
      <c r="M56" s="235">
        <v>46238.505555555559</v>
      </c>
      <c r="N56" s="230" t="s">
        <v>2646</v>
      </c>
      <c r="O56" s="157"/>
      <c r="P56" s="56"/>
      <c r="Q56" s="144"/>
      <c r="R56" s="56"/>
      <c r="S56" s="144"/>
      <c r="T56" s="56"/>
      <c r="U56" s="144"/>
      <c r="V56" s="56"/>
      <c r="W56" s="144"/>
      <c r="X56" s="56"/>
      <c r="Y56" s="144"/>
      <c r="Z56" s="56"/>
      <c r="AA56" s="144"/>
      <c r="AB56" s="56"/>
      <c r="AC56" s="144"/>
      <c r="AD56" s="56"/>
      <c r="AE56" s="144"/>
      <c r="AF56" s="143" t="str">
        <f t="shared" si="1"/>
        <v/>
      </c>
      <c r="AG56" s="199" t="b">
        <f t="shared" si="0"/>
        <v>0</v>
      </c>
      <c r="AH56" s="144"/>
      <c r="AI56" s="151" t="s">
        <v>6</v>
      </c>
      <c r="AJ56" s="151" t="str">
        <f t="shared" si="4"/>
        <v>GUARULHOS</v>
      </c>
      <c r="AK56" s="61" t="s">
        <v>59</v>
      </c>
      <c r="AL56" s="53">
        <v>0.68807654658187667</v>
      </c>
      <c r="AM56" s="53" t="str" cm="1">
        <f t="array" ref="AM56">IF(OR(O56&lt;&gt;"", SUMPRODUCT(($AN$2:$AN$561=AN56)*($AL$2:$AL$561&lt;=AL56)) &lt;= (COUNTIF($AN$2:$AN$561,AN56)*0.5)), "SORTEADO", "-")</f>
        <v>-</v>
      </c>
      <c r="AN56" s="53" t="str">
        <f t="shared" si="3"/>
        <v>04/08/2026</v>
      </c>
    </row>
    <row r="57" spans="1:40" ht="30" hidden="1" customHeight="1" x14ac:dyDescent="0.2">
      <c r="A57" s="230" t="s">
        <v>197</v>
      </c>
      <c r="B57" s="230">
        <v>2614670261</v>
      </c>
      <c r="C57" s="230" t="s">
        <v>122</v>
      </c>
      <c r="D57" s="230" t="s">
        <v>108</v>
      </c>
      <c r="E57" s="230" t="s">
        <v>198</v>
      </c>
      <c r="F57" s="230" t="s">
        <v>2727</v>
      </c>
      <c r="G57" s="230">
        <v>294</v>
      </c>
      <c r="H57" s="230" t="s">
        <v>211</v>
      </c>
      <c r="I57" s="230" t="s">
        <v>207</v>
      </c>
      <c r="J57" s="230" t="s">
        <v>2633</v>
      </c>
      <c r="K57" s="230" t="s">
        <v>213</v>
      </c>
      <c r="L57" s="235" t="s">
        <v>661</v>
      </c>
      <c r="M57" s="235">
        <v>46238.560416666667</v>
      </c>
      <c r="N57" s="230" t="s">
        <v>2634</v>
      </c>
      <c r="O57" s="157"/>
      <c r="P57" s="56"/>
      <c r="Q57" s="144"/>
      <c r="R57" s="56"/>
      <c r="S57" s="144"/>
      <c r="T57" s="56"/>
      <c r="U57" s="144"/>
      <c r="V57" s="56"/>
      <c r="W57" s="144"/>
      <c r="X57" s="56"/>
      <c r="Y57" s="144"/>
      <c r="Z57" s="56"/>
      <c r="AA57" s="144"/>
      <c r="AB57" s="56"/>
      <c r="AC57" s="144"/>
      <c r="AD57" s="56"/>
      <c r="AE57" s="144"/>
      <c r="AF57" s="143" t="str">
        <f t="shared" si="1"/>
        <v/>
      </c>
      <c r="AG57" s="199" t="b">
        <f t="shared" si="0"/>
        <v>0</v>
      </c>
      <c r="AH57" s="144"/>
      <c r="AI57" s="151" t="s">
        <v>6</v>
      </c>
      <c r="AJ57" s="151" t="str">
        <f t="shared" si="4"/>
        <v>GUARULHOS</v>
      </c>
      <c r="AK57" s="61" t="s">
        <v>59</v>
      </c>
      <c r="AL57" s="53">
        <v>0.25324668987067767</v>
      </c>
      <c r="AM57" s="53" t="str" cm="1">
        <f t="array" ref="AM57">IF(OR(O57&lt;&gt;"", SUMPRODUCT(($AN$2:$AN$561=AN57)*($AL$2:$AL$561&lt;=AL57)) &lt;= (COUNTIF($AN$2:$AN$561,AN57)*0.5)), "SORTEADO", "-")</f>
        <v>SORTEADO</v>
      </c>
      <c r="AN57" s="53" t="str">
        <f t="shared" si="3"/>
        <v>04/08/2026</v>
      </c>
    </row>
    <row r="58" spans="1:40" ht="30" hidden="1" customHeight="1" x14ac:dyDescent="0.2">
      <c r="A58" s="230" t="s">
        <v>197</v>
      </c>
      <c r="B58" s="230">
        <v>2614674410</v>
      </c>
      <c r="C58" s="230" t="s">
        <v>122</v>
      </c>
      <c r="D58" s="230" t="s">
        <v>108</v>
      </c>
      <c r="E58" s="230" t="s">
        <v>198</v>
      </c>
      <c r="F58" s="230" t="s">
        <v>2728</v>
      </c>
      <c r="G58" s="230">
        <v>43</v>
      </c>
      <c r="H58" s="230" t="s">
        <v>1127</v>
      </c>
      <c r="I58" s="230" t="s">
        <v>538</v>
      </c>
      <c r="J58" s="230" t="s">
        <v>2633</v>
      </c>
      <c r="K58" s="230"/>
      <c r="L58" s="235" t="s">
        <v>661</v>
      </c>
      <c r="M58" s="235">
        <v>46238.739583333336</v>
      </c>
      <c r="N58" s="230" t="s">
        <v>2634</v>
      </c>
      <c r="O58" s="157"/>
      <c r="P58" s="56"/>
      <c r="Q58" s="144"/>
      <c r="R58" s="56"/>
      <c r="S58" s="144"/>
      <c r="T58" s="56"/>
      <c r="U58" s="144"/>
      <c r="V58" s="56"/>
      <c r="W58" s="144"/>
      <c r="X58" s="56"/>
      <c r="Y58" s="144"/>
      <c r="Z58" s="56"/>
      <c r="AA58" s="144"/>
      <c r="AB58" s="56"/>
      <c r="AC58" s="144"/>
      <c r="AD58" s="56"/>
      <c r="AE58" s="144"/>
      <c r="AF58" s="143" t="str">
        <f t="shared" si="1"/>
        <v/>
      </c>
      <c r="AG58" s="199" t="b">
        <f t="shared" si="0"/>
        <v>0</v>
      </c>
      <c r="AH58" s="144"/>
      <c r="AI58" s="151" t="s">
        <v>6</v>
      </c>
      <c r="AJ58" s="151" t="str">
        <f t="shared" si="4"/>
        <v>GUARULHOS</v>
      </c>
      <c r="AK58" s="61" t="s">
        <v>59</v>
      </c>
      <c r="AL58" s="53">
        <v>0.36717716228686381</v>
      </c>
      <c r="AM58" s="53" t="str" cm="1">
        <f t="array" ref="AM58">IF(OR(O58&lt;&gt;"", SUMPRODUCT(($AN$2:$AN$561=AN58)*($AL$2:$AL$561&lt;=AL58)) &lt;= (COUNTIF($AN$2:$AN$561,AN58)*0.5)), "SORTEADO", "-")</f>
        <v>SORTEADO</v>
      </c>
      <c r="AN58" s="53" t="str">
        <f t="shared" si="3"/>
        <v>04/08/2026</v>
      </c>
    </row>
    <row r="59" spans="1:40" ht="30" hidden="1" customHeight="1" x14ac:dyDescent="0.2">
      <c r="A59" s="230" t="s">
        <v>197</v>
      </c>
      <c r="B59" s="230">
        <v>2614689141</v>
      </c>
      <c r="C59" s="230" t="s">
        <v>121</v>
      </c>
      <c r="D59" s="230" t="s">
        <v>110</v>
      </c>
      <c r="E59" s="230" t="s">
        <v>198</v>
      </c>
      <c r="F59" s="230" t="s">
        <v>1504</v>
      </c>
      <c r="G59" s="230">
        <v>108</v>
      </c>
      <c r="H59" s="230" t="s">
        <v>2729</v>
      </c>
      <c r="I59" s="230" t="s">
        <v>791</v>
      </c>
      <c r="J59" s="230" t="s">
        <v>2661</v>
      </c>
      <c r="K59" s="230" t="s">
        <v>213</v>
      </c>
      <c r="L59" s="235" t="s">
        <v>661</v>
      </c>
      <c r="M59" s="235">
        <v>46238.723611111112</v>
      </c>
      <c r="N59" s="230" t="s">
        <v>2640</v>
      </c>
      <c r="O59" s="157"/>
      <c r="P59" s="56"/>
      <c r="Q59" s="144"/>
      <c r="R59" s="56"/>
      <c r="S59" s="144"/>
      <c r="T59" s="56"/>
      <c r="U59" s="144"/>
      <c r="V59" s="56"/>
      <c r="W59" s="144"/>
      <c r="X59" s="56"/>
      <c r="Y59" s="144"/>
      <c r="Z59" s="56"/>
      <c r="AA59" s="144"/>
      <c r="AB59" s="56"/>
      <c r="AC59" s="144"/>
      <c r="AD59" s="56"/>
      <c r="AE59" s="144"/>
      <c r="AF59" s="143" t="str">
        <f t="shared" si="1"/>
        <v/>
      </c>
      <c r="AG59" s="199" t="b">
        <f t="shared" si="0"/>
        <v>0</v>
      </c>
      <c r="AH59" s="144"/>
      <c r="AI59" s="151" t="s">
        <v>6</v>
      </c>
      <c r="AJ59" s="151" t="str">
        <f t="shared" si="4"/>
        <v>GUARULHOS</v>
      </c>
      <c r="AK59" s="61" t="s">
        <v>59</v>
      </c>
      <c r="AL59" s="53">
        <v>0.81809792342952004</v>
      </c>
      <c r="AM59" s="53" t="str" cm="1">
        <f t="array" ref="AM59">IF(OR(O59&lt;&gt;"", SUMPRODUCT(($AN$2:$AN$561=AN59)*($AL$2:$AL$561&lt;=AL59)) &lt;= (COUNTIF($AN$2:$AN$561,AN59)*0.5)), "SORTEADO", "-")</f>
        <v>-</v>
      </c>
      <c r="AN59" s="53" t="str">
        <f t="shared" si="3"/>
        <v>04/08/2026</v>
      </c>
    </row>
    <row r="60" spans="1:40" ht="30" customHeight="1" x14ac:dyDescent="0.2">
      <c r="A60" s="230" t="s">
        <v>197</v>
      </c>
      <c r="B60" s="230">
        <v>2614834948</v>
      </c>
      <c r="C60" s="230" t="s">
        <v>120</v>
      </c>
      <c r="D60" s="230" t="s">
        <v>111</v>
      </c>
      <c r="E60" s="230" t="s">
        <v>198</v>
      </c>
      <c r="F60" s="230" t="s">
        <v>343</v>
      </c>
      <c r="G60" s="230">
        <v>454</v>
      </c>
      <c r="H60" s="230" t="s">
        <v>2730</v>
      </c>
      <c r="I60" s="230" t="s">
        <v>345</v>
      </c>
      <c r="J60" s="230" t="s">
        <v>2637</v>
      </c>
      <c r="K60" s="230" t="s">
        <v>2652</v>
      </c>
      <c r="L60" s="235" t="s">
        <v>661</v>
      </c>
      <c r="M60" s="235">
        <v>46238.671527777777</v>
      </c>
      <c r="N60" s="230" t="s">
        <v>2638</v>
      </c>
      <c r="O60" s="157"/>
      <c r="P60" s="56"/>
      <c r="Q60" s="144"/>
      <c r="R60" s="56"/>
      <c r="S60" s="144"/>
      <c r="T60" s="56"/>
      <c r="U60" s="144"/>
      <c r="V60" s="56"/>
      <c r="W60" s="144"/>
      <c r="X60" s="56"/>
      <c r="Y60" s="144"/>
      <c r="Z60" s="56"/>
      <c r="AA60" s="144"/>
      <c r="AB60" s="56"/>
      <c r="AC60" s="144"/>
      <c r="AD60" s="56"/>
      <c r="AE60" s="144"/>
      <c r="AF60" s="143" t="str">
        <f t="shared" si="1"/>
        <v/>
      </c>
      <c r="AG60" s="199" t="b">
        <f t="shared" si="0"/>
        <v>0</v>
      </c>
      <c r="AH60" s="144"/>
      <c r="AI60" s="151" t="s">
        <v>6</v>
      </c>
      <c r="AJ60" s="151" t="str">
        <f t="shared" si="4"/>
        <v>GUARULHOS</v>
      </c>
      <c r="AK60" s="61" t="s">
        <v>59</v>
      </c>
      <c r="AL60" s="53">
        <v>0.31025861943258992</v>
      </c>
      <c r="AM60" s="53" t="str" cm="1">
        <f t="array" ref="AM60">IF(OR(O60&lt;&gt;"", SUMPRODUCT(($AN$2:$AN$561=AN60)*($AL$2:$AL$561&lt;=AL60)) &lt;= (COUNTIF($AN$2:$AN$561,AN60)*0.5)), "SORTEADO", "-")</f>
        <v>SORTEADO</v>
      </c>
      <c r="AN60" s="53" t="str">
        <f t="shared" si="3"/>
        <v>04/08/2026</v>
      </c>
    </row>
    <row r="61" spans="1:40" ht="30" hidden="1" customHeight="1" x14ac:dyDescent="0.2">
      <c r="A61" s="230" t="s">
        <v>197</v>
      </c>
      <c r="B61" s="230">
        <v>2614689141</v>
      </c>
      <c r="C61" s="230" t="s">
        <v>115</v>
      </c>
      <c r="D61" s="230" t="s">
        <v>108</v>
      </c>
      <c r="E61" s="230" t="s">
        <v>198</v>
      </c>
      <c r="F61" s="230" t="s">
        <v>1504</v>
      </c>
      <c r="G61" s="230">
        <v>108</v>
      </c>
      <c r="H61" s="230" t="s">
        <v>2729</v>
      </c>
      <c r="I61" s="230" t="s">
        <v>791</v>
      </c>
      <c r="J61" s="230" t="s">
        <v>2644</v>
      </c>
      <c r="K61" s="230" t="s">
        <v>2731</v>
      </c>
      <c r="L61" s="235" t="s">
        <v>661</v>
      </c>
      <c r="M61" s="235">
        <v>46238.730555555558</v>
      </c>
      <c r="N61" s="230" t="s">
        <v>2640</v>
      </c>
      <c r="O61" s="157"/>
      <c r="P61" s="56"/>
      <c r="Q61" s="144"/>
      <c r="R61" s="56"/>
      <c r="S61" s="144"/>
      <c r="T61" s="56"/>
      <c r="U61" s="144"/>
      <c r="V61" s="56"/>
      <c r="W61" s="144"/>
      <c r="X61" s="56"/>
      <c r="Y61" s="144"/>
      <c r="Z61" s="56"/>
      <c r="AA61" s="144"/>
      <c r="AB61" s="56"/>
      <c r="AC61" s="144"/>
      <c r="AD61" s="56"/>
      <c r="AE61" s="144"/>
      <c r="AF61" s="143" t="str">
        <f t="shared" si="1"/>
        <v/>
      </c>
      <c r="AG61" s="199" t="b">
        <f t="shared" si="0"/>
        <v>0</v>
      </c>
      <c r="AH61" s="144"/>
      <c r="AI61" s="151" t="s">
        <v>6</v>
      </c>
      <c r="AJ61" s="151" t="str">
        <f t="shared" si="4"/>
        <v>GUARULHOS</v>
      </c>
      <c r="AK61" s="61" t="s">
        <v>59</v>
      </c>
      <c r="AL61" s="53">
        <v>0.73805461834231256</v>
      </c>
      <c r="AM61" s="53" t="str" cm="1">
        <f t="array" ref="AM61">IF(OR(O61&lt;&gt;"", SUMPRODUCT(($AN$2:$AN$561=AN61)*($AL$2:$AL$561&lt;=AL61)) &lt;= (COUNTIF($AN$2:$AN$561,AN61)*0.5)), "SORTEADO", "-")</f>
        <v>-</v>
      </c>
      <c r="AN61" s="53" t="str">
        <f t="shared" si="3"/>
        <v>04/08/2026</v>
      </c>
    </row>
    <row r="62" spans="1:40" ht="30" customHeight="1" x14ac:dyDescent="0.2">
      <c r="A62" s="230" t="s">
        <v>197</v>
      </c>
      <c r="B62" s="230">
        <v>2614503660</v>
      </c>
      <c r="C62" s="230" t="s">
        <v>120</v>
      </c>
      <c r="D62" s="230" t="s">
        <v>111</v>
      </c>
      <c r="E62" s="230" t="s">
        <v>198</v>
      </c>
      <c r="F62" s="230" t="s">
        <v>2732</v>
      </c>
      <c r="G62" s="230">
        <v>337</v>
      </c>
      <c r="H62" s="230" t="s">
        <v>2733</v>
      </c>
      <c r="I62" s="230" t="s">
        <v>281</v>
      </c>
      <c r="J62" s="230" t="s">
        <v>2637</v>
      </c>
      <c r="K62" s="230" t="s">
        <v>2734</v>
      </c>
      <c r="L62" s="235" t="s">
        <v>726</v>
      </c>
      <c r="M62" s="235">
        <v>46269.36041666667</v>
      </c>
      <c r="N62" s="230" t="s">
        <v>2638</v>
      </c>
      <c r="O62" s="157"/>
      <c r="P62" s="56"/>
      <c r="Q62" s="144"/>
      <c r="R62" s="56"/>
      <c r="S62" s="144"/>
      <c r="T62" s="56"/>
      <c r="U62" s="144"/>
      <c r="V62" s="56"/>
      <c r="W62" s="144"/>
      <c r="X62" s="56"/>
      <c r="Y62" s="144"/>
      <c r="Z62" s="56"/>
      <c r="AA62" s="144"/>
      <c r="AB62" s="56"/>
      <c r="AC62" s="144"/>
      <c r="AD62" s="56"/>
      <c r="AE62" s="144"/>
      <c r="AF62" s="143" t="str">
        <f t="shared" si="1"/>
        <v/>
      </c>
      <c r="AG62" s="199" t="b">
        <f t="shared" si="0"/>
        <v>0</v>
      </c>
      <c r="AH62" s="144"/>
      <c r="AI62" s="151" t="s">
        <v>6</v>
      </c>
      <c r="AJ62" s="151" t="str">
        <f t="shared" si="4"/>
        <v>GUARULHOS</v>
      </c>
      <c r="AK62" s="61" t="s">
        <v>59</v>
      </c>
      <c r="AL62" s="53">
        <v>6.8062067125682635E-2</v>
      </c>
      <c r="AM62" s="53" t="str" cm="1">
        <f t="array" ref="AM62">IF(OR(O62&lt;&gt;"", SUMPRODUCT(($AN$2:$AN$561=AN62)*($AL$2:$AL$561&lt;=AL62)) &lt;= (COUNTIF($AN$2:$AN$561,AN62)*0.5)), "SORTEADO", "-")</f>
        <v>SORTEADO</v>
      </c>
      <c r="AN62" s="53" t="str">
        <f t="shared" si="3"/>
        <v>04/09/2026</v>
      </c>
    </row>
    <row r="63" spans="1:40" ht="30" hidden="1" customHeight="1" x14ac:dyDescent="0.2">
      <c r="A63" s="230" t="s">
        <v>197</v>
      </c>
      <c r="B63" s="230">
        <v>2614848460</v>
      </c>
      <c r="C63" s="230" t="s">
        <v>122</v>
      </c>
      <c r="D63" s="230" t="s">
        <v>108</v>
      </c>
      <c r="E63" s="230" t="s">
        <v>198</v>
      </c>
      <c r="F63" s="230" t="s">
        <v>242</v>
      </c>
      <c r="G63" s="230">
        <v>158</v>
      </c>
      <c r="H63" s="230" t="s">
        <v>213</v>
      </c>
      <c r="I63" s="230" t="s">
        <v>243</v>
      </c>
      <c r="J63" s="230" t="s">
        <v>2633</v>
      </c>
      <c r="K63" s="230" t="s">
        <v>2735</v>
      </c>
      <c r="L63" s="235" t="s">
        <v>726</v>
      </c>
      <c r="M63" s="235">
        <v>46269.322916666664</v>
      </c>
      <c r="N63" s="230" t="s">
        <v>244</v>
      </c>
      <c r="O63" s="157"/>
      <c r="P63" s="56"/>
      <c r="Q63" s="144"/>
      <c r="R63" s="56"/>
      <c r="S63" s="144"/>
      <c r="T63" s="56"/>
      <c r="U63" s="144"/>
      <c r="V63" s="56"/>
      <c r="W63" s="144"/>
      <c r="X63" s="56"/>
      <c r="Y63" s="144"/>
      <c r="Z63" s="56"/>
      <c r="AA63" s="144"/>
      <c r="AB63" s="56"/>
      <c r="AC63" s="144"/>
      <c r="AD63" s="56"/>
      <c r="AE63" s="144"/>
      <c r="AF63" s="143" t="str">
        <f t="shared" si="1"/>
        <v/>
      </c>
      <c r="AG63" s="199" t="b">
        <f t="shared" si="0"/>
        <v>0</v>
      </c>
      <c r="AH63" s="144"/>
      <c r="AI63" s="151" t="s">
        <v>6</v>
      </c>
      <c r="AJ63" s="151" t="str">
        <f t="shared" si="4"/>
        <v>GUARULHOS</v>
      </c>
      <c r="AK63" s="62" t="s">
        <v>59</v>
      </c>
      <c r="AL63" s="53">
        <v>0.36145679891667593</v>
      </c>
      <c r="AM63" s="53" t="str" cm="1">
        <f t="array" ref="AM63">IF(OR(O63&lt;&gt;"", SUMPRODUCT(($AN$2:$AN$561=AN63)*($AL$2:$AL$561&lt;=AL63)) &lt;= (COUNTIF($AN$2:$AN$561,AN63)*0.5)), "SORTEADO", "-")</f>
        <v>SORTEADO</v>
      </c>
      <c r="AN63" s="53" t="str">
        <f t="shared" si="3"/>
        <v>04/09/2026</v>
      </c>
    </row>
    <row r="64" spans="1:40" ht="30" hidden="1" customHeight="1" x14ac:dyDescent="0.2">
      <c r="A64" s="230" t="s">
        <v>197</v>
      </c>
      <c r="B64" s="230">
        <v>2614773973</v>
      </c>
      <c r="C64" s="230" t="s">
        <v>121</v>
      </c>
      <c r="D64" s="230" t="s">
        <v>110</v>
      </c>
      <c r="E64" s="230" t="s">
        <v>198</v>
      </c>
      <c r="F64" s="230" t="s">
        <v>829</v>
      </c>
      <c r="G64" s="230">
        <v>731</v>
      </c>
      <c r="H64" s="230"/>
      <c r="I64" s="230" t="s">
        <v>335</v>
      </c>
      <c r="J64" s="230" t="s">
        <v>2661</v>
      </c>
      <c r="K64" s="230"/>
      <c r="L64" s="235" t="s">
        <v>726</v>
      </c>
      <c r="M64" s="235">
        <v>46269.442361111112</v>
      </c>
      <c r="N64" s="230" t="s">
        <v>2646</v>
      </c>
      <c r="O64" s="157"/>
      <c r="P64" s="56"/>
      <c r="Q64" s="144"/>
      <c r="R64" s="56"/>
      <c r="S64" s="144"/>
      <c r="T64" s="56"/>
      <c r="U64" s="144"/>
      <c r="V64" s="56"/>
      <c r="W64" s="144"/>
      <c r="X64" s="56"/>
      <c r="Y64" s="144"/>
      <c r="Z64" s="56"/>
      <c r="AA64" s="144"/>
      <c r="AB64" s="56"/>
      <c r="AC64" s="144"/>
      <c r="AD64" s="56"/>
      <c r="AE64" s="144"/>
      <c r="AF64" s="143" t="str">
        <f t="shared" si="1"/>
        <v/>
      </c>
      <c r="AG64" s="199" t="b">
        <f t="shared" si="0"/>
        <v>0</v>
      </c>
      <c r="AH64" s="144"/>
      <c r="AI64" s="151" t="s">
        <v>6</v>
      </c>
      <c r="AJ64" s="151" t="str">
        <f t="shared" si="4"/>
        <v>GUARULHOS</v>
      </c>
      <c r="AK64" s="153" t="s">
        <v>59</v>
      </c>
      <c r="AL64" s="53">
        <v>0.82745806204160144</v>
      </c>
      <c r="AM64" s="53" t="str" cm="1">
        <f t="array" ref="AM64">IF(OR(O64&lt;&gt;"", SUMPRODUCT(($AN$2:$AN$561=AN64)*($AL$2:$AL$561&lt;=AL64)) &lt;= (COUNTIF($AN$2:$AN$561,AN64)*0.5)), "SORTEADO", "-")</f>
        <v>-</v>
      </c>
      <c r="AN64" s="53" t="str">
        <f t="shared" si="3"/>
        <v>04/09/2026</v>
      </c>
    </row>
    <row r="65" spans="1:40" ht="30" hidden="1" customHeight="1" x14ac:dyDescent="0.2">
      <c r="A65" s="230" t="s">
        <v>197</v>
      </c>
      <c r="B65" s="230">
        <v>2614847789</v>
      </c>
      <c r="C65" s="230" t="s">
        <v>122</v>
      </c>
      <c r="D65" s="230" t="s">
        <v>108</v>
      </c>
      <c r="E65" s="230" t="s">
        <v>198</v>
      </c>
      <c r="F65" s="230" t="s">
        <v>242</v>
      </c>
      <c r="G65" s="230">
        <v>128</v>
      </c>
      <c r="H65" s="230" t="s">
        <v>213</v>
      </c>
      <c r="I65" s="230" t="s">
        <v>243</v>
      </c>
      <c r="J65" s="230" t="s">
        <v>2633</v>
      </c>
      <c r="K65" s="230" t="s">
        <v>2736</v>
      </c>
      <c r="L65" s="235" t="s">
        <v>726</v>
      </c>
      <c r="M65" s="235">
        <v>46269.379861111112</v>
      </c>
      <c r="N65" s="230" t="s">
        <v>244</v>
      </c>
      <c r="O65" s="157"/>
      <c r="P65" s="56"/>
      <c r="Q65" s="144"/>
      <c r="R65" s="56"/>
      <c r="S65" s="144"/>
      <c r="T65" s="56"/>
      <c r="U65" s="144"/>
      <c r="V65" s="56"/>
      <c r="W65" s="144"/>
      <c r="X65" s="56"/>
      <c r="Y65" s="144"/>
      <c r="Z65" s="56"/>
      <c r="AA65" s="144"/>
      <c r="AB65" s="56"/>
      <c r="AC65" s="144"/>
      <c r="AD65" s="56"/>
      <c r="AE65" s="144"/>
      <c r="AF65" s="143" t="str">
        <f t="shared" si="1"/>
        <v/>
      </c>
      <c r="AG65" s="199" t="b">
        <f t="shared" ref="AG65:AG127" si="5">IF(AND(AE65="C",AF65="C"),"UTILIZOU O PDA CORRETAMENTE",IF(AND(AE65="C",AF65="NC"),"UTILIZOU O PDA CORRETAMENTE. NÃO HÁ FOTOS DE TODAS AS ETAPAS",IF(AND(AE65="NC",AF65="NC"),"NÃO UTILIZOU O PDA",IF(AND(AE65="NA",AF65="NA"),"NÃO AVALIADO POR FALHA DE SINCRONISMO"))))</f>
        <v>0</v>
      </c>
      <c r="AH65" s="144"/>
      <c r="AI65" s="151" t="s">
        <v>6</v>
      </c>
      <c r="AJ65" s="151" t="str">
        <f t="shared" si="4"/>
        <v>GUARULHOS</v>
      </c>
      <c r="AK65" s="61" t="s">
        <v>59</v>
      </c>
      <c r="AL65" s="53">
        <v>0.12435417183781494</v>
      </c>
      <c r="AM65" s="53" t="str" cm="1">
        <f t="array" ref="AM65">IF(OR(O65&lt;&gt;"", SUMPRODUCT(($AN$2:$AN$561=AN65)*($AL$2:$AL$561&lt;=AL65)) &lt;= (COUNTIF($AN$2:$AN$561,AN65)*0.5)), "SORTEADO", "-")</f>
        <v>SORTEADO</v>
      </c>
      <c r="AN65" s="53" t="str">
        <f t="shared" si="3"/>
        <v>04/09/2026</v>
      </c>
    </row>
    <row r="66" spans="1:40" ht="30" hidden="1" customHeight="1" x14ac:dyDescent="0.2">
      <c r="A66" s="230" t="s">
        <v>197</v>
      </c>
      <c r="B66" s="230">
        <v>2615057382</v>
      </c>
      <c r="C66" s="230" t="s">
        <v>2737</v>
      </c>
      <c r="D66" s="230" t="s">
        <v>111</v>
      </c>
      <c r="E66" s="230" t="s">
        <v>198</v>
      </c>
      <c r="F66" s="230" t="s">
        <v>2738</v>
      </c>
      <c r="G66" s="230">
        <v>14</v>
      </c>
      <c r="H66" s="230" t="s">
        <v>337</v>
      </c>
      <c r="I66" s="230" t="s">
        <v>200</v>
      </c>
      <c r="J66" s="230" t="s">
        <v>2739</v>
      </c>
      <c r="K66" s="230" t="s">
        <v>2740</v>
      </c>
      <c r="L66" s="235" t="s">
        <v>726</v>
      </c>
      <c r="M66" s="235">
        <v>46269.497916666667</v>
      </c>
      <c r="N66" s="230" t="s">
        <v>2638</v>
      </c>
      <c r="O66" s="157"/>
      <c r="P66" s="59"/>
      <c r="Q66" s="144"/>
      <c r="R66" s="59"/>
      <c r="S66" s="144"/>
      <c r="T66" s="59"/>
      <c r="U66" s="144"/>
      <c r="V66" s="59"/>
      <c r="W66" s="144"/>
      <c r="X66" s="59"/>
      <c r="Y66" s="144"/>
      <c r="Z66" s="59"/>
      <c r="AA66" s="144"/>
      <c r="AB66" s="59"/>
      <c r="AC66" s="144"/>
      <c r="AD66" s="59"/>
      <c r="AE66" s="144"/>
      <c r="AF66" s="143" t="str">
        <f t="shared" ref="AF66:AF128" si="6">IF(AND(O66="",Q66="",S66="",U66="",W66="",Y66="",AA66="",AC66=""),"",IF(OR(AND(O66&lt;&gt;"NA",O66&lt;&gt;"C",O66&lt;&gt;"NC",O66&lt;&gt;"SF",O66&lt;&gt;""),AND(Q66&lt;&gt;"NA",Q66&lt;&gt;"C",Q66&lt;&gt;"NC",Q66&lt;&gt;"SF",Q66&lt;&gt;""),AND(S66&lt;&gt;"NA",S66&lt;&gt;"C",S66&lt;&gt;"NC",S66&lt;&gt;"SF",S66&lt;&gt;""),AND(U66&lt;&gt;"NA",U66&lt;&gt;"C",U66&lt;&gt;"NC",U66&lt;&gt;"SF",U66&lt;&gt;""),AND(W66&lt;&gt;"NA",W66&lt;&gt;"C",W66&lt;&gt;"NC",W66&lt;&gt;"SF",W66&lt;&gt;""),AND(Y66&lt;&gt;"NA",Y66&lt;&gt;"C",Y66&lt;&gt;"NC",Y66&lt;&gt;"SF",Y66&lt;&gt;""),AND(AA66&lt;&gt;"NA",AA66&lt;&gt;"C",AA66&lt;&gt;"NC",AA66&lt;&gt;"SF",AA66&lt;&gt;""),AND(AC66&lt;&gt;"NA",AC66&lt;&gt;"C",AC66&lt;&gt;"NC",AC66&lt;&gt;"SF",AC66&lt;&gt;"")),"FALSO",IF(AND(O66="NA",Q66="NA",S66="NA",U66="NA",W66="NA",Y66="NA",AA66="NA",AC66="NA"),"NA",IF(OR(O66="NC",Q66="NC",S66="NC",U66="NC",W66="NC",Y66="NC",AA66="NC",AC66="NC",O66="SF",Q66="SF",S66="SF",U66="SF",W66="SF",Y66="SF",AA66="SF",AC66="SF"),"NC",IF(OR(O66="C",Q66="C",S66="C",U66="C",W66="C",Y66="C",AA66="C",AC66="C"),"C","")))))</f>
        <v/>
      </c>
      <c r="AG66" s="199" t="b">
        <f t="shared" si="5"/>
        <v>0</v>
      </c>
      <c r="AH66" s="144"/>
      <c r="AI66" s="151" t="s">
        <v>6</v>
      </c>
      <c r="AJ66" s="151" t="str">
        <f t="shared" si="4"/>
        <v>GUARULHOS</v>
      </c>
      <c r="AK66" s="61" t="s">
        <v>59</v>
      </c>
      <c r="AL66" s="53">
        <v>0.75429834716305366</v>
      </c>
      <c r="AM66" s="53" t="str" cm="1">
        <f t="array" ref="AM66">IF(OR(O66&lt;&gt;"", SUMPRODUCT(($AN$2:$AN$561=AN66)*($AL$2:$AL$561&lt;=AL66)) &lt;= (COUNTIF($AN$2:$AN$561,AN66)*0.5)), "SORTEADO", "-")</f>
        <v>-</v>
      </c>
      <c r="AN66" s="53" t="str">
        <f t="shared" si="3"/>
        <v>04/09/2026</v>
      </c>
    </row>
    <row r="67" spans="1:40" ht="30" hidden="1" customHeight="1" x14ac:dyDescent="0.2">
      <c r="A67" s="230" t="s">
        <v>197</v>
      </c>
      <c r="B67" s="230">
        <v>2614835616</v>
      </c>
      <c r="C67" s="230" t="s">
        <v>2741</v>
      </c>
      <c r="D67" s="230" t="s">
        <v>111</v>
      </c>
      <c r="E67" s="230" t="s">
        <v>198</v>
      </c>
      <c r="F67" s="230" t="s">
        <v>319</v>
      </c>
      <c r="G67" s="230">
        <v>212</v>
      </c>
      <c r="H67" s="230" t="s">
        <v>213</v>
      </c>
      <c r="I67" s="230" t="s">
        <v>281</v>
      </c>
      <c r="J67" s="230" t="s">
        <v>2742</v>
      </c>
      <c r="K67" s="230" t="s">
        <v>213</v>
      </c>
      <c r="L67" s="235" t="s">
        <v>726</v>
      </c>
      <c r="M67" s="235">
        <v>46269.753472222219</v>
      </c>
      <c r="N67" s="230" t="s">
        <v>2634</v>
      </c>
      <c r="O67" s="157"/>
      <c r="P67" s="92"/>
      <c r="Q67" s="144"/>
      <c r="R67" s="92"/>
      <c r="S67" s="144"/>
      <c r="T67" s="92"/>
      <c r="U67" s="144"/>
      <c r="V67" s="92"/>
      <c r="W67" s="144"/>
      <c r="X67" s="92"/>
      <c r="Y67" s="144"/>
      <c r="Z67" s="92"/>
      <c r="AA67" s="144"/>
      <c r="AB67" s="92"/>
      <c r="AC67" s="144"/>
      <c r="AD67" s="92"/>
      <c r="AE67" s="144"/>
      <c r="AF67" s="143" t="str">
        <f t="shared" si="6"/>
        <v/>
      </c>
      <c r="AG67" s="199" t="b">
        <f t="shared" si="5"/>
        <v>0</v>
      </c>
      <c r="AH67" s="144"/>
      <c r="AI67" s="154" t="s">
        <v>6</v>
      </c>
      <c r="AJ67" s="151" t="str">
        <f t="shared" si="4"/>
        <v>GUARULHOS</v>
      </c>
      <c r="AK67" s="155" t="s">
        <v>59</v>
      </c>
      <c r="AL67" s="53">
        <v>0.76305818351063637</v>
      </c>
      <c r="AM67" s="53" t="str" cm="1">
        <f t="array" ref="AM67">IF(OR(O67&lt;&gt;"", SUMPRODUCT(($AN$2:$AN$561=AN67)*($AL$2:$AL$561&lt;=AL67)) &lt;= (COUNTIF($AN$2:$AN$561,AN67)*0.5)), "SORTEADO", "-")</f>
        <v>-</v>
      </c>
      <c r="AN67" s="53" t="str">
        <f t="shared" ref="AN67:AN83" si="7">TEXT(L67, "mm/dd/aaaa")</f>
        <v>04/09/2026</v>
      </c>
    </row>
    <row r="68" spans="1:40" ht="30" customHeight="1" x14ac:dyDescent="0.2">
      <c r="A68" s="230" t="s">
        <v>197</v>
      </c>
      <c r="B68" s="230">
        <v>2615110107</v>
      </c>
      <c r="C68" s="230" t="s">
        <v>120</v>
      </c>
      <c r="D68" s="230" t="s">
        <v>111</v>
      </c>
      <c r="E68" s="230" t="s">
        <v>198</v>
      </c>
      <c r="F68" s="230" t="s">
        <v>1845</v>
      </c>
      <c r="G68" s="230">
        <v>210</v>
      </c>
      <c r="H68" s="230" t="s">
        <v>2743</v>
      </c>
      <c r="I68" s="230" t="s">
        <v>588</v>
      </c>
      <c r="J68" s="230" t="s">
        <v>2637</v>
      </c>
      <c r="K68" s="230" t="s">
        <v>2744</v>
      </c>
      <c r="L68" s="235" t="s">
        <v>726</v>
      </c>
      <c r="M68" s="235">
        <v>46269.749305555553</v>
      </c>
      <c r="N68" s="230" t="s">
        <v>2640</v>
      </c>
      <c r="O68" s="157"/>
      <c r="P68" s="92"/>
      <c r="Q68" s="144"/>
      <c r="R68" s="92"/>
      <c r="S68" s="144"/>
      <c r="T68" s="92"/>
      <c r="U68" s="144"/>
      <c r="V68" s="92"/>
      <c r="W68" s="144"/>
      <c r="X68" s="92"/>
      <c r="Y68" s="144"/>
      <c r="Z68" s="92"/>
      <c r="AA68" s="144"/>
      <c r="AB68" s="92"/>
      <c r="AC68" s="144"/>
      <c r="AD68" s="92"/>
      <c r="AE68" s="144"/>
      <c r="AF68" s="143" t="str">
        <f t="shared" si="6"/>
        <v/>
      </c>
      <c r="AG68" s="199" t="b">
        <f t="shared" si="5"/>
        <v>0</v>
      </c>
      <c r="AH68" s="144"/>
      <c r="AI68" s="154" t="s">
        <v>6</v>
      </c>
      <c r="AJ68" s="151" t="str">
        <f t="shared" si="4"/>
        <v>GUARULHOS</v>
      </c>
      <c r="AK68" s="155" t="s">
        <v>59</v>
      </c>
      <c r="AL68" s="53">
        <v>0.72158208935905088</v>
      </c>
      <c r="AM68" s="53" t="str" cm="1">
        <f t="array" ref="AM68">IF(OR(O68&lt;&gt;"", SUMPRODUCT(($AN$2:$AN$561=AN68)*($AL$2:$AL$561&lt;=AL68)) &lt;= (COUNTIF($AN$2:$AN$561,AN68)*0.5)), "SORTEADO", "-")</f>
        <v>-</v>
      </c>
      <c r="AN68" s="53" t="str">
        <f t="shared" si="7"/>
        <v>04/09/2026</v>
      </c>
    </row>
    <row r="69" spans="1:40" ht="30" hidden="1" customHeight="1" x14ac:dyDescent="0.2">
      <c r="A69" s="230" t="s">
        <v>197</v>
      </c>
      <c r="B69" s="230">
        <v>2615135533</v>
      </c>
      <c r="C69" s="230" t="s">
        <v>115</v>
      </c>
      <c r="D69" s="230" t="s">
        <v>108</v>
      </c>
      <c r="E69" s="230" t="s">
        <v>198</v>
      </c>
      <c r="F69" s="230" t="s">
        <v>1845</v>
      </c>
      <c r="G69" s="230">
        <v>210</v>
      </c>
      <c r="H69" s="230" t="s">
        <v>2743</v>
      </c>
      <c r="I69" s="230" t="s">
        <v>588</v>
      </c>
      <c r="J69" s="230" t="s">
        <v>2644</v>
      </c>
      <c r="K69" s="230" t="s">
        <v>2745</v>
      </c>
      <c r="L69" s="235" t="s">
        <v>726</v>
      </c>
      <c r="M69" s="235">
        <v>46269.75277777778</v>
      </c>
      <c r="N69" s="230" t="s">
        <v>2640</v>
      </c>
      <c r="O69" s="157"/>
      <c r="P69" s="92"/>
      <c r="Q69" s="144"/>
      <c r="R69" s="92"/>
      <c r="S69" s="144"/>
      <c r="T69" s="92"/>
      <c r="U69" s="144"/>
      <c r="V69" s="92"/>
      <c r="W69" s="144"/>
      <c r="X69" s="92"/>
      <c r="Y69" s="144"/>
      <c r="Z69" s="92"/>
      <c r="AA69" s="144"/>
      <c r="AB69" s="92"/>
      <c r="AC69" s="144"/>
      <c r="AD69" s="92"/>
      <c r="AE69" s="144"/>
      <c r="AF69" s="143" t="str">
        <f t="shared" si="6"/>
        <v/>
      </c>
      <c r="AG69" s="199" t="b">
        <f t="shared" si="5"/>
        <v>0</v>
      </c>
      <c r="AH69" s="144"/>
      <c r="AI69" s="154" t="s">
        <v>6</v>
      </c>
      <c r="AJ69" s="151" t="str">
        <f t="shared" si="4"/>
        <v>GUARULHOS</v>
      </c>
      <c r="AK69" s="155" t="s">
        <v>59</v>
      </c>
      <c r="AL69" s="53">
        <v>2.7551675463626801E-2</v>
      </c>
      <c r="AM69" s="53" t="str" cm="1">
        <f t="array" ref="AM69">IF(OR(O69&lt;&gt;"", SUMPRODUCT(($AN$2:$AN$561=AN69)*($AL$2:$AL$561&lt;=AL69)) &lt;= (COUNTIF($AN$2:$AN$561,AN69)*0.5)), "SORTEADO", "-")</f>
        <v>SORTEADO</v>
      </c>
      <c r="AN69" s="53" t="str">
        <f t="shared" si="7"/>
        <v>04/09/2026</v>
      </c>
    </row>
    <row r="70" spans="1:40" ht="30" hidden="1" customHeight="1" x14ac:dyDescent="0.2">
      <c r="A70" s="230" t="s">
        <v>197</v>
      </c>
      <c r="B70" s="230">
        <v>2614505545</v>
      </c>
      <c r="C70" s="230" t="s">
        <v>2673</v>
      </c>
      <c r="D70" s="230" t="s">
        <v>111</v>
      </c>
      <c r="E70" s="230" t="s">
        <v>198</v>
      </c>
      <c r="F70" s="230" t="s">
        <v>2746</v>
      </c>
      <c r="G70" s="230">
        <v>347</v>
      </c>
      <c r="H70" s="230" t="s">
        <v>246</v>
      </c>
      <c r="I70" s="230" t="s">
        <v>2747</v>
      </c>
      <c r="J70" s="230" t="s">
        <v>2674</v>
      </c>
      <c r="K70" s="230" t="s">
        <v>2748</v>
      </c>
      <c r="L70" s="235" t="s">
        <v>793</v>
      </c>
      <c r="M70" s="235">
        <v>46299.473611111112</v>
      </c>
      <c r="N70" s="230" t="s">
        <v>2640</v>
      </c>
      <c r="O70" s="157"/>
      <c r="P70" s="92"/>
      <c r="Q70" s="144"/>
      <c r="R70" s="92"/>
      <c r="S70" s="144"/>
      <c r="T70" s="92"/>
      <c r="U70" s="144"/>
      <c r="V70" s="92"/>
      <c r="W70" s="144"/>
      <c r="X70" s="92"/>
      <c r="Y70" s="144"/>
      <c r="Z70" s="92"/>
      <c r="AA70" s="144"/>
      <c r="AB70" s="92"/>
      <c r="AC70" s="144"/>
      <c r="AD70" s="92"/>
      <c r="AE70" s="144"/>
      <c r="AF70" s="143" t="str">
        <f t="shared" si="6"/>
        <v/>
      </c>
      <c r="AG70" s="199" t="b">
        <f t="shared" si="5"/>
        <v>0</v>
      </c>
      <c r="AH70" s="144"/>
      <c r="AI70" s="154" t="s">
        <v>6</v>
      </c>
      <c r="AJ70" s="151" t="str">
        <f t="shared" si="4"/>
        <v>GUARULHOS</v>
      </c>
      <c r="AK70" s="155" t="s">
        <v>59</v>
      </c>
      <c r="AL70" s="53">
        <v>0.95085735489273882</v>
      </c>
      <c r="AM70" s="53" t="str" cm="1">
        <f t="array" ref="AM70">IF(OR(O70&lt;&gt;"", SUMPRODUCT(($AN$2:$AN$561=AN70)*($AL$2:$AL$561&lt;=AL70)) &lt;= (COUNTIF($AN$2:$AN$561,AN70)*0.5)), "SORTEADO", "-")</f>
        <v>-</v>
      </c>
      <c r="AN70" s="53" t="str">
        <f t="shared" si="7"/>
        <v>04/10/2026</v>
      </c>
    </row>
    <row r="71" spans="1:40" ht="30" hidden="1" customHeight="1" x14ac:dyDescent="0.2">
      <c r="A71" s="230" t="s">
        <v>197</v>
      </c>
      <c r="B71" s="230">
        <v>2614844750</v>
      </c>
      <c r="C71" s="230" t="s">
        <v>122</v>
      </c>
      <c r="D71" s="230" t="s">
        <v>108</v>
      </c>
      <c r="E71" s="230" t="s">
        <v>198</v>
      </c>
      <c r="F71" s="230" t="s">
        <v>826</v>
      </c>
      <c r="G71" s="230">
        <v>320</v>
      </c>
      <c r="H71" s="230"/>
      <c r="I71" s="230" t="s">
        <v>363</v>
      </c>
      <c r="J71" s="230" t="s">
        <v>2633</v>
      </c>
      <c r="K71" s="230" t="s">
        <v>2749</v>
      </c>
      <c r="L71" s="235" t="s">
        <v>793</v>
      </c>
      <c r="M71" s="235">
        <v>46299.484027777777</v>
      </c>
      <c r="N71" s="230" t="s">
        <v>2646</v>
      </c>
      <c r="O71" s="158"/>
      <c r="P71" s="92"/>
      <c r="Q71" s="146"/>
      <c r="R71" s="92"/>
      <c r="S71" s="146"/>
      <c r="T71" s="92"/>
      <c r="U71" s="146"/>
      <c r="V71" s="92"/>
      <c r="W71" s="146"/>
      <c r="X71" s="92"/>
      <c r="Y71" s="146"/>
      <c r="Z71" s="92"/>
      <c r="AA71" s="146"/>
      <c r="AB71" s="92"/>
      <c r="AC71" s="146"/>
      <c r="AD71" s="92"/>
      <c r="AE71" s="146"/>
      <c r="AF71" s="143" t="str">
        <f t="shared" si="6"/>
        <v/>
      </c>
      <c r="AG71" s="199" t="b">
        <f t="shared" si="5"/>
        <v>0</v>
      </c>
      <c r="AH71" s="146"/>
      <c r="AI71" s="154" t="s">
        <v>6</v>
      </c>
      <c r="AJ71" s="151" t="str">
        <f t="shared" si="4"/>
        <v>GUARULHOS</v>
      </c>
      <c r="AK71" s="155" t="s">
        <v>59</v>
      </c>
      <c r="AL71" s="53">
        <v>0.34985747038081738</v>
      </c>
      <c r="AM71" s="53" t="str" cm="1">
        <f t="array" ref="AM71">IF(OR(O71&lt;&gt;"", SUMPRODUCT(($AN$2:$AN$561=AN71)*($AL$2:$AL$561&lt;=AL71)) &lt;= (COUNTIF($AN$2:$AN$561,AN71)*0.5)), "SORTEADO", "-")</f>
        <v>-</v>
      </c>
      <c r="AN71" s="53" t="str">
        <f t="shared" si="7"/>
        <v>04/10/2026</v>
      </c>
    </row>
    <row r="72" spans="1:40" ht="30" hidden="1" customHeight="1" x14ac:dyDescent="0.2">
      <c r="A72" s="230" t="s">
        <v>197</v>
      </c>
      <c r="B72" s="230">
        <v>2615137754</v>
      </c>
      <c r="C72" s="230" t="s">
        <v>122</v>
      </c>
      <c r="D72" s="230" t="s">
        <v>108</v>
      </c>
      <c r="E72" s="230" t="s">
        <v>198</v>
      </c>
      <c r="F72" s="230" t="s">
        <v>2750</v>
      </c>
      <c r="G72" s="230">
        <v>63</v>
      </c>
      <c r="H72" s="230" t="s">
        <v>2751</v>
      </c>
      <c r="I72" s="230" t="s">
        <v>200</v>
      </c>
      <c r="J72" s="230" t="s">
        <v>2633</v>
      </c>
      <c r="K72" s="230" t="s">
        <v>2752</v>
      </c>
      <c r="L72" s="235" t="s">
        <v>793</v>
      </c>
      <c r="M72" s="235">
        <v>46299.7</v>
      </c>
      <c r="N72" s="230" t="s">
        <v>2646</v>
      </c>
      <c r="O72" s="158"/>
      <c r="P72" s="92"/>
      <c r="Q72" s="146"/>
      <c r="R72" s="92"/>
      <c r="S72" s="146"/>
      <c r="T72" s="92"/>
      <c r="U72" s="146"/>
      <c r="V72" s="92"/>
      <c r="W72" s="146"/>
      <c r="X72" s="92"/>
      <c r="Y72" s="146"/>
      <c r="Z72" s="92"/>
      <c r="AA72" s="146"/>
      <c r="AB72" s="92"/>
      <c r="AC72" s="146"/>
      <c r="AD72" s="92"/>
      <c r="AE72" s="146"/>
      <c r="AF72" s="143" t="str">
        <f t="shared" si="6"/>
        <v/>
      </c>
      <c r="AG72" s="199" t="b">
        <f t="shared" si="5"/>
        <v>0</v>
      </c>
      <c r="AH72" s="146"/>
      <c r="AI72" s="154" t="s">
        <v>6</v>
      </c>
      <c r="AJ72" s="151" t="str">
        <f t="shared" si="4"/>
        <v>GUARULHOS</v>
      </c>
      <c r="AK72" s="155" t="s">
        <v>59</v>
      </c>
      <c r="AL72" s="53">
        <v>7.2891909002558708E-2</v>
      </c>
      <c r="AM72" s="53" t="str" cm="1">
        <f t="array" ref="AM72">IF(OR(O72&lt;&gt;"", SUMPRODUCT(($AN$2:$AN$561=AN72)*($AL$2:$AL$561&lt;=AL72)) &lt;= (COUNTIF($AN$2:$AN$561,AN72)*0.5)), "SORTEADO", "-")</f>
        <v>SORTEADO</v>
      </c>
      <c r="AN72" s="53" t="str">
        <f t="shared" si="7"/>
        <v>04/10/2026</v>
      </c>
    </row>
    <row r="73" spans="1:40" ht="30" hidden="1" customHeight="1" x14ac:dyDescent="0.2">
      <c r="A73" s="230" t="s">
        <v>197</v>
      </c>
      <c r="B73" s="230">
        <v>2615278295</v>
      </c>
      <c r="C73" s="230" t="s">
        <v>121</v>
      </c>
      <c r="D73" s="230" t="s">
        <v>110</v>
      </c>
      <c r="E73" s="230" t="s">
        <v>198</v>
      </c>
      <c r="F73" s="230" t="s">
        <v>2753</v>
      </c>
      <c r="G73" s="230">
        <v>202</v>
      </c>
      <c r="H73" s="230" t="s">
        <v>213</v>
      </c>
      <c r="I73" s="230" t="s">
        <v>394</v>
      </c>
      <c r="J73" s="230" t="s">
        <v>2661</v>
      </c>
      <c r="K73" s="230" t="s">
        <v>213</v>
      </c>
      <c r="L73" s="235" t="s">
        <v>793</v>
      </c>
      <c r="M73" s="235">
        <v>46299.607638888891</v>
      </c>
      <c r="N73" s="230" t="s">
        <v>2634</v>
      </c>
      <c r="O73" s="158"/>
      <c r="P73" s="92"/>
      <c r="Q73" s="146"/>
      <c r="R73" s="92"/>
      <c r="S73" s="146"/>
      <c r="T73" s="92"/>
      <c r="U73" s="146"/>
      <c r="V73" s="92"/>
      <c r="W73" s="146"/>
      <c r="X73" s="92"/>
      <c r="Y73" s="146"/>
      <c r="Z73" s="92"/>
      <c r="AA73" s="146"/>
      <c r="AB73" s="92"/>
      <c r="AC73" s="146"/>
      <c r="AD73" s="92"/>
      <c r="AE73" s="146"/>
      <c r="AF73" s="143" t="str">
        <f t="shared" si="6"/>
        <v/>
      </c>
      <c r="AG73" s="199" t="b">
        <f t="shared" si="5"/>
        <v>0</v>
      </c>
      <c r="AH73" s="146"/>
      <c r="AI73" s="154" t="s">
        <v>6</v>
      </c>
      <c r="AJ73" s="151" t="str">
        <f t="shared" si="4"/>
        <v>GUARULHOS</v>
      </c>
      <c r="AK73" s="155" t="s">
        <v>59</v>
      </c>
      <c r="AL73" s="53">
        <v>0.11047336951314057</v>
      </c>
      <c r="AM73" s="53" t="str" cm="1">
        <f t="array" ref="AM73">IF(OR(O73&lt;&gt;"", SUMPRODUCT(($AN$2:$AN$561=AN73)*($AL$2:$AL$561&lt;=AL73)) &lt;= (COUNTIF($AN$2:$AN$561,AN73)*0.5)), "SORTEADO", "-")</f>
        <v>SORTEADO</v>
      </c>
      <c r="AN73" s="53" t="str">
        <f t="shared" si="7"/>
        <v>04/10/2026</v>
      </c>
    </row>
    <row r="74" spans="1:40" ht="30" customHeight="1" x14ac:dyDescent="0.2">
      <c r="A74" s="230" t="s">
        <v>197</v>
      </c>
      <c r="B74" s="230">
        <v>2615140881</v>
      </c>
      <c r="C74" s="230" t="s">
        <v>120</v>
      </c>
      <c r="D74" s="230" t="s">
        <v>111</v>
      </c>
      <c r="E74" s="230" t="s">
        <v>198</v>
      </c>
      <c r="F74" s="230" t="s">
        <v>2754</v>
      </c>
      <c r="G74" s="230">
        <v>66</v>
      </c>
      <c r="H74" s="230"/>
      <c r="I74" s="230" t="s">
        <v>335</v>
      </c>
      <c r="J74" s="230" t="s">
        <v>2637</v>
      </c>
      <c r="K74" s="230"/>
      <c r="L74" s="235" t="s">
        <v>793</v>
      </c>
      <c r="M74" s="235">
        <v>46299.680555555555</v>
      </c>
      <c r="N74" s="230" t="s">
        <v>2640</v>
      </c>
      <c r="O74" s="158"/>
      <c r="P74" s="92"/>
      <c r="Q74" s="146"/>
      <c r="R74" s="92"/>
      <c r="S74" s="146"/>
      <c r="T74" s="92"/>
      <c r="U74" s="146"/>
      <c r="V74" s="92"/>
      <c r="W74" s="146"/>
      <c r="X74" s="92"/>
      <c r="Y74" s="146"/>
      <c r="Z74" s="92"/>
      <c r="AA74" s="146"/>
      <c r="AB74" s="92"/>
      <c r="AC74" s="146"/>
      <c r="AD74" s="92"/>
      <c r="AE74" s="146"/>
      <c r="AF74" s="143" t="str">
        <f t="shared" si="6"/>
        <v/>
      </c>
      <c r="AG74" s="199" t="b">
        <f t="shared" si="5"/>
        <v>0</v>
      </c>
      <c r="AH74" s="146"/>
      <c r="AI74" s="154" t="s">
        <v>6</v>
      </c>
      <c r="AJ74" s="151" t="str">
        <f t="shared" si="4"/>
        <v>GUARULHOS</v>
      </c>
      <c r="AK74" s="155" t="s">
        <v>59</v>
      </c>
      <c r="AL74" s="53">
        <v>0.80045939477229078</v>
      </c>
      <c r="AM74" s="53" t="str" cm="1">
        <f t="array" ref="AM74">IF(OR(O74&lt;&gt;"", SUMPRODUCT(($AN$2:$AN$561=AN74)*($AL$2:$AL$561&lt;=AL74)) &lt;= (COUNTIF($AN$2:$AN$561,AN74)*0.5)), "SORTEADO", "-")</f>
        <v>-</v>
      </c>
      <c r="AN74" s="53" t="str">
        <f t="shared" si="7"/>
        <v>04/10/2026</v>
      </c>
    </row>
    <row r="75" spans="1:40" ht="30" customHeight="1" x14ac:dyDescent="0.2">
      <c r="A75" s="230" t="s">
        <v>197</v>
      </c>
      <c r="B75" s="230">
        <v>2615323431</v>
      </c>
      <c r="C75" s="230" t="s">
        <v>120</v>
      </c>
      <c r="D75" s="230" t="s">
        <v>111</v>
      </c>
      <c r="E75" s="230" t="s">
        <v>198</v>
      </c>
      <c r="F75" s="230" t="s">
        <v>2755</v>
      </c>
      <c r="G75" s="230">
        <v>126</v>
      </c>
      <c r="H75" s="230" t="s">
        <v>2756</v>
      </c>
      <c r="I75" s="230" t="s">
        <v>207</v>
      </c>
      <c r="J75" s="230" t="s">
        <v>2688</v>
      </c>
      <c r="K75" s="230"/>
      <c r="L75" s="235" t="s">
        <v>802</v>
      </c>
      <c r="M75" s="235">
        <v>46330.704861111109</v>
      </c>
      <c r="N75" s="230" t="s">
        <v>2757</v>
      </c>
      <c r="O75" s="158"/>
      <c r="P75" s="92"/>
      <c r="Q75" s="146"/>
      <c r="R75" s="92"/>
      <c r="S75" s="146"/>
      <c r="T75" s="92"/>
      <c r="U75" s="146"/>
      <c r="V75" s="92"/>
      <c r="W75" s="146"/>
      <c r="X75" s="92"/>
      <c r="Y75" s="146"/>
      <c r="Z75" s="92"/>
      <c r="AA75" s="146"/>
      <c r="AB75" s="92"/>
      <c r="AC75" s="146"/>
      <c r="AD75" s="92"/>
      <c r="AE75" s="146"/>
      <c r="AF75" s="143" t="str">
        <f t="shared" si="6"/>
        <v/>
      </c>
      <c r="AG75" s="199" t="b">
        <f t="shared" si="5"/>
        <v>0</v>
      </c>
      <c r="AH75" s="146"/>
      <c r="AI75" s="154" t="s">
        <v>6</v>
      </c>
      <c r="AJ75" s="151" t="str">
        <f t="shared" si="4"/>
        <v>GUARULHOS</v>
      </c>
      <c r="AK75" s="155" t="s">
        <v>59</v>
      </c>
      <c r="AL75" s="53">
        <v>0.78441375668707758</v>
      </c>
      <c r="AM75" s="53" t="str" cm="1">
        <f t="array" ref="AM75">IF(OR(O75&lt;&gt;"", SUMPRODUCT(($AN$2:$AN$561=AN75)*($AL$2:$AL$561&lt;=AL75)) &lt;= (COUNTIF($AN$2:$AN$561,AN75)*0.5)), "SORTEADO", "-")</f>
        <v>-</v>
      </c>
      <c r="AN75" s="53" t="str">
        <f t="shared" si="7"/>
        <v>04/11/2026</v>
      </c>
    </row>
    <row r="76" spans="1:40" ht="30" hidden="1" customHeight="1" x14ac:dyDescent="0.2">
      <c r="A76" s="230" t="s">
        <v>197</v>
      </c>
      <c r="B76" s="230">
        <v>2615297634</v>
      </c>
      <c r="C76" s="230" t="s">
        <v>122</v>
      </c>
      <c r="D76" s="230" t="s">
        <v>108</v>
      </c>
      <c r="E76" s="230" t="s">
        <v>198</v>
      </c>
      <c r="F76" s="230" t="s">
        <v>299</v>
      </c>
      <c r="G76" s="230">
        <v>545</v>
      </c>
      <c r="H76" s="230" t="s">
        <v>2758</v>
      </c>
      <c r="I76" s="230" t="s">
        <v>301</v>
      </c>
      <c r="J76" s="230" t="s">
        <v>2633</v>
      </c>
      <c r="K76" s="230" t="s">
        <v>213</v>
      </c>
      <c r="L76" s="235" t="s">
        <v>802</v>
      </c>
      <c r="M76" s="235">
        <v>46330.482638888891</v>
      </c>
      <c r="N76" s="230" t="s">
        <v>2759</v>
      </c>
      <c r="O76" s="158"/>
      <c r="P76" s="92"/>
      <c r="Q76" s="146"/>
      <c r="R76" s="92"/>
      <c r="S76" s="146"/>
      <c r="T76" s="92"/>
      <c r="U76" s="146"/>
      <c r="V76" s="92"/>
      <c r="W76" s="146"/>
      <c r="X76" s="92"/>
      <c r="Y76" s="146"/>
      <c r="Z76" s="92"/>
      <c r="AA76" s="146"/>
      <c r="AB76" s="92"/>
      <c r="AC76" s="146"/>
      <c r="AD76" s="92"/>
      <c r="AE76" s="146"/>
      <c r="AF76" s="143" t="str">
        <f t="shared" si="6"/>
        <v/>
      </c>
      <c r="AG76" s="199" t="b">
        <f t="shared" si="5"/>
        <v>0</v>
      </c>
      <c r="AH76" s="146"/>
      <c r="AI76" s="154" t="s">
        <v>6</v>
      </c>
      <c r="AJ76" s="151" t="str">
        <f t="shared" si="4"/>
        <v>GUARULHOS</v>
      </c>
      <c r="AK76" s="155" t="s">
        <v>59</v>
      </c>
      <c r="AL76" s="53">
        <v>0.31048509544283753</v>
      </c>
      <c r="AM76" s="53" t="str" cm="1">
        <f t="array" ref="AM76">IF(OR(O76&lt;&gt;"", SUMPRODUCT(($AN$2:$AN$561=AN76)*($AL$2:$AL$561&lt;=AL76)) &lt;= (COUNTIF($AN$2:$AN$561,AN76)*0.5)), "SORTEADO", "-")</f>
        <v>-</v>
      </c>
      <c r="AN76" s="53" t="str">
        <f t="shared" si="7"/>
        <v>04/11/2026</v>
      </c>
    </row>
    <row r="77" spans="1:40" ht="30" hidden="1" customHeight="1" x14ac:dyDescent="0.2">
      <c r="A77" s="230" t="s">
        <v>197</v>
      </c>
      <c r="B77" s="230">
        <v>2615143062</v>
      </c>
      <c r="C77" s="230" t="s">
        <v>122</v>
      </c>
      <c r="D77" s="230" t="s">
        <v>108</v>
      </c>
      <c r="E77" s="230" t="s">
        <v>198</v>
      </c>
      <c r="F77" s="230" t="s">
        <v>2760</v>
      </c>
      <c r="G77" s="230">
        <v>25</v>
      </c>
      <c r="H77" s="230" t="s">
        <v>2761</v>
      </c>
      <c r="I77" s="230" t="s">
        <v>2455</v>
      </c>
      <c r="J77" s="230" t="s">
        <v>2633</v>
      </c>
      <c r="K77" s="230" t="s">
        <v>2762</v>
      </c>
      <c r="L77" s="235" t="s">
        <v>802</v>
      </c>
      <c r="M77" s="235">
        <v>46330.417361111111</v>
      </c>
      <c r="N77" s="230" t="s">
        <v>2634</v>
      </c>
      <c r="O77" s="158"/>
      <c r="P77" s="92"/>
      <c r="Q77" s="146"/>
      <c r="R77" s="92"/>
      <c r="S77" s="146"/>
      <c r="T77" s="92"/>
      <c r="U77" s="146"/>
      <c r="V77" s="92"/>
      <c r="W77" s="146"/>
      <c r="X77" s="92"/>
      <c r="Y77" s="146"/>
      <c r="Z77" s="92"/>
      <c r="AA77" s="146"/>
      <c r="AB77" s="92"/>
      <c r="AC77" s="146"/>
      <c r="AD77" s="92"/>
      <c r="AE77" s="146"/>
      <c r="AF77" s="143" t="str">
        <f t="shared" si="6"/>
        <v/>
      </c>
      <c r="AG77" s="199" t="b">
        <f t="shared" si="5"/>
        <v>0</v>
      </c>
      <c r="AH77" s="146"/>
      <c r="AI77" s="154" t="s">
        <v>6</v>
      </c>
      <c r="AJ77" s="151" t="str">
        <f t="shared" si="4"/>
        <v>GUARULHOS</v>
      </c>
      <c r="AK77" s="155" t="s">
        <v>59</v>
      </c>
      <c r="AL77" s="53">
        <v>0.39855200951851755</v>
      </c>
      <c r="AM77" s="53" t="str" cm="1">
        <f t="array" ref="AM77">IF(OR(O77&lt;&gt;"", SUMPRODUCT(($AN$2:$AN$561=AN77)*($AL$2:$AL$561&lt;=AL77)) &lt;= (COUNTIF($AN$2:$AN$561,AN77)*0.5)), "SORTEADO", "-")</f>
        <v>-</v>
      </c>
      <c r="AN77" s="53" t="str">
        <f t="shared" si="7"/>
        <v>04/11/2026</v>
      </c>
    </row>
    <row r="78" spans="1:40" ht="30" hidden="1" customHeight="1" x14ac:dyDescent="0.2">
      <c r="A78" s="230" t="s">
        <v>197</v>
      </c>
      <c r="B78" s="230">
        <v>2615298560</v>
      </c>
      <c r="C78" s="230" t="s">
        <v>122</v>
      </c>
      <c r="D78" s="230" t="s">
        <v>108</v>
      </c>
      <c r="E78" s="230" t="s">
        <v>198</v>
      </c>
      <c r="F78" s="230" t="s">
        <v>2763</v>
      </c>
      <c r="G78" s="230">
        <v>34</v>
      </c>
      <c r="H78" s="230" t="s">
        <v>2764</v>
      </c>
      <c r="I78" s="230" t="s">
        <v>2765</v>
      </c>
      <c r="J78" s="230" t="s">
        <v>2649</v>
      </c>
      <c r="K78" s="230" t="s">
        <v>2766</v>
      </c>
      <c r="L78" s="235" t="s">
        <v>802</v>
      </c>
      <c r="M78" s="235">
        <v>46330.665277777778</v>
      </c>
      <c r="N78" s="230" t="s">
        <v>2705</v>
      </c>
      <c r="O78" s="158"/>
      <c r="P78" s="92"/>
      <c r="Q78" s="146"/>
      <c r="R78" s="92"/>
      <c r="S78" s="146"/>
      <c r="T78" s="92"/>
      <c r="U78" s="146"/>
      <c r="V78" s="92"/>
      <c r="W78" s="146"/>
      <c r="X78" s="92"/>
      <c r="Y78" s="146"/>
      <c r="Z78" s="92"/>
      <c r="AA78" s="146"/>
      <c r="AB78" s="92"/>
      <c r="AC78" s="146"/>
      <c r="AD78" s="92"/>
      <c r="AE78" s="146"/>
      <c r="AF78" s="143" t="str">
        <f t="shared" si="6"/>
        <v/>
      </c>
      <c r="AG78" s="199" t="b">
        <f t="shared" si="5"/>
        <v>0</v>
      </c>
      <c r="AH78" s="146"/>
      <c r="AI78" s="154" t="s">
        <v>6</v>
      </c>
      <c r="AJ78" s="151" t="str">
        <f t="shared" si="4"/>
        <v>GUARULHOS</v>
      </c>
      <c r="AK78" s="155" t="s">
        <v>59</v>
      </c>
      <c r="AL78" s="53">
        <v>0.3037802717560899</v>
      </c>
      <c r="AM78" s="53" t="str" cm="1">
        <f t="array" ref="AM78">IF(OR(O78&lt;&gt;"", SUMPRODUCT(($AN$2:$AN$561=AN78)*($AL$2:$AL$561&lt;=AL78)) &lt;= (COUNTIF($AN$2:$AN$561,AN78)*0.5)), "SORTEADO", "-")</f>
        <v>SORTEADO</v>
      </c>
      <c r="AN78" s="53" t="str">
        <f t="shared" si="7"/>
        <v>04/11/2026</v>
      </c>
    </row>
    <row r="79" spans="1:40" ht="30" hidden="1" customHeight="1" x14ac:dyDescent="0.2">
      <c r="A79" s="230" t="s">
        <v>197</v>
      </c>
      <c r="B79" s="230">
        <v>2615278593</v>
      </c>
      <c r="C79" s="230" t="s">
        <v>122</v>
      </c>
      <c r="D79" s="230" t="s">
        <v>108</v>
      </c>
      <c r="E79" s="230" t="s">
        <v>198</v>
      </c>
      <c r="F79" s="230" t="s">
        <v>2767</v>
      </c>
      <c r="G79" s="230">
        <v>121</v>
      </c>
      <c r="H79" s="230" t="s">
        <v>2768</v>
      </c>
      <c r="I79" s="230" t="s">
        <v>485</v>
      </c>
      <c r="J79" s="230" t="s">
        <v>2633</v>
      </c>
      <c r="K79" s="230"/>
      <c r="L79" s="235" t="s">
        <v>802</v>
      </c>
      <c r="M79" s="235">
        <v>46330.457638888889</v>
      </c>
      <c r="N79" s="230" t="s">
        <v>2705</v>
      </c>
      <c r="O79" s="158"/>
      <c r="P79" s="92"/>
      <c r="Q79" s="146"/>
      <c r="R79" s="92"/>
      <c r="S79" s="146"/>
      <c r="T79" s="92"/>
      <c r="U79" s="146"/>
      <c r="V79" s="92"/>
      <c r="W79" s="146"/>
      <c r="X79" s="92"/>
      <c r="Y79" s="146"/>
      <c r="Z79" s="92"/>
      <c r="AA79" s="146"/>
      <c r="AB79" s="92"/>
      <c r="AC79" s="146"/>
      <c r="AD79" s="92"/>
      <c r="AE79" s="146"/>
      <c r="AF79" s="143" t="str">
        <f t="shared" si="6"/>
        <v/>
      </c>
      <c r="AG79" s="199" t="b">
        <f t="shared" si="5"/>
        <v>0</v>
      </c>
      <c r="AH79" s="146"/>
      <c r="AI79" s="154" t="s">
        <v>6</v>
      </c>
      <c r="AJ79" s="151" t="str">
        <f t="shared" si="4"/>
        <v>GUARULHOS</v>
      </c>
      <c r="AK79" s="155" t="s">
        <v>59</v>
      </c>
      <c r="AL79" s="53">
        <v>8.4771313619833588E-3</v>
      </c>
      <c r="AM79" s="53" t="str" cm="1">
        <f t="array" ref="AM79">IF(OR(O79&lt;&gt;"", SUMPRODUCT(($AN$2:$AN$561=AN79)*($AL$2:$AL$561&lt;=AL79)) &lt;= (COUNTIF($AN$2:$AN$561,AN79)*0.5)), "SORTEADO", "-")</f>
        <v>SORTEADO</v>
      </c>
      <c r="AN79" s="53" t="str">
        <f t="shared" si="7"/>
        <v>04/11/2026</v>
      </c>
    </row>
    <row r="80" spans="1:40" ht="30" customHeight="1" x14ac:dyDescent="0.2">
      <c r="A80" s="230" t="s">
        <v>197</v>
      </c>
      <c r="B80" s="230">
        <v>2615420388</v>
      </c>
      <c r="C80" s="230" t="s">
        <v>120</v>
      </c>
      <c r="D80" s="230" t="s">
        <v>111</v>
      </c>
      <c r="E80" s="230" t="s">
        <v>198</v>
      </c>
      <c r="F80" s="230" t="s">
        <v>2769</v>
      </c>
      <c r="G80" s="230">
        <v>672</v>
      </c>
      <c r="H80" s="230" t="s">
        <v>213</v>
      </c>
      <c r="I80" s="230" t="s">
        <v>840</v>
      </c>
      <c r="J80" s="230" t="s">
        <v>2637</v>
      </c>
      <c r="K80" s="230" t="s">
        <v>2770</v>
      </c>
      <c r="L80" s="235" t="s">
        <v>802</v>
      </c>
      <c r="M80" s="235">
        <v>46330.606249999997</v>
      </c>
      <c r="N80" s="230" t="s">
        <v>2757</v>
      </c>
      <c r="O80" s="158"/>
      <c r="P80" s="92"/>
      <c r="Q80" s="146"/>
      <c r="R80" s="92"/>
      <c r="S80" s="146"/>
      <c r="T80" s="92"/>
      <c r="U80" s="146"/>
      <c r="V80" s="92"/>
      <c r="W80" s="146"/>
      <c r="X80" s="92"/>
      <c r="Y80" s="146"/>
      <c r="Z80" s="92"/>
      <c r="AA80" s="146"/>
      <c r="AB80" s="92"/>
      <c r="AC80" s="146"/>
      <c r="AD80" s="92"/>
      <c r="AE80" s="146"/>
      <c r="AF80" s="143" t="str">
        <f t="shared" si="6"/>
        <v/>
      </c>
      <c r="AG80" s="199" t="b">
        <f t="shared" si="5"/>
        <v>0</v>
      </c>
      <c r="AH80" s="146"/>
      <c r="AI80" s="154" t="s">
        <v>6</v>
      </c>
      <c r="AJ80" s="151" t="str">
        <f t="shared" si="4"/>
        <v>GUARULHOS</v>
      </c>
      <c r="AK80" s="155" t="s">
        <v>59</v>
      </c>
      <c r="AL80" s="53">
        <v>7.5174869115240184E-2</v>
      </c>
      <c r="AM80" s="53" t="str" cm="1">
        <f t="array" ref="AM80">IF(OR(O80&lt;&gt;"", SUMPRODUCT(($AN$2:$AN$561=AN80)*($AL$2:$AL$561&lt;=AL80)) &lt;= (COUNTIF($AN$2:$AN$561,AN80)*0.5)), "SORTEADO", "-")</f>
        <v>SORTEADO</v>
      </c>
      <c r="AN80" s="53" t="str">
        <f t="shared" si="7"/>
        <v>04/11/2026</v>
      </c>
    </row>
    <row r="81" spans="1:40" ht="30" hidden="1" customHeight="1" x14ac:dyDescent="0.2">
      <c r="A81" s="230" t="s">
        <v>197</v>
      </c>
      <c r="B81" s="230">
        <v>2615420931</v>
      </c>
      <c r="C81" s="230" t="s">
        <v>2771</v>
      </c>
      <c r="D81" s="230" t="s">
        <v>111</v>
      </c>
      <c r="E81" s="230" t="s">
        <v>198</v>
      </c>
      <c r="F81" s="230" t="s">
        <v>2427</v>
      </c>
      <c r="G81" s="230">
        <v>1227</v>
      </c>
      <c r="H81" s="230" t="s">
        <v>2772</v>
      </c>
      <c r="I81" s="230" t="s">
        <v>1150</v>
      </c>
      <c r="J81" s="230" t="s">
        <v>2773</v>
      </c>
      <c r="K81" s="230" t="s">
        <v>213</v>
      </c>
      <c r="L81" s="235" t="s">
        <v>802</v>
      </c>
      <c r="M81" s="235">
        <v>46330.658333333333</v>
      </c>
      <c r="N81" s="230" t="s">
        <v>2759</v>
      </c>
      <c r="O81" s="158"/>
      <c r="P81" s="92"/>
      <c r="Q81" s="146"/>
      <c r="R81" s="92"/>
      <c r="S81" s="146"/>
      <c r="T81" s="92"/>
      <c r="U81" s="146"/>
      <c r="V81" s="92"/>
      <c r="W81" s="146"/>
      <c r="X81" s="92"/>
      <c r="Y81" s="146"/>
      <c r="Z81" s="92"/>
      <c r="AA81" s="146"/>
      <c r="AB81" s="92"/>
      <c r="AC81" s="146"/>
      <c r="AD81" s="92"/>
      <c r="AE81" s="146"/>
      <c r="AF81" s="143" t="str">
        <f t="shared" si="6"/>
        <v/>
      </c>
      <c r="AG81" s="199" t="b">
        <f t="shared" si="5"/>
        <v>0</v>
      </c>
      <c r="AH81" s="146"/>
      <c r="AI81" s="154" t="s">
        <v>6</v>
      </c>
      <c r="AJ81" s="151" t="str">
        <f t="shared" si="4"/>
        <v>GUARULHOS</v>
      </c>
      <c r="AK81" s="155" t="s">
        <v>59</v>
      </c>
      <c r="AL81" s="53">
        <v>0.61915681046600546</v>
      </c>
      <c r="AM81" s="53" t="str" cm="1">
        <f t="array" ref="AM81">IF(OR(O81&lt;&gt;"", SUMPRODUCT(($AN$2:$AN$561=AN81)*($AL$2:$AL$561&lt;=AL81)) &lt;= (COUNTIF($AN$2:$AN$561,AN81)*0.5)), "SORTEADO", "-")</f>
        <v>-</v>
      </c>
      <c r="AN81" s="53" t="str">
        <f t="shared" si="7"/>
        <v>04/11/2026</v>
      </c>
    </row>
    <row r="82" spans="1:40" ht="30" hidden="1" customHeight="1" x14ac:dyDescent="0.2">
      <c r="A82" s="230" t="s">
        <v>197</v>
      </c>
      <c r="B82" s="230">
        <v>2615320041</v>
      </c>
      <c r="C82" s="230" t="s">
        <v>118</v>
      </c>
      <c r="D82" s="230" t="s">
        <v>109</v>
      </c>
      <c r="E82" s="230" t="s">
        <v>198</v>
      </c>
      <c r="F82" s="230" t="s">
        <v>585</v>
      </c>
      <c r="G82" s="230">
        <v>2152</v>
      </c>
      <c r="H82" s="230" t="s">
        <v>213</v>
      </c>
      <c r="I82" s="230" t="s">
        <v>584</v>
      </c>
      <c r="J82" s="230" t="s">
        <v>118</v>
      </c>
      <c r="K82" s="230" t="s">
        <v>213</v>
      </c>
      <c r="L82" s="235" t="s">
        <v>866</v>
      </c>
      <c r="M82" s="235">
        <v>46360.447222222225</v>
      </c>
      <c r="N82" s="230" t="s">
        <v>2759</v>
      </c>
      <c r="O82" s="158"/>
      <c r="P82" s="92"/>
      <c r="Q82" s="146"/>
      <c r="R82" s="92"/>
      <c r="S82" s="146"/>
      <c r="T82" s="92"/>
      <c r="U82" s="146"/>
      <c r="V82" s="92"/>
      <c r="W82" s="146"/>
      <c r="X82" s="92"/>
      <c r="Y82" s="146"/>
      <c r="Z82" s="92"/>
      <c r="AA82" s="146"/>
      <c r="AB82" s="92"/>
      <c r="AC82" s="146"/>
      <c r="AD82" s="92"/>
      <c r="AE82" s="146"/>
      <c r="AF82" s="143" t="str">
        <f t="shared" si="6"/>
        <v/>
      </c>
      <c r="AG82" s="199" t="b">
        <f t="shared" si="5"/>
        <v>0</v>
      </c>
      <c r="AH82" s="146"/>
      <c r="AI82" s="154" t="s">
        <v>6</v>
      </c>
      <c r="AJ82" s="151" t="str">
        <f t="shared" si="4"/>
        <v>GUARULHOS</v>
      </c>
      <c r="AK82" s="155" t="s">
        <v>59</v>
      </c>
      <c r="AL82" s="53">
        <v>0.67294616208457247</v>
      </c>
      <c r="AM82" s="53" t="str" cm="1">
        <f t="array" ref="AM82">IF(OR(O82&lt;&gt;"", SUMPRODUCT(($AN$2:$AN$561=AN82)*($AL$2:$AL$561&lt;=AL82)) &lt;= (COUNTIF($AN$2:$AN$561,AN82)*0.5)), "SORTEADO", "-")</f>
        <v>SORTEADO</v>
      </c>
      <c r="AN82" s="53" t="str">
        <f t="shared" si="7"/>
        <v>04/12/2026</v>
      </c>
    </row>
    <row r="83" spans="1:40" ht="30" hidden="1" customHeight="1" x14ac:dyDescent="0.2">
      <c r="A83" s="242" t="s">
        <v>197</v>
      </c>
      <c r="B83" s="242">
        <v>2615278836</v>
      </c>
      <c r="C83" s="242" t="s">
        <v>122</v>
      </c>
      <c r="D83" s="242" t="s">
        <v>108</v>
      </c>
      <c r="E83" s="242" t="s">
        <v>198</v>
      </c>
      <c r="F83" s="242" t="s">
        <v>567</v>
      </c>
      <c r="G83" s="242">
        <v>2120</v>
      </c>
      <c r="H83" s="242" t="s">
        <v>2774</v>
      </c>
      <c r="I83" s="242" t="s">
        <v>281</v>
      </c>
      <c r="J83" s="242" t="s">
        <v>2633</v>
      </c>
      <c r="K83" s="242"/>
      <c r="L83" s="243" t="s">
        <v>866</v>
      </c>
      <c r="M83" s="243">
        <v>46360.479861111111</v>
      </c>
      <c r="N83" s="242" t="s">
        <v>2634</v>
      </c>
      <c r="O83" s="158"/>
      <c r="P83" s="92"/>
      <c r="Q83" s="146"/>
      <c r="R83" s="92"/>
      <c r="S83" s="146"/>
      <c r="T83" s="92"/>
      <c r="U83" s="146"/>
      <c r="V83" s="92"/>
      <c r="W83" s="146"/>
      <c r="X83" s="92"/>
      <c r="Y83" s="146"/>
      <c r="Z83" s="92"/>
      <c r="AA83" s="146"/>
      <c r="AB83" s="92"/>
      <c r="AC83" s="146"/>
      <c r="AD83" s="92"/>
      <c r="AE83" s="146"/>
      <c r="AF83" s="143" t="str">
        <f t="shared" si="6"/>
        <v/>
      </c>
      <c r="AG83" s="199" t="b">
        <f t="shared" si="5"/>
        <v>0</v>
      </c>
      <c r="AH83" s="146"/>
      <c r="AI83" s="154" t="s">
        <v>6</v>
      </c>
      <c r="AJ83" s="151" t="str">
        <f t="shared" si="4"/>
        <v>GUARULHOS</v>
      </c>
      <c r="AK83" s="155" t="s">
        <v>59</v>
      </c>
      <c r="AL83" s="53">
        <v>0.79516656640322392</v>
      </c>
      <c r="AM83" s="53" t="str" cm="1">
        <f t="array" ref="AM83">IF(OR(O83&lt;&gt;"", SUMPRODUCT(($AN$2:$AN$561=AN83)*($AL$2:$AL$561&lt;=AL83)) &lt;= (COUNTIF($AN$2:$AN$561,AN83)*0.5)), "SORTEADO", "-")</f>
        <v>-</v>
      </c>
      <c r="AN83" s="53" t="str">
        <f t="shared" si="7"/>
        <v>04/12/2026</v>
      </c>
    </row>
    <row r="84" spans="1:40" ht="30" customHeight="1" x14ac:dyDescent="0.2">
      <c r="A84" s="230" t="s">
        <v>197</v>
      </c>
      <c r="B84" s="230">
        <v>2615156894</v>
      </c>
      <c r="C84" s="230" t="s">
        <v>120</v>
      </c>
      <c r="D84" s="230" t="s">
        <v>111</v>
      </c>
      <c r="E84" s="230" t="s">
        <v>198</v>
      </c>
      <c r="F84" s="230" t="s">
        <v>251</v>
      </c>
      <c r="G84" s="230">
        <v>207</v>
      </c>
      <c r="H84" s="230" t="s">
        <v>213</v>
      </c>
      <c r="I84" s="230" t="s">
        <v>253</v>
      </c>
      <c r="J84" s="230" t="s">
        <v>2637</v>
      </c>
      <c r="K84" s="230" t="s">
        <v>213</v>
      </c>
      <c r="L84" s="230" t="s">
        <v>902</v>
      </c>
      <c r="M84" s="230" t="s">
        <v>2775</v>
      </c>
      <c r="N84" s="230" t="s">
        <v>2638</v>
      </c>
      <c r="O84" s="158"/>
      <c r="P84" s="92"/>
      <c r="Q84" s="146"/>
      <c r="R84" s="92"/>
      <c r="S84" s="146"/>
      <c r="T84" s="92"/>
      <c r="U84" s="146"/>
      <c r="V84" s="92"/>
      <c r="W84" s="146"/>
      <c r="X84" s="92"/>
      <c r="Y84" s="146"/>
      <c r="Z84" s="92"/>
      <c r="AA84" s="146"/>
      <c r="AB84" s="92"/>
      <c r="AC84" s="146"/>
      <c r="AD84" s="92"/>
      <c r="AE84" s="146"/>
      <c r="AF84" s="143" t="str">
        <f t="shared" si="6"/>
        <v/>
      </c>
      <c r="AG84" s="199" t="b">
        <f t="shared" si="5"/>
        <v>0</v>
      </c>
      <c r="AH84" s="146"/>
      <c r="AI84" s="154" t="s">
        <v>6</v>
      </c>
      <c r="AJ84" s="151" t="str">
        <f t="shared" si="4"/>
        <v>GUARULHOS</v>
      </c>
      <c r="AK84" s="155" t="s">
        <v>59</v>
      </c>
      <c r="AL84" s="53">
        <v>0.43917624747893436</v>
      </c>
      <c r="AM84" s="53" t="str" cm="1">
        <f t="array" ref="AM84">IF(OR(O84&lt;&gt;"", SUMPRODUCT(($AN$2:$AN$561=AN84)*($AL$2:$AL$561&lt;=AL84)) &lt;= (COUNTIF($AN$2:$AN$561,AN84)*0.5)), "SORTEADO", "-")</f>
        <v>-</v>
      </c>
      <c r="AN84" s="53" t="str">
        <f>TEXT(L84, "dd/mm/aaaa")</f>
        <v>13/04/2026</v>
      </c>
    </row>
    <row r="85" spans="1:40" ht="30" customHeight="1" x14ac:dyDescent="0.2">
      <c r="A85" s="230" t="s">
        <v>197</v>
      </c>
      <c r="B85" s="230">
        <v>2615321339</v>
      </c>
      <c r="C85" s="230" t="s">
        <v>120</v>
      </c>
      <c r="D85" s="230" t="s">
        <v>111</v>
      </c>
      <c r="E85" s="230" t="s">
        <v>198</v>
      </c>
      <c r="F85" s="230" t="s">
        <v>2776</v>
      </c>
      <c r="G85" s="230">
        <v>842</v>
      </c>
      <c r="H85" s="230"/>
      <c r="I85" s="230" t="s">
        <v>207</v>
      </c>
      <c r="J85" s="230" t="s">
        <v>2637</v>
      </c>
      <c r="K85" s="230"/>
      <c r="L85" s="230" t="s">
        <v>902</v>
      </c>
      <c r="M85" s="230" t="s">
        <v>2777</v>
      </c>
      <c r="N85" s="230" t="s">
        <v>2638</v>
      </c>
      <c r="O85" s="158"/>
      <c r="P85" s="92"/>
      <c r="Q85" s="146"/>
      <c r="R85" s="92"/>
      <c r="S85" s="146"/>
      <c r="T85" s="92"/>
      <c r="U85" s="146"/>
      <c r="V85" s="92"/>
      <c r="W85" s="146"/>
      <c r="X85" s="92"/>
      <c r="Y85" s="146"/>
      <c r="Z85" s="92"/>
      <c r="AA85" s="146"/>
      <c r="AB85" s="92"/>
      <c r="AC85" s="146"/>
      <c r="AD85" s="92"/>
      <c r="AE85" s="146"/>
      <c r="AF85" s="143" t="str">
        <f t="shared" si="6"/>
        <v/>
      </c>
      <c r="AG85" s="199" t="b">
        <f t="shared" si="5"/>
        <v>0</v>
      </c>
      <c r="AH85" s="146"/>
      <c r="AI85" s="154" t="s">
        <v>6</v>
      </c>
      <c r="AJ85" s="151" t="str">
        <f t="shared" si="4"/>
        <v>GUARULHOS</v>
      </c>
      <c r="AK85" s="155" t="s">
        <v>59</v>
      </c>
      <c r="AL85" s="53">
        <v>0.79688999950791706</v>
      </c>
      <c r="AM85" s="53" t="str" cm="1">
        <f t="array" ref="AM85">IF(OR(O85&lt;&gt;"", SUMPRODUCT(($AN$2:$AN$561=AN85)*($AL$2:$AL$561&lt;=AL85)) &lt;= (COUNTIF($AN$2:$AN$561,AN85)*0.5)), "SORTEADO", "-")</f>
        <v>-</v>
      </c>
      <c r="AN85" s="53" t="str">
        <f t="shared" ref="AN85:AN148" si="8">TEXT(L85, "dd/mm/aaaa")</f>
        <v>13/04/2026</v>
      </c>
    </row>
    <row r="86" spans="1:40" ht="30" hidden="1" customHeight="1" x14ac:dyDescent="0.2">
      <c r="A86" s="230" t="s">
        <v>197</v>
      </c>
      <c r="B86" s="230">
        <v>2615287931</v>
      </c>
      <c r="C86" s="230" t="s">
        <v>115</v>
      </c>
      <c r="D86" s="230" t="s">
        <v>108</v>
      </c>
      <c r="E86" s="230" t="s">
        <v>198</v>
      </c>
      <c r="F86" s="230" t="s">
        <v>2778</v>
      </c>
      <c r="G86" s="230">
        <v>621</v>
      </c>
      <c r="H86" s="230" t="s">
        <v>206</v>
      </c>
      <c r="I86" s="230" t="s">
        <v>971</v>
      </c>
      <c r="J86" s="230" t="s">
        <v>2644</v>
      </c>
      <c r="K86" s="230" t="s">
        <v>213</v>
      </c>
      <c r="L86" s="230" t="s">
        <v>902</v>
      </c>
      <c r="M86" s="230" t="s">
        <v>931</v>
      </c>
      <c r="N86" s="230" t="s">
        <v>2640</v>
      </c>
      <c r="O86" s="158"/>
      <c r="P86" s="92"/>
      <c r="Q86" s="146"/>
      <c r="R86" s="92"/>
      <c r="S86" s="146"/>
      <c r="T86" s="92"/>
      <c r="U86" s="146"/>
      <c r="V86" s="92"/>
      <c r="W86" s="146"/>
      <c r="X86" s="92"/>
      <c r="Y86" s="146"/>
      <c r="Z86" s="92"/>
      <c r="AA86" s="146"/>
      <c r="AB86" s="92"/>
      <c r="AC86" s="146"/>
      <c r="AD86" s="92"/>
      <c r="AE86" s="146"/>
      <c r="AF86" s="143" t="str">
        <f t="shared" si="6"/>
        <v/>
      </c>
      <c r="AG86" s="199" t="b">
        <f t="shared" si="5"/>
        <v>0</v>
      </c>
      <c r="AH86" s="146"/>
      <c r="AI86" s="154" t="s">
        <v>6</v>
      </c>
      <c r="AJ86" s="151" t="str">
        <f t="shared" si="4"/>
        <v>GUARULHOS</v>
      </c>
      <c r="AK86" s="155" t="s">
        <v>59</v>
      </c>
      <c r="AL86" s="53">
        <v>0.50795950000339418</v>
      </c>
      <c r="AM86" s="53" t="str" cm="1">
        <f t="array" ref="AM86">IF(OR(O86&lt;&gt;"", SUMPRODUCT(($AN$2:$AN$561=AN86)*($AL$2:$AL$561&lt;=AL86)) &lt;= (COUNTIF($AN$2:$AN$561,AN86)*0.5)), "SORTEADO", "-")</f>
        <v>-</v>
      </c>
      <c r="AN86" s="53" t="str">
        <f t="shared" si="8"/>
        <v>13/04/2026</v>
      </c>
    </row>
    <row r="87" spans="1:40" ht="30" hidden="1" customHeight="1" x14ac:dyDescent="0.2">
      <c r="A87" s="230" t="s">
        <v>197</v>
      </c>
      <c r="B87" s="230">
        <v>2615547860</v>
      </c>
      <c r="C87" s="230" t="s">
        <v>121</v>
      </c>
      <c r="D87" s="230" t="s">
        <v>110</v>
      </c>
      <c r="E87" s="230" t="s">
        <v>198</v>
      </c>
      <c r="F87" s="230" t="s">
        <v>2647</v>
      </c>
      <c r="G87" s="230">
        <v>262</v>
      </c>
      <c r="H87" s="230" t="s">
        <v>213</v>
      </c>
      <c r="I87" s="230" t="s">
        <v>247</v>
      </c>
      <c r="J87" s="230" t="s">
        <v>2661</v>
      </c>
      <c r="K87" s="230" t="s">
        <v>213</v>
      </c>
      <c r="L87" s="230" t="s">
        <v>902</v>
      </c>
      <c r="M87" s="230" t="s">
        <v>2779</v>
      </c>
      <c r="N87" s="230" t="s">
        <v>2646</v>
      </c>
      <c r="O87" s="158"/>
      <c r="P87" s="92"/>
      <c r="Q87" s="146"/>
      <c r="R87" s="92"/>
      <c r="S87" s="146"/>
      <c r="T87" s="92"/>
      <c r="U87" s="146"/>
      <c r="V87" s="92"/>
      <c r="W87" s="146"/>
      <c r="X87" s="92"/>
      <c r="Y87" s="146"/>
      <c r="Z87" s="92"/>
      <c r="AA87" s="146"/>
      <c r="AB87" s="92"/>
      <c r="AC87" s="146"/>
      <c r="AD87" s="92"/>
      <c r="AE87" s="146"/>
      <c r="AF87" s="143" t="str">
        <f t="shared" si="6"/>
        <v/>
      </c>
      <c r="AG87" s="199" t="b">
        <f t="shared" si="5"/>
        <v>0</v>
      </c>
      <c r="AH87" s="146"/>
      <c r="AI87" s="154" t="s">
        <v>6</v>
      </c>
      <c r="AJ87" s="151" t="str">
        <f t="shared" si="4"/>
        <v>GUARULHOS</v>
      </c>
      <c r="AK87" s="155" t="s">
        <v>59</v>
      </c>
      <c r="AL87" s="53">
        <v>0.21436159735934368</v>
      </c>
      <c r="AM87" s="53" t="str" cm="1">
        <f t="array" ref="AM87">IF(OR(O87&lt;&gt;"", SUMPRODUCT(($AN$2:$AN$561=AN87)*($AL$2:$AL$561&lt;=AL87)) &lt;= (COUNTIF($AN$2:$AN$561,AN87)*0.5)), "SORTEADO", "-")</f>
        <v>-</v>
      </c>
      <c r="AN87" s="53" t="str">
        <f t="shared" si="8"/>
        <v>13/04/2026</v>
      </c>
    </row>
    <row r="88" spans="1:40" ht="30" hidden="1" customHeight="1" x14ac:dyDescent="0.2">
      <c r="A88" s="230" t="s">
        <v>197</v>
      </c>
      <c r="B88" s="230">
        <v>2615572211</v>
      </c>
      <c r="C88" s="230" t="s">
        <v>122</v>
      </c>
      <c r="D88" s="230" t="s">
        <v>108</v>
      </c>
      <c r="E88" s="230" t="s">
        <v>198</v>
      </c>
      <c r="F88" s="230" t="s">
        <v>2778</v>
      </c>
      <c r="G88" s="230">
        <v>621</v>
      </c>
      <c r="H88" s="230" t="s">
        <v>206</v>
      </c>
      <c r="I88" s="230" t="s">
        <v>971</v>
      </c>
      <c r="J88" s="230" t="s">
        <v>2633</v>
      </c>
      <c r="K88" s="230" t="s">
        <v>2780</v>
      </c>
      <c r="L88" s="230" t="s">
        <v>902</v>
      </c>
      <c r="M88" s="230" t="s">
        <v>2781</v>
      </c>
      <c r="N88" s="230" t="s">
        <v>2640</v>
      </c>
      <c r="O88" s="158"/>
      <c r="P88" s="92"/>
      <c r="Q88" s="146"/>
      <c r="R88" s="92"/>
      <c r="S88" s="146"/>
      <c r="T88" s="92"/>
      <c r="U88" s="146"/>
      <c r="V88" s="92"/>
      <c r="W88" s="146"/>
      <c r="X88" s="92"/>
      <c r="Y88" s="146"/>
      <c r="Z88" s="92"/>
      <c r="AA88" s="146"/>
      <c r="AB88" s="92"/>
      <c r="AC88" s="146"/>
      <c r="AD88" s="92"/>
      <c r="AE88" s="146"/>
      <c r="AF88" s="143" t="str">
        <f t="shared" si="6"/>
        <v/>
      </c>
      <c r="AG88" s="199" t="b">
        <f t="shared" si="5"/>
        <v>0</v>
      </c>
      <c r="AH88" s="146"/>
      <c r="AI88" s="154" t="s">
        <v>6</v>
      </c>
      <c r="AJ88" s="151" t="str">
        <f t="shared" si="4"/>
        <v>GUARULHOS</v>
      </c>
      <c r="AK88" s="155" t="s">
        <v>59</v>
      </c>
      <c r="AL88" s="53">
        <v>0.5015207107837949</v>
      </c>
      <c r="AM88" s="53" t="str" cm="1">
        <f t="array" ref="AM88">IF(OR(O88&lt;&gt;"", SUMPRODUCT(($AN$2:$AN$561=AN88)*($AL$2:$AL$561&lt;=AL88)) &lt;= (COUNTIF($AN$2:$AN$561,AN88)*0.5)), "SORTEADO", "-")</f>
        <v>-</v>
      </c>
      <c r="AN88" s="53" t="str">
        <f t="shared" si="8"/>
        <v>13/04/2026</v>
      </c>
    </row>
    <row r="89" spans="1:40" ht="30" hidden="1" customHeight="1" x14ac:dyDescent="0.2">
      <c r="A89" s="230" t="s">
        <v>197</v>
      </c>
      <c r="B89" s="230">
        <v>2615142578</v>
      </c>
      <c r="C89" s="230" t="s">
        <v>2701</v>
      </c>
      <c r="D89" s="230" t="s">
        <v>110</v>
      </c>
      <c r="E89" s="230" t="s">
        <v>198</v>
      </c>
      <c r="F89" s="230" t="s">
        <v>308</v>
      </c>
      <c r="G89" s="230">
        <v>561</v>
      </c>
      <c r="H89" s="230" t="s">
        <v>2782</v>
      </c>
      <c r="I89" s="230" t="s">
        <v>262</v>
      </c>
      <c r="J89" s="230" t="s">
        <v>2703</v>
      </c>
      <c r="K89" s="230" t="s">
        <v>2783</v>
      </c>
      <c r="L89" s="230" t="s">
        <v>902</v>
      </c>
      <c r="M89" s="230" t="s">
        <v>2784</v>
      </c>
      <c r="N89" s="230" t="s">
        <v>2705</v>
      </c>
      <c r="O89" s="158" t="s">
        <v>61</v>
      </c>
      <c r="P89" s="92"/>
      <c r="Q89" s="146" t="s">
        <v>61</v>
      </c>
      <c r="R89" s="92"/>
      <c r="S89" s="146" t="s">
        <v>61</v>
      </c>
      <c r="T89" s="92"/>
      <c r="U89" s="146" t="s">
        <v>61</v>
      </c>
      <c r="V89" s="92"/>
      <c r="W89" s="146" t="s">
        <v>61</v>
      </c>
      <c r="X89" s="92"/>
      <c r="Y89" s="146" t="s">
        <v>61</v>
      </c>
      <c r="Z89" s="92"/>
      <c r="AA89" s="146" t="s">
        <v>61</v>
      </c>
      <c r="AB89" s="92"/>
      <c r="AC89" s="146" t="s">
        <v>61</v>
      </c>
      <c r="AD89" s="92"/>
      <c r="AE89" s="146" t="s">
        <v>61</v>
      </c>
      <c r="AF89" s="143" t="str">
        <f t="shared" si="6"/>
        <v>NA</v>
      </c>
      <c r="AG89" s="199" t="str">
        <f t="shared" si="5"/>
        <v>NÃO AVALIADO POR FALHA DE SINCRONISMO</v>
      </c>
      <c r="AH89" s="146" t="s">
        <v>204</v>
      </c>
      <c r="AI89" s="154" t="s">
        <v>6</v>
      </c>
      <c r="AJ89" s="151" t="str">
        <f t="shared" si="4"/>
        <v>GUARULHOS</v>
      </c>
      <c r="AK89" s="155" t="s">
        <v>59</v>
      </c>
      <c r="AL89" s="53">
        <v>-1.7600000000000001E-2</v>
      </c>
      <c r="AM89" s="53" t="str" cm="1">
        <f t="array" ref="AM89">IF(OR(O89&lt;&gt;"", SUMPRODUCT(($AN$2:$AN$561=AN89)*($AL$2:$AL$561&lt;=AL89)) &lt;= (COUNTIF($AN$2:$AN$561,AN89)*0.5)), "SORTEADO", "-")</f>
        <v>SORTEADO</v>
      </c>
      <c r="AN89" s="53" t="str">
        <f t="shared" si="8"/>
        <v>13/04/2026</v>
      </c>
    </row>
    <row r="90" spans="1:40" ht="30" hidden="1" customHeight="1" x14ac:dyDescent="0.2">
      <c r="A90" s="230" t="s">
        <v>197</v>
      </c>
      <c r="B90" s="230">
        <v>2615142238</v>
      </c>
      <c r="C90" s="230" t="s">
        <v>2701</v>
      </c>
      <c r="D90" s="230" t="s">
        <v>110</v>
      </c>
      <c r="E90" s="230" t="s">
        <v>198</v>
      </c>
      <c r="F90" s="230" t="s">
        <v>308</v>
      </c>
      <c r="G90" s="230">
        <v>557</v>
      </c>
      <c r="H90" s="230"/>
      <c r="I90" s="230" t="s">
        <v>262</v>
      </c>
      <c r="J90" s="230" t="s">
        <v>2703</v>
      </c>
      <c r="K90" s="230" t="s">
        <v>2783</v>
      </c>
      <c r="L90" s="230" t="s">
        <v>902</v>
      </c>
      <c r="M90" s="230" t="s">
        <v>2784</v>
      </c>
      <c r="N90" s="230" t="s">
        <v>2705</v>
      </c>
      <c r="O90" s="158" t="s">
        <v>61</v>
      </c>
      <c r="P90" s="92"/>
      <c r="Q90" s="146" t="s">
        <v>61</v>
      </c>
      <c r="R90" s="92"/>
      <c r="S90" s="146" t="s">
        <v>61</v>
      </c>
      <c r="T90" s="92"/>
      <c r="U90" s="146" t="s">
        <v>61</v>
      </c>
      <c r="V90" s="92"/>
      <c r="W90" s="146" t="s">
        <v>61</v>
      </c>
      <c r="X90" s="92"/>
      <c r="Y90" s="146" t="s">
        <v>61</v>
      </c>
      <c r="Z90" s="92"/>
      <c r="AA90" s="146" t="s">
        <v>61</v>
      </c>
      <c r="AB90" s="92"/>
      <c r="AC90" s="146" t="s">
        <v>61</v>
      </c>
      <c r="AD90" s="92"/>
      <c r="AE90" s="146" t="s">
        <v>61</v>
      </c>
      <c r="AF90" s="143" t="str">
        <f t="shared" si="6"/>
        <v>NA</v>
      </c>
      <c r="AG90" s="199" t="str">
        <f t="shared" si="5"/>
        <v>NÃO AVALIADO POR FALHA DE SINCRONISMO</v>
      </c>
      <c r="AH90" s="146" t="s">
        <v>204</v>
      </c>
      <c r="AI90" s="154" t="s">
        <v>6</v>
      </c>
      <c r="AJ90" s="151" t="str">
        <f t="shared" si="4"/>
        <v>GUARULHOS</v>
      </c>
      <c r="AK90" s="155" t="s">
        <v>59</v>
      </c>
      <c r="AL90" s="53">
        <v>-1.78E-2</v>
      </c>
      <c r="AM90" s="53" t="str" cm="1">
        <f t="array" ref="AM90">IF(OR(O90&lt;&gt;"", SUMPRODUCT(($AN$2:$AN$561=AN90)*($AL$2:$AL$561&lt;=AL90)) &lt;= (COUNTIF($AN$2:$AN$561,AN90)*0.5)), "SORTEADO", "-")</f>
        <v>SORTEADO</v>
      </c>
      <c r="AN90" s="53" t="str">
        <f t="shared" si="8"/>
        <v>13/04/2026</v>
      </c>
    </row>
    <row r="91" spans="1:40" ht="30" hidden="1" customHeight="1" x14ac:dyDescent="0.2">
      <c r="A91" s="230" t="s">
        <v>197</v>
      </c>
      <c r="B91" s="230">
        <v>2615141816</v>
      </c>
      <c r="C91" s="230" t="s">
        <v>2701</v>
      </c>
      <c r="D91" s="230" t="s">
        <v>110</v>
      </c>
      <c r="E91" s="230" t="s">
        <v>198</v>
      </c>
      <c r="F91" s="230" t="s">
        <v>308</v>
      </c>
      <c r="G91" s="230">
        <v>554</v>
      </c>
      <c r="H91" s="230" t="s">
        <v>619</v>
      </c>
      <c r="I91" s="230" t="s">
        <v>262</v>
      </c>
      <c r="J91" s="230" t="s">
        <v>2703</v>
      </c>
      <c r="K91" s="230" t="s">
        <v>2783</v>
      </c>
      <c r="L91" s="230" t="s">
        <v>902</v>
      </c>
      <c r="M91" s="230" t="s">
        <v>2784</v>
      </c>
      <c r="N91" s="230" t="s">
        <v>2705</v>
      </c>
      <c r="O91" s="158" t="s">
        <v>61</v>
      </c>
      <c r="P91" s="92"/>
      <c r="Q91" s="146" t="s">
        <v>61</v>
      </c>
      <c r="R91" s="92"/>
      <c r="S91" s="146" t="s">
        <v>61</v>
      </c>
      <c r="T91" s="92"/>
      <c r="U91" s="146" t="s">
        <v>61</v>
      </c>
      <c r="V91" s="92"/>
      <c r="W91" s="146" t="s">
        <v>61</v>
      </c>
      <c r="X91" s="92"/>
      <c r="Y91" s="146" t="s">
        <v>61</v>
      </c>
      <c r="Z91" s="92"/>
      <c r="AA91" s="146" t="s">
        <v>61</v>
      </c>
      <c r="AB91" s="92"/>
      <c r="AC91" s="146" t="s">
        <v>61</v>
      </c>
      <c r="AD91" s="92"/>
      <c r="AE91" s="146" t="s">
        <v>61</v>
      </c>
      <c r="AF91" s="143" t="str">
        <f t="shared" si="6"/>
        <v>NA</v>
      </c>
      <c r="AG91" s="199" t="str">
        <f t="shared" si="5"/>
        <v>NÃO AVALIADO POR FALHA DE SINCRONISMO</v>
      </c>
      <c r="AH91" s="146" t="s">
        <v>204</v>
      </c>
      <c r="AI91" s="154" t="s">
        <v>6</v>
      </c>
      <c r="AJ91" s="151" t="str">
        <f t="shared" si="4"/>
        <v>GUARULHOS</v>
      </c>
      <c r="AK91" s="155" t="s">
        <v>59</v>
      </c>
      <c r="AL91" s="53">
        <v>-1.7999999999999999E-2</v>
      </c>
      <c r="AM91" s="53" t="str" cm="1">
        <f t="array" ref="AM91">IF(OR(O91&lt;&gt;"", SUMPRODUCT(($AN$2:$AN$561=AN91)*($AL$2:$AL$561&lt;=AL91)) &lt;= (COUNTIF($AN$2:$AN$561,AN91)*0.5)), "SORTEADO", "-")</f>
        <v>SORTEADO</v>
      </c>
      <c r="AN91" s="53" t="str">
        <f t="shared" si="8"/>
        <v>13/04/2026</v>
      </c>
    </row>
    <row r="92" spans="1:40" ht="30" hidden="1" customHeight="1" x14ac:dyDescent="0.2">
      <c r="A92" s="230" t="s">
        <v>197</v>
      </c>
      <c r="B92" s="230">
        <v>2615142142</v>
      </c>
      <c r="C92" s="230" t="s">
        <v>2701</v>
      </c>
      <c r="D92" s="230" t="s">
        <v>110</v>
      </c>
      <c r="E92" s="230" t="s">
        <v>198</v>
      </c>
      <c r="F92" s="230" t="s">
        <v>308</v>
      </c>
      <c r="G92" s="230">
        <v>551</v>
      </c>
      <c r="H92" s="230" t="s">
        <v>2785</v>
      </c>
      <c r="I92" s="230" t="s">
        <v>262</v>
      </c>
      <c r="J92" s="230" t="s">
        <v>2703</v>
      </c>
      <c r="K92" s="230" t="s">
        <v>2783</v>
      </c>
      <c r="L92" s="230" t="s">
        <v>902</v>
      </c>
      <c r="M92" s="230" t="s">
        <v>2784</v>
      </c>
      <c r="N92" s="230" t="s">
        <v>2705</v>
      </c>
      <c r="O92" s="158" t="s">
        <v>61</v>
      </c>
      <c r="P92" s="92"/>
      <c r="Q92" s="146" t="s">
        <v>61</v>
      </c>
      <c r="R92" s="92"/>
      <c r="S92" s="146" t="s">
        <v>61</v>
      </c>
      <c r="T92" s="92"/>
      <c r="U92" s="146" t="s">
        <v>61</v>
      </c>
      <c r="V92" s="92"/>
      <c r="W92" s="146" t="s">
        <v>61</v>
      </c>
      <c r="X92" s="92"/>
      <c r="Y92" s="146" t="s">
        <v>61</v>
      </c>
      <c r="Z92" s="92"/>
      <c r="AA92" s="146" t="s">
        <v>61</v>
      </c>
      <c r="AB92" s="92"/>
      <c r="AC92" s="146" t="s">
        <v>61</v>
      </c>
      <c r="AD92" s="92"/>
      <c r="AE92" s="146" t="s">
        <v>61</v>
      </c>
      <c r="AF92" s="143" t="str">
        <f t="shared" si="6"/>
        <v>NA</v>
      </c>
      <c r="AG92" s="199" t="str">
        <f t="shared" si="5"/>
        <v>NÃO AVALIADO POR FALHA DE SINCRONISMO</v>
      </c>
      <c r="AH92" s="146" t="s">
        <v>204</v>
      </c>
      <c r="AI92" s="154" t="s">
        <v>6</v>
      </c>
      <c r="AJ92" s="151" t="str">
        <f t="shared" si="4"/>
        <v>GUARULHOS</v>
      </c>
      <c r="AK92" s="155" t="s">
        <v>59</v>
      </c>
      <c r="AL92" s="53">
        <v>-1.8200000000000001E-2</v>
      </c>
      <c r="AM92" s="53" t="str" cm="1">
        <f t="array" ref="AM92">IF(OR(O92&lt;&gt;"", SUMPRODUCT(($AN$2:$AN$561=AN92)*($AL$2:$AL$561&lt;=AL92)) &lt;= (COUNTIF($AN$2:$AN$561,AN92)*0.5)), "SORTEADO", "-")</f>
        <v>SORTEADO</v>
      </c>
      <c r="AN92" s="53" t="str">
        <f t="shared" si="8"/>
        <v>13/04/2026</v>
      </c>
    </row>
    <row r="93" spans="1:40" ht="30" hidden="1" customHeight="1" x14ac:dyDescent="0.2">
      <c r="A93" s="230" t="s">
        <v>197</v>
      </c>
      <c r="B93" s="230">
        <v>2614825882</v>
      </c>
      <c r="C93" s="230" t="s">
        <v>2701</v>
      </c>
      <c r="D93" s="230" t="s">
        <v>110</v>
      </c>
      <c r="E93" s="230" t="s">
        <v>198</v>
      </c>
      <c r="F93" s="230" t="s">
        <v>386</v>
      </c>
      <c r="G93" s="230">
        <v>94</v>
      </c>
      <c r="H93" s="230" t="s">
        <v>2786</v>
      </c>
      <c r="I93" s="230" t="s">
        <v>262</v>
      </c>
      <c r="J93" s="230" t="s">
        <v>2703</v>
      </c>
      <c r="K93" s="237" t="s">
        <v>2787</v>
      </c>
      <c r="L93" s="230" t="s">
        <v>902</v>
      </c>
      <c r="M93" s="230" t="s">
        <v>2788</v>
      </c>
      <c r="N93" s="230" t="s">
        <v>2707</v>
      </c>
      <c r="O93" s="158" t="s">
        <v>61</v>
      </c>
      <c r="P93" s="92"/>
      <c r="Q93" s="146" t="s">
        <v>61</v>
      </c>
      <c r="R93" s="92"/>
      <c r="S93" s="146" t="s">
        <v>61</v>
      </c>
      <c r="T93" s="92"/>
      <c r="U93" s="146" t="s">
        <v>61</v>
      </c>
      <c r="V93" s="92"/>
      <c r="W93" s="146" t="s">
        <v>61</v>
      </c>
      <c r="X93" s="92"/>
      <c r="Y93" s="146" t="s">
        <v>61</v>
      </c>
      <c r="Z93" s="92"/>
      <c r="AA93" s="146" t="s">
        <v>61</v>
      </c>
      <c r="AB93" s="92"/>
      <c r="AC93" s="146" t="s">
        <v>61</v>
      </c>
      <c r="AD93" s="92"/>
      <c r="AE93" s="146" t="s">
        <v>61</v>
      </c>
      <c r="AF93" s="143" t="str">
        <f t="shared" si="6"/>
        <v>NA</v>
      </c>
      <c r="AG93" s="199" t="str">
        <f t="shared" si="5"/>
        <v>NÃO AVALIADO POR FALHA DE SINCRONISMO</v>
      </c>
      <c r="AH93" s="146" t="s">
        <v>204</v>
      </c>
      <c r="AI93" s="154" t="s">
        <v>6</v>
      </c>
      <c r="AJ93" s="151" t="str">
        <f t="shared" si="4"/>
        <v>GUARULHOS</v>
      </c>
      <c r="AK93" s="155" t="s">
        <v>59</v>
      </c>
      <c r="AL93" s="53">
        <v>-1.84E-2</v>
      </c>
      <c r="AM93" s="53" t="str" cm="1">
        <f t="array" ref="AM93">IF(OR(O93&lt;&gt;"", SUMPRODUCT(($AN$2:$AN$561=AN93)*($AL$2:$AL$561&lt;=AL93)) &lt;= (COUNTIF($AN$2:$AN$561,AN93)*0.5)), "SORTEADO", "-")</f>
        <v>SORTEADO</v>
      </c>
      <c r="AN93" s="53" t="str">
        <f t="shared" si="8"/>
        <v>13/04/2026</v>
      </c>
    </row>
    <row r="94" spans="1:40" ht="30" hidden="1" customHeight="1" x14ac:dyDescent="0.2">
      <c r="A94" s="230" t="s">
        <v>197</v>
      </c>
      <c r="B94" s="230">
        <v>2614826190</v>
      </c>
      <c r="C94" s="230" t="s">
        <v>2701</v>
      </c>
      <c r="D94" s="230" t="s">
        <v>110</v>
      </c>
      <c r="E94" s="230" t="s">
        <v>198</v>
      </c>
      <c r="F94" s="230" t="s">
        <v>386</v>
      </c>
      <c r="G94" s="230">
        <v>100</v>
      </c>
      <c r="H94" s="230" t="s">
        <v>412</v>
      </c>
      <c r="I94" s="230" t="s">
        <v>262</v>
      </c>
      <c r="J94" s="230" t="s">
        <v>2703</v>
      </c>
      <c r="K94" s="237" t="s">
        <v>2787</v>
      </c>
      <c r="L94" s="230" t="s">
        <v>902</v>
      </c>
      <c r="M94" s="230" t="s">
        <v>2788</v>
      </c>
      <c r="N94" s="230" t="s">
        <v>2707</v>
      </c>
      <c r="O94" s="158" t="s">
        <v>61</v>
      </c>
      <c r="P94" s="92"/>
      <c r="Q94" s="146" t="s">
        <v>61</v>
      </c>
      <c r="R94" s="92"/>
      <c r="S94" s="146" t="s">
        <v>61</v>
      </c>
      <c r="T94" s="92"/>
      <c r="U94" s="146" t="s">
        <v>61</v>
      </c>
      <c r="V94" s="92"/>
      <c r="W94" s="146" t="s">
        <v>61</v>
      </c>
      <c r="X94" s="92"/>
      <c r="Y94" s="146" t="s">
        <v>61</v>
      </c>
      <c r="Z94" s="92"/>
      <c r="AA94" s="146" t="s">
        <v>61</v>
      </c>
      <c r="AB94" s="92"/>
      <c r="AC94" s="146" t="s">
        <v>61</v>
      </c>
      <c r="AD94" s="92"/>
      <c r="AE94" s="146" t="s">
        <v>61</v>
      </c>
      <c r="AF94" s="143" t="str">
        <f t="shared" si="6"/>
        <v>NA</v>
      </c>
      <c r="AG94" s="199" t="str">
        <f t="shared" si="5"/>
        <v>NÃO AVALIADO POR FALHA DE SINCRONISMO</v>
      </c>
      <c r="AH94" s="146" t="s">
        <v>204</v>
      </c>
      <c r="AI94" s="154" t="s">
        <v>6</v>
      </c>
      <c r="AJ94" s="151" t="str">
        <f t="shared" si="4"/>
        <v>GUARULHOS</v>
      </c>
      <c r="AK94" s="155" t="s">
        <v>59</v>
      </c>
      <c r="AL94" s="53">
        <v>-1.8599999999999998E-2</v>
      </c>
      <c r="AM94" s="53" t="str" cm="1">
        <f t="array" ref="AM94">IF(OR(O94&lt;&gt;"", SUMPRODUCT(($AN$2:$AN$561=AN94)*($AL$2:$AL$561&lt;=AL94)) &lt;= (COUNTIF($AN$2:$AN$561,AN94)*0.5)), "SORTEADO", "-")</f>
        <v>SORTEADO</v>
      </c>
      <c r="AN94" s="53" t="str">
        <f t="shared" si="8"/>
        <v>13/04/2026</v>
      </c>
    </row>
    <row r="95" spans="1:40" ht="30" hidden="1" customHeight="1" x14ac:dyDescent="0.2">
      <c r="A95" s="230" t="s">
        <v>197</v>
      </c>
      <c r="B95" s="230">
        <v>2614825079</v>
      </c>
      <c r="C95" s="230" t="s">
        <v>2701</v>
      </c>
      <c r="D95" s="230" t="s">
        <v>110</v>
      </c>
      <c r="E95" s="230" t="s">
        <v>198</v>
      </c>
      <c r="F95" s="230" t="s">
        <v>386</v>
      </c>
      <c r="G95" s="230">
        <v>82</v>
      </c>
      <c r="H95" s="230">
        <v>126</v>
      </c>
      <c r="I95" s="230" t="s">
        <v>262</v>
      </c>
      <c r="J95" s="230" t="s">
        <v>2703</v>
      </c>
      <c r="K95" s="237" t="s">
        <v>2787</v>
      </c>
      <c r="L95" s="230" t="s">
        <v>902</v>
      </c>
      <c r="M95" s="230" t="s">
        <v>2789</v>
      </c>
      <c r="N95" s="230" t="s">
        <v>2707</v>
      </c>
      <c r="O95" s="158" t="s">
        <v>61</v>
      </c>
      <c r="P95" s="92"/>
      <c r="Q95" s="146" t="s">
        <v>61</v>
      </c>
      <c r="R95" s="92"/>
      <c r="S95" s="146" t="s">
        <v>61</v>
      </c>
      <c r="T95" s="92"/>
      <c r="U95" s="146" t="s">
        <v>61</v>
      </c>
      <c r="V95" s="92"/>
      <c r="W95" s="146" t="s">
        <v>61</v>
      </c>
      <c r="X95" s="92"/>
      <c r="Y95" s="146" t="s">
        <v>61</v>
      </c>
      <c r="Z95" s="92"/>
      <c r="AA95" s="146" t="s">
        <v>61</v>
      </c>
      <c r="AB95" s="92"/>
      <c r="AC95" s="146" t="s">
        <v>61</v>
      </c>
      <c r="AD95" s="92"/>
      <c r="AE95" s="146" t="s">
        <v>61</v>
      </c>
      <c r="AF95" s="143" t="str">
        <f t="shared" si="6"/>
        <v>NA</v>
      </c>
      <c r="AG95" s="199" t="str">
        <f t="shared" si="5"/>
        <v>NÃO AVALIADO POR FALHA DE SINCRONISMO</v>
      </c>
      <c r="AH95" s="146" t="s">
        <v>204</v>
      </c>
      <c r="AI95" s="154" t="s">
        <v>6</v>
      </c>
      <c r="AJ95" s="151" t="str">
        <f t="shared" si="4"/>
        <v>GUARULHOS</v>
      </c>
      <c r="AK95" s="155" t="s">
        <v>59</v>
      </c>
      <c r="AL95" s="53">
        <v>-1.8800000000000001E-2</v>
      </c>
      <c r="AM95" s="53" t="str" cm="1">
        <f t="array" ref="AM95">IF(OR(O95&lt;&gt;"", SUMPRODUCT(($AN$2:$AN$561=AN95)*($AL$2:$AL$561&lt;=AL95)) &lt;= (COUNTIF($AN$2:$AN$561,AN95)*0.5)), "SORTEADO", "-")</f>
        <v>SORTEADO</v>
      </c>
      <c r="AN95" s="53" t="str">
        <f t="shared" si="8"/>
        <v>13/04/2026</v>
      </c>
    </row>
    <row r="96" spans="1:40" ht="30" hidden="1" customHeight="1" x14ac:dyDescent="0.2">
      <c r="A96" s="230" t="s">
        <v>197</v>
      </c>
      <c r="B96" s="230">
        <v>2614825486</v>
      </c>
      <c r="C96" s="230" t="s">
        <v>2701</v>
      </c>
      <c r="D96" s="230" t="s">
        <v>110</v>
      </c>
      <c r="E96" s="230" t="s">
        <v>198</v>
      </c>
      <c r="F96" s="230" t="s">
        <v>386</v>
      </c>
      <c r="G96" s="230">
        <v>79</v>
      </c>
      <c r="H96" s="230"/>
      <c r="I96" s="230" t="s">
        <v>262</v>
      </c>
      <c r="J96" s="230" t="s">
        <v>2703</v>
      </c>
      <c r="K96" s="237" t="s">
        <v>2787</v>
      </c>
      <c r="L96" s="230" t="s">
        <v>902</v>
      </c>
      <c r="M96" s="230" t="s">
        <v>2788</v>
      </c>
      <c r="N96" s="230" t="s">
        <v>2707</v>
      </c>
      <c r="O96" s="158" t="s">
        <v>61</v>
      </c>
      <c r="P96" s="92"/>
      <c r="Q96" s="146" t="s">
        <v>61</v>
      </c>
      <c r="R96" s="92"/>
      <c r="S96" s="146" t="s">
        <v>61</v>
      </c>
      <c r="T96" s="92"/>
      <c r="U96" s="146" t="s">
        <v>61</v>
      </c>
      <c r="V96" s="92"/>
      <c r="W96" s="146" t="s">
        <v>61</v>
      </c>
      <c r="X96" s="92"/>
      <c r="Y96" s="146" t="s">
        <v>61</v>
      </c>
      <c r="Z96" s="92"/>
      <c r="AA96" s="146" t="s">
        <v>61</v>
      </c>
      <c r="AB96" s="92"/>
      <c r="AC96" s="146" t="s">
        <v>61</v>
      </c>
      <c r="AD96" s="92"/>
      <c r="AE96" s="146" t="s">
        <v>61</v>
      </c>
      <c r="AF96" s="143" t="str">
        <f t="shared" si="6"/>
        <v>NA</v>
      </c>
      <c r="AG96" s="199" t="str">
        <f t="shared" si="5"/>
        <v>NÃO AVALIADO POR FALHA DE SINCRONISMO</v>
      </c>
      <c r="AH96" s="146" t="s">
        <v>204</v>
      </c>
      <c r="AI96" s="154" t="s">
        <v>6</v>
      </c>
      <c r="AJ96" s="151" t="str">
        <f t="shared" ref="AJ96:AJ157" si="9">E96</f>
        <v>GUARULHOS</v>
      </c>
      <c r="AK96" s="155" t="s">
        <v>59</v>
      </c>
      <c r="AL96" s="53">
        <v>-1.9E-2</v>
      </c>
      <c r="AM96" s="53" t="str" cm="1">
        <f t="array" ref="AM96">IF(OR(O96&lt;&gt;"", SUMPRODUCT(($AN$2:$AN$561=AN96)*($AL$2:$AL$561&lt;=AL96)) &lt;= (COUNTIF($AN$2:$AN$561,AN96)*0.5)), "SORTEADO", "-")</f>
        <v>SORTEADO</v>
      </c>
      <c r="AN96" s="53" t="str">
        <f t="shared" si="8"/>
        <v>13/04/2026</v>
      </c>
    </row>
    <row r="97" spans="1:40" ht="30" hidden="1" customHeight="1" x14ac:dyDescent="0.2">
      <c r="A97" s="230" t="s">
        <v>197</v>
      </c>
      <c r="B97" s="230">
        <v>2614825225</v>
      </c>
      <c r="C97" s="230" t="s">
        <v>2701</v>
      </c>
      <c r="D97" s="230" t="s">
        <v>110</v>
      </c>
      <c r="E97" s="230" t="s">
        <v>198</v>
      </c>
      <c r="F97" s="230" t="s">
        <v>386</v>
      </c>
      <c r="G97" s="230">
        <v>110</v>
      </c>
      <c r="H97" s="230" t="s">
        <v>213</v>
      </c>
      <c r="I97" s="230" t="s">
        <v>262</v>
      </c>
      <c r="J97" s="230" t="s">
        <v>2703</v>
      </c>
      <c r="K97" s="237" t="s">
        <v>2787</v>
      </c>
      <c r="L97" s="230" t="s">
        <v>902</v>
      </c>
      <c r="M97" s="230" t="s">
        <v>2788</v>
      </c>
      <c r="N97" s="230" t="s">
        <v>2707</v>
      </c>
      <c r="O97" s="158" t="s">
        <v>61</v>
      </c>
      <c r="P97" s="92"/>
      <c r="Q97" s="146" t="s">
        <v>61</v>
      </c>
      <c r="R97" s="92"/>
      <c r="S97" s="146" t="s">
        <v>61</v>
      </c>
      <c r="T97" s="92"/>
      <c r="U97" s="146" t="s">
        <v>61</v>
      </c>
      <c r="V97" s="92"/>
      <c r="W97" s="146" t="s">
        <v>61</v>
      </c>
      <c r="X97" s="92"/>
      <c r="Y97" s="146" t="s">
        <v>61</v>
      </c>
      <c r="Z97" s="92"/>
      <c r="AA97" s="146" t="s">
        <v>61</v>
      </c>
      <c r="AB97" s="92"/>
      <c r="AC97" s="146" t="s">
        <v>61</v>
      </c>
      <c r="AD97" s="92"/>
      <c r="AE97" s="146" t="s">
        <v>61</v>
      </c>
      <c r="AF97" s="143" t="str">
        <f t="shared" si="6"/>
        <v>NA</v>
      </c>
      <c r="AG97" s="199" t="str">
        <f t="shared" si="5"/>
        <v>NÃO AVALIADO POR FALHA DE SINCRONISMO</v>
      </c>
      <c r="AH97" s="146" t="s">
        <v>204</v>
      </c>
      <c r="AI97" s="154" t="s">
        <v>6</v>
      </c>
      <c r="AJ97" s="151" t="str">
        <f t="shared" si="9"/>
        <v>GUARULHOS</v>
      </c>
      <c r="AK97" s="155" t="s">
        <v>59</v>
      </c>
      <c r="AL97" s="53">
        <v>-1.9199999999999998E-2</v>
      </c>
      <c r="AM97" s="53" t="str" cm="1">
        <f t="array" ref="AM97">IF(OR(O97&lt;&gt;"", SUMPRODUCT(($AN$2:$AN$561=AN97)*($AL$2:$AL$561&lt;=AL97)) &lt;= (COUNTIF($AN$2:$AN$561,AN97)*0.5)), "SORTEADO", "-")</f>
        <v>SORTEADO</v>
      </c>
      <c r="AN97" s="53" t="str">
        <f t="shared" si="8"/>
        <v>13/04/2026</v>
      </c>
    </row>
    <row r="98" spans="1:40" ht="30" hidden="1" customHeight="1" x14ac:dyDescent="0.2">
      <c r="A98" s="230" t="s">
        <v>197</v>
      </c>
      <c r="B98" s="230">
        <v>2614826337</v>
      </c>
      <c r="C98" s="230" t="s">
        <v>2701</v>
      </c>
      <c r="D98" s="230" t="s">
        <v>110</v>
      </c>
      <c r="E98" s="230" t="s">
        <v>198</v>
      </c>
      <c r="F98" s="230" t="s">
        <v>386</v>
      </c>
      <c r="G98" s="230">
        <v>105</v>
      </c>
      <c r="H98" s="230" t="s">
        <v>2790</v>
      </c>
      <c r="I98" s="230" t="s">
        <v>262</v>
      </c>
      <c r="J98" s="230" t="s">
        <v>2703</v>
      </c>
      <c r="K98" s="237" t="s">
        <v>2787</v>
      </c>
      <c r="L98" s="230" t="s">
        <v>902</v>
      </c>
      <c r="M98" s="230" t="s">
        <v>2788</v>
      </c>
      <c r="N98" s="230" t="s">
        <v>2707</v>
      </c>
      <c r="O98" s="158" t="s">
        <v>61</v>
      </c>
      <c r="P98" s="92"/>
      <c r="Q98" s="146" t="s">
        <v>61</v>
      </c>
      <c r="R98" s="92"/>
      <c r="S98" s="146" t="s">
        <v>61</v>
      </c>
      <c r="T98" s="92"/>
      <c r="U98" s="146" t="s">
        <v>61</v>
      </c>
      <c r="V98" s="92"/>
      <c r="W98" s="146" t="s">
        <v>61</v>
      </c>
      <c r="X98" s="92"/>
      <c r="Y98" s="146" t="s">
        <v>61</v>
      </c>
      <c r="Z98" s="92"/>
      <c r="AA98" s="146" t="s">
        <v>61</v>
      </c>
      <c r="AB98" s="92"/>
      <c r="AC98" s="146" t="s">
        <v>61</v>
      </c>
      <c r="AD98" s="92"/>
      <c r="AE98" s="146" t="s">
        <v>61</v>
      </c>
      <c r="AF98" s="143" t="str">
        <f t="shared" si="6"/>
        <v>NA</v>
      </c>
      <c r="AG98" s="199" t="str">
        <f t="shared" si="5"/>
        <v>NÃO AVALIADO POR FALHA DE SINCRONISMO</v>
      </c>
      <c r="AH98" s="146" t="s">
        <v>204</v>
      </c>
      <c r="AI98" s="154" t="s">
        <v>6</v>
      </c>
      <c r="AJ98" s="151" t="str">
        <f t="shared" si="9"/>
        <v>GUARULHOS</v>
      </c>
      <c r="AK98" s="155" t="s">
        <v>59</v>
      </c>
      <c r="AL98" s="53">
        <v>-1.9400000000000001E-2</v>
      </c>
      <c r="AM98" s="53" t="str" cm="1">
        <f t="array" ref="AM98">IF(OR(O98&lt;&gt;"", SUMPRODUCT(($AN$2:$AN$561=AN98)*($AL$2:$AL$561&lt;=AL98)) &lt;= (COUNTIF($AN$2:$AN$561,AN98)*0.5)), "SORTEADO", "-")</f>
        <v>SORTEADO</v>
      </c>
      <c r="AN98" s="53" t="str">
        <f t="shared" si="8"/>
        <v>13/04/2026</v>
      </c>
    </row>
    <row r="99" spans="1:40" ht="30" hidden="1" customHeight="1" x14ac:dyDescent="0.2">
      <c r="A99" s="230" t="s">
        <v>197</v>
      </c>
      <c r="B99" s="230">
        <v>2614826078</v>
      </c>
      <c r="C99" s="230" t="s">
        <v>2701</v>
      </c>
      <c r="D99" s="230" t="s">
        <v>110</v>
      </c>
      <c r="E99" s="230" t="s">
        <v>198</v>
      </c>
      <c r="F99" s="230" t="s">
        <v>386</v>
      </c>
      <c r="G99" s="230">
        <v>104</v>
      </c>
      <c r="H99" s="230" t="s">
        <v>213</v>
      </c>
      <c r="I99" s="230" t="s">
        <v>262</v>
      </c>
      <c r="J99" s="230" t="s">
        <v>2703</v>
      </c>
      <c r="K99" s="237" t="s">
        <v>2787</v>
      </c>
      <c r="L99" s="230" t="s">
        <v>902</v>
      </c>
      <c r="M99" s="230" t="s">
        <v>2788</v>
      </c>
      <c r="N99" s="230" t="s">
        <v>2707</v>
      </c>
      <c r="O99" s="158" t="s">
        <v>61</v>
      </c>
      <c r="P99" s="92"/>
      <c r="Q99" s="146" t="s">
        <v>61</v>
      </c>
      <c r="R99" s="92"/>
      <c r="S99" s="146" t="s">
        <v>61</v>
      </c>
      <c r="T99" s="92"/>
      <c r="U99" s="146" t="s">
        <v>61</v>
      </c>
      <c r="V99" s="92"/>
      <c r="W99" s="146" t="s">
        <v>61</v>
      </c>
      <c r="X99" s="92"/>
      <c r="Y99" s="146" t="s">
        <v>61</v>
      </c>
      <c r="Z99" s="92"/>
      <c r="AA99" s="146" t="s">
        <v>61</v>
      </c>
      <c r="AB99" s="92"/>
      <c r="AC99" s="146" t="s">
        <v>61</v>
      </c>
      <c r="AD99" s="92"/>
      <c r="AE99" s="146" t="s">
        <v>61</v>
      </c>
      <c r="AF99" s="143" t="str">
        <f t="shared" si="6"/>
        <v>NA</v>
      </c>
      <c r="AG99" s="199" t="str">
        <f t="shared" si="5"/>
        <v>NÃO AVALIADO POR FALHA DE SINCRONISMO</v>
      </c>
      <c r="AH99" s="146" t="s">
        <v>204</v>
      </c>
      <c r="AI99" s="154" t="s">
        <v>6</v>
      </c>
      <c r="AJ99" s="151" t="str">
        <f t="shared" si="9"/>
        <v>GUARULHOS</v>
      </c>
      <c r="AK99" s="155" t="s">
        <v>59</v>
      </c>
      <c r="AL99" s="53">
        <v>-1.9599999999999999E-2</v>
      </c>
      <c r="AM99" s="53" t="str" cm="1">
        <f t="array" ref="AM99">IF(OR(O99&lt;&gt;"", SUMPRODUCT(($AN$2:$AN$561=AN99)*($AL$2:$AL$561&lt;=AL99)) &lt;= (COUNTIF($AN$2:$AN$561,AN99)*0.5)), "SORTEADO", "-")</f>
        <v>SORTEADO</v>
      </c>
      <c r="AN99" s="53" t="str">
        <f t="shared" si="8"/>
        <v>13/04/2026</v>
      </c>
    </row>
    <row r="100" spans="1:40" ht="30" hidden="1" customHeight="1" x14ac:dyDescent="0.2">
      <c r="A100" s="230" t="s">
        <v>197</v>
      </c>
      <c r="B100" s="230">
        <v>2614825730</v>
      </c>
      <c r="C100" s="230" t="s">
        <v>2701</v>
      </c>
      <c r="D100" s="230" t="s">
        <v>110</v>
      </c>
      <c r="E100" s="230" t="s">
        <v>198</v>
      </c>
      <c r="F100" s="230" t="s">
        <v>386</v>
      </c>
      <c r="G100" s="230">
        <v>87</v>
      </c>
      <c r="H100" s="230"/>
      <c r="I100" s="230" t="s">
        <v>262</v>
      </c>
      <c r="J100" s="230" t="s">
        <v>2703</v>
      </c>
      <c r="K100" s="237" t="s">
        <v>2791</v>
      </c>
      <c r="L100" s="230" t="s">
        <v>902</v>
      </c>
      <c r="M100" s="230" t="s">
        <v>2788</v>
      </c>
      <c r="N100" s="230" t="s">
        <v>2707</v>
      </c>
      <c r="O100" s="158" t="s">
        <v>61</v>
      </c>
      <c r="P100" s="92"/>
      <c r="Q100" s="146" t="s">
        <v>61</v>
      </c>
      <c r="R100" s="92"/>
      <c r="S100" s="146" t="s">
        <v>61</v>
      </c>
      <c r="T100" s="92"/>
      <c r="U100" s="146" t="s">
        <v>61</v>
      </c>
      <c r="V100" s="92"/>
      <c r="W100" s="146" t="s">
        <v>61</v>
      </c>
      <c r="X100" s="92"/>
      <c r="Y100" s="146" t="s">
        <v>61</v>
      </c>
      <c r="Z100" s="92"/>
      <c r="AA100" s="146" t="s">
        <v>61</v>
      </c>
      <c r="AB100" s="92"/>
      <c r="AC100" s="146" t="s">
        <v>61</v>
      </c>
      <c r="AD100" s="92"/>
      <c r="AE100" s="146" t="s">
        <v>61</v>
      </c>
      <c r="AF100" s="143" t="str">
        <f t="shared" si="6"/>
        <v>NA</v>
      </c>
      <c r="AG100" s="199" t="str">
        <f t="shared" si="5"/>
        <v>NÃO AVALIADO POR FALHA DE SINCRONISMO</v>
      </c>
      <c r="AH100" s="146" t="s">
        <v>204</v>
      </c>
      <c r="AI100" s="154" t="s">
        <v>6</v>
      </c>
      <c r="AJ100" s="151" t="str">
        <f t="shared" si="9"/>
        <v>GUARULHOS</v>
      </c>
      <c r="AK100" s="155" t="s">
        <v>59</v>
      </c>
      <c r="AL100" s="53">
        <v>-1.9800000000000002E-2</v>
      </c>
      <c r="AM100" s="53" t="str" cm="1">
        <f t="array" ref="AM100">IF(OR(O100&lt;&gt;"", SUMPRODUCT(($AN$2:$AN$561=AN100)*($AL$2:$AL$561&lt;=AL100)) &lt;= (COUNTIF($AN$2:$AN$561,AN100)*0.5)), "SORTEADO", "-")</f>
        <v>SORTEADO</v>
      </c>
      <c r="AN100" s="53" t="str">
        <f t="shared" si="8"/>
        <v>13/04/2026</v>
      </c>
    </row>
    <row r="101" spans="1:40" ht="30" hidden="1" customHeight="1" x14ac:dyDescent="0.2">
      <c r="A101" s="230" t="s">
        <v>197</v>
      </c>
      <c r="B101" s="230">
        <v>2614825182</v>
      </c>
      <c r="C101" s="230" t="s">
        <v>2701</v>
      </c>
      <c r="D101" s="230" t="s">
        <v>110</v>
      </c>
      <c r="E101" s="230" t="s">
        <v>198</v>
      </c>
      <c r="F101" s="230" t="s">
        <v>386</v>
      </c>
      <c r="G101" s="230">
        <v>88</v>
      </c>
      <c r="H101" s="230" t="s">
        <v>756</v>
      </c>
      <c r="I101" s="230" t="s">
        <v>262</v>
      </c>
      <c r="J101" s="230" t="s">
        <v>2703</v>
      </c>
      <c r="K101" s="237" t="s">
        <v>2787</v>
      </c>
      <c r="L101" s="230" t="s">
        <v>902</v>
      </c>
      <c r="M101" s="230" t="s">
        <v>2792</v>
      </c>
      <c r="N101" s="230" t="s">
        <v>2707</v>
      </c>
      <c r="O101" s="158" t="s">
        <v>61</v>
      </c>
      <c r="P101" s="92"/>
      <c r="Q101" s="146" t="s">
        <v>61</v>
      </c>
      <c r="R101" s="92"/>
      <c r="S101" s="146" t="s">
        <v>61</v>
      </c>
      <c r="T101" s="92"/>
      <c r="U101" s="146" t="s">
        <v>61</v>
      </c>
      <c r="V101" s="92"/>
      <c r="W101" s="146" t="s">
        <v>61</v>
      </c>
      <c r="X101" s="92"/>
      <c r="Y101" s="146" t="s">
        <v>61</v>
      </c>
      <c r="Z101" s="92"/>
      <c r="AA101" s="146" t="s">
        <v>61</v>
      </c>
      <c r="AB101" s="92"/>
      <c r="AC101" s="146" t="s">
        <v>61</v>
      </c>
      <c r="AD101" s="92"/>
      <c r="AE101" s="146" t="s">
        <v>61</v>
      </c>
      <c r="AF101" s="143" t="str">
        <f t="shared" si="6"/>
        <v>NA</v>
      </c>
      <c r="AG101" s="199" t="str">
        <f t="shared" si="5"/>
        <v>NÃO AVALIADO POR FALHA DE SINCRONISMO</v>
      </c>
      <c r="AH101" s="146" t="s">
        <v>204</v>
      </c>
      <c r="AI101" s="154" t="s">
        <v>6</v>
      </c>
      <c r="AJ101" s="151" t="str">
        <f t="shared" si="9"/>
        <v>GUARULHOS</v>
      </c>
      <c r="AK101" s="155" t="s">
        <v>59</v>
      </c>
      <c r="AL101" s="53">
        <v>-0.02</v>
      </c>
      <c r="AM101" s="53" t="str" cm="1">
        <f t="array" ref="AM101">IF(OR(O101&lt;&gt;"", SUMPRODUCT(($AN$2:$AN$561=AN101)*($AL$2:$AL$561&lt;=AL101)) &lt;= (COUNTIF($AN$2:$AN$561,AN101)*0.5)), "SORTEADO", "-")</f>
        <v>SORTEADO</v>
      </c>
      <c r="AN101" s="53" t="str">
        <f t="shared" si="8"/>
        <v>13/04/2026</v>
      </c>
    </row>
    <row r="102" spans="1:40" ht="30" hidden="1" customHeight="1" x14ac:dyDescent="0.2">
      <c r="A102" s="230" t="s">
        <v>197</v>
      </c>
      <c r="B102" s="230">
        <v>2614825417</v>
      </c>
      <c r="C102" s="230" t="s">
        <v>2701</v>
      </c>
      <c r="D102" s="230" t="s">
        <v>110</v>
      </c>
      <c r="E102" s="230" t="s">
        <v>198</v>
      </c>
      <c r="F102" s="230" t="s">
        <v>386</v>
      </c>
      <c r="G102" s="230">
        <v>109</v>
      </c>
      <c r="H102" s="230" t="s">
        <v>387</v>
      </c>
      <c r="I102" s="230" t="s">
        <v>262</v>
      </c>
      <c r="J102" s="230" t="s">
        <v>2703</v>
      </c>
      <c r="K102" s="237" t="s">
        <v>2787</v>
      </c>
      <c r="L102" s="230" t="s">
        <v>902</v>
      </c>
      <c r="M102" s="230" t="s">
        <v>2788</v>
      </c>
      <c r="N102" s="230" t="s">
        <v>2707</v>
      </c>
      <c r="O102" s="158" t="s">
        <v>61</v>
      </c>
      <c r="P102" s="92"/>
      <c r="Q102" s="146" t="s">
        <v>61</v>
      </c>
      <c r="R102" s="92"/>
      <c r="S102" s="146" t="s">
        <v>61</v>
      </c>
      <c r="T102" s="92"/>
      <c r="U102" s="146" t="s">
        <v>61</v>
      </c>
      <c r="V102" s="92"/>
      <c r="W102" s="146" t="s">
        <v>61</v>
      </c>
      <c r="X102" s="92"/>
      <c r="Y102" s="146" t="s">
        <v>61</v>
      </c>
      <c r="Z102" s="92"/>
      <c r="AA102" s="146" t="s">
        <v>61</v>
      </c>
      <c r="AB102" s="92"/>
      <c r="AC102" s="146" t="s">
        <v>61</v>
      </c>
      <c r="AD102" s="92"/>
      <c r="AE102" s="146" t="s">
        <v>61</v>
      </c>
      <c r="AF102" s="143" t="str">
        <f t="shared" si="6"/>
        <v>NA</v>
      </c>
      <c r="AG102" s="199" t="str">
        <f t="shared" si="5"/>
        <v>NÃO AVALIADO POR FALHA DE SINCRONISMO</v>
      </c>
      <c r="AH102" s="146" t="s">
        <v>204</v>
      </c>
      <c r="AI102" s="154" t="s">
        <v>6</v>
      </c>
      <c r="AJ102" s="151" t="str">
        <f t="shared" si="9"/>
        <v>GUARULHOS</v>
      </c>
      <c r="AK102" s="155" t="s">
        <v>59</v>
      </c>
      <c r="AL102" s="53">
        <v>-2.0199999999999999E-2</v>
      </c>
      <c r="AM102" s="53" t="str" cm="1">
        <f t="array" ref="AM102">IF(OR(O102&lt;&gt;"", SUMPRODUCT(($AN$2:$AN$561=AN102)*($AL$2:$AL$561&lt;=AL102)) &lt;= (COUNTIF($AN$2:$AN$561,AN102)*0.5)), "SORTEADO", "-")</f>
        <v>SORTEADO</v>
      </c>
      <c r="AN102" s="53" t="str">
        <f t="shared" si="8"/>
        <v>13/04/2026</v>
      </c>
    </row>
    <row r="103" spans="1:40" ht="30" hidden="1" customHeight="1" x14ac:dyDescent="0.2">
      <c r="A103" s="230" t="s">
        <v>197</v>
      </c>
      <c r="B103" s="230">
        <v>2615141547</v>
      </c>
      <c r="C103" s="230" t="s">
        <v>2701</v>
      </c>
      <c r="D103" s="230" t="s">
        <v>110</v>
      </c>
      <c r="E103" s="230" t="s">
        <v>198</v>
      </c>
      <c r="F103" s="230" t="s">
        <v>308</v>
      </c>
      <c r="G103" s="230">
        <v>550</v>
      </c>
      <c r="H103" s="236" t="s">
        <v>644</v>
      </c>
      <c r="I103" s="230" t="s">
        <v>262</v>
      </c>
      <c r="J103" s="230" t="s">
        <v>2703</v>
      </c>
      <c r="K103" s="230" t="s">
        <v>2783</v>
      </c>
      <c r="L103" s="230" t="s">
        <v>902</v>
      </c>
      <c r="M103" s="230" t="s">
        <v>2784</v>
      </c>
      <c r="N103" s="230" t="s">
        <v>2705</v>
      </c>
      <c r="O103" s="158" t="s">
        <v>61</v>
      </c>
      <c r="P103" s="92"/>
      <c r="Q103" s="146" t="s">
        <v>61</v>
      </c>
      <c r="R103" s="92"/>
      <c r="S103" s="146" t="s">
        <v>61</v>
      </c>
      <c r="T103" s="92"/>
      <c r="U103" s="146" t="s">
        <v>61</v>
      </c>
      <c r="V103" s="92"/>
      <c r="W103" s="146" t="s">
        <v>61</v>
      </c>
      <c r="X103" s="92"/>
      <c r="Y103" s="146" t="s">
        <v>61</v>
      </c>
      <c r="Z103" s="92"/>
      <c r="AA103" s="146" t="s">
        <v>61</v>
      </c>
      <c r="AB103" s="92"/>
      <c r="AC103" s="146" t="s">
        <v>61</v>
      </c>
      <c r="AD103" s="92"/>
      <c r="AE103" s="146" t="s">
        <v>61</v>
      </c>
      <c r="AF103" s="143" t="str">
        <f t="shared" si="6"/>
        <v>NA</v>
      </c>
      <c r="AG103" s="199" t="str">
        <f t="shared" si="5"/>
        <v>NÃO AVALIADO POR FALHA DE SINCRONISMO</v>
      </c>
      <c r="AH103" s="146" t="s">
        <v>204</v>
      </c>
      <c r="AI103" s="154" t="s">
        <v>6</v>
      </c>
      <c r="AJ103" s="151" t="str">
        <f t="shared" si="9"/>
        <v>GUARULHOS</v>
      </c>
      <c r="AK103" s="155" t="s">
        <v>59</v>
      </c>
      <c r="AL103" s="53">
        <v>-2.0400000000000001E-2</v>
      </c>
      <c r="AM103" s="53" t="str" cm="1">
        <f t="array" ref="AM103">IF(OR(O103&lt;&gt;"", SUMPRODUCT(($AN$2:$AN$561=AN103)*($AL$2:$AL$561&lt;=AL103)) &lt;= (COUNTIF($AN$2:$AN$561,AN103)*0.5)), "SORTEADO", "-")</f>
        <v>SORTEADO</v>
      </c>
      <c r="AN103" s="53" t="str">
        <f t="shared" si="8"/>
        <v>13/04/2026</v>
      </c>
    </row>
    <row r="104" spans="1:40" ht="30" hidden="1" customHeight="1" x14ac:dyDescent="0.2">
      <c r="A104" s="230" t="s">
        <v>197</v>
      </c>
      <c r="B104" s="230">
        <v>2615141301</v>
      </c>
      <c r="C104" s="230" t="s">
        <v>2701</v>
      </c>
      <c r="D104" s="230" t="s">
        <v>110</v>
      </c>
      <c r="E104" s="230" t="s">
        <v>198</v>
      </c>
      <c r="F104" s="230" t="s">
        <v>308</v>
      </c>
      <c r="G104" s="230">
        <v>544</v>
      </c>
      <c r="H104" s="230"/>
      <c r="I104" s="230" t="s">
        <v>262</v>
      </c>
      <c r="J104" s="230" t="s">
        <v>2703</v>
      </c>
      <c r="K104" s="230" t="s">
        <v>2783</v>
      </c>
      <c r="L104" s="230" t="s">
        <v>902</v>
      </c>
      <c r="M104" s="230" t="s">
        <v>2784</v>
      </c>
      <c r="N104" s="230" t="s">
        <v>2705</v>
      </c>
      <c r="O104" s="158" t="s">
        <v>61</v>
      </c>
      <c r="P104" s="92"/>
      <c r="Q104" s="146" t="s">
        <v>61</v>
      </c>
      <c r="R104" s="92"/>
      <c r="S104" s="146" t="s">
        <v>61</v>
      </c>
      <c r="T104" s="92"/>
      <c r="U104" s="146" t="s">
        <v>61</v>
      </c>
      <c r="V104" s="92"/>
      <c r="W104" s="146" t="s">
        <v>61</v>
      </c>
      <c r="X104" s="92"/>
      <c r="Y104" s="146" t="s">
        <v>61</v>
      </c>
      <c r="Z104" s="92"/>
      <c r="AA104" s="146" t="s">
        <v>61</v>
      </c>
      <c r="AB104" s="92"/>
      <c r="AC104" s="146" t="s">
        <v>61</v>
      </c>
      <c r="AD104" s="92"/>
      <c r="AE104" s="146" t="s">
        <v>61</v>
      </c>
      <c r="AF104" s="143" t="str">
        <f t="shared" si="6"/>
        <v>NA</v>
      </c>
      <c r="AG104" s="199" t="str">
        <f t="shared" si="5"/>
        <v>NÃO AVALIADO POR FALHA DE SINCRONISMO</v>
      </c>
      <c r="AH104" s="146" t="s">
        <v>204</v>
      </c>
      <c r="AI104" s="154" t="s">
        <v>6</v>
      </c>
      <c r="AJ104" s="151" t="str">
        <f t="shared" si="9"/>
        <v>GUARULHOS</v>
      </c>
      <c r="AK104" s="155" t="s">
        <v>59</v>
      </c>
      <c r="AL104" s="53">
        <v>-2.06E-2</v>
      </c>
      <c r="AM104" s="53" t="str" cm="1">
        <f t="array" ref="AM104">IF(OR(O104&lt;&gt;"", SUMPRODUCT(($AN$2:$AN$561=AN104)*($AL$2:$AL$561&lt;=AL104)) &lt;= (COUNTIF($AN$2:$AN$561,AN104)*0.5)), "SORTEADO", "-")</f>
        <v>SORTEADO</v>
      </c>
      <c r="AN104" s="53" t="str">
        <f t="shared" si="8"/>
        <v>13/04/2026</v>
      </c>
    </row>
    <row r="105" spans="1:40" ht="30" hidden="1" customHeight="1" x14ac:dyDescent="0.2">
      <c r="A105" s="230" t="s">
        <v>197</v>
      </c>
      <c r="B105" s="230">
        <v>2615141587</v>
      </c>
      <c r="C105" s="230" t="s">
        <v>2701</v>
      </c>
      <c r="D105" s="230" t="s">
        <v>110</v>
      </c>
      <c r="E105" s="230" t="s">
        <v>198</v>
      </c>
      <c r="F105" s="230" t="s">
        <v>308</v>
      </c>
      <c r="G105" s="230">
        <v>535</v>
      </c>
      <c r="H105" s="230" t="s">
        <v>2002</v>
      </c>
      <c r="I105" s="230" t="s">
        <v>262</v>
      </c>
      <c r="J105" s="230" t="s">
        <v>2703</v>
      </c>
      <c r="K105" s="230" t="s">
        <v>2783</v>
      </c>
      <c r="L105" s="230" t="s">
        <v>902</v>
      </c>
      <c r="M105" s="230" t="s">
        <v>2784</v>
      </c>
      <c r="N105" s="230" t="s">
        <v>2705</v>
      </c>
      <c r="O105" s="158" t="s">
        <v>61</v>
      </c>
      <c r="P105" s="92"/>
      <c r="Q105" s="146" t="s">
        <v>61</v>
      </c>
      <c r="R105" s="92"/>
      <c r="S105" s="146" t="s">
        <v>61</v>
      </c>
      <c r="T105" s="92"/>
      <c r="U105" s="146" t="s">
        <v>61</v>
      </c>
      <c r="V105" s="92"/>
      <c r="W105" s="146" t="s">
        <v>61</v>
      </c>
      <c r="X105" s="92"/>
      <c r="Y105" s="146" t="s">
        <v>61</v>
      </c>
      <c r="Z105" s="92"/>
      <c r="AA105" s="146" t="s">
        <v>61</v>
      </c>
      <c r="AB105" s="92"/>
      <c r="AC105" s="146" t="s">
        <v>61</v>
      </c>
      <c r="AD105" s="92"/>
      <c r="AE105" s="146" t="s">
        <v>61</v>
      </c>
      <c r="AF105" s="143" t="str">
        <f t="shared" si="6"/>
        <v>NA</v>
      </c>
      <c r="AG105" s="199" t="str">
        <f t="shared" si="5"/>
        <v>NÃO AVALIADO POR FALHA DE SINCRONISMO</v>
      </c>
      <c r="AH105" s="146" t="s">
        <v>204</v>
      </c>
      <c r="AI105" s="154" t="s">
        <v>6</v>
      </c>
      <c r="AJ105" s="151" t="str">
        <f t="shared" si="9"/>
        <v>GUARULHOS</v>
      </c>
      <c r="AK105" s="155" t="s">
        <v>59</v>
      </c>
      <c r="AL105" s="53">
        <v>-2.0799999999999999E-2</v>
      </c>
      <c r="AM105" s="53" t="str" cm="1">
        <f t="array" ref="AM105">IF(OR(O105&lt;&gt;"", SUMPRODUCT(($AN$2:$AN$561=AN105)*($AL$2:$AL$561&lt;=AL105)) &lt;= (COUNTIF($AN$2:$AN$561,AN105)*0.5)), "SORTEADO", "-")</f>
        <v>SORTEADO</v>
      </c>
      <c r="AN105" s="53" t="str">
        <f t="shared" si="8"/>
        <v>13/04/2026</v>
      </c>
    </row>
    <row r="106" spans="1:40" ht="30" hidden="1" customHeight="1" x14ac:dyDescent="0.2">
      <c r="A106" s="230" t="s">
        <v>197</v>
      </c>
      <c r="B106" s="230">
        <v>2615142721</v>
      </c>
      <c r="C106" s="230" t="s">
        <v>2701</v>
      </c>
      <c r="D106" s="230" t="s">
        <v>110</v>
      </c>
      <c r="E106" s="230" t="s">
        <v>198</v>
      </c>
      <c r="F106" s="230" t="s">
        <v>308</v>
      </c>
      <c r="G106" s="230">
        <v>531</v>
      </c>
      <c r="H106" s="230" t="s">
        <v>2793</v>
      </c>
      <c r="I106" s="230" t="s">
        <v>262</v>
      </c>
      <c r="J106" s="230" t="s">
        <v>2703</v>
      </c>
      <c r="K106" s="230" t="s">
        <v>2783</v>
      </c>
      <c r="L106" s="230" t="s">
        <v>902</v>
      </c>
      <c r="M106" s="230" t="s">
        <v>2784</v>
      </c>
      <c r="N106" s="230" t="s">
        <v>2705</v>
      </c>
      <c r="O106" s="158" t="s">
        <v>61</v>
      </c>
      <c r="P106" s="92"/>
      <c r="Q106" s="146" t="s">
        <v>61</v>
      </c>
      <c r="R106" s="92"/>
      <c r="S106" s="146" t="s">
        <v>61</v>
      </c>
      <c r="T106" s="92"/>
      <c r="U106" s="146" t="s">
        <v>61</v>
      </c>
      <c r="V106" s="92"/>
      <c r="W106" s="146" t="s">
        <v>61</v>
      </c>
      <c r="X106" s="92"/>
      <c r="Y106" s="146" t="s">
        <v>61</v>
      </c>
      <c r="Z106" s="92"/>
      <c r="AA106" s="146" t="s">
        <v>61</v>
      </c>
      <c r="AB106" s="92"/>
      <c r="AC106" s="146" t="s">
        <v>61</v>
      </c>
      <c r="AD106" s="92"/>
      <c r="AE106" s="146" t="s">
        <v>61</v>
      </c>
      <c r="AF106" s="143" t="str">
        <f t="shared" si="6"/>
        <v>NA</v>
      </c>
      <c r="AG106" s="199" t="str">
        <f t="shared" si="5"/>
        <v>NÃO AVALIADO POR FALHA DE SINCRONISMO</v>
      </c>
      <c r="AH106" s="146" t="s">
        <v>204</v>
      </c>
      <c r="AI106" s="154" t="s">
        <v>6</v>
      </c>
      <c r="AJ106" s="151" t="str">
        <f t="shared" si="9"/>
        <v>GUARULHOS</v>
      </c>
      <c r="AK106" s="155" t="s">
        <v>59</v>
      </c>
      <c r="AL106" s="53">
        <v>-2.1000000000000001E-2</v>
      </c>
      <c r="AM106" s="53" t="str" cm="1">
        <f t="array" ref="AM106">IF(OR(O106&lt;&gt;"", SUMPRODUCT(($AN$2:$AN$561=AN106)*($AL$2:$AL$561&lt;=AL106)) &lt;= (COUNTIF($AN$2:$AN$561,AN106)*0.5)), "SORTEADO", "-")</f>
        <v>SORTEADO</v>
      </c>
      <c r="AN106" s="53" t="str">
        <f t="shared" si="8"/>
        <v>13/04/2026</v>
      </c>
    </row>
    <row r="107" spans="1:40" ht="30" hidden="1" customHeight="1" x14ac:dyDescent="0.2">
      <c r="A107" s="230" t="s">
        <v>197</v>
      </c>
      <c r="B107" s="230">
        <v>2615142010</v>
      </c>
      <c r="C107" s="230" t="s">
        <v>2701</v>
      </c>
      <c r="D107" s="230" t="s">
        <v>110</v>
      </c>
      <c r="E107" s="230" t="s">
        <v>198</v>
      </c>
      <c r="F107" s="230" t="s">
        <v>308</v>
      </c>
      <c r="G107" s="230">
        <v>513</v>
      </c>
      <c r="H107" s="230" t="s">
        <v>213</v>
      </c>
      <c r="I107" s="230" t="s">
        <v>262</v>
      </c>
      <c r="J107" s="230" t="s">
        <v>2703</v>
      </c>
      <c r="K107" s="230" t="s">
        <v>2783</v>
      </c>
      <c r="L107" s="230" t="s">
        <v>902</v>
      </c>
      <c r="M107" s="230" t="s">
        <v>2784</v>
      </c>
      <c r="N107" s="230" t="s">
        <v>2705</v>
      </c>
      <c r="O107" s="158" t="s">
        <v>61</v>
      </c>
      <c r="P107" s="92"/>
      <c r="Q107" s="146" t="s">
        <v>61</v>
      </c>
      <c r="R107" s="92"/>
      <c r="S107" s="146" t="s">
        <v>61</v>
      </c>
      <c r="T107" s="92"/>
      <c r="U107" s="146" t="s">
        <v>61</v>
      </c>
      <c r="V107" s="92"/>
      <c r="W107" s="146" t="s">
        <v>61</v>
      </c>
      <c r="X107" s="92"/>
      <c r="Y107" s="146" t="s">
        <v>61</v>
      </c>
      <c r="Z107" s="92"/>
      <c r="AA107" s="146" t="s">
        <v>61</v>
      </c>
      <c r="AB107" s="92"/>
      <c r="AC107" s="146" t="s">
        <v>61</v>
      </c>
      <c r="AD107" s="92"/>
      <c r="AE107" s="146" t="s">
        <v>61</v>
      </c>
      <c r="AF107" s="143" t="str">
        <f t="shared" si="6"/>
        <v>NA</v>
      </c>
      <c r="AG107" s="199" t="str">
        <f t="shared" si="5"/>
        <v>NÃO AVALIADO POR FALHA DE SINCRONISMO</v>
      </c>
      <c r="AH107" s="146" t="s">
        <v>204</v>
      </c>
      <c r="AI107" s="154" t="s">
        <v>6</v>
      </c>
      <c r="AJ107" s="151" t="str">
        <f t="shared" si="9"/>
        <v>GUARULHOS</v>
      </c>
      <c r="AK107" s="155" t="s">
        <v>59</v>
      </c>
      <c r="AL107" s="53">
        <v>-2.12E-2</v>
      </c>
      <c r="AM107" s="53" t="str" cm="1">
        <f t="array" ref="AM107">IF(OR(O107&lt;&gt;"", SUMPRODUCT(($AN$2:$AN$561=AN107)*($AL$2:$AL$561&lt;=AL107)) &lt;= (COUNTIF($AN$2:$AN$561,AN107)*0.5)), "SORTEADO", "-")</f>
        <v>SORTEADO</v>
      </c>
      <c r="AN107" s="53" t="str">
        <f t="shared" si="8"/>
        <v>13/04/2026</v>
      </c>
    </row>
    <row r="108" spans="1:40" ht="30" hidden="1" customHeight="1" x14ac:dyDescent="0.2">
      <c r="A108" s="230" t="s">
        <v>197</v>
      </c>
      <c r="B108" s="230">
        <v>2614825605</v>
      </c>
      <c r="C108" s="230" t="s">
        <v>2701</v>
      </c>
      <c r="D108" s="230" t="s">
        <v>110</v>
      </c>
      <c r="E108" s="230" t="s">
        <v>198</v>
      </c>
      <c r="F108" s="230" t="s">
        <v>688</v>
      </c>
      <c r="G108" s="230">
        <v>130</v>
      </c>
      <c r="H108" s="230" t="s">
        <v>2794</v>
      </c>
      <c r="I108" s="230" t="s">
        <v>356</v>
      </c>
      <c r="J108" s="230" t="s">
        <v>2703</v>
      </c>
      <c r="K108" s="237" t="s">
        <v>2795</v>
      </c>
      <c r="L108" s="230" t="s">
        <v>902</v>
      </c>
      <c r="M108" s="230" t="s">
        <v>2792</v>
      </c>
      <c r="N108" s="230" t="s">
        <v>2757</v>
      </c>
      <c r="O108" s="158" t="s">
        <v>61</v>
      </c>
      <c r="P108" s="92"/>
      <c r="Q108" s="146" t="s">
        <v>61</v>
      </c>
      <c r="R108" s="92"/>
      <c r="S108" s="146" t="s">
        <v>61</v>
      </c>
      <c r="T108" s="92"/>
      <c r="U108" s="146" t="s">
        <v>61</v>
      </c>
      <c r="V108" s="92"/>
      <c r="W108" s="146" t="s">
        <v>61</v>
      </c>
      <c r="X108" s="92"/>
      <c r="Y108" s="146" t="s">
        <v>61</v>
      </c>
      <c r="Z108" s="92"/>
      <c r="AA108" s="146" t="s">
        <v>61</v>
      </c>
      <c r="AB108" s="92"/>
      <c r="AC108" s="146" t="s">
        <v>61</v>
      </c>
      <c r="AD108" s="92"/>
      <c r="AE108" s="146" t="s">
        <v>61</v>
      </c>
      <c r="AF108" s="143" t="str">
        <f t="shared" si="6"/>
        <v>NA</v>
      </c>
      <c r="AG108" s="199" t="str">
        <f t="shared" si="5"/>
        <v>NÃO AVALIADO POR FALHA DE SINCRONISMO</v>
      </c>
      <c r="AH108" s="146" t="s">
        <v>204</v>
      </c>
      <c r="AI108" s="154" t="s">
        <v>6</v>
      </c>
      <c r="AJ108" s="151" t="str">
        <f t="shared" si="9"/>
        <v>GUARULHOS</v>
      </c>
      <c r="AK108" s="155" t="s">
        <v>59</v>
      </c>
      <c r="AL108" s="53">
        <v>-2.1399999999999999E-2</v>
      </c>
      <c r="AM108" s="53" t="str" cm="1">
        <f t="array" ref="AM108">IF(OR(O108&lt;&gt;"", SUMPRODUCT(($AN$2:$AN$561=AN108)*($AL$2:$AL$561&lt;=AL108)) &lt;= (COUNTIF($AN$2:$AN$561,AN108)*0.5)), "SORTEADO", "-")</f>
        <v>SORTEADO</v>
      </c>
      <c r="AN108" s="53" t="str">
        <f t="shared" si="8"/>
        <v>13/04/2026</v>
      </c>
    </row>
    <row r="109" spans="1:40" ht="30" hidden="1" customHeight="1" x14ac:dyDescent="0.2">
      <c r="A109" s="230" t="s">
        <v>197</v>
      </c>
      <c r="B109" s="230">
        <v>2614825687</v>
      </c>
      <c r="C109" s="230" t="s">
        <v>2701</v>
      </c>
      <c r="D109" s="230" t="s">
        <v>110</v>
      </c>
      <c r="E109" s="230" t="s">
        <v>198</v>
      </c>
      <c r="F109" s="230" t="s">
        <v>688</v>
      </c>
      <c r="G109" s="230">
        <v>493</v>
      </c>
      <c r="H109" s="230" t="s">
        <v>2796</v>
      </c>
      <c r="I109" s="230" t="s">
        <v>356</v>
      </c>
      <c r="J109" s="230" t="s">
        <v>2703</v>
      </c>
      <c r="K109" s="237" t="s">
        <v>2795</v>
      </c>
      <c r="L109" s="230" t="s">
        <v>902</v>
      </c>
      <c r="M109" s="230" t="s">
        <v>2792</v>
      </c>
      <c r="N109" s="230" t="s">
        <v>2757</v>
      </c>
      <c r="O109" s="158" t="s">
        <v>61</v>
      </c>
      <c r="P109" s="92"/>
      <c r="Q109" s="146" t="s">
        <v>61</v>
      </c>
      <c r="R109" s="92"/>
      <c r="S109" s="146" t="s">
        <v>61</v>
      </c>
      <c r="T109" s="92"/>
      <c r="U109" s="146" t="s">
        <v>61</v>
      </c>
      <c r="V109" s="92"/>
      <c r="W109" s="146" t="s">
        <v>61</v>
      </c>
      <c r="X109" s="92"/>
      <c r="Y109" s="146" t="s">
        <v>61</v>
      </c>
      <c r="Z109" s="92"/>
      <c r="AA109" s="146" t="s">
        <v>61</v>
      </c>
      <c r="AB109" s="92"/>
      <c r="AC109" s="146" t="s">
        <v>61</v>
      </c>
      <c r="AD109" s="92"/>
      <c r="AE109" s="146" t="s">
        <v>61</v>
      </c>
      <c r="AF109" s="143" t="str">
        <f t="shared" si="6"/>
        <v>NA</v>
      </c>
      <c r="AG109" s="199" t="str">
        <f t="shared" si="5"/>
        <v>NÃO AVALIADO POR FALHA DE SINCRONISMO</v>
      </c>
      <c r="AH109" s="146" t="s">
        <v>204</v>
      </c>
      <c r="AI109" s="154" t="s">
        <v>6</v>
      </c>
      <c r="AJ109" s="151" t="str">
        <f t="shared" si="9"/>
        <v>GUARULHOS</v>
      </c>
      <c r="AK109" s="155" t="s">
        <v>59</v>
      </c>
      <c r="AL109" s="53">
        <v>-2.1600000000000001E-2</v>
      </c>
      <c r="AM109" s="53" t="str" cm="1">
        <f t="array" ref="AM109">IF(OR(O109&lt;&gt;"", SUMPRODUCT(($AN$2:$AN$561=AN109)*($AL$2:$AL$561&lt;=AL109)) &lt;= (COUNTIF($AN$2:$AN$561,AN109)*0.5)), "SORTEADO", "-")</f>
        <v>SORTEADO</v>
      </c>
      <c r="AN109" s="53" t="str">
        <f t="shared" si="8"/>
        <v>13/04/2026</v>
      </c>
    </row>
    <row r="110" spans="1:40" ht="30" hidden="1" customHeight="1" x14ac:dyDescent="0.2">
      <c r="A110" s="230" t="s">
        <v>197</v>
      </c>
      <c r="B110" s="230">
        <v>2614825414</v>
      </c>
      <c r="C110" s="230" t="s">
        <v>2701</v>
      </c>
      <c r="D110" s="230" t="s">
        <v>110</v>
      </c>
      <c r="E110" s="230" t="s">
        <v>198</v>
      </c>
      <c r="F110" s="230" t="s">
        <v>688</v>
      </c>
      <c r="G110" s="230">
        <v>148</v>
      </c>
      <c r="H110" s="230" t="s">
        <v>2797</v>
      </c>
      <c r="I110" s="230" t="s">
        <v>356</v>
      </c>
      <c r="J110" s="230" t="s">
        <v>2703</v>
      </c>
      <c r="K110" s="237" t="s">
        <v>2795</v>
      </c>
      <c r="L110" s="230" t="s">
        <v>902</v>
      </c>
      <c r="M110" s="230" t="s">
        <v>2792</v>
      </c>
      <c r="N110" s="230" t="s">
        <v>2757</v>
      </c>
      <c r="O110" s="158" t="s">
        <v>61</v>
      </c>
      <c r="P110" s="92"/>
      <c r="Q110" s="146" t="s">
        <v>61</v>
      </c>
      <c r="R110" s="92"/>
      <c r="S110" s="146" t="s">
        <v>61</v>
      </c>
      <c r="T110" s="92"/>
      <c r="U110" s="146" t="s">
        <v>61</v>
      </c>
      <c r="V110" s="92"/>
      <c r="W110" s="146" t="s">
        <v>61</v>
      </c>
      <c r="X110" s="92"/>
      <c r="Y110" s="146" t="s">
        <v>61</v>
      </c>
      <c r="Z110" s="92"/>
      <c r="AA110" s="146" t="s">
        <v>61</v>
      </c>
      <c r="AB110" s="92"/>
      <c r="AC110" s="146" t="s">
        <v>61</v>
      </c>
      <c r="AD110" s="92"/>
      <c r="AE110" s="146" t="s">
        <v>61</v>
      </c>
      <c r="AF110" s="143" t="str">
        <f t="shared" si="6"/>
        <v>NA</v>
      </c>
      <c r="AG110" s="199" t="str">
        <f t="shared" si="5"/>
        <v>NÃO AVALIADO POR FALHA DE SINCRONISMO</v>
      </c>
      <c r="AH110" s="146" t="s">
        <v>204</v>
      </c>
      <c r="AI110" s="154" t="s">
        <v>6</v>
      </c>
      <c r="AJ110" s="151" t="str">
        <f t="shared" si="9"/>
        <v>GUARULHOS</v>
      </c>
      <c r="AK110" s="155" t="s">
        <v>59</v>
      </c>
      <c r="AL110" s="53">
        <v>-2.18E-2</v>
      </c>
      <c r="AM110" s="53" t="str" cm="1">
        <f t="array" ref="AM110">IF(OR(O110&lt;&gt;"", SUMPRODUCT(($AN$2:$AN$561=AN110)*($AL$2:$AL$561&lt;=AL110)) &lt;= (COUNTIF($AN$2:$AN$561,AN110)*0.5)), "SORTEADO", "-")</f>
        <v>SORTEADO</v>
      </c>
      <c r="AN110" s="53" t="str">
        <f t="shared" si="8"/>
        <v>13/04/2026</v>
      </c>
    </row>
    <row r="111" spans="1:40" ht="30" hidden="1" customHeight="1" x14ac:dyDescent="0.2">
      <c r="A111" s="230" t="s">
        <v>197</v>
      </c>
      <c r="B111" s="230">
        <v>2614825334</v>
      </c>
      <c r="C111" s="230" t="s">
        <v>2701</v>
      </c>
      <c r="D111" s="230" t="s">
        <v>110</v>
      </c>
      <c r="E111" s="230" t="s">
        <v>198</v>
      </c>
      <c r="F111" s="230" t="s">
        <v>688</v>
      </c>
      <c r="G111" s="230">
        <v>143</v>
      </c>
      <c r="H111" s="230" t="s">
        <v>2798</v>
      </c>
      <c r="I111" s="230" t="s">
        <v>356</v>
      </c>
      <c r="J111" s="230" t="s">
        <v>2703</v>
      </c>
      <c r="K111" s="237" t="s">
        <v>2795</v>
      </c>
      <c r="L111" s="230" t="s">
        <v>902</v>
      </c>
      <c r="M111" s="230" t="s">
        <v>2792</v>
      </c>
      <c r="N111" s="230" t="s">
        <v>2757</v>
      </c>
      <c r="O111" s="158" t="s">
        <v>61</v>
      </c>
      <c r="P111" s="92"/>
      <c r="Q111" s="146" t="s">
        <v>61</v>
      </c>
      <c r="R111" s="92"/>
      <c r="S111" s="146" t="s">
        <v>61</v>
      </c>
      <c r="T111" s="92"/>
      <c r="U111" s="146" t="s">
        <v>61</v>
      </c>
      <c r="V111" s="92"/>
      <c r="W111" s="146" t="s">
        <v>61</v>
      </c>
      <c r="X111" s="92"/>
      <c r="Y111" s="146" t="s">
        <v>61</v>
      </c>
      <c r="Z111" s="92"/>
      <c r="AA111" s="146" t="s">
        <v>61</v>
      </c>
      <c r="AB111" s="92"/>
      <c r="AC111" s="146" t="s">
        <v>61</v>
      </c>
      <c r="AD111" s="92"/>
      <c r="AE111" s="146" t="s">
        <v>61</v>
      </c>
      <c r="AF111" s="143" t="str">
        <f t="shared" si="6"/>
        <v>NA</v>
      </c>
      <c r="AG111" s="199" t="str">
        <f t="shared" si="5"/>
        <v>NÃO AVALIADO POR FALHA DE SINCRONISMO</v>
      </c>
      <c r="AH111" s="146" t="s">
        <v>204</v>
      </c>
      <c r="AI111" s="154" t="s">
        <v>6</v>
      </c>
      <c r="AJ111" s="151" t="str">
        <f t="shared" si="9"/>
        <v>GUARULHOS</v>
      </c>
      <c r="AK111" s="155" t="s">
        <v>59</v>
      </c>
      <c r="AL111" s="53">
        <v>-2.1999999999999999E-2</v>
      </c>
      <c r="AM111" s="53" t="str" cm="1">
        <f t="array" ref="AM111">IF(OR(O111&lt;&gt;"", SUMPRODUCT(($AN$2:$AN$561=AN111)*($AL$2:$AL$561&lt;=AL111)) &lt;= (COUNTIF($AN$2:$AN$561,AN111)*0.5)), "SORTEADO", "-")</f>
        <v>SORTEADO</v>
      </c>
      <c r="AN111" s="53" t="str">
        <f t="shared" si="8"/>
        <v>13/04/2026</v>
      </c>
    </row>
    <row r="112" spans="1:40" ht="30" hidden="1" customHeight="1" x14ac:dyDescent="0.2">
      <c r="A112" s="230" t="s">
        <v>197</v>
      </c>
      <c r="B112" s="230">
        <v>2614825250</v>
      </c>
      <c r="C112" s="230" t="s">
        <v>2701</v>
      </c>
      <c r="D112" s="230" t="s">
        <v>110</v>
      </c>
      <c r="E112" s="230" t="s">
        <v>198</v>
      </c>
      <c r="F112" s="230" t="s">
        <v>688</v>
      </c>
      <c r="G112" s="230">
        <v>142</v>
      </c>
      <c r="H112" s="230" t="s">
        <v>2799</v>
      </c>
      <c r="I112" s="230" t="s">
        <v>356</v>
      </c>
      <c r="J112" s="230" t="s">
        <v>2703</v>
      </c>
      <c r="K112" s="237" t="s">
        <v>2795</v>
      </c>
      <c r="L112" s="230" t="s">
        <v>902</v>
      </c>
      <c r="M112" s="230" t="s">
        <v>2792</v>
      </c>
      <c r="N112" s="230" t="s">
        <v>2757</v>
      </c>
      <c r="O112" s="158" t="s">
        <v>61</v>
      </c>
      <c r="P112" s="92"/>
      <c r="Q112" s="146" t="s">
        <v>61</v>
      </c>
      <c r="R112" s="92"/>
      <c r="S112" s="146" t="s">
        <v>61</v>
      </c>
      <c r="T112" s="92"/>
      <c r="U112" s="146" t="s">
        <v>61</v>
      </c>
      <c r="V112" s="92"/>
      <c r="W112" s="146" t="s">
        <v>61</v>
      </c>
      <c r="X112" s="92"/>
      <c r="Y112" s="146" t="s">
        <v>61</v>
      </c>
      <c r="Z112" s="92"/>
      <c r="AA112" s="146" t="s">
        <v>61</v>
      </c>
      <c r="AB112" s="92"/>
      <c r="AC112" s="146" t="s">
        <v>61</v>
      </c>
      <c r="AD112" s="92"/>
      <c r="AE112" s="146" t="s">
        <v>61</v>
      </c>
      <c r="AF112" s="143" t="str">
        <f t="shared" si="6"/>
        <v>NA</v>
      </c>
      <c r="AG112" s="199" t="str">
        <f t="shared" si="5"/>
        <v>NÃO AVALIADO POR FALHA DE SINCRONISMO</v>
      </c>
      <c r="AH112" s="146" t="s">
        <v>204</v>
      </c>
      <c r="AI112" s="154" t="s">
        <v>6</v>
      </c>
      <c r="AJ112" s="151" t="str">
        <f t="shared" si="9"/>
        <v>GUARULHOS</v>
      </c>
      <c r="AK112" s="155" t="s">
        <v>59</v>
      </c>
      <c r="AL112" s="53">
        <v>-2.2200000000000001E-2</v>
      </c>
      <c r="AM112" s="53" t="str" cm="1">
        <f t="array" ref="AM112">IF(OR(O112&lt;&gt;"", SUMPRODUCT(($AN$2:$AN$561=AN112)*($AL$2:$AL$561&lt;=AL112)) &lt;= (COUNTIF($AN$2:$AN$561,AN112)*0.5)), "SORTEADO", "-")</f>
        <v>SORTEADO</v>
      </c>
      <c r="AN112" s="53" t="str">
        <f t="shared" si="8"/>
        <v>13/04/2026</v>
      </c>
    </row>
    <row r="113" spans="1:40" ht="30" hidden="1" customHeight="1" x14ac:dyDescent="0.2">
      <c r="A113" s="230" t="s">
        <v>197</v>
      </c>
      <c r="B113" s="230">
        <v>2614825476</v>
      </c>
      <c r="C113" s="230" t="s">
        <v>2701</v>
      </c>
      <c r="D113" s="230" t="s">
        <v>110</v>
      </c>
      <c r="E113" s="230" t="s">
        <v>198</v>
      </c>
      <c r="F113" s="230" t="s">
        <v>688</v>
      </c>
      <c r="G113" s="230">
        <v>138</v>
      </c>
      <c r="H113" s="230" t="s">
        <v>2800</v>
      </c>
      <c r="I113" s="230" t="s">
        <v>356</v>
      </c>
      <c r="J113" s="230" t="s">
        <v>2703</v>
      </c>
      <c r="K113" s="237" t="s">
        <v>2795</v>
      </c>
      <c r="L113" s="230" t="s">
        <v>902</v>
      </c>
      <c r="M113" s="230" t="s">
        <v>2792</v>
      </c>
      <c r="N113" s="230" t="s">
        <v>2757</v>
      </c>
      <c r="O113" s="158" t="s">
        <v>61</v>
      </c>
      <c r="P113" s="92"/>
      <c r="Q113" s="146" t="s">
        <v>61</v>
      </c>
      <c r="R113" s="92"/>
      <c r="S113" s="146" t="s">
        <v>61</v>
      </c>
      <c r="T113" s="92"/>
      <c r="U113" s="146" t="s">
        <v>61</v>
      </c>
      <c r="V113" s="92"/>
      <c r="W113" s="146" t="s">
        <v>61</v>
      </c>
      <c r="X113" s="92"/>
      <c r="Y113" s="146" t="s">
        <v>61</v>
      </c>
      <c r="Z113" s="92"/>
      <c r="AA113" s="146" t="s">
        <v>61</v>
      </c>
      <c r="AB113" s="92"/>
      <c r="AC113" s="146" t="s">
        <v>61</v>
      </c>
      <c r="AD113" s="92"/>
      <c r="AE113" s="146" t="s">
        <v>61</v>
      </c>
      <c r="AF113" s="143" t="str">
        <f t="shared" si="6"/>
        <v>NA</v>
      </c>
      <c r="AG113" s="199" t="str">
        <f t="shared" si="5"/>
        <v>NÃO AVALIADO POR FALHA DE SINCRONISMO</v>
      </c>
      <c r="AH113" s="146" t="s">
        <v>204</v>
      </c>
      <c r="AI113" s="154" t="s">
        <v>6</v>
      </c>
      <c r="AJ113" s="151" t="str">
        <f t="shared" si="9"/>
        <v>GUARULHOS</v>
      </c>
      <c r="AK113" s="155" t="s">
        <v>59</v>
      </c>
      <c r="AL113" s="53">
        <v>-2.24E-2</v>
      </c>
      <c r="AM113" s="53" t="str" cm="1">
        <f t="array" ref="AM113">IF(OR(O113&lt;&gt;"", SUMPRODUCT(($AN$2:$AN$561=AN113)*($AL$2:$AL$561&lt;=AL113)) &lt;= (COUNTIF($AN$2:$AN$561,AN113)*0.5)), "SORTEADO", "-")</f>
        <v>SORTEADO</v>
      </c>
      <c r="AN113" s="53" t="str">
        <f t="shared" si="8"/>
        <v>13/04/2026</v>
      </c>
    </row>
    <row r="114" spans="1:40" ht="30" hidden="1" customHeight="1" x14ac:dyDescent="0.2">
      <c r="A114" s="230" t="s">
        <v>197</v>
      </c>
      <c r="B114" s="230">
        <v>2614825177</v>
      </c>
      <c r="C114" s="230" t="s">
        <v>2701</v>
      </c>
      <c r="D114" s="230" t="s">
        <v>110</v>
      </c>
      <c r="E114" s="230" t="s">
        <v>198</v>
      </c>
      <c r="F114" s="230" t="s">
        <v>688</v>
      </c>
      <c r="G114" s="230">
        <v>135</v>
      </c>
      <c r="H114" s="230" t="s">
        <v>2801</v>
      </c>
      <c r="I114" s="230" t="s">
        <v>356</v>
      </c>
      <c r="J114" s="230" t="s">
        <v>2703</v>
      </c>
      <c r="K114" s="237" t="s">
        <v>2795</v>
      </c>
      <c r="L114" s="230" t="s">
        <v>902</v>
      </c>
      <c r="M114" s="230" t="s">
        <v>2792</v>
      </c>
      <c r="N114" s="230" t="s">
        <v>2757</v>
      </c>
      <c r="O114" s="158" t="s">
        <v>61</v>
      </c>
      <c r="P114" s="92"/>
      <c r="Q114" s="146" t="s">
        <v>61</v>
      </c>
      <c r="R114" s="92"/>
      <c r="S114" s="146" t="s">
        <v>61</v>
      </c>
      <c r="T114" s="92"/>
      <c r="U114" s="146" t="s">
        <v>61</v>
      </c>
      <c r="V114" s="92"/>
      <c r="W114" s="146" t="s">
        <v>61</v>
      </c>
      <c r="X114" s="92"/>
      <c r="Y114" s="146" t="s">
        <v>61</v>
      </c>
      <c r="Z114" s="92"/>
      <c r="AA114" s="146" t="s">
        <v>61</v>
      </c>
      <c r="AB114" s="92"/>
      <c r="AC114" s="146" t="s">
        <v>61</v>
      </c>
      <c r="AD114" s="92"/>
      <c r="AE114" s="146" t="s">
        <v>61</v>
      </c>
      <c r="AF114" s="143" t="str">
        <f t="shared" si="6"/>
        <v>NA</v>
      </c>
      <c r="AG114" s="199" t="str">
        <f t="shared" si="5"/>
        <v>NÃO AVALIADO POR FALHA DE SINCRONISMO</v>
      </c>
      <c r="AH114" s="146" t="s">
        <v>204</v>
      </c>
      <c r="AI114" s="154" t="s">
        <v>6</v>
      </c>
      <c r="AJ114" s="151" t="str">
        <f t="shared" si="9"/>
        <v>GUARULHOS</v>
      </c>
      <c r="AK114" s="155" t="s">
        <v>59</v>
      </c>
      <c r="AL114" s="53">
        <v>-2.2599999999999999E-2</v>
      </c>
      <c r="AM114" s="53" t="str" cm="1">
        <f t="array" ref="AM114">IF(OR(O114&lt;&gt;"", SUMPRODUCT(($AN$2:$AN$561=AN114)*($AL$2:$AL$561&lt;=AL114)) &lt;= (COUNTIF($AN$2:$AN$561,AN114)*0.5)), "SORTEADO", "-")</f>
        <v>SORTEADO</v>
      </c>
      <c r="AN114" s="53" t="str">
        <f t="shared" si="8"/>
        <v>13/04/2026</v>
      </c>
    </row>
    <row r="115" spans="1:40" ht="30" hidden="1" customHeight="1" x14ac:dyDescent="0.2">
      <c r="A115" s="230" t="s">
        <v>197</v>
      </c>
      <c r="B115" s="230">
        <v>2614825189</v>
      </c>
      <c r="C115" s="230" t="s">
        <v>2701</v>
      </c>
      <c r="D115" s="230" t="s">
        <v>110</v>
      </c>
      <c r="E115" s="230" t="s">
        <v>198</v>
      </c>
      <c r="F115" s="230" t="s">
        <v>688</v>
      </c>
      <c r="G115" s="230">
        <v>131</v>
      </c>
      <c r="H115" s="230" t="s">
        <v>2802</v>
      </c>
      <c r="I115" s="230" t="s">
        <v>356</v>
      </c>
      <c r="J115" s="230" t="s">
        <v>2703</v>
      </c>
      <c r="K115" s="237" t="s">
        <v>2795</v>
      </c>
      <c r="L115" s="230" t="s">
        <v>902</v>
      </c>
      <c r="M115" s="230" t="s">
        <v>2792</v>
      </c>
      <c r="N115" s="230" t="s">
        <v>2757</v>
      </c>
      <c r="O115" s="158" t="s">
        <v>61</v>
      </c>
      <c r="P115" s="92"/>
      <c r="Q115" s="146" t="s">
        <v>61</v>
      </c>
      <c r="R115" s="92"/>
      <c r="S115" s="146" t="s">
        <v>61</v>
      </c>
      <c r="T115" s="92"/>
      <c r="U115" s="146" t="s">
        <v>61</v>
      </c>
      <c r="V115" s="92"/>
      <c r="W115" s="146" t="s">
        <v>61</v>
      </c>
      <c r="X115" s="92"/>
      <c r="Y115" s="146" t="s">
        <v>61</v>
      </c>
      <c r="Z115" s="92"/>
      <c r="AA115" s="146" t="s">
        <v>61</v>
      </c>
      <c r="AB115" s="92"/>
      <c r="AC115" s="146" t="s">
        <v>61</v>
      </c>
      <c r="AD115" s="92"/>
      <c r="AE115" s="146" t="s">
        <v>61</v>
      </c>
      <c r="AF115" s="143" t="str">
        <f t="shared" si="6"/>
        <v>NA</v>
      </c>
      <c r="AG115" s="199" t="str">
        <f t="shared" si="5"/>
        <v>NÃO AVALIADO POR FALHA DE SINCRONISMO</v>
      </c>
      <c r="AH115" s="146" t="s">
        <v>204</v>
      </c>
      <c r="AI115" s="154" t="s">
        <v>6</v>
      </c>
      <c r="AJ115" s="151" t="str">
        <f t="shared" si="9"/>
        <v>GUARULHOS</v>
      </c>
      <c r="AK115" s="155" t="s">
        <v>59</v>
      </c>
      <c r="AL115" s="53">
        <v>-2.2800000000000001E-2</v>
      </c>
      <c r="AM115" s="53" t="str" cm="1">
        <f t="array" ref="AM115">IF(OR(O115&lt;&gt;"", SUMPRODUCT(($AN$2:$AN$561=AN115)*($AL$2:$AL$561&lt;=AL115)) &lt;= (COUNTIF($AN$2:$AN$561,AN115)*0.5)), "SORTEADO", "-")</f>
        <v>SORTEADO</v>
      </c>
      <c r="AN115" s="53" t="str">
        <f t="shared" si="8"/>
        <v>13/04/2026</v>
      </c>
    </row>
    <row r="116" spans="1:40" ht="30" hidden="1" customHeight="1" x14ac:dyDescent="0.2">
      <c r="A116" s="242" t="s">
        <v>197</v>
      </c>
      <c r="B116" s="242">
        <v>2615603240</v>
      </c>
      <c r="C116" s="242" t="s">
        <v>121</v>
      </c>
      <c r="D116" s="242" t="s">
        <v>110</v>
      </c>
      <c r="E116" s="242" t="s">
        <v>198</v>
      </c>
      <c r="F116" s="242" t="s">
        <v>672</v>
      </c>
      <c r="G116" s="242">
        <v>560</v>
      </c>
      <c r="H116" s="242" t="s">
        <v>2803</v>
      </c>
      <c r="I116" s="242" t="s">
        <v>509</v>
      </c>
      <c r="J116" s="242" t="s">
        <v>2661</v>
      </c>
      <c r="K116" s="242" t="s">
        <v>2804</v>
      </c>
      <c r="L116" s="242" t="s">
        <v>902</v>
      </c>
      <c r="M116" s="242" t="s">
        <v>2805</v>
      </c>
      <c r="N116" s="242" t="s">
        <v>2759</v>
      </c>
      <c r="O116" s="158"/>
      <c r="P116" s="92"/>
      <c r="Q116" s="146"/>
      <c r="R116" s="92"/>
      <c r="S116" s="146"/>
      <c r="T116" s="92"/>
      <c r="U116" s="146"/>
      <c r="V116" s="92"/>
      <c r="W116" s="146"/>
      <c r="X116" s="92"/>
      <c r="Y116" s="146"/>
      <c r="Z116" s="92"/>
      <c r="AA116" s="146"/>
      <c r="AB116" s="92"/>
      <c r="AC116" s="146"/>
      <c r="AD116" s="92"/>
      <c r="AE116" s="146"/>
      <c r="AF116" s="143" t="str">
        <f t="shared" si="6"/>
        <v/>
      </c>
      <c r="AG116" s="199" t="b">
        <f t="shared" si="5"/>
        <v>0</v>
      </c>
      <c r="AH116" s="146"/>
      <c r="AI116" s="154" t="s">
        <v>6</v>
      </c>
      <c r="AJ116" s="151" t="str">
        <f t="shared" si="9"/>
        <v>GUARULHOS</v>
      </c>
      <c r="AK116" s="155" t="s">
        <v>59</v>
      </c>
      <c r="AL116" s="53">
        <v>0.3578930512544416</v>
      </c>
      <c r="AM116" s="53" t="str" cm="1">
        <f t="array" ref="AM116">IF(OR(O116&lt;&gt;"", SUMPRODUCT(($AN$2:$AN$561=AN116)*($AL$2:$AL$561&lt;=AL116)) &lt;= (COUNTIF($AN$2:$AN$561,AN116)*0.5)), "SORTEADO", "-")</f>
        <v>-</v>
      </c>
      <c r="AN116" s="53" t="str">
        <f t="shared" si="8"/>
        <v>13/04/2026</v>
      </c>
    </row>
    <row r="117" spans="1:40" ht="30" hidden="1" customHeight="1" x14ac:dyDescent="0.2">
      <c r="A117" s="230" t="s">
        <v>197</v>
      </c>
      <c r="B117" s="230">
        <v>2615603117</v>
      </c>
      <c r="C117" s="230" t="s">
        <v>89</v>
      </c>
      <c r="D117" s="230" t="s">
        <v>110</v>
      </c>
      <c r="E117" s="230" t="s">
        <v>198</v>
      </c>
      <c r="F117" s="230" t="s">
        <v>1042</v>
      </c>
      <c r="G117" s="230">
        <v>64</v>
      </c>
      <c r="H117" s="230"/>
      <c r="I117" s="230" t="s">
        <v>345</v>
      </c>
      <c r="J117" s="230" t="s">
        <v>346</v>
      </c>
      <c r="K117" s="230" t="s">
        <v>2806</v>
      </c>
      <c r="L117" s="230" t="s">
        <v>1032</v>
      </c>
      <c r="M117" s="230" t="s">
        <v>2807</v>
      </c>
      <c r="N117" s="230" t="s">
        <v>317</v>
      </c>
      <c r="O117" s="158"/>
      <c r="P117" s="92"/>
      <c r="Q117" s="146"/>
      <c r="R117" s="92"/>
      <c r="S117" s="146"/>
      <c r="T117" s="92"/>
      <c r="U117" s="146"/>
      <c r="V117" s="92"/>
      <c r="W117" s="146"/>
      <c r="X117" s="92"/>
      <c r="Y117" s="146"/>
      <c r="Z117" s="92"/>
      <c r="AA117" s="146"/>
      <c r="AB117" s="92"/>
      <c r="AC117" s="146"/>
      <c r="AD117" s="92"/>
      <c r="AE117" s="146"/>
      <c r="AF117" s="143" t="str">
        <f t="shared" si="6"/>
        <v/>
      </c>
      <c r="AG117" s="199" t="b">
        <f t="shared" si="5"/>
        <v>0</v>
      </c>
      <c r="AH117" s="146"/>
      <c r="AI117" s="154" t="s">
        <v>6</v>
      </c>
      <c r="AJ117" s="151" t="str">
        <f t="shared" si="9"/>
        <v>GUARULHOS</v>
      </c>
      <c r="AK117" s="155" t="s">
        <v>59</v>
      </c>
      <c r="AL117" s="53">
        <v>0.65154732034873797</v>
      </c>
      <c r="AM117" s="53" t="str" cm="1">
        <f t="array" ref="AM117">IF(OR(O117&lt;&gt;"", SUMPRODUCT(($AN$2:$AN$561=AN117)*($AL$2:$AL$561&lt;=AL117)) &lt;= (COUNTIF($AN$2:$AN$561,AN117)*0.5)), "SORTEADO", "-")</f>
        <v>-</v>
      </c>
      <c r="AN117" s="53" t="str">
        <f t="shared" si="8"/>
        <v>14/04/2026</v>
      </c>
    </row>
    <row r="118" spans="1:40" ht="30" customHeight="1" x14ac:dyDescent="0.2">
      <c r="A118" s="230" t="s">
        <v>197</v>
      </c>
      <c r="B118" s="230">
        <v>2615495161</v>
      </c>
      <c r="C118" s="230" t="s">
        <v>120</v>
      </c>
      <c r="D118" s="230" t="s">
        <v>111</v>
      </c>
      <c r="E118" s="230" t="s">
        <v>198</v>
      </c>
      <c r="F118" s="230" t="s">
        <v>2808</v>
      </c>
      <c r="G118" s="230">
        <v>298</v>
      </c>
      <c r="H118" s="230" t="s">
        <v>1599</v>
      </c>
      <c r="I118" s="230" t="s">
        <v>285</v>
      </c>
      <c r="J118" s="230" t="s">
        <v>2637</v>
      </c>
      <c r="K118" s="230"/>
      <c r="L118" s="230" t="s">
        <v>1032</v>
      </c>
      <c r="M118" s="230" t="s">
        <v>2809</v>
      </c>
      <c r="N118" s="230" t="s">
        <v>2638</v>
      </c>
      <c r="O118" s="158"/>
      <c r="P118" s="92"/>
      <c r="Q118" s="146"/>
      <c r="R118" s="92"/>
      <c r="S118" s="146"/>
      <c r="T118" s="92"/>
      <c r="U118" s="146"/>
      <c r="V118" s="92"/>
      <c r="W118" s="146"/>
      <c r="X118" s="92"/>
      <c r="Y118" s="146"/>
      <c r="Z118" s="92"/>
      <c r="AA118" s="146"/>
      <c r="AB118" s="92"/>
      <c r="AC118" s="146"/>
      <c r="AD118" s="92"/>
      <c r="AE118" s="146"/>
      <c r="AF118" s="143" t="str">
        <f t="shared" si="6"/>
        <v/>
      </c>
      <c r="AG118" s="199" t="b">
        <f t="shared" si="5"/>
        <v>0</v>
      </c>
      <c r="AH118" s="146"/>
      <c r="AI118" s="154" t="s">
        <v>6</v>
      </c>
      <c r="AJ118" s="151" t="str">
        <f t="shared" si="9"/>
        <v>GUARULHOS</v>
      </c>
      <c r="AK118" s="155" t="s">
        <v>59</v>
      </c>
      <c r="AL118" s="53">
        <v>3.1534993059738614E-3</v>
      </c>
      <c r="AM118" s="53" t="str" cm="1">
        <f t="array" ref="AM118">IF(OR(O118&lt;&gt;"", SUMPRODUCT(($AN$2:$AN$561=AN118)*($AL$2:$AL$561&lt;=AL118)) &lt;= (COUNTIF($AN$2:$AN$561,AN118)*0.5)), "SORTEADO", "-")</f>
        <v>SORTEADO</v>
      </c>
      <c r="AN118" s="53" t="str">
        <f t="shared" si="8"/>
        <v>14/04/2026</v>
      </c>
    </row>
    <row r="119" spans="1:40" ht="30" hidden="1" customHeight="1" x14ac:dyDescent="0.2">
      <c r="A119" s="230" t="s">
        <v>197</v>
      </c>
      <c r="B119" s="230">
        <v>2615596581</v>
      </c>
      <c r="C119" s="230" t="s">
        <v>2810</v>
      </c>
      <c r="D119" s="230" t="s">
        <v>110</v>
      </c>
      <c r="E119" s="230" t="s">
        <v>198</v>
      </c>
      <c r="F119" s="230" t="s">
        <v>2811</v>
      </c>
      <c r="G119" s="230">
        <v>69</v>
      </c>
      <c r="H119" s="230" t="s">
        <v>2812</v>
      </c>
      <c r="I119" s="230" t="s">
        <v>247</v>
      </c>
      <c r="J119" s="230" t="s">
        <v>2813</v>
      </c>
      <c r="K119" s="230" t="s">
        <v>213</v>
      </c>
      <c r="L119" s="230" t="s">
        <v>1032</v>
      </c>
      <c r="M119" s="230" t="s">
        <v>2814</v>
      </c>
      <c r="N119" s="230" t="s">
        <v>2634</v>
      </c>
      <c r="O119" s="158"/>
      <c r="P119" s="92"/>
      <c r="Q119" s="146"/>
      <c r="R119" s="92"/>
      <c r="S119" s="146"/>
      <c r="T119" s="92"/>
      <c r="U119" s="146"/>
      <c r="V119" s="92"/>
      <c r="W119" s="146"/>
      <c r="X119" s="92"/>
      <c r="Y119" s="146"/>
      <c r="Z119" s="92"/>
      <c r="AA119" s="146"/>
      <c r="AB119" s="92"/>
      <c r="AC119" s="146"/>
      <c r="AD119" s="92"/>
      <c r="AE119" s="146"/>
      <c r="AF119" s="143" t="str">
        <f t="shared" si="6"/>
        <v/>
      </c>
      <c r="AG119" s="199" t="b">
        <f t="shared" si="5"/>
        <v>0</v>
      </c>
      <c r="AH119" s="146"/>
      <c r="AI119" s="154" t="s">
        <v>6</v>
      </c>
      <c r="AJ119" s="151" t="str">
        <f t="shared" si="9"/>
        <v>GUARULHOS</v>
      </c>
      <c r="AK119" s="155" t="s">
        <v>59</v>
      </c>
      <c r="AL119" s="53">
        <v>0.70564162731400493</v>
      </c>
      <c r="AM119" s="53" t="str" cm="1">
        <f t="array" ref="AM119">IF(OR(O119&lt;&gt;"", SUMPRODUCT(($AN$2:$AN$561=AN119)*($AL$2:$AL$561&lt;=AL119)) &lt;= (COUNTIF($AN$2:$AN$561,AN119)*0.5)), "SORTEADO", "-")</f>
        <v>-</v>
      </c>
      <c r="AN119" s="53" t="str">
        <f t="shared" si="8"/>
        <v>14/04/2026</v>
      </c>
    </row>
    <row r="120" spans="1:40" ht="30" hidden="1" customHeight="1" x14ac:dyDescent="0.2">
      <c r="A120" s="230" t="s">
        <v>197</v>
      </c>
      <c r="B120" s="230">
        <v>2615304035</v>
      </c>
      <c r="C120" s="230" t="s">
        <v>109</v>
      </c>
      <c r="D120" s="230" t="s">
        <v>109</v>
      </c>
      <c r="E120" s="230" t="s">
        <v>198</v>
      </c>
      <c r="F120" s="230" t="s">
        <v>1085</v>
      </c>
      <c r="G120" s="230">
        <v>11</v>
      </c>
      <c r="H120" s="230" t="s">
        <v>2815</v>
      </c>
      <c r="I120" s="230" t="s">
        <v>253</v>
      </c>
      <c r="J120" s="230" t="s">
        <v>109</v>
      </c>
      <c r="K120" s="230"/>
      <c r="L120" s="230" t="s">
        <v>1032</v>
      </c>
      <c r="M120" s="230" t="s">
        <v>2816</v>
      </c>
      <c r="N120" s="230" t="s">
        <v>2634</v>
      </c>
      <c r="O120" s="158"/>
      <c r="P120" s="92"/>
      <c r="Q120" s="146"/>
      <c r="R120" s="92"/>
      <c r="S120" s="146"/>
      <c r="T120" s="92"/>
      <c r="U120" s="146"/>
      <c r="V120" s="92"/>
      <c r="W120" s="146"/>
      <c r="X120" s="92"/>
      <c r="Y120" s="146"/>
      <c r="Z120" s="92"/>
      <c r="AA120" s="146"/>
      <c r="AB120" s="92"/>
      <c r="AC120" s="146"/>
      <c r="AD120" s="92"/>
      <c r="AE120" s="146"/>
      <c r="AF120" s="143" t="str">
        <f t="shared" si="6"/>
        <v/>
      </c>
      <c r="AG120" s="199" t="b">
        <f t="shared" si="5"/>
        <v>0</v>
      </c>
      <c r="AH120" s="146"/>
      <c r="AI120" s="154" t="s">
        <v>6</v>
      </c>
      <c r="AJ120" s="151" t="str">
        <f t="shared" si="9"/>
        <v>GUARULHOS</v>
      </c>
      <c r="AK120" s="155" t="s">
        <v>59</v>
      </c>
      <c r="AL120" s="53">
        <v>0.13240683620429006</v>
      </c>
      <c r="AM120" s="53" t="str" cm="1">
        <f t="array" ref="AM120">IF(OR(O120&lt;&gt;"", SUMPRODUCT(($AN$2:$AN$561=AN120)*($AL$2:$AL$561&lt;=AL120)) &lt;= (COUNTIF($AN$2:$AN$561,AN120)*0.5)), "SORTEADO", "-")</f>
        <v>-</v>
      </c>
      <c r="AN120" s="53" t="str">
        <f t="shared" si="8"/>
        <v>14/04/2026</v>
      </c>
    </row>
    <row r="121" spans="1:40" ht="30" hidden="1" customHeight="1" x14ac:dyDescent="0.2">
      <c r="A121" s="230" t="s">
        <v>197</v>
      </c>
      <c r="B121" s="230">
        <v>2615682357</v>
      </c>
      <c r="C121" s="230" t="s">
        <v>115</v>
      </c>
      <c r="D121" s="230" t="s">
        <v>108</v>
      </c>
      <c r="E121" s="230" t="s">
        <v>198</v>
      </c>
      <c r="F121" s="230" t="s">
        <v>2778</v>
      </c>
      <c r="G121" s="230">
        <v>545</v>
      </c>
      <c r="H121" s="230"/>
      <c r="I121" s="230" t="s">
        <v>971</v>
      </c>
      <c r="J121" s="230" t="s">
        <v>2644</v>
      </c>
      <c r="K121" s="230" t="s">
        <v>2817</v>
      </c>
      <c r="L121" s="230" t="s">
        <v>1032</v>
      </c>
      <c r="M121" s="230" t="s">
        <v>2818</v>
      </c>
      <c r="N121" s="230" t="s">
        <v>2640</v>
      </c>
      <c r="O121" s="158"/>
      <c r="P121" s="92"/>
      <c r="Q121" s="146"/>
      <c r="R121" s="92"/>
      <c r="S121" s="146"/>
      <c r="T121" s="92"/>
      <c r="U121" s="146"/>
      <c r="V121" s="92"/>
      <c r="W121" s="146"/>
      <c r="X121" s="92"/>
      <c r="Y121" s="146"/>
      <c r="Z121" s="92"/>
      <c r="AA121" s="146"/>
      <c r="AB121" s="92"/>
      <c r="AC121" s="146"/>
      <c r="AD121" s="92"/>
      <c r="AE121" s="146"/>
      <c r="AF121" s="143" t="str">
        <f t="shared" si="6"/>
        <v/>
      </c>
      <c r="AG121" s="199" t="b">
        <f t="shared" si="5"/>
        <v>0</v>
      </c>
      <c r="AH121" s="146"/>
      <c r="AI121" s="154" t="s">
        <v>6</v>
      </c>
      <c r="AJ121" s="151" t="str">
        <f t="shared" si="9"/>
        <v>GUARULHOS</v>
      </c>
      <c r="AK121" s="155" t="s">
        <v>59</v>
      </c>
      <c r="AL121" s="53">
        <v>0.37072784019814276</v>
      </c>
      <c r="AM121" s="53" t="str" cm="1">
        <f t="array" ref="AM121">IF(OR(O121&lt;&gt;"", SUMPRODUCT(($AN$2:$AN$561=AN121)*($AL$2:$AL$561&lt;=AL121)) &lt;= (COUNTIF($AN$2:$AN$561,AN121)*0.5)), "SORTEADO", "-")</f>
        <v>-</v>
      </c>
      <c r="AN121" s="53" t="str">
        <f t="shared" si="8"/>
        <v>14/04/2026</v>
      </c>
    </row>
    <row r="122" spans="1:40" ht="30" hidden="1" customHeight="1" x14ac:dyDescent="0.2">
      <c r="A122" s="230" t="s">
        <v>197</v>
      </c>
      <c r="B122" s="230">
        <v>2614844829</v>
      </c>
      <c r="C122" s="230" t="s">
        <v>2819</v>
      </c>
      <c r="D122" s="230" t="s">
        <v>111</v>
      </c>
      <c r="E122" s="230" t="s">
        <v>198</v>
      </c>
      <c r="F122" s="230" t="s">
        <v>386</v>
      </c>
      <c r="G122" s="230">
        <v>71</v>
      </c>
      <c r="H122" s="230" t="s">
        <v>213</v>
      </c>
      <c r="I122" s="230" t="s">
        <v>262</v>
      </c>
      <c r="J122" s="230" t="s">
        <v>2820</v>
      </c>
      <c r="K122" s="237" t="s">
        <v>2821</v>
      </c>
      <c r="L122" s="230" t="s">
        <v>1032</v>
      </c>
      <c r="M122" s="230" t="s">
        <v>2822</v>
      </c>
      <c r="N122" s="230" t="s">
        <v>2707</v>
      </c>
      <c r="O122" s="158"/>
      <c r="P122" s="92"/>
      <c r="Q122" s="146"/>
      <c r="R122" s="92"/>
      <c r="S122" s="146"/>
      <c r="T122" s="92"/>
      <c r="U122" s="146"/>
      <c r="V122" s="92"/>
      <c r="W122" s="146"/>
      <c r="X122" s="92"/>
      <c r="Y122" s="146"/>
      <c r="Z122" s="92"/>
      <c r="AA122" s="146"/>
      <c r="AB122" s="92"/>
      <c r="AC122" s="146"/>
      <c r="AD122" s="92"/>
      <c r="AE122" s="146"/>
      <c r="AF122" s="143" t="str">
        <f t="shared" si="6"/>
        <v/>
      </c>
      <c r="AG122" s="199" t="b">
        <f t="shared" si="5"/>
        <v>0</v>
      </c>
      <c r="AH122" s="146"/>
      <c r="AI122" s="154" t="s">
        <v>6</v>
      </c>
      <c r="AJ122" s="151" t="str">
        <f t="shared" si="9"/>
        <v>GUARULHOS</v>
      </c>
      <c r="AK122" s="155" t="s">
        <v>59</v>
      </c>
      <c r="AL122" s="53">
        <v>9.7604186334872223E-2</v>
      </c>
      <c r="AM122" s="53" t="str" cm="1">
        <f t="array" ref="AM122">IF(OR(O122&lt;&gt;"", SUMPRODUCT(($AN$2:$AN$561=AN122)*($AL$2:$AL$561&lt;=AL122)) &lt;= (COUNTIF($AN$2:$AN$561,AN122)*0.5)), "SORTEADO", "-")</f>
        <v>-</v>
      </c>
      <c r="AN122" s="53" t="str">
        <f t="shared" si="8"/>
        <v>14/04/2026</v>
      </c>
    </row>
    <row r="123" spans="1:40" ht="30" hidden="1" customHeight="1" x14ac:dyDescent="0.2">
      <c r="A123" s="230" t="s">
        <v>197</v>
      </c>
      <c r="B123" s="230">
        <v>2614825780</v>
      </c>
      <c r="C123" s="230" t="s">
        <v>2701</v>
      </c>
      <c r="D123" s="230" t="s">
        <v>110</v>
      </c>
      <c r="E123" s="230" t="s">
        <v>198</v>
      </c>
      <c r="F123" s="230" t="s">
        <v>261</v>
      </c>
      <c r="G123" s="230">
        <v>167</v>
      </c>
      <c r="H123" s="230" t="s">
        <v>2823</v>
      </c>
      <c r="I123" s="230" t="s">
        <v>262</v>
      </c>
      <c r="J123" s="230" t="s">
        <v>2703</v>
      </c>
      <c r="K123" s="237" t="s">
        <v>2824</v>
      </c>
      <c r="L123" s="230" t="s">
        <v>1032</v>
      </c>
      <c r="M123" s="230" t="s">
        <v>2825</v>
      </c>
      <c r="N123" s="230" t="s">
        <v>2707</v>
      </c>
      <c r="O123" s="158" t="s">
        <v>61</v>
      </c>
      <c r="P123" s="92"/>
      <c r="Q123" s="146" t="s">
        <v>61</v>
      </c>
      <c r="R123" s="92"/>
      <c r="S123" s="146" t="s">
        <v>61</v>
      </c>
      <c r="T123" s="92"/>
      <c r="U123" s="146" t="s">
        <v>61</v>
      </c>
      <c r="V123" s="92"/>
      <c r="W123" s="146" t="s">
        <v>61</v>
      </c>
      <c r="X123" s="92"/>
      <c r="Y123" s="146" t="s">
        <v>61</v>
      </c>
      <c r="Z123" s="92"/>
      <c r="AA123" s="146" t="s">
        <v>61</v>
      </c>
      <c r="AB123" s="92"/>
      <c r="AC123" s="146" t="s">
        <v>61</v>
      </c>
      <c r="AD123" s="92"/>
      <c r="AE123" s="146" t="s">
        <v>61</v>
      </c>
      <c r="AF123" s="143" t="str">
        <f t="shared" si="6"/>
        <v>NA</v>
      </c>
      <c r="AG123" s="199" t="str">
        <f t="shared" si="5"/>
        <v>NÃO AVALIADO POR FALHA DE SINCRONISMO</v>
      </c>
      <c r="AH123" s="146" t="s">
        <v>204</v>
      </c>
      <c r="AI123" s="154" t="s">
        <v>6</v>
      </c>
      <c r="AJ123" s="151" t="str">
        <f t="shared" si="9"/>
        <v>GUARULHOS</v>
      </c>
      <c r="AK123" s="155" t="s">
        <v>59</v>
      </c>
      <c r="AL123" s="53">
        <v>-2.4400000000000002E-2</v>
      </c>
      <c r="AM123" s="53" t="str" cm="1">
        <f t="array" ref="AM123">IF(OR(O123&lt;&gt;"", SUMPRODUCT(($AN$2:$AN$561=AN123)*($AL$2:$AL$561&lt;=AL123)) &lt;= (COUNTIF($AN$2:$AN$561,AN123)*0.5)), "SORTEADO", "-")</f>
        <v>SORTEADO</v>
      </c>
      <c r="AN123" s="53" t="str">
        <f t="shared" si="8"/>
        <v>14/04/2026</v>
      </c>
    </row>
    <row r="124" spans="1:40" ht="30" hidden="1" customHeight="1" x14ac:dyDescent="0.2">
      <c r="A124" s="230" t="s">
        <v>197</v>
      </c>
      <c r="B124" s="230">
        <v>2614826546</v>
      </c>
      <c r="C124" s="230" t="s">
        <v>2701</v>
      </c>
      <c r="D124" s="230" t="s">
        <v>110</v>
      </c>
      <c r="E124" s="230" t="s">
        <v>198</v>
      </c>
      <c r="F124" s="230" t="s">
        <v>261</v>
      </c>
      <c r="G124" s="230">
        <v>190</v>
      </c>
      <c r="H124" s="230" t="s">
        <v>2826</v>
      </c>
      <c r="I124" s="230" t="s">
        <v>262</v>
      </c>
      <c r="J124" s="230" t="s">
        <v>2703</v>
      </c>
      <c r="K124" s="237" t="s">
        <v>2824</v>
      </c>
      <c r="L124" s="230" t="s">
        <v>1032</v>
      </c>
      <c r="M124" s="230" t="s">
        <v>2825</v>
      </c>
      <c r="N124" s="230" t="s">
        <v>2707</v>
      </c>
      <c r="O124" s="158" t="s">
        <v>61</v>
      </c>
      <c r="P124" s="92"/>
      <c r="Q124" s="146" t="s">
        <v>61</v>
      </c>
      <c r="R124" s="92"/>
      <c r="S124" s="146" t="s">
        <v>61</v>
      </c>
      <c r="T124" s="92"/>
      <c r="U124" s="146" t="s">
        <v>61</v>
      </c>
      <c r="V124" s="92"/>
      <c r="W124" s="146" t="s">
        <v>61</v>
      </c>
      <c r="X124" s="92"/>
      <c r="Y124" s="146" t="s">
        <v>61</v>
      </c>
      <c r="Z124" s="92"/>
      <c r="AA124" s="146" t="s">
        <v>61</v>
      </c>
      <c r="AB124" s="92"/>
      <c r="AC124" s="146" t="s">
        <v>61</v>
      </c>
      <c r="AD124" s="92"/>
      <c r="AE124" s="146" t="s">
        <v>61</v>
      </c>
      <c r="AF124" s="143" t="str">
        <f t="shared" si="6"/>
        <v>NA</v>
      </c>
      <c r="AG124" s="199" t="str">
        <f t="shared" si="5"/>
        <v>NÃO AVALIADO POR FALHA DE SINCRONISMO</v>
      </c>
      <c r="AH124" s="146" t="s">
        <v>204</v>
      </c>
      <c r="AI124" s="154" t="s">
        <v>6</v>
      </c>
      <c r="AJ124" s="151" t="str">
        <f t="shared" si="9"/>
        <v>GUARULHOS</v>
      </c>
      <c r="AK124" s="155" t="s">
        <v>59</v>
      </c>
      <c r="AL124" s="53">
        <v>-2.46E-2</v>
      </c>
      <c r="AM124" s="53" t="str" cm="1">
        <f t="array" ref="AM124">IF(OR(O124&lt;&gt;"", SUMPRODUCT(($AN$2:$AN$561=AN124)*($AL$2:$AL$561&lt;=AL124)) &lt;= (COUNTIF($AN$2:$AN$561,AN124)*0.5)), "SORTEADO", "-")</f>
        <v>SORTEADO</v>
      </c>
      <c r="AN124" s="53" t="str">
        <f t="shared" si="8"/>
        <v>14/04/2026</v>
      </c>
    </row>
    <row r="125" spans="1:40" ht="30" hidden="1" customHeight="1" x14ac:dyDescent="0.2">
      <c r="A125" s="230" t="s">
        <v>197</v>
      </c>
      <c r="B125" s="230">
        <v>2614826426</v>
      </c>
      <c r="C125" s="230" t="s">
        <v>2701</v>
      </c>
      <c r="D125" s="230" t="s">
        <v>110</v>
      </c>
      <c r="E125" s="230" t="s">
        <v>198</v>
      </c>
      <c r="F125" s="230" t="s">
        <v>261</v>
      </c>
      <c r="G125" s="230">
        <v>186</v>
      </c>
      <c r="H125" s="230" t="s">
        <v>265</v>
      </c>
      <c r="I125" s="230" t="s">
        <v>262</v>
      </c>
      <c r="J125" s="230" t="s">
        <v>2703</v>
      </c>
      <c r="K125" s="237" t="s">
        <v>2824</v>
      </c>
      <c r="L125" s="230" t="s">
        <v>1032</v>
      </c>
      <c r="M125" s="230" t="s">
        <v>2825</v>
      </c>
      <c r="N125" s="230" t="s">
        <v>2707</v>
      </c>
      <c r="O125" s="158" t="s">
        <v>61</v>
      </c>
      <c r="P125" s="92"/>
      <c r="Q125" s="146" t="s">
        <v>61</v>
      </c>
      <c r="R125" s="92"/>
      <c r="S125" s="146" t="s">
        <v>61</v>
      </c>
      <c r="T125" s="92"/>
      <c r="U125" s="146" t="s">
        <v>61</v>
      </c>
      <c r="V125" s="92"/>
      <c r="W125" s="146" t="s">
        <v>61</v>
      </c>
      <c r="X125" s="92"/>
      <c r="Y125" s="146" t="s">
        <v>61</v>
      </c>
      <c r="Z125" s="92"/>
      <c r="AA125" s="146" t="s">
        <v>61</v>
      </c>
      <c r="AB125" s="92"/>
      <c r="AC125" s="146" t="s">
        <v>61</v>
      </c>
      <c r="AD125" s="92"/>
      <c r="AE125" s="146" t="s">
        <v>61</v>
      </c>
      <c r="AF125" s="143" t="str">
        <f t="shared" si="6"/>
        <v>NA</v>
      </c>
      <c r="AG125" s="199" t="str">
        <f t="shared" si="5"/>
        <v>NÃO AVALIADO POR FALHA DE SINCRONISMO</v>
      </c>
      <c r="AH125" s="146" t="s">
        <v>204</v>
      </c>
      <c r="AI125" s="154" t="s">
        <v>6</v>
      </c>
      <c r="AJ125" s="151" t="str">
        <f t="shared" si="9"/>
        <v>GUARULHOS</v>
      </c>
      <c r="AK125" s="155" t="s">
        <v>59</v>
      </c>
      <c r="AL125" s="53">
        <v>-2.4799999999999999E-2</v>
      </c>
      <c r="AM125" s="53" t="str" cm="1">
        <f t="array" ref="AM125">IF(OR(O125&lt;&gt;"", SUMPRODUCT(($AN$2:$AN$561=AN125)*($AL$2:$AL$561&lt;=AL125)) &lt;= (COUNTIF($AN$2:$AN$561,AN125)*0.5)), "SORTEADO", "-")</f>
        <v>SORTEADO</v>
      </c>
      <c r="AN125" s="53" t="str">
        <f t="shared" si="8"/>
        <v>14/04/2026</v>
      </c>
    </row>
    <row r="126" spans="1:40" ht="30" hidden="1" customHeight="1" x14ac:dyDescent="0.2">
      <c r="A126" s="230" t="s">
        <v>197</v>
      </c>
      <c r="B126" s="230">
        <v>2614826274</v>
      </c>
      <c r="C126" s="230" t="s">
        <v>2701</v>
      </c>
      <c r="D126" s="230" t="s">
        <v>110</v>
      </c>
      <c r="E126" s="230" t="s">
        <v>198</v>
      </c>
      <c r="F126" s="230" t="s">
        <v>261</v>
      </c>
      <c r="G126" s="230">
        <v>182</v>
      </c>
      <c r="H126" s="230" t="s">
        <v>213</v>
      </c>
      <c r="I126" s="230" t="s">
        <v>262</v>
      </c>
      <c r="J126" s="230" t="s">
        <v>2703</v>
      </c>
      <c r="K126" s="237" t="s">
        <v>2824</v>
      </c>
      <c r="L126" s="230" t="s">
        <v>1032</v>
      </c>
      <c r="M126" s="230" t="s">
        <v>2825</v>
      </c>
      <c r="N126" s="230" t="s">
        <v>2707</v>
      </c>
      <c r="O126" s="158" t="s">
        <v>61</v>
      </c>
      <c r="P126" s="92"/>
      <c r="Q126" s="146" t="s">
        <v>61</v>
      </c>
      <c r="R126" s="92"/>
      <c r="S126" s="146" t="s">
        <v>61</v>
      </c>
      <c r="T126" s="92"/>
      <c r="U126" s="146" t="s">
        <v>61</v>
      </c>
      <c r="V126" s="92"/>
      <c r="W126" s="146" t="s">
        <v>61</v>
      </c>
      <c r="X126" s="92"/>
      <c r="Y126" s="146" t="s">
        <v>61</v>
      </c>
      <c r="Z126" s="92"/>
      <c r="AA126" s="146" t="s">
        <v>61</v>
      </c>
      <c r="AB126" s="92"/>
      <c r="AC126" s="146" t="s">
        <v>61</v>
      </c>
      <c r="AD126" s="92"/>
      <c r="AE126" s="146" t="s">
        <v>61</v>
      </c>
      <c r="AF126" s="143" t="str">
        <f t="shared" si="6"/>
        <v>NA</v>
      </c>
      <c r="AG126" s="199" t="str">
        <f t="shared" si="5"/>
        <v>NÃO AVALIADO POR FALHA DE SINCRONISMO</v>
      </c>
      <c r="AH126" s="146" t="s">
        <v>204</v>
      </c>
      <c r="AI126" s="154" t="s">
        <v>6</v>
      </c>
      <c r="AJ126" s="151" t="str">
        <f t="shared" si="9"/>
        <v>GUARULHOS</v>
      </c>
      <c r="AK126" s="155" t="s">
        <v>59</v>
      </c>
      <c r="AL126" s="53">
        <v>-2.5000000000000001E-2</v>
      </c>
      <c r="AM126" s="53" t="str" cm="1">
        <f t="array" ref="AM126">IF(OR(O126&lt;&gt;"", SUMPRODUCT(($AN$2:$AN$561=AN126)*($AL$2:$AL$561&lt;=AL126)) &lt;= (COUNTIF($AN$2:$AN$561,AN126)*0.5)), "SORTEADO", "-")</f>
        <v>SORTEADO</v>
      </c>
      <c r="AN126" s="53" t="str">
        <f t="shared" si="8"/>
        <v>14/04/2026</v>
      </c>
    </row>
    <row r="127" spans="1:40" ht="30" hidden="1" customHeight="1" x14ac:dyDescent="0.2">
      <c r="A127" s="230" t="s">
        <v>197</v>
      </c>
      <c r="B127" s="230">
        <v>2614825936</v>
      </c>
      <c r="C127" s="230" t="s">
        <v>2701</v>
      </c>
      <c r="D127" s="230" t="s">
        <v>110</v>
      </c>
      <c r="E127" s="230" t="s">
        <v>198</v>
      </c>
      <c r="F127" s="230" t="s">
        <v>261</v>
      </c>
      <c r="G127" s="230">
        <v>159</v>
      </c>
      <c r="H127" s="230" t="s">
        <v>2827</v>
      </c>
      <c r="I127" s="230" t="s">
        <v>262</v>
      </c>
      <c r="J127" s="230" t="s">
        <v>2703</v>
      </c>
      <c r="K127" s="237" t="s">
        <v>2824</v>
      </c>
      <c r="L127" s="230" t="s">
        <v>1032</v>
      </c>
      <c r="M127" s="230" t="s">
        <v>2825</v>
      </c>
      <c r="N127" s="230" t="s">
        <v>2707</v>
      </c>
      <c r="O127" s="158" t="s">
        <v>61</v>
      </c>
      <c r="P127" s="92"/>
      <c r="Q127" s="146" t="s">
        <v>61</v>
      </c>
      <c r="R127" s="92"/>
      <c r="S127" s="146" t="s">
        <v>61</v>
      </c>
      <c r="T127" s="92"/>
      <c r="U127" s="146" t="s">
        <v>61</v>
      </c>
      <c r="V127" s="92"/>
      <c r="W127" s="146" t="s">
        <v>61</v>
      </c>
      <c r="X127" s="92"/>
      <c r="Y127" s="146" t="s">
        <v>61</v>
      </c>
      <c r="Z127" s="92"/>
      <c r="AA127" s="146" t="s">
        <v>61</v>
      </c>
      <c r="AB127" s="92"/>
      <c r="AC127" s="146" t="s">
        <v>61</v>
      </c>
      <c r="AD127" s="92"/>
      <c r="AE127" s="146" t="s">
        <v>61</v>
      </c>
      <c r="AF127" s="143" t="str">
        <f t="shared" si="6"/>
        <v>NA</v>
      </c>
      <c r="AG127" s="199" t="str">
        <f t="shared" si="5"/>
        <v>NÃO AVALIADO POR FALHA DE SINCRONISMO</v>
      </c>
      <c r="AH127" s="146" t="s">
        <v>204</v>
      </c>
      <c r="AI127" s="154" t="s">
        <v>6</v>
      </c>
      <c r="AJ127" s="151" t="str">
        <f t="shared" si="9"/>
        <v>GUARULHOS</v>
      </c>
      <c r="AK127" s="155" t="s">
        <v>59</v>
      </c>
      <c r="AL127" s="53">
        <v>-2.52E-2</v>
      </c>
      <c r="AM127" s="53" t="str" cm="1">
        <f t="array" ref="AM127">IF(OR(O127&lt;&gt;"", SUMPRODUCT(($AN$2:$AN$561=AN127)*($AL$2:$AL$561&lt;=AL127)) &lt;= (COUNTIF($AN$2:$AN$561,AN127)*0.5)), "SORTEADO", "-")</f>
        <v>SORTEADO</v>
      </c>
      <c r="AN127" s="53" t="str">
        <f t="shared" si="8"/>
        <v>14/04/2026</v>
      </c>
    </row>
    <row r="128" spans="1:40" ht="30" hidden="1" customHeight="1" x14ac:dyDescent="0.2">
      <c r="A128" s="230" t="s">
        <v>197</v>
      </c>
      <c r="B128" s="230">
        <v>2614826127</v>
      </c>
      <c r="C128" s="230" t="s">
        <v>2701</v>
      </c>
      <c r="D128" s="230" t="s">
        <v>110</v>
      </c>
      <c r="E128" s="230" t="s">
        <v>198</v>
      </c>
      <c r="F128" s="230" t="s">
        <v>261</v>
      </c>
      <c r="G128" s="230">
        <v>174</v>
      </c>
      <c r="H128" s="230" t="s">
        <v>1955</v>
      </c>
      <c r="I128" s="230" t="s">
        <v>262</v>
      </c>
      <c r="J128" s="230" t="s">
        <v>2703</v>
      </c>
      <c r="K128" s="237" t="s">
        <v>2828</v>
      </c>
      <c r="L128" s="230" t="s">
        <v>1032</v>
      </c>
      <c r="M128" s="230" t="s">
        <v>2825</v>
      </c>
      <c r="N128" s="230" t="s">
        <v>2707</v>
      </c>
      <c r="O128" s="158" t="s">
        <v>61</v>
      </c>
      <c r="P128" s="92"/>
      <c r="Q128" s="146" t="s">
        <v>61</v>
      </c>
      <c r="R128" s="92"/>
      <c r="S128" s="146" t="s">
        <v>61</v>
      </c>
      <c r="T128" s="92"/>
      <c r="U128" s="146" t="s">
        <v>61</v>
      </c>
      <c r="V128" s="92"/>
      <c r="W128" s="146" t="s">
        <v>61</v>
      </c>
      <c r="X128" s="92"/>
      <c r="Y128" s="146" t="s">
        <v>61</v>
      </c>
      <c r="Z128" s="92"/>
      <c r="AA128" s="146" t="s">
        <v>61</v>
      </c>
      <c r="AB128" s="92"/>
      <c r="AC128" s="146" t="s">
        <v>61</v>
      </c>
      <c r="AD128" s="92"/>
      <c r="AE128" s="146" t="s">
        <v>61</v>
      </c>
      <c r="AF128" s="143" t="str">
        <f t="shared" si="6"/>
        <v>NA</v>
      </c>
      <c r="AG128" s="199" t="str">
        <f t="shared" ref="AG128:AG189" si="10">IF(AND(AE128="C",AF128="C"),"UTILIZOU O PDA CORRETAMENTE",IF(AND(AE128="C",AF128="NC"),"UTILIZOU O PDA CORRETAMENTE. NÃO HÁ FOTOS DE TODAS AS ETAPAS",IF(AND(AE128="NC",AF128="NC"),"NÃO UTILIZOU O PDA",IF(AND(AE128="NA",AF128="NA"),"NÃO AVALIADO POR FALHA DE SINCRONISMO"))))</f>
        <v>NÃO AVALIADO POR FALHA DE SINCRONISMO</v>
      </c>
      <c r="AH128" s="146" t="s">
        <v>204</v>
      </c>
      <c r="AI128" s="154" t="s">
        <v>6</v>
      </c>
      <c r="AJ128" s="151" t="str">
        <f t="shared" si="9"/>
        <v>GUARULHOS</v>
      </c>
      <c r="AK128" s="155" t="s">
        <v>59</v>
      </c>
      <c r="AL128" s="53">
        <v>-2.5399999999999999E-2</v>
      </c>
      <c r="AM128" s="53" t="str" cm="1">
        <f t="array" ref="AM128">IF(OR(O128&lt;&gt;"", SUMPRODUCT(($AN$2:$AN$561=AN128)*($AL$2:$AL$561&lt;=AL128)) &lt;= (COUNTIF($AN$2:$AN$561,AN128)*0.5)), "SORTEADO", "-")</f>
        <v>SORTEADO</v>
      </c>
      <c r="AN128" s="53" t="str">
        <f t="shared" si="8"/>
        <v>14/04/2026</v>
      </c>
    </row>
    <row r="129" spans="1:40" ht="30" hidden="1" customHeight="1" x14ac:dyDescent="0.2">
      <c r="A129" s="230" t="s">
        <v>197</v>
      </c>
      <c r="B129" s="230">
        <v>2615596581</v>
      </c>
      <c r="C129" s="230" t="s">
        <v>122</v>
      </c>
      <c r="D129" s="230" t="s">
        <v>108</v>
      </c>
      <c r="E129" s="230" t="s">
        <v>198</v>
      </c>
      <c r="F129" s="230" t="s">
        <v>2811</v>
      </c>
      <c r="G129" s="230">
        <v>69</v>
      </c>
      <c r="H129" s="230" t="s">
        <v>2812</v>
      </c>
      <c r="I129" s="230" t="s">
        <v>247</v>
      </c>
      <c r="J129" s="230" t="s">
        <v>2633</v>
      </c>
      <c r="K129" s="230" t="s">
        <v>2829</v>
      </c>
      <c r="L129" s="230" t="s">
        <v>1032</v>
      </c>
      <c r="M129" s="230" t="s">
        <v>2830</v>
      </c>
      <c r="N129" s="230" t="s">
        <v>2634</v>
      </c>
      <c r="O129" s="158"/>
      <c r="P129" s="92"/>
      <c r="Q129" s="146"/>
      <c r="R129" s="92"/>
      <c r="S129" s="146"/>
      <c r="T129" s="92"/>
      <c r="U129" s="146"/>
      <c r="V129" s="92"/>
      <c r="W129" s="146"/>
      <c r="X129" s="92"/>
      <c r="Y129" s="146"/>
      <c r="Z129" s="92"/>
      <c r="AA129" s="146"/>
      <c r="AB129" s="92"/>
      <c r="AC129" s="146"/>
      <c r="AD129" s="92"/>
      <c r="AE129" s="146"/>
      <c r="AF129" s="143" t="str">
        <f t="shared" ref="AF129:AF190" si="11">IF(AND(O129="",Q129="",S129="",U129="",W129="",Y129="",AA129="",AC129=""),"",IF(OR(AND(O129&lt;&gt;"NA",O129&lt;&gt;"C",O129&lt;&gt;"NC",O129&lt;&gt;"SF",O129&lt;&gt;""),AND(Q129&lt;&gt;"NA",Q129&lt;&gt;"C",Q129&lt;&gt;"NC",Q129&lt;&gt;"SF",Q129&lt;&gt;""),AND(S129&lt;&gt;"NA",S129&lt;&gt;"C",S129&lt;&gt;"NC",S129&lt;&gt;"SF",S129&lt;&gt;""),AND(U129&lt;&gt;"NA",U129&lt;&gt;"C",U129&lt;&gt;"NC",U129&lt;&gt;"SF",U129&lt;&gt;""),AND(W129&lt;&gt;"NA",W129&lt;&gt;"C",W129&lt;&gt;"NC",W129&lt;&gt;"SF",W129&lt;&gt;""),AND(Y129&lt;&gt;"NA",Y129&lt;&gt;"C",Y129&lt;&gt;"NC",Y129&lt;&gt;"SF",Y129&lt;&gt;""),AND(AA129&lt;&gt;"NA",AA129&lt;&gt;"C",AA129&lt;&gt;"NC",AA129&lt;&gt;"SF",AA129&lt;&gt;""),AND(AC129&lt;&gt;"NA",AC129&lt;&gt;"C",AC129&lt;&gt;"NC",AC129&lt;&gt;"SF",AC129&lt;&gt;"")),"FALSO",IF(AND(O129="NA",Q129="NA",S129="NA",U129="NA",W129="NA",Y129="NA",AA129="NA",AC129="NA"),"NA",IF(OR(O129="NC",Q129="NC",S129="NC",U129="NC",W129="NC",Y129="NC",AA129="NC",AC129="NC",O129="SF",Q129="SF",S129="SF",U129="SF",W129="SF",Y129="SF",AA129="SF",AC129="SF"),"NC",IF(OR(O129="C",Q129="C",S129="C",U129="C",W129="C",Y129="C",AA129="C",AC129="C"),"C","")))))</f>
        <v/>
      </c>
      <c r="AG129" s="199" t="b">
        <f t="shared" si="10"/>
        <v>0</v>
      </c>
      <c r="AH129" s="146"/>
      <c r="AI129" s="154" t="s">
        <v>6</v>
      </c>
      <c r="AJ129" s="151" t="str">
        <f t="shared" si="9"/>
        <v>GUARULHOS</v>
      </c>
      <c r="AK129" s="155" t="s">
        <v>59</v>
      </c>
      <c r="AL129" s="53">
        <v>0.21490188084337347</v>
      </c>
      <c r="AM129" s="53" t="str" cm="1">
        <f t="array" ref="AM129">IF(OR(O129&lt;&gt;"", SUMPRODUCT(($AN$2:$AN$561=AN129)*($AL$2:$AL$561&lt;=AL129)) &lt;= (COUNTIF($AN$2:$AN$561,AN129)*0.5)), "SORTEADO", "-")</f>
        <v>-</v>
      </c>
      <c r="AN129" s="53" t="str">
        <f t="shared" si="8"/>
        <v>14/04/2026</v>
      </c>
    </row>
    <row r="130" spans="1:40" ht="30" hidden="1" customHeight="1" x14ac:dyDescent="0.2">
      <c r="A130" s="242" t="s">
        <v>197</v>
      </c>
      <c r="B130" s="242">
        <v>2615726692</v>
      </c>
      <c r="C130" s="242" t="s">
        <v>121</v>
      </c>
      <c r="D130" s="242" t="s">
        <v>110</v>
      </c>
      <c r="E130" s="242" t="s">
        <v>198</v>
      </c>
      <c r="F130" s="242" t="s">
        <v>2831</v>
      </c>
      <c r="G130" s="242">
        <v>112</v>
      </c>
      <c r="H130" s="242" t="s">
        <v>2832</v>
      </c>
      <c r="I130" s="242" t="s">
        <v>335</v>
      </c>
      <c r="J130" s="242" t="s">
        <v>2661</v>
      </c>
      <c r="K130" s="242" t="s">
        <v>2833</v>
      </c>
      <c r="L130" s="242" t="s">
        <v>1032</v>
      </c>
      <c r="M130" s="242" t="s">
        <v>2834</v>
      </c>
      <c r="N130" s="242" t="s">
        <v>2638</v>
      </c>
      <c r="O130" s="158"/>
      <c r="P130" s="92"/>
      <c r="Q130" s="146"/>
      <c r="R130" s="92"/>
      <c r="S130" s="146"/>
      <c r="T130" s="92"/>
      <c r="U130" s="146"/>
      <c r="V130" s="92"/>
      <c r="W130" s="146"/>
      <c r="X130" s="92"/>
      <c r="Y130" s="146"/>
      <c r="Z130" s="92"/>
      <c r="AA130" s="146"/>
      <c r="AB130" s="92"/>
      <c r="AC130" s="146"/>
      <c r="AD130" s="92"/>
      <c r="AE130" s="146"/>
      <c r="AF130" s="143" t="str">
        <f t="shared" si="11"/>
        <v/>
      </c>
      <c r="AG130" s="199" t="b">
        <f t="shared" si="10"/>
        <v>0</v>
      </c>
      <c r="AH130" s="146"/>
      <c r="AI130" s="154" t="s">
        <v>6</v>
      </c>
      <c r="AJ130" s="151" t="str">
        <f t="shared" si="9"/>
        <v>GUARULHOS</v>
      </c>
      <c r="AK130" s="155" t="s">
        <v>59</v>
      </c>
      <c r="AL130" s="53">
        <v>0.63960689569110973</v>
      </c>
      <c r="AM130" s="53" t="str" cm="1">
        <f t="array" ref="AM130">IF(OR(O130&lt;&gt;"", SUMPRODUCT(($AN$2:$AN$561=AN130)*($AL$2:$AL$561&lt;=AL130)) &lt;= (COUNTIF($AN$2:$AN$561,AN130)*0.5)), "SORTEADO", "-")</f>
        <v>-</v>
      </c>
      <c r="AN130" s="53" t="str">
        <f t="shared" si="8"/>
        <v>14/04/2026</v>
      </c>
    </row>
    <row r="131" spans="1:40" ht="30" customHeight="1" x14ac:dyDescent="0.2">
      <c r="A131" s="230" t="s">
        <v>197</v>
      </c>
      <c r="B131" s="230">
        <v>2615433597</v>
      </c>
      <c r="C131" s="230" t="s">
        <v>120</v>
      </c>
      <c r="D131" s="230" t="s">
        <v>111</v>
      </c>
      <c r="E131" s="230" t="s">
        <v>198</v>
      </c>
      <c r="F131" s="230" t="s">
        <v>2835</v>
      </c>
      <c r="G131" s="230">
        <v>9</v>
      </c>
      <c r="H131" s="230"/>
      <c r="I131" s="230" t="s">
        <v>588</v>
      </c>
      <c r="J131" s="230" t="s">
        <v>2637</v>
      </c>
      <c r="K131" s="230"/>
      <c r="L131" s="230" t="s">
        <v>1192</v>
      </c>
      <c r="M131" s="230" t="s">
        <v>2836</v>
      </c>
      <c r="N131" s="230" t="s">
        <v>2638</v>
      </c>
      <c r="O131" s="158"/>
      <c r="P131" s="92"/>
      <c r="Q131" s="146"/>
      <c r="R131" s="92"/>
      <c r="S131" s="146"/>
      <c r="T131" s="92"/>
      <c r="U131" s="146"/>
      <c r="V131" s="92"/>
      <c r="W131" s="146"/>
      <c r="X131" s="92"/>
      <c r="Y131" s="146"/>
      <c r="Z131" s="92"/>
      <c r="AA131" s="146"/>
      <c r="AB131" s="92"/>
      <c r="AC131" s="146"/>
      <c r="AD131" s="92"/>
      <c r="AE131" s="146"/>
      <c r="AF131" s="143" t="str">
        <f t="shared" si="11"/>
        <v/>
      </c>
      <c r="AG131" s="199" t="b">
        <f t="shared" si="10"/>
        <v>0</v>
      </c>
      <c r="AH131" s="146"/>
      <c r="AI131" s="154" t="s">
        <v>6</v>
      </c>
      <c r="AJ131" s="151" t="str">
        <f t="shared" si="9"/>
        <v>GUARULHOS</v>
      </c>
      <c r="AK131" s="155" t="s">
        <v>59</v>
      </c>
      <c r="AL131" s="53">
        <v>0.96862373137657232</v>
      </c>
      <c r="AM131" s="53" t="str" cm="1">
        <f t="array" ref="AM131">IF(OR(O131&lt;&gt;"", SUMPRODUCT(($AN$2:$AN$561=AN131)*($AL$2:$AL$561&lt;=AL131)) &lt;= (COUNTIF($AN$2:$AN$561,AN131)*0.5)), "SORTEADO", "-")</f>
        <v>-</v>
      </c>
      <c r="AN131" s="53" t="str">
        <f t="shared" si="8"/>
        <v>15/04/2026</v>
      </c>
    </row>
    <row r="132" spans="1:40" ht="30" customHeight="1" x14ac:dyDescent="0.2">
      <c r="A132" s="230" t="s">
        <v>197</v>
      </c>
      <c r="B132" s="230">
        <v>2615576992</v>
      </c>
      <c r="C132" s="230" t="s">
        <v>120</v>
      </c>
      <c r="D132" s="230" t="s">
        <v>111</v>
      </c>
      <c r="E132" s="230" t="s">
        <v>198</v>
      </c>
      <c r="F132" s="230" t="s">
        <v>2837</v>
      </c>
      <c r="G132" s="230">
        <v>152</v>
      </c>
      <c r="H132" s="230" t="s">
        <v>213</v>
      </c>
      <c r="I132" s="230" t="s">
        <v>713</v>
      </c>
      <c r="J132" s="230" t="s">
        <v>2637</v>
      </c>
      <c r="K132" s="230" t="s">
        <v>213</v>
      </c>
      <c r="L132" s="230" t="s">
        <v>1192</v>
      </c>
      <c r="M132" s="230" t="s">
        <v>2838</v>
      </c>
      <c r="N132" s="230" t="s">
        <v>2638</v>
      </c>
      <c r="O132" s="158"/>
      <c r="P132" s="92"/>
      <c r="Q132" s="146"/>
      <c r="R132" s="92"/>
      <c r="S132" s="146"/>
      <c r="T132" s="92"/>
      <c r="U132" s="146"/>
      <c r="V132" s="92"/>
      <c r="W132" s="146"/>
      <c r="X132" s="92"/>
      <c r="Y132" s="146"/>
      <c r="Z132" s="92"/>
      <c r="AA132" s="146"/>
      <c r="AB132" s="92"/>
      <c r="AC132" s="146"/>
      <c r="AD132" s="92"/>
      <c r="AE132" s="146"/>
      <c r="AF132" s="143" t="str">
        <f t="shared" si="11"/>
        <v/>
      </c>
      <c r="AG132" s="199" t="b">
        <f t="shared" si="10"/>
        <v>0</v>
      </c>
      <c r="AH132" s="146"/>
      <c r="AI132" s="154" t="s">
        <v>6</v>
      </c>
      <c r="AJ132" s="151" t="str">
        <f t="shared" si="9"/>
        <v>GUARULHOS</v>
      </c>
      <c r="AK132" s="155" t="s">
        <v>59</v>
      </c>
      <c r="AL132" s="53">
        <v>0.33473414735851748</v>
      </c>
      <c r="AM132" s="53" t="str" cm="1">
        <f t="array" ref="AM132">IF(OR(O132&lt;&gt;"", SUMPRODUCT(($AN$2:$AN$561=AN132)*($AL$2:$AL$561&lt;=AL132)) &lt;= (COUNTIF($AN$2:$AN$561,AN132)*0.5)), "SORTEADO", "-")</f>
        <v>SORTEADO</v>
      </c>
      <c r="AN132" s="53" t="str">
        <f t="shared" si="8"/>
        <v>15/04/2026</v>
      </c>
    </row>
    <row r="133" spans="1:40" ht="30" customHeight="1" x14ac:dyDescent="0.2">
      <c r="A133" s="230" t="s">
        <v>197</v>
      </c>
      <c r="B133" s="230">
        <v>2615761928</v>
      </c>
      <c r="C133" s="230" t="s">
        <v>120</v>
      </c>
      <c r="D133" s="230" t="s">
        <v>111</v>
      </c>
      <c r="E133" s="230" t="s">
        <v>198</v>
      </c>
      <c r="F133" s="230" t="s">
        <v>2839</v>
      </c>
      <c r="G133" s="230">
        <v>62</v>
      </c>
      <c r="H133" s="230" t="s">
        <v>1360</v>
      </c>
      <c r="I133" s="230" t="s">
        <v>200</v>
      </c>
      <c r="J133" s="230" t="s">
        <v>2637</v>
      </c>
      <c r="K133" s="230"/>
      <c r="L133" s="230" t="s">
        <v>1192</v>
      </c>
      <c r="M133" s="230" t="s">
        <v>2840</v>
      </c>
      <c r="N133" s="230" t="s">
        <v>2638</v>
      </c>
      <c r="O133" s="158"/>
      <c r="P133" s="92"/>
      <c r="Q133" s="146"/>
      <c r="R133" s="92"/>
      <c r="S133" s="146"/>
      <c r="T133" s="92"/>
      <c r="U133" s="146"/>
      <c r="V133" s="92"/>
      <c r="W133" s="146"/>
      <c r="X133" s="92"/>
      <c r="Y133" s="146"/>
      <c r="Z133" s="92"/>
      <c r="AA133" s="146"/>
      <c r="AB133" s="92"/>
      <c r="AC133" s="146"/>
      <c r="AD133" s="92"/>
      <c r="AE133" s="146"/>
      <c r="AF133" s="143" t="str">
        <f t="shared" si="11"/>
        <v/>
      </c>
      <c r="AG133" s="199" t="b">
        <f t="shared" si="10"/>
        <v>0</v>
      </c>
      <c r="AH133" s="146"/>
      <c r="AI133" s="154" t="s">
        <v>6</v>
      </c>
      <c r="AJ133" s="151" t="str">
        <f t="shared" si="9"/>
        <v>GUARULHOS</v>
      </c>
      <c r="AK133" s="155" t="s">
        <v>59</v>
      </c>
      <c r="AL133" s="53">
        <v>0.75700418388256385</v>
      </c>
      <c r="AM133" s="53" t="str" cm="1">
        <f t="array" ref="AM133">IF(OR(O133&lt;&gt;"", SUMPRODUCT(($AN$2:$AN$561=AN133)*($AL$2:$AL$561&lt;=AL133)) &lt;= (COUNTIF($AN$2:$AN$561,AN133)*0.5)), "SORTEADO", "-")</f>
        <v>SORTEADO</v>
      </c>
      <c r="AN133" s="53" t="str">
        <f t="shared" si="8"/>
        <v>15/04/2026</v>
      </c>
    </row>
    <row r="134" spans="1:40" ht="30" hidden="1" customHeight="1" x14ac:dyDescent="0.2">
      <c r="A134" s="230" t="s">
        <v>197</v>
      </c>
      <c r="B134" s="230">
        <v>2615684329</v>
      </c>
      <c r="C134" s="230" t="s">
        <v>121</v>
      </c>
      <c r="D134" s="230" t="s">
        <v>110</v>
      </c>
      <c r="E134" s="230" t="s">
        <v>198</v>
      </c>
      <c r="F134" s="230" t="s">
        <v>2841</v>
      </c>
      <c r="G134" s="230">
        <v>108</v>
      </c>
      <c r="H134" s="230" t="s">
        <v>213</v>
      </c>
      <c r="I134" s="230" t="s">
        <v>791</v>
      </c>
      <c r="J134" s="230" t="s">
        <v>2661</v>
      </c>
      <c r="K134" s="230" t="s">
        <v>213</v>
      </c>
      <c r="L134" s="230" t="s">
        <v>1192</v>
      </c>
      <c r="M134" s="230" t="s">
        <v>2842</v>
      </c>
      <c r="N134" s="230" t="s">
        <v>2640</v>
      </c>
      <c r="O134" s="158"/>
      <c r="P134" s="92"/>
      <c r="Q134" s="146"/>
      <c r="R134" s="92"/>
      <c r="S134" s="146"/>
      <c r="T134" s="92"/>
      <c r="U134" s="146"/>
      <c r="V134" s="92"/>
      <c r="W134" s="146"/>
      <c r="X134" s="92"/>
      <c r="Y134" s="146"/>
      <c r="Z134" s="92"/>
      <c r="AA134" s="146"/>
      <c r="AB134" s="92"/>
      <c r="AC134" s="146"/>
      <c r="AD134" s="92"/>
      <c r="AE134" s="146"/>
      <c r="AF134" s="143" t="str">
        <f t="shared" si="11"/>
        <v/>
      </c>
      <c r="AG134" s="199" t="b">
        <f t="shared" si="10"/>
        <v>0</v>
      </c>
      <c r="AH134" s="146"/>
      <c r="AI134" s="154" t="s">
        <v>6</v>
      </c>
      <c r="AJ134" s="151" t="str">
        <f t="shared" si="9"/>
        <v>GUARULHOS</v>
      </c>
      <c r="AK134" s="155" t="s">
        <v>59</v>
      </c>
      <c r="AL134" s="53">
        <v>0.35568531674884263</v>
      </c>
      <c r="AM134" s="53" t="str" cm="1">
        <f t="array" ref="AM134">IF(OR(O134&lt;&gt;"", SUMPRODUCT(($AN$2:$AN$561=AN134)*($AL$2:$AL$561&lt;=AL134)) &lt;= (COUNTIF($AN$2:$AN$561,AN134)*0.5)), "SORTEADO", "-")</f>
        <v>SORTEADO</v>
      </c>
      <c r="AN134" s="53" t="str">
        <f t="shared" si="8"/>
        <v>15/04/2026</v>
      </c>
    </row>
    <row r="135" spans="1:40" ht="30" hidden="1" customHeight="1" x14ac:dyDescent="0.2">
      <c r="A135" s="230" t="s">
        <v>197</v>
      </c>
      <c r="B135" s="230">
        <v>2615685329</v>
      </c>
      <c r="C135" s="230" t="s">
        <v>121</v>
      </c>
      <c r="D135" s="230" t="s">
        <v>110</v>
      </c>
      <c r="E135" s="230" t="s">
        <v>198</v>
      </c>
      <c r="F135" s="230" t="s">
        <v>847</v>
      </c>
      <c r="G135" s="230">
        <v>195</v>
      </c>
      <c r="H135" s="230" t="s">
        <v>2843</v>
      </c>
      <c r="I135" s="230" t="s">
        <v>214</v>
      </c>
      <c r="J135" s="230" t="s">
        <v>2661</v>
      </c>
      <c r="K135" s="230"/>
      <c r="L135" s="230" t="s">
        <v>1192</v>
      </c>
      <c r="M135" s="230" t="s">
        <v>2844</v>
      </c>
      <c r="N135" s="230" t="s">
        <v>2634</v>
      </c>
      <c r="O135" s="158"/>
      <c r="P135" s="92"/>
      <c r="Q135" s="146"/>
      <c r="R135" s="92"/>
      <c r="S135" s="146"/>
      <c r="T135" s="92"/>
      <c r="U135" s="146"/>
      <c r="V135" s="92"/>
      <c r="W135" s="146"/>
      <c r="X135" s="92"/>
      <c r="Y135" s="146"/>
      <c r="Z135" s="92"/>
      <c r="AA135" s="146"/>
      <c r="AB135" s="92"/>
      <c r="AC135" s="146"/>
      <c r="AD135" s="92"/>
      <c r="AE135" s="146"/>
      <c r="AF135" s="143" t="str">
        <f t="shared" si="11"/>
        <v/>
      </c>
      <c r="AG135" s="199" t="b">
        <f t="shared" si="10"/>
        <v>0</v>
      </c>
      <c r="AH135" s="146"/>
      <c r="AI135" s="154" t="s">
        <v>6</v>
      </c>
      <c r="AJ135" s="151" t="str">
        <f t="shared" si="9"/>
        <v>GUARULHOS</v>
      </c>
      <c r="AK135" s="155" t="s">
        <v>59</v>
      </c>
      <c r="AL135" s="53">
        <v>0.82300517446953103</v>
      </c>
      <c r="AM135" s="53" t="str" cm="1">
        <f t="array" ref="AM135">IF(OR(O135&lt;&gt;"", SUMPRODUCT(($AN$2:$AN$561=AN135)*($AL$2:$AL$561&lt;=AL135)) &lt;= (COUNTIF($AN$2:$AN$561,AN135)*0.5)), "SORTEADO", "-")</f>
        <v>-</v>
      </c>
      <c r="AN135" s="53" t="str">
        <f t="shared" si="8"/>
        <v>15/04/2026</v>
      </c>
    </row>
    <row r="136" spans="1:40" ht="30" hidden="1" customHeight="1" x14ac:dyDescent="0.2">
      <c r="A136" s="230" t="s">
        <v>197</v>
      </c>
      <c r="B136" s="230">
        <v>2615857142</v>
      </c>
      <c r="C136" s="230" t="s">
        <v>100</v>
      </c>
      <c r="D136" s="230" t="s">
        <v>112</v>
      </c>
      <c r="E136" s="230" t="s">
        <v>198</v>
      </c>
      <c r="F136" s="230" t="s">
        <v>966</v>
      </c>
      <c r="G136" s="230">
        <v>1560</v>
      </c>
      <c r="H136" s="230" t="s">
        <v>2845</v>
      </c>
      <c r="I136" s="230" t="s">
        <v>588</v>
      </c>
      <c r="J136" s="230" t="s">
        <v>248</v>
      </c>
      <c r="K136" s="230" t="s">
        <v>2846</v>
      </c>
      <c r="L136" s="230" t="s">
        <v>1192</v>
      </c>
      <c r="M136" s="230" t="s">
        <v>2847</v>
      </c>
      <c r="N136" s="230" t="s">
        <v>348</v>
      </c>
      <c r="O136" s="158"/>
      <c r="P136" s="92"/>
      <c r="Q136" s="146"/>
      <c r="R136" s="92"/>
      <c r="S136" s="146"/>
      <c r="T136" s="92"/>
      <c r="U136" s="146"/>
      <c r="V136" s="92"/>
      <c r="W136" s="146"/>
      <c r="X136" s="92"/>
      <c r="Y136" s="146"/>
      <c r="Z136" s="92"/>
      <c r="AA136" s="146"/>
      <c r="AB136" s="92"/>
      <c r="AC136" s="146"/>
      <c r="AD136" s="92"/>
      <c r="AE136" s="146"/>
      <c r="AF136" s="143" t="str">
        <f t="shared" si="11"/>
        <v/>
      </c>
      <c r="AG136" s="199" t="b">
        <f t="shared" si="10"/>
        <v>0</v>
      </c>
      <c r="AH136" s="146"/>
      <c r="AI136" s="154" t="s">
        <v>6</v>
      </c>
      <c r="AJ136" s="151" t="str">
        <f t="shared" si="9"/>
        <v>GUARULHOS</v>
      </c>
      <c r="AK136" s="155" t="s">
        <v>59</v>
      </c>
      <c r="AL136" s="53">
        <v>0.81363601196855861</v>
      </c>
      <c r="AM136" s="53" t="str" cm="1">
        <f t="array" ref="AM136">IF(OR(O136&lt;&gt;"", SUMPRODUCT(($AN$2:$AN$561=AN136)*($AL$2:$AL$561&lt;=AL136)) &lt;= (COUNTIF($AN$2:$AN$561,AN136)*0.5)), "SORTEADO", "-")</f>
        <v>-</v>
      </c>
      <c r="AN136" s="53" t="str">
        <f t="shared" si="8"/>
        <v>15/04/2026</v>
      </c>
    </row>
    <row r="137" spans="1:40" ht="30" hidden="1" customHeight="1" x14ac:dyDescent="0.2">
      <c r="A137" s="230" t="s">
        <v>197</v>
      </c>
      <c r="B137" s="230">
        <v>2615856739</v>
      </c>
      <c r="C137" s="230" t="s">
        <v>122</v>
      </c>
      <c r="D137" s="230" t="s">
        <v>108</v>
      </c>
      <c r="E137" s="230" t="s">
        <v>198</v>
      </c>
      <c r="F137" s="230" t="s">
        <v>468</v>
      </c>
      <c r="G137" s="230">
        <v>131</v>
      </c>
      <c r="H137" s="230" t="s">
        <v>461</v>
      </c>
      <c r="I137" s="230" t="s">
        <v>713</v>
      </c>
      <c r="J137" s="230" t="s">
        <v>2649</v>
      </c>
      <c r="K137" s="230" t="s">
        <v>1895</v>
      </c>
      <c r="L137" s="230" t="s">
        <v>1192</v>
      </c>
      <c r="M137" s="230" t="s">
        <v>2848</v>
      </c>
      <c r="N137" s="230" t="s">
        <v>244</v>
      </c>
      <c r="O137" s="158"/>
      <c r="P137" s="92"/>
      <c r="Q137" s="146"/>
      <c r="R137" s="92"/>
      <c r="S137" s="146"/>
      <c r="T137" s="92"/>
      <c r="U137" s="146"/>
      <c r="V137" s="92"/>
      <c r="W137" s="146"/>
      <c r="X137" s="92"/>
      <c r="Y137" s="146"/>
      <c r="Z137" s="92"/>
      <c r="AA137" s="146"/>
      <c r="AB137" s="92"/>
      <c r="AC137" s="146"/>
      <c r="AD137" s="92"/>
      <c r="AE137" s="146"/>
      <c r="AF137" s="143" t="str">
        <f t="shared" si="11"/>
        <v/>
      </c>
      <c r="AG137" s="199" t="b">
        <f t="shared" si="10"/>
        <v>0</v>
      </c>
      <c r="AH137" s="146"/>
      <c r="AI137" s="154" t="s">
        <v>6</v>
      </c>
      <c r="AJ137" s="151" t="str">
        <f t="shared" si="9"/>
        <v>GUARULHOS</v>
      </c>
      <c r="AK137" s="155" t="s">
        <v>59</v>
      </c>
      <c r="AL137" s="53">
        <v>0.83194379624173487</v>
      </c>
      <c r="AM137" s="53" t="str" cm="1">
        <f t="array" ref="AM137">IF(OR(O137&lt;&gt;"", SUMPRODUCT(($AN$2:$AN$561=AN137)*($AL$2:$AL$561&lt;=AL137)) &lt;= (COUNTIF($AN$2:$AN$561,AN137)*0.5)), "SORTEADO", "-")</f>
        <v>-</v>
      </c>
      <c r="AN137" s="53" t="str">
        <f t="shared" si="8"/>
        <v>15/04/2026</v>
      </c>
    </row>
    <row r="138" spans="1:40" ht="30" hidden="1" customHeight="1" x14ac:dyDescent="0.2">
      <c r="A138" s="230" t="s">
        <v>197</v>
      </c>
      <c r="B138" s="230">
        <v>2615685329</v>
      </c>
      <c r="C138" s="230" t="s">
        <v>122</v>
      </c>
      <c r="D138" s="230" t="s">
        <v>108</v>
      </c>
      <c r="E138" s="230" t="s">
        <v>198</v>
      </c>
      <c r="F138" s="230" t="s">
        <v>847</v>
      </c>
      <c r="G138" s="230">
        <v>195</v>
      </c>
      <c r="H138" s="230" t="s">
        <v>2843</v>
      </c>
      <c r="I138" s="230" t="s">
        <v>214</v>
      </c>
      <c r="J138" s="230" t="s">
        <v>2633</v>
      </c>
      <c r="K138" s="230" t="s">
        <v>2849</v>
      </c>
      <c r="L138" s="230" t="s">
        <v>1192</v>
      </c>
      <c r="M138" s="230" t="s">
        <v>2850</v>
      </c>
      <c r="N138" s="230" t="s">
        <v>2634</v>
      </c>
      <c r="O138" s="158"/>
      <c r="P138" s="92"/>
      <c r="Q138" s="146"/>
      <c r="R138" s="92"/>
      <c r="S138" s="146"/>
      <c r="T138" s="92"/>
      <c r="U138" s="146"/>
      <c r="V138" s="92"/>
      <c r="W138" s="146"/>
      <c r="X138" s="92"/>
      <c r="Y138" s="146"/>
      <c r="Z138" s="92"/>
      <c r="AA138" s="146"/>
      <c r="AB138" s="92"/>
      <c r="AC138" s="146"/>
      <c r="AD138" s="92"/>
      <c r="AE138" s="146"/>
      <c r="AF138" s="143" t="str">
        <f t="shared" si="11"/>
        <v/>
      </c>
      <c r="AG138" s="199" t="b">
        <f t="shared" si="10"/>
        <v>0</v>
      </c>
      <c r="AH138" s="146"/>
      <c r="AI138" s="154" t="s">
        <v>6</v>
      </c>
      <c r="AJ138" s="151" t="str">
        <f t="shared" si="9"/>
        <v>GUARULHOS</v>
      </c>
      <c r="AK138" s="155" t="s">
        <v>59</v>
      </c>
      <c r="AL138" s="53">
        <v>0.85034525514514048</v>
      </c>
      <c r="AM138" s="53" t="str" cm="1">
        <f t="array" ref="AM138">IF(OR(O138&lt;&gt;"", SUMPRODUCT(($AN$2:$AN$561=AN138)*($AL$2:$AL$561&lt;=AL138)) &lt;= (COUNTIF($AN$2:$AN$561,AN138)*0.5)), "SORTEADO", "-")</f>
        <v>-</v>
      </c>
      <c r="AN138" s="53" t="str">
        <f t="shared" si="8"/>
        <v>15/04/2026</v>
      </c>
    </row>
    <row r="139" spans="1:40" ht="30" hidden="1" customHeight="1" x14ac:dyDescent="0.2">
      <c r="A139" s="230" t="s">
        <v>197</v>
      </c>
      <c r="B139" s="230">
        <v>2615910566</v>
      </c>
      <c r="C139" s="230" t="s">
        <v>2741</v>
      </c>
      <c r="D139" s="230" t="s">
        <v>111</v>
      </c>
      <c r="E139" s="230" t="s">
        <v>198</v>
      </c>
      <c r="F139" s="230" t="s">
        <v>2851</v>
      </c>
      <c r="G139" s="230">
        <v>178</v>
      </c>
      <c r="H139" s="230" t="s">
        <v>2852</v>
      </c>
      <c r="I139" s="230" t="s">
        <v>2199</v>
      </c>
      <c r="J139" s="230" t="s">
        <v>2742</v>
      </c>
      <c r="K139" s="230" t="s">
        <v>2853</v>
      </c>
      <c r="L139" s="230" t="s">
        <v>1192</v>
      </c>
      <c r="M139" s="230" t="s">
        <v>2854</v>
      </c>
      <c r="N139" s="230" t="s">
        <v>2646</v>
      </c>
      <c r="O139" s="158"/>
      <c r="P139" s="92"/>
      <c r="Q139" s="146"/>
      <c r="R139" s="92"/>
      <c r="S139" s="146"/>
      <c r="T139" s="92"/>
      <c r="U139" s="146"/>
      <c r="V139" s="92"/>
      <c r="W139" s="146"/>
      <c r="X139" s="92"/>
      <c r="Y139" s="146"/>
      <c r="Z139" s="92"/>
      <c r="AA139" s="146"/>
      <c r="AB139" s="92"/>
      <c r="AC139" s="146"/>
      <c r="AD139" s="92"/>
      <c r="AE139" s="146"/>
      <c r="AF139" s="143" t="str">
        <f t="shared" si="11"/>
        <v/>
      </c>
      <c r="AG139" s="199" t="b">
        <f t="shared" si="10"/>
        <v>0</v>
      </c>
      <c r="AH139" s="146"/>
      <c r="AI139" s="154" t="s">
        <v>6</v>
      </c>
      <c r="AJ139" s="151" t="str">
        <f t="shared" si="9"/>
        <v>GUARULHOS</v>
      </c>
      <c r="AK139" s="155" t="s">
        <v>59</v>
      </c>
      <c r="AL139" s="53">
        <v>0.56374509037952647</v>
      </c>
      <c r="AM139" s="53" t="str" cm="1">
        <f t="array" ref="AM139">IF(OR(O139&lt;&gt;"", SUMPRODUCT(($AN$2:$AN$561=AN139)*($AL$2:$AL$561&lt;=AL139)) &lt;= (COUNTIF($AN$2:$AN$561,AN139)*0.5)), "SORTEADO", "-")</f>
        <v>SORTEADO</v>
      </c>
      <c r="AN139" s="53" t="str">
        <f t="shared" si="8"/>
        <v>15/04/2026</v>
      </c>
    </row>
    <row r="140" spans="1:40" ht="30" hidden="1" customHeight="1" x14ac:dyDescent="0.2">
      <c r="A140" s="247" t="s">
        <v>197</v>
      </c>
      <c r="B140" s="247">
        <v>2615684329</v>
      </c>
      <c r="C140" s="247" t="s">
        <v>122</v>
      </c>
      <c r="D140" s="247" t="s">
        <v>108</v>
      </c>
      <c r="E140" s="247" t="s">
        <v>198</v>
      </c>
      <c r="F140" s="247" t="s">
        <v>2841</v>
      </c>
      <c r="G140" s="247">
        <v>108</v>
      </c>
      <c r="H140" s="247"/>
      <c r="I140" s="247" t="s">
        <v>791</v>
      </c>
      <c r="J140" s="247" t="s">
        <v>2633</v>
      </c>
      <c r="K140" s="247" t="s">
        <v>2855</v>
      </c>
      <c r="L140" s="247" t="s">
        <v>1192</v>
      </c>
      <c r="M140" s="247" t="s">
        <v>1279</v>
      </c>
      <c r="N140" s="247" t="s">
        <v>2640</v>
      </c>
      <c r="O140" s="158"/>
      <c r="P140" s="92"/>
      <c r="Q140" s="146"/>
      <c r="R140" s="92"/>
      <c r="S140" s="146"/>
      <c r="T140" s="92"/>
      <c r="U140" s="146"/>
      <c r="V140" s="92"/>
      <c r="W140" s="146"/>
      <c r="X140" s="92"/>
      <c r="Y140" s="146"/>
      <c r="Z140" s="92"/>
      <c r="AA140" s="146"/>
      <c r="AB140" s="92"/>
      <c r="AC140" s="146"/>
      <c r="AD140" s="92"/>
      <c r="AE140" s="146"/>
      <c r="AF140" s="143" t="str">
        <f t="shared" si="11"/>
        <v/>
      </c>
      <c r="AG140" s="199" t="b">
        <f t="shared" si="10"/>
        <v>0</v>
      </c>
      <c r="AH140" s="146"/>
      <c r="AI140" s="154" t="s">
        <v>6</v>
      </c>
      <c r="AJ140" s="151" t="str">
        <f t="shared" si="9"/>
        <v>GUARULHOS</v>
      </c>
      <c r="AK140" s="155" t="s">
        <v>59</v>
      </c>
      <c r="AL140" s="53">
        <v>0.28988005463208721</v>
      </c>
      <c r="AM140" s="53" t="str" cm="1">
        <f t="array" ref="AM140">IF(OR(O140&lt;&gt;"", SUMPRODUCT(($AN$2:$AN$561=AN140)*($AL$2:$AL$561&lt;=AL140)) &lt;= (COUNTIF($AN$2:$AN$561,AN140)*0.5)), "SORTEADO", "-")</f>
        <v>SORTEADO</v>
      </c>
      <c r="AN140" s="53" t="str">
        <f t="shared" si="8"/>
        <v>15/04/2026</v>
      </c>
    </row>
    <row r="141" spans="1:40" ht="30" customHeight="1" x14ac:dyDescent="0.2">
      <c r="A141" s="230" t="s">
        <v>197</v>
      </c>
      <c r="B141" s="230">
        <v>2615911816</v>
      </c>
      <c r="C141" s="230" t="s">
        <v>120</v>
      </c>
      <c r="D141" s="230" t="s">
        <v>111</v>
      </c>
      <c r="E141" s="230" t="s">
        <v>198</v>
      </c>
      <c r="F141" s="230" t="s">
        <v>2856</v>
      </c>
      <c r="G141" s="230">
        <v>65</v>
      </c>
      <c r="H141" s="230" t="s">
        <v>2857</v>
      </c>
      <c r="I141" s="230" t="s">
        <v>797</v>
      </c>
      <c r="J141" s="230" t="s">
        <v>2637</v>
      </c>
      <c r="K141" s="230" t="s">
        <v>213</v>
      </c>
      <c r="L141" s="230" t="s">
        <v>1301</v>
      </c>
      <c r="M141" s="230" t="s">
        <v>2858</v>
      </c>
      <c r="N141" s="230" t="s">
        <v>2638</v>
      </c>
      <c r="O141" s="158"/>
      <c r="P141" s="92"/>
      <c r="Q141" s="146"/>
      <c r="R141" s="92"/>
      <c r="S141" s="146"/>
      <c r="T141" s="92"/>
      <c r="U141" s="146"/>
      <c r="V141" s="92"/>
      <c r="W141" s="146"/>
      <c r="X141" s="92"/>
      <c r="Y141" s="146"/>
      <c r="Z141" s="92"/>
      <c r="AA141" s="146"/>
      <c r="AB141" s="92"/>
      <c r="AC141" s="146"/>
      <c r="AD141" s="92"/>
      <c r="AE141" s="146"/>
      <c r="AF141" s="143" t="str">
        <f t="shared" si="11"/>
        <v/>
      </c>
      <c r="AG141" s="199" t="b">
        <f t="shared" si="10"/>
        <v>0</v>
      </c>
      <c r="AH141" s="146"/>
      <c r="AI141" s="154" t="s">
        <v>6</v>
      </c>
      <c r="AJ141" s="151" t="str">
        <f t="shared" si="9"/>
        <v>GUARULHOS</v>
      </c>
      <c r="AK141" s="155" t="s">
        <v>59</v>
      </c>
      <c r="AL141" s="53">
        <v>0.28978856634961203</v>
      </c>
      <c r="AM141" s="53" t="str" cm="1">
        <f t="array" ref="AM141">IF(OR(O141&lt;&gt;"", SUMPRODUCT(($AN$2:$AN$561=AN141)*($AL$2:$AL$561&lt;=AL141)) &lt;= (COUNTIF($AN$2:$AN$561,AN141)*0.5)), "SORTEADO", "-")</f>
        <v>-</v>
      </c>
      <c r="AN141" s="53" t="str">
        <f t="shared" si="8"/>
        <v>16/04/2026</v>
      </c>
    </row>
    <row r="142" spans="1:40" ht="30" customHeight="1" x14ac:dyDescent="0.2">
      <c r="A142" s="230" t="s">
        <v>197</v>
      </c>
      <c r="B142" s="230">
        <v>2615906514</v>
      </c>
      <c r="C142" s="230" t="s">
        <v>120</v>
      </c>
      <c r="D142" s="230" t="s">
        <v>111</v>
      </c>
      <c r="E142" s="230" t="s">
        <v>198</v>
      </c>
      <c r="F142" s="230" t="s">
        <v>484</v>
      </c>
      <c r="G142" s="230">
        <v>71</v>
      </c>
      <c r="H142" s="230"/>
      <c r="I142" s="230" t="s">
        <v>899</v>
      </c>
      <c r="J142" s="230" t="s">
        <v>2637</v>
      </c>
      <c r="K142" s="230"/>
      <c r="L142" s="230" t="s">
        <v>1301</v>
      </c>
      <c r="M142" s="230" t="s">
        <v>2859</v>
      </c>
      <c r="N142" s="230" t="s">
        <v>2638</v>
      </c>
      <c r="O142" s="158"/>
      <c r="P142" s="92"/>
      <c r="Q142" s="146"/>
      <c r="R142" s="92"/>
      <c r="S142" s="146"/>
      <c r="T142" s="92"/>
      <c r="U142" s="146"/>
      <c r="V142" s="92"/>
      <c r="W142" s="146"/>
      <c r="X142" s="92"/>
      <c r="Y142" s="146"/>
      <c r="Z142" s="92"/>
      <c r="AA142" s="146"/>
      <c r="AB142" s="92"/>
      <c r="AC142" s="146"/>
      <c r="AD142" s="92"/>
      <c r="AE142" s="146"/>
      <c r="AF142" s="143" t="str">
        <f t="shared" si="11"/>
        <v/>
      </c>
      <c r="AG142" s="199" t="b">
        <f t="shared" si="10"/>
        <v>0</v>
      </c>
      <c r="AH142" s="146"/>
      <c r="AI142" s="154" t="s">
        <v>6</v>
      </c>
      <c r="AJ142" s="151" t="str">
        <f t="shared" si="9"/>
        <v>GUARULHOS</v>
      </c>
      <c r="AK142" s="155" t="s">
        <v>59</v>
      </c>
      <c r="AL142" s="53">
        <v>0.59126163902046802</v>
      </c>
      <c r="AM142" s="53" t="str" cm="1">
        <f t="array" ref="AM142">IF(OR(O142&lt;&gt;"", SUMPRODUCT(($AN$2:$AN$561=AN142)*($AL$2:$AL$561&lt;=AL142)) &lt;= (COUNTIF($AN$2:$AN$561,AN142)*0.5)), "SORTEADO", "-")</f>
        <v>-</v>
      </c>
      <c r="AN142" s="53" t="str">
        <f t="shared" si="8"/>
        <v>16/04/2026</v>
      </c>
    </row>
    <row r="143" spans="1:40" ht="30" customHeight="1" x14ac:dyDescent="0.2">
      <c r="A143" s="230" t="s">
        <v>197</v>
      </c>
      <c r="B143" s="230">
        <v>2615932453</v>
      </c>
      <c r="C143" s="230" t="s">
        <v>120</v>
      </c>
      <c r="D143" s="230" t="s">
        <v>111</v>
      </c>
      <c r="E143" s="230" t="s">
        <v>198</v>
      </c>
      <c r="F143" s="230" t="s">
        <v>212</v>
      </c>
      <c r="G143" s="230">
        <v>99</v>
      </c>
      <c r="H143" s="230" t="s">
        <v>2860</v>
      </c>
      <c r="I143" s="230" t="s">
        <v>214</v>
      </c>
      <c r="J143" s="230" t="s">
        <v>2637</v>
      </c>
      <c r="K143" s="230" t="s">
        <v>2861</v>
      </c>
      <c r="L143" s="230" t="s">
        <v>1301</v>
      </c>
      <c r="M143" s="230" t="s">
        <v>1367</v>
      </c>
      <c r="N143" s="230" t="s">
        <v>2638</v>
      </c>
      <c r="O143" s="158"/>
      <c r="P143" s="92"/>
      <c r="Q143" s="146"/>
      <c r="R143" s="92"/>
      <c r="S143" s="146"/>
      <c r="T143" s="92"/>
      <c r="U143" s="146"/>
      <c r="V143" s="92"/>
      <c r="W143" s="146"/>
      <c r="X143" s="92"/>
      <c r="Y143" s="146"/>
      <c r="Z143" s="92"/>
      <c r="AA143" s="146"/>
      <c r="AB143" s="92"/>
      <c r="AC143" s="146"/>
      <c r="AD143" s="92"/>
      <c r="AE143" s="146"/>
      <c r="AF143" s="143" t="str">
        <f t="shared" si="11"/>
        <v/>
      </c>
      <c r="AG143" s="199" t="b">
        <f t="shared" si="10"/>
        <v>0</v>
      </c>
      <c r="AH143" s="146"/>
      <c r="AI143" s="154" t="s">
        <v>6</v>
      </c>
      <c r="AJ143" s="151" t="str">
        <f t="shared" si="9"/>
        <v>GUARULHOS</v>
      </c>
      <c r="AK143" s="155" t="s">
        <v>59</v>
      </c>
      <c r="AL143" s="53">
        <v>0.71615877052190335</v>
      </c>
      <c r="AM143" s="53" t="str" cm="1">
        <f t="array" ref="AM143">IF(OR(O143&lt;&gt;"", SUMPRODUCT(($AN$2:$AN$561=AN143)*($AL$2:$AL$561&lt;=AL143)) &lt;= (COUNTIF($AN$2:$AN$561,AN143)*0.5)), "SORTEADO", "-")</f>
        <v>-</v>
      </c>
      <c r="AN143" s="53" t="str">
        <f t="shared" si="8"/>
        <v>16/04/2026</v>
      </c>
    </row>
    <row r="144" spans="1:40" ht="30" hidden="1" customHeight="1" x14ac:dyDescent="0.2">
      <c r="A144" s="230" t="s">
        <v>197</v>
      </c>
      <c r="B144" s="230">
        <v>2615848245</v>
      </c>
      <c r="C144" s="230" t="s">
        <v>122</v>
      </c>
      <c r="D144" s="230" t="s">
        <v>108</v>
      </c>
      <c r="E144" s="230" t="s">
        <v>198</v>
      </c>
      <c r="F144" s="230" t="s">
        <v>2862</v>
      </c>
      <c r="G144" s="230">
        <v>71</v>
      </c>
      <c r="H144" s="230" t="s">
        <v>2863</v>
      </c>
      <c r="I144" s="230" t="s">
        <v>1003</v>
      </c>
      <c r="J144" s="230" t="s">
        <v>2633</v>
      </c>
      <c r="K144" s="230"/>
      <c r="L144" s="230" t="s">
        <v>1301</v>
      </c>
      <c r="M144" s="230" t="s">
        <v>2864</v>
      </c>
      <c r="N144" s="230" t="s">
        <v>2634</v>
      </c>
      <c r="O144" s="158"/>
      <c r="P144" s="92"/>
      <c r="Q144" s="146"/>
      <c r="R144" s="92"/>
      <c r="S144" s="146"/>
      <c r="T144" s="92"/>
      <c r="U144" s="146"/>
      <c r="V144" s="92"/>
      <c r="W144" s="146"/>
      <c r="X144" s="92"/>
      <c r="Y144" s="146"/>
      <c r="Z144" s="92"/>
      <c r="AA144" s="146"/>
      <c r="AB144" s="92"/>
      <c r="AC144" s="146"/>
      <c r="AD144" s="92"/>
      <c r="AE144" s="146"/>
      <c r="AF144" s="143" t="str">
        <f t="shared" si="11"/>
        <v/>
      </c>
      <c r="AG144" s="199" t="b">
        <f t="shared" si="10"/>
        <v>0</v>
      </c>
      <c r="AH144" s="146"/>
      <c r="AI144" s="154" t="s">
        <v>6</v>
      </c>
      <c r="AJ144" s="151" t="str">
        <f t="shared" si="9"/>
        <v>GUARULHOS</v>
      </c>
      <c r="AK144" s="155" t="s">
        <v>59</v>
      </c>
      <c r="AL144" s="53">
        <v>0.92273860862736268</v>
      </c>
      <c r="AM144" s="53" t="str" cm="1">
        <f t="array" ref="AM144">IF(OR(O144&lt;&gt;"", SUMPRODUCT(($AN$2:$AN$561=AN144)*($AL$2:$AL$561&lt;=AL144)) &lt;= (COUNTIF($AN$2:$AN$561,AN144)*0.5)), "SORTEADO", "-")</f>
        <v>-</v>
      </c>
      <c r="AN144" s="53" t="str">
        <f t="shared" si="8"/>
        <v>16/04/2026</v>
      </c>
    </row>
    <row r="145" spans="1:40" ht="30" hidden="1" customHeight="1" x14ac:dyDescent="0.2">
      <c r="A145" s="230" t="s">
        <v>197</v>
      </c>
      <c r="B145" s="230">
        <v>2615930871</v>
      </c>
      <c r="C145" s="230" t="s">
        <v>119</v>
      </c>
      <c r="D145" s="230" t="s">
        <v>109</v>
      </c>
      <c r="E145" s="230" t="s">
        <v>198</v>
      </c>
      <c r="F145" s="230" t="s">
        <v>1541</v>
      </c>
      <c r="G145" s="230">
        <v>129</v>
      </c>
      <c r="H145" s="230" t="s">
        <v>213</v>
      </c>
      <c r="I145" s="230" t="s">
        <v>200</v>
      </c>
      <c r="J145" s="230" t="s">
        <v>119</v>
      </c>
      <c r="K145" s="230" t="s">
        <v>2865</v>
      </c>
      <c r="L145" s="230" t="s">
        <v>1301</v>
      </c>
      <c r="M145" s="230" t="s">
        <v>2866</v>
      </c>
      <c r="N145" s="230" t="s">
        <v>2634</v>
      </c>
      <c r="O145" s="158"/>
      <c r="P145" s="92"/>
      <c r="Q145" s="146"/>
      <c r="R145" s="92"/>
      <c r="S145" s="146"/>
      <c r="T145" s="92"/>
      <c r="U145" s="146"/>
      <c r="V145" s="92"/>
      <c r="W145" s="146"/>
      <c r="X145" s="92"/>
      <c r="Y145" s="146"/>
      <c r="Z145" s="92"/>
      <c r="AA145" s="146"/>
      <c r="AB145" s="92"/>
      <c r="AC145" s="146"/>
      <c r="AD145" s="92"/>
      <c r="AE145" s="146"/>
      <c r="AF145" s="143" t="str">
        <f t="shared" si="11"/>
        <v/>
      </c>
      <c r="AG145" s="199" t="b">
        <f t="shared" si="10"/>
        <v>0</v>
      </c>
      <c r="AH145" s="146"/>
      <c r="AI145" s="154" t="s">
        <v>6</v>
      </c>
      <c r="AJ145" s="151" t="str">
        <f t="shared" si="9"/>
        <v>GUARULHOS</v>
      </c>
      <c r="AK145" s="155" t="s">
        <v>59</v>
      </c>
      <c r="AL145" s="53">
        <v>0.10001036175799438</v>
      </c>
      <c r="AM145" s="53" t="str" cm="1">
        <f t="array" ref="AM145">IF(OR(O145&lt;&gt;"", SUMPRODUCT(($AN$2:$AN$561=AN145)*($AL$2:$AL$561&lt;=AL145)) &lt;= (COUNTIF($AN$2:$AN$561,AN145)*0.5)), "SORTEADO", "-")</f>
        <v>-</v>
      </c>
      <c r="AN145" s="53" t="str">
        <f t="shared" si="8"/>
        <v>16/04/2026</v>
      </c>
    </row>
    <row r="146" spans="1:40" ht="30" hidden="1" customHeight="1" x14ac:dyDescent="0.2">
      <c r="A146" s="230" t="s">
        <v>197</v>
      </c>
      <c r="B146" s="230">
        <v>2615884388</v>
      </c>
      <c r="C146" s="230" t="s">
        <v>122</v>
      </c>
      <c r="D146" s="230" t="s">
        <v>108</v>
      </c>
      <c r="E146" s="230" t="s">
        <v>198</v>
      </c>
      <c r="F146" s="230" t="s">
        <v>1181</v>
      </c>
      <c r="G146" s="230">
        <v>366</v>
      </c>
      <c r="H146" s="230"/>
      <c r="I146" s="230" t="s">
        <v>509</v>
      </c>
      <c r="J146" s="230" t="s">
        <v>2633</v>
      </c>
      <c r="K146" s="230"/>
      <c r="L146" s="230" t="s">
        <v>1301</v>
      </c>
      <c r="M146" s="230" t="s">
        <v>1309</v>
      </c>
      <c r="N146" s="230" t="s">
        <v>2640</v>
      </c>
      <c r="O146" s="158"/>
      <c r="P146" s="92"/>
      <c r="Q146" s="146"/>
      <c r="R146" s="92"/>
      <c r="S146" s="146"/>
      <c r="T146" s="92"/>
      <c r="U146" s="146"/>
      <c r="V146" s="92"/>
      <c r="W146" s="146"/>
      <c r="X146" s="92"/>
      <c r="Y146" s="146"/>
      <c r="Z146" s="92"/>
      <c r="AA146" s="146"/>
      <c r="AB146" s="92"/>
      <c r="AC146" s="146"/>
      <c r="AD146" s="92"/>
      <c r="AE146" s="146"/>
      <c r="AF146" s="143" t="str">
        <f t="shared" si="11"/>
        <v/>
      </c>
      <c r="AG146" s="199" t="b">
        <f t="shared" si="10"/>
        <v>0</v>
      </c>
      <c r="AH146" s="146"/>
      <c r="AI146" s="154" t="s">
        <v>6</v>
      </c>
      <c r="AJ146" s="151" t="str">
        <f t="shared" si="9"/>
        <v>GUARULHOS</v>
      </c>
      <c r="AK146" s="155" t="s">
        <v>59</v>
      </c>
      <c r="AL146" s="53">
        <v>0.23660855435715944</v>
      </c>
      <c r="AM146" s="53" t="str" cm="1">
        <f t="array" ref="AM146">IF(OR(O146&lt;&gt;"", SUMPRODUCT(($AN$2:$AN$561=AN146)*($AL$2:$AL$561&lt;=AL146)) &lt;= (COUNTIF($AN$2:$AN$561,AN146)*0.5)), "SORTEADO", "-")</f>
        <v>-</v>
      </c>
      <c r="AN146" s="53" t="str">
        <f t="shared" si="8"/>
        <v>16/04/2026</v>
      </c>
    </row>
    <row r="147" spans="1:40" ht="30" hidden="1" customHeight="1" x14ac:dyDescent="0.2">
      <c r="A147" s="230" t="s">
        <v>197</v>
      </c>
      <c r="B147" s="230">
        <v>2615901332</v>
      </c>
      <c r="C147" s="230" t="s">
        <v>122</v>
      </c>
      <c r="D147" s="230" t="s">
        <v>108</v>
      </c>
      <c r="E147" s="230" t="s">
        <v>198</v>
      </c>
      <c r="F147" s="230" t="s">
        <v>2867</v>
      </c>
      <c r="G147" s="230">
        <v>7</v>
      </c>
      <c r="H147" s="230" t="s">
        <v>213</v>
      </c>
      <c r="I147" s="230" t="s">
        <v>335</v>
      </c>
      <c r="J147" s="230" t="s">
        <v>2633</v>
      </c>
      <c r="K147" s="230" t="s">
        <v>2868</v>
      </c>
      <c r="L147" s="230" t="s">
        <v>1301</v>
      </c>
      <c r="M147" s="230" t="s">
        <v>2869</v>
      </c>
      <c r="N147" s="230" t="s">
        <v>2646</v>
      </c>
      <c r="O147" s="158"/>
      <c r="P147" s="92"/>
      <c r="Q147" s="146"/>
      <c r="R147" s="92"/>
      <c r="S147" s="146"/>
      <c r="T147" s="92"/>
      <c r="U147" s="146"/>
      <c r="V147" s="92"/>
      <c r="W147" s="146"/>
      <c r="X147" s="92"/>
      <c r="Y147" s="146"/>
      <c r="Z147" s="92"/>
      <c r="AA147" s="146"/>
      <c r="AB147" s="92"/>
      <c r="AC147" s="146"/>
      <c r="AD147" s="92"/>
      <c r="AE147" s="146"/>
      <c r="AF147" s="143" t="str">
        <f t="shared" si="11"/>
        <v/>
      </c>
      <c r="AG147" s="199" t="b">
        <f t="shared" si="10"/>
        <v>0</v>
      </c>
      <c r="AH147" s="146"/>
      <c r="AI147" s="154" t="s">
        <v>6</v>
      </c>
      <c r="AJ147" s="151" t="str">
        <f t="shared" si="9"/>
        <v>GUARULHOS</v>
      </c>
      <c r="AK147" s="155" t="s">
        <v>59</v>
      </c>
      <c r="AL147" s="53">
        <v>0.67242548188115492</v>
      </c>
      <c r="AM147" s="53" t="str" cm="1">
        <f t="array" ref="AM147">IF(OR(O147&lt;&gt;"", SUMPRODUCT(($AN$2:$AN$561=AN147)*($AL$2:$AL$561&lt;=AL147)) &lt;= (COUNTIF($AN$2:$AN$561,AN147)*0.5)), "SORTEADO", "-")</f>
        <v>-</v>
      </c>
      <c r="AN147" s="53" t="str">
        <f t="shared" si="8"/>
        <v>16/04/2026</v>
      </c>
    </row>
    <row r="148" spans="1:40" ht="30" hidden="1" customHeight="1" x14ac:dyDescent="0.2">
      <c r="A148" s="230" t="s">
        <v>197</v>
      </c>
      <c r="B148" s="230">
        <v>2615914100</v>
      </c>
      <c r="C148" s="230" t="s">
        <v>122</v>
      </c>
      <c r="D148" s="230" t="s">
        <v>108</v>
      </c>
      <c r="E148" s="230" t="s">
        <v>198</v>
      </c>
      <c r="F148" s="230" t="s">
        <v>2870</v>
      </c>
      <c r="G148" s="230">
        <v>132</v>
      </c>
      <c r="H148" s="230" t="s">
        <v>353</v>
      </c>
      <c r="I148" s="230" t="s">
        <v>1750</v>
      </c>
      <c r="J148" s="230" t="s">
        <v>2633</v>
      </c>
      <c r="K148" s="230"/>
      <c r="L148" s="230" t="s">
        <v>1301</v>
      </c>
      <c r="M148" s="230" t="s">
        <v>2871</v>
      </c>
      <c r="N148" s="230" t="s">
        <v>2646</v>
      </c>
      <c r="O148" s="158"/>
      <c r="P148" s="92"/>
      <c r="Q148" s="146"/>
      <c r="R148" s="92"/>
      <c r="S148" s="146"/>
      <c r="T148" s="92"/>
      <c r="U148" s="146"/>
      <c r="V148" s="92"/>
      <c r="W148" s="146"/>
      <c r="X148" s="92"/>
      <c r="Y148" s="146"/>
      <c r="Z148" s="92"/>
      <c r="AA148" s="146"/>
      <c r="AB148" s="92"/>
      <c r="AC148" s="146"/>
      <c r="AD148" s="92"/>
      <c r="AE148" s="146"/>
      <c r="AF148" s="143" t="str">
        <f t="shared" si="11"/>
        <v/>
      </c>
      <c r="AG148" s="199" t="b">
        <f t="shared" si="10"/>
        <v>0</v>
      </c>
      <c r="AH148" s="146"/>
      <c r="AI148" s="154" t="s">
        <v>6</v>
      </c>
      <c r="AJ148" s="151" t="str">
        <f t="shared" si="9"/>
        <v>GUARULHOS</v>
      </c>
      <c r="AK148" s="155" t="s">
        <v>59</v>
      </c>
      <c r="AL148" s="53">
        <v>0.56438227575244526</v>
      </c>
      <c r="AM148" s="53" t="str" cm="1">
        <f t="array" ref="AM148">IF(OR(O148&lt;&gt;"", SUMPRODUCT(($AN$2:$AN$561=AN148)*($AL$2:$AL$561&lt;=AL148)) &lt;= (COUNTIF($AN$2:$AN$561,AN148)*0.5)), "SORTEADO", "-")</f>
        <v>-</v>
      </c>
      <c r="AN148" s="53" t="str">
        <f t="shared" si="8"/>
        <v>16/04/2026</v>
      </c>
    </row>
    <row r="149" spans="1:40" ht="30" hidden="1" customHeight="1" x14ac:dyDescent="0.2">
      <c r="A149" s="230" t="s">
        <v>197</v>
      </c>
      <c r="B149" s="230">
        <v>2615749964</v>
      </c>
      <c r="C149" s="230" t="s">
        <v>122</v>
      </c>
      <c r="D149" s="230" t="s">
        <v>108</v>
      </c>
      <c r="E149" s="230" t="s">
        <v>198</v>
      </c>
      <c r="F149" s="230" t="s">
        <v>2647</v>
      </c>
      <c r="G149" s="230">
        <v>256</v>
      </c>
      <c r="H149" s="230" t="s">
        <v>246</v>
      </c>
      <c r="I149" s="230" t="s">
        <v>247</v>
      </c>
      <c r="J149" s="230" t="s">
        <v>2633</v>
      </c>
      <c r="K149" s="230" t="s">
        <v>2872</v>
      </c>
      <c r="L149" s="230" t="s">
        <v>1301</v>
      </c>
      <c r="M149" s="230" t="s">
        <v>2873</v>
      </c>
      <c r="N149" s="230" t="s">
        <v>2759</v>
      </c>
      <c r="O149" s="158"/>
      <c r="P149" s="92"/>
      <c r="Q149" s="146"/>
      <c r="R149" s="92"/>
      <c r="S149" s="146"/>
      <c r="T149" s="92"/>
      <c r="U149" s="146"/>
      <c r="V149" s="92"/>
      <c r="W149" s="146"/>
      <c r="X149" s="92"/>
      <c r="Y149" s="146"/>
      <c r="Z149" s="92"/>
      <c r="AA149" s="146"/>
      <c r="AB149" s="92"/>
      <c r="AC149" s="146"/>
      <c r="AD149" s="92"/>
      <c r="AE149" s="146"/>
      <c r="AF149" s="143" t="str">
        <f t="shared" si="11"/>
        <v/>
      </c>
      <c r="AG149" s="199" t="b">
        <f t="shared" si="10"/>
        <v>0</v>
      </c>
      <c r="AH149" s="146"/>
      <c r="AI149" s="154" t="s">
        <v>6</v>
      </c>
      <c r="AJ149" s="151" t="str">
        <f t="shared" si="9"/>
        <v>GUARULHOS</v>
      </c>
      <c r="AK149" s="155" t="s">
        <v>59</v>
      </c>
      <c r="AL149" s="53">
        <v>0.83497131954348858</v>
      </c>
      <c r="AM149" s="53" t="str" cm="1">
        <f t="array" ref="AM149">IF(OR(O149&lt;&gt;"", SUMPRODUCT(($AN$2:$AN$561=AN149)*($AL$2:$AL$561&lt;=AL149)) &lt;= (COUNTIF($AN$2:$AN$561,AN149)*0.5)), "SORTEADO", "-")</f>
        <v>-</v>
      </c>
      <c r="AN149" s="53" t="str">
        <f t="shared" ref="AN149:AN212" si="12">TEXT(L149, "dd/mm/aaaa")</f>
        <v>16/04/2026</v>
      </c>
    </row>
    <row r="150" spans="1:40" ht="30" hidden="1" customHeight="1" x14ac:dyDescent="0.2">
      <c r="A150" s="230" t="s">
        <v>197</v>
      </c>
      <c r="B150" s="230">
        <v>2615879933</v>
      </c>
      <c r="C150" s="230" t="s">
        <v>2701</v>
      </c>
      <c r="D150" s="230" t="s">
        <v>110</v>
      </c>
      <c r="E150" s="230" t="s">
        <v>198</v>
      </c>
      <c r="F150" s="230" t="s">
        <v>762</v>
      </c>
      <c r="G150" s="230">
        <v>208</v>
      </c>
      <c r="H150" s="230"/>
      <c r="I150" s="230" t="s">
        <v>763</v>
      </c>
      <c r="J150" s="230" t="s">
        <v>2703</v>
      </c>
      <c r="K150" s="237" t="s">
        <v>2874</v>
      </c>
      <c r="L150" s="230" t="s">
        <v>1301</v>
      </c>
      <c r="M150" s="230" t="s">
        <v>2875</v>
      </c>
      <c r="N150" s="230" t="s">
        <v>2757</v>
      </c>
      <c r="O150" s="158" t="s">
        <v>61</v>
      </c>
      <c r="P150" s="92"/>
      <c r="Q150" s="146" t="s">
        <v>61</v>
      </c>
      <c r="R150" s="92"/>
      <c r="S150" s="146" t="s">
        <v>61</v>
      </c>
      <c r="T150" s="92"/>
      <c r="U150" s="146" t="s">
        <v>61</v>
      </c>
      <c r="V150" s="92"/>
      <c r="W150" s="146" t="s">
        <v>61</v>
      </c>
      <c r="X150" s="92"/>
      <c r="Y150" s="146" t="s">
        <v>61</v>
      </c>
      <c r="Z150" s="92"/>
      <c r="AA150" s="146" t="s">
        <v>61</v>
      </c>
      <c r="AB150" s="92"/>
      <c r="AC150" s="146" t="s">
        <v>61</v>
      </c>
      <c r="AD150" s="92"/>
      <c r="AE150" s="146" t="s">
        <v>61</v>
      </c>
      <c r="AF150" s="143" t="str">
        <f t="shared" si="11"/>
        <v>NA</v>
      </c>
      <c r="AG150" s="199" t="str">
        <f t="shared" si="10"/>
        <v>NÃO AVALIADO POR FALHA DE SINCRONISMO</v>
      </c>
      <c r="AH150" s="146" t="s">
        <v>204</v>
      </c>
      <c r="AI150" s="154" t="s">
        <v>6</v>
      </c>
      <c r="AJ150" s="151" t="str">
        <f t="shared" si="9"/>
        <v>GUARULHOS</v>
      </c>
      <c r="AK150" s="155" t="s">
        <v>59</v>
      </c>
      <c r="AL150" s="53">
        <v>-2.98E-2</v>
      </c>
      <c r="AM150" s="53" t="str" cm="1">
        <f t="array" ref="AM150">IF(OR(O150&lt;&gt;"", SUMPRODUCT(($AN$2:$AN$561=AN150)*($AL$2:$AL$561&lt;=AL150)) &lt;= (COUNTIF($AN$2:$AN$561,AN150)*0.5)), "SORTEADO", "-")</f>
        <v>SORTEADO</v>
      </c>
      <c r="AN150" s="53" t="str">
        <f t="shared" si="12"/>
        <v>16/04/2026</v>
      </c>
    </row>
    <row r="151" spans="1:40" ht="30" hidden="1" customHeight="1" x14ac:dyDescent="0.2">
      <c r="A151" s="230" t="s">
        <v>197</v>
      </c>
      <c r="B151" s="230">
        <v>2615880174</v>
      </c>
      <c r="C151" s="230" t="s">
        <v>2701</v>
      </c>
      <c r="D151" s="230" t="s">
        <v>110</v>
      </c>
      <c r="E151" s="230" t="s">
        <v>198</v>
      </c>
      <c r="F151" s="230" t="s">
        <v>762</v>
      </c>
      <c r="G151" s="230">
        <v>204</v>
      </c>
      <c r="H151" s="230" t="s">
        <v>2876</v>
      </c>
      <c r="I151" s="230" t="s">
        <v>763</v>
      </c>
      <c r="J151" s="230" t="s">
        <v>2703</v>
      </c>
      <c r="K151" s="237" t="s">
        <v>2877</v>
      </c>
      <c r="L151" s="230" t="s">
        <v>1301</v>
      </c>
      <c r="M151" s="230" t="s">
        <v>2875</v>
      </c>
      <c r="N151" s="230" t="s">
        <v>2757</v>
      </c>
      <c r="O151" s="158" t="s">
        <v>61</v>
      </c>
      <c r="P151" s="92"/>
      <c r="Q151" s="146" t="s">
        <v>61</v>
      </c>
      <c r="R151" s="92"/>
      <c r="S151" s="146" t="s">
        <v>61</v>
      </c>
      <c r="T151" s="92"/>
      <c r="U151" s="146" t="s">
        <v>61</v>
      </c>
      <c r="V151" s="92"/>
      <c r="W151" s="146" t="s">
        <v>61</v>
      </c>
      <c r="X151" s="92"/>
      <c r="Y151" s="146" t="s">
        <v>61</v>
      </c>
      <c r="Z151" s="92"/>
      <c r="AA151" s="146" t="s">
        <v>61</v>
      </c>
      <c r="AB151" s="92"/>
      <c r="AC151" s="146" t="s">
        <v>61</v>
      </c>
      <c r="AD151" s="92"/>
      <c r="AE151" s="146" t="s">
        <v>61</v>
      </c>
      <c r="AF151" s="143" t="str">
        <f t="shared" si="11"/>
        <v>NA</v>
      </c>
      <c r="AG151" s="199" t="str">
        <f t="shared" si="10"/>
        <v>NÃO AVALIADO POR FALHA DE SINCRONISMO</v>
      </c>
      <c r="AH151" s="146" t="s">
        <v>204</v>
      </c>
      <c r="AI151" s="154" t="s">
        <v>6</v>
      </c>
      <c r="AJ151" s="151" t="str">
        <f t="shared" si="9"/>
        <v>GUARULHOS</v>
      </c>
      <c r="AK151" s="155" t="s">
        <v>59</v>
      </c>
      <c r="AL151" s="53">
        <v>-0.03</v>
      </c>
      <c r="AM151" s="53" t="str" cm="1">
        <f t="array" ref="AM151">IF(OR(O151&lt;&gt;"", SUMPRODUCT(($AN$2:$AN$561=AN151)*($AL$2:$AL$561&lt;=AL151)) &lt;= (COUNTIF($AN$2:$AN$561,AN151)*0.5)), "SORTEADO", "-")</f>
        <v>SORTEADO</v>
      </c>
      <c r="AN151" s="53" t="str">
        <f t="shared" si="12"/>
        <v>16/04/2026</v>
      </c>
    </row>
    <row r="152" spans="1:40" ht="30" hidden="1" customHeight="1" x14ac:dyDescent="0.2">
      <c r="A152" s="230" t="s">
        <v>197</v>
      </c>
      <c r="B152" s="230">
        <v>2615866738</v>
      </c>
      <c r="C152" s="230" t="s">
        <v>2701</v>
      </c>
      <c r="D152" s="230" t="s">
        <v>110</v>
      </c>
      <c r="E152" s="230" t="s">
        <v>198</v>
      </c>
      <c r="F152" s="230" t="s">
        <v>762</v>
      </c>
      <c r="G152" s="230">
        <v>196</v>
      </c>
      <c r="H152" s="230"/>
      <c r="I152" s="230" t="s">
        <v>763</v>
      </c>
      <c r="J152" s="230" t="s">
        <v>2703</v>
      </c>
      <c r="K152" s="237" t="s">
        <v>2874</v>
      </c>
      <c r="L152" s="230" t="s">
        <v>1301</v>
      </c>
      <c r="M152" s="230" t="s">
        <v>2875</v>
      </c>
      <c r="N152" s="230" t="s">
        <v>2132</v>
      </c>
      <c r="O152" s="158" t="s">
        <v>61</v>
      </c>
      <c r="P152" s="92"/>
      <c r="Q152" s="146" t="s">
        <v>61</v>
      </c>
      <c r="R152" s="92"/>
      <c r="S152" s="146" t="s">
        <v>61</v>
      </c>
      <c r="T152" s="92"/>
      <c r="U152" s="146" t="s">
        <v>61</v>
      </c>
      <c r="V152" s="92"/>
      <c r="W152" s="146" t="s">
        <v>61</v>
      </c>
      <c r="X152" s="92"/>
      <c r="Y152" s="146" t="s">
        <v>61</v>
      </c>
      <c r="Z152" s="92"/>
      <c r="AA152" s="146" t="s">
        <v>61</v>
      </c>
      <c r="AB152" s="92"/>
      <c r="AC152" s="146" t="s">
        <v>61</v>
      </c>
      <c r="AD152" s="92"/>
      <c r="AE152" s="146" t="s">
        <v>61</v>
      </c>
      <c r="AF152" s="143" t="str">
        <f t="shared" si="11"/>
        <v>NA</v>
      </c>
      <c r="AG152" s="199" t="str">
        <f t="shared" si="10"/>
        <v>NÃO AVALIADO POR FALHA DE SINCRONISMO</v>
      </c>
      <c r="AH152" s="146" t="s">
        <v>204</v>
      </c>
      <c r="AI152" s="154" t="s">
        <v>6</v>
      </c>
      <c r="AJ152" s="151" t="str">
        <f t="shared" si="9"/>
        <v>GUARULHOS</v>
      </c>
      <c r="AK152" s="155" t="s">
        <v>59</v>
      </c>
      <c r="AL152" s="53">
        <v>-3.0200000000000001E-2</v>
      </c>
      <c r="AM152" s="53" t="str" cm="1">
        <f t="array" ref="AM152">IF(OR(O152&lt;&gt;"", SUMPRODUCT(($AN$2:$AN$561=AN152)*($AL$2:$AL$561&lt;=AL152)) &lt;= (COUNTIF($AN$2:$AN$561,AN152)*0.5)), "SORTEADO", "-")</f>
        <v>SORTEADO</v>
      </c>
      <c r="AN152" s="53" t="str">
        <f t="shared" si="12"/>
        <v>16/04/2026</v>
      </c>
    </row>
    <row r="153" spans="1:40" ht="30" hidden="1" customHeight="1" x14ac:dyDescent="0.2">
      <c r="A153" s="230" t="s">
        <v>197</v>
      </c>
      <c r="B153" s="230">
        <v>2615867039</v>
      </c>
      <c r="C153" s="230" t="s">
        <v>2701</v>
      </c>
      <c r="D153" s="230" t="s">
        <v>110</v>
      </c>
      <c r="E153" s="230" t="s">
        <v>198</v>
      </c>
      <c r="F153" s="230" t="s">
        <v>762</v>
      </c>
      <c r="G153" s="230">
        <v>188</v>
      </c>
      <c r="H153" s="230" t="s">
        <v>508</v>
      </c>
      <c r="I153" s="230" t="s">
        <v>763</v>
      </c>
      <c r="J153" s="230" t="s">
        <v>2703</v>
      </c>
      <c r="K153" s="237" t="s">
        <v>2874</v>
      </c>
      <c r="L153" s="230" t="s">
        <v>1301</v>
      </c>
      <c r="M153" s="230" t="s">
        <v>2875</v>
      </c>
      <c r="N153" s="230" t="s">
        <v>2132</v>
      </c>
      <c r="O153" s="158" t="s">
        <v>61</v>
      </c>
      <c r="P153" s="92"/>
      <c r="Q153" s="146" t="s">
        <v>61</v>
      </c>
      <c r="R153" s="92"/>
      <c r="S153" s="146" t="s">
        <v>61</v>
      </c>
      <c r="T153" s="92"/>
      <c r="U153" s="146" t="s">
        <v>61</v>
      </c>
      <c r="V153" s="92"/>
      <c r="W153" s="146" t="s">
        <v>61</v>
      </c>
      <c r="X153" s="92"/>
      <c r="Y153" s="146" t="s">
        <v>61</v>
      </c>
      <c r="Z153" s="92"/>
      <c r="AA153" s="146" t="s">
        <v>61</v>
      </c>
      <c r="AB153" s="92"/>
      <c r="AC153" s="146" t="s">
        <v>61</v>
      </c>
      <c r="AD153" s="92"/>
      <c r="AE153" s="146" t="s">
        <v>61</v>
      </c>
      <c r="AF153" s="143" t="str">
        <f t="shared" si="11"/>
        <v>NA</v>
      </c>
      <c r="AG153" s="199" t="str">
        <f t="shared" si="10"/>
        <v>NÃO AVALIADO POR FALHA DE SINCRONISMO</v>
      </c>
      <c r="AH153" s="146" t="s">
        <v>204</v>
      </c>
      <c r="AI153" s="154" t="s">
        <v>6</v>
      </c>
      <c r="AJ153" s="151" t="str">
        <f t="shared" si="9"/>
        <v>GUARULHOS</v>
      </c>
      <c r="AK153" s="155" t="s">
        <v>59</v>
      </c>
      <c r="AL153" s="53">
        <v>-3.04E-2</v>
      </c>
      <c r="AM153" s="53" t="str" cm="1">
        <f t="array" ref="AM153">IF(OR(O153&lt;&gt;"", SUMPRODUCT(($AN$2:$AN$561=AN153)*($AL$2:$AL$561&lt;=AL153)) &lt;= (COUNTIF($AN$2:$AN$561,AN153)*0.5)), "SORTEADO", "-")</f>
        <v>SORTEADO</v>
      </c>
      <c r="AN153" s="53" t="str">
        <f t="shared" si="12"/>
        <v>16/04/2026</v>
      </c>
    </row>
    <row r="154" spans="1:40" ht="30" hidden="1" customHeight="1" x14ac:dyDescent="0.2">
      <c r="A154" s="230" t="s">
        <v>197</v>
      </c>
      <c r="B154" s="230">
        <v>2615867140</v>
      </c>
      <c r="C154" s="230" t="s">
        <v>2701</v>
      </c>
      <c r="D154" s="230" t="s">
        <v>110</v>
      </c>
      <c r="E154" s="230" t="s">
        <v>198</v>
      </c>
      <c r="F154" s="230" t="s">
        <v>762</v>
      </c>
      <c r="G154" s="230">
        <v>184</v>
      </c>
      <c r="H154" s="230" t="s">
        <v>276</v>
      </c>
      <c r="I154" s="230" t="s">
        <v>763</v>
      </c>
      <c r="J154" s="230" t="s">
        <v>2703</v>
      </c>
      <c r="K154" s="237" t="s">
        <v>2874</v>
      </c>
      <c r="L154" s="230" t="s">
        <v>1301</v>
      </c>
      <c r="M154" s="230" t="s">
        <v>2875</v>
      </c>
      <c r="N154" s="230" t="s">
        <v>2132</v>
      </c>
      <c r="O154" s="158" t="s">
        <v>61</v>
      </c>
      <c r="P154" s="92"/>
      <c r="Q154" s="146" t="s">
        <v>61</v>
      </c>
      <c r="R154" s="92"/>
      <c r="S154" s="146" t="s">
        <v>61</v>
      </c>
      <c r="T154" s="92"/>
      <c r="U154" s="146" t="s">
        <v>61</v>
      </c>
      <c r="V154" s="92"/>
      <c r="W154" s="146" t="s">
        <v>61</v>
      </c>
      <c r="X154" s="92"/>
      <c r="Y154" s="146" t="s">
        <v>61</v>
      </c>
      <c r="Z154" s="92"/>
      <c r="AA154" s="146" t="s">
        <v>61</v>
      </c>
      <c r="AB154" s="92"/>
      <c r="AC154" s="146" t="s">
        <v>61</v>
      </c>
      <c r="AD154" s="92"/>
      <c r="AE154" s="146" t="s">
        <v>61</v>
      </c>
      <c r="AF154" s="143" t="str">
        <f t="shared" si="11"/>
        <v>NA</v>
      </c>
      <c r="AG154" s="199" t="str">
        <f t="shared" si="10"/>
        <v>NÃO AVALIADO POR FALHA DE SINCRONISMO</v>
      </c>
      <c r="AH154" s="146" t="s">
        <v>204</v>
      </c>
      <c r="AI154" s="154" t="s">
        <v>6</v>
      </c>
      <c r="AJ154" s="151" t="str">
        <f t="shared" si="9"/>
        <v>GUARULHOS</v>
      </c>
      <c r="AK154" s="155" t="s">
        <v>59</v>
      </c>
      <c r="AL154" s="53">
        <v>-3.0599999999999999E-2</v>
      </c>
      <c r="AM154" s="53" t="str" cm="1">
        <f t="array" ref="AM154">IF(OR(O154&lt;&gt;"", SUMPRODUCT(($AN$2:$AN$561=AN154)*($AL$2:$AL$561&lt;=AL154)) &lt;= (COUNTIF($AN$2:$AN$561,AN154)*0.5)), "SORTEADO", "-")</f>
        <v>SORTEADO</v>
      </c>
      <c r="AN154" s="53" t="str">
        <f t="shared" si="12"/>
        <v>16/04/2026</v>
      </c>
    </row>
    <row r="155" spans="1:40" ht="30" hidden="1" customHeight="1" x14ac:dyDescent="0.2">
      <c r="A155" s="230" t="s">
        <v>197</v>
      </c>
      <c r="B155" s="230">
        <v>2615867593</v>
      </c>
      <c r="C155" s="230" t="s">
        <v>2701</v>
      </c>
      <c r="D155" s="230" t="s">
        <v>110</v>
      </c>
      <c r="E155" s="230" t="s">
        <v>198</v>
      </c>
      <c r="F155" s="230" t="s">
        <v>762</v>
      </c>
      <c r="G155" s="230">
        <v>178</v>
      </c>
      <c r="H155" s="230" t="s">
        <v>2878</v>
      </c>
      <c r="I155" s="230" t="s">
        <v>763</v>
      </c>
      <c r="J155" s="230" t="s">
        <v>2703</v>
      </c>
      <c r="K155" s="237" t="s">
        <v>2874</v>
      </c>
      <c r="L155" s="230" t="s">
        <v>1301</v>
      </c>
      <c r="M155" s="230" t="s">
        <v>2875</v>
      </c>
      <c r="N155" s="230" t="s">
        <v>2132</v>
      </c>
      <c r="O155" s="158" t="s">
        <v>61</v>
      </c>
      <c r="P155" s="92"/>
      <c r="Q155" s="146" t="s">
        <v>61</v>
      </c>
      <c r="R155" s="92"/>
      <c r="S155" s="146" t="s">
        <v>61</v>
      </c>
      <c r="T155" s="92"/>
      <c r="U155" s="146" t="s">
        <v>61</v>
      </c>
      <c r="V155" s="92"/>
      <c r="W155" s="146" t="s">
        <v>61</v>
      </c>
      <c r="X155" s="92"/>
      <c r="Y155" s="146" t="s">
        <v>61</v>
      </c>
      <c r="Z155" s="92"/>
      <c r="AA155" s="146" t="s">
        <v>61</v>
      </c>
      <c r="AB155" s="92"/>
      <c r="AC155" s="146" t="s">
        <v>61</v>
      </c>
      <c r="AD155" s="92"/>
      <c r="AE155" s="146" t="s">
        <v>61</v>
      </c>
      <c r="AF155" s="143" t="str">
        <f t="shared" si="11"/>
        <v>NA</v>
      </c>
      <c r="AG155" s="199" t="str">
        <f t="shared" si="10"/>
        <v>NÃO AVALIADO POR FALHA DE SINCRONISMO</v>
      </c>
      <c r="AH155" s="146" t="s">
        <v>204</v>
      </c>
      <c r="AI155" s="154" t="s">
        <v>6</v>
      </c>
      <c r="AJ155" s="151" t="str">
        <f t="shared" si="9"/>
        <v>GUARULHOS</v>
      </c>
      <c r="AK155" s="155" t="s">
        <v>59</v>
      </c>
      <c r="AL155" s="53">
        <v>-3.0800000000000001E-2</v>
      </c>
      <c r="AM155" s="53" t="str" cm="1">
        <f t="array" ref="AM155">IF(OR(O155&lt;&gt;"", SUMPRODUCT(($AN$2:$AN$561=AN155)*($AL$2:$AL$561&lt;=AL155)) &lt;= (COUNTIF($AN$2:$AN$561,AN155)*0.5)), "SORTEADO", "-")</f>
        <v>SORTEADO</v>
      </c>
      <c r="AN155" s="53" t="str">
        <f t="shared" si="12"/>
        <v>16/04/2026</v>
      </c>
    </row>
    <row r="156" spans="1:40" ht="30" hidden="1" customHeight="1" x14ac:dyDescent="0.2">
      <c r="A156" s="230" t="s">
        <v>197</v>
      </c>
      <c r="B156" s="230">
        <v>2615868095</v>
      </c>
      <c r="C156" s="230" t="s">
        <v>2701</v>
      </c>
      <c r="D156" s="230" t="s">
        <v>110</v>
      </c>
      <c r="E156" s="230" t="s">
        <v>198</v>
      </c>
      <c r="F156" s="230" t="s">
        <v>762</v>
      </c>
      <c r="G156" s="230">
        <v>174</v>
      </c>
      <c r="H156" s="230" t="s">
        <v>2879</v>
      </c>
      <c r="I156" s="230" t="s">
        <v>763</v>
      </c>
      <c r="J156" s="230" t="s">
        <v>2703</v>
      </c>
      <c r="K156" s="237" t="s">
        <v>2874</v>
      </c>
      <c r="L156" s="230" t="s">
        <v>1301</v>
      </c>
      <c r="M156" s="230" t="s">
        <v>2875</v>
      </c>
      <c r="N156" s="230" t="s">
        <v>2132</v>
      </c>
      <c r="O156" s="158" t="s">
        <v>61</v>
      </c>
      <c r="P156" s="92"/>
      <c r="Q156" s="146" t="s">
        <v>61</v>
      </c>
      <c r="R156" s="92"/>
      <c r="S156" s="146" t="s">
        <v>61</v>
      </c>
      <c r="T156" s="92"/>
      <c r="U156" s="146" t="s">
        <v>61</v>
      </c>
      <c r="V156" s="92"/>
      <c r="W156" s="146" t="s">
        <v>61</v>
      </c>
      <c r="X156" s="92"/>
      <c r="Y156" s="146" t="s">
        <v>61</v>
      </c>
      <c r="Z156" s="92"/>
      <c r="AA156" s="146" t="s">
        <v>61</v>
      </c>
      <c r="AB156" s="92"/>
      <c r="AC156" s="146" t="s">
        <v>61</v>
      </c>
      <c r="AD156" s="92"/>
      <c r="AE156" s="146" t="s">
        <v>61</v>
      </c>
      <c r="AF156" s="143" t="str">
        <f t="shared" si="11"/>
        <v>NA</v>
      </c>
      <c r="AG156" s="199" t="str">
        <f t="shared" si="10"/>
        <v>NÃO AVALIADO POR FALHA DE SINCRONISMO</v>
      </c>
      <c r="AH156" s="146" t="s">
        <v>204</v>
      </c>
      <c r="AI156" s="154" t="s">
        <v>6</v>
      </c>
      <c r="AJ156" s="151" t="str">
        <f t="shared" si="9"/>
        <v>GUARULHOS</v>
      </c>
      <c r="AK156" s="155" t="s">
        <v>59</v>
      </c>
      <c r="AL156" s="53">
        <v>-3.1E-2</v>
      </c>
      <c r="AM156" s="53" t="str" cm="1">
        <f t="array" ref="AM156">IF(OR(O156&lt;&gt;"", SUMPRODUCT(($AN$2:$AN$561=AN156)*($AL$2:$AL$561&lt;=AL156)) &lt;= (COUNTIF($AN$2:$AN$561,AN156)*0.5)), "SORTEADO", "-")</f>
        <v>SORTEADO</v>
      </c>
      <c r="AN156" s="53" t="str">
        <f t="shared" si="12"/>
        <v>16/04/2026</v>
      </c>
    </row>
    <row r="157" spans="1:40" ht="30" hidden="1" customHeight="1" x14ac:dyDescent="0.2">
      <c r="A157" s="230" t="s">
        <v>197</v>
      </c>
      <c r="B157" s="230">
        <v>2615868298</v>
      </c>
      <c r="C157" s="230" t="s">
        <v>2701</v>
      </c>
      <c r="D157" s="230" t="s">
        <v>110</v>
      </c>
      <c r="E157" s="230" t="s">
        <v>198</v>
      </c>
      <c r="F157" s="230" t="s">
        <v>762</v>
      </c>
      <c r="G157" s="230">
        <v>168</v>
      </c>
      <c r="H157" s="230" t="s">
        <v>213</v>
      </c>
      <c r="I157" s="230" t="s">
        <v>763</v>
      </c>
      <c r="J157" s="230" t="s">
        <v>2703</v>
      </c>
      <c r="K157" s="237" t="s">
        <v>2874</v>
      </c>
      <c r="L157" s="230" t="s">
        <v>1301</v>
      </c>
      <c r="M157" s="230" t="s">
        <v>2875</v>
      </c>
      <c r="N157" s="230" t="s">
        <v>2132</v>
      </c>
      <c r="O157" s="158" t="s">
        <v>61</v>
      </c>
      <c r="P157" s="92"/>
      <c r="Q157" s="146" t="s">
        <v>61</v>
      </c>
      <c r="R157" s="92"/>
      <c r="S157" s="146" t="s">
        <v>61</v>
      </c>
      <c r="T157" s="92"/>
      <c r="U157" s="146" t="s">
        <v>61</v>
      </c>
      <c r="V157" s="92"/>
      <c r="W157" s="146" t="s">
        <v>61</v>
      </c>
      <c r="X157" s="92"/>
      <c r="Y157" s="146" t="s">
        <v>61</v>
      </c>
      <c r="Z157" s="92"/>
      <c r="AA157" s="146" t="s">
        <v>61</v>
      </c>
      <c r="AB157" s="92"/>
      <c r="AC157" s="146" t="s">
        <v>61</v>
      </c>
      <c r="AD157" s="92"/>
      <c r="AE157" s="146" t="s">
        <v>61</v>
      </c>
      <c r="AF157" s="143" t="str">
        <f t="shared" si="11"/>
        <v>NA</v>
      </c>
      <c r="AG157" s="199" t="str">
        <f t="shared" si="10"/>
        <v>NÃO AVALIADO POR FALHA DE SINCRONISMO</v>
      </c>
      <c r="AH157" s="146" t="s">
        <v>204</v>
      </c>
      <c r="AI157" s="154" t="s">
        <v>6</v>
      </c>
      <c r="AJ157" s="151" t="str">
        <f t="shared" si="9"/>
        <v>GUARULHOS</v>
      </c>
      <c r="AK157" s="155" t="s">
        <v>59</v>
      </c>
      <c r="AL157" s="53">
        <v>-3.1199999999999999E-2</v>
      </c>
      <c r="AM157" s="53" t="str" cm="1">
        <f t="array" ref="AM157">IF(OR(O157&lt;&gt;"", SUMPRODUCT(($AN$2:$AN$561=AN157)*($AL$2:$AL$561&lt;=AL157)) &lt;= (COUNTIF($AN$2:$AN$561,AN157)*0.5)), "SORTEADO", "-")</f>
        <v>SORTEADO</v>
      </c>
      <c r="AN157" s="53" t="str">
        <f t="shared" si="12"/>
        <v>16/04/2026</v>
      </c>
    </row>
    <row r="158" spans="1:40" ht="30" hidden="1" customHeight="1" x14ac:dyDescent="0.2">
      <c r="A158" s="230" t="s">
        <v>197</v>
      </c>
      <c r="B158" s="230">
        <v>2615868816</v>
      </c>
      <c r="C158" s="230" t="s">
        <v>2701</v>
      </c>
      <c r="D158" s="230" t="s">
        <v>110</v>
      </c>
      <c r="E158" s="230" t="s">
        <v>198</v>
      </c>
      <c r="F158" s="230" t="s">
        <v>762</v>
      </c>
      <c r="G158" s="230">
        <v>162</v>
      </c>
      <c r="H158" s="230"/>
      <c r="I158" s="230" t="s">
        <v>763</v>
      </c>
      <c r="J158" s="230" t="s">
        <v>2703</v>
      </c>
      <c r="K158" s="237" t="s">
        <v>2874</v>
      </c>
      <c r="L158" s="230" t="s">
        <v>1301</v>
      </c>
      <c r="M158" s="230" t="s">
        <v>2875</v>
      </c>
      <c r="N158" s="230" t="s">
        <v>2132</v>
      </c>
      <c r="O158" s="158" t="s">
        <v>61</v>
      </c>
      <c r="P158" s="92"/>
      <c r="Q158" s="146" t="s">
        <v>61</v>
      </c>
      <c r="R158" s="92"/>
      <c r="S158" s="146" t="s">
        <v>61</v>
      </c>
      <c r="T158" s="92"/>
      <c r="U158" s="146" t="s">
        <v>61</v>
      </c>
      <c r="V158" s="92"/>
      <c r="W158" s="146" t="s">
        <v>61</v>
      </c>
      <c r="X158" s="92"/>
      <c r="Y158" s="146" t="s">
        <v>61</v>
      </c>
      <c r="Z158" s="92"/>
      <c r="AA158" s="146" t="s">
        <v>61</v>
      </c>
      <c r="AB158" s="92"/>
      <c r="AC158" s="146" t="s">
        <v>61</v>
      </c>
      <c r="AD158" s="92"/>
      <c r="AE158" s="146" t="s">
        <v>61</v>
      </c>
      <c r="AF158" s="143" t="str">
        <f t="shared" si="11"/>
        <v>NA</v>
      </c>
      <c r="AG158" s="199" t="str">
        <f t="shared" si="10"/>
        <v>NÃO AVALIADO POR FALHA DE SINCRONISMO</v>
      </c>
      <c r="AH158" s="146" t="s">
        <v>204</v>
      </c>
      <c r="AI158" s="154" t="s">
        <v>6</v>
      </c>
      <c r="AJ158" s="151" t="str">
        <f t="shared" ref="AJ158:AJ221" si="13">E158</f>
        <v>GUARULHOS</v>
      </c>
      <c r="AK158" s="155" t="s">
        <v>59</v>
      </c>
      <c r="AL158" s="53">
        <v>-3.1399999999999997E-2</v>
      </c>
      <c r="AM158" s="53" t="str" cm="1">
        <f t="array" ref="AM158">IF(OR(O158&lt;&gt;"", SUMPRODUCT(($AN$2:$AN$561=AN158)*($AL$2:$AL$561&lt;=AL158)) &lt;= (COUNTIF($AN$2:$AN$561,AN158)*0.5)), "SORTEADO", "-")</f>
        <v>SORTEADO</v>
      </c>
      <c r="AN158" s="53" t="str">
        <f t="shared" si="12"/>
        <v>16/04/2026</v>
      </c>
    </row>
    <row r="159" spans="1:40" ht="30" hidden="1" customHeight="1" x14ac:dyDescent="0.2">
      <c r="A159" s="230" t="s">
        <v>197</v>
      </c>
      <c r="B159" s="230">
        <v>2615869092</v>
      </c>
      <c r="C159" s="230" t="s">
        <v>2701</v>
      </c>
      <c r="D159" s="230" t="s">
        <v>110</v>
      </c>
      <c r="E159" s="230" t="s">
        <v>198</v>
      </c>
      <c r="F159" s="230" t="s">
        <v>762</v>
      </c>
      <c r="G159" s="230">
        <v>158</v>
      </c>
      <c r="H159" s="230" t="s">
        <v>2880</v>
      </c>
      <c r="I159" s="230" t="s">
        <v>763</v>
      </c>
      <c r="J159" s="230" t="s">
        <v>2703</v>
      </c>
      <c r="K159" s="237" t="s">
        <v>2874</v>
      </c>
      <c r="L159" s="230" t="s">
        <v>1301</v>
      </c>
      <c r="M159" s="230" t="s">
        <v>2875</v>
      </c>
      <c r="N159" s="230" t="s">
        <v>2132</v>
      </c>
      <c r="O159" s="158" t="s">
        <v>61</v>
      </c>
      <c r="P159" s="92"/>
      <c r="Q159" s="146" t="s">
        <v>61</v>
      </c>
      <c r="R159" s="92"/>
      <c r="S159" s="146" t="s">
        <v>61</v>
      </c>
      <c r="T159" s="92"/>
      <c r="U159" s="146" t="s">
        <v>61</v>
      </c>
      <c r="V159" s="92"/>
      <c r="W159" s="146" t="s">
        <v>61</v>
      </c>
      <c r="X159" s="92"/>
      <c r="Y159" s="146" t="s">
        <v>61</v>
      </c>
      <c r="Z159" s="92"/>
      <c r="AA159" s="146" t="s">
        <v>61</v>
      </c>
      <c r="AB159" s="92"/>
      <c r="AC159" s="146" t="s">
        <v>61</v>
      </c>
      <c r="AD159" s="92"/>
      <c r="AE159" s="146" t="s">
        <v>61</v>
      </c>
      <c r="AF159" s="143" t="str">
        <f t="shared" si="11"/>
        <v>NA</v>
      </c>
      <c r="AG159" s="199" t="str">
        <f t="shared" si="10"/>
        <v>NÃO AVALIADO POR FALHA DE SINCRONISMO</v>
      </c>
      <c r="AH159" s="146" t="s">
        <v>204</v>
      </c>
      <c r="AI159" s="154" t="s">
        <v>6</v>
      </c>
      <c r="AJ159" s="151" t="str">
        <f t="shared" si="13"/>
        <v>GUARULHOS</v>
      </c>
      <c r="AK159" s="155" t="s">
        <v>59</v>
      </c>
      <c r="AL159" s="53">
        <v>-3.1600000000000003E-2</v>
      </c>
      <c r="AM159" s="53" t="str" cm="1">
        <f t="array" ref="AM159">IF(OR(O159&lt;&gt;"", SUMPRODUCT(($AN$2:$AN$561=AN159)*($AL$2:$AL$561&lt;=AL159)) &lt;= (COUNTIF($AN$2:$AN$561,AN159)*0.5)), "SORTEADO", "-")</f>
        <v>SORTEADO</v>
      </c>
      <c r="AN159" s="53" t="str">
        <f t="shared" si="12"/>
        <v>16/04/2026</v>
      </c>
    </row>
    <row r="160" spans="1:40" ht="30" hidden="1" customHeight="1" x14ac:dyDescent="0.2">
      <c r="A160" s="230" t="s">
        <v>197</v>
      </c>
      <c r="B160" s="230">
        <v>2615869362</v>
      </c>
      <c r="C160" s="230" t="s">
        <v>2701</v>
      </c>
      <c r="D160" s="230" t="s">
        <v>110</v>
      </c>
      <c r="E160" s="230" t="s">
        <v>198</v>
      </c>
      <c r="F160" s="230" t="s">
        <v>762</v>
      </c>
      <c r="G160" s="230">
        <v>152</v>
      </c>
      <c r="H160" s="230" t="s">
        <v>2881</v>
      </c>
      <c r="I160" s="230" t="s">
        <v>763</v>
      </c>
      <c r="J160" s="230" t="s">
        <v>2703</v>
      </c>
      <c r="K160" s="237" t="s">
        <v>2874</v>
      </c>
      <c r="L160" s="230" t="s">
        <v>1301</v>
      </c>
      <c r="M160" s="230" t="s">
        <v>2875</v>
      </c>
      <c r="N160" s="230" t="s">
        <v>2132</v>
      </c>
      <c r="O160" s="158" t="s">
        <v>61</v>
      </c>
      <c r="P160" s="92"/>
      <c r="Q160" s="146" t="s">
        <v>61</v>
      </c>
      <c r="R160" s="92"/>
      <c r="S160" s="146" t="s">
        <v>61</v>
      </c>
      <c r="T160" s="92"/>
      <c r="U160" s="146" t="s">
        <v>61</v>
      </c>
      <c r="V160" s="92"/>
      <c r="W160" s="146" t="s">
        <v>61</v>
      </c>
      <c r="X160" s="92"/>
      <c r="Y160" s="146" t="s">
        <v>61</v>
      </c>
      <c r="Z160" s="92"/>
      <c r="AA160" s="146" t="s">
        <v>61</v>
      </c>
      <c r="AB160" s="92"/>
      <c r="AC160" s="146" t="s">
        <v>61</v>
      </c>
      <c r="AD160" s="92"/>
      <c r="AE160" s="146" t="s">
        <v>61</v>
      </c>
      <c r="AF160" s="143" t="str">
        <f t="shared" si="11"/>
        <v>NA</v>
      </c>
      <c r="AG160" s="199" t="str">
        <f t="shared" si="10"/>
        <v>NÃO AVALIADO POR FALHA DE SINCRONISMO</v>
      </c>
      <c r="AH160" s="146" t="s">
        <v>204</v>
      </c>
      <c r="AI160" s="154" t="s">
        <v>6</v>
      </c>
      <c r="AJ160" s="151" t="str">
        <f t="shared" si="13"/>
        <v>GUARULHOS</v>
      </c>
      <c r="AK160" s="155" t="s">
        <v>59</v>
      </c>
      <c r="AL160" s="53">
        <v>-3.1800000000000002E-2</v>
      </c>
      <c r="AM160" s="53" t="str" cm="1">
        <f t="array" ref="AM160">IF(OR(O160&lt;&gt;"", SUMPRODUCT(($AN$2:$AN$561=AN160)*($AL$2:$AL$561&lt;=AL160)) &lt;= (COUNTIF($AN$2:$AN$561,AN160)*0.5)), "SORTEADO", "-")</f>
        <v>SORTEADO</v>
      </c>
      <c r="AN160" s="53" t="str">
        <f t="shared" si="12"/>
        <v>16/04/2026</v>
      </c>
    </row>
    <row r="161" spans="1:40" ht="30" hidden="1" customHeight="1" x14ac:dyDescent="0.2">
      <c r="A161" s="230" t="s">
        <v>197</v>
      </c>
      <c r="B161" s="230">
        <v>2615869727</v>
      </c>
      <c r="C161" s="230" t="s">
        <v>2701</v>
      </c>
      <c r="D161" s="230" t="s">
        <v>110</v>
      </c>
      <c r="E161" s="230" t="s">
        <v>198</v>
      </c>
      <c r="F161" s="230" t="s">
        <v>762</v>
      </c>
      <c r="G161" s="230">
        <v>146</v>
      </c>
      <c r="H161" s="230" t="s">
        <v>2882</v>
      </c>
      <c r="I161" s="230" t="s">
        <v>763</v>
      </c>
      <c r="J161" s="230" t="s">
        <v>2703</v>
      </c>
      <c r="K161" s="237" t="s">
        <v>2874</v>
      </c>
      <c r="L161" s="230" t="s">
        <v>1301</v>
      </c>
      <c r="M161" s="230" t="s">
        <v>2875</v>
      </c>
      <c r="N161" s="230" t="s">
        <v>2132</v>
      </c>
      <c r="O161" s="158" t="s">
        <v>61</v>
      </c>
      <c r="P161" s="92"/>
      <c r="Q161" s="146" t="s">
        <v>61</v>
      </c>
      <c r="R161" s="92"/>
      <c r="S161" s="146" t="s">
        <v>61</v>
      </c>
      <c r="T161" s="92"/>
      <c r="U161" s="146" t="s">
        <v>61</v>
      </c>
      <c r="V161" s="92"/>
      <c r="W161" s="146" t="s">
        <v>61</v>
      </c>
      <c r="X161" s="92"/>
      <c r="Y161" s="146" t="s">
        <v>61</v>
      </c>
      <c r="Z161" s="92"/>
      <c r="AA161" s="146" t="s">
        <v>61</v>
      </c>
      <c r="AB161" s="92"/>
      <c r="AC161" s="146" t="s">
        <v>61</v>
      </c>
      <c r="AD161" s="92"/>
      <c r="AE161" s="146" t="s">
        <v>61</v>
      </c>
      <c r="AF161" s="143" t="str">
        <f t="shared" si="11"/>
        <v>NA</v>
      </c>
      <c r="AG161" s="199" t="str">
        <f t="shared" si="10"/>
        <v>NÃO AVALIADO POR FALHA DE SINCRONISMO</v>
      </c>
      <c r="AH161" s="146" t="s">
        <v>204</v>
      </c>
      <c r="AI161" s="154" t="s">
        <v>6</v>
      </c>
      <c r="AJ161" s="151" t="str">
        <f t="shared" si="13"/>
        <v>GUARULHOS</v>
      </c>
      <c r="AK161" s="155" t="s">
        <v>59</v>
      </c>
      <c r="AL161" s="53">
        <v>-3.2000000000000001E-2</v>
      </c>
      <c r="AM161" s="53" t="str" cm="1">
        <f t="array" ref="AM161">IF(OR(O161&lt;&gt;"", SUMPRODUCT(($AN$2:$AN$561=AN161)*($AL$2:$AL$561&lt;=AL161)) &lt;= (COUNTIF($AN$2:$AN$561,AN161)*0.5)), "SORTEADO", "-")</f>
        <v>SORTEADO</v>
      </c>
      <c r="AN161" s="53" t="str">
        <f t="shared" si="12"/>
        <v>16/04/2026</v>
      </c>
    </row>
    <row r="162" spans="1:40" ht="30" hidden="1" customHeight="1" x14ac:dyDescent="0.2">
      <c r="A162" s="230" t="s">
        <v>197</v>
      </c>
      <c r="B162" s="230">
        <v>2615869964</v>
      </c>
      <c r="C162" s="230" t="s">
        <v>2701</v>
      </c>
      <c r="D162" s="230" t="s">
        <v>110</v>
      </c>
      <c r="E162" s="230" t="s">
        <v>198</v>
      </c>
      <c r="F162" s="230" t="s">
        <v>762</v>
      </c>
      <c r="G162" s="230">
        <v>140</v>
      </c>
      <c r="H162" s="230" t="s">
        <v>2883</v>
      </c>
      <c r="I162" s="230" t="s">
        <v>763</v>
      </c>
      <c r="J162" s="230" t="s">
        <v>2703</v>
      </c>
      <c r="K162" s="237" t="s">
        <v>2874</v>
      </c>
      <c r="L162" s="230" t="s">
        <v>1301</v>
      </c>
      <c r="M162" s="230" t="s">
        <v>2875</v>
      </c>
      <c r="N162" s="230" t="s">
        <v>2132</v>
      </c>
      <c r="O162" s="158" t="s">
        <v>61</v>
      </c>
      <c r="P162" s="92"/>
      <c r="Q162" s="146" t="s">
        <v>61</v>
      </c>
      <c r="R162" s="92"/>
      <c r="S162" s="146" t="s">
        <v>61</v>
      </c>
      <c r="T162" s="92"/>
      <c r="U162" s="146" t="s">
        <v>61</v>
      </c>
      <c r="V162" s="92"/>
      <c r="W162" s="146" t="s">
        <v>61</v>
      </c>
      <c r="X162" s="92"/>
      <c r="Y162" s="146" t="s">
        <v>61</v>
      </c>
      <c r="Z162" s="92"/>
      <c r="AA162" s="146" t="s">
        <v>61</v>
      </c>
      <c r="AB162" s="92"/>
      <c r="AC162" s="146" t="s">
        <v>61</v>
      </c>
      <c r="AD162" s="92"/>
      <c r="AE162" s="146" t="s">
        <v>61</v>
      </c>
      <c r="AF162" s="143" t="str">
        <f t="shared" si="11"/>
        <v>NA</v>
      </c>
      <c r="AG162" s="199" t="str">
        <f t="shared" si="10"/>
        <v>NÃO AVALIADO POR FALHA DE SINCRONISMO</v>
      </c>
      <c r="AH162" s="146" t="s">
        <v>204</v>
      </c>
      <c r="AI162" s="154" t="s">
        <v>6</v>
      </c>
      <c r="AJ162" s="151" t="str">
        <f t="shared" si="13"/>
        <v>GUARULHOS</v>
      </c>
      <c r="AK162" s="155" t="s">
        <v>59</v>
      </c>
      <c r="AL162" s="53">
        <v>-3.2199999999999999E-2</v>
      </c>
      <c r="AM162" s="53" t="str" cm="1">
        <f t="array" ref="AM162">IF(OR(O162&lt;&gt;"", SUMPRODUCT(($AN$2:$AN$561=AN162)*($AL$2:$AL$561&lt;=AL162)) &lt;= (COUNTIF($AN$2:$AN$561,AN162)*0.5)), "SORTEADO", "-")</f>
        <v>SORTEADO</v>
      </c>
      <c r="AN162" s="53" t="str">
        <f t="shared" si="12"/>
        <v>16/04/2026</v>
      </c>
    </row>
    <row r="163" spans="1:40" ht="30" hidden="1" customHeight="1" x14ac:dyDescent="0.2">
      <c r="A163" s="230" t="s">
        <v>197</v>
      </c>
      <c r="B163" s="230">
        <v>2615870148</v>
      </c>
      <c r="C163" s="230" t="s">
        <v>2701</v>
      </c>
      <c r="D163" s="230" t="s">
        <v>110</v>
      </c>
      <c r="E163" s="230" t="s">
        <v>198</v>
      </c>
      <c r="F163" s="230" t="s">
        <v>762</v>
      </c>
      <c r="G163" s="230">
        <v>134</v>
      </c>
      <c r="H163" s="230" t="s">
        <v>2884</v>
      </c>
      <c r="I163" s="230" t="s">
        <v>763</v>
      </c>
      <c r="J163" s="230" t="s">
        <v>2703</v>
      </c>
      <c r="K163" s="237" t="s">
        <v>2874</v>
      </c>
      <c r="L163" s="230" t="s">
        <v>1301</v>
      </c>
      <c r="M163" s="230" t="s">
        <v>2875</v>
      </c>
      <c r="N163" s="230" t="s">
        <v>2132</v>
      </c>
      <c r="O163" s="158" t="s">
        <v>61</v>
      </c>
      <c r="P163" s="92"/>
      <c r="Q163" s="146" t="s">
        <v>61</v>
      </c>
      <c r="R163" s="92"/>
      <c r="S163" s="146" t="s">
        <v>61</v>
      </c>
      <c r="T163" s="92"/>
      <c r="U163" s="146" t="s">
        <v>61</v>
      </c>
      <c r="V163" s="92"/>
      <c r="W163" s="146" t="s">
        <v>61</v>
      </c>
      <c r="X163" s="92"/>
      <c r="Y163" s="146" t="s">
        <v>61</v>
      </c>
      <c r="Z163" s="92"/>
      <c r="AA163" s="146" t="s">
        <v>61</v>
      </c>
      <c r="AB163" s="92"/>
      <c r="AC163" s="146" t="s">
        <v>61</v>
      </c>
      <c r="AD163" s="92"/>
      <c r="AE163" s="146" t="s">
        <v>61</v>
      </c>
      <c r="AF163" s="143" t="str">
        <f t="shared" si="11"/>
        <v>NA</v>
      </c>
      <c r="AG163" s="199" t="str">
        <f t="shared" si="10"/>
        <v>NÃO AVALIADO POR FALHA DE SINCRONISMO</v>
      </c>
      <c r="AH163" s="146" t="s">
        <v>204</v>
      </c>
      <c r="AI163" s="154" t="s">
        <v>6</v>
      </c>
      <c r="AJ163" s="151" t="str">
        <f t="shared" si="13"/>
        <v>GUARULHOS</v>
      </c>
      <c r="AK163" s="155" t="s">
        <v>59</v>
      </c>
      <c r="AL163" s="53">
        <v>-3.2399999999999998E-2</v>
      </c>
      <c r="AM163" s="53" t="str" cm="1">
        <f t="array" ref="AM163">IF(OR(O163&lt;&gt;"", SUMPRODUCT(($AN$2:$AN$561=AN163)*($AL$2:$AL$561&lt;=AL163)) &lt;= (COUNTIF($AN$2:$AN$561,AN163)*0.5)), "SORTEADO", "-")</f>
        <v>SORTEADO</v>
      </c>
      <c r="AN163" s="53" t="str">
        <f t="shared" si="12"/>
        <v>16/04/2026</v>
      </c>
    </row>
    <row r="164" spans="1:40" ht="30" hidden="1" customHeight="1" x14ac:dyDescent="0.2">
      <c r="A164" s="230" t="s">
        <v>197</v>
      </c>
      <c r="B164" s="230">
        <v>2613869808</v>
      </c>
      <c r="C164" s="230" t="s">
        <v>2701</v>
      </c>
      <c r="D164" s="230" t="s">
        <v>110</v>
      </c>
      <c r="E164" s="230" t="s">
        <v>198</v>
      </c>
      <c r="F164" s="230" t="s">
        <v>762</v>
      </c>
      <c r="G164" s="230">
        <v>128</v>
      </c>
      <c r="H164" s="230" t="s">
        <v>2885</v>
      </c>
      <c r="I164" s="230" t="s">
        <v>763</v>
      </c>
      <c r="J164" s="230" t="s">
        <v>2703</v>
      </c>
      <c r="K164" s="237" t="s">
        <v>2874</v>
      </c>
      <c r="L164" s="230" t="s">
        <v>1301</v>
      </c>
      <c r="M164" s="230" t="s">
        <v>2875</v>
      </c>
      <c r="N164" s="230" t="s">
        <v>2132</v>
      </c>
      <c r="O164" s="158" t="s">
        <v>61</v>
      </c>
      <c r="P164" s="92"/>
      <c r="Q164" s="146" t="s">
        <v>61</v>
      </c>
      <c r="R164" s="92"/>
      <c r="S164" s="146" t="s">
        <v>61</v>
      </c>
      <c r="T164" s="92"/>
      <c r="U164" s="146" t="s">
        <v>61</v>
      </c>
      <c r="V164" s="92"/>
      <c r="W164" s="146" t="s">
        <v>61</v>
      </c>
      <c r="X164" s="92"/>
      <c r="Y164" s="146" t="s">
        <v>61</v>
      </c>
      <c r="Z164" s="92"/>
      <c r="AA164" s="146" t="s">
        <v>61</v>
      </c>
      <c r="AB164" s="92"/>
      <c r="AC164" s="146" t="s">
        <v>61</v>
      </c>
      <c r="AD164" s="92"/>
      <c r="AE164" s="146" t="s">
        <v>61</v>
      </c>
      <c r="AF164" s="143" t="str">
        <f t="shared" si="11"/>
        <v>NA</v>
      </c>
      <c r="AG164" s="199" t="str">
        <f t="shared" si="10"/>
        <v>NÃO AVALIADO POR FALHA DE SINCRONISMO</v>
      </c>
      <c r="AH164" s="146" t="s">
        <v>204</v>
      </c>
      <c r="AI164" s="154" t="s">
        <v>6</v>
      </c>
      <c r="AJ164" s="151" t="str">
        <f t="shared" si="13"/>
        <v>GUARULHOS</v>
      </c>
      <c r="AK164" s="155" t="s">
        <v>59</v>
      </c>
      <c r="AL164" s="53">
        <v>-3.2599999999999997E-2</v>
      </c>
      <c r="AM164" s="53" t="str" cm="1">
        <f t="array" ref="AM164">IF(OR(O164&lt;&gt;"", SUMPRODUCT(($AN$2:$AN$561=AN164)*($AL$2:$AL$561&lt;=AL164)) &lt;= (COUNTIF($AN$2:$AN$561,AN164)*0.5)), "SORTEADO", "-")</f>
        <v>SORTEADO</v>
      </c>
      <c r="AN164" s="53" t="str">
        <f t="shared" si="12"/>
        <v>16/04/2026</v>
      </c>
    </row>
    <row r="165" spans="1:40" ht="30" hidden="1" customHeight="1" x14ac:dyDescent="0.2">
      <c r="A165" s="230" t="s">
        <v>197</v>
      </c>
      <c r="B165" s="230">
        <v>2615872444</v>
      </c>
      <c r="C165" s="230" t="s">
        <v>2701</v>
      </c>
      <c r="D165" s="230" t="s">
        <v>110</v>
      </c>
      <c r="E165" s="230" t="s">
        <v>198</v>
      </c>
      <c r="F165" s="230" t="s">
        <v>762</v>
      </c>
      <c r="G165" s="230">
        <v>114</v>
      </c>
      <c r="H165" s="230" t="s">
        <v>1340</v>
      </c>
      <c r="I165" s="230" t="s">
        <v>763</v>
      </c>
      <c r="J165" s="230" t="s">
        <v>2703</v>
      </c>
      <c r="K165" s="237" t="s">
        <v>2874</v>
      </c>
      <c r="L165" s="230" t="s">
        <v>1301</v>
      </c>
      <c r="M165" s="230" t="s">
        <v>2875</v>
      </c>
      <c r="N165" s="230" t="s">
        <v>2132</v>
      </c>
      <c r="O165" s="158" t="s">
        <v>61</v>
      </c>
      <c r="P165" s="92"/>
      <c r="Q165" s="146" t="s">
        <v>61</v>
      </c>
      <c r="R165" s="92"/>
      <c r="S165" s="146" t="s">
        <v>61</v>
      </c>
      <c r="T165" s="92"/>
      <c r="U165" s="146" t="s">
        <v>61</v>
      </c>
      <c r="V165" s="92"/>
      <c r="W165" s="146" t="s">
        <v>61</v>
      </c>
      <c r="X165" s="92"/>
      <c r="Y165" s="146" t="s">
        <v>61</v>
      </c>
      <c r="Z165" s="92"/>
      <c r="AA165" s="146" t="s">
        <v>61</v>
      </c>
      <c r="AB165" s="92"/>
      <c r="AC165" s="146" t="s">
        <v>61</v>
      </c>
      <c r="AD165" s="92"/>
      <c r="AE165" s="146" t="s">
        <v>61</v>
      </c>
      <c r="AF165" s="143" t="str">
        <f t="shared" si="11"/>
        <v>NA</v>
      </c>
      <c r="AG165" s="199" t="str">
        <f t="shared" si="10"/>
        <v>NÃO AVALIADO POR FALHA DE SINCRONISMO</v>
      </c>
      <c r="AH165" s="146" t="s">
        <v>204</v>
      </c>
      <c r="AI165" s="154" t="s">
        <v>6</v>
      </c>
      <c r="AJ165" s="151" t="str">
        <f t="shared" si="13"/>
        <v>GUARULHOS</v>
      </c>
      <c r="AK165" s="155" t="s">
        <v>59</v>
      </c>
      <c r="AL165" s="53">
        <v>-3.2800000000000003E-2</v>
      </c>
      <c r="AM165" s="53" t="str" cm="1">
        <f t="array" ref="AM165">IF(OR(O165&lt;&gt;"", SUMPRODUCT(($AN$2:$AN$561=AN165)*($AL$2:$AL$561&lt;=AL165)) &lt;= (COUNTIF($AN$2:$AN$561,AN165)*0.5)), "SORTEADO", "-")</f>
        <v>SORTEADO</v>
      </c>
      <c r="AN165" s="53" t="str">
        <f t="shared" si="12"/>
        <v>16/04/2026</v>
      </c>
    </row>
    <row r="166" spans="1:40" ht="30" hidden="1" customHeight="1" x14ac:dyDescent="0.2">
      <c r="A166" s="230" t="s">
        <v>197</v>
      </c>
      <c r="B166" s="230">
        <v>2615872129</v>
      </c>
      <c r="C166" s="230" t="s">
        <v>2701</v>
      </c>
      <c r="D166" s="230" t="s">
        <v>110</v>
      </c>
      <c r="E166" s="230" t="s">
        <v>198</v>
      </c>
      <c r="F166" s="230" t="s">
        <v>762</v>
      </c>
      <c r="G166" s="230">
        <v>106</v>
      </c>
      <c r="H166" s="230" t="s">
        <v>276</v>
      </c>
      <c r="I166" s="230" t="s">
        <v>763</v>
      </c>
      <c r="J166" s="230" t="s">
        <v>2703</v>
      </c>
      <c r="K166" s="237" t="s">
        <v>2874</v>
      </c>
      <c r="L166" s="230" t="s">
        <v>1301</v>
      </c>
      <c r="M166" s="230" t="s">
        <v>2875</v>
      </c>
      <c r="N166" s="230" t="s">
        <v>2132</v>
      </c>
      <c r="O166" s="158" t="s">
        <v>61</v>
      </c>
      <c r="P166" s="92"/>
      <c r="Q166" s="146" t="s">
        <v>61</v>
      </c>
      <c r="R166" s="92"/>
      <c r="S166" s="146" t="s">
        <v>61</v>
      </c>
      <c r="T166" s="92"/>
      <c r="U166" s="146" t="s">
        <v>61</v>
      </c>
      <c r="V166" s="92"/>
      <c r="W166" s="146" t="s">
        <v>61</v>
      </c>
      <c r="X166" s="92"/>
      <c r="Y166" s="146" t="s">
        <v>61</v>
      </c>
      <c r="Z166" s="92"/>
      <c r="AA166" s="146" t="s">
        <v>61</v>
      </c>
      <c r="AB166" s="92"/>
      <c r="AC166" s="146" t="s">
        <v>61</v>
      </c>
      <c r="AD166" s="92"/>
      <c r="AE166" s="146" t="s">
        <v>61</v>
      </c>
      <c r="AF166" s="143" t="str">
        <f t="shared" si="11"/>
        <v>NA</v>
      </c>
      <c r="AG166" s="199" t="str">
        <f t="shared" si="10"/>
        <v>NÃO AVALIADO POR FALHA DE SINCRONISMO</v>
      </c>
      <c r="AH166" s="146" t="s">
        <v>204</v>
      </c>
      <c r="AI166" s="154" t="s">
        <v>6</v>
      </c>
      <c r="AJ166" s="151" t="str">
        <f t="shared" si="13"/>
        <v>GUARULHOS</v>
      </c>
      <c r="AK166" s="155" t="s">
        <v>59</v>
      </c>
      <c r="AL166" s="53">
        <v>-3.3000000000000002E-2</v>
      </c>
      <c r="AM166" s="53" t="str" cm="1">
        <f t="array" ref="AM166">IF(OR(O166&lt;&gt;"", SUMPRODUCT(($AN$2:$AN$561=AN166)*($AL$2:$AL$561&lt;=AL166)) &lt;= (COUNTIF($AN$2:$AN$561,AN166)*0.5)), "SORTEADO", "-")</f>
        <v>SORTEADO</v>
      </c>
      <c r="AN166" s="53" t="str">
        <f t="shared" si="12"/>
        <v>16/04/2026</v>
      </c>
    </row>
    <row r="167" spans="1:40" ht="30" hidden="1" customHeight="1" x14ac:dyDescent="0.2">
      <c r="A167" s="230" t="s">
        <v>197</v>
      </c>
      <c r="B167" s="230">
        <v>2615877422</v>
      </c>
      <c r="C167" s="230" t="s">
        <v>2701</v>
      </c>
      <c r="D167" s="230" t="s">
        <v>110</v>
      </c>
      <c r="E167" s="230" t="s">
        <v>198</v>
      </c>
      <c r="F167" s="230" t="s">
        <v>688</v>
      </c>
      <c r="G167" s="230">
        <v>92</v>
      </c>
      <c r="H167" s="230" t="s">
        <v>2886</v>
      </c>
      <c r="I167" s="230" t="s">
        <v>356</v>
      </c>
      <c r="J167" s="230" t="s">
        <v>2703</v>
      </c>
      <c r="K167" s="230" t="s">
        <v>2887</v>
      </c>
      <c r="L167" s="230" t="s">
        <v>1301</v>
      </c>
      <c r="M167" s="230" t="s">
        <v>2888</v>
      </c>
      <c r="N167" s="230" t="s">
        <v>2132</v>
      </c>
      <c r="O167" s="158" t="s">
        <v>61</v>
      </c>
      <c r="P167" s="92"/>
      <c r="Q167" s="146" t="s">
        <v>61</v>
      </c>
      <c r="R167" s="92"/>
      <c r="S167" s="146" t="s">
        <v>61</v>
      </c>
      <c r="T167" s="92"/>
      <c r="U167" s="146" t="s">
        <v>61</v>
      </c>
      <c r="V167" s="92"/>
      <c r="W167" s="146" t="s">
        <v>61</v>
      </c>
      <c r="X167" s="92"/>
      <c r="Y167" s="146" t="s">
        <v>61</v>
      </c>
      <c r="Z167" s="92"/>
      <c r="AA167" s="146" t="s">
        <v>61</v>
      </c>
      <c r="AB167" s="92"/>
      <c r="AC167" s="146" t="s">
        <v>61</v>
      </c>
      <c r="AD167" s="92"/>
      <c r="AE167" s="146" t="s">
        <v>61</v>
      </c>
      <c r="AF167" s="143" t="str">
        <f t="shared" si="11"/>
        <v>NA</v>
      </c>
      <c r="AG167" s="199" t="str">
        <f t="shared" si="10"/>
        <v>NÃO AVALIADO POR FALHA DE SINCRONISMO</v>
      </c>
      <c r="AH167" s="146" t="s">
        <v>204</v>
      </c>
      <c r="AI167" s="154" t="s">
        <v>6</v>
      </c>
      <c r="AJ167" s="151" t="str">
        <f t="shared" si="13"/>
        <v>GUARULHOS</v>
      </c>
      <c r="AK167" s="155" t="s">
        <v>59</v>
      </c>
      <c r="AL167" s="53">
        <v>-3.32E-2</v>
      </c>
      <c r="AM167" s="53" t="str" cm="1">
        <f t="array" ref="AM167">IF(OR(O167&lt;&gt;"", SUMPRODUCT(($AN$2:$AN$561=AN167)*($AL$2:$AL$561&lt;=AL167)) &lt;= (COUNTIF($AN$2:$AN$561,AN167)*0.5)), "SORTEADO", "-")</f>
        <v>SORTEADO</v>
      </c>
      <c r="AN167" s="53" t="str">
        <f t="shared" si="12"/>
        <v>16/04/2026</v>
      </c>
    </row>
    <row r="168" spans="1:40" ht="30" hidden="1" customHeight="1" x14ac:dyDescent="0.2">
      <c r="A168" s="230" t="s">
        <v>197</v>
      </c>
      <c r="B168" s="230">
        <v>2615879746</v>
      </c>
      <c r="C168" s="230" t="s">
        <v>2701</v>
      </c>
      <c r="D168" s="230" t="s">
        <v>110</v>
      </c>
      <c r="E168" s="230" t="s">
        <v>198</v>
      </c>
      <c r="F168" s="230" t="s">
        <v>688</v>
      </c>
      <c r="G168" s="230">
        <v>252</v>
      </c>
      <c r="H168" s="230" t="s">
        <v>2889</v>
      </c>
      <c r="I168" s="230" t="s">
        <v>356</v>
      </c>
      <c r="J168" s="230" t="s">
        <v>2703</v>
      </c>
      <c r="K168" s="230" t="s">
        <v>2887</v>
      </c>
      <c r="L168" s="230" t="s">
        <v>1301</v>
      </c>
      <c r="M168" s="230" t="s">
        <v>2888</v>
      </c>
      <c r="N168" s="230" t="s">
        <v>2132</v>
      </c>
      <c r="O168" s="158" t="s">
        <v>61</v>
      </c>
      <c r="P168" s="92"/>
      <c r="Q168" s="146" t="s">
        <v>61</v>
      </c>
      <c r="R168" s="92"/>
      <c r="S168" s="146" t="s">
        <v>61</v>
      </c>
      <c r="T168" s="92"/>
      <c r="U168" s="146" t="s">
        <v>61</v>
      </c>
      <c r="V168" s="92"/>
      <c r="W168" s="146" t="s">
        <v>61</v>
      </c>
      <c r="X168" s="92"/>
      <c r="Y168" s="146" t="s">
        <v>61</v>
      </c>
      <c r="Z168" s="92"/>
      <c r="AA168" s="146" t="s">
        <v>61</v>
      </c>
      <c r="AB168" s="92"/>
      <c r="AC168" s="146" t="s">
        <v>61</v>
      </c>
      <c r="AD168" s="92"/>
      <c r="AE168" s="146" t="s">
        <v>61</v>
      </c>
      <c r="AF168" s="143" t="str">
        <f t="shared" si="11"/>
        <v>NA</v>
      </c>
      <c r="AG168" s="199" t="str">
        <f t="shared" si="10"/>
        <v>NÃO AVALIADO POR FALHA DE SINCRONISMO</v>
      </c>
      <c r="AH168" s="146" t="s">
        <v>204</v>
      </c>
      <c r="AI168" s="154" t="s">
        <v>6</v>
      </c>
      <c r="AJ168" s="151" t="str">
        <f t="shared" si="13"/>
        <v>GUARULHOS</v>
      </c>
      <c r="AK168" s="155" t="s">
        <v>59</v>
      </c>
      <c r="AL168" s="53">
        <v>-3.3399999999999999E-2</v>
      </c>
      <c r="AM168" s="53" t="str" cm="1">
        <f t="array" ref="AM168">IF(OR(O168&lt;&gt;"", SUMPRODUCT(($AN$2:$AN$561=AN168)*($AL$2:$AL$561&lt;=AL168)) &lt;= (COUNTIF($AN$2:$AN$561,AN168)*0.5)), "SORTEADO", "-")</f>
        <v>SORTEADO</v>
      </c>
      <c r="AN168" s="53" t="str">
        <f t="shared" si="12"/>
        <v>16/04/2026</v>
      </c>
    </row>
    <row r="169" spans="1:40" ht="30" hidden="1" customHeight="1" x14ac:dyDescent="0.2">
      <c r="A169" s="230" t="s">
        <v>197</v>
      </c>
      <c r="B169" s="230">
        <v>2615879556</v>
      </c>
      <c r="C169" s="230" t="s">
        <v>2701</v>
      </c>
      <c r="D169" s="230" t="s">
        <v>110</v>
      </c>
      <c r="E169" s="230" t="s">
        <v>198</v>
      </c>
      <c r="F169" s="230" t="s">
        <v>688</v>
      </c>
      <c r="G169" s="230">
        <v>249</v>
      </c>
      <c r="H169" s="230" t="s">
        <v>2890</v>
      </c>
      <c r="I169" s="230" t="s">
        <v>356</v>
      </c>
      <c r="J169" s="230" t="s">
        <v>2703</v>
      </c>
      <c r="K169" s="230" t="s">
        <v>2891</v>
      </c>
      <c r="L169" s="230" t="s">
        <v>1301</v>
      </c>
      <c r="M169" s="230" t="s">
        <v>2888</v>
      </c>
      <c r="N169" s="230" t="s">
        <v>2132</v>
      </c>
      <c r="O169" s="158" t="s">
        <v>61</v>
      </c>
      <c r="P169" s="92"/>
      <c r="Q169" s="146" t="s">
        <v>61</v>
      </c>
      <c r="R169" s="92"/>
      <c r="S169" s="146" t="s">
        <v>61</v>
      </c>
      <c r="T169" s="92"/>
      <c r="U169" s="146" t="s">
        <v>61</v>
      </c>
      <c r="V169" s="92"/>
      <c r="W169" s="146" t="s">
        <v>61</v>
      </c>
      <c r="X169" s="92"/>
      <c r="Y169" s="146" t="s">
        <v>61</v>
      </c>
      <c r="Z169" s="92"/>
      <c r="AA169" s="146" t="s">
        <v>61</v>
      </c>
      <c r="AB169" s="92"/>
      <c r="AC169" s="146" t="s">
        <v>61</v>
      </c>
      <c r="AD169" s="92"/>
      <c r="AE169" s="146" t="s">
        <v>61</v>
      </c>
      <c r="AF169" s="143" t="str">
        <f t="shared" si="11"/>
        <v>NA</v>
      </c>
      <c r="AG169" s="199" t="str">
        <f t="shared" si="10"/>
        <v>NÃO AVALIADO POR FALHA DE SINCRONISMO</v>
      </c>
      <c r="AH169" s="146" t="s">
        <v>204</v>
      </c>
      <c r="AI169" s="154" t="s">
        <v>6</v>
      </c>
      <c r="AJ169" s="151" t="str">
        <f t="shared" si="13"/>
        <v>GUARULHOS</v>
      </c>
      <c r="AK169" s="155" t="s">
        <v>59</v>
      </c>
      <c r="AL169" s="53">
        <v>-3.3599999999999998E-2</v>
      </c>
      <c r="AM169" s="53" t="str" cm="1">
        <f t="array" ref="AM169">IF(OR(O169&lt;&gt;"", SUMPRODUCT(($AN$2:$AN$561=AN169)*($AL$2:$AL$561&lt;=AL169)) &lt;= (COUNTIF($AN$2:$AN$561,AN169)*0.5)), "SORTEADO", "-")</f>
        <v>SORTEADO</v>
      </c>
      <c r="AN169" s="53" t="str">
        <f t="shared" si="12"/>
        <v>16/04/2026</v>
      </c>
    </row>
    <row r="170" spans="1:40" ht="30" hidden="1" customHeight="1" x14ac:dyDescent="0.2">
      <c r="A170" s="230" t="s">
        <v>197</v>
      </c>
      <c r="B170" s="230">
        <v>2615879379</v>
      </c>
      <c r="C170" s="230" t="s">
        <v>2701</v>
      </c>
      <c r="D170" s="230" t="s">
        <v>110</v>
      </c>
      <c r="E170" s="230" t="s">
        <v>198</v>
      </c>
      <c r="F170" s="230" t="s">
        <v>688</v>
      </c>
      <c r="G170" s="230">
        <v>243</v>
      </c>
      <c r="H170" s="230"/>
      <c r="I170" s="230" t="s">
        <v>356</v>
      </c>
      <c r="J170" s="230" t="s">
        <v>2703</v>
      </c>
      <c r="K170" s="230" t="s">
        <v>2887</v>
      </c>
      <c r="L170" s="230" t="s">
        <v>1301</v>
      </c>
      <c r="M170" s="230" t="s">
        <v>2888</v>
      </c>
      <c r="N170" s="230" t="s">
        <v>2132</v>
      </c>
      <c r="O170" s="158" t="s">
        <v>61</v>
      </c>
      <c r="P170" s="92"/>
      <c r="Q170" s="146" t="s">
        <v>61</v>
      </c>
      <c r="R170" s="92"/>
      <c r="S170" s="146" t="s">
        <v>61</v>
      </c>
      <c r="T170" s="92"/>
      <c r="U170" s="146" t="s">
        <v>61</v>
      </c>
      <c r="V170" s="92"/>
      <c r="W170" s="146" t="s">
        <v>61</v>
      </c>
      <c r="X170" s="92"/>
      <c r="Y170" s="146" t="s">
        <v>61</v>
      </c>
      <c r="Z170" s="92"/>
      <c r="AA170" s="146" t="s">
        <v>61</v>
      </c>
      <c r="AB170" s="92"/>
      <c r="AC170" s="146" t="s">
        <v>61</v>
      </c>
      <c r="AD170" s="92"/>
      <c r="AE170" s="146" t="s">
        <v>61</v>
      </c>
      <c r="AF170" s="143" t="str">
        <f t="shared" si="11"/>
        <v>NA</v>
      </c>
      <c r="AG170" s="199" t="str">
        <f t="shared" si="10"/>
        <v>NÃO AVALIADO POR FALHA DE SINCRONISMO</v>
      </c>
      <c r="AH170" s="146" t="s">
        <v>204</v>
      </c>
      <c r="AI170" s="154" t="s">
        <v>6</v>
      </c>
      <c r="AJ170" s="151" t="str">
        <f t="shared" si="13"/>
        <v>GUARULHOS</v>
      </c>
      <c r="AK170" s="155" t="s">
        <v>59</v>
      </c>
      <c r="AL170" s="53">
        <v>-3.3799999999999997E-2</v>
      </c>
      <c r="AM170" s="53" t="str" cm="1">
        <f t="array" ref="AM170">IF(OR(O170&lt;&gt;"", SUMPRODUCT(($AN$2:$AN$561=AN170)*($AL$2:$AL$561&lt;=AL170)) &lt;= (COUNTIF($AN$2:$AN$561,AN170)*0.5)), "SORTEADO", "-")</f>
        <v>SORTEADO</v>
      </c>
      <c r="AN170" s="53" t="str">
        <f t="shared" si="12"/>
        <v>16/04/2026</v>
      </c>
    </row>
    <row r="171" spans="1:40" ht="30" hidden="1" customHeight="1" x14ac:dyDescent="0.2">
      <c r="A171" s="230" t="s">
        <v>197</v>
      </c>
      <c r="B171" s="230">
        <v>2615878206</v>
      </c>
      <c r="C171" s="230" t="s">
        <v>2701</v>
      </c>
      <c r="D171" s="230" t="s">
        <v>110</v>
      </c>
      <c r="E171" s="230" t="s">
        <v>198</v>
      </c>
      <c r="F171" s="230" t="s">
        <v>688</v>
      </c>
      <c r="G171" s="230">
        <v>242</v>
      </c>
      <c r="H171" s="230" t="s">
        <v>1362</v>
      </c>
      <c r="I171" s="230" t="s">
        <v>356</v>
      </c>
      <c r="J171" s="230" t="s">
        <v>2703</v>
      </c>
      <c r="K171" s="230" t="s">
        <v>2887</v>
      </c>
      <c r="L171" s="230" t="s">
        <v>1301</v>
      </c>
      <c r="M171" s="230" t="s">
        <v>2888</v>
      </c>
      <c r="N171" s="230" t="s">
        <v>2132</v>
      </c>
      <c r="O171" s="158" t="s">
        <v>61</v>
      </c>
      <c r="P171" s="92"/>
      <c r="Q171" s="146" t="s">
        <v>61</v>
      </c>
      <c r="R171" s="92"/>
      <c r="S171" s="146" t="s">
        <v>61</v>
      </c>
      <c r="T171" s="92"/>
      <c r="U171" s="146" t="s">
        <v>61</v>
      </c>
      <c r="V171" s="92"/>
      <c r="W171" s="146" t="s">
        <v>61</v>
      </c>
      <c r="X171" s="92"/>
      <c r="Y171" s="146" t="s">
        <v>61</v>
      </c>
      <c r="Z171" s="92"/>
      <c r="AA171" s="146" t="s">
        <v>61</v>
      </c>
      <c r="AB171" s="92"/>
      <c r="AC171" s="146" t="s">
        <v>61</v>
      </c>
      <c r="AD171" s="92"/>
      <c r="AE171" s="146" t="s">
        <v>61</v>
      </c>
      <c r="AF171" s="143" t="str">
        <f t="shared" si="11"/>
        <v>NA</v>
      </c>
      <c r="AG171" s="199" t="str">
        <f t="shared" si="10"/>
        <v>NÃO AVALIADO POR FALHA DE SINCRONISMO</v>
      </c>
      <c r="AH171" s="146" t="s">
        <v>204</v>
      </c>
      <c r="AI171" s="154" t="s">
        <v>6</v>
      </c>
      <c r="AJ171" s="151" t="str">
        <f t="shared" si="13"/>
        <v>GUARULHOS</v>
      </c>
      <c r="AK171" s="155" t="s">
        <v>59</v>
      </c>
      <c r="AL171" s="53">
        <v>-3.4000000000000002E-2</v>
      </c>
      <c r="AM171" s="53" t="str" cm="1">
        <f t="array" ref="AM171">IF(OR(O171&lt;&gt;"", SUMPRODUCT(($AN$2:$AN$561=AN171)*($AL$2:$AL$561&lt;=AL171)) &lt;= (COUNTIF($AN$2:$AN$561,AN171)*0.5)), "SORTEADO", "-")</f>
        <v>SORTEADO</v>
      </c>
      <c r="AN171" s="53" t="str">
        <f t="shared" si="12"/>
        <v>16/04/2026</v>
      </c>
    </row>
    <row r="172" spans="1:40" ht="30" hidden="1" customHeight="1" x14ac:dyDescent="0.2">
      <c r="A172" s="230" t="s">
        <v>197</v>
      </c>
      <c r="B172" s="230">
        <v>2615877787</v>
      </c>
      <c r="C172" s="230" t="s">
        <v>2701</v>
      </c>
      <c r="D172" s="230" t="s">
        <v>110</v>
      </c>
      <c r="E172" s="230" t="s">
        <v>198</v>
      </c>
      <c r="F172" s="230" t="s">
        <v>688</v>
      </c>
      <c r="G172" s="230">
        <v>239</v>
      </c>
      <c r="H172" s="230"/>
      <c r="I172" s="230" t="s">
        <v>356</v>
      </c>
      <c r="J172" s="230" t="s">
        <v>2703</v>
      </c>
      <c r="K172" s="230" t="s">
        <v>2887</v>
      </c>
      <c r="L172" s="230" t="s">
        <v>1301</v>
      </c>
      <c r="M172" s="230" t="s">
        <v>2888</v>
      </c>
      <c r="N172" s="230" t="s">
        <v>2132</v>
      </c>
      <c r="O172" s="158" t="s">
        <v>61</v>
      </c>
      <c r="P172" s="92"/>
      <c r="Q172" s="146" t="s">
        <v>61</v>
      </c>
      <c r="R172" s="92"/>
      <c r="S172" s="146" t="s">
        <v>61</v>
      </c>
      <c r="T172" s="92"/>
      <c r="U172" s="146" t="s">
        <v>61</v>
      </c>
      <c r="V172" s="92"/>
      <c r="W172" s="146" t="s">
        <v>61</v>
      </c>
      <c r="X172" s="92"/>
      <c r="Y172" s="146" t="s">
        <v>61</v>
      </c>
      <c r="Z172" s="92"/>
      <c r="AA172" s="146" t="s">
        <v>61</v>
      </c>
      <c r="AB172" s="92"/>
      <c r="AC172" s="146" t="s">
        <v>61</v>
      </c>
      <c r="AD172" s="92"/>
      <c r="AE172" s="146" t="s">
        <v>61</v>
      </c>
      <c r="AF172" s="143" t="str">
        <f t="shared" si="11"/>
        <v>NA</v>
      </c>
      <c r="AG172" s="199" t="str">
        <f t="shared" si="10"/>
        <v>NÃO AVALIADO POR FALHA DE SINCRONISMO</v>
      </c>
      <c r="AH172" s="146" t="s">
        <v>204</v>
      </c>
      <c r="AI172" s="154" t="s">
        <v>6</v>
      </c>
      <c r="AJ172" s="151" t="str">
        <f t="shared" si="13"/>
        <v>GUARULHOS</v>
      </c>
      <c r="AK172" s="155" t="s">
        <v>59</v>
      </c>
      <c r="AL172" s="53">
        <v>-3.4200000000000001E-2</v>
      </c>
      <c r="AM172" s="53" t="str" cm="1">
        <f t="array" ref="AM172">IF(OR(O172&lt;&gt;"", SUMPRODUCT(($AN$2:$AN$561=AN172)*($AL$2:$AL$561&lt;=AL172)) &lt;= (COUNTIF($AN$2:$AN$561,AN172)*0.5)), "SORTEADO", "-")</f>
        <v>SORTEADO</v>
      </c>
      <c r="AN172" s="53" t="str">
        <f t="shared" si="12"/>
        <v>16/04/2026</v>
      </c>
    </row>
    <row r="173" spans="1:40" ht="30" hidden="1" customHeight="1" x14ac:dyDescent="0.2">
      <c r="A173" s="230" t="s">
        <v>197</v>
      </c>
      <c r="B173" s="230">
        <v>2615877643</v>
      </c>
      <c r="C173" s="230" t="s">
        <v>2701</v>
      </c>
      <c r="D173" s="230" t="s">
        <v>110</v>
      </c>
      <c r="E173" s="230" t="s">
        <v>198</v>
      </c>
      <c r="F173" s="230" t="s">
        <v>688</v>
      </c>
      <c r="G173" s="230">
        <v>233</v>
      </c>
      <c r="H173" s="230" t="s">
        <v>2892</v>
      </c>
      <c r="I173" s="230" t="s">
        <v>356</v>
      </c>
      <c r="J173" s="230" t="s">
        <v>2703</v>
      </c>
      <c r="K173" s="230" t="s">
        <v>2887</v>
      </c>
      <c r="L173" s="230" t="s">
        <v>1301</v>
      </c>
      <c r="M173" s="230" t="s">
        <v>2888</v>
      </c>
      <c r="N173" s="230" t="s">
        <v>2132</v>
      </c>
      <c r="O173" s="158" t="s">
        <v>61</v>
      </c>
      <c r="P173" s="92"/>
      <c r="Q173" s="146" t="s">
        <v>61</v>
      </c>
      <c r="R173" s="92"/>
      <c r="S173" s="146" t="s">
        <v>61</v>
      </c>
      <c r="T173" s="92"/>
      <c r="U173" s="146" t="s">
        <v>61</v>
      </c>
      <c r="V173" s="92"/>
      <c r="W173" s="146" t="s">
        <v>61</v>
      </c>
      <c r="X173" s="92"/>
      <c r="Y173" s="146" t="s">
        <v>61</v>
      </c>
      <c r="Z173" s="92"/>
      <c r="AA173" s="146" t="s">
        <v>61</v>
      </c>
      <c r="AB173" s="92"/>
      <c r="AC173" s="146" t="s">
        <v>61</v>
      </c>
      <c r="AD173" s="92"/>
      <c r="AE173" s="146" t="s">
        <v>61</v>
      </c>
      <c r="AF173" s="143" t="str">
        <f t="shared" si="11"/>
        <v>NA</v>
      </c>
      <c r="AG173" s="199" t="str">
        <f t="shared" si="10"/>
        <v>NÃO AVALIADO POR FALHA DE SINCRONISMO</v>
      </c>
      <c r="AH173" s="146" t="s">
        <v>204</v>
      </c>
      <c r="AI173" s="154" t="s">
        <v>6</v>
      </c>
      <c r="AJ173" s="151" t="str">
        <f t="shared" si="13"/>
        <v>GUARULHOS</v>
      </c>
      <c r="AK173" s="155" t="s">
        <v>59</v>
      </c>
      <c r="AL173" s="53">
        <v>-3.44E-2</v>
      </c>
      <c r="AM173" s="53" t="str" cm="1">
        <f t="array" ref="AM173">IF(OR(O173&lt;&gt;"", SUMPRODUCT(($AN$2:$AN$561=AN173)*($AL$2:$AL$561&lt;=AL173)) &lt;= (COUNTIF($AN$2:$AN$561,AN173)*0.5)), "SORTEADO", "-")</f>
        <v>SORTEADO</v>
      </c>
      <c r="AN173" s="53" t="str">
        <f t="shared" si="12"/>
        <v>16/04/2026</v>
      </c>
    </row>
    <row r="174" spans="1:40" ht="30" hidden="1" customHeight="1" x14ac:dyDescent="0.2">
      <c r="A174" s="230" t="s">
        <v>197</v>
      </c>
      <c r="B174" s="230">
        <v>2615877467</v>
      </c>
      <c r="C174" s="230" t="s">
        <v>2701</v>
      </c>
      <c r="D174" s="230" t="s">
        <v>110</v>
      </c>
      <c r="E174" s="230" t="s">
        <v>198</v>
      </c>
      <c r="F174" s="230" t="s">
        <v>688</v>
      </c>
      <c r="G174" s="230">
        <v>228</v>
      </c>
      <c r="H174" s="230"/>
      <c r="I174" s="230" t="s">
        <v>356</v>
      </c>
      <c r="J174" s="230" t="s">
        <v>2703</v>
      </c>
      <c r="K174" s="230" t="s">
        <v>2887</v>
      </c>
      <c r="L174" s="230" t="s">
        <v>1301</v>
      </c>
      <c r="M174" s="230" t="s">
        <v>2888</v>
      </c>
      <c r="N174" s="230" t="s">
        <v>2132</v>
      </c>
      <c r="O174" s="158" t="s">
        <v>61</v>
      </c>
      <c r="P174" s="92"/>
      <c r="Q174" s="146" t="s">
        <v>61</v>
      </c>
      <c r="R174" s="92"/>
      <c r="S174" s="146" t="s">
        <v>61</v>
      </c>
      <c r="T174" s="92"/>
      <c r="U174" s="146" t="s">
        <v>61</v>
      </c>
      <c r="V174" s="92"/>
      <c r="W174" s="146" t="s">
        <v>61</v>
      </c>
      <c r="X174" s="92"/>
      <c r="Y174" s="146" t="s">
        <v>61</v>
      </c>
      <c r="Z174" s="92"/>
      <c r="AA174" s="146" t="s">
        <v>61</v>
      </c>
      <c r="AB174" s="92"/>
      <c r="AC174" s="146" t="s">
        <v>61</v>
      </c>
      <c r="AD174" s="92"/>
      <c r="AE174" s="146" t="s">
        <v>61</v>
      </c>
      <c r="AF174" s="143" t="str">
        <f t="shared" si="11"/>
        <v>NA</v>
      </c>
      <c r="AG174" s="199" t="str">
        <f t="shared" si="10"/>
        <v>NÃO AVALIADO POR FALHA DE SINCRONISMO</v>
      </c>
      <c r="AH174" s="146" t="s">
        <v>204</v>
      </c>
      <c r="AI174" s="154" t="s">
        <v>6</v>
      </c>
      <c r="AJ174" s="151" t="str">
        <f t="shared" si="13"/>
        <v>GUARULHOS</v>
      </c>
      <c r="AK174" s="155" t="s">
        <v>59</v>
      </c>
      <c r="AL174" s="53">
        <v>-3.4599999999999999E-2</v>
      </c>
      <c r="AM174" s="53" t="str" cm="1">
        <f t="array" ref="AM174">IF(OR(O174&lt;&gt;"", SUMPRODUCT(($AN$2:$AN$561=AN174)*($AL$2:$AL$561&lt;=AL174)) &lt;= (COUNTIF($AN$2:$AN$561,AN174)*0.5)), "SORTEADO", "-")</f>
        <v>SORTEADO</v>
      </c>
      <c r="AN174" s="53" t="str">
        <f t="shared" si="12"/>
        <v>16/04/2026</v>
      </c>
    </row>
    <row r="175" spans="1:40" ht="30" hidden="1" customHeight="1" x14ac:dyDescent="0.2">
      <c r="A175" s="230" t="s">
        <v>197</v>
      </c>
      <c r="B175" s="230">
        <v>2615877255</v>
      </c>
      <c r="C175" s="230" t="s">
        <v>2701</v>
      </c>
      <c r="D175" s="230" t="s">
        <v>110</v>
      </c>
      <c r="E175" s="230" t="s">
        <v>198</v>
      </c>
      <c r="F175" s="230" t="s">
        <v>688</v>
      </c>
      <c r="G175" s="230">
        <v>227</v>
      </c>
      <c r="H175" s="230" t="s">
        <v>2893</v>
      </c>
      <c r="I175" s="230" t="s">
        <v>356</v>
      </c>
      <c r="J175" s="230" t="s">
        <v>2703</v>
      </c>
      <c r="K175" s="230" t="s">
        <v>2887</v>
      </c>
      <c r="L175" s="230" t="s">
        <v>1301</v>
      </c>
      <c r="M175" s="230" t="s">
        <v>2888</v>
      </c>
      <c r="N175" s="230" t="s">
        <v>2132</v>
      </c>
      <c r="O175" s="158" t="s">
        <v>61</v>
      </c>
      <c r="P175" s="92"/>
      <c r="Q175" s="146" t="s">
        <v>61</v>
      </c>
      <c r="R175" s="92"/>
      <c r="S175" s="146" t="s">
        <v>61</v>
      </c>
      <c r="T175" s="92"/>
      <c r="U175" s="146" t="s">
        <v>61</v>
      </c>
      <c r="V175" s="92"/>
      <c r="W175" s="146" t="s">
        <v>61</v>
      </c>
      <c r="X175" s="92"/>
      <c r="Y175" s="146" t="s">
        <v>61</v>
      </c>
      <c r="Z175" s="92"/>
      <c r="AA175" s="146" t="s">
        <v>61</v>
      </c>
      <c r="AB175" s="92"/>
      <c r="AC175" s="146" t="s">
        <v>61</v>
      </c>
      <c r="AD175" s="92"/>
      <c r="AE175" s="146" t="s">
        <v>61</v>
      </c>
      <c r="AF175" s="143" t="str">
        <f t="shared" si="11"/>
        <v>NA</v>
      </c>
      <c r="AG175" s="199" t="str">
        <f t="shared" si="10"/>
        <v>NÃO AVALIADO POR FALHA DE SINCRONISMO</v>
      </c>
      <c r="AH175" s="146" t="s">
        <v>204</v>
      </c>
      <c r="AI175" s="154" t="s">
        <v>6</v>
      </c>
      <c r="AJ175" s="151" t="str">
        <f t="shared" si="13"/>
        <v>GUARULHOS</v>
      </c>
      <c r="AK175" s="155" t="s">
        <v>59</v>
      </c>
      <c r="AL175" s="53">
        <v>-3.4799999999999998E-2</v>
      </c>
      <c r="AM175" s="53" t="str" cm="1">
        <f t="array" ref="AM175">IF(OR(O175&lt;&gt;"", SUMPRODUCT(($AN$2:$AN$561=AN175)*($AL$2:$AL$561&lt;=AL175)) &lt;= (COUNTIF($AN$2:$AN$561,AN175)*0.5)), "SORTEADO", "-")</f>
        <v>SORTEADO</v>
      </c>
      <c r="AN175" s="53" t="str">
        <f t="shared" si="12"/>
        <v>16/04/2026</v>
      </c>
    </row>
    <row r="176" spans="1:40" ht="30" hidden="1" customHeight="1" x14ac:dyDescent="0.2">
      <c r="A176" s="230" t="s">
        <v>197</v>
      </c>
      <c r="B176" s="230">
        <v>2615877008</v>
      </c>
      <c r="C176" s="230" t="s">
        <v>2701</v>
      </c>
      <c r="D176" s="230" t="s">
        <v>110</v>
      </c>
      <c r="E176" s="230" t="s">
        <v>198</v>
      </c>
      <c r="F176" s="230" t="s">
        <v>688</v>
      </c>
      <c r="G176" s="230">
        <v>223</v>
      </c>
      <c r="H176" s="230"/>
      <c r="I176" s="230" t="s">
        <v>356</v>
      </c>
      <c r="J176" s="230" t="s">
        <v>2703</v>
      </c>
      <c r="K176" s="230" t="s">
        <v>2887</v>
      </c>
      <c r="L176" s="230" t="s">
        <v>1301</v>
      </c>
      <c r="M176" s="230" t="s">
        <v>2888</v>
      </c>
      <c r="N176" s="230" t="s">
        <v>2132</v>
      </c>
      <c r="O176" s="158" t="s">
        <v>61</v>
      </c>
      <c r="P176" s="92"/>
      <c r="Q176" s="146" t="s">
        <v>61</v>
      </c>
      <c r="R176" s="92"/>
      <c r="S176" s="146" t="s">
        <v>61</v>
      </c>
      <c r="T176" s="92"/>
      <c r="U176" s="146" t="s">
        <v>61</v>
      </c>
      <c r="V176" s="92"/>
      <c r="W176" s="146" t="s">
        <v>61</v>
      </c>
      <c r="X176" s="92"/>
      <c r="Y176" s="146" t="s">
        <v>61</v>
      </c>
      <c r="Z176" s="92"/>
      <c r="AA176" s="146" t="s">
        <v>61</v>
      </c>
      <c r="AB176" s="92"/>
      <c r="AC176" s="146" t="s">
        <v>61</v>
      </c>
      <c r="AD176" s="92"/>
      <c r="AE176" s="146" t="s">
        <v>61</v>
      </c>
      <c r="AF176" s="143" t="str">
        <f t="shared" si="11"/>
        <v>NA</v>
      </c>
      <c r="AG176" s="199" t="str">
        <f t="shared" si="10"/>
        <v>NÃO AVALIADO POR FALHA DE SINCRONISMO</v>
      </c>
      <c r="AH176" s="146" t="s">
        <v>204</v>
      </c>
      <c r="AI176" s="154" t="s">
        <v>6</v>
      </c>
      <c r="AJ176" s="151" t="str">
        <f t="shared" si="13"/>
        <v>GUARULHOS</v>
      </c>
      <c r="AK176" s="155" t="s">
        <v>59</v>
      </c>
      <c r="AL176" s="53">
        <v>-3.5000000000000003E-2</v>
      </c>
      <c r="AM176" s="53" t="str" cm="1">
        <f t="array" ref="AM176">IF(OR(O176&lt;&gt;"", SUMPRODUCT(($AN$2:$AN$561=AN176)*($AL$2:$AL$561&lt;=AL176)) &lt;= (COUNTIF($AN$2:$AN$561,AN176)*0.5)), "SORTEADO", "-")</f>
        <v>SORTEADO</v>
      </c>
      <c r="AN176" s="53" t="str">
        <f t="shared" si="12"/>
        <v>16/04/2026</v>
      </c>
    </row>
    <row r="177" spans="1:40" ht="30" hidden="1" customHeight="1" x14ac:dyDescent="0.2">
      <c r="A177" s="230" t="s">
        <v>197</v>
      </c>
      <c r="B177" s="230">
        <v>2615876755</v>
      </c>
      <c r="C177" s="230" t="s">
        <v>2701</v>
      </c>
      <c r="D177" s="230" t="s">
        <v>110</v>
      </c>
      <c r="E177" s="230" t="s">
        <v>198</v>
      </c>
      <c r="F177" s="230" t="s">
        <v>688</v>
      </c>
      <c r="G177" s="230">
        <v>218</v>
      </c>
      <c r="H177" s="230" t="s">
        <v>1490</v>
      </c>
      <c r="I177" s="230" t="s">
        <v>356</v>
      </c>
      <c r="J177" s="230" t="s">
        <v>2703</v>
      </c>
      <c r="K177" s="230" t="s">
        <v>2887</v>
      </c>
      <c r="L177" s="230" t="s">
        <v>1301</v>
      </c>
      <c r="M177" s="230" t="s">
        <v>2888</v>
      </c>
      <c r="N177" s="230" t="s">
        <v>2132</v>
      </c>
      <c r="O177" s="158" t="s">
        <v>61</v>
      </c>
      <c r="P177" s="92"/>
      <c r="Q177" s="146" t="s">
        <v>61</v>
      </c>
      <c r="R177" s="92"/>
      <c r="S177" s="146" t="s">
        <v>61</v>
      </c>
      <c r="T177" s="92"/>
      <c r="U177" s="146" t="s">
        <v>61</v>
      </c>
      <c r="V177" s="92"/>
      <c r="W177" s="146" t="s">
        <v>61</v>
      </c>
      <c r="X177" s="92"/>
      <c r="Y177" s="146" t="s">
        <v>61</v>
      </c>
      <c r="Z177" s="92"/>
      <c r="AA177" s="146" t="s">
        <v>61</v>
      </c>
      <c r="AB177" s="92"/>
      <c r="AC177" s="146" t="s">
        <v>61</v>
      </c>
      <c r="AD177" s="92"/>
      <c r="AE177" s="146" t="s">
        <v>61</v>
      </c>
      <c r="AF177" s="143" t="str">
        <f t="shared" si="11"/>
        <v>NA</v>
      </c>
      <c r="AG177" s="199" t="str">
        <f t="shared" si="10"/>
        <v>NÃO AVALIADO POR FALHA DE SINCRONISMO</v>
      </c>
      <c r="AH177" s="146" t="s">
        <v>204</v>
      </c>
      <c r="AI177" s="154" t="s">
        <v>6</v>
      </c>
      <c r="AJ177" s="151" t="str">
        <f t="shared" si="13"/>
        <v>GUARULHOS</v>
      </c>
      <c r="AK177" s="155" t="s">
        <v>59</v>
      </c>
      <c r="AL177" s="53">
        <v>-3.5200000000000002E-2</v>
      </c>
      <c r="AM177" s="53" t="str" cm="1">
        <f t="array" ref="AM177">IF(OR(O177&lt;&gt;"", SUMPRODUCT(($AN$2:$AN$561=AN177)*($AL$2:$AL$561&lt;=AL177)) &lt;= (COUNTIF($AN$2:$AN$561,AN177)*0.5)), "SORTEADO", "-")</f>
        <v>SORTEADO</v>
      </c>
      <c r="AN177" s="53" t="str">
        <f t="shared" si="12"/>
        <v>16/04/2026</v>
      </c>
    </row>
    <row r="178" spans="1:40" ht="30" hidden="1" customHeight="1" x14ac:dyDescent="0.2">
      <c r="A178" s="230" t="s">
        <v>197</v>
      </c>
      <c r="B178" s="230">
        <v>2615876078</v>
      </c>
      <c r="C178" s="230" t="s">
        <v>2701</v>
      </c>
      <c r="D178" s="230" t="s">
        <v>110</v>
      </c>
      <c r="E178" s="230" t="s">
        <v>198</v>
      </c>
      <c r="F178" s="230" t="s">
        <v>688</v>
      </c>
      <c r="G178" s="230">
        <v>206</v>
      </c>
      <c r="H178" s="230" t="s">
        <v>2367</v>
      </c>
      <c r="I178" s="230" t="s">
        <v>356</v>
      </c>
      <c r="J178" s="230" t="s">
        <v>2703</v>
      </c>
      <c r="K178" s="230" t="s">
        <v>2887</v>
      </c>
      <c r="L178" s="230" t="s">
        <v>1301</v>
      </c>
      <c r="M178" s="230" t="s">
        <v>2888</v>
      </c>
      <c r="N178" s="230" t="s">
        <v>2132</v>
      </c>
      <c r="O178" s="158" t="s">
        <v>61</v>
      </c>
      <c r="P178" s="92"/>
      <c r="Q178" s="146" t="s">
        <v>61</v>
      </c>
      <c r="R178" s="92"/>
      <c r="S178" s="146" t="s">
        <v>61</v>
      </c>
      <c r="T178" s="92"/>
      <c r="U178" s="146" t="s">
        <v>61</v>
      </c>
      <c r="V178" s="92"/>
      <c r="W178" s="146" t="s">
        <v>61</v>
      </c>
      <c r="X178" s="92"/>
      <c r="Y178" s="146" t="s">
        <v>61</v>
      </c>
      <c r="Z178" s="92"/>
      <c r="AA178" s="146" t="s">
        <v>61</v>
      </c>
      <c r="AB178" s="92"/>
      <c r="AC178" s="146" t="s">
        <v>61</v>
      </c>
      <c r="AD178" s="92"/>
      <c r="AE178" s="146" t="s">
        <v>61</v>
      </c>
      <c r="AF178" s="143" t="str">
        <f t="shared" si="11"/>
        <v>NA</v>
      </c>
      <c r="AG178" s="199" t="str">
        <f t="shared" si="10"/>
        <v>NÃO AVALIADO POR FALHA DE SINCRONISMO</v>
      </c>
      <c r="AH178" s="146" t="s">
        <v>204</v>
      </c>
      <c r="AI178" s="154" t="s">
        <v>6</v>
      </c>
      <c r="AJ178" s="151" t="str">
        <f t="shared" si="13"/>
        <v>GUARULHOS</v>
      </c>
      <c r="AK178" s="155" t="s">
        <v>59</v>
      </c>
      <c r="AL178" s="53">
        <v>-3.5400000000000001E-2</v>
      </c>
      <c r="AM178" s="53" t="str" cm="1">
        <f t="array" ref="AM178">IF(OR(O178&lt;&gt;"", SUMPRODUCT(($AN$2:$AN$561=AN178)*($AL$2:$AL$561&lt;=AL178)) &lt;= (COUNTIF($AN$2:$AN$561,AN178)*0.5)), "SORTEADO", "-")</f>
        <v>SORTEADO</v>
      </c>
      <c r="AN178" s="53" t="str">
        <f t="shared" si="12"/>
        <v>16/04/2026</v>
      </c>
    </row>
    <row r="179" spans="1:40" ht="30" hidden="1" customHeight="1" x14ac:dyDescent="0.2">
      <c r="A179" s="230" t="s">
        <v>197</v>
      </c>
      <c r="B179" s="230">
        <v>2615876552</v>
      </c>
      <c r="C179" s="230" t="s">
        <v>2701</v>
      </c>
      <c r="D179" s="230" t="s">
        <v>110</v>
      </c>
      <c r="E179" s="230" t="s">
        <v>198</v>
      </c>
      <c r="F179" s="230" t="s">
        <v>688</v>
      </c>
      <c r="G179" s="230">
        <v>205</v>
      </c>
      <c r="H179" s="230" t="s">
        <v>1670</v>
      </c>
      <c r="I179" s="230" t="s">
        <v>356</v>
      </c>
      <c r="J179" s="230" t="s">
        <v>2703</v>
      </c>
      <c r="K179" s="230" t="s">
        <v>2887</v>
      </c>
      <c r="L179" s="230" t="s">
        <v>1301</v>
      </c>
      <c r="M179" s="230" t="s">
        <v>2888</v>
      </c>
      <c r="N179" s="230" t="s">
        <v>2132</v>
      </c>
      <c r="O179" s="158" t="s">
        <v>61</v>
      </c>
      <c r="P179" s="92"/>
      <c r="Q179" s="146" t="s">
        <v>61</v>
      </c>
      <c r="R179" s="92"/>
      <c r="S179" s="146" t="s">
        <v>61</v>
      </c>
      <c r="T179" s="92"/>
      <c r="U179" s="146" t="s">
        <v>61</v>
      </c>
      <c r="V179" s="92"/>
      <c r="W179" s="146" t="s">
        <v>61</v>
      </c>
      <c r="X179" s="92"/>
      <c r="Y179" s="146" t="s">
        <v>61</v>
      </c>
      <c r="Z179" s="92"/>
      <c r="AA179" s="146" t="s">
        <v>61</v>
      </c>
      <c r="AB179" s="92"/>
      <c r="AC179" s="146" t="s">
        <v>61</v>
      </c>
      <c r="AD179" s="92"/>
      <c r="AE179" s="146" t="s">
        <v>61</v>
      </c>
      <c r="AF179" s="143" t="str">
        <f t="shared" si="11"/>
        <v>NA</v>
      </c>
      <c r="AG179" s="199" t="str">
        <f t="shared" si="10"/>
        <v>NÃO AVALIADO POR FALHA DE SINCRONISMO</v>
      </c>
      <c r="AH179" s="146" t="s">
        <v>204</v>
      </c>
      <c r="AI179" s="154" t="s">
        <v>6</v>
      </c>
      <c r="AJ179" s="151" t="str">
        <f t="shared" si="13"/>
        <v>GUARULHOS</v>
      </c>
      <c r="AK179" s="155" t="s">
        <v>59</v>
      </c>
      <c r="AL179" s="53">
        <v>-3.56E-2</v>
      </c>
      <c r="AM179" s="53" t="str" cm="1">
        <f t="array" ref="AM179">IF(OR(O179&lt;&gt;"", SUMPRODUCT(($AN$2:$AN$561=AN179)*($AL$2:$AL$561&lt;=AL179)) &lt;= (COUNTIF($AN$2:$AN$561,AN179)*0.5)), "SORTEADO", "-")</f>
        <v>SORTEADO</v>
      </c>
      <c r="AN179" s="53" t="str">
        <f t="shared" si="12"/>
        <v>16/04/2026</v>
      </c>
    </row>
    <row r="180" spans="1:40" ht="30" hidden="1" customHeight="1" x14ac:dyDescent="0.2">
      <c r="A180" s="230" t="s">
        <v>197</v>
      </c>
      <c r="B180" s="230">
        <v>2615875760</v>
      </c>
      <c r="C180" s="230" t="s">
        <v>2701</v>
      </c>
      <c r="D180" s="230" t="s">
        <v>110</v>
      </c>
      <c r="E180" s="230" t="s">
        <v>198</v>
      </c>
      <c r="F180" s="230" t="s">
        <v>688</v>
      </c>
      <c r="G180" s="230">
        <v>197</v>
      </c>
      <c r="H180" s="230" t="s">
        <v>276</v>
      </c>
      <c r="I180" s="230" t="s">
        <v>356</v>
      </c>
      <c r="J180" s="230" t="s">
        <v>2703</v>
      </c>
      <c r="K180" s="230" t="s">
        <v>2887</v>
      </c>
      <c r="L180" s="230" t="s">
        <v>1301</v>
      </c>
      <c r="M180" s="230" t="s">
        <v>2888</v>
      </c>
      <c r="N180" s="230" t="s">
        <v>2132</v>
      </c>
      <c r="O180" s="158" t="s">
        <v>61</v>
      </c>
      <c r="P180" s="92"/>
      <c r="Q180" s="146" t="s">
        <v>61</v>
      </c>
      <c r="R180" s="92"/>
      <c r="S180" s="146" t="s">
        <v>61</v>
      </c>
      <c r="T180" s="92"/>
      <c r="U180" s="146" t="s">
        <v>61</v>
      </c>
      <c r="V180" s="92"/>
      <c r="W180" s="146" t="s">
        <v>61</v>
      </c>
      <c r="X180" s="92"/>
      <c r="Y180" s="146" t="s">
        <v>61</v>
      </c>
      <c r="Z180" s="92"/>
      <c r="AA180" s="146" t="s">
        <v>61</v>
      </c>
      <c r="AB180" s="92"/>
      <c r="AC180" s="146" t="s">
        <v>61</v>
      </c>
      <c r="AD180" s="92"/>
      <c r="AE180" s="146" t="s">
        <v>61</v>
      </c>
      <c r="AF180" s="143" t="str">
        <f t="shared" si="11"/>
        <v>NA</v>
      </c>
      <c r="AG180" s="199" t="str">
        <f t="shared" si="10"/>
        <v>NÃO AVALIADO POR FALHA DE SINCRONISMO</v>
      </c>
      <c r="AH180" s="146" t="s">
        <v>204</v>
      </c>
      <c r="AI180" s="154" t="s">
        <v>6</v>
      </c>
      <c r="AJ180" s="151" t="str">
        <f t="shared" si="13"/>
        <v>GUARULHOS</v>
      </c>
      <c r="AK180" s="155" t="s">
        <v>59</v>
      </c>
      <c r="AL180" s="53">
        <v>-3.5799999999999998E-2</v>
      </c>
      <c r="AM180" s="53" t="str" cm="1">
        <f t="array" ref="AM180">IF(OR(O180&lt;&gt;"", SUMPRODUCT(($AN$2:$AN$561=AN180)*($AL$2:$AL$561&lt;=AL180)) &lt;= (COUNTIF($AN$2:$AN$561,AN180)*0.5)), "SORTEADO", "-")</f>
        <v>SORTEADO</v>
      </c>
      <c r="AN180" s="53" t="str">
        <f t="shared" si="12"/>
        <v>16/04/2026</v>
      </c>
    </row>
    <row r="181" spans="1:40" ht="30" hidden="1" customHeight="1" x14ac:dyDescent="0.2">
      <c r="A181" s="230" t="s">
        <v>197</v>
      </c>
      <c r="B181" s="230">
        <v>2615875508</v>
      </c>
      <c r="C181" s="230" t="s">
        <v>2701</v>
      </c>
      <c r="D181" s="230" t="s">
        <v>110</v>
      </c>
      <c r="E181" s="230" t="s">
        <v>198</v>
      </c>
      <c r="F181" s="230" t="s">
        <v>688</v>
      </c>
      <c r="G181" s="230">
        <v>196</v>
      </c>
      <c r="H181" s="230" t="s">
        <v>213</v>
      </c>
      <c r="I181" s="230" t="s">
        <v>356</v>
      </c>
      <c r="J181" s="230" t="s">
        <v>2703</v>
      </c>
      <c r="K181" s="230" t="s">
        <v>2891</v>
      </c>
      <c r="L181" s="230" t="s">
        <v>1301</v>
      </c>
      <c r="M181" s="230" t="s">
        <v>2888</v>
      </c>
      <c r="N181" s="230" t="s">
        <v>2132</v>
      </c>
      <c r="O181" s="158" t="s">
        <v>61</v>
      </c>
      <c r="P181" s="92"/>
      <c r="Q181" s="146" t="s">
        <v>61</v>
      </c>
      <c r="R181" s="92"/>
      <c r="S181" s="146" t="s">
        <v>61</v>
      </c>
      <c r="T181" s="92"/>
      <c r="U181" s="146" t="s">
        <v>61</v>
      </c>
      <c r="V181" s="92"/>
      <c r="W181" s="146" t="s">
        <v>61</v>
      </c>
      <c r="X181" s="92"/>
      <c r="Y181" s="146" t="s">
        <v>61</v>
      </c>
      <c r="Z181" s="92"/>
      <c r="AA181" s="146" t="s">
        <v>61</v>
      </c>
      <c r="AB181" s="92"/>
      <c r="AC181" s="146" t="s">
        <v>61</v>
      </c>
      <c r="AD181" s="92"/>
      <c r="AE181" s="146" t="s">
        <v>61</v>
      </c>
      <c r="AF181" s="143" t="str">
        <f t="shared" si="11"/>
        <v>NA</v>
      </c>
      <c r="AG181" s="199" t="str">
        <f t="shared" si="10"/>
        <v>NÃO AVALIADO POR FALHA DE SINCRONISMO</v>
      </c>
      <c r="AH181" s="146" t="s">
        <v>204</v>
      </c>
      <c r="AI181" s="154" t="s">
        <v>6</v>
      </c>
      <c r="AJ181" s="151" t="str">
        <f t="shared" si="13"/>
        <v>GUARULHOS</v>
      </c>
      <c r="AK181" s="155" t="s">
        <v>59</v>
      </c>
      <c r="AL181" s="53">
        <v>-3.5999999999999997E-2</v>
      </c>
      <c r="AM181" s="53" t="str" cm="1">
        <f t="array" ref="AM181">IF(OR(O181&lt;&gt;"", SUMPRODUCT(($AN$2:$AN$561=AN181)*($AL$2:$AL$561&lt;=AL181)) &lt;= (COUNTIF($AN$2:$AN$561,AN181)*0.5)), "SORTEADO", "-")</f>
        <v>SORTEADO</v>
      </c>
      <c r="AN181" s="53" t="str">
        <f t="shared" si="12"/>
        <v>16/04/2026</v>
      </c>
    </row>
    <row r="182" spans="1:40" ht="30" hidden="1" customHeight="1" x14ac:dyDescent="0.2">
      <c r="A182" s="230" t="s">
        <v>197</v>
      </c>
      <c r="B182" s="230">
        <v>2615873600</v>
      </c>
      <c r="C182" s="230" t="s">
        <v>2701</v>
      </c>
      <c r="D182" s="230" t="s">
        <v>110</v>
      </c>
      <c r="E182" s="230" t="s">
        <v>198</v>
      </c>
      <c r="F182" s="230" t="s">
        <v>688</v>
      </c>
      <c r="G182" s="230">
        <v>190</v>
      </c>
      <c r="H182" s="230"/>
      <c r="I182" s="230" t="s">
        <v>356</v>
      </c>
      <c r="J182" s="230" t="s">
        <v>2703</v>
      </c>
      <c r="K182" s="230" t="s">
        <v>2887</v>
      </c>
      <c r="L182" s="230" t="s">
        <v>1301</v>
      </c>
      <c r="M182" s="230" t="s">
        <v>2888</v>
      </c>
      <c r="N182" s="230" t="s">
        <v>2132</v>
      </c>
      <c r="O182" s="158" t="s">
        <v>61</v>
      </c>
      <c r="P182" s="92"/>
      <c r="Q182" s="146" t="s">
        <v>61</v>
      </c>
      <c r="R182" s="92"/>
      <c r="S182" s="146" t="s">
        <v>61</v>
      </c>
      <c r="T182" s="92"/>
      <c r="U182" s="146" t="s">
        <v>61</v>
      </c>
      <c r="V182" s="92"/>
      <c r="W182" s="146" t="s">
        <v>61</v>
      </c>
      <c r="X182" s="92"/>
      <c r="Y182" s="146" t="s">
        <v>61</v>
      </c>
      <c r="Z182" s="92"/>
      <c r="AA182" s="146" t="s">
        <v>61</v>
      </c>
      <c r="AB182" s="92"/>
      <c r="AC182" s="146" t="s">
        <v>61</v>
      </c>
      <c r="AD182" s="92"/>
      <c r="AE182" s="146" t="s">
        <v>61</v>
      </c>
      <c r="AF182" s="143" t="str">
        <f t="shared" si="11"/>
        <v>NA</v>
      </c>
      <c r="AG182" s="199" t="str">
        <f t="shared" si="10"/>
        <v>NÃO AVALIADO POR FALHA DE SINCRONISMO</v>
      </c>
      <c r="AH182" s="146" t="s">
        <v>204</v>
      </c>
      <c r="AI182" s="154" t="s">
        <v>6</v>
      </c>
      <c r="AJ182" s="151" t="str">
        <f t="shared" si="13"/>
        <v>GUARULHOS</v>
      </c>
      <c r="AK182" s="155" t="s">
        <v>59</v>
      </c>
      <c r="AL182" s="53">
        <v>-3.6200000000000003E-2</v>
      </c>
      <c r="AM182" s="53" t="str" cm="1">
        <f t="array" ref="AM182">IF(OR(O182&lt;&gt;"", SUMPRODUCT(($AN$2:$AN$561=AN182)*($AL$2:$AL$561&lt;=AL182)) &lt;= (COUNTIF($AN$2:$AN$561,AN182)*0.5)), "SORTEADO", "-")</f>
        <v>SORTEADO</v>
      </c>
      <c r="AN182" s="53" t="str">
        <f t="shared" si="12"/>
        <v>16/04/2026</v>
      </c>
    </row>
    <row r="183" spans="1:40" ht="30" hidden="1" customHeight="1" x14ac:dyDescent="0.2">
      <c r="A183" s="230" t="s">
        <v>197</v>
      </c>
      <c r="B183" s="230">
        <v>2615873432</v>
      </c>
      <c r="C183" s="230" t="s">
        <v>2701</v>
      </c>
      <c r="D183" s="230" t="s">
        <v>110</v>
      </c>
      <c r="E183" s="230" t="s">
        <v>198</v>
      </c>
      <c r="F183" s="230" t="s">
        <v>688</v>
      </c>
      <c r="G183" s="230">
        <v>187</v>
      </c>
      <c r="H183" s="230" t="s">
        <v>2894</v>
      </c>
      <c r="I183" s="230" t="s">
        <v>356</v>
      </c>
      <c r="J183" s="230" t="s">
        <v>2703</v>
      </c>
      <c r="K183" s="230" t="s">
        <v>2887</v>
      </c>
      <c r="L183" s="230" t="s">
        <v>1301</v>
      </c>
      <c r="M183" s="230" t="s">
        <v>2888</v>
      </c>
      <c r="N183" s="230" t="s">
        <v>2132</v>
      </c>
      <c r="O183" s="158" t="s">
        <v>61</v>
      </c>
      <c r="P183" s="92"/>
      <c r="Q183" s="146" t="s">
        <v>61</v>
      </c>
      <c r="R183" s="92"/>
      <c r="S183" s="146" t="s">
        <v>61</v>
      </c>
      <c r="T183" s="92"/>
      <c r="U183" s="146" t="s">
        <v>61</v>
      </c>
      <c r="V183" s="92"/>
      <c r="W183" s="146" t="s">
        <v>61</v>
      </c>
      <c r="X183" s="92"/>
      <c r="Y183" s="146" t="s">
        <v>61</v>
      </c>
      <c r="Z183" s="92"/>
      <c r="AA183" s="146" t="s">
        <v>61</v>
      </c>
      <c r="AB183" s="92"/>
      <c r="AC183" s="146" t="s">
        <v>61</v>
      </c>
      <c r="AD183" s="92"/>
      <c r="AE183" s="146" t="s">
        <v>61</v>
      </c>
      <c r="AF183" s="143" t="str">
        <f t="shared" si="11"/>
        <v>NA</v>
      </c>
      <c r="AG183" s="199" t="str">
        <f t="shared" si="10"/>
        <v>NÃO AVALIADO POR FALHA DE SINCRONISMO</v>
      </c>
      <c r="AH183" s="146" t="s">
        <v>204</v>
      </c>
      <c r="AI183" s="154" t="s">
        <v>6</v>
      </c>
      <c r="AJ183" s="151" t="str">
        <f t="shared" si="13"/>
        <v>GUARULHOS</v>
      </c>
      <c r="AK183" s="155" t="s">
        <v>59</v>
      </c>
      <c r="AL183" s="53">
        <v>-3.6400000000000002E-2</v>
      </c>
      <c r="AM183" s="53" t="str" cm="1">
        <f t="array" ref="AM183">IF(OR(O183&lt;&gt;"", SUMPRODUCT(($AN$2:$AN$561=AN183)*($AL$2:$AL$561&lt;=AL183)) &lt;= (COUNTIF($AN$2:$AN$561,AN183)*0.5)), "SORTEADO", "-")</f>
        <v>SORTEADO</v>
      </c>
      <c r="AN183" s="53" t="str">
        <f t="shared" si="12"/>
        <v>16/04/2026</v>
      </c>
    </row>
    <row r="184" spans="1:40" ht="30" hidden="1" customHeight="1" x14ac:dyDescent="0.2">
      <c r="A184" s="230" t="s">
        <v>197</v>
      </c>
      <c r="B184" s="230">
        <v>2615877873</v>
      </c>
      <c r="C184" s="230" t="s">
        <v>2701</v>
      </c>
      <c r="D184" s="230" t="s">
        <v>110</v>
      </c>
      <c r="E184" s="230" t="s">
        <v>198</v>
      </c>
      <c r="F184" s="230" t="s">
        <v>688</v>
      </c>
      <c r="G184" s="230">
        <v>184</v>
      </c>
      <c r="H184" s="230" t="s">
        <v>206</v>
      </c>
      <c r="I184" s="230" t="s">
        <v>356</v>
      </c>
      <c r="J184" s="230" t="s">
        <v>2703</v>
      </c>
      <c r="K184" s="230" t="s">
        <v>2887</v>
      </c>
      <c r="L184" s="230" t="s">
        <v>1301</v>
      </c>
      <c r="M184" s="230" t="s">
        <v>2888</v>
      </c>
      <c r="N184" s="230" t="s">
        <v>2132</v>
      </c>
      <c r="O184" s="158" t="s">
        <v>61</v>
      </c>
      <c r="P184" s="92"/>
      <c r="Q184" s="146" t="s">
        <v>61</v>
      </c>
      <c r="R184" s="92"/>
      <c r="S184" s="146" t="s">
        <v>61</v>
      </c>
      <c r="T184" s="92"/>
      <c r="U184" s="146" t="s">
        <v>61</v>
      </c>
      <c r="V184" s="92"/>
      <c r="W184" s="146" t="s">
        <v>61</v>
      </c>
      <c r="X184" s="92"/>
      <c r="Y184" s="146" t="s">
        <v>61</v>
      </c>
      <c r="Z184" s="92"/>
      <c r="AA184" s="146" t="s">
        <v>61</v>
      </c>
      <c r="AB184" s="92"/>
      <c r="AC184" s="146" t="s">
        <v>61</v>
      </c>
      <c r="AD184" s="92"/>
      <c r="AE184" s="146" t="s">
        <v>61</v>
      </c>
      <c r="AF184" s="143" t="str">
        <f t="shared" si="11"/>
        <v>NA</v>
      </c>
      <c r="AG184" s="199" t="str">
        <f t="shared" si="10"/>
        <v>NÃO AVALIADO POR FALHA DE SINCRONISMO</v>
      </c>
      <c r="AH184" s="146" t="s">
        <v>204</v>
      </c>
      <c r="AI184" s="154" t="s">
        <v>6</v>
      </c>
      <c r="AJ184" s="151" t="str">
        <f t="shared" si="13"/>
        <v>GUARULHOS</v>
      </c>
      <c r="AK184" s="155" t="s">
        <v>59</v>
      </c>
      <c r="AL184" s="53">
        <v>-3.6600000000000001E-2</v>
      </c>
      <c r="AM184" s="53" t="str" cm="1">
        <f t="array" ref="AM184">IF(OR(O184&lt;&gt;"", SUMPRODUCT(($AN$2:$AN$561=AN184)*($AL$2:$AL$561&lt;=AL184)) &lt;= (COUNTIF($AN$2:$AN$561,AN184)*0.5)), "SORTEADO", "-")</f>
        <v>SORTEADO</v>
      </c>
      <c r="AN184" s="53" t="str">
        <f t="shared" si="12"/>
        <v>16/04/2026</v>
      </c>
    </row>
    <row r="185" spans="1:40" ht="30" hidden="1" customHeight="1" x14ac:dyDescent="0.2">
      <c r="A185" s="230" t="s">
        <v>197</v>
      </c>
      <c r="B185" s="230">
        <v>2615877671</v>
      </c>
      <c r="C185" s="230" t="s">
        <v>2701</v>
      </c>
      <c r="D185" s="230" t="s">
        <v>110</v>
      </c>
      <c r="E185" s="230" t="s">
        <v>198</v>
      </c>
      <c r="F185" s="230" t="s">
        <v>688</v>
      </c>
      <c r="G185" s="230">
        <v>183</v>
      </c>
      <c r="H185" s="230" t="s">
        <v>2895</v>
      </c>
      <c r="I185" s="230" t="s">
        <v>356</v>
      </c>
      <c r="J185" s="230" t="s">
        <v>2703</v>
      </c>
      <c r="K185" s="230" t="s">
        <v>2887</v>
      </c>
      <c r="L185" s="230" t="s">
        <v>1301</v>
      </c>
      <c r="M185" s="230" t="s">
        <v>2888</v>
      </c>
      <c r="N185" s="230" t="s">
        <v>2132</v>
      </c>
      <c r="O185" s="158" t="s">
        <v>61</v>
      </c>
      <c r="P185" s="92"/>
      <c r="Q185" s="146" t="s">
        <v>61</v>
      </c>
      <c r="R185" s="92"/>
      <c r="S185" s="146" t="s">
        <v>61</v>
      </c>
      <c r="T185" s="92"/>
      <c r="U185" s="146" t="s">
        <v>61</v>
      </c>
      <c r="V185" s="92"/>
      <c r="W185" s="146" t="s">
        <v>61</v>
      </c>
      <c r="X185" s="92"/>
      <c r="Y185" s="146" t="s">
        <v>61</v>
      </c>
      <c r="Z185" s="92"/>
      <c r="AA185" s="146" t="s">
        <v>61</v>
      </c>
      <c r="AB185" s="92"/>
      <c r="AC185" s="146" t="s">
        <v>61</v>
      </c>
      <c r="AD185" s="92"/>
      <c r="AE185" s="146" t="s">
        <v>61</v>
      </c>
      <c r="AF185" s="143" t="str">
        <f t="shared" si="11"/>
        <v>NA</v>
      </c>
      <c r="AG185" s="199" t="str">
        <f t="shared" si="10"/>
        <v>NÃO AVALIADO POR FALHA DE SINCRONISMO</v>
      </c>
      <c r="AH185" s="146" t="s">
        <v>204</v>
      </c>
      <c r="AI185" s="154" t="s">
        <v>6</v>
      </c>
      <c r="AJ185" s="151" t="str">
        <f t="shared" si="13"/>
        <v>GUARULHOS</v>
      </c>
      <c r="AK185" s="155" t="s">
        <v>59</v>
      </c>
      <c r="AL185" s="53">
        <v>-3.6799999999999999E-2</v>
      </c>
      <c r="AM185" s="53" t="str" cm="1">
        <f t="array" ref="AM185">IF(OR(O185&lt;&gt;"", SUMPRODUCT(($AN$2:$AN$561=AN185)*($AL$2:$AL$561&lt;=AL185)) &lt;= (COUNTIF($AN$2:$AN$561,AN185)*0.5)), "SORTEADO", "-")</f>
        <v>SORTEADO</v>
      </c>
      <c r="AN185" s="53" t="str">
        <f t="shared" si="12"/>
        <v>16/04/2026</v>
      </c>
    </row>
    <row r="186" spans="1:40" ht="30" customHeight="1" x14ac:dyDescent="0.2">
      <c r="A186" s="230" t="s">
        <v>197</v>
      </c>
      <c r="B186" s="230">
        <v>2615914374</v>
      </c>
      <c r="C186" s="230" t="s">
        <v>120</v>
      </c>
      <c r="D186" s="230" t="s">
        <v>111</v>
      </c>
      <c r="E186" s="230" t="s">
        <v>198</v>
      </c>
      <c r="F186" s="230" t="s">
        <v>212</v>
      </c>
      <c r="G186" s="230">
        <v>159</v>
      </c>
      <c r="H186" s="230" t="s">
        <v>213</v>
      </c>
      <c r="I186" s="230" t="s">
        <v>214</v>
      </c>
      <c r="J186" s="230" t="s">
        <v>2637</v>
      </c>
      <c r="K186" s="230" t="s">
        <v>213</v>
      </c>
      <c r="L186" s="230" t="s">
        <v>1442</v>
      </c>
      <c r="M186" s="230" t="s">
        <v>2896</v>
      </c>
      <c r="N186" s="230" t="s">
        <v>2638</v>
      </c>
      <c r="O186" s="158" t="s">
        <v>204</v>
      </c>
      <c r="P186" s="92"/>
      <c r="Q186" s="146" t="s">
        <v>204</v>
      </c>
      <c r="R186" s="92"/>
      <c r="S186" s="146" t="s">
        <v>61</v>
      </c>
      <c r="T186" s="92"/>
      <c r="U186" s="146" t="s">
        <v>61</v>
      </c>
      <c r="V186" s="92"/>
      <c r="W186" s="146" t="s">
        <v>61</v>
      </c>
      <c r="X186" s="92"/>
      <c r="Y186" s="146" t="s">
        <v>61</v>
      </c>
      <c r="Z186" s="92"/>
      <c r="AA186" s="146" t="s">
        <v>61</v>
      </c>
      <c r="AB186" s="92"/>
      <c r="AC186" s="146" t="s">
        <v>204</v>
      </c>
      <c r="AD186" s="92"/>
      <c r="AE186" s="146" t="s">
        <v>204</v>
      </c>
      <c r="AF186" s="143" t="str">
        <f t="shared" si="11"/>
        <v>C</v>
      </c>
      <c r="AG186" s="199" t="str">
        <f t="shared" si="10"/>
        <v>UTILIZOU O PDA CORRETAMENTE</v>
      </c>
      <c r="AH186" s="146" t="s">
        <v>204</v>
      </c>
      <c r="AI186" s="154" t="s">
        <v>6</v>
      </c>
      <c r="AJ186" s="151" t="str">
        <f t="shared" si="13"/>
        <v>GUARULHOS</v>
      </c>
      <c r="AK186" s="155" t="s">
        <v>59</v>
      </c>
      <c r="AL186" s="53">
        <v>0.51770247459430685</v>
      </c>
      <c r="AM186" s="53" t="str" cm="1">
        <f t="array" ref="AM186">IF(OR(O186&lt;&gt;"", SUMPRODUCT(($AN$2:$AN$561=AN186)*($AL$2:$AL$561&lt;=AL186)) &lt;= (COUNTIF($AN$2:$AN$561,AN186)*0.5)), "SORTEADO", "-")</f>
        <v>SORTEADO</v>
      </c>
      <c r="AN186" s="53" t="str">
        <f t="shared" si="12"/>
        <v>17/04/2026</v>
      </c>
    </row>
    <row r="187" spans="1:40" ht="30" customHeight="1" x14ac:dyDescent="0.2">
      <c r="A187" s="230" t="s">
        <v>197</v>
      </c>
      <c r="B187" s="230">
        <v>2615931434</v>
      </c>
      <c r="C187" s="230" t="s">
        <v>120</v>
      </c>
      <c r="D187" s="230" t="s">
        <v>111</v>
      </c>
      <c r="E187" s="230" t="s">
        <v>198</v>
      </c>
      <c r="F187" s="230" t="s">
        <v>2897</v>
      </c>
      <c r="G187" s="230">
        <v>2637</v>
      </c>
      <c r="H187" s="230" t="s">
        <v>2898</v>
      </c>
      <c r="I187" s="230" t="s">
        <v>445</v>
      </c>
      <c r="J187" s="230" t="s">
        <v>2637</v>
      </c>
      <c r="K187" s="230"/>
      <c r="L187" s="230" t="s">
        <v>1442</v>
      </c>
      <c r="M187" s="230" t="s">
        <v>2899</v>
      </c>
      <c r="N187" s="230" t="s">
        <v>2638</v>
      </c>
      <c r="O187" s="158"/>
      <c r="P187" s="92"/>
      <c r="Q187" s="146"/>
      <c r="R187" s="92"/>
      <c r="S187" s="146"/>
      <c r="T187" s="92"/>
      <c r="U187" s="146"/>
      <c r="V187" s="92"/>
      <c r="W187" s="146"/>
      <c r="X187" s="92"/>
      <c r="Y187" s="146"/>
      <c r="Z187" s="92"/>
      <c r="AA187" s="146"/>
      <c r="AB187" s="92"/>
      <c r="AC187" s="146"/>
      <c r="AD187" s="92"/>
      <c r="AE187" s="146"/>
      <c r="AF187" s="143" t="str">
        <f t="shared" si="11"/>
        <v/>
      </c>
      <c r="AG187" s="199" t="b">
        <f t="shared" si="10"/>
        <v>0</v>
      </c>
      <c r="AH187" s="146"/>
      <c r="AI187" s="154" t="s">
        <v>6</v>
      </c>
      <c r="AJ187" s="151" t="str">
        <f t="shared" si="13"/>
        <v>GUARULHOS</v>
      </c>
      <c r="AK187" s="155" t="s">
        <v>59</v>
      </c>
      <c r="AL187" s="53">
        <v>0.65794043087653409</v>
      </c>
      <c r="AM187" s="53" t="str" cm="1">
        <f t="array" ref="AM187">IF(OR(O187&lt;&gt;"", SUMPRODUCT(($AN$2:$AN$561=AN187)*($AL$2:$AL$561&lt;=AL187)) &lt;= (COUNTIF($AN$2:$AN$561,AN187)*0.5)), "SORTEADO", "-")</f>
        <v>-</v>
      </c>
      <c r="AN187" s="53" t="str">
        <f t="shared" si="12"/>
        <v>17/04/2026</v>
      </c>
    </row>
    <row r="188" spans="1:40" ht="30" hidden="1" customHeight="1" x14ac:dyDescent="0.2">
      <c r="A188" s="230" t="s">
        <v>197</v>
      </c>
      <c r="B188" s="230">
        <v>2616193708</v>
      </c>
      <c r="C188" s="230" t="s">
        <v>122</v>
      </c>
      <c r="D188" s="230" t="s">
        <v>108</v>
      </c>
      <c r="E188" s="230" t="s">
        <v>198</v>
      </c>
      <c r="F188" s="230" t="s">
        <v>2900</v>
      </c>
      <c r="G188" s="230">
        <v>46</v>
      </c>
      <c r="H188" s="230" t="s">
        <v>2901</v>
      </c>
      <c r="I188" s="230" t="s">
        <v>654</v>
      </c>
      <c r="J188" s="230" t="s">
        <v>2633</v>
      </c>
      <c r="K188" s="230" t="s">
        <v>213</v>
      </c>
      <c r="L188" s="230" t="s">
        <v>1442</v>
      </c>
      <c r="M188" s="230" t="s">
        <v>2902</v>
      </c>
      <c r="N188" s="230" t="s">
        <v>2640</v>
      </c>
      <c r="O188" s="158"/>
      <c r="P188" s="92"/>
      <c r="Q188" s="146"/>
      <c r="R188" s="92"/>
      <c r="S188" s="146"/>
      <c r="T188" s="92"/>
      <c r="U188" s="146"/>
      <c r="V188" s="92"/>
      <c r="W188" s="146"/>
      <c r="X188" s="92"/>
      <c r="Y188" s="146"/>
      <c r="Z188" s="92"/>
      <c r="AA188" s="146"/>
      <c r="AB188" s="92"/>
      <c r="AC188" s="146"/>
      <c r="AD188" s="92"/>
      <c r="AE188" s="146"/>
      <c r="AF188" s="143" t="str">
        <f t="shared" si="11"/>
        <v/>
      </c>
      <c r="AG188" s="199" t="b">
        <f t="shared" si="10"/>
        <v>0</v>
      </c>
      <c r="AH188" s="146"/>
      <c r="AI188" s="154" t="s">
        <v>6</v>
      </c>
      <c r="AJ188" s="151" t="str">
        <f t="shared" si="13"/>
        <v>GUARULHOS</v>
      </c>
      <c r="AK188" s="155" t="s">
        <v>59</v>
      </c>
      <c r="AL188" s="53">
        <v>0.56153865174686812</v>
      </c>
      <c r="AM188" s="53" t="str" cm="1">
        <f t="array" ref="AM188">IF(OR(O188&lt;&gt;"", SUMPRODUCT(($AN$2:$AN$561=AN188)*($AL$2:$AL$561&lt;=AL188)) &lt;= (COUNTIF($AN$2:$AN$561,AN188)*0.5)), "SORTEADO", "-")</f>
        <v>-</v>
      </c>
      <c r="AN188" s="53" t="str">
        <f t="shared" si="12"/>
        <v>17/04/2026</v>
      </c>
    </row>
    <row r="189" spans="1:40" ht="30" hidden="1" customHeight="1" x14ac:dyDescent="0.2">
      <c r="A189" s="230" t="s">
        <v>197</v>
      </c>
      <c r="B189" s="230">
        <v>2616213476</v>
      </c>
      <c r="C189" s="230" t="s">
        <v>121</v>
      </c>
      <c r="D189" s="230" t="s">
        <v>110</v>
      </c>
      <c r="E189" s="230" t="s">
        <v>198</v>
      </c>
      <c r="F189" s="230" t="s">
        <v>2903</v>
      </c>
      <c r="G189" s="230">
        <v>52</v>
      </c>
      <c r="H189" s="230" t="s">
        <v>2904</v>
      </c>
      <c r="I189" s="230" t="s">
        <v>285</v>
      </c>
      <c r="J189" s="230" t="s">
        <v>2661</v>
      </c>
      <c r="K189" s="230"/>
      <c r="L189" s="230" t="s">
        <v>1442</v>
      </c>
      <c r="M189" s="230" t="s">
        <v>2905</v>
      </c>
      <c r="N189" s="230" t="s">
        <v>2634</v>
      </c>
      <c r="O189" s="158" t="s">
        <v>204</v>
      </c>
      <c r="P189" s="92"/>
      <c r="Q189" s="146" t="s">
        <v>204</v>
      </c>
      <c r="R189" s="92"/>
      <c r="S189" s="146" t="s">
        <v>204</v>
      </c>
      <c r="T189" s="92"/>
      <c r="U189" s="146" t="s">
        <v>204</v>
      </c>
      <c r="V189" s="92"/>
      <c r="W189" s="146" t="s">
        <v>204</v>
      </c>
      <c r="X189" s="92"/>
      <c r="Y189" s="146" t="s">
        <v>61</v>
      </c>
      <c r="Z189" s="92"/>
      <c r="AA189" s="146" t="s">
        <v>204</v>
      </c>
      <c r="AB189" s="92"/>
      <c r="AC189" s="146" t="s">
        <v>204</v>
      </c>
      <c r="AD189" s="92"/>
      <c r="AE189" s="146" t="s">
        <v>204</v>
      </c>
      <c r="AF189" s="143" t="str">
        <f t="shared" si="11"/>
        <v>C</v>
      </c>
      <c r="AG189" s="199" t="str">
        <f t="shared" si="10"/>
        <v>UTILIZOU O PDA CORRETAMENTE</v>
      </c>
      <c r="AH189" s="146" t="s">
        <v>204</v>
      </c>
      <c r="AI189" s="154" t="s">
        <v>6</v>
      </c>
      <c r="AJ189" s="151" t="str">
        <f t="shared" si="13"/>
        <v>GUARULHOS</v>
      </c>
      <c r="AK189" s="155" t="s">
        <v>59</v>
      </c>
      <c r="AL189" s="53">
        <v>0.32414855438974532</v>
      </c>
      <c r="AM189" s="53" t="str" cm="1">
        <f t="array" ref="AM189">IF(OR(O189&lt;&gt;"", SUMPRODUCT(($AN$2:$AN$561=AN189)*($AL$2:$AL$561&lt;=AL189)) &lt;= (COUNTIF($AN$2:$AN$561,AN189)*0.5)), "SORTEADO", "-")</f>
        <v>SORTEADO</v>
      </c>
      <c r="AN189" s="53" t="str">
        <f t="shared" si="12"/>
        <v>17/04/2026</v>
      </c>
    </row>
    <row r="190" spans="1:40" ht="30" hidden="1" customHeight="1" x14ac:dyDescent="0.2">
      <c r="A190" s="230" t="s">
        <v>197</v>
      </c>
      <c r="B190" s="230">
        <v>2616234479</v>
      </c>
      <c r="C190" s="230" t="s">
        <v>2810</v>
      </c>
      <c r="D190" s="230" t="s">
        <v>110</v>
      </c>
      <c r="E190" s="230" t="s">
        <v>198</v>
      </c>
      <c r="F190" s="230" t="s">
        <v>2906</v>
      </c>
      <c r="G190" s="230">
        <v>24</v>
      </c>
      <c r="H190" s="230" t="s">
        <v>488</v>
      </c>
      <c r="I190" s="230" t="s">
        <v>509</v>
      </c>
      <c r="J190" s="230" t="s">
        <v>2813</v>
      </c>
      <c r="K190" s="230" t="s">
        <v>213</v>
      </c>
      <c r="L190" s="230" t="s">
        <v>1442</v>
      </c>
      <c r="M190" s="230" t="s">
        <v>2907</v>
      </c>
      <c r="N190" s="230" t="s">
        <v>2646</v>
      </c>
      <c r="O190" s="158"/>
      <c r="P190" s="92"/>
      <c r="Q190" s="146"/>
      <c r="R190" s="92"/>
      <c r="S190" s="146"/>
      <c r="T190" s="92"/>
      <c r="U190" s="146"/>
      <c r="V190" s="92"/>
      <c r="W190" s="146"/>
      <c r="X190" s="92"/>
      <c r="Y190" s="146"/>
      <c r="Z190" s="92"/>
      <c r="AA190" s="146"/>
      <c r="AB190" s="92"/>
      <c r="AC190" s="146"/>
      <c r="AD190" s="92"/>
      <c r="AE190" s="146"/>
      <c r="AF190" s="143" t="str">
        <f t="shared" si="11"/>
        <v/>
      </c>
      <c r="AG190" s="199" t="b">
        <f t="shared" ref="AG190:AG253" si="14">IF(AND(AE190="C",AF190="C"),"UTILIZOU O PDA CORRETAMENTE",IF(AND(AE190="C",AF190="NC"),"UTILIZOU O PDA CORRETAMENTE. NÃO HÁ FOTOS DE TODAS AS ETAPAS",IF(AND(AE190="NC",AF190="NC"),"NÃO UTILIZOU O PDA",IF(AND(AE190="NA",AF190="NA"),"NÃO AVALIADO POR FALHA DE SINCRONISMO"))))</f>
        <v>0</v>
      </c>
      <c r="AH190" s="146"/>
      <c r="AI190" s="154" t="s">
        <v>6</v>
      </c>
      <c r="AJ190" s="151" t="str">
        <f t="shared" si="13"/>
        <v>GUARULHOS</v>
      </c>
      <c r="AK190" s="155" t="s">
        <v>59</v>
      </c>
      <c r="AL190" s="53">
        <v>0.68152242581253397</v>
      </c>
      <c r="AM190" s="53" t="str" cm="1">
        <f t="array" ref="AM190">IF(OR(O190&lt;&gt;"", SUMPRODUCT(($AN$2:$AN$561=AN190)*($AL$2:$AL$561&lt;=AL190)) &lt;= (COUNTIF($AN$2:$AN$561,AN190)*0.5)), "SORTEADO", "-")</f>
        <v>-</v>
      </c>
      <c r="AN190" s="53" t="str">
        <f t="shared" si="12"/>
        <v>17/04/2026</v>
      </c>
    </row>
    <row r="191" spans="1:40" ht="30" hidden="1" customHeight="1" x14ac:dyDescent="0.2">
      <c r="A191" s="230" t="s">
        <v>197</v>
      </c>
      <c r="B191" s="230">
        <v>2616236059</v>
      </c>
      <c r="C191" s="230" t="s">
        <v>121</v>
      </c>
      <c r="D191" s="230" t="s">
        <v>110</v>
      </c>
      <c r="E191" s="230" t="s">
        <v>198</v>
      </c>
      <c r="F191" s="230" t="s">
        <v>2680</v>
      </c>
      <c r="G191" s="230">
        <v>57</v>
      </c>
      <c r="H191" s="230" t="s">
        <v>309</v>
      </c>
      <c r="I191" s="230" t="s">
        <v>746</v>
      </c>
      <c r="J191" s="230" t="s">
        <v>2661</v>
      </c>
      <c r="K191" s="230"/>
      <c r="L191" s="230" t="s">
        <v>1442</v>
      </c>
      <c r="M191" s="230" t="s">
        <v>2908</v>
      </c>
      <c r="N191" s="230" t="s">
        <v>2646</v>
      </c>
      <c r="O191" s="158" t="s">
        <v>204</v>
      </c>
      <c r="P191" s="92"/>
      <c r="Q191" s="146" t="s">
        <v>204</v>
      </c>
      <c r="R191" s="92"/>
      <c r="S191" s="146" t="s">
        <v>204</v>
      </c>
      <c r="T191" s="92"/>
      <c r="U191" s="146" t="s">
        <v>204</v>
      </c>
      <c r="V191" s="92"/>
      <c r="W191" s="146" t="s">
        <v>61</v>
      </c>
      <c r="X191" s="92"/>
      <c r="Y191" s="146" t="s">
        <v>61</v>
      </c>
      <c r="Z191" s="92"/>
      <c r="AA191" s="146" t="s">
        <v>204</v>
      </c>
      <c r="AB191" s="92"/>
      <c r="AC191" s="146" t="s">
        <v>204</v>
      </c>
      <c r="AD191" s="92"/>
      <c r="AE191" s="146" t="s">
        <v>204</v>
      </c>
      <c r="AF191" s="143" t="str">
        <f t="shared" ref="AF191:AF254" si="15">IF(AND(O191="",Q191="",S191="",U191="",W191="",Y191="",AA191="",AC191=""),"",IF(OR(AND(O191&lt;&gt;"NA",O191&lt;&gt;"C",O191&lt;&gt;"NC",O191&lt;&gt;"SF",O191&lt;&gt;""),AND(Q191&lt;&gt;"NA",Q191&lt;&gt;"C",Q191&lt;&gt;"NC",Q191&lt;&gt;"SF",Q191&lt;&gt;""),AND(S191&lt;&gt;"NA",S191&lt;&gt;"C",S191&lt;&gt;"NC",S191&lt;&gt;"SF",S191&lt;&gt;""),AND(U191&lt;&gt;"NA",U191&lt;&gt;"C",U191&lt;&gt;"NC",U191&lt;&gt;"SF",U191&lt;&gt;""),AND(W191&lt;&gt;"NA",W191&lt;&gt;"C",W191&lt;&gt;"NC",W191&lt;&gt;"SF",W191&lt;&gt;""),AND(Y191&lt;&gt;"NA",Y191&lt;&gt;"C",Y191&lt;&gt;"NC",Y191&lt;&gt;"SF",Y191&lt;&gt;""),AND(AA191&lt;&gt;"NA",AA191&lt;&gt;"C",AA191&lt;&gt;"NC",AA191&lt;&gt;"SF",AA191&lt;&gt;""),AND(AC191&lt;&gt;"NA",AC191&lt;&gt;"C",AC191&lt;&gt;"NC",AC191&lt;&gt;"SF",AC191&lt;&gt;"")),"FALSO",IF(AND(O191="NA",Q191="NA",S191="NA",U191="NA",W191="NA",Y191="NA",AA191="NA",AC191="NA"),"NA",IF(OR(O191="NC",Q191="NC",S191="NC",U191="NC",W191="NC",Y191="NC",AA191="NC",AC191="NC",O191="SF",Q191="SF",S191="SF",U191="SF",W191="SF",Y191="SF",AA191="SF",AC191="SF"),"NC",IF(OR(O191="C",Q191="C",S191="C",U191="C",W191="C",Y191="C",AA191="C",AC191="C"),"C","")))))</f>
        <v>C</v>
      </c>
      <c r="AG191" s="199" t="str">
        <f t="shared" si="14"/>
        <v>UTILIZOU O PDA CORRETAMENTE</v>
      </c>
      <c r="AH191" s="146" t="s">
        <v>204</v>
      </c>
      <c r="AI191" s="154" t="s">
        <v>6</v>
      </c>
      <c r="AJ191" s="151" t="str">
        <f t="shared" si="13"/>
        <v>GUARULHOS</v>
      </c>
      <c r="AK191" s="155" t="s">
        <v>59</v>
      </c>
      <c r="AL191" s="53">
        <v>9.0562464610185911E-2</v>
      </c>
      <c r="AM191" s="53" t="str" cm="1">
        <f t="array" ref="AM191">IF(OR(O191&lt;&gt;"", SUMPRODUCT(($AN$2:$AN$561=AN191)*($AL$2:$AL$561&lt;=AL191)) &lt;= (COUNTIF($AN$2:$AN$561,AN191)*0.5)), "SORTEADO", "-")</f>
        <v>SORTEADO</v>
      </c>
      <c r="AN191" s="53" t="str">
        <f t="shared" si="12"/>
        <v>17/04/2026</v>
      </c>
    </row>
    <row r="192" spans="1:40" ht="30" hidden="1" customHeight="1" x14ac:dyDescent="0.2">
      <c r="A192" s="230" t="s">
        <v>197</v>
      </c>
      <c r="B192" s="230">
        <v>2616368516</v>
      </c>
      <c r="C192" s="230" t="s">
        <v>121</v>
      </c>
      <c r="D192" s="230" t="s">
        <v>110</v>
      </c>
      <c r="E192" s="230" t="s">
        <v>198</v>
      </c>
      <c r="F192" s="230" t="s">
        <v>2909</v>
      </c>
      <c r="G192" s="230">
        <v>118</v>
      </c>
      <c r="H192" s="230" t="s">
        <v>2910</v>
      </c>
      <c r="I192" s="230" t="s">
        <v>253</v>
      </c>
      <c r="J192" s="230" t="s">
        <v>2661</v>
      </c>
      <c r="K192" s="230" t="s">
        <v>2911</v>
      </c>
      <c r="L192" s="230" t="s">
        <v>1442</v>
      </c>
      <c r="M192" s="230" t="s">
        <v>2912</v>
      </c>
      <c r="N192" s="230" t="s">
        <v>2634</v>
      </c>
      <c r="O192" s="158"/>
      <c r="P192" s="92"/>
      <c r="Q192" s="146"/>
      <c r="R192" s="92"/>
      <c r="S192" s="146"/>
      <c r="T192" s="92"/>
      <c r="U192" s="146"/>
      <c r="V192" s="92"/>
      <c r="W192" s="146"/>
      <c r="X192" s="92"/>
      <c r="Y192" s="146"/>
      <c r="Z192" s="92"/>
      <c r="AA192" s="146"/>
      <c r="AB192" s="92"/>
      <c r="AC192" s="146"/>
      <c r="AD192" s="92"/>
      <c r="AE192" s="146"/>
      <c r="AF192" s="143" t="str">
        <f t="shared" si="15"/>
        <v/>
      </c>
      <c r="AG192" s="199" t="b">
        <f t="shared" si="14"/>
        <v>0</v>
      </c>
      <c r="AH192" s="146"/>
      <c r="AI192" s="154" t="s">
        <v>6</v>
      </c>
      <c r="AJ192" s="151" t="str">
        <f t="shared" si="13"/>
        <v>GUARULHOS</v>
      </c>
      <c r="AK192" s="155" t="s">
        <v>59</v>
      </c>
      <c r="AL192" s="53">
        <v>0.68129938072963492</v>
      </c>
      <c r="AM192" s="53" t="str" cm="1">
        <f t="array" ref="AM192">IF(OR(O192&lt;&gt;"", SUMPRODUCT(($AN$2:$AN$561=AN192)*($AL$2:$AL$561&lt;=AL192)) &lt;= (COUNTIF($AN$2:$AN$561,AN192)*0.5)), "SORTEADO", "-")</f>
        <v>-</v>
      </c>
      <c r="AN192" s="53" t="str">
        <f t="shared" si="12"/>
        <v>17/04/2026</v>
      </c>
    </row>
    <row r="193" spans="1:40" ht="30" hidden="1" customHeight="1" x14ac:dyDescent="0.2">
      <c r="A193" s="230" t="s">
        <v>197</v>
      </c>
      <c r="B193" s="230">
        <v>2616217831</v>
      </c>
      <c r="C193" s="230" t="s">
        <v>122</v>
      </c>
      <c r="D193" s="230" t="s">
        <v>108</v>
      </c>
      <c r="E193" s="230" t="s">
        <v>198</v>
      </c>
      <c r="F193" s="230" t="s">
        <v>261</v>
      </c>
      <c r="G193" s="230">
        <v>381</v>
      </c>
      <c r="H193" s="230"/>
      <c r="I193" s="230" t="s">
        <v>262</v>
      </c>
      <c r="J193" s="230" t="s">
        <v>2633</v>
      </c>
      <c r="K193" s="230"/>
      <c r="L193" s="230" t="s">
        <v>1442</v>
      </c>
      <c r="M193" s="230" t="s">
        <v>2913</v>
      </c>
      <c r="N193" s="230" t="s">
        <v>2707</v>
      </c>
      <c r="O193" s="158"/>
      <c r="P193" s="92"/>
      <c r="Q193" s="146"/>
      <c r="R193" s="92"/>
      <c r="S193" s="146"/>
      <c r="T193" s="92"/>
      <c r="U193" s="146"/>
      <c r="V193" s="92"/>
      <c r="W193" s="146"/>
      <c r="X193" s="92"/>
      <c r="Y193" s="146"/>
      <c r="Z193" s="92"/>
      <c r="AA193" s="146"/>
      <c r="AB193" s="92"/>
      <c r="AC193" s="146"/>
      <c r="AD193" s="92"/>
      <c r="AE193" s="146"/>
      <c r="AF193" s="143" t="str">
        <f t="shared" si="15"/>
        <v/>
      </c>
      <c r="AG193" s="199" t="b">
        <f t="shared" si="14"/>
        <v>0</v>
      </c>
      <c r="AH193" s="146"/>
      <c r="AI193" s="154" t="s">
        <v>6</v>
      </c>
      <c r="AJ193" s="151" t="str">
        <f t="shared" si="13"/>
        <v>GUARULHOS</v>
      </c>
      <c r="AK193" s="155" t="s">
        <v>59</v>
      </c>
      <c r="AL193" s="53">
        <v>0.27143905347934982</v>
      </c>
      <c r="AM193" s="53" t="str" cm="1">
        <f t="array" ref="AM193">IF(OR(O193&lt;&gt;"", SUMPRODUCT(($AN$2:$AN$561=AN193)*($AL$2:$AL$561&lt;=AL193)) &lt;= (COUNTIF($AN$2:$AN$561,AN193)*0.5)), "SORTEADO", "-")</f>
        <v>SORTEADO</v>
      </c>
      <c r="AN193" s="53" t="str">
        <f t="shared" si="12"/>
        <v>17/04/2026</v>
      </c>
    </row>
    <row r="194" spans="1:40" ht="30" hidden="1" customHeight="1" x14ac:dyDescent="0.2">
      <c r="A194" s="230" t="s">
        <v>197</v>
      </c>
      <c r="B194" s="230">
        <v>2616218031</v>
      </c>
      <c r="C194" s="230" t="s">
        <v>122</v>
      </c>
      <c r="D194" s="230" t="s">
        <v>108</v>
      </c>
      <c r="E194" s="230" t="s">
        <v>198</v>
      </c>
      <c r="F194" s="230" t="s">
        <v>261</v>
      </c>
      <c r="G194" s="230">
        <v>375</v>
      </c>
      <c r="H194" s="230" t="s">
        <v>213</v>
      </c>
      <c r="I194" s="230" t="s">
        <v>262</v>
      </c>
      <c r="J194" s="230" t="s">
        <v>2633</v>
      </c>
      <c r="K194" s="230" t="s">
        <v>2914</v>
      </c>
      <c r="L194" s="230" t="s">
        <v>1442</v>
      </c>
      <c r="M194" s="230" t="s">
        <v>2915</v>
      </c>
      <c r="N194" s="230" t="s">
        <v>2707</v>
      </c>
      <c r="O194" s="158"/>
      <c r="P194" s="92"/>
      <c r="Q194" s="146"/>
      <c r="R194" s="92"/>
      <c r="S194" s="146"/>
      <c r="T194" s="92"/>
      <c r="U194" s="146"/>
      <c r="V194" s="92"/>
      <c r="W194" s="146"/>
      <c r="X194" s="92"/>
      <c r="Y194" s="146"/>
      <c r="Z194" s="92"/>
      <c r="AA194" s="146"/>
      <c r="AB194" s="92"/>
      <c r="AC194" s="146"/>
      <c r="AD194" s="92"/>
      <c r="AE194" s="146"/>
      <c r="AF194" s="143" t="str">
        <f t="shared" si="15"/>
        <v/>
      </c>
      <c r="AG194" s="199" t="b">
        <f t="shared" si="14"/>
        <v>0</v>
      </c>
      <c r="AH194" s="146"/>
      <c r="AI194" s="154" t="s">
        <v>6</v>
      </c>
      <c r="AJ194" s="151" t="str">
        <f t="shared" si="13"/>
        <v>GUARULHOS</v>
      </c>
      <c r="AK194" s="155" t="s">
        <v>59</v>
      </c>
      <c r="AL194" s="53">
        <v>0.46592441574334875</v>
      </c>
      <c r="AM194" s="53" t="str" cm="1">
        <f t="array" ref="AM194">IF(OR(O194&lt;&gt;"", SUMPRODUCT(($AN$2:$AN$561=AN194)*($AL$2:$AL$561&lt;=AL194)) &lt;= (COUNTIF($AN$2:$AN$561,AN194)*0.5)), "SORTEADO", "-")</f>
        <v>SORTEADO</v>
      </c>
      <c r="AN194" s="53" t="str">
        <f t="shared" si="12"/>
        <v>17/04/2026</v>
      </c>
    </row>
    <row r="195" spans="1:40" ht="30" hidden="1" customHeight="1" x14ac:dyDescent="0.2">
      <c r="A195" s="230" t="s">
        <v>197</v>
      </c>
      <c r="B195" s="230">
        <v>2616213476</v>
      </c>
      <c r="C195" s="230" t="s">
        <v>115</v>
      </c>
      <c r="D195" s="230" t="s">
        <v>108</v>
      </c>
      <c r="E195" s="230" t="s">
        <v>198</v>
      </c>
      <c r="F195" s="230" t="s">
        <v>2903</v>
      </c>
      <c r="G195" s="230">
        <v>52</v>
      </c>
      <c r="H195" s="230" t="s">
        <v>2904</v>
      </c>
      <c r="I195" s="230" t="s">
        <v>285</v>
      </c>
      <c r="J195" s="230" t="s">
        <v>2644</v>
      </c>
      <c r="K195" s="237" t="s">
        <v>2916</v>
      </c>
      <c r="L195" s="230" t="s">
        <v>1442</v>
      </c>
      <c r="M195" s="230" t="s">
        <v>2917</v>
      </c>
      <c r="N195" s="230" t="s">
        <v>2634</v>
      </c>
      <c r="O195" s="158"/>
      <c r="P195" s="92"/>
      <c r="Q195" s="146"/>
      <c r="R195" s="92"/>
      <c r="S195" s="146"/>
      <c r="T195" s="92"/>
      <c r="U195" s="146"/>
      <c r="V195" s="92"/>
      <c r="W195" s="146"/>
      <c r="X195" s="92"/>
      <c r="Y195" s="146"/>
      <c r="Z195" s="92"/>
      <c r="AA195" s="146"/>
      <c r="AB195" s="92"/>
      <c r="AC195" s="146"/>
      <c r="AD195" s="92"/>
      <c r="AE195" s="146"/>
      <c r="AF195" s="143" t="str">
        <f t="shared" si="15"/>
        <v/>
      </c>
      <c r="AG195" s="199" t="b">
        <f t="shared" si="14"/>
        <v>0</v>
      </c>
      <c r="AH195" s="146"/>
      <c r="AI195" s="154" t="s">
        <v>6</v>
      </c>
      <c r="AJ195" s="151" t="str">
        <f t="shared" si="13"/>
        <v>GUARULHOS</v>
      </c>
      <c r="AK195" s="155" t="s">
        <v>59</v>
      </c>
      <c r="AL195" s="53">
        <v>0.61078626399189651</v>
      </c>
      <c r="AM195" s="53" t="str" cm="1">
        <f t="array" ref="AM195">IF(OR(O195&lt;&gt;"", SUMPRODUCT(($AN$2:$AN$561=AN195)*($AL$2:$AL$561&lt;=AL195)) &lt;= (COUNTIF($AN$2:$AN$561,AN195)*0.5)), "SORTEADO", "-")</f>
        <v>-</v>
      </c>
      <c r="AN195" s="53" t="str">
        <f t="shared" si="12"/>
        <v>17/04/2026</v>
      </c>
    </row>
    <row r="196" spans="1:40" ht="30" hidden="1" customHeight="1" x14ac:dyDescent="0.2">
      <c r="A196" s="230" t="s">
        <v>197</v>
      </c>
      <c r="B196" s="230">
        <v>2616218154</v>
      </c>
      <c r="C196" s="230" t="s">
        <v>122</v>
      </c>
      <c r="D196" s="230" t="s">
        <v>108</v>
      </c>
      <c r="E196" s="230" t="s">
        <v>198</v>
      </c>
      <c r="F196" s="230" t="s">
        <v>261</v>
      </c>
      <c r="G196" s="230">
        <v>369</v>
      </c>
      <c r="H196" s="230"/>
      <c r="I196" s="230" t="s">
        <v>262</v>
      </c>
      <c r="J196" s="230" t="s">
        <v>2633</v>
      </c>
      <c r="K196" s="230"/>
      <c r="L196" s="230" t="s">
        <v>1531</v>
      </c>
      <c r="M196" s="230" t="s">
        <v>2918</v>
      </c>
      <c r="N196" s="230" t="s">
        <v>2707</v>
      </c>
      <c r="O196" s="158"/>
      <c r="P196" s="92"/>
      <c r="Q196" s="146"/>
      <c r="R196" s="92"/>
      <c r="S196" s="146"/>
      <c r="T196" s="92"/>
      <c r="U196" s="146"/>
      <c r="V196" s="92"/>
      <c r="W196" s="146"/>
      <c r="X196" s="92"/>
      <c r="Y196" s="146"/>
      <c r="Z196" s="92"/>
      <c r="AA196" s="146"/>
      <c r="AB196" s="92"/>
      <c r="AC196" s="146"/>
      <c r="AD196" s="92"/>
      <c r="AE196" s="146"/>
      <c r="AF196" s="143" t="str">
        <f t="shared" si="15"/>
        <v/>
      </c>
      <c r="AG196" s="199" t="b">
        <f t="shared" si="14"/>
        <v>0</v>
      </c>
      <c r="AH196" s="146"/>
      <c r="AI196" s="154" t="s">
        <v>6</v>
      </c>
      <c r="AJ196" s="151" t="str">
        <f t="shared" si="13"/>
        <v>GUARULHOS</v>
      </c>
      <c r="AK196" s="155" t="s">
        <v>59</v>
      </c>
      <c r="AL196" s="53">
        <v>0.89598581691422574</v>
      </c>
      <c r="AM196" s="53" t="str" cm="1">
        <f t="array" ref="AM196">IF(OR(O196&lt;&gt;"", SUMPRODUCT(($AN$2:$AN$561=AN196)*($AL$2:$AL$561&lt;=AL196)) &lt;= (COUNTIF($AN$2:$AN$561,AN196)*0.5)), "SORTEADO", "-")</f>
        <v>-</v>
      </c>
      <c r="AN196" s="53" t="str">
        <f t="shared" si="12"/>
        <v>18/04/2026</v>
      </c>
    </row>
    <row r="197" spans="1:40" ht="30" hidden="1" customHeight="1" x14ac:dyDescent="0.2">
      <c r="A197" s="230" t="s">
        <v>197</v>
      </c>
      <c r="B197" s="230">
        <v>2615900962</v>
      </c>
      <c r="C197" s="230" t="s">
        <v>2737</v>
      </c>
      <c r="D197" s="230" t="s">
        <v>111</v>
      </c>
      <c r="E197" s="230" t="s">
        <v>198</v>
      </c>
      <c r="F197" s="230" t="s">
        <v>1148</v>
      </c>
      <c r="G197" s="230">
        <v>521</v>
      </c>
      <c r="H197" s="230" t="s">
        <v>527</v>
      </c>
      <c r="I197" s="230" t="s">
        <v>1150</v>
      </c>
      <c r="J197" s="230" t="s">
        <v>2739</v>
      </c>
      <c r="K197" s="230" t="s">
        <v>213</v>
      </c>
      <c r="L197" s="230" t="s">
        <v>1531</v>
      </c>
      <c r="M197" s="230" t="s">
        <v>2919</v>
      </c>
      <c r="N197" s="230" t="s">
        <v>2638</v>
      </c>
      <c r="O197" s="158"/>
      <c r="P197" s="92"/>
      <c r="Q197" s="146"/>
      <c r="R197" s="92"/>
      <c r="S197" s="146"/>
      <c r="T197" s="92"/>
      <c r="U197" s="146"/>
      <c r="V197" s="92"/>
      <c r="W197" s="146"/>
      <c r="X197" s="92"/>
      <c r="Y197" s="146"/>
      <c r="Z197" s="92"/>
      <c r="AA197" s="146"/>
      <c r="AB197" s="92"/>
      <c r="AC197" s="146"/>
      <c r="AD197" s="92"/>
      <c r="AE197" s="146"/>
      <c r="AF197" s="143" t="str">
        <f t="shared" si="15"/>
        <v/>
      </c>
      <c r="AG197" s="199" t="b">
        <f t="shared" si="14"/>
        <v>0</v>
      </c>
      <c r="AH197" s="146"/>
      <c r="AI197" s="154" t="s">
        <v>6</v>
      </c>
      <c r="AJ197" s="151" t="str">
        <f t="shared" si="13"/>
        <v>GUARULHOS</v>
      </c>
      <c r="AK197" s="155" t="s">
        <v>59</v>
      </c>
      <c r="AL197" s="53">
        <v>0.7155114896628274</v>
      </c>
      <c r="AM197" s="53" t="str" cm="1">
        <f t="array" ref="AM197">IF(OR(O197&lt;&gt;"", SUMPRODUCT(($AN$2:$AN$561=AN197)*($AL$2:$AL$561&lt;=AL197)) &lt;= (COUNTIF($AN$2:$AN$561,AN197)*0.5)), "SORTEADO", "-")</f>
        <v>-</v>
      </c>
      <c r="AN197" s="53" t="str">
        <f t="shared" si="12"/>
        <v>18/04/2026</v>
      </c>
    </row>
    <row r="198" spans="1:40" ht="30" customHeight="1" x14ac:dyDescent="0.2">
      <c r="A198" s="230" t="s">
        <v>197</v>
      </c>
      <c r="B198" s="230">
        <v>2616389134</v>
      </c>
      <c r="C198" s="230" t="s">
        <v>120</v>
      </c>
      <c r="D198" s="230" t="s">
        <v>111</v>
      </c>
      <c r="E198" s="230" t="s">
        <v>198</v>
      </c>
      <c r="F198" s="230" t="s">
        <v>2920</v>
      </c>
      <c r="G198" s="230">
        <v>412</v>
      </c>
      <c r="H198" s="230" t="s">
        <v>206</v>
      </c>
      <c r="I198" s="230" t="s">
        <v>1587</v>
      </c>
      <c r="J198" s="230" t="s">
        <v>2637</v>
      </c>
      <c r="K198" s="230"/>
      <c r="L198" s="230" t="s">
        <v>1531</v>
      </c>
      <c r="M198" s="230" t="s">
        <v>2921</v>
      </c>
      <c r="N198" s="230" t="s">
        <v>2638</v>
      </c>
      <c r="O198" s="158"/>
      <c r="P198" s="92"/>
      <c r="Q198" s="146"/>
      <c r="R198" s="92"/>
      <c r="S198" s="146"/>
      <c r="T198" s="92"/>
      <c r="U198" s="146"/>
      <c r="V198" s="92"/>
      <c r="W198" s="146"/>
      <c r="X198" s="92"/>
      <c r="Y198" s="146"/>
      <c r="Z198" s="92"/>
      <c r="AA198" s="146"/>
      <c r="AB198" s="92"/>
      <c r="AC198" s="146"/>
      <c r="AD198" s="92"/>
      <c r="AE198" s="146"/>
      <c r="AF198" s="143" t="str">
        <f t="shared" si="15"/>
        <v/>
      </c>
      <c r="AG198" s="199" t="b">
        <f t="shared" si="14"/>
        <v>0</v>
      </c>
      <c r="AH198" s="146"/>
      <c r="AI198" s="154" t="s">
        <v>6</v>
      </c>
      <c r="AJ198" s="151" t="str">
        <f t="shared" si="13"/>
        <v>GUARULHOS</v>
      </c>
      <c r="AK198" s="155" t="s">
        <v>59</v>
      </c>
      <c r="AL198" s="53">
        <v>0.52043218571860139</v>
      </c>
      <c r="AM198" s="53" t="str" cm="1">
        <f t="array" ref="AM198">IF(OR(O198&lt;&gt;"", SUMPRODUCT(($AN$2:$AN$561=AN198)*($AL$2:$AL$561&lt;=AL198)) &lt;= (COUNTIF($AN$2:$AN$561,AN198)*0.5)), "SORTEADO", "-")</f>
        <v>SORTEADO</v>
      </c>
      <c r="AN198" s="53" t="str">
        <f t="shared" si="12"/>
        <v>18/04/2026</v>
      </c>
    </row>
    <row r="199" spans="1:40" ht="30" hidden="1" customHeight="1" x14ac:dyDescent="0.2">
      <c r="A199" s="230" t="s">
        <v>197</v>
      </c>
      <c r="B199" s="230">
        <v>2616345479</v>
      </c>
      <c r="C199" s="230" t="s">
        <v>122</v>
      </c>
      <c r="D199" s="230" t="s">
        <v>108</v>
      </c>
      <c r="E199" s="230" t="s">
        <v>198</v>
      </c>
      <c r="F199" s="230" t="s">
        <v>2922</v>
      </c>
      <c r="G199" s="230">
        <v>200</v>
      </c>
      <c r="H199" s="230" t="s">
        <v>2923</v>
      </c>
      <c r="I199" s="230" t="s">
        <v>236</v>
      </c>
      <c r="J199" s="230" t="s">
        <v>2633</v>
      </c>
      <c r="K199" s="230" t="s">
        <v>213</v>
      </c>
      <c r="L199" s="230" t="s">
        <v>1531</v>
      </c>
      <c r="M199" s="230" t="s">
        <v>2924</v>
      </c>
      <c r="N199" s="230" t="s">
        <v>2640</v>
      </c>
      <c r="O199" s="158"/>
      <c r="P199" s="92"/>
      <c r="Q199" s="146"/>
      <c r="R199" s="92"/>
      <c r="S199" s="146"/>
      <c r="T199" s="92"/>
      <c r="U199" s="146"/>
      <c r="V199" s="92"/>
      <c r="W199" s="146"/>
      <c r="X199" s="92"/>
      <c r="Y199" s="146"/>
      <c r="Z199" s="92"/>
      <c r="AA199" s="146"/>
      <c r="AB199" s="92"/>
      <c r="AC199" s="146"/>
      <c r="AD199" s="92"/>
      <c r="AE199" s="146"/>
      <c r="AF199" s="143" t="str">
        <f t="shared" si="15"/>
        <v/>
      </c>
      <c r="AG199" s="199" t="b">
        <f t="shared" si="14"/>
        <v>0</v>
      </c>
      <c r="AH199" s="146"/>
      <c r="AI199" s="154" t="s">
        <v>6</v>
      </c>
      <c r="AJ199" s="151" t="str">
        <f t="shared" si="13"/>
        <v>GUARULHOS</v>
      </c>
      <c r="AK199" s="155" t="s">
        <v>59</v>
      </c>
      <c r="AL199" s="53">
        <v>0.86745155399113338</v>
      </c>
      <c r="AM199" s="53" t="str" cm="1">
        <f t="array" ref="AM199">IF(OR(O199&lt;&gt;"", SUMPRODUCT(($AN$2:$AN$561=AN199)*($AL$2:$AL$561&lt;=AL199)) &lt;= (COUNTIF($AN$2:$AN$561,AN199)*0.5)), "SORTEADO", "-")</f>
        <v>-</v>
      </c>
      <c r="AN199" s="53" t="str">
        <f t="shared" si="12"/>
        <v>18/04/2026</v>
      </c>
    </row>
    <row r="200" spans="1:40" ht="30" hidden="1" customHeight="1" x14ac:dyDescent="0.2">
      <c r="A200" s="230" t="s">
        <v>197</v>
      </c>
      <c r="B200" s="230">
        <v>2616194465</v>
      </c>
      <c r="C200" s="230" t="s">
        <v>119</v>
      </c>
      <c r="D200" s="230" t="s">
        <v>109</v>
      </c>
      <c r="E200" s="230" t="s">
        <v>198</v>
      </c>
      <c r="F200" s="230" t="s">
        <v>1478</v>
      </c>
      <c r="G200" s="230">
        <v>401</v>
      </c>
      <c r="H200" s="230"/>
      <c r="I200" s="230" t="s">
        <v>253</v>
      </c>
      <c r="J200" s="230" t="s">
        <v>119</v>
      </c>
      <c r="K200" s="230"/>
      <c r="L200" s="230" t="s">
        <v>1531</v>
      </c>
      <c r="M200" s="230" t="s">
        <v>2925</v>
      </c>
      <c r="N200" s="230" t="s">
        <v>2707</v>
      </c>
      <c r="O200" s="158"/>
      <c r="P200" s="92"/>
      <c r="Q200" s="146"/>
      <c r="R200" s="92"/>
      <c r="S200" s="146"/>
      <c r="T200" s="92"/>
      <c r="U200" s="146"/>
      <c r="V200" s="92"/>
      <c r="W200" s="146"/>
      <c r="X200" s="92"/>
      <c r="Y200" s="146"/>
      <c r="Z200" s="92"/>
      <c r="AA200" s="146"/>
      <c r="AB200" s="92"/>
      <c r="AC200" s="146"/>
      <c r="AD200" s="92"/>
      <c r="AE200" s="146"/>
      <c r="AF200" s="143" t="str">
        <f t="shared" si="15"/>
        <v/>
      </c>
      <c r="AG200" s="199" t="b">
        <f t="shared" si="14"/>
        <v>0</v>
      </c>
      <c r="AH200" s="146"/>
      <c r="AI200" s="154" t="s">
        <v>6</v>
      </c>
      <c r="AJ200" s="151" t="str">
        <f t="shared" si="13"/>
        <v>GUARULHOS</v>
      </c>
      <c r="AK200" s="155" t="s">
        <v>59</v>
      </c>
      <c r="AL200" s="53">
        <v>0.61248369139931658</v>
      </c>
      <c r="AM200" s="53" t="str" cm="1">
        <f t="array" ref="AM200">IF(OR(O200&lt;&gt;"", SUMPRODUCT(($AN$2:$AN$561=AN200)*($AL$2:$AL$561&lt;=AL200)) &lt;= (COUNTIF($AN$2:$AN$561,AN200)*0.5)), "SORTEADO", "-")</f>
        <v>SORTEADO</v>
      </c>
      <c r="AN200" s="53" t="str">
        <f t="shared" si="12"/>
        <v>18/04/2026</v>
      </c>
    </row>
    <row r="201" spans="1:40" ht="30" hidden="1" customHeight="1" x14ac:dyDescent="0.2">
      <c r="A201" s="230" t="s">
        <v>197</v>
      </c>
      <c r="B201" s="230">
        <v>2616337698</v>
      </c>
      <c r="C201" s="230" t="s">
        <v>119</v>
      </c>
      <c r="D201" s="230" t="s">
        <v>109</v>
      </c>
      <c r="E201" s="230" t="s">
        <v>198</v>
      </c>
      <c r="F201" s="230" t="s">
        <v>627</v>
      </c>
      <c r="G201" s="230">
        <v>2376</v>
      </c>
      <c r="H201" s="230" t="s">
        <v>213</v>
      </c>
      <c r="I201" s="230" t="s">
        <v>285</v>
      </c>
      <c r="J201" s="230" t="s">
        <v>119</v>
      </c>
      <c r="K201" s="230" t="s">
        <v>213</v>
      </c>
      <c r="L201" s="230" t="s">
        <v>1616</v>
      </c>
      <c r="M201" s="230" t="s">
        <v>2926</v>
      </c>
      <c r="N201" s="230" t="s">
        <v>2707</v>
      </c>
      <c r="O201" s="158"/>
      <c r="P201" s="92"/>
      <c r="Q201" s="146"/>
      <c r="R201" s="92"/>
      <c r="S201" s="146"/>
      <c r="T201" s="92"/>
      <c r="U201" s="146"/>
      <c r="V201" s="92"/>
      <c r="W201" s="146"/>
      <c r="X201" s="92"/>
      <c r="Y201" s="146"/>
      <c r="Z201" s="92"/>
      <c r="AA201" s="146"/>
      <c r="AB201" s="92"/>
      <c r="AC201" s="146"/>
      <c r="AD201" s="92"/>
      <c r="AE201" s="146"/>
      <c r="AF201" s="143" t="str">
        <f t="shared" si="15"/>
        <v/>
      </c>
      <c r="AG201" s="199" t="b">
        <f t="shared" si="14"/>
        <v>0</v>
      </c>
      <c r="AH201" s="146"/>
      <c r="AI201" s="154" t="s">
        <v>6</v>
      </c>
      <c r="AJ201" s="151" t="str">
        <f t="shared" si="13"/>
        <v>GUARULHOS</v>
      </c>
      <c r="AK201" s="155" t="s">
        <v>59</v>
      </c>
      <c r="AL201" s="53">
        <v>0.86247112696022032</v>
      </c>
      <c r="AM201" s="53" t="str" cm="1">
        <f t="array" ref="AM201">IF(OR(O201&lt;&gt;"", SUMPRODUCT(($AN$2:$AN$561=AN201)*($AL$2:$AL$561&lt;=AL201)) &lt;= (COUNTIF($AN$2:$AN$561,AN201)*0.5)), "SORTEADO", "-")</f>
        <v>-</v>
      </c>
      <c r="AN201" s="53" t="str">
        <f t="shared" si="12"/>
        <v>20/04/2026</v>
      </c>
    </row>
    <row r="202" spans="1:40" ht="30" hidden="1" customHeight="1" x14ac:dyDescent="0.2">
      <c r="A202" s="230" t="s">
        <v>197</v>
      </c>
      <c r="B202" s="230">
        <v>2616375524</v>
      </c>
      <c r="C202" s="230" t="s">
        <v>122</v>
      </c>
      <c r="D202" s="230" t="s">
        <v>108</v>
      </c>
      <c r="E202" s="230" t="s">
        <v>198</v>
      </c>
      <c r="F202" s="230" t="s">
        <v>2927</v>
      </c>
      <c r="G202" s="230">
        <v>425</v>
      </c>
      <c r="H202" s="230"/>
      <c r="I202" s="230" t="s">
        <v>281</v>
      </c>
      <c r="J202" s="230" t="s">
        <v>2633</v>
      </c>
      <c r="K202" s="230" t="s">
        <v>2928</v>
      </c>
      <c r="L202" s="230" t="s">
        <v>1563</v>
      </c>
      <c r="M202" s="230" t="s">
        <v>2929</v>
      </c>
      <c r="N202" s="230" t="s">
        <v>2640</v>
      </c>
      <c r="O202" s="158"/>
      <c r="P202" s="92"/>
      <c r="Q202" s="146"/>
      <c r="R202" s="92"/>
      <c r="S202" s="146"/>
      <c r="T202" s="92"/>
      <c r="U202" s="146"/>
      <c r="V202" s="92"/>
      <c r="W202" s="146"/>
      <c r="X202" s="92"/>
      <c r="Y202" s="146"/>
      <c r="Z202" s="92"/>
      <c r="AA202" s="146"/>
      <c r="AB202" s="92"/>
      <c r="AC202" s="146"/>
      <c r="AD202" s="92"/>
      <c r="AE202" s="146"/>
      <c r="AF202" s="143" t="str">
        <f t="shared" si="15"/>
        <v/>
      </c>
      <c r="AG202" s="199" t="b">
        <f t="shared" si="14"/>
        <v>0</v>
      </c>
      <c r="AH202" s="146"/>
      <c r="AI202" s="154" t="s">
        <v>6</v>
      </c>
      <c r="AJ202" s="151" t="str">
        <f t="shared" si="13"/>
        <v>GUARULHOS</v>
      </c>
      <c r="AK202" s="155" t="s">
        <v>59</v>
      </c>
      <c r="AL202" s="53">
        <v>0.39505266227180991</v>
      </c>
      <c r="AM202" s="53" t="str" cm="1">
        <f t="array" ref="AM202">IF(OR(O202&lt;&gt;"", SUMPRODUCT(($AN$2:$AN$561=AN202)*($AL$2:$AL$561&lt;=AL202)) &lt;= (COUNTIF($AN$2:$AN$561,AN202)*0.5)), "SORTEADO", "-")</f>
        <v>-</v>
      </c>
      <c r="AN202" s="53" t="str">
        <f t="shared" si="12"/>
        <v>19/04/2026</v>
      </c>
    </row>
    <row r="203" spans="1:40" ht="30" hidden="1" customHeight="1" x14ac:dyDescent="0.2">
      <c r="A203" s="230" t="s">
        <v>197</v>
      </c>
      <c r="B203" s="230">
        <v>2616375620</v>
      </c>
      <c r="C203" s="230" t="s">
        <v>122</v>
      </c>
      <c r="D203" s="230" t="s">
        <v>108</v>
      </c>
      <c r="E203" s="230" t="s">
        <v>198</v>
      </c>
      <c r="F203" s="230" t="s">
        <v>954</v>
      </c>
      <c r="G203" s="230">
        <v>243</v>
      </c>
      <c r="H203" s="230" t="s">
        <v>2930</v>
      </c>
      <c r="I203" s="230" t="s">
        <v>480</v>
      </c>
      <c r="J203" s="230" t="s">
        <v>2633</v>
      </c>
      <c r="K203" s="230"/>
      <c r="L203" s="230" t="s">
        <v>1563</v>
      </c>
      <c r="M203" s="230" t="s">
        <v>2931</v>
      </c>
      <c r="N203" s="230" t="s">
        <v>2640</v>
      </c>
      <c r="O203" s="158"/>
      <c r="P203" s="92"/>
      <c r="Q203" s="146"/>
      <c r="R203" s="92"/>
      <c r="S203" s="146"/>
      <c r="T203" s="92"/>
      <c r="U203" s="146"/>
      <c r="V203" s="92"/>
      <c r="W203" s="146"/>
      <c r="X203" s="92"/>
      <c r="Y203" s="146"/>
      <c r="Z203" s="92"/>
      <c r="AA203" s="146"/>
      <c r="AB203" s="92"/>
      <c r="AC203" s="146"/>
      <c r="AD203" s="92"/>
      <c r="AE203" s="146"/>
      <c r="AF203" s="143" t="str">
        <f t="shared" si="15"/>
        <v/>
      </c>
      <c r="AG203" s="199" t="b">
        <f t="shared" si="14"/>
        <v>0</v>
      </c>
      <c r="AH203" s="146"/>
      <c r="AI203" s="154" t="s">
        <v>6</v>
      </c>
      <c r="AJ203" s="151" t="str">
        <f t="shared" si="13"/>
        <v>GUARULHOS</v>
      </c>
      <c r="AK203" s="155" t="s">
        <v>59</v>
      </c>
      <c r="AL203" s="53">
        <v>0.13659740663084818</v>
      </c>
      <c r="AM203" s="53" t="str" cm="1">
        <f t="array" ref="AM203">IF(OR(O203&lt;&gt;"", SUMPRODUCT(($AN$2:$AN$561=AN203)*($AL$2:$AL$561&lt;=AL203)) &lt;= (COUNTIF($AN$2:$AN$561,AN203)*0.5)), "SORTEADO", "-")</f>
        <v>SORTEADO</v>
      </c>
      <c r="AN203" s="53" t="str">
        <f t="shared" si="12"/>
        <v>19/04/2026</v>
      </c>
    </row>
    <row r="204" spans="1:40" ht="30" hidden="1" customHeight="1" x14ac:dyDescent="0.2">
      <c r="A204" s="230" t="s">
        <v>197</v>
      </c>
      <c r="B204" s="230">
        <v>2616390851</v>
      </c>
      <c r="C204" s="230" t="s">
        <v>2737</v>
      </c>
      <c r="D204" s="230" t="s">
        <v>111</v>
      </c>
      <c r="E204" s="230" t="s">
        <v>198</v>
      </c>
      <c r="F204" s="230" t="s">
        <v>2920</v>
      </c>
      <c r="G204" s="230">
        <v>388</v>
      </c>
      <c r="H204" s="230" t="s">
        <v>2932</v>
      </c>
      <c r="I204" s="230" t="s">
        <v>1587</v>
      </c>
      <c r="J204" s="230" t="s">
        <v>2739</v>
      </c>
      <c r="K204" s="230" t="s">
        <v>213</v>
      </c>
      <c r="L204" s="230" t="s">
        <v>1563</v>
      </c>
      <c r="M204" s="230" t="s">
        <v>2933</v>
      </c>
      <c r="N204" s="230" t="s">
        <v>2638</v>
      </c>
      <c r="O204" s="158"/>
      <c r="P204" s="92"/>
      <c r="Q204" s="146"/>
      <c r="R204" s="92"/>
      <c r="S204" s="146"/>
      <c r="T204" s="92"/>
      <c r="U204" s="146"/>
      <c r="V204" s="92"/>
      <c r="W204" s="146"/>
      <c r="X204" s="92"/>
      <c r="Y204" s="146"/>
      <c r="Z204" s="92"/>
      <c r="AA204" s="146"/>
      <c r="AB204" s="92"/>
      <c r="AC204" s="146"/>
      <c r="AD204" s="92"/>
      <c r="AE204" s="146"/>
      <c r="AF204" s="143" t="str">
        <f t="shared" si="15"/>
        <v/>
      </c>
      <c r="AG204" s="199" t="b">
        <f t="shared" si="14"/>
        <v>0</v>
      </c>
      <c r="AH204" s="146"/>
      <c r="AI204" s="154" t="s">
        <v>6</v>
      </c>
      <c r="AJ204" s="151" t="str">
        <f t="shared" si="13"/>
        <v>GUARULHOS</v>
      </c>
      <c r="AK204" s="155" t="s">
        <v>59</v>
      </c>
      <c r="AL204" s="53">
        <v>0.25760853050485388</v>
      </c>
      <c r="AM204" s="53" t="str" cm="1">
        <f t="array" ref="AM204">IF(OR(O204&lt;&gt;"", SUMPRODUCT(($AN$2:$AN$561=AN204)*($AL$2:$AL$561&lt;=AL204)) &lt;= (COUNTIF($AN$2:$AN$561,AN204)*0.5)), "SORTEADO", "-")</f>
        <v>-</v>
      </c>
      <c r="AN204" s="53" t="str">
        <f t="shared" si="12"/>
        <v>19/04/2026</v>
      </c>
    </row>
    <row r="205" spans="1:40" ht="30" customHeight="1" x14ac:dyDescent="0.2">
      <c r="A205" s="230" t="s">
        <v>197</v>
      </c>
      <c r="B205" s="230">
        <v>2616536216</v>
      </c>
      <c r="C205" s="230" t="s">
        <v>120</v>
      </c>
      <c r="D205" s="230" t="s">
        <v>111</v>
      </c>
      <c r="E205" s="230" t="s">
        <v>198</v>
      </c>
      <c r="F205" s="230" t="s">
        <v>2511</v>
      </c>
      <c r="G205" s="230">
        <v>458</v>
      </c>
      <c r="H205" s="230" t="s">
        <v>213</v>
      </c>
      <c r="I205" s="230" t="s">
        <v>730</v>
      </c>
      <c r="J205" s="230" t="s">
        <v>2637</v>
      </c>
      <c r="K205" s="230" t="s">
        <v>213</v>
      </c>
      <c r="L205" s="230" t="s">
        <v>1616</v>
      </c>
      <c r="M205" s="230" t="s">
        <v>2934</v>
      </c>
      <c r="N205" s="230" t="s">
        <v>2638</v>
      </c>
      <c r="O205" s="158"/>
      <c r="P205" s="92"/>
      <c r="Q205" s="146"/>
      <c r="R205" s="92"/>
      <c r="S205" s="146"/>
      <c r="T205" s="92"/>
      <c r="U205" s="146"/>
      <c r="V205" s="92"/>
      <c r="W205" s="146"/>
      <c r="X205" s="92"/>
      <c r="Y205" s="146"/>
      <c r="Z205" s="92"/>
      <c r="AA205" s="146"/>
      <c r="AB205" s="92"/>
      <c r="AC205" s="146"/>
      <c r="AD205" s="92"/>
      <c r="AE205" s="146"/>
      <c r="AF205" s="143" t="str">
        <f t="shared" si="15"/>
        <v/>
      </c>
      <c r="AG205" s="199" t="b">
        <f t="shared" si="14"/>
        <v>0</v>
      </c>
      <c r="AH205" s="146"/>
      <c r="AI205" s="154" t="s">
        <v>6</v>
      </c>
      <c r="AJ205" s="151" t="str">
        <f t="shared" si="13"/>
        <v>GUARULHOS</v>
      </c>
      <c r="AK205" s="155" t="s">
        <v>59</v>
      </c>
      <c r="AL205" s="53">
        <v>0.11384154164438154</v>
      </c>
      <c r="AM205" s="53" t="str" cm="1">
        <f t="array" ref="AM205">IF(OR(O205&lt;&gt;"", SUMPRODUCT(($AN$2:$AN$561=AN205)*($AL$2:$AL$561&lt;=AL205)) &lt;= (COUNTIF($AN$2:$AN$561,AN205)*0.5)), "SORTEADO", "-")</f>
        <v>SORTEADO</v>
      </c>
      <c r="AN205" s="53" t="str">
        <f t="shared" si="12"/>
        <v>20/04/2026</v>
      </c>
    </row>
    <row r="206" spans="1:40" ht="30" hidden="1" customHeight="1" x14ac:dyDescent="0.2">
      <c r="A206" s="230" t="s">
        <v>197</v>
      </c>
      <c r="B206" s="230">
        <v>2616542401</v>
      </c>
      <c r="C206" s="230" t="s">
        <v>121</v>
      </c>
      <c r="D206" s="230" t="s">
        <v>110</v>
      </c>
      <c r="E206" s="230" t="s">
        <v>198</v>
      </c>
      <c r="F206" s="230" t="s">
        <v>2935</v>
      </c>
      <c r="G206" s="230">
        <v>176</v>
      </c>
      <c r="H206" s="230"/>
      <c r="I206" s="230" t="s">
        <v>840</v>
      </c>
      <c r="J206" s="230" t="s">
        <v>2661</v>
      </c>
      <c r="K206" s="230"/>
      <c r="L206" s="230" t="s">
        <v>1616</v>
      </c>
      <c r="M206" s="230" t="s">
        <v>2936</v>
      </c>
      <c r="N206" s="230" t="s">
        <v>2634</v>
      </c>
      <c r="O206" s="158"/>
      <c r="P206" s="92"/>
      <c r="Q206" s="146"/>
      <c r="R206" s="92"/>
      <c r="S206" s="146"/>
      <c r="T206" s="92"/>
      <c r="U206" s="146"/>
      <c r="V206" s="92"/>
      <c r="W206" s="146"/>
      <c r="X206" s="92"/>
      <c r="Y206" s="146"/>
      <c r="Z206" s="92"/>
      <c r="AA206" s="146"/>
      <c r="AB206" s="92"/>
      <c r="AC206" s="146"/>
      <c r="AD206" s="92"/>
      <c r="AE206" s="146"/>
      <c r="AF206" s="143" t="str">
        <f t="shared" si="15"/>
        <v/>
      </c>
      <c r="AG206" s="199" t="b">
        <f t="shared" si="14"/>
        <v>0</v>
      </c>
      <c r="AH206" s="146"/>
      <c r="AI206" s="154" t="s">
        <v>6</v>
      </c>
      <c r="AJ206" s="151" t="str">
        <f t="shared" si="13"/>
        <v>GUARULHOS</v>
      </c>
      <c r="AK206" s="155" t="s">
        <v>59</v>
      </c>
      <c r="AL206" s="53">
        <v>0.25586768469544663</v>
      </c>
      <c r="AM206" s="53" t="str" cm="1">
        <f t="array" ref="AM206">IF(OR(O206&lt;&gt;"", SUMPRODUCT(($AN$2:$AN$561=AN206)*($AL$2:$AL$561&lt;=AL206)) &lt;= (COUNTIF($AN$2:$AN$561,AN206)*0.5)), "SORTEADO", "-")</f>
        <v>SORTEADO</v>
      </c>
      <c r="AN206" s="53" t="str">
        <f t="shared" si="12"/>
        <v>20/04/2026</v>
      </c>
    </row>
    <row r="207" spans="1:40" ht="30" hidden="1" customHeight="1" x14ac:dyDescent="0.2">
      <c r="A207" s="230" t="s">
        <v>197</v>
      </c>
      <c r="B207" s="230">
        <v>2612740712</v>
      </c>
      <c r="C207" s="230" t="s">
        <v>2937</v>
      </c>
      <c r="D207" s="230" t="s">
        <v>109</v>
      </c>
      <c r="E207" s="230" t="s">
        <v>198</v>
      </c>
      <c r="F207" s="230" t="s">
        <v>2938</v>
      </c>
      <c r="G207" s="230">
        <v>64</v>
      </c>
      <c r="H207" s="230" t="s">
        <v>2501</v>
      </c>
      <c r="I207" s="230" t="s">
        <v>509</v>
      </c>
      <c r="J207" s="230" t="s">
        <v>2939</v>
      </c>
      <c r="K207" s="230" t="s">
        <v>213</v>
      </c>
      <c r="L207" s="230" t="s">
        <v>1616</v>
      </c>
      <c r="M207" s="230" t="s">
        <v>2940</v>
      </c>
      <c r="N207" s="230" t="s">
        <v>2640</v>
      </c>
      <c r="O207" s="158"/>
      <c r="P207" s="92"/>
      <c r="Q207" s="146"/>
      <c r="R207" s="92"/>
      <c r="S207" s="146"/>
      <c r="T207" s="92"/>
      <c r="U207" s="146"/>
      <c r="V207" s="92"/>
      <c r="W207" s="146"/>
      <c r="X207" s="92"/>
      <c r="Y207" s="146"/>
      <c r="Z207" s="92"/>
      <c r="AA207" s="146"/>
      <c r="AB207" s="92"/>
      <c r="AC207" s="146"/>
      <c r="AD207" s="92"/>
      <c r="AE207" s="146"/>
      <c r="AF207" s="143" t="str">
        <f t="shared" si="15"/>
        <v/>
      </c>
      <c r="AG207" s="199" t="b">
        <f t="shared" si="14"/>
        <v>0</v>
      </c>
      <c r="AH207" s="146"/>
      <c r="AI207" s="154" t="s">
        <v>6</v>
      </c>
      <c r="AJ207" s="151" t="str">
        <f t="shared" si="13"/>
        <v>GUARULHOS</v>
      </c>
      <c r="AK207" s="155" t="s">
        <v>59</v>
      </c>
      <c r="AL207" s="53">
        <v>0.51841715450496895</v>
      </c>
      <c r="AM207" s="53" t="str" cm="1">
        <f t="array" ref="AM207">IF(OR(O207&lt;&gt;"", SUMPRODUCT(($AN$2:$AN$561=AN207)*($AL$2:$AL$561&lt;=AL207)) &lt;= (COUNTIF($AN$2:$AN$561,AN207)*0.5)), "SORTEADO", "-")</f>
        <v>-</v>
      </c>
      <c r="AN207" s="53" t="str">
        <f t="shared" si="12"/>
        <v>20/04/2026</v>
      </c>
    </row>
    <row r="208" spans="1:40" ht="30" hidden="1" customHeight="1" x14ac:dyDescent="0.2">
      <c r="A208" s="230" t="s">
        <v>197</v>
      </c>
      <c r="B208" s="230">
        <v>2616397847</v>
      </c>
      <c r="C208" s="230" t="s">
        <v>119</v>
      </c>
      <c r="D208" s="230" t="s">
        <v>109</v>
      </c>
      <c r="E208" s="230" t="s">
        <v>198</v>
      </c>
      <c r="F208" s="230" t="s">
        <v>1814</v>
      </c>
      <c r="G208" s="230">
        <v>23</v>
      </c>
      <c r="H208" s="230"/>
      <c r="I208" s="230" t="s">
        <v>664</v>
      </c>
      <c r="J208" s="230" t="s">
        <v>119</v>
      </c>
      <c r="K208" s="230"/>
      <c r="L208" s="230" t="s">
        <v>1616</v>
      </c>
      <c r="M208" s="230" t="s">
        <v>2941</v>
      </c>
      <c r="N208" s="230" t="s">
        <v>2634</v>
      </c>
      <c r="O208" s="158"/>
      <c r="P208" s="92"/>
      <c r="Q208" s="146"/>
      <c r="R208" s="92"/>
      <c r="S208" s="146"/>
      <c r="T208" s="92"/>
      <c r="U208" s="146"/>
      <c r="V208" s="92"/>
      <c r="W208" s="146"/>
      <c r="X208" s="92"/>
      <c r="Y208" s="146"/>
      <c r="Z208" s="92"/>
      <c r="AA208" s="146"/>
      <c r="AB208" s="92"/>
      <c r="AC208" s="146"/>
      <c r="AD208" s="92"/>
      <c r="AE208" s="146"/>
      <c r="AF208" s="143" t="str">
        <f t="shared" si="15"/>
        <v/>
      </c>
      <c r="AG208" s="199" t="b">
        <f t="shared" si="14"/>
        <v>0</v>
      </c>
      <c r="AH208" s="146"/>
      <c r="AI208" s="154" t="s">
        <v>6</v>
      </c>
      <c r="AJ208" s="151" t="str">
        <f t="shared" si="13"/>
        <v>GUARULHOS</v>
      </c>
      <c r="AK208" s="155" t="s">
        <v>59</v>
      </c>
      <c r="AL208" s="53">
        <v>0.46383741991268912</v>
      </c>
      <c r="AM208" s="53" t="str" cm="1">
        <f t="array" ref="AM208">IF(OR(O208&lt;&gt;"", SUMPRODUCT(($AN$2:$AN$561=AN208)*($AL$2:$AL$561&lt;=AL208)) &lt;= (COUNTIF($AN$2:$AN$561,AN208)*0.5)), "SORTEADO", "-")</f>
        <v>SORTEADO</v>
      </c>
      <c r="AN208" s="53" t="str">
        <f t="shared" si="12"/>
        <v>20/04/2026</v>
      </c>
    </row>
    <row r="209" spans="1:40" ht="30" hidden="1" customHeight="1" x14ac:dyDescent="0.2">
      <c r="A209" s="230" t="s">
        <v>197</v>
      </c>
      <c r="B209" s="230">
        <v>2616404679</v>
      </c>
      <c r="C209" s="230" t="s">
        <v>117</v>
      </c>
      <c r="D209" s="230" t="s">
        <v>109</v>
      </c>
      <c r="E209" s="230" t="s">
        <v>198</v>
      </c>
      <c r="F209" s="230" t="s">
        <v>2942</v>
      </c>
      <c r="G209" s="230">
        <v>14</v>
      </c>
      <c r="H209" s="230" t="s">
        <v>1299</v>
      </c>
      <c r="I209" s="230" t="s">
        <v>559</v>
      </c>
      <c r="J209" s="230" t="s">
        <v>117</v>
      </c>
      <c r="K209" s="230" t="s">
        <v>2752</v>
      </c>
      <c r="L209" s="230" t="s">
        <v>1616</v>
      </c>
      <c r="M209" s="230" t="s">
        <v>2943</v>
      </c>
      <c r="N209" s="230" t="s">
        <v>2646</v>
      </c>
      <c r="O209" s="158"/>
      <c r="P209" s="92"/>
      <c r="Q209" s="146"/>
      <c r="R209" s="92"/>
      <c r="S209" s="146"/>
      <c r="T209" s="92"/>
      <c r="U209" s="146"/>
      <c r="V209" s="92"/>
      <c r="W209" s="146"/>
      <c r="X209" s="92"/>
      <c r="Y209" s="146"/>
      <c r="Z209" s="92"/>
      <c r="AA209" s="146"/>
      <c r="AB209" s="92"/>
      <c r="AC209" s="146"/>
      <c r="AD209" s="92"/>
      <c r="AE209" s="146"/>
      <c r="AF209" s="143" t="str">
        <f t="shared" si="15"/>
        <v/>
      </c>
      <c r="AG209" s="199" t="b">
        <f t="shared" si="14"/>
        <v>0</v>
      </c>
      <c r="AH209" s="146"/>
      <c r="AI209" s="154" t="s">
        <v>6</v>
      </c>
      <c r="AJ209" s="151" t="str">
        <f t="shared" si="13"/>
        <v>GUARULHOS</v>
      </c>
      <c r="AK209" s="155" t="s">
        <v>59</v>
      </c>
      <c r="AL209" s="53">
        <v>0.82283507538503997</v>
      </c>
      <c r="AM209" s="53" t="str" cm="1">
        <f t="array" ref="AM209">IF(OR(O209&lt;&gt;"", SUMPRODUCT(($AN$2:$AN$561=AN209)*($AL$2:$AL$561&lt;=AL209)) &lt;= (COUNTIF($AN$2:$AN$561,AN209)*0.5)), "SORTEADO", "-")</f>
        <v>-</v>
      </c>
      <c r="AN209" s="53" t="str">
        <f t="shared" si="12"/>
        <v>20/04/2026</v>
      </c>
    </row>
    <row r="210" spans="1:40" ht="30" hidden="1" customHeight="1" x14ac:dyDescent="0.2">
      <c r="A210" s="230" t="s">
        <v>197</v>
      </c>
      <c r="B210" s="230">
        <v>2616340629</v>
      </c>
      <c r="C210" s="230" t="s">
        <v>119</v>
      </c>
      <c r="D210" s="230" t="s">
        <v>109</v>
      </c>
      <c r="E210" s="230" t="s">
        <v>198</v>
      </c>
      <c r="F210" s="230" t="s">
        <v>627</v>
      </c>
      <c r="G210" s="230">
        <v>2451</v>
      </c>
      <c r="H210" s="230"/>
      <c r="I210" s="230" t="s">
        <v>285</v>
      </c>
      <c r="J210" s="230" t="s">
        <v>119</v>
      </c>
      <c r="K210" s="230"/>
      <c r="L210" s="230" t="s">
        <v>1616</v>
      </c>
      <c r="M210" s="230" t="s">
        <v>2944</v>
      </c>
      <c r="N210" s="230" t="s">
        <v>2707</v>
      </c>
      <c r="O210" s="158"/>
      <c r="P210" s="92"/>
      <c r="Q210" s="146"/>
      <c r="R210" s="92"/>
      <c r="S210" s="146"/>
      <c r="T210" s="92"/>
      <c r="U210" s="146"/>
      <c r="V210" s="92"/>
      <c r="W210" s="146"/>
      <c r="X210" s="92"/>
      <c r="Y210" s="146"/>
      <c r="Z210" s="92"/>
      <c r="AA210" s="146"/>
      <c r="AB210" s="92"/>
      <c r="AC210" s="146"/>
      <c r="AD210" s="92"/>
      <c r="AE210" s="146"/>
      <c r="AF210" s="143" t="str">
        <f t="shared" si="15"/>
        <v/>
      </c>
      <c r="AG210" s="199" t="b">
        <f t="shared" si="14"/>
        <v>0</v>
      </c>
      <c r="AH210" s="146"/>
      <c r="AI210" s="154" t="s">
        <v>6</v>
      </c>
      <c r="AJ210" s="151" t="str">
        <f t="shared" si="13"/>
        <v>GUARULHOS</v>
      </c>
      <c r="AK210" s="155" t="s">
        <v>59</v>
      </c>
      <c r="AL210" s="53">
        <v>0.67190693527703771</v>
      </c>
      <c r="AM210" s="53" t="str" cm="1">
        <f t="array" ref="AM210">IF(OR(O210&lt;&gt;"", SUMPRODUCT(($AN$2:$AN$561=AN210)*($AL$2:$AL$561&lt;=AL210)) &lt;= (COUNTIF($AN$2:$AN$561,AN210)*0.5)), "SORTEADO", "-")</f>
        <v>-</v>
      </c>
      <c r="AN210" s="53" t="str">
        <f t="shared" si="12"/>
        <v>20/04/2026</v>
      </c>
    </row>
    <row r="211" spans="1:40" ht="30" hidden="1" customHeight="1" x14ac:dyDescent="0.2">
      <c r="A211" s="230" t="s">
        <v>197</v>
      </c>
      <c r="B211" s="230">
        <v>2616542401</v>
      </c>
      <c r="C211" s="230" t="s">
        <v>115</v>
      </c>
      <c r="D211" s="230" t="s">
        <v>108</v>
      </c>
      <c r="E211" s="230" t="s">
        <v>198</v>
      </c>
      <c r="F211" s="230" t="s">
        <v>2935</v>
      </c>
      <c r="G211" s="230">
        <v>176</v>
      </c>
      <c r="H211" s="230"/>
      <c r="I211" s="230" t="s">
        <v>840</v>
      </c>
      <c r="J211" s="230" t="s">
        <v>2644</v>
      </c>
      <c r="K211" s="230" t="s">
        <v>2290</v>
      </c>
      <c r="L211" s="230" t="s">
        <v>1616</v>
      </c>
      <c r="M211" s="230" t="s">
        <v>2945</v>
      </c>
      <c r="N211" s="230" t="s">
        <v>2634</v>
      </c>
      <c r="O211" s="158"/>
      <c r="P211" s="92"/>
      <c r="Q211" s="146"/>
      <c r="R211" s="92"/>
      <c r="S211" s="146"/>
      <c r="T211" s="92"/>
      <c r="U211" s="146"/>
      <c r="V211" s="92"/>
      <c r="W211" s="146"/>
      <c r="X211" s="92"/>
      <c r="Y211" s="146"/>
      <c r="Z211" s="92"/>
      <c r="AA211" s="146"/>
      <c r="AB211" s="92"/>
      <c r="AC211" s="146"/>
      <c r="AD211" s="92"/>
      <c r="AE211" s="146"/>
      <c r="AF211" s="143" t="str">
        <f t="shared" si="15"/>
        <v/>
      </c>
      <c r="AG211" s="199" t="b">
        <f t="shared" si="14"/>
        <v>0</v>
      </c>
      <c r="AH211" s="146"/>
      <c r="AI211" s="154" t="s">
        <v>6</v>
      </c>
      <c r="AJ211" s="151" t="str">
        <f t="shared" si="13"/>
        <v>GUARULHOS</v>
      </c>
      <c r="AK211" s="155" t="s">
        <v>59</v>
      </c>
      <c r="AL211" s="53">
        <v>0.39614905305238135</v>
      </c>
      <c r="AM211" s="53" t="str" cm="1">
        <f t="array" ref="AM211">IF(OR(O211&lt;&gt;"", SUMPRODUCT(($AN$2:$AN$561=AN211)*($AL$2:$AL$561&lt;=AL211)) &lt;= (COUNTIF($AN$2:$AN$561,AN211)*0.5)), "SORTEADO", "-")</f>
        <v>SORTEADO</v>
      </c>
      <c r="AN211" s="53" t="str">
        <f t="shared" si="12"/>
        <v>20/04/2026</v>
      </c>
    </row>
    <row r="212" spans="1:40" ht="30" customHeight="1" x14ac:dyDescent="0.2">
      <c r="A212" s="242" t="s">
        <v>197</v>
      </c>
      <c r="B212" s="242">
        <v>2616212321</v>
      </c>
      <c r="C212" s="242" t="s">
        <v>120</v>
      </c>
      <c r="D212" s="242" t="s">
        <v>111</v>
      </c>
      <c r="E212" s="242" t="s">
        <v>198</v>
      </c>
      <c r="F212" s="242" t="s">
        <v>867</v>
      </c>
      <c r="G212" s="242">
        <v>718</v>
      </c>
      <c r="H212" s="242" t="s">
        <v>362</v>
      </c>
      <c r="I212" s="242" t="s">
        <v>1611</v>
      </c>
      <c r="J212" s="242" t="s">
        <v>2637</v>
      </c>
      <c r="K212" s="242" t="s">
        <v>2946</v>
      </c>
      <c r="L212" s="242" t="s">
        <v>1706</v>
      </c>
      <c r="M212" s="242" t="s">
        <v>2947</v>
      </c>
      <c r="N212" s="242" t="s">
        <v>2640</v>
      </c>
      <c r="O212" s="158"/>
      <c r="P212" s="92"/>
      <c r="Q212" s="146"/>
      <c r="R212" s="92"/>
      <c r="S212" s="146"/>
      <c r="T212" s="92"/>
      <c r="U212" s="146"/>
      <c r="V212" s="92"/>
      <c r="W212" s="146"/>
      <c r="X212" s="92"/>
      <c r="Y212" s="146"/>
      <c r="Z212" s="92"/>
      <c r="AA212" s="146"/>
      <c r="AB212" s="92"/>
      <c r="AC212" s="146"/>
      <c r="AD212" s="92"/>
      <c r="AE212" s="146"/>
      <c r="AF212" s="143" t="str">
        <f t="shared" si="15"/>
        <v/>
      </c>
      <c r="AG212" s="199" t="b">
        <f t="shared" si="14"/>
        <v>0</v>
      </c>
      <c r="AH212" s="146"/>
      <c r="AI212" s="154" t="s">
        <v>6</v>
      </c>
      <c r="AJ212" s="151" t="str">
        <f t="shared" si="13"/>
        <v>GUARULHOS</v>
      </c>
      <c r="AK212" s="155" t="s">
        <v>59</v>
      </c>
      <c r="AL212" s="53">
        <v>0.81228284192564948</v>
      </c>
      <c r="AM212" s="53" t="str" cm="1">
        <f t="array" ref="AM212">IF(OR(O212&lt;&gt;"", SUMPRODUCT(($AN$2:$AN$561=AN212)*($AL$2:$AL$561&lt;=AL212)) &lt;= (COUNTIF($AN$2:$AN$561,AN212)*0.5)), "SORTEADO", "-")</f>
        <v>-</v>
      </c>
      <c r="AN212" s="53" t="str">
        <f t="shared" si="12"/>
        <v>21/04/2026</v>
      </c>
    </row>
    <row r="213" spans="1:40" ht="30" customHeight="1" x14ac:dyDescent="0.2">
      <c r="A213" s="230" t="s">
        <v>197</v>
      </c>
      <c r="B213" s="230">
        <v>2616616107</v>
      </c>
      <c r="C213" s="230" t="s">
        <v>120</v>
      </c>
      <c r="D213" s="230" t="s">
        <v>111</v>
      </c>
      <c r="E213" s="230" t="s">
        <v>198</v>
      </c>
      <c r="F213" s="230" t="s">
        <v>2948</v>
      </c>
      <c r="G213" s="230">
        <v>234</v>
      </c>
      <c r="H213" s="230" t="s">
        <v>2949</v>
      </c>
      <c r="I213" s="230" t="s">
        <v>791</v>
      </c>
      <c r="J213" s="230" t="s">
        <v>2637</v>
      </c>
      <c r="K213" s="230" t="s">
        <v>213</v>
      </c>
      <c r="L213" s="230" t="s">
        <v>1785</v>
      </c>
      <c r="M213" s="230" t="s">
        <v>2950</v>
      </c>
      <c r="N213" s="230" t="s">
        <v>2638</v>
      </c>
      <c r="O213" s="158"/>
      <c r="P213" s="92"/>
      <c r="Q213" s="146"/>
      <c r="R213" s="92"/>
      <c r="S213" s="146"/>
      <c r="T213" s="92"/>
      <c r="U213" s="146"/>
      <c r="V213" s="92"/>
      <c r="W213" s="146"/>
      <c r="X213" s="92"/>
      <c r="Y213" s="146"/>
      <c r="Z213" s="92"/>
      <c r="AA213" s="146"/>
      <c r="AB213" s="92"/>
      <c r="AC213" s="146"/>
      <c r="AD213" s="92"/>
      <c r="AE213" s="146"/>
      <c r="AF213" s="143" t="str">
        <f t="shared" si="15"/>
        <v/>
      </c>
      <c r="AG213" s="199" t="b">
        <f t="shared" si="14"/>
        <v>0</v>
      </c>
      <c r="AH213" s="146"/>
      <c r="AI213" s="154" t="s">
        <v>6</v>
      </c>
      <c r="AJ213" s="151" t="str">
        <f t="shared" si="13"/>
        <v>GUARULHOS</v>
      </c>
      <c r="AK213" s="155" t="s">
        <v>59</v>
      </c>
      <c r="AL213" s="53">
        <v>0.68228802078885908</v>
      </c>
      <c r="AM213" s="53" t="str" cm="1">
        <f t="array" ref="AM213">IF(OR(O213&lt;&gt;"", SUMPRODUCT(($AN$2:$AN$561=AN213)*($AL$2:$AL$561&lt;=AL213)) &lt;= (COUNTIF($AN$2:$AN$561,AN213)*0.5)), "SORTEADO", "-")</f>
        <v>-</v>
      </c>
      <c r="AN213" s="53" t="str">
        <f t="shared" ref="AN213:AN276" si="16">TEXT(L213, "dd/mm/aaaa")</f>
        <v>22/04/2026</v>
      </c>
    </row>
    <row r="214" spans="1:40" ht="30" hidden="1" customHeight="1" x14ac:dyDescent="0.2">
      <c r="A214" s="230" t="s">
        <v>197</v>
      </c>
      <c r="B214" s="230">
        <v>2616754820</v>
      </c>
      <c r="C214" s="230" t="s">
        <v>122</v>
      </c>
      <c r="D214" s="230" t="s">
        <v>108</v>
      </c>
      <c r="E214" s="230" t="s">
        <v>198</v>
      </c>
      <c r="F214" s="230" t="s">
        <v>662</v>
      </c>
      <c r="G214" s="230">
        <v>365</v>
      </c>
      <c r="H214" s="230" t="s">
        <v>578</v>
      </c>
      <c r="I214" s="230" t="s">
        <v>664</v>
      </c>
      <c r="J214" s="230" t="s">
        <v>2633</v>
      </c>
      <c r="K214" s="230"/>
      <c r="L214" s="230" t="s">
        <v>1785</v>
      </c>
      <c r="M214" s="230" t="s">
        <v>1837</v>
      </c>
      <c r="N214" s="230" t="s">
        <v>2640</v>
      </c>
      <c r="O214" s="158"/>
      <c r="P214" s="92"/>
      <c r="Q214" s="146"/>
      <c r="R214" s="92"/>
      <c r="S214" s="146"/>
      <c r="T214" s="92"/>
      <c r="U214" s="146"/>
      <c r="V214" s="92"/>
      <c r="W214" s="146"/>
      <c r="X214" s="92"/>
      <c r="Y214" s="146"/>
      <c r="Z214" s="92"/>
      <c r="AA214" s="146"/>
      <c r="AB214" s="92"/>
      <c r="AC214" s="146"/>
      <c r="AD214" s="92"/>
      <c r="AE214" s="146"/>
      <c r="AF214" s="143" t="str">
        <f t="shared" si="15"/>
        <v/>
      </c>
      <c r="AG214" s="199" t="b">
        <f t="shared" si="14"/>
        <v>0</v>
      </c>
      <c r="AH214" s="146"/>
      <c r="AI214" s="154" t="s">
        <v>6</v>
      </c>
      <c r="AJ214" s="151" t="str">
        <f t="shared" si="13"/>
        <v>GUARULHOS</v>
      </c>
      <c r="AK214" s="155" t="s">
        <v>59</v>
      </c>
      <c r="AL214" s="53">
        <v>0.90992839703642914</v>
      </c>
      <c r="AM214" s="53" t="str" cm="1">
        <f t="array" ref="AM214">IF(OR(O214&lt;&gt;"", SUMPRODUCT(($AN$2:$AN$561=AN214)*($AL$2:$AL$561&lt;=AL214)) &lt;= (COUNTIF($AN$2:$AN$561,AN214)*0.5)), "SORTEADO", "-")</f>
        <v>-</v>
      </c>
      <c r="AN214" s="53" t="str">
        <f t="shared" si="16"/>
        <v>22/04/2026</v>
      </c>
    </row>
    <row r="215" spans="1:40" ht="30" hidden="1" customHeight="1" x14ac:dyDescent="0.2">
      <c r="A215" s="230" t="s">
        <v>197</v>
      </c>
      <c r="B215" s="230">
        <v>2616822301</v>
      </c>
      <c r="C215" s="230" t="s">
        <v>2819</v>
      </c>
      <c r="D215" s="230" t="s">
        <v>111</v>
      </c>
      <c r="E215" s="230" t="s">
        <v>198</v>
      </c>
      <c r="F215" s="230" t="s">
        <v>2951</v>
      </c>
      <c r="G215" s="230">
        <v>62</v>
      </c>
      <c r="H215" s="230" t="s">
        <v>2952</v>
      </c>
      <c r="I215" s="230" t="s">
        <v>1150</v>
      </c>
      <c r="J215" s="230" t="s">
        <v>2820</v>
      </c>
      <c r="K215" s="230"/>
      <c r="L215" s="230" t="s">
        <v>1785</v>
      </c>
      <c r="M215" s="230" t="s">
        <v>2953</v>
      </c>
      <c r="N215" s="230" t="s">
        <v>2646</v>
      </c>
      <c r="O215" s="158"/>
      <c r="P215" s="92"/>
      <c r="Q215" s="146"/>
      <c r="R215" s="92"/>
      <c r="S215" s="146"/>
      <c r="T215" s="92"/>
      <c r="U215" s="146"/>
      <c r="V215" s="92"/>
      <c r="W215" s="146"/>
      <c r="X215" s="92"/>
      <c r="Y215" s="146"/>
      <c r="Z215" s="92"/>
      <c r="AA215" s="146"/>
      <c r="AB215" s="92"/>
      <c r="AC215" s="146"/>
      <c r="AD215" s="92"/>
      <c r="AE215" s="146"/>
      <c r="AF215" s="143" t="str">
        <f t="shared" si="15"/>
        <v/>
      </c>
      <c r="AG215" s="199" t="b">
        <f t="shared" si="14"/>
        <v>0</v>
      </c>
      <c r="AH215" s="146"/>
      <c r="AI215" s="154" t="s">
        <v>6</v>
      </c>
      <c r="AJ215" s="151" t="str">
        <f t="shared" si="13"/>
        <v>GUARULHOS</v>
      </c>
      <c r="AK215" s="155" t="s">
        <v>59</v>
      </c>
      <c r="AL215" s="53">
        <v>0.19842862233967373</v>
      </c>
      <c r="AM215" s="53" t="str" cm="1">
        <f t="array" ref="AM215">IF(OR(O215&lt;&gt;"", SUMPRODUCT(($AN$2:$AN$561=AN215)*($AL$2:$AL$561&lt;=AL215)) &lt;= (COUNTIF($AN$2:$AN$561,AN215)*0.5)), "SORTEADO", "-")</f>
        <v>-</v>
      </c>
      <c r="AN215" s="53" t="str">
        <f t="shared" si="16"/>
        <v>22/04/2026</v>
      </c>
    </row>
    <row r="216" spans="1:40" ht="30" customHeight="1" x14ac:dyDescent="0.2">
      <c r="A216" s="230" t="s">
        <v>197</v>
      </c>
      <c r="B216" s="230">
        <v>2616822159</v>
      </c>
      <c r="C216" s="230" t="s">
        <v>120</v>
      </c>
      <c r="D216" s="230" t="s">
        <v>111</v>
      </c>
      <c r="E216" s="230" t="s">
        <v>198</v>
      </c>
      <c r="F216" s="230" t="s">
        <v>2227</v>
      </c>
      <c r="G216" s="230">
        <v>389</v>
      </c>
      <c r="H216" s="230" t="s">
        <v>213</v>
      </c>
      <c r="I216" s="230" t="s">
        <v>730</v>
      </c>
      <c r="J216" s="230" t="s">
        <v>2637</v>
      </c>
      <c r="K216" s="230" t="s">
        <v>2954</v>
      </c>
      <c r="L216" s="230" t="s">
        <v>1785</v>
      </c>
      <c r="M216" s="230" t="s">
        <v>2955</v>
      </c>
      <c r="N216" s="230" t="s">
        <v>2638</v>
      </c>
      <c r="O216" s="158"/>
      <c r="P216" s="92"/>
      <c r="Q216" s="146"/>
      <c r="R216" s="92"/>
      <c r="S216" s="146"/>
      <c r="T216" s="92"/>
      <c r="U216" s="146"/>
      <c r="V216" s="92"/>
      <c r="W216" s="146"/>
      <c r="X216" s="92"/>
      <c r="Y216" s="146"/>
      <c r="Z216" s="92"/>
      <c r="AA216" s="146"/>
      <c r="AB216" s="92"/>
      <c r="AC216" s="146"/>
      <c r="AD216" s="92"/>
      <c r="AE216" s="146"/>
      <c r="AF216" s="143" t="str">
        <f t="shared" si="15"/>
        <v/>
      </c>
      <c r="AG216" s="199" t="b">
        <f t="shared" si="14"/>
        <v>0</v>
      </c>
      <c r="AH216" s="146"/>
      <c r="AI216" s="154" t="s">
        <v>6</v>
      </c>
      <c r="AJ216" s="151" t="str">
        <f t="shared" si="13"/>
        <v>GUARULHOS</v>
      </c>
      <c r="AK216" s="155" t="s">
        <v>59</v>
      </c>
      <c r="AL216" s="53">
        <v>3.9599483515411316E-2</v>
      </c>
      <c r="AM216" s="53" t="str" cm="1">
        <f t="array" ref="AM216">IF(OR(O216&lt;&gt;"", SUMPRODUCT(($AN$2:$AN$561=AN216)*($AL$2:$AL$561&lt;=AL216)) &lt;= (COUNTIF($AN$2:$AN$561,AN216)*0.5)), "SORTEADO", "-")</f>
        <v>-</v>
      </c>
      <c r="AN216" s="53" t="str">
        <f t="shared" si="16"/>
        <v>22/04/2026</v>
      </c>
    </row>
    <row r="217" spans="1:40" ht="30" hidden="1" customHeight="1" x14ac:dyDescent="0.2">
      <c r="A217" s="230" t="s">
        <v>197</v>
      </c>
      <c r="B217" s="230">
        <v>2616824082</v>
      </c>
      <c r="C217" s="230" t="s">
        <v>115</v>
      </c>
      <c r="D217" s="230" t="s">
        <v>108</v>
      </c>
      <c r="E217" s="230" t="s">
        <v>198</v>
      </c>
      <c r="F217" s="230" t="s">
        <v>2956</v>
      </c>
      <c r="G217" s="230">
        <v>81</v>
      </c>
      <c r="H217" s="230"/>
      <c r="I217" s="230" t="s">
        <v>2957</v>
      </c>
      <c r="J217" s="230" t="s">
        <v>2644</v>
      </c>
      <c r="K217" s="230"/>
      <c r="L217" s="230" t="s">
        <v>1785</v>
      </c>
      <c r="M217" s="230" t="s">
        <v>2958</v>
      </c>
      <c r="N217" s="230" t="s">
        <v>2634</v>
      </c>
      <c r="O217" s="158"/>
      <c r="P217" s="92"/>
      <c r="Q217" s="146"/>
      <c r="R217" s="92"/>
      <c r="S217" s="146"/>
      <c r="T217" s="92"/>
      <c r="U217" s="146"/>
      <c r="V217" s="92"/>
      <c r="W217" s="146"/>
      <c r="X217" s="92"/>
      <c r="Y217" s="146"/>
      <c r="Z217" s="92"/>
      <c r="AA217" s="146"/>
      <c r="AB217" s="92"/>
      <c r="AC217" s="146"/>
      <c r="AD217" s="92"/>
      <c r="AE217" s="146"/>
      <c r="AF217" s="143" t="str">
        <f t="shared" si="15"/>
        <v/>
      </c>
      <c r="AG217" s="199" t="b">
        <f t="shared" si="14"/>
        <v>0</v>
      </c>
      <c r="AH217" s="146"/>
      <c r="AI217" s="154" t="s">
        <v>6</v>
      </c>
      <c r="AJ217" s="151" t="str">
        <f t="shared" si="13"/>
        <v>GUARULHOS</v>
      </c>
      <c r="AK217" s="155" t="s">
        <v>59</v>
      </c>
      <c r="AL217" s="53">
        <v>5.1165953652754892E-2</v>
      </c>
      <c r="AM217" s="53" t="str" cm="1">
        <f t="array" ref="AM217">IF(OR(O217&lt;&gt;"", SUMPRODUCT(($AN$2:$AN$561=AN217)*($AL$2:$AL$561&lt;=AL217)) &lt;= (COUNTIF($AN$2:$AN$561,AN217)*0.5)), "SORTEADO", "-")</f>
        <v>-</v>
      </c>
      <c r="AN217" s="53" t="str">
        <f t="shared" si="16"/>
        <v>22/04/2026</v>
      </c>
    </row>
    <row r="218" spans="1:40" ht="30" customHeight="1" x14ac:dyDescent="0.2">
      <c r="A218" s="230" t="s">
        <v>197</v>
      </c>
      <c r="B218" s="230">
        <v>2616849556</v>
      </c>
      <c r="C218" s="230" t="s">
        <v>120</v>
      </c>
      <c r="D218" s="230" t="s">
        <v>111</v>
      </c>
      <c r="E218" s="230" t="s">
        <v>198</v>
      </c>
      <c r="F218" s="230" t="s">
        <v>2227</v>
      </c>
      <c r="G218" s="230">
        <v>47</v>
      </c>
      <c r="H218" s="230" t="s">
        <v>213</v>
      </c>
      <c r="I218" s="230" t="s">
        <v>730</v>
      </c>
      <c r="J218" s="230" t="s">
        <v>2637</v>
      </c>
      <c r="K218" s="230" t="s">
        <v>213</v>
      </c>
      <c r="L218" s="230" t="s">
        <v>1785</v>
      </c>
      <c r="M218" s="230" t="s">
        <v>2959</v>
      </c>
      <c r="N218" s="230" t="s">
        <v>2638</v>
      </c>
      <c r="O218" s="158"/>
      <c r="P218" s="92"/>
      <c r="Q218" s="146"/>
      <c r="R218" s="92"/>
      <c r="S218" s="146"/>
      <c r="T218" s="92"/>
      <c r="U218" s="146"/>
      <c r="V218" s="92"/>
      <c r="W218" s="146"/>
      <c r="X218" s="92"/>
      <c r="Y218" s="146"/>
      <c r="Z218" s="92"/>
      <c r="AA218" s="146"/>
      <c r="AB218" s="92"/>
      <c r="AC218" s="146"/>
      <c r="AD218" s="92"/>
      <c r="AE218" s="146"/>
      <c r="AF218" s="143" t="str">
        <f t="shared" si="15"/>
        <v/>
      </c>
      <c r="AG218" s="199" t="b">
        <f t="shared" si="14"/>
        <v>0</v>
      </c>
      <c r="AH218" s="146"/>
      <c r="AI218" s="154" t="s">
        <v>6</v>
      </c>
      <c r="AJ218" s="151" t="str">
        <f t="shared" si="13"/>
        <v>GUARULHOS</v>
      </c>
      <c r="AK218" s="155" t="s">
        <v>59</v>
      </c>
      <c r="AL218" s="53">
        <v>0.44362514945665421</v>
      </c>
      <c r="AM218" s="53" t="str" cm="1">
        <f t="array" ref="AM218">IF(OR(O218&lt;&gt;"", SUMPRODUCT(($AN$2:$AN$561=AN218)*($AL$2:$AL$561&lt;=AL218)) &lt;= (COUNTIF($AN$2:$AN$561,AN218)*0.5)), "SORTEADO", "-")</f>
        <v>-</v>
      </c>
      <c r="AN218" s="53" t="str">
        <f t="shared" si="16"/>
        <v>22/04/2026</v>
      </c>
    </row>
    <row r="219" spans="1:40" ht="30" hidden="1" customHeight="1" x14ac:dyDescent="0.2">
      <c r="A219" s="230" t="s">
        <v>197</v>
      </c>
      <c r="B219" s="230">
        <v>2616857875</v>
      </c>
      <c r="C219" s="230" t="s">
        <v>115</v>
      </c>
      <c r="D219" s="230" t="s">
        <v>108</v>
      </c>
      <c r="E219" s="230" t="s">
        <v>198</v>
      </c>
      <c r="F219" s="230" t="s">
        <v>2951</v>
      </c>
      <c r="G219" s="230">
        <v>57</v>
      </c>
      <c r="H219" s="230"/>
      <c r="I219" s="230" t="s">
        <v>1150</v>
      </c>
      <c r="J219" s="230" t="s">
        <v>2644</v>
      </c>
      <c r="K219" s="230" t="s">
        <v>2960</v>
      </c>
      <c r="L219" s="230" t="s">
        <v>1785</v>
      </c>
      <c r="M219" s="230" t="s">
        <v>2961</v>
      </c>
      <c r="N219" s="230" t="s">
        <v>2646</v>
      </c>
      <c r="O219" s="158"/>
      <c r="P219" s="92"/>
      <c r="Q219" s="146"/>
      <c r="R219" s="92"/>
      <c r="S219" s="146"/>
      <c r="T219" s="92"/>
      <c r="U219" s="146"/>
      <c r="V219" s="92"/>
      <c r="W219" s="146"/>
      <c r="X219" s="92"/>
      <c r="Y219" s="146"/>
      <c r="Z219" s="92"/>
      <c r="AA219" s="146"/>
      <c r="AB219" s="92"/>
      <c r="AC219" s="146"/>
      <c r="AD219" s="92"/>
      <c r="AE219" s="146"/>
      <c r="AF219" s="143" t="str">
        <f t="shared" si="15"/>
        <v/>
      </c>
      <c r="AG219" s="199" t="b">
        <f t="shared" si="14"/>
        <v>0</v>
      </c>
      <c r="AH219" s="146"/>
      <c r="AI219" s="154" t="s">
        <v>6</v>
      </c>
      <c r="AJ219" s="151" t="str">
        <f t="shared" si="13"/>
        <v>GUARULHOS</v>
      </c>
      <c r="AK219" s="155" t="s">
        <v>59</v>
      </c>
      <c r="AL219" s="53">
        <v>0.34617159988391288</v>
      </c>
      <c r="AM219" s="53" t="str" cm="1">
        <f t="array" ref="AM219">IF(OR(O219&lt;&gt;"", SUMPRODUCT(($AN$2:$AN$561=AN219)*($AL$2:$AL$561&lt;=AL219)) &lt;= (COUNTIF($AN$2:$AN$561,AN219)*0.5)), "SORTEADO", "-")</f>
        <v>-</v>
      </c>
      <c r="AN219" s="53" t="str">
        <f t="shared" si="16"/>
        <v>22/04/2026</v>
      </c>
    </row>
    <row r="220" spans="1:40" ht="30" hidden="1" customHeight="1" x14ac:dyDescent="0.2">
      <c r="A220" s="230" t="s">
        <v>197</v>
      </c>
      <c r="B220" s="230">
        <v>2615877206</v>
      </c>
      <c r="C220" s="230" t="s">
        <v>2701</v>
      </c>
      <c r="D220" s="230" t="s">
        <v>110</v>
      </c>
      <c r="E220" s="230" t="s">
        <v>198</v>
      </c>
      <c r="F220" s="230" t="s">
        <v>358</v>
      </c>
      <c r="G220" s="230">
        <v>1269</v>
      </c>
      <c r="H220" s="230" t="s">
        <v>2962</v>
      </c>
      <c r="I220" s="230" t="s">
        <v>262</v>
      </c>
      <c r="J220" s="230" t="s">
        <v>2703</v>
      </c>
      <c r="K220" s="237" t="s">
        <v>2963</v>
      </c>
      <c r="L220" s="230" t="s">
        <v>1785</v>
      </c>
      <c r="M220" s="230" t="s">
        <v>2964</v>
      </c>
      <c r="N220" s="230" t="s">
        <v>2132</v>
      </c>
      <c r="O220" s="158" t="s">
        <v>204</v>
      </c>
      <c r="P220" s="92"/>
      <c r="Q220" s="146" t="s">
        <v>204</v>
      </c>
      <c r="R220" s="92"/>
      <c r="S220" s="146" t="s">
        <v>204</v>
      </c>
      <c r="T220" s="92"/>
      <c r="U220" s="146" t="s">
        <v>204</v>
      </c>
      <c r="V220" s="92"/>
      <c r="W220" s="146" t="s">
        <v>204</v>
      </c>
      <c r="X220" s="92"/>
      <c r="Y220" s="146" t="s">
        <v>204</v>
      </c>
      <c r="Z220" s="92"/>
      <c r="AA220" s="146" t="s">
        <v>204</v>
      </c>
      <c r="AB220" s="92"/>
      <c r="AC220" s="146" t="s">
        <v>61</v>
      </c>
      <c r="AD220" s="92"/>
      <c r="AE220" s="146" t="s">
        <v>204</v>
      </c>
      <c r="AF220" s="143" t="str">
        <f t="shared" si="15"/>
        <v>C</v>
      </c>
      <c r="AG220" s="199" t="str">
        <f t="shared" si="14"/>
        <v>UTILIZOU O PDA CORRETAMENTE</v>
      </c>
      <c r="AH220" s="146" t="s">
        <v>204</v>
      </c>
      <c r="AI220" s="154" t="s">
        <v>6</v>
      </c>
      <c r="AJ220" s="151" t="str">
        <f t="shared" si="13"/>
        <v>GUARULHOS</v>
      </c>
      <c r="AK220" s="155" t="s">
        <v>59</v>
      </c>
      <c r="AL220" s="53">
        <v>-4.3799999999999999E-2</v>
      </c>
      <c r="AM220" s="53" t="str" cm="1">
        <f t="array" ref="AM220">IF(OR(O220&lt;&gt;"", SUMPRODUCT(($AN$2:$AN$561=AN220)*($AL$2:$AL$561&lt;=AL220)) &lt;= (COUNTIF($AN$2:$AN$561,AN220)*0.5)), "SORTEADO", "-")</f>
        <v>SORTEADO</v>
      </c>
      <c r="AN220" s="53" t="str">
        <f t="shared" si="16"/>
        <v>22/04/2026</v>
      </c>
    </row>
    <row r="221" spans="1:40" ht="30" hidden="1" customHeight="1" x14ac:dyDescent="0.2">
      <c r="A221" s="230" t="s">
        <v>197</v>
      </c>
      <c r="B221" s="230">
        <v>2615876964</v>
      </c>
      <c r="C221" s="230" t="s">
        <v>2701</v>
      </c>
      <c r="D221" s="230" t="s">
        <v>110</v>
      </c>
      <c r="E221" s="230" t="s">
        <v>198</v>
      </c>
      <c r="F221" s="230" t="s">
        <v>358</v>
      </c>
      <c r="G221" s="230">
        <v>1263</v>
      </c>
      <c r="H221" s="230" t="s">
        <v>276</v>
      </c>
      <c r="I221" s="230" t="s">
        <v>262</v>
      </c>
      <c r="J221" s="230" t="s">
        <v>2703</v>
      </c>
      <c r="K221" s="237" t="s">
        <v>2963</v>
      </c>
      <c r="L221" s="230" t="s">
        <v>1785</v>
      </c>
      <c r="M221" s="230" t="s">
        <v>2964</v>
      </c>
      <c r="N221" s="230" t="s">
        <v>2132</v>
      </c>
      <c r="O221" s="158" t="s">
        <v>204</v>
      </c>
      <c r="P221" s="92"/>
      <c r="Q221" s="146" t="s">
        <v>204</v>
      </c>
      <c r="R221" s="92"/>
      <c r="S221" s="146" t="s">
        <v>204</v>
      </c>
      <c r="T221" s="92"/>
      <c r="U221" s="146" t="s">
        <v>204</v>
      </c>
      <c r="V221" s="92"/>
      <c r="W221" s="146" t="s">
        <v>204</v>
      </c>
      <c r="X221" s="92"/>
      <c r="Y221" s="146" t="s">
        <v>204</v>
      </c>
      <c r="Z221" s="92"/>
      <c r="AA221" s="146" t="s">
        <v>204</v>
      </c>
      <c r="AB221" s="92"/>
      <c r="AC221" s="146" t="s">
        <v>61</v>
      </c>
      <c r="AD221" s="92"/>
      <c r="AE221" s="146" t="s">
        <v>204</v>
      </c>
      <c r="AF221" s="143" t="str">
        <f t="shared" si="15"/>
        <v>C</v>
      </c>
      <c r="AG221" s="199" t="str">
        <f t="shared" si="14"/>
        <v>UTILIZOU O PDA CORRETAMENTE</v>
      </c>
      <c r="AH221" s="146" t="s">
        <v>204</v>
      </c>
      <c r="AI221" s="154" t="s">
        <v>6</v>
      </c>
      <c r="AJ221" s="151" t="str">
        <f t="shared" si="13"/>
        <v>GUARULHOS</v>
      </c>
      <c r="AK221" s="155" t="s">
        <v>59</v>
      </c>
      <c r="AL221" s="53">
        <v>-4.3999999999999997E-2</v>
      </c>
      <c r="AM221" s="53" t="str" cm="1">
        <f t="array" ref="AM221">IF(OR(O221&lt;&gt;"", SUMPRODUCT(($AN$2:$AN$561=AN221)*($AL$2:$AL$561&lt;=AL221)) &lt;= (COUNTIF($AN$2:$AN$561,AN221)*0.5)), "SORTEADO", "-")</f>
        <v>SORTEADO</v>
      </c>
      <c r="AN221" s="53" t="str">
        <f t="shared" si="16"/>
        <v>22/04/2026</v>
      </c>
    </row>
    <row r="222" spans="1:40" ht="30" hidden="1" customHeight="1" x14ac:dyDescent="0.2">
      <c r="A222" s="230" t="s">
        <v>197</v>
      </c>
      <c r="B222" s="230">
        <v>2615876673</v>
      </c>
      <c r="C222" s="230" t="s">
        <v>2701</v>
      </c>
      <c r="D222" s="230" t="s">
        <v>110</v>
      </c>
      <c r="E222" s="230" t="s">
        <v>198</v>
      </c>
      <c r="F222" s="230" t="s">
        <v>358</v>
      </c>
      <c r="G222" s="230">
        <v>1260</v>
      </c>
      <c r="H222" s="230" t="s">
        <v>2965</v>
      </c>
      <c r="I222" s="230" t="s">
        <v>262</v>
      </c>
      <c r="J222" s="230" t="s">
        <v>2703</v>
      </c>
      <c r="K222" s="237" t="s">
        <v>2963</v>
      </c>
      <c r="L222" s="230" t="s">
        <v>1785</v>
      </c>
      <c r="M222" s="230" t="s">
        <v>2964</v>
      </c>
      <c r="N222" s="230" t="s">
        <v>2132</v>
      </c>
      <c r="O222" s="158" t="s">
        <v>204</v>
      </c>
      <c r="P222" s="92"/>
      <c r="Q222" s="146" t="s">
        <v>204</v>
      </c>
      <c r="R222" s="92"/>
      <c r="S222" s="146" t="s">
        <v>204</v>
      </c>
      <c r="T222" s="92"/>
      <c r="U222" s="146" t="s">
        <v>204</v>
      </c>
      <c r="V222" s="92"/>
      <c r="W222" s="146" t="s">
        <v>204</v>
      </c>
      <c r="X222" s="92"/>
      <c r="Y222" s="146" t="s">
        <v>204</v>
      </c>
      <c r="Z222" s="92"/>
      <c r="AA222" s="146" t="s">
        <v>204</v>
      </c>
      <c r="AB222" s="92"/>
      <c r="AC222" s="146" t="s">
        <v>61</v>
      </c>
      <c r="AD222" s="92"/>
      <c r="AE222" s="146" t="s">
        <v>204</v>
      </c>
      <c r="AF222" s="143" t="str">
        <f t="shared" si="15"/>
        <v>C</v>
      </c>
      <c r="AG222" s="199" t="str">
        <f t="shared" si="14"/>
        <v>UTILIZOU O PDA CORRETAMENTE</v>
      </c>
      <c r="AH222" s="146" t="s">
        <v>204</v>
      </c>
      <c r="AI222" s="154" t="s">
        <v>6</v>
      </c>
      <c r="AJ222" s="151" t="str">
        <f t="shared" ref="AJ222:AJ285" si="17">E222</f>
        <v>GUARULHOS</v>
      </c>
      <c r="AK222" s="155" t="s">
        <v>59</v>
      </c>
      <c r="AL222" s="53">
        <v>-4.4200000000000003E-2</v>
      </c>
      <c r="AM222" s="53" t="str" cm="1">
        <f t="array" ref="AM222">IF(OR(O222&lt;&gt;"", SUMPRODUCT(($AN$2:$AN$561=AN222)*($AL$2:$AL$561&lt;=AL222)) &lt;= (COUNTIF($AN$2:$AN$561,AN222)*0.5)), "SORTEADO", "-")</f>
        <v>SORTEADO</v>
      </c>
      <c r="AN222" s="53" t="str">
        <f t="shared" si="16"/>
        <v>22/04/2026</v>
      </c>
    </row>
    <row r="223" spans="1:40" ht="30" hidden="1" customHeight="1" x14ac:dyDescent="0.2">
      <c r="A223" s="230" t="s">
        <v>197</v>
      </c>
      <c r="B223" s="230">
        <v>2615876450</v>
      </c>
      <c r="C223" s="230" t="s">
        <v>2701</v>
      </c>
      <c r="D223" s="230" t="s">
        <v>110</v>
      </c>
      <c r="E223" s="230" t="s">
        <v>198</v>
      </c>
      <c r="F223" s="230" t="s">
        <v>358</v>
      </c>
      <c r="G223" s="230">
        <v>1256</v>
      </c>
      <c r="H223" s="230" t="s">
        <v>2966</v>
      </c>
      <c r="I223" s="230" t="s">
        <v>262</v>
      </c>
      <c r="J223" s="230" t="s">
        <v>2703</v>
      </c>
      <c r="K223" s="237" t="s">
        <v>2963</v>
      </c>
      <c r="L223" s="230" t="s">
        <v>1785</v>
      </c>
      <c r="M223" s="230" t="s">
        <v>2964</v>
      </c>
      <c r="N223" s="230" t="s">
        <v>2132</v>
      </c>
      <c r="O223" s="158" t="s">
        <v>204</v>
      </c>
      <c r="P223" s="92"/>
      <c r="Q223" s="146" t="s">
        <v>204</v>
      </c>
      <c r="R223" s="92"/>
      <c r="S223" s="146" t="s">
        <v>204</v>
      </c>
      <c r="T223" s="92"/>
      <c r="U223" s="146" t="s">
        <v>204</v>
      </c>
      <c r="V223" s="92"/>
      <c r="W223" s="146" t="s">
        <v>204</v>
      </c>
      <c r="X223" s="92"/>
      <c r="Y223" s="146" t="s">
        <v>204</v>
      </c>
      <c r="Z223" s="92"/>
      <c r="AA223" s="146" t="s">
        <v>204</v>
      </c>
      <c r="AB223" s="92"/>
      <c r="AC223" s="146" t="s">
        <v>61</v>
      </c>
      <c r="AD223" s="92"/>
      <c r="AE223" s="146" t="s">
        <v>204</v>
      </c>
      <c r="AF223" s="143" t="str">
        <f t="shared" si="15"/>
        <v>C</v>
      </c>
      <c r="AG223" s="199" t="str">
        <f t="shared" si="14"/>
        <v>UTILIZOU O PDA CORRETAMENTE</v>
      </c>
      <c r="AH223" s="146" t="s">
        <v>204</v>
      </c>
      <c r="AI223" s="154" t="s">
        <v>6</v>
      </c>
      <c r="AJ223" s="151" t="str">
        <f t="shared" si="17"/>
        <v>GUARULHOS</v>
      </c>
      <c r="AK223" s="155" t="s">
        <v>59</v>
      </c>
      <c r="AL223" s="53">
        <v>-4.4400000000000002E-2</v>
      </c>
      <c r="AM223" s="53" t="str" cm="1">
        <f t="array" ref="AM223">IF(OR(O223&lt;&gt;"", SUMPRODUCT(($AN$2:$AN$561=AN223)*($AL$2:$AL$561&lt;=AL223)) &lt;= (COUNTIF($AN$2:$AN$561,AN223)*0.5)), "SORTEADO", "-")</f>
        <v>SORTEADO</v>
      </c>
      <c r="AN223" s="53" t="str">
        <f t="shared" si="16"/>
        <v>22/04/2026</v>
      </c>
    </row>
    <row r="224" spans="1:40" ht="30" hidden="1" customHeight="1" x14ac:dyDescent="0.2">
      <c r="A224" s="230" t="s">
        <v>197</v>
      </c>
      <c r="B224" s="230">
        <v>2615876276</v>
      </c>
      <c r="C224" s="230" t="s">
        <v>2701</v>
      </c>
      <c r="D224" s="230" t="s">
        <v>110</v>
      </c>
      <c r="E224" s="230" t="s">
        <v>198</v>
      </c>
      <c r="F224" s="230" t="s">
        <v>358</v>
      </c>
      <c r="G224" s="230">
        <v>1252</v>
      </c>
      <c r="H224" s="230" t="s">
        <v>2967</v>
      </c>
      <c r="I224" s="230" t="s">
        <v>262</v>
      </c>
      <c r="J224" s="230" t="s">
        <v>2703</v>
      </c>
      <c r="K224" s="237" t="s">
        <v>2963</v>
      </c>
      <c r="L224" s="230" t="s">
        <v>1785</v>
      </c>
      <c r="M224" s="230" t="s">
        <v>2964</v>
      </c>
      <c r="N224" s="230" t="s">
        <v>2132</v>
      </c>
      <c r="O224" s="158" t="s">
        <v>204</v>
      </c>
      <c r="P224" s="92"/>
      <c r="Q224" s="146" t="s">
        <v>204</v>
      </c>
      <c r="R224" s="92"/>
      <c r="S224" s="146" t="s">
        <v>204</v>
      </c>
      <c r="T224" s="92"/>
      <c r="U224" s="146" t="s">
        <v>204</v>
      </c>
      <c r="V224" s="92"/>
      <c r="W224" s="146" t="s">
        <v>204</v>
      </c>
      <c r="X224" s="92"/>
      <c r="Y224" s="146" t="s">
        <v>204</v>
      </c>
      <c r="Z224" s="92"/>
      <c r="AA224" s="146" t="s">
        <v>204</v>
      </c>
      <c r="AB224" s="92"/>
      <c r="AC224" s="146" t="s">
        <v>61</v>
      </c>
      <c r="AD224" s="92"/>
      <c r="AE224" s="146" t="s">
        <v>204</v>
      </c>
      <c r="AF224" s="143" t="str">
        <f t="shared" si="15"/>
        <v>C</v>
      </c>
      <c r="AG224" s="199" t="str">
        <f t="shared" si="14"/>
        <v>UTILIZOU O PDA CORRETAMENTE</v>
      </c>
      <c r="AH224" s="146" t="s">
        <v>204</v>
      </c>
      <c r="AI224" s="154" t="s">
        <v>6</v>
      </c>
      <c r="AJ224" s="151" t="str">
        <f t="shared" si="17"/>
        <v>GUARULHOS</v>
      </c>
      <c r="AK224" s="155" t="s">
        <v>59</v>
      </c>
      <c r="AL224" s="53">
        <v>-4.4600000000000001E-2</v>
      </c>
      <c r="AM224" s="53" t="str" cm="1">
        <f t="array" ref="AM224">IF(OR(O224&lt;&gt;"", SUMPRODUCT(($AN$2:$AN$561=AN224)*($AL$2:$AL$561&lt;=AL224)) &lt;= (COUNTIF($AN$2:$AN$561,AN224)*0.5)), "SORTEADO", "-")</f>
        <v>SORTEADO</v>
      </c>
      <c r="AN224" s="53" t="str">
        <f t="shared" si="16"/>
        <v>22/04/2026</v>
      </c>
    </row>
    <row r="225" spans="1:40" ht="30" hidden="1" customHeight="1" x14ac:dyDescent="0.2">
      <c r="A225" s="230" t="s">
        <v>197</v>
      </c>
      <c r="B225" s="230">
        <v>2615876002</v>
      </c>
      <c r="C225" s="230" t="s">
        <v>2701</v>
      </c>
      <c r="D225" s="230" t="s">
        <v>110</v>
      </c>
      <c r="E225" s="230" t="s">
        <v>198</v>
      </c>
      <c r="F225" s="230" t="s">
        <v>358</v>
      </c>
      <c r="G225" s="230">
        <v>1244</v>
      </c>
      <c r="H225" s="230" t="s">
        <v>359</v>
      </c>
      <c r="I225" s="230" t="s">
        <v>262</v>
      </c>
      <c r="J225" s="230" t="s">
        <v>2703</v>
      </c>
      <c r="K225" s="237" t="s">
        <v>2963</v>
      </c>
      <c r="L225" s="230" t="s">
        <v>1785</v>
      </c>
      <c r="M225" s="230" t="s">
        <v>2964</v>
      </c>
      <c r="N225" s="230" t="s">
        <v>2132</v>
      </c>
      <c r="O225" s="158" t="s">
        <v>204</v>
      </c>
      <c r="P225" s="92"/>
      <c r="Q225" s="146" t="s">
        <v>204</v>
      </c>
      <c r="R225" s="92"/>
      <c r="S225" s="146" t="s">
        <v>204</v>
      </c>
      <c r="T225" s="92"/>
      <c r="U225" s="146" t="s">
        <v>204</v>
      </c>
      <c r="V225" s="92"/>
      <c r="W225" s="146" t="s">
        <v>204</v>
      </c>
      <c r="X225" s="92"/>
      <c r="Y225" s="146" t="s">
        <v>204</v>
      </c>
      <c r="Z225" s="92"/>
      <c r="AA225" s="146" t="s">
        <v>204</v>
      </c>
      <c r="AB225" s="92"/>
      <c r="AC225" s="146" t="s">
        <v>61</v>
      </c>
      <c r="AD225" s="92"/>
      <c r="AE225" s="146" t="s">
        <v>204</v>
      </c>
      <c r="AF225" s="143" t="str">
        <f t="shared" si="15"/>
        <v>C</v>
      </c>
      <c r="AG225" s="199" t="str">
        <f t="shared" si="14"/>
        <v>UTILIZOU O PDA CORRETAMENTE</v>
      </c>
      <c r="AH225" s="146" t="s">
        <v>204</v>
      </c>
      <c r="AI225" s="154" t="s">
        <v>6</v>
      </c>
      <c r="AJ225" s="151" t="str">
        <f t="shared" si="17"/>
        <v>GUARULHOS</v>
      </c>
      <c r="AK225" s="155" t="s">
        <v>59</v>
      </c>
      <c r="AL225" s="53">
        <v>-4.48E-2</v>
      </c>
      <c r="AM225" s="53" t="str" cm="1">
        <f t="array" ref="AM225">IF(OR(O225&lt;&gt;"", SUMPRODUCT(($AN$2:$AN$561=AN225)*($AL$2:$AL$561&lt;=AL225)) &lt;= (COUNTIF($AN$2:$AN$561,AN225)*0.5)), "SORTEADO", "-")</f>
        <v>SORTEADO</v>
      </c>
      <c r="AN225" s="53" t="str">
        <f t="shared" si="16"/>
        <v>22/04/2026</v>
      </c>
    </row>
    <row r="226" spans="1:40" ht="30" hidden="1" customHeight="1" x14ac:dyDescent="0.2">
      <c r="A226" s="230" t="s">
        <v>197</v>
      </c>
      <c r="B226" s="230">
        <v>2615875177</v>
      </c>
      <c r="C226" s="230" t="s">
        <v>2701</v>
      </c>
      <c r="D226" s="230" t="s">
        <v>110</v>
      </c>
      <c r="E226" s="230" t="s">
        <v>198</v>
      </c>
      <c r="F226" s="230" t="s">
        <v>358</v>
      </c>
      <c r="G226" s="230">
        <v>1234</v>
      </c>
      <c r="H226" s="230" t="s">
        <v>2968</v>
      </c>
      <c r="I226" s="230" t="s">
        <v>262</v>
      </c>
      <c r="J226" s="230" t="s">
        <v>2703</v>
      </c>
      <c r="K226" s="237" t="s">
        <v>2963</v>
      </c>
      <c r="L226" s="230" t="s">
        <v>1785</v>
      </c>
      <c r="M226" s="230" t="s">
        <v>2964</v>
      </c>
      <c r="N226" s="230" t="s">
        <v>2132</v>
      </c>
      <c r="O226" s="158" t="s">
        <v>204</v>
      </c>
      <c r="P226" s="92"/>
      <c r="Q226" s="146" t="s">
        <v>204</v>
      </c>
      <c r="R226" s="92"/>
      <c r="S226" s="146" t="s">
        <v>204</v>
      </c>
      <c r="T226" s="92"/>
      <c r="U226" s="146" t="s">
        <v>204</v>
      </c>
      <c r="V226" s="92"/>
      <c r="W226" s="146" t="s">
        <v>204</v>
      </c>
      <c r="X226" s="92"/>
      <c r="Y226" s="146" t="s">
        <v>204</v>
      </c>
      <c r="Z226" s="92"/>
      <c r="AA226" s="146" t="s">
        <v>204</v>
      </c>
      <c r="AB226" s="92"/>
      <c r="AC226" s="146" t="s">
        <v>61</v>
      </c>
      <c r="AD226" s="92"/>
      <c r="AE226" s="146" t="s">
        <v>204</v>
      </c>
      <c r="AF226" s="143" t="str">
        <f t="shared" si="15"/>
        <v>C</v>
      </c>
      <c r="AG226" s="199" t="str">
        <f t="shared" si="14"/>
        <v>UTILIZOU O PDA CORRETAMENTE</v>
      </c>
      <c r="AH226" s="146" t="s">
        <v>204</v>
      </c>
      <c r="AI226" s="154" t="s">
        <v>6</v>
      </c>
      <c r="AJ226" s="151" t="str">
        <f t="shared" si="17"/>
        <v>GUARULHOS</v>
      </c>
      <c r="AK226" s="155" t="s">
        <v>59</v>
      </c>
      <c r="AL226" s="53">
        <v>-4.4999999999999998E-2</v>
      </c>
      <c r="AM226" s="53" t="str" cm="1">
        <f t="array" ref="AM226">IF(OR(O226&lt;&gt;"", SUMPRODUCT(($AN$2:$AN$561=AN226)*($AL$2:$AL$561&lt;=AL226)) &lt;= (COUNTIF($AN$2:$AN$561,AN226)*0.5)), "SORTEADO", "-")</f>
        <v>SORTEADO</v>
      </c>
      <c r="AN226" s="53" t="str">
        <f t="shared" si="16"/>
        <v>22/04/2026</v>
      </c>
    </row>
    <row r="227" spans="1:40" ht="30" hidden="1" customHeight="1" x14ac:dyDescent="0.2">
      <c r="A227" s="230" t="s">
        <v>197</v>
      </c>
      <c r="B227" s="230">
        <v>2615874614</v>
      </c>
      <c r="C227" s="230" t="s">
        <v>2701</v>
      </c>
      <c r="D227" s="230" t="s">
        <v>110</v>
      </c>
      <c r="E227" s="230" t="s">
        <v>198</v>
      </c>
      <c r="F227" s="230" t="s">
        <v>358</v>
      </c>
      <c r="G227" s="230">
        <v>1228</v>
      </c>
      <c r="H227" s="230" t="s">
        <v>2969</v>
      </c>
      <c r="I227" s="230" t="s">
        <v>262</v>
      </c>
      <c r="J227" s="230" t="s">
        <v>2703</v>
      </c>
      <c r="K227" s="237" t="s">
        <v>2963</v>
      </c>
      <c r="L227" s="230" t="s">
        <v>1785</v>
      </c>
      <c r="M227" s="230" t="s">
        <v>2964</v>
      </c>
      <c r="N227" s="230" t="s">
        <v>2132</v>
      </c>
      <c r="O227" s="158" t="s">
        <v>204</v>
      </c>
      <c r="P227" s="92"/>
      <c r="Q227" s="146" t="s">
        <v>204</v>
      </c>
      <c r="R227" s="92"/>
      <c r="S227" s="146" t="s">
        <v>204</v>
      </c>
      <c r="T227" s="92"/>
      <c r="U227" s="146" t="s">
        <v>204</v>
      </c>
      <c r="V227" s="92"/>
      <c r="W227" s="146" t="s">
        <v>204</v>
      </c>
      <c r="X227" s="92"/>
      <c r="Y227" s="146" t="s">
        <v>204</v>
      </c>
      <c r="Z227" s="92"/>
      <c r="AA227" s="146" t="s">
        <v>204</v>
      </c>
      <c r="AB227" s="92"/>
      <c r="AC227" s="146" t="s">
        <v>61</v>
      </c>
      <c r="AD227" s="92"/>
      <c r="AE227" s="146" t="s">
        <v>204</v>
      </c>
      <c r="AF227" s="143" t="str">
        <f t="shared" si="15"/>
        <v>C</v>
      </c>
      <c r="AG227" s="199" t="str">
        <f t="shared" si="14"/>
        <v>UTILIZOU O PDA CORRETAMENTE</v>
      </c>
      <c r="AH227" s="146" t="s">
        <v>204</v>
      </c>
      <c r="AI227" s="154" t="s">
        <v>6</v>
      </c>
      <c r="AJ227" s="151" t="str">
        <f t="shared" si="17"/>
        <v>GUARULHOS</v>
      </c>
      <c r="AK227" s="155" t="s">
        <v>59</v>
      </c>
      <c r="AL227" s="53">
        <v>-4.5199999999999997E-2</v>
      </c>
      <c r="AM227" s="53" t="str" cm="1">
        <f t="array" ref="AM227">IF(OR(O227&lt;&gt;"", SUMPRODUCT(($AN$2:$AN$561=AN227)*($AL$2:$AL$561&lt;=AL227)) &lt;= (COUNTIF($AN$2:$AN$561,AN227)*0.5)), "SORTEADO", "-")</f>
        <v>SORTEADO</v>
      </c>
      <c r="AN227" s="53" t="str">
        <f t="shared" si="16"/>
        <v>22/04/2026</v>
      </c>
    </row>
    <row r="228" spans="1:40" ht="30" hidden="1" customHeight="1" x14ac:dyDescent="0.2">
      <c r="A228" s="230" t="s">
        <v>197</v>
      </c>
      <c r="B228" s="230">
        <v>2615874309</v>
      </c>
      <c r="C228" s="230" t="s">
        <v>2701</v>
      </c>
      <c r="D228" s="230" t="s">
        <v>110</v>
      </c>
      <c r="E228" s="230" t="s">
        <v>198</v>
      </c>
      <c r="F228" s="230" t="s">
        <v>358</v>
      </c>
      <c r="G228" s="230">
        <v>1226</v>
      </c>
      <c r="H228" s="230" t="s">
        <v>2615</v>
      </c>
      <c r="I228" s="230" t="s">
        <v>262</v>
      </c>
      <c r="J228" s="230" t="s">
        <v>2703</v>
      </c>
      <c r="K228" s="237" t="s">
        <v>2963</v>
      </c>
      <c r="L228" s="230" t="s">
        <v>1785</v>
      </c>
      <c r="M228" s="230" t="s">
        <v>2964</v>
      </c>
      <c r="N228" s="230" t="s">
        <v>2132</v>
      </c>
      <c r="O228" s="158" t="s">
        <v>204</v>
      </c>
      <c r="P228" s="92"/>
      <c r="Q228" s="146" t="s">
        <v>204</v>
      </c>
      <c r="R228" s="92"/>
      <c r="S228" s="146" t="s">
        <v>204</v>
      </c>
      <c r="T228" s="92"/>
      <c r="U228" s="146" t="s">
        <v>204</v>
      </c>
      <c r="V228" s="92"/>
      <c r="W228" s="146" t="s">
        <v>204</v>
      </c>
      <c r="X228" s="92"/>
      <c r="Y228" s="146" t="s">
        <v>204</v>
      </c>
      <c r="Z228" s="92"/>
      <c r="AA228" s="146" t="s">
        <v>204</v>
      </c>
      <c r="AB228" s="92"/>
      <c r="AC228" s="146" t="s">
        <v>61</v>
      </c>
      <c r="AD228" s="92"/>
      <c r="AE228" s="146" t="s">
        <v>204</v>
      </c>
      <c r="AF228" s="143" t="str">
        <f t="shared" si="15"/>
        <v>C</v>
      </c>
      <c r="AG228" s="199" t="str">
        <f t="shared" si="14"/>
        <v>UTILIZOU O PDA CORRETAMENTE</v>
      </c>
      <c r="AH228" s="146" t="s">
        <v>204</v>
      </c>
      <c r="AI228" s="154" t="s">
        <v>6</v>
      </c>
      <c r="AJ228" s="151" t="str">
        <f t="shared" si="17"/>
        <v>GUARULHOS</v>
      </c>
      <c r="AK228" s="155" t="s">
        <v>59</v>
      </c>
      <c r="AL228" s="53">
        <v>-4.5400000000000003E-2</v>
      </c>
      <c r="AM228" s="53" t="str" cm="1">
        <f t="array" ref="AM228">IF(OR(O228&lt;&gt;"", SUMPRODUCT(($AN$2:$AN$561=AN228)*($AL$2:$AL$561&lt;=AL228)) &lt;= (COUNTIF($AN$2:$AN$561,AN228)*0.5)), "SORTEADO", "-")</f>
        <v>SORTEADO</v>
      </c>
      <c r="AN228" s="53" t="str">
        <f t="shared" si="16"/>
        <v>22/04/2026</v>
      </c>
    </row>
    <row r="229" spans="1:40" ht="30" hidden="1" customHeight="1" x14ac:dyDescent="0.2">
      <c r="A229" s="230" t="s">
        <v>197</v>
      </c>
      <c r="B229" s="230">
        <v>2615874066</v>
      </c>
      <c r="C229" s="230" t="s">
        <v>2701</v>
      </c>
      <c r="D229" s="230" t="s">
        <v>110</v>
      </c>
      <c r="E229" s="230" t="s">
        <v>198</v>
      </c>
      <c r="F229" s="230" t="s">
        <v>358</v>
      </c>
      <c r="G229" s="230">
        <v>1220</v>
      </c>
      <c r="H229" s="230" t="s">
        <v>362</v>
      </c>
      <c r="I229" s="230" t="s">
        <v>262</v>
      </c>
      <c r="J229" s="230" t="s">
        <v>2703</v>
      </c>
      <c r="K229" s="237" t="s">
        <v>2963</v>
      </c>
      <c r="L229" s="230" t="s">
        <v>1785</v>
      </c>
      <c r="M229" s="230" t="s">
        <v>2964</v>
      </c>
      <c r="N229" s="230" t="s">
        <v>2132</v>
      </c>
      <c r="O229" s="158" t="s">
        <v>204</v>
      </c>
      <c r="P229" s="92"/>
      <c r="Q229" s="146" t="s">
        <v>204</v>
      </c>
      <c r="R229" s="92"/>
      <c r="S229" s="146" t="s">
        <v>204</v>
      </c>
      <c r="T229" s="92"/>
      <c r="U229" s="146" t="s">
        <v>204</v>
      </c>
      <c r="V229" s="92"/>
      <c r="W229" s="146" t="s">
        <v>204</v>
      </c>
      <c r="X229" s="92"/>
      <c r="Y229" s="146" t="s">
        <v>204</v>
      </c>
      <c r="Z229" s="92"/>
      <c r="AA229" s="146" t="s">
        <v>204</v>
      </c>
      <c r="AB229" s="92"/>
      <c r="AC229" s="146" t="s">
        <v>61</v>
      </c>
      <c r="AD229" s="92"/>
      <c r="AE229" s="146" t="s">
        <v>204</v>
      </c>
      <c r="AF229" s="143" t="str">
        <f t="shared" si="15"/>
        <v>C</v>
      </c>
      <c r="AG229" s="199" t="str">
        <f t="shared" si="14"/>
        <v>UTILIZOU O PDA CORRETAMENTE</v>
      </c>
      <c r="AH229" s="146" t="s">
        <v>204</v>
      </c>
      <c r="AI229" s="154" t="s">
        <v>6</v>
      </c>
      <c r="AJ229" s="151" t="str">
        <f t="shared" si="17"/>
        <v>GUARULHOS</v>
      </c>
      <c r="AK229" s="155" t="s">
        <v>59</v>
      </c>
      <c r="AL229" s="53">
        <v>-4.5600000000000002E-2</v>
      </c>
      <c r="AM229" s="53" t="str" cm="1">
        <f t="array" ref="AM229">IF(OR(O229&lt;&gt;"", SUMPRODUCT(($AN$2:$AN$561=AN229)*($AL$2:$AL$561&lt;=AL229)) &lt;= (COUNTIF($AN$2:$AN$561,AN229)*0.5)), "SORTEADO", "-")</f>
        <v>SORTEADO</v>
      </c>
      <c r="AN229" s="53" t="str">
        <f t="shared" si="16"/>
        <v>22/04/2026</v>
      </c>
    </row>
    <row r="230" spans="1:40" ht="30" hidden="1" customHeight="1" x14ac:dyDescent="0.2">
      <c r="A230" s="230" t="s">
        <v>197</v>
      </c>
      <c r="B230" s="230">
        <v>2615872920</v>
      </c>
      <c r="C230" s="230" t="s">
        <v>2701</v>
      </c>
      <c r="D230" s="230" t="s">
        <v>110</v>
      </c>
      <c r="E230" s="230" t="s">
        <v>198</v>
      </c>
      <c r="F230" s="230" t="s">
        <v>358</v>
      </c>
      <c r="G230" s="230">
        <v>1208</v>
      </c>
      <c r="H230" s="230" t="s">
        <v>2970</v>
      </c>
      <c r="I230" s="230" t="s">
        <v>262</v>
      </c>
      <c r="J230" s="230" t="s">
        <v>2703</v>
      </c>
      <c r="K230" s="237" t="s">
        <v>2971</v>
      </c>
      <c r="L230" s="230" t="s">
        <v>1785</v>
      </c>
      <c r="M230" s="230" t="s">
        <v>2964</v>
      </c>
      <c r="N230" s="230" t="s">
        <v>2132</v>
      </c>
      <c r="O230" s="158" t="s">
        <v>204</v>
      </c>
      <c r="P230" s="92"/>
      <c r="Q230" s="146" t="s">
        <v>204</v>
      </c>
      <c r="R230" s="92"/>
      <c r="S230" s="146" t="s">
        <v>204</v>
      </c>
      <c r="T230" s="92"/>
      <c r="U230" s="146" t="s">
        <v>204</v>
      </c>
      <c r="V230" s="92"/>
      <c r="W230" s="146" t="s">
        <v>204</v>
      </c>
      <c r="X230" s="92"/>
      <c r="Y230" s="146" t="s">
        <v>204</v>
      </c>
      <c r="Z230" s="92"/>
      <c r="AA230" s="146" t="s">
        <v>204</v>
      </c>
      <c r="AB230" s="92"/>
      <c r="AC230" s="146" t="s">
        <v>61</v>
      </c>
      <c r="AD230" s="92"/>
      <c r="AE230" s="146" t="s">
        <v>204</v>
      </c>
      <c r="AF230" s="143" t="str">
        <f t="shared" si="15"/>
        <v>C</v>
      </c>
      <c r="AG230" s="199" t="str">
        <f t="shared" si="14"/>
        <v>UTILIZOU O PDA CORRETAMENTE</v>
      </c>
      <c r="AH230" s="146" t="s">
        <v>204</v>
      </c>
      <c r="AI230" s="154" t="s">
        <v>6</v>
      </c>
      <c r="AJ230" s="151" t="str">
        <f t="shared" si="17"/>
        <v>GUARULHOS</v>
      </c>
      <c r="AK230" s="155" t="s">
        <v>59</v>
      </c>
      <c r="AL230" s="53">
        <v>-4.58E-2</v>
      </c>
      <c r="AM230" s="53" t="str" cm="1">
        <f t="array" ref="AM230">IF(OR(O230&lt;&gt;"", SUMPRODUCT(($AN$2:$AN$561=AN230)*($AL$2:$AL$561&lt;=AL230)) &lt;= (COUNTIF($AN$2:$AN$561,AN230)*0.5)), "SORTEADO", "-")</f>
        <v>SORTEADO</v>
      </c>
      <c r="AN230" s="53" t="str">
        <f t="shared" si="16"/>
        <v>22/04/2026</v>
      </c>
    </row>
    <row r="231" spans="1:40" ht="30" hidden="1" customHeight="1" x14ac:dyDescent="0.2">
      <c r="A231" s="230" t="s">
        <v>197</v>
      </c>
      <c r="B231" s="230">
        <v>2615866600</v>
      </c>
      <c r="C231" s="230" t="s">
        <v>2701</v>
      </c>
      <c r="D231" s="230" t="s">
        <v>110</v>
      </c>
      <c r="E231" s="230" t="s">
        <v>198</v>
      </c>
      <c r="F231" s="230" t="s">
        <v>1117</v>
      </c>
      <c r="G231" s="230">
        <v>96</v>
      </c>
      <c r="H231" s="230"/>
      <c r="I231" s="230" t="s">
        <v>1119</v>
      </c>
      <c r="J231" s="230" t="s">
        <v>2703</v>
      </c>
      <c r="K231" s="237" t="s">
        <v>2972</v>
      </c>
      <c r="L231" s="230" t="s">
        <v>1785</v>
      </c>
      <c r="M231" s="230" t="s">
        <v>2964</v>
      </c>
      <c r="N231" s="230" t="s">
        <v>2757</v>
      </c>
      <c r="O231" s="158" t="s">
        <v>61</v>
      </c>
      <c r="P231" s="92"/>
      <c r="Q231" s="146" t="s">
        <v>61</v>
      </c>
      <c r="R231" s="92"/>
      <c r="S231" s="146" t="s">
        <v>61</v>
      </c>
      <c r="T231" s="92"/>
      <c r="U231" s="146" t="s">
        <v>61</v>
      </c>
      <c r="V231" s="92"/>
      <c r="W231" s="146" t="s">
        <v>61</v>
      </c>
      <c r="X231" s="92"/>
      <c r="Y231" s="146" t="s">
        <v>61</v>
      </c>
      <c r="Z231" s="92"/>
      <c r="AA231" s="146" t="s">
        <v>61</v>
      </c>
      <c r="AB231" s="92"/>
      <c r="AC231" s="146" t="s">
        <v>61</v>
      </c>
      <c r="AD231" s="92"/>
      <c r="AE231" s="146" t="s">
        <v>61</v>
      </c>
      <c r="AF231" s="143" t="str">
        <f t="shared" si="15"/>
        <v>NA</v>
      </c>
      <c r="AG231" s="199" t="str">
        <f t="shared" si="14"/>
        <v>NÃO AVALIADO POR FALHA DE SINCRONISMO</v>
      </c>
      <c r="AH231" s="146" t="s">
        <v>204</v>
      </c>
      <c r="AI231" s="154" t="s">
        <v>6</v>
      </c>
      <c r="AJ231" s="151" t="str">
        <f t="shared" si="17"/>
        <v>GUARULHOS</v>
      </c>
      <c r="AK231" s="155" t="s">
        <v>59</v>
      </c>
      <c r="AL231" s="53">
        <v>-4.5999999999999999E-2</v>
      </c>
      <c r="AM231" s="53" t="str" cm="1">
        <f t="array" ref="AM231">IF(OR(O231&lt;&gt;"", SUMPRODUCT(($AN$2:$AN$561=AN231)*($AL$2:$AL$561&lt;=AL231)) &lt;= (COUNTIF($AN$2:$AN$561,AN231)*0.5)), "SORTEADO", "-")</f>
        <v>SORTEADO</v>
      </c>
      <c r="AN231" s="53" t="str">
        <f t="shared" si="16"/>
        <v>22/04/2026</v>
      </c>
    </row>
    <row r="232" spans="1:40" ht="30" hidden="1" customHeight="1" x14ac:dyDescent="0.2">
      <c r="A232" s="230" t="s">
        <v>197</v>
      </c>
      <c r="B232" s="230">
        <v>2615867067</v>
      </c>
      <c r="C232" s="230" t="s">
        <v>2701</v>
      </c>
      <c r="D232" s="230" t="s">
        <v>110</v>
      </c>
      <c r="E232" s="230" t="s">
        <v>198</v>
      </c>
      <c r="F232" s="230" t="s">
        <v>1117</v>
      </c>
      <c r="G232" s="230">
        <v>90</v>
      </c>
      <c r="H232" s="230" t="s">
        <v>2973</v>
      </c>
      <c r="I232" s="230" t="s">
        <v>1119</v>
      </c>
      <c r="J232" s="230" t="s">
        <v>2703</v>
      </c>
      <c r="K232" s="237" t="s">
        <v>2972</v>
      </c>
      <c r="L232" s="230" t="s">
        <v>1785</v>
      </c>
      <c r="M232" s="230" t="s">
        <v>2964</v>
      </c>
      <c r="N232" s="230" t="s">
        <v>2757</v>
      </c>
      <c r="O232" s="158" t="s">
        <v>61</v>
      </c>
      <c r="P232" s="92"/>
      <c r="Q232" s="146" t="s">
        <v>61</v>
      </c>
      <c r="R232" s="92"/>
      <c r="S232" s="146" t="s">
        <v>61</v>
      </c>
      <c r="T232" s="92"/>
      <c r="U232" s="146" t="s">
        <v>61</v>
      </c>
      <c r="V232" s="92"/>
      <c r="W232" s="146" t="s">
        <v>61</v>
      </c>
      <c r="X232" s="92"/>
      <c r="Y232" s="146" t="s">
        <v>61</v>
      </c>
      <c r="Z232" s="92"/>
      <c r="AA232" s="146" t="s">
        <v>61</v>
      </c>
      <c r="AB232" s="92"/>
      <c r="AC232" s="146" t="s">
        <v>61</v>
      </c>
      <c r="AD232" s="92"/>
      <c r="AE232" s="146" t="s">
        <v>61</v>
      </c>
      <c r="AF232" s="143" t="str">
        <f t="shared" si="15"/>
        <v>NA</v>
      </c>
      <c r="AG232" s="199" t="str">
        <f t="shared" si="14"/>
        <v>NÃO AVALIADO POR FALHA DE SINCRONISMO</v>
      </c>
      <c r="AH232" s="146" t="s">
        <v>204</v>
      </c>
      <c r="AI232" s="154" t="s">
        <v>6</v>
      </c>
      <c r="AJ232" s="151" t="str">
        <f t="shared" si="17"/>
        <v>GUARULHOS</v>
      </c>
      <c r="AK232" s="155" t="s">
        <v>59</v>
      </c>
      <c r="AL232" s="53">
        <v>-4.6199999999999998E-2</v>
      </c>
      <c r="AM232" s="53" t="str" cm="1">
        <f t="array" ref="AM232">IF(OR(O232&lt;&gt;"", SUMPRODUCT(($AN$2:$AN$561=AN232)*($AL$2:$AL$561&lt;=AL232)) &lt;= (COUNTIF($AN$2:$AN$561,AN232)*0.5)), "SORTEADO", "-")</f>
        <v>SORTEADO</v>
      </c>
      <c r="AN232" s="53" t="str">
        <f t="shared" si="16"/>
        <v>22/04/2026</v>
      </c>
    </row>
    <row r="233" spans="1:40" ht="30" hidden="1" customHeight="1" x14ac:dyDescent="0.2">
      <c r="A233" s="230" t="s">
        <v>197</v>
      </c>
      <c r="B233" s="230">
        <v>2615867564</v>
      </c>
      <c r="C233" s="230" t="s">
        <v>2701</v>
      </c>
      <c r="D233" s="230" t="s">
        <v>110</v>
      </c>
      <c r="E233" s="230" t="s">
        <v>198</v>
      </c>
      <c r="F233" s="230" t="s">
        <v>1117</v>
      </c>
      <c r="G233" s="230">
        <v>85</v>
      </c>
      <c r="H233" s="230" t="s">
        <v>2974</v>
      </c>
      <c r="I233" s="230" t="s">
        <v>1119</v>
      </c>
      <c r="J233" s="230" t="s">
        <v>2703</v>
      </c>
      <c r="K233" s="237" t="s">
        <v>2972</v>
      </c>
      <c r="L233" s="230" t="s">
        <v>1785</v>
      </c>
      <c r="M233" s="230" t="s">
        <v>2964</v>
      </c>
      <c r="N233" s="230" t="s">
        <v>2757</v>
      </c>
      <c r="O233" s="158" t="s">
        <v>61</v>
      </c>
      <c r="P233" s="92"/>
      <c r="Q233" s="146" t="s">
        <v>61</v>
      </c>
      <c r="R233" s="92"/>
      <c r="S233" s="146" t="s">
        <v>61</v>
      </c>
      <c r="T233" s="92"/>
      <c r="U233" s="146" t="s">
        <v>61</v>
      </c>
      <c r="V233" s="92"/>
      <c r="W233" s="146" t="s">
        <v>61</v>
      </c>
      <c r="X233" s="92"/>
      <c r="Y233" s="146" t="s">
        <v>61</v>
      </c>
      <c r="Z233" s="92"/>
      <c r="AA233" s="146" t="s">
        <v>61</v>
      </c>
      <c r="AB233" s="92"/>
      <c r="AC233" s="146" t="s">
        <v>61</v>
      </c>
      <c r="AD233" s="92"/>
      <c r="AE233" s="146" t="s">
        <v>61</v>
      </c>
      <c r="AF233" s="143" t="str">
        <f t="shared" si="15"/>
        <v>NA</v>
      </c>
      <c r="AG233" s="199" t="str">
        <f t="shared" si="14"/>
        <v>NÃO AVALIADO POR FALHA DE SINCRONISMO</v>
      </c>
      <c r="AH233" s="146" t="s">
        <v>204</v>
      </c>
      <c r="AI233" s="154" t="s">
        <v>6</v>
      </c>
      <c r="AJ233" s="151" t="str">
        <f t="shared" si="17"/>
        <v>GUARULHOS</v>
      </c>
      <c r="AK233" s="155" t="s">
        <v>59</v>
      </c>
      <c r="AL233" s="53">
        <v>-4.6399999999999997E-2</v>
      </c>
      <c r="AM233" s="53" t="str" cm="1">
        <f t="array" ref="AM233">IF(OR(O233&lt;&gt;"", SUMPRODUCT(($AN$2:$AN$561=AN233)*($AL$2:$AL$561&lt;=AL233)) &lt;= (COUNTIF($AN$2:$AN$561,AN233)*0.5)), "SORTEADO", "-")</f>
        <v>SORTEADO</v>
      </c>
      <c r="AN233" s="53" t="str">
        <f t="shared" si="16"/>
        <v>22/04/2026</v>
      </c>
    </row>
    <row r="234" spans="1:40" ht="30" hidden="1" customHeight="1" x14ac:dyDescent="0.2">
      <c r="A234" s="230" t="s">
        <v>197</v>
      </c>
      <c r="B234" s="230">
        <v>2615868122</v>
      </c>
      <c r="C234" s="230" t="s">
        <v>2701</v>
      </c>
      <c r="D234" s="230" t="s">
        <v>110</v>
      </c>
      <c r="E234" s="230" t="s">
        <v>198</v>
      </c>
      <c r="F234" s="230" t="s">
        <v>1117</v>
      </c>
      <c r="G234" s="230">
        <v>84</v>
      </c>
      <c r="H234" s="230" t="s">
        <v>2975</v>
      </c>
      <c r="I234" s="230" t="s">
        <v>1119</v>
      </c>
      <c r="J234" s="230" t="s">
        <v>2703</v>
      </c>
      <c r="K234" s="237" t="s">
        <v>2972</v>
      </c>
      <c r="L234" s="230" t="s">
        <v>1785</v>
      </c>
      <c r="M234" s="230" t="s">
        <v>2964</v>
      </c>
      <c r="N234" s="230" t="s">
        <v>2757</v>
      </c>
      <c r="O234" s="158" t="s">
        <v>61</v>
      </c>
      <c r="P234" s="92"/>
      <c r="Q234" s="146" t="s">
        <v>61</v>
      </c>
      <c r="R234" s="92"/>
      <c r="S234" s="146" t="s">
        <v>61</v>
      </c>
      <c r="T234" s="92"/>
      <c r="U234" s="146" t="s">
        <v>61</v>
      </c>
      <c r="V234" s="92"/>
      <c r="W234" s="146" t="s">
        <v>61</v>
      </c>
      <c r="X234" s="92"/>
      <c r="Y234" s="146" t="s">
        <v>61</v>
      </c>
      <c r="Z234" s="92"/>
      <c r="AA234" s="146" t="s">
        <v>61</v>
      </c>
      <c r="AB234" s="92"/>
      <c r="AC234" s="146" t="s">
        <v>61</v>
      </c>
      <c r="AD234" s="92"/>
      <c r="AE234" s="146" t="s">
        <v>61</v>
      </c>
      <c r="AF234" s="143" t="str">
        <f t="shared" si="15"/>
        <v>NA</v>
      </c>
      <c r="AG234" s="199" t="str">
        <f t="shared" si="14"/>
        <v>NÃO AVALIADO POR FALHA DE SINCRONISMO</v>
      </c>
      <c r="AH234" s="146" t="s">
        <v>204</v>
      </c>
      <c r="AI234" s="154" t="s">
        <v>6</v>
      </c>
      <c r="AJ234" s="151" t="str">
        <f t="shared" si="17"/>
        <v>GUARULHOS</v>
      </c>
      <c r="AK234" s="155" t="s">
        <v>59</v>
      </c>
      <c r="AL234" s="53">
        <v>-4.6600000000000003E-2</v>
      </c>
      <c r="AM234" s="53" t="str" cm="1">
        <f t="array" ref="AM234">IF(OR(O234&lt;&gt;"", SUMPRODUCT(($AN$2:$AN$561=AN234)*($AL$2:$AL$561&lt;=AL234)) &lt;= (COUNTIF($AN$2:$AN$561,AN234)*0.5)), "SORTEADO", "-")</f>
        <v>SORTEADO</v>
      </c>
      <c r="AN234" s="53" t="str">
        <f t="shared" si="16"/>
        <v>22/04/2026</v>
      </c>
    </row>
    <row r="235" spans="1:40" ht="30" hidden="1" customHeight="1" x14ac:dyDescent="0.2">
      <c r="A235" s="230" t="s">
        <v>197</v>
      </c>
      <c r="B235" s="230">
        <v>2615870337</v>
      </c>
      <c r="C235" s="230" t="s">
        <v>2701</v>
      </c>
      <c r="D235" s="230" t="s">
        <v>110</v>
      </c>
      <c r="E235" s="230" t="s">
        <v>198</v>
      </c>
      <c r="F235" s="230" t="s">
        <v>1117</v>
      </c>
      <c r="G235" s="230">
        <v>79</v>
      </c>
      <c r="H235" s="230" t="s">
        <v>2976</v>
      </c>
      <c r="I235" s="230" t="s">
        <v>1119</v>
      </c>
      <c r="J235" s="230" t="s">
        <v>2703</v>
      </c>
      <c r="K235" s="237" t="s">
        <v>2972</v>
      </c>
      <c r="L235" s="230" t="s">
        <v>1785</v>
      </c>
      <c r="M235" s="230" t="s">
        <v>2964</v>
      </c>
      <c r="N235" s="230" t="s">
        <v>2757</v>
      </c>
      <c r="O235" s="158" t="s">
        <v>61</v>
      </c>
      <c r="P235" s="92"/>
      <c r="Q235" s="146" t="s">
        <v>61</v>
      </c>
      <c r="R235" s="92"/>
      <c r="S235" s="146" t="s">
        <v>61</v>
      </c>
      <c r="T235" s="92"/>
      <c r="U235" s="146" t="s">
        <v>61</v>
      </c>
      <c r="V235" s="92"/>
      <c r="W235" s="146" t="s">
        <v>61</v>
      </c>
      <c r="X235" s="92"/>
      <c r="Y235" s="146" t="s">
        <v>61</v>
      </c>
      <c r="Z235" s="92"/>
      <c r="AA235" s="146" t="s">
        <v>61</v>
      </c>
      <c r="AB235" s="92"/>
      <c r="AC235" s="146" t="s">
        <v>61</v>
      </c>
      <c r="AD235" s="92"/>
      <c r="AE235" s="146" t="s">
        <v>61</v>
      </c>
      <c r="AF235" s="143" t="str">
        <f t="shared" si="15"/>
        <v>NA</v>
      </c>
      <c r="AG235" s="199" t="str">
        <f t="shared" si="14"/>
        <v>NÃO AVALIADO POR FALHA DE SINCRONISMO</v>
      </c>
      <c r="AH235" s="146" t="s">
        <v>204</v>
      </c>
      <c r="AI235" s="154" t="s">
        <v>6</v>
      </c>
      <c r="AJ235" s="151" t="str">
        <f t="shared" si="17"/>
        <v>GUARULHOS</v>
      </c>
      <c r="AK235" s="155" t="s">
        <v>59</v>
      </c>
      <c r="AL235" s="53">
        <v>-4.6800000000000001E-2</v>
      </c>
      <c r="AM235" s="53" t="str" cm="1">
        <f t="array" ref="AM235">IF(OR(O235&lt;&gt;"", SUMPRODUCT(($AN$2:$AN$561=AN235)*($AL$2:$AL$561&lt;=AL235)) &lt;= (COUNTIF($AN$2:$AN$561,AN235)*0.5)), "SORTEADO", "-")</f>
        <v>SORTEADO</v>
      </c>
      <c r="AN235" s="53" t="str">
        <f t="shared" si="16"/>
        <v>22/04/2026</v>
      </c>
    </row>
    <row r="236" spans="1:40" ht="30" hidden="1" customHeight="1" x14ac:dyDescent="0.2">
      <c r="A236" s="230" t="s">
        <v>197</v>
      </c>
      <c r="B236" s="230">
        <v>2615868629</v>
      </c>
      <c r="C236" s="230" t="s">
        <v>2701</v>
      </c>
      <c r="D236" s="230" t="s">
        <v>110</v>
      </c>
      <c r="E236" s="230" t="s">
        <v>198</v>
      </c>
      <c r="F236" s="230" t="s">
        <v>1117</v>
      </c>
      <c r="G236" s="230">
        <v>78</v>
      </c>
      <c r="H236" s="230" t="s">
        <v>2977</v>
      </c>
      <c r="I236" s="230" t="s">
        <v>1119</v>
      </c>
      <c r="J236" s="230" t="s">
        <v>2703</v>
      </c>
      <c r="K236" s="237" t="s">
        <v>2972</v>
      </c>
      <c r="L236" s="230" t="s">
        <v>1785</v>
      </c>
      <c r="M236" s="230" t="s">
        <v>2964</v>
      </c>
      <c r="N236" s="230" t="s">
        <v>2757</v>
      </c>
      <c r="O236" s="158" t="s">
        <v>61</v>
      </c>
      <c r="P236" s="92"/>
      <c r="Q236" s="146" t="s">
        <v>61</v>
      </c>
      <c r="R236" s="92"/>
      <c r="S236" s="146" t="s">
        <v>61</v>
      </c>
      <c r="T236" s="92"/>
      <c r="U236" s="146" t="s">
        <v>61</v>
      </c>
      <c r="V236" s="92"/>
      <c r="W236" s="146" t="s">
        <v>61</v>
      </c>
      <c r="X236" s="92"/>
      <c r="Y236" s="146" t="s">
        <v>61</v>
      </c>
      <c r="Z236" s="92"/>
      <c r="AA236" s="146" t="s">
        <v>61</v>
      </c>
      <c r="AB236" s="92"/>
      <c r="AC236" s="146" t="s">
        <v>61</v>
      </c>
      <c r="AD236" s="92"/>
      <c r="AE236" s="146" t="s">
        <v>61</v>
      </c>
      <c r="AF236" s="143" t="str">
        <f t="shared" si="15"/>
        <v>NA</v>
      </c>
      <c r="AG236" s="199" t="str">
        <f t="shared" si="14"/>
        <v>NÃO AVALIADO POR FALHA DE SINCRONISMO</v>
      </c>
      <c r="AH236" s="146" t="s">
        <v>204</v>
      </c>
      <c r="AI236" s="154" t="s">
        <v>6</v>
      </c>
      <c r="AJ236" s="151" t="str">
        <f t="shared" si="17"/>
        <v>GUARULHOS</v>
      </c>
      <c r="AK236" s="155" t="s">
        <v>59</v>
      </c>
      <c r="AL236" s="53">
        <v>-4.7E-2</v>
      </c>
      <c r="AM236" s="53" t="str" cm="1">
        <f t="array" ref="AM236">IF(OR(O236&lt;&gt;"", SUMPRODUCT(($AN$2:$AN$561=AN236)*($AL$2:$AL$561&lt;=AL236)) &lt;= (COUNTIF($AN$2:$AN$561,AN236)*0.5)), "SORTEADO", "-")</f>
        <v>SORTEADO</v>
      </c>
      <c r="AN236" s="53" t="str">
        <f t="shared" si="16"/>
        <v>22/04/2026</v>
      </c>
    </row>
    <row r="237" spans="1:40" ht="30" hidden="1" customHeight="1" x14ac:dyDescent="0.2">
      <c r="A237" s="230" t="s">
        <v>197</v>
      </c>
      <c r="B237" s="230">
        <v>2615868901</v>
      </c>
      <c r="C237" s="230" t="s">
        <v>2701</v>
      </c>
      <c r="D237" s="230" t="s">
        <v>110</v>
      </c>
      <c r="E237" s="230" t="s">
        <v>198</v>
      </c>
      <c r="F237" s="230" t="s">
        <v>1117</v>
      </c>
      <c r="G237" s="230">
        <v>72</v>
      </c>
      <c r="H237" s="230"/>
      <c r="I237" s="230" t="s">
        <v>1119</v>
      </c>
      <c r="J237" s="230" t="s">
        <v>2703</v>
      </c>
      <c r="K237" s="237" t="s">
        <v>2972</v>
      </c>
      <c r="L237" s="230" t="s">
        <v>1785</v>
      </c>
      <c r="M237" s="230" t="s">
        <v>2964</v>
      </c>
      <c r="N237" s="230" t="s">
        <v>2757</v>
      </c>
      <c r="O237" s="158" t="s">
        <v>61</v>
      </c>
      <c r="P237" s="92"/>
      <c r="Q237" s="146" t="s">
        <v>61</v>
      </c>
      <c r="R237" s="92"/>
      <c r="S237" s="146" t="s">
        <v>61</v>
      </c>
      <c r="T237" s="92"/>
      <c r="U237" s="146" t="s">
        <v>61</v>
      </c>
      <c r="V237" s="92"/>
      <c r="W237" s="146" t="s">
        <v>61</v>
      </c>
      <c r="X237" s="92"/>
      <c r="Y237" s="146" t="s">
        <v>61</v>
      </c>
      <c r="Z237" s="92"/>
      <c r="AA237" s="146" t="s">
        <v>61</v>
      </c>
      <c r="AB237" s="92"/>
      <c r="AC237" s="146" t="s">
        <v>61</v>
      </c>
      <c r="AD237" s="92"/>
      <c r="AE237" s="146" t="s">
        <v>61</v>
      </c>
      <c r="AF237" s="143" t="str">
        <f t="shared" si="15"/>
        <v>NA</v>
      </c>
      <c r="AG237" s="199" t="str">
        <f t="shared" si="14"/>
        <v>NÃO AVALIADO POR FALHA DE SINCRONISMO</v>
      </c>
      <c r="AH237" s="146" t="s">
        <v>204</v>
      </c>
      <c r="AI237" s="154" t="s">
        <v>6</v>
      </c>
      <c r="AJ237" s="151" t="str">
        <f t="shared" si="17"/>
        <v>GUARULHOS</v>
      </c>
      <c r="AK237" s="155" t="s">
        <v>59</v>
      </c>
      <c r="AL237" s="53">
        <v>-4.7199999999999999E-2</v>
      </c>
      <c r="AM237" s="53" t="str" cm="1">
        <f t="array" ref="AM237">IF(OR(O237&lt;&gt;"", SUMPRODUCT(($AN$2:$AN$561=AN237)*($AL$2:$AL$561&lt;=AL237)) &lt;= (COUNTIF($AN$2:$AN$561,AN237)*0.5)), "SORTEADO", "-")</f>
        <v>SORTEADO</v>
      </c>
      <c r="AN237" s="53" t="str">
        <f t="shared" si="16"/>
        <v>22/04/2026</v>
      </c>
    </row>
    <row r="238" spans="1:40" ht="30" hidden="1" customHeight="1" x14ac:dyDescent="0.2">
      <c r="A238" s="230" t="s">
        <v>197</v>
      </c>
      <c r="B238" s="230">
        <v>2615869591</v>
      </c>
      <c r="C238" s="230" t="s">
        <v>2701</v>
      </c>
      <c r="D238" s="230" t="s">
        <v>110</v>
      </c>
      <c r="E238" s="230" t="s">
        <v>198</v>
      </c>
      <c r="F238" s="230" t="s">
        <v>1117</v>
      </c>
      <c r="G238" s="230">
        <v>66</v>
      </c>
      <c r="H238" s="230" t="s">
        <v>2978</v>
      </c>
      <c r="I238" s="230" t="s">
        <v>1119</v>
      </c>
      <c r="J238" s="230" t="s">
        <v>2703</v>
      </c>
      <c r="K238" s="237" t="s">
        <v>2972</v>
      </c>
      <c r="L238" s="230" t="s">
        <v>1785</v>
      </c>
      <c r="M238" s="230" t="s">
        <v>2964</v>
      </c>
      <c r="N238" s="230" t="s">
        <v>2757</v>
      </c>
      <c r="O238" s="158" t="s">
        <v>61</v>
      </c>
      <c r="P238" s="92"/>
      <c r="Q238" s="146" t="s">
        <v>61</v>
      </c>
      <c r="R238" s="92"/>
      <c r="S238" s="146" t="s">
        <v>61</v>
      </c>
      <c r="T238" s="92"/>
      <c r="U238" s="146" t="s">
        <v>61</v>
      </c>
      <c r="V238" s="92"/>
      <c r="W238" s="146" t="s">
        <v>61</v>
      </c>
      <c r="X238" s="92"/>
      <c r="Y238" s="146" t="s">
        <v>61</v>
      </c>
      <c r="Z238" s="92"/>
      <c r="AA238" s="146" t="s">
        <v>61</v>
      </c>
      <c r="AB238" s="92"/>
      <c r="AC238" s="146" t="s">
        <v>61</v>
      </c>
      <c r="AD238" s="92"/>
      <c r="AE238" s="146" t="s">
        <v>61</v>
      </c>
      <c r="AF238" s="143" t="str">
        <f t="shared" si="15"/>
        <v>NA</v>
      </c>
      <c r="AG238" s="199" t="str">
        <f t="shared" si="14"/>
        <v>NÃO AVALIADO POR FALHA DE SINCRONISMO</v>
      </c>
      <c r="AH238" s="146" t="s">
        <v>204</v>
      </c>
      <c r="AI238" s="154" t="s">
        <v>6</v>
      </c>
      <c r="AJ238" s="151" t="str">
        <f t="shared" si="17"/>
        <v>GUARULHOS</v>
      </c>
      <c r="AK238" s="155" t="s">
        <v>59</v>
      </c>
      <c r="AL238" s="53">
        <v>-4.7399999999999998E-2</v>
      </c>
      <c r="AM238" s="53" t="str" cm="1">
        <f t="array" ref="AM238">IF(OR(O238&lt;&gt;"", SUMPRODUCT(($AN$2:$AN$561=AN238)*($AL$2:$AL$561&lt;=AL238)) &lt;= (COUNTIF($AN$2:$AN$561,AN238)*0.5)), "SORTEADO", "-")</f>
        <v>SORTEADO</v>
      </c>
      <c r="AN238" s="53" t="str">
        <f t="shared" si="16"/>
        <v>22/04/2026</v>
      </c>
    </row>
    <row r="239" spans="1:40" ht="30" hidden="1" customHeight="1" x14ac:dyDescent="0.2">
      <c r="A239" s="230" t="s">
        <v>197</v>
      </c>
      <c r="B239" s="230">
        <v>2615870029</v>
      </c>
      <c r="C239" s="230" t="s">
        <v>2701</v>
      </c>
      <c r="D239" s="230" t="s">
        <v>110</v>
      </c>
      <c r="E239" s="230" t="s">
        <v>198</v>
      </c>
      <c r="F239" s="230" t="s">
        <v>1117</v>
      </c>
      <c r="G239" s="230">
        <v>60</v>
      </c>
      <c r="H239" s="230" t="s">
        <v>2979</v>
      </c>
      <c r="I239" s="230" t="s">
        <v>1119</v>
      </c>
      <c r="J239" s="230" t="s">
        <v>2703</v>
      </c>
      <c r="K239" s="237" t="s">
        <v>2972</v>
      </c>
      <c r="L239" s="230" t="s">
        <v>1785</v>
      </c>
      <c r="M239" s="230" t="s">
        <v>2964</v>
      </c>
      <c r="N239" s="230" t="s">
        <v>2757</v>
      </c>
      <c r="O239" s="158" t="s">
        <v>61</v>
      </c>
      <c r="P239" s="92"/>
      <c r="Q239" s="146" t="s">
        <v>61</v>
      </c>
      <c r="R239" s="92"/>
      <c r="S239" s="146" t="s">
        <v>61</v>
      </c>
      <c r="T239" s="92"/>
      <c r="U239" s="146" t="s">
        <v>61</v>
      </c>
      <c r="V239" s="92"/>
      <c r="W239" s="146" t="s">
        <v>61</v>
      </c>
      <c r="X239" s="92"/>
      <c r="Y239" s="146" t="s">
        <v>61</v>
      </c>
      <c r="Z239" s="92"/>
      <c r="AA239" s="146" t="s">
        <v>61</v>
      </c>
      <c r="AB239" s="92"/>
      <c r="AC239" s="146" t="s">
        <v>61</v>
      </c>
      <c r="AD239" s="92"/>
      <c r="AE239" s="146" t="s">
        <v>61</v>
      </c>
      <c r="AF239" s="143" t="str">
        <f t="shared" si="15"/>
        <v>NA</v>
      </c>
      <c r="AG239" s="199" t="str">
        <f t="shared" si="14"/>
        <v>NÃO AVALIADO POR FALHA DE SINCRONISMO</v>
      </c>
      <c r="AH239" s="146" t="s">
        <v>204</v>
      </c>
      <c r="AI239" s="154" t="s">
        <v>6</v>
      </c>
      <c r="AJ239" s="151" t="str">
        <f t="shared" si="17"/>
        <v>GUARULHOS</v>
      </c>
      <c r="AK239" s="155" t="s">
        <v>59</v>
      </c>
      <c r="AL239" s="53">
        <v>-4.7600000000000003E-2</v>
      </c>
      <c r="AM239" s="53" t="str" cm="1">
        <f t="array" ref="AM239">IF(OR(O239&lt;&gt;"", SUMPRODUCT(($AN$2:$AN$561=AN239)*($AL$2:$AL$561&lt;=AL239)) &lt;= (COUNTIF($AN$2:$AN$561,AN239)*0.5)), "SORTEADO", "-")</f>
        <v>SORTEADO</v>
      </c>
      <c r="AN239" s="53" t="str">
        <f t="shared" si="16"/>
        <v>22/04/2026</v>
      </c>
    </row>
    <row r="240" spans="1:40" ht="30" hidden="1" customHeight="1" x14ac:dyDescent="0.2">
      <c r="A240" s="230" t="s">
        <v>197</v>
      </c>
      <c r="B240" s="230">
        <v>2615871695</v>
      </c>
      <c r="C240" s="230" t="s">
        <v>2701</v>
      </c>
      <c r="D240" s="230" t="s">
        <v>110</v>
      </c>
      <c r="E240" s="230" t="s">
        <v>198</v>
      </c>
      <c r="F240" s="230" t="s">
        <v>1117</v>
      </c>
      <c r="G240" s="230">
        <v>48</v>
      </c>
      <c r="H240" s="230" t="s">
        <v>2980</v>
      </c>
      <c r="I240" s="230" t="s">
        <v>1119</v>
      </c>
      <c r="J240" s="230" t="s">
        <v>2703</v>
      </c>
      <c r="K240" s="237" t="s">
        <v>2972</v>
      </c>
      <c r="L240" s="230" t="s">
        <v>1785</v>
      </c>
      <c r="M240" s="230" t="s">
        <v>2964</v>
      </c>
      <c r="N240" s="230" t="s">
        <v>2132</v>
      </c>
      <c r="O240" s="158" t="s">
        <v>61</v>
      </c>
      <c r="P240" s="92"/>
      <c r="Q240" s="146" t="s">
        <v>61</v>
      </c>
      <c r="R240" s="92"/>
      <c r="S240" s="146" t="s">
        <v>61</v>
      </c>
      <c r="T240" s="92"/>
      <c r="U240" s="146" t="s">
        <v>61</v>
      </c>
      <c r="V240" s="92"/>
      <c r="W240" s="146" t="s">
        <v>61</v>
      </c>
      <c r="X240" s="92"/>
      <c r="Y240" s="146" t="s">
        <v>61</v>
      </c>
      <c r="Z240" s="92"/>
      <c r="AA240" s="146" t="s">
        <v>61</v>
      </c>
      <c r="AB240" s="92"/>
      <c r="AC240" s="146" t="s">
        <v>61</v>
      </c>
      <c r="AD240" s="92"/>
      <c r="AE240" s="146" t="s">
        <v>61</v>
      </c>
      <c r="AF240" s="143" t="str">
        <f t="shared" si="15"/>
        <v>NA</v>
      </c>
      <c r="AG240" s="199" t="str">
        <f t="shared" si="14"/>
        <v>NÃO AVALIADO POR FALHA DE SINCRONISMO</v>
      </c>
      <c r="AH240" s="146" t="s">
        <v>204</v>
      </c>
      <c r="AI240" s="154" t="s">
        <v>6</v>
      </c>
      <c r="AJ240" s="151" t="str">
        <f t="shared" si="17"/>
        <v>GUARULHOS</v>
      </c>
      <c r="AK240" s="155" t="s">
        <v>59</v>
      </c>
      <c r="AL240" s="53">
        <v>-4.7800000000000002E-2</v>
      </c>
      <c r="AM240" s="53" t="str" cm="1">
        <f t="array" ref="AM240">IF(OR(O240&lt;&gt;"", SUMPRODUCT(($AN$2:$AN$561=AN240)*($AL$2:$AL$561&lt;=AL240)) &lt;= (COUNTIF($AN$2:$AN$561,AN240)*0.5)), "SORTEADO", "-")</f>
        <v>SORTEADO</v>
      </c>
      <c r="AN240" s="53" t="str">
        <f t="shared" si="16"/>
        <v>22/04/2026</v>
      </c>
    </row>
    <row r="241" spans="1:40" ht="30" hidden="1" customHeight="1" x14ac:dyDescent="0.2">
      <c r="A241" s="230" t="s">
        <v>197</v>
      </c>
      <c r="B241" s="230">
        <v>2615871396</v>
      </c>
      <c r="C241" s="230" t="s">
        <v>2701</v>
      </c>
      <c r="D241" s="230" t="s">
        <v>110</v>
      </c>
      <c r="E241" s="230" t="s">
        <v>198</v>
      </c>
      <c r="F241" s="230" t="s">
        <v>1117</v>
      </c>
      <c r="G241" s="230">
        <v>42</v>
      </c>
      <c r="H241" s="230" t="s">
        <v>2981</v>
      </c>
      <c r="I241" s="230" t="s">
        <v>1119</v>
      </c>
      <c r="J241" s="230" t="s">
        <v>2703</v>
      </c>
      <c r="K241" s="237" t="s">
        <v>2972</v>
      </c>
      <c r="L241" s="230" t="s">
        <v>1785</v>
      </c>
      <c r="M241" s="230" t="s">
        <v>2964</v>
      </c>
      <c r="N241" s="230" t="s">
        <v>2132</v>
      </c>
      <c r="O241" s="158" t="s">
        <v>61</v>
      </c>
      <c r="P241" s="92"/>
      <c r="Q241" s="146" t="s">
        <v>61</v>
      </c>
      <c r="R241" s="92"/>
      <c r="S241" s="146" t="s">
        <v>61</v>
      </c>
      <c r="T241" s="92"/>
      <c r="U241" s="146" t="s">
        <v>61</v>
      </c>
      <c r="V241" s="92"/>
      <c r="W241" s="146" t="s">
        <v>61</v>
      </c>
      <c r="X241" s="92"/>
      <c r="Y241" s="146" t="s">
        <v>61</v>
      </c>
      <c r="Z241" s="92"/>
      <c r="AA241" s="146" t="s">
        <v>61</v>
      </c>
      <c r="AB241" s="92"/>
      <c r="AC241" s="146" t="s">
        <v>61</v>
      </c>
      <c r="AD241" s="92"/>
      <c r="AE241" s="146" t="s">
        <v>61</v>
      </c>
      <c r="AF241" s="143" t="str">
        <f t="shared" si="15"/>
        <v>NA</v>
      </c>
      <c r="AG241" s="199" t="str">
        <f t="shared" si="14"/>
        <v>NÃO AVALIADO POR FALHA DE SINCRONISMO</v>
      </c>
      <c r="AH241" s="146" t="s">
        <v>204</v>
      </c>
      <c r="AI241" s="154" t="s">
        <v>6</v>
      </c>
      <c r="AJ241" s="151" t="str">
        <f t="shared" si="17"/>
        <v>GUARULHOS</v>
      </c>
      <c r="AK241" s="155" t="s">
        <v>59</v>
      </c>
      <c r="AL241" s="53">
        <v>-4.8000000000000001E-2</v>
      </c>
      <c r="AM241" s="53" t="str" cm="1">
        <f t="array" ref="AM241">IF(OR(O241&lt;&gt;"", SUMPRODUCT(($AN$2:$AN$561=AN241)*($AL$2:$AL$561&lt;=AL241)) &lt;= (COUNTIF($AN$2:$AN$561,AN241)*0.5)), "SORTEADO", "-")</f>
        <v>SORTEADO</v>
      </c>
      <c r="AN241" s="53" t="str">
        <f t="shared" si="16"/>
        <v>22/04/2026</v>
      </c>
    </row>
    <row r="242" spans="1:40" ht="30" hidden="1" customHeight="1" x14ac:dyDescent="0.2">
      <c r="A242" s="230" t="s">
        <v>197</v>
      </c>
      <c r="B242" s="230">
        <v>2615870871</v>
      </c>
      <c r="C242" s="230" t="s">
        <v>2701</v>
      </c>
      <c r="D242" s="230" t="s">
        <v>110</v>
      </c>
      <c r="E242" s="230" t="s">
        <v>198</v>
      </c>
      <c r="F242" s="230" t="s">
        <v>1117</v>
      </c>
      <c r="G242" s="230">
        <v>36</v>
      </c>
      <c r="H242" s="230" t="s">
        <v>213</v>
      </c>
      <c r="I242" s="230" t="s">
        <v>1119</v>
      </c>
      <c r="J242" s="230" t="s">
        <v>2703</v>
      </c>
      <c r="K242" s="237" t="s">
        <v>2972</v>
      </c>
      <c r="L242" s="230" t="s">
        <v>1785</v>
      </c>
      <c r="M242" s="230" t="s">
        <v>2964</v>
      </c>
      <c r="N242" s="230" t="s">
        <v>2132</v>
      </c>
      <c r="O242" s="158" t="s">
        <v>61</v>
      </c>
      <c r="P242" s="92"/>
      <c r="Q242" s="146" t="s">
        <v>61</v>
      </c>
      <c r="R242" s="92"/>
      <c r="S242" s="146" t="s">
        <v>61</v>
      </c>
      <c r="T242" s="92"/>
      <c r="U242" s="146" t="s">
        <v>61</v>
      </c>
      <c r="V242" s="92"/>
      <c r="W242" s="146" t="s">
        <v>61</v>
      </c>
      <c r="X242" s="92"/>
      <c r="Y242" s="146" t="s">
        <v>61</v>
      </c>
      <c r="Z242" s="92"/>
      <c r="AA242" s="146" t="s">
        <v>61</v>
      </c>
      <c r="AB242" s="92"/>
      <c r="AC242" s="146" t="s">
        <v>61</v>
      </c>
      <c r="AD242" s="92"/>
      <c r="AE242" s="146" t="s">
        <v>61</v>
      </c>
      <c r="AF242" s="143" t="str">
        <f t="shared" si="15"/>
        <v>NA</v>
      </c>
      <c r="AG242" s="199" t="str">
        <f t="shared" si="14"/>
        <v>NÃO AVALIADO POR FALHA DE SINCRONISMO</v>
      </c>
      <c r="AH242" s="146" t="s">
        <v>204</v>
      </c>
      <c r="AI242" s="154" t="s">
        <v>6</v>
      </c>
      <c r="AJ242" s="151" t="str">
        <f t="shared" si="17"/>
        <v>GUARULHOS</v>
      </c>
      <c r="AK242" s="155" t="s">
        <v>59</v>
      </c>
      <c r="AL242" s="53">
        <v>-4.82E-2</v>
      </c>
      <c r="AM242" s="53" t="str" cm="1">
        <f t="array" ref="AM242">IF(OR(O242&lt;&gt;"", SUMPRODUCT(($AN$2:$AN$561=AN242)*($AL$2:$AL$561&lt;=AL242)) &lt;= (COUNTIF($AN$2:$AN$561,AN242)*0.5)), "SORTEADO", "-")</f>
        <v>SORTEADO</v>
      </c>
      <c r="AN242" s="53" t="str">
        <f t="shared" si="16"/>
        <v>22/04/2026</v>
      </c>
    </row>
    <row r="243" spans="1:40" ht="30" hidden="1" customHeight="1" x14ac:dyDescent="0.2">
      <c r="A243" s="230" t="s">
        <v>197</v>
      </c>
      <c r="B243" s="230">
        <v>2615865780</v>
      </c>
      <c r="C243" s="230" t="s">
        <v>2701</v>
      </c>
      <c r="D243" s="230" t="s">
        <v>110</v>
      </c>
      <c r="E243" s="230" t="s">
        <v>198</v>
      </c>
      <c r="F243" s="230" t="s">
        <v>1117</v>
      </c>
      <c r="G243" s="230">
        <v>102</v>
      </c>
      <c r="H243" s="230" t="s">
        <v>2982</v>
      </c>
      <c r="I243" s="230" t="s">
        <v>1119</v>
      </c>
      <c r="J243" s="230" t="s">
        <v>2703</v>
      </c>
      <c r="K243" s="237" t="s">
        <v>2972</v>
      </c>
      <c r="L243" s="230" t="s">
        <v>1785</v>
      </c>
      <c r="M243" s="230" t="s">
        <v>2964</v>
      </c>
      <c r="N243" s="230" t="s">
        <v>2132</v>
      </c>
      <c r="O243" s="158" t="s">
        <v>61</v>
      </c>
      <c r="P243" s="92"/>
      <c r="Q243" s="146" t="s">
        <v>61</v>
      </c>
      <c r="R243" s="92"/>
      <c r="S243" s="146" t="s">
        <v>61</v>
      </c>
      <c r="T243" s="92"/>
      <c r="U243" s="146" t="s">
        <v>61</v>
      </c>
      <c r="V243" s="92"/>
      <c r="W243" s="146" t="s">
        <v>61</v>
      </c>
      <c r="X243" s="92"/>
      <c r="Y243" s="146" t="s">
        <v>61</v>
      </c>
      <c r="Z243" s="92"/>
      <c r="AA243" s="146" t="s">
        <v>61</v>
      </c>
      <c r="AB243" s="92"/>
      <c r="AC243" s="146" t="s">
        <v>61</v>
      </c>
      <c r="AD243" s="92"/>
      <c r="AE243" s="146" t="s">
        <v>61</v>
      </c>
      <c r="AF243" s="143" t="str">
        <f t="shared" si="15"/>
        <v>NA</v>
      </c>
      <c r="AG243" s="199" t="str">
        <f t="shared" si="14"/>
        <v>NÃO AVALIADO POR FALHA DE SINCRONISMO</v>
      </c>
      <c r="AH243" s="146" t="s">
        <v>204</v>
      </c>
      <c r="AI243" s="154" t="s">
        <v>6</v>
      </c>
      <c r="AJ243" s="151" t="str">
        <f t="shared" si="17"/>
        <v>GUARULHOS</v>
      </c>
      <c r="AK243" s="155" t="s">
        <v>59</v>
      </c>
      <c r="AL243" s="53">
        <v>-4.8399999999999999E-2</v>
      </c>
      <c r="AM243" s="53" t="str" cm="1">
        <f t="array" ref="AM243">IF(OR(O243&lt;&gt;"", SUMPRODUCT(($AN$2:$AN$561=AN243)*($AL$2:$AL$561&lt;=AL243)) &lt;= (COUNTIF($AN$2:$AN$561,AN243)*0.5)), "SORTEADO", "-")</f>
        <v>SORTEADO</v>
      </c>
      <c r="AN243" s="53" t="str">
        <f t="shared" si="16"/>
        <v>22/04/2026</v>
      </c>
    </row>
    <row r="244" spans="1:40" ht="30" hidden="1" customHeight="1" x14ac:dyDescent="0.2">
      <c r="A244" s="230" t="s">
        <v>197</v>
      </c>
      <c r="B244" s="230">
        <v>2615872698</v>
      </c>
      <c r="C244" s="230" t="s">
        <v>2701</v>
      </c>
      <c r="D244" s="230" t="s">
        <v>110</v>
      </c>
      <c r="E244" s="230" t="s">
        <v>198</v>
      </c>
      <c r="F244" s="230" t="s">
        <v>781</v>
      </c>
      <c r="G244" s="230">
        <v>173</v>
      </c>
      <c r="H244" s="230">
        <v>77</v>
      </c>
      <c r="I244" s="230" t="s">
        <v>262</v>
      </c>
      <c r="J244" s="230" t="s">
        <v>2703</v>
      </c>
      <c r="K244" s="237" t="s">
        <v>2983</v>
      </c>
      <c r="L244" s="230" t="s">
        <v>1785</v>
      </c>
      <c r="M244" s="230" t="s">
        <v>2964</v>
      </c>
      <c r="N244" s="230" t="s">
        <v>2705</v>
      </c>
      <c r="O244" s="158" t="s">
        <v>61</v>
      </c>
      <c r="P244" s="92"/>
      <c r="Q244" s="146" t="s">
        <v>61</v>
      </c>
      <c r="R244" s="92"/>
      <c r="S244" s="146" t="s">
        <v>61</v>
      </c>
      <c r="T244" s="92"/>
      <c r="U244" s="146" t="s">
        <v>61</v>
      </c>
      <c r="V244" s="92"/>
      <c r="W244" s="146" t="s">
        <v>61</v>
      </c>
      <c r="X244" s="92"/>
      <c r="Y244" s="146" t="s">
        <v>61</v>
      </c>
      <c r="Z244" s="92"/>
      <c r="AA244" s="146" t="s">
        <v>61</v>
      </c>
      <c r="AB244" s="92"/>
      <c r="AC244" s="146" t="s">
        <v>61</v>
      </c>
      <c r="AD244" s="92"/>
      <c r="AE244" s="146" t="s">
        <v>61</v>
      </c>
      <c r="AF244" s="143" t="str">
        <f t="shared" si="15"/>
        <v>NA</v>
      </c>
      <c r="AG244" s="199" t="str">
        <f t="shared" si="14"/>
        <v>NÃO AVALIADO POR FALHA DE SINCRONISMO</v>
      </c>
      <c r="AH244" s="146" t="s">
        <v>204</v>
      </c>
      <c r="AI244" s="154" t="s">
        <v>6</v>
      </c>
      <c r="AJ244" s="151" t="str">
        <f t="shared" si="17"/>
        <v>GUARULHOS</v>
      </c>
      <c r="AK244" s="155" t="s">
        <v>59</v>
      </c>
      <c r="AL244" s="53">
        <v>-4.8599999999999997E-2</v>
      </c>
      <c r="AM244" s="53" t="str" cm="1">
        <f t="array" ref="AM244">IF(OR(O244&lt;&gt;"", SUMPRODUCT(($AN$2:$AN$561=AN244)*($AL$2:$AL$561&lt;=AL244)) &lt;= (COUNTIF($AN$2:$AN$561,AN244)*0.5)), "SORTEADO", "-")</f>
        <v>SORTEADO</v>
      </c>
      <c r="AN244" s="53" t="str">
        <f t="shared" si="16"/>
        <v>22/04/2026</v>
      </c>
    </row>
    <row r="245" spans="1:40" ht="30" hidden="1" customHeight="1" x14ac:dyDescent="0.2">
      <c r="A245" s="230" t="s">
        <v>197</v>
      </c>
      <c r="B245" s="230">
        <v>2615872948</v>
      </c>
      <c r="C245" s="230" t="s">
        <v>2701</v>
      </c>
      <c r="D245" s="230" t="s">
        <v>110</v>
      </c>
      <c r="E245" s="230" t="s">
        <v>198</v>
      </c>
      <c r="F245" s="230" t="s">
        <v>781</v>
      </c>
      <c r="G245" s="230">
        <v>170</v>
      </c>
      <c r="H245" s="230"/>
      <c r="I245" s="230" t="s">
        <v>262</v>
      </c>
      <c r="J245" s="230" t="s">
        <v>2703</v>
      </c>
      <c r="K245" s="237" t="s">
        <v>2983</v>
      </c>
      <c r="L245" s="230" t="s">
        <v>1785</v>
      </c>
      <c r="M245" s="230" t="s">
        <v>2964</v>
      </c>
      <c r="N245" s="230" t="s">
        <v>2705</v>
      </c>
      <c r="O245" s="158" t="s">
        <v>61</v>
      </c>
      <c r="P245" s="92"/>
      <c r="Q245" s="146" t="s">
        <v>61</v>
      </c>
      <c r="R245" s="92"/>
      <c r="S245" s="146" t="s">
        <v>61</v>
      </c>
      <c r="T245" s="92"/>
      <c r="U245" s="146" t="s">
        <v>61</v>
      </c>
      <c r="V245" s="92"/>
      <c r="W245" s="146" t="s">
        <v>61</v>
      </c>
      <c r="X245" s="92"/>
      <c r="Y245" s="146" t="s">
        <v>61</v>
      </c>
      <c r="Z245" s="92"/>
      <c r="AA245" s="146" t="s">
        <v>61</v>
      </c>
      <c r="AB245" s="92"/>
      <c r="AC245" s="146" t="s">
        <v>61</v>
      </c>
      <c r="AD245" s="92"/>
      <c r="AE245" s="146" t="s">
        <v>61</v>
      </c>
      <c r="AF245" s="143" t="str">
        <f t="shared" si="15"/>
        <v>NA</v>
      </c>
      <c r="AG245" s="199" t="str">
        <f t="shared" si="14"/>
        <v>NÃO AVALIADO POR FALHA DE SINCRONISMO</v>
      </c>
      <c r="AH245" s="146"/>
      <c r="AI245" s="154" t="s">
        <v>6</v>
      </c>
      <c r="AJ245" s="151" t="str">
        <f t="shared" si="17"/>
        <v>GUARULHOS</v>
      </c>
      <c r="AK245" s="155" t="s">
        <v>59</v>
      </c>
      <c r="AL245" s="53">
        <v>-4.8800000000000003E-2</v>
      </c>
      <c r="AM245" s="53" t="str" cm="1">
        <f t="array" ref="AM245">IF(OR(O245&lt;&gt;"", SUMPRODUCT(($AN$2:$AN$561=AN245)*($AL$2:$AL$561&lt;=AL245)) &lt;= (COUNTIF($AN$2:$AN$561,AN245)*0.5)), "SORTEADO", "-")</f>
        <v>SORTEADO</v>
      </c>
      <c r="AN245" s="53" t="str">
        <f t="shared" si="16"/>
        <v>22/04/2026</v>
      </c>
    </row>
    <row r="246" spans="1:40" ht="30" hidden="1" customHeight="1" x14ac:dyDescent="0.2">
      <c r="A246" s="230" t="s">
        <v>197</v>
      </c>
      <c r="B246" s="230">
        <v>2615872007</v>
      </c>
      <c r="C246" s="230" t="s">
        <v>2701</v>
      </c>
      <c r="D246" s="230" t="s">
        <v>110</v>
      </c>
      <c r="E246" s="230" t="s">
        <v>198</v>
      </c>
      <c r="F246" s="230" t="s">
        <v>781</v>
      </c>
      <c r="G246" s="230">
        <v>166</v>
      </c>
      <c r="H246" s="230" t="s">
        <v>276</v>
      </c>
      <c r="I246" s="230" t="s">
        <v>262</v>
      </c>
      <c r="J246" s="230" t="s">
        <v>2703</v>
      </c>
      <c r="K246" s="237" t="s">
        <v>2983</v>
      </c>
      <c r="L246" s="230" t="s">
        <v>1785</v>
      </c>
      <c r="M246" s="230" t="s">
        <v>2964</v>
      </c>
      <c r="N246" s="230" t="s">
        <v>2705</v>
      </c>
      <c r="O246" s="158" t="s">
        <v>61</v>
      </c>
      <c r="P246" s="92"/>
      <c r="Q246" s="146" t="s">
        <v>61</v>
      </c>
      <c r="R246" s="92"/>
      <c r="S246" s="146" t="s">
        <v>61</v>
      </c>
      <c r="T246" s="92"/>
      <c r="U246" s="146" t="s">
        <v>61</v>
      </c>
      <c r="V246" s="92"/>
      <c r="W246" s="146" t="s">
        <v>61</v>
      </c>
      <c r="X246" s="92"/>
      <c r="Y246" s="146" t="s">
        <v>61</v>
      </c>
      <c r="Z246" s="92"/>
      <c r="AA246" s="146" t="s">
        <v>61</v>
      </c>
      <c r="AB246" s="92"/>
      <c r="AC246" s="146" t="s">
        <v>61</v>
      </c>
      <c r="AD246" s="92"/>
      <c r="AE246" s="146" t="s">
        <v>61</v>
      </c>
      <c r="AF246" s="143" t="str">
        <f t="shared" si="15"/>
        <v>NA</v>
      </c>
      <c r="AG246" s="199" t="str">
        <f t="shared" si="14"/>
        <v>NÃO AVALIADO POR FALHA DE SINCRONISMO</v>
      </c>
      <c r="AH246" s="146"/>
      <c r="AI246" s="154" t="s">
        <v>6</v>
      </c>
      <c r="AJ246" s="151" t="str">
        <f t="shared" si="17"/>
        <v>GUARULHOS</v>
      </c>
      <c r="AK246" s="155" t="s">
        <v>59</v>
      </c>
      <c r="AL246" s="53">
        <v>-4.9000000000000002E-2</v>
      </c>
      <c r="AM246" s="53" t="str" cm="1">
        <f t="array" ref="AM246">IF(OR(O246&lt;&gt;"", SUMPRODUCT(($AN$2:$AN$561=AN246)*($AL$2:$AL$561&lt;=AL246)) &lt;= (COUNTIF($AN$2:$AN$561,AN246)*0.5)), "SORTEADO", "-")</f>
        <v>SORTEADO</v>
      </c>
      <c r="AN246" s="53" t="str">
        <f t="shared" si="16"/>
        <v>22/04/2026</v>
      </c>
    </row>
    <row r="247" spans="1:40" ht="30" hidden="1" customHeight="1" x14ac:dyDescent="0.2">
      <c r="A247" s="230" t="s">
        <v>197</v>
      </c>
      <c r="B247" s="230">
        <v>2615872313</v>
      </c>
      <c r="C247" s="230" t="s">
        <v>2701</v>
      </c>
      <c r="D247" s="230" t="s">
        <v>110</v>
      </c>
      <c r="E247" s="230" t="s">
        <v>198</v>
      </c>
      <c r="F247" s="230" t="s">
        <v>781</v>
      </c>
      <c r="G247" s="230">
        <v>163</v>
      </c>
      <c r="H247" s="230"/>
      <c r="I247" s="230" t="s">
        <v>262</v>
      </c>
      <c r="J247" s="230" t="s">
        <v>2703</v>
      </c>
      <c r="K247" s="237" t="s">
        <v>2983</v>
      </c>
      <c r="L247" s="230" t="s">
        <v>1785</v>
      </c>
      <c r="M247" s="230" t="s">
        <v>2964</v>
      </c>
      <c r="N247" s="230" t="s">
        <v>2705</v>
      </c>
      <c r="O247" s="158" t="s">
        <v>61</v>
      </c>
      <c r="P247" s="92"/>
      <c r="Q247" s="146" t="s">
        <v>61</v>
      </c>
      <c r="R247" s="92"/>
      <c r="S247" s="146" t="s">
        <v>61</v>
      </c>
      <c r="T247" s="92"/>
      <c r="U247" s="146" t="s">
        <v>61</v>
      </c>
      <c r="V247" s="92"/>
      <c r="W247" s="146" t="s">
        <v>61</v>
      </c>
      <c r="X247" s="92"/>
      <c r="Y247" s="146" t="s">
        <v>61</v>
      </c>
      <c r="Z247" s="92"/>
      <c r="AA247" s="146" t="s">
        <v>61</v>
      </c>
      <c r="AB247" s="92"/>
      <c r="AC247" s="146" t="s">
        <v>61</v>
      </c>
      <c r="AD247" s="92"/>
      <c r="AE247" s="146" t="s">
        <v>61</v>
      </c>
      <c r="AF247" s="143" t="str">
        <f t="shared" si="15"/>
        <v>NA</v>
      </c>
      <c r="AG247" s="199" t="str">
        <f t="shared" si="14"/>
        <v>NÃO AVALIADO POR FALHA DE SINCRONISMO</v>
      </c>
      <c r="AH247" s="146"/>
      <c r="AI247" s="154" t="s">
        <v>6</v>
      </c>
      <c r="AJ247" s="151" t="str">
        <f t="shared" si="17"/>
        <v>GUARULHOS</v>
      </c>
      <c r="AK247" s="155" t="s">
        <v>59</v>
      </c>
      <c r="AL247" s="53">
        <v>-4.9200000000000001E-2</v>
      </c>
      <c r="AM247" s="53" t="str" cm="1">
        <f t="array" ref="AM247">IF(OR(O247&lt;&gt;"", SUMPRODUCT(($AN$2:$AN$561=AN247)*($AL$2:$AL$561&lt;=AL247)) &lt;= (COUNTIF($AN$2:$AN$561,AN247)*0.5)), "SORTEADO", "-")</f>
        <v>SORTEADO</v>
      </c>
      <c r="AN247" s="53" t="str">
        <f t="shared" si="16"/>
        <v>22/04/2026</v>
      </c>
    </row>
    <row r="248" spans="1:40" ht="30" hidden="1" customHeight="1" x14ac:dyDescent="0.2">
      <c r="A248" s="230" t="s">
        <v>197</v>
      </c>
      <c r="B248" s="230">
        <v>2615871815</v>
      </c>
      <c r="C248" s="230" t="s">
        <v>2701</v>
      </c>
      <c r="D248" s="230" t="s">
        <v>110</v>
      </c>
      <c r="E248" s="230" t="s">
        <v>198</v>
      </c>
      <c r="F248" s="230" t="s">
        <v>781</v>
      </c>
      <c r="G248" s="230">
        <v>157</v>
      </c>
      <c r="H248" s="230" t="s">
        <v>2984</v>
      </c>
      <c r="I248" s="230" t="s">
        <v>262</v>
      </c>
      <c r="J248" s="230" t="s">
        <v>2703</v>
      </c>
      <c r="K248" s="237" t="s">
        <v>2983</v>
      </c>
      <c r="L248" s="230" t="s">
        <v>1785</v>
      </c>
      <c r="M248" s="230" t="s">
        <v>2964</v>
      </c>
      <c r="N248" s="230" t="s">
        <v>2705</v>
      </c>
      <c r="O248" s="158" t="s">
        <v>61</v>
      </c>
      <c r="P248" s="92"/>
      <c r="Q248" s="146" t="s">
        <v>61</v>
      </c>
      <c r="R248" s="92"/>
      <c r="S248" s="146" t="s">
        <v>61</v>
      </c>
      <c r="T248" s="92"/>
      <c r="U248" s="146" t="s">
        <v>61</v>
      </c>
      <c r="V248" s="92"/>
      <c r="W248" s="146" t="s">
        <v>61</v>
      </c>
      <c r="X248" s="92"/>
      <c r="Y248" s="146" t="s">
        <v>61</v>
      </c>
      <c r="Z248" s="92"/>
      <c r="AA248" s="146" t="s">
        <v>61</v>
      </c>
      <c r="AB248" s="92"/>
      <c r="AC248" s="146" t="s">
        <v>61</v>
      </c>
      <c r="AD248" s="92"/>
      <c r="AE248" s="146" t="s">
        <v>61</v>
      </c>
      <c r="AF248" s="143" t="str">
        <f t="shared" si="15"/>
        <v>NA</v>
      </c>
      <c r="AG248" s="199" t="str">
        <f t="shared" si="14"/>
        <v>NÃO AVALIADO POR FALHA DE SINCRONISMO</v>
      </c>
      <c r="AH248" s="146"/>
      <c r="AI248" s="154" t="s">
        <v>6</v>
      </c>
      <c r="AJ248" s="151" t="str">
        <f t="shared" si="17"/>
        <v>GUARULHOS</v>
      </c>
      <c r="AK248" s="155" t="s">
        <v>59</v>
      </c>
      <c r="AL248" s="53">
        <v>-4.9399999999999999E-2</v>
      </c>
      <c r="AM248" s="53" t="str" cm="1">
        <f t="array" ref="AM248">IF(OR(O248&lt;&gt;"", SUMPRODUCT(($AN$2:$AN$561=AN248)*($AL$2:$AL$561&lt;=AL248)) &lt;= (COUNTIF($AN$2:$AN$561,AN248)*0.5)), "SORTEADO", "-")</f>
        <v>SORTEADO</v>
      </c>
      <c r="AN248" s="53" t="str">
        <f t="shared" si="16"/>
        <v>22/04/2026</v>
      </c>
    </row>
    <row r="249" spans="1:40" ht="30" hidden="1" customHeight="1" x14ac:dyDescent="0.2">
      <c r="A249" s="230" t="s">
        <v>197</v>
      </c>
      <c r="B249" s="230">
        <v>2615871552</v>
      </c>
      <c r="C249" s="230" t="s">
        <v>2701</v>
      </c>
      <c r="D249" s="230" t="s">
        <v>110</v>
      </c>
      <c r="E249" s="230" t="s">
        <v>198</v>
      </c>
      <c r="F249" s="230" t="s">
        <v>781</v>
      </c>
      <c r="G249" s="230">
        <v>153</v>
      </c>
      <c r="H249" s="230" t="s">
        <v>2985</v>
      </c>
      <c r="I249" s="230" t="s">
        <v>262</v>
      </c>
      <c r="J249" s="230" t="s">
        <v>2703</v>
      </c>
      <c r="K249" s="237" t="s">
        <v>2983</v>
      </c>
      <c r="L249" s="230" t="s">
        <v>1785</v>
      </c>
      <c r="M249" s="230" t="s">
        <v>2964</v>
      </c>
      <c r="N249" s="230" t="s">
        <v>2705</v>
      </c>
      <c r="O249" s="158" t="s">
        <v>61</v>
      </c>
      <c r="P249" s="92"/>
      <c r="Q249" s="146" t="s">
        <v>61</v>
      </c>
      <c r="R249" s="92"/>
      <c r="S249" s="146" t="s">
        <v>61</v>
      </c>
      <c r="T249" s="92"/>
      <c r="U249" s="146" t="s">
        <v>61</v>
      </c>
      <c r="V249" s="92"/>
      <c r="W249" s="146" t="s">
        <v>61</v>
      </c>
      <c r="X249" s="92"/>
      <c r="Y249" s="146" t="s">
        <v>61</v>
      </c>
      <c r="Z249" s="92"/>
      <c r="AA249" s="146" t="s">
        <v>61</v>
      </c>
      <c r="AB249" s="92"/>
      <c r="AC249" s="146" t="s">
        <v>61</v>
      </c>
      <c r="AD249" s="92"/>
      <c r="AE249" s="146" t="s">
        <v>61</v>
      </c>
      <c r="AF249" s="143" t="str">
        <f t="shared" si="15"/>
        <v>NA</v>
      </c>
      <c r="AG249" s="199" t="str">
        <f t="shared" si="14"/>
        <v>NÃO AVALIADO POR FALHA DE SINCRONISMO</v>
      </c>
      <c r="AH249" s="146"/>
      <c r="AI249" s="154" t="s">
        <v>6</v>
      </c>
      <c r="AJ249" s="151" t="str">
        <f t="shared" si="17"/>
        <v>GUARULHOS</v>
      </c>
      <c r="AK249" s="155" t="s">
        <v>59</v>
      </c>
      <c r="AL249" s="53">
        <v>-4.9599999999999998E-2</v>
      </c>
      <c r="AM249" s="53" t="str" cm="1">
        <f t="array" ref="AM249">IF(OR(O249&lt;&gt;"", SUMPRODUCT(($AN$2:$AN$561=AN249)*($AL$2:$AL$561&lt;=AL249)) &lt;= (COUNTIF($AN$2:$AN$561,AN249)*0.5)), "SORTEADO", "-")</f>
        <v>SORTEADO</v>
      </c>
      <c r="AN249" s="53" t="str">
        <f t="shared" si="16"/>
        <v>22/04/2026</v>
      </c>
    </row>
    <row r="250" spans="1:40" ht="30" hidden="1" customHeight="1" x14ac:dyDescent="0.2">
      <c r="A250" s="230" t="s">
        <v>197</v>
      </c>
      <c r="B250" s="230">
        <v>2615871219</v>
      </c>
      <c r="C250" s="230" t="s">
        <v>2701</v>
      </c>
      <c r="D250" s="230" t="s">
        <v>110</v>
      </c>
      <c r="E250" s="230" t="s">
        <v>198</v>
      </c>
      <c r="F250" s="230" t="s">
        <v>781</v>
      </c>
      <c r="G250" s="230">
        <v>152</v>
      </c>
      <c r="H250" s="230" t="s">
        <v>213</v>
      </c>
      <c r="I250" s="230" t="s">
        <v>262</v>
      </c>
      <c r="J250" s="230" t="s">
        <v>2703</v>
      </c>
      <c r="K250" s="237" t="s">
        <v>2983</v>
      </c>
      <c r="L250" s="230" t="s">
        <v>1785</v>
      </c>
      <c r="M250" s="230" t="s">
        <v>2964</v>
      </c>
      <c r="N250" s="230" t="s">
        <v>2705</v>
      </c>
      <c r="O250" s="158" t="s">
        <v>61</v>
      </c>
      <c r="P250" s="92"/>
      <c r="Q250" s="146" t="s">
        <v>61</v>
      </c>
      <c r="R250" s="92"/>
      <c r="S250" s="146" t="s">
        <v>61</v>
      </c>
      <c r="T250" s="92"/>
      <c r="U250" s="146" t="s">
        <v>61</v>
      </c>
      <c r="V250" s="92"/>
      <c r="W250" s="146" t="s">
        <v>61</v>
      </c>
      <c r="X250" s="92"/>
      <c r="Y250" s="146" t="s">
        <v>61</v>
      </c>
      <c r="Z250" s="92"/>
      <c r="AA250" s="146" t="s">
        <v>61</v>
      </c>
      <c r="AB250" s="92"/>
      <c r="AC250" s="146" t="s">
        <v>61</v>
      </c>
      <c r="AD250" s="92"/>
      <c r="AE250" s="146" t="s">
        <v>61</v>
      </c>
      <c r="AF250" s="143" t="str">
        <f t="shared" si="15"/>
        <v>NA</v>
      </c>
      <c r="AG250" s="199" t="str">
        <f t="shared" si="14"/>
        <v>NÃO AVALIADO POR FALHA DE SINCRONISMO</v>
      </c>
      <c r="AH250" s="146"/>
      <c r="AI250" s="154" t="s">
        <v>6</v>
      </c>
      <c r="AJ250" s="151" t="str">
        <f t="shared" si="17"/>
        <v>GUARULHOS</v>
      </c>
      <c r="AK250" s="155" t="s">
        <v>59</v>
      </c>
      <c r="AL250" s="53">
        <v>-4.9799999999999997E-2</v>
      </c>
      <c r="AM250" s="53" t="str" cm="1">
        <f t="array" ref="AM250">IF(OR(O250&lt;&gt;"", SUMPRODUCT(($AN$2:$AN$561=AN250)*($AL$2:$AL$561&lt;=AL250)) &lt;= (COUNTIF($AN$2:$AN$561,AN250)*0.5)), "SORTEADO", "-")</f>
        <v>SORTEADO</v>
      </c>
      <c r="AN250" s="53" t="str">
        <f t="shared" si="16"/>
        <v>22/04/2026</v>
      </c>
    </row>
    <row r="251" spans="1:40" ht="30" hidden="1" customHeight="1" x14ac:dyDescent="0.2">
      <c r="A251" s="230" t="s">
        <v>197</v>
      </c>
      <c r="B251" s="230">
        <v>2615870796</v>
      </c>
      <c r="C251" s="230" t="s">
        <v>2701</v>
      </c>
      <c r="D251" s="230" t="s">
        <v>110</v>
      </c>
      <c r="E251" s="230" t="s">
        <v>198</v>
      </c>
      <c r="F251" s="230" t="s">
        <v>781</v>
      </c>
      <c r="G251" s="230">
        <v>147</v>
      </c>
      <c r="H251" s="230" t="s">
        <v>2986</v>
      </c>
      <c r="I251" s="230" t="s">
        <v>262</v>
      </c>
      <c r="J251" s="230" t="s">
        <v>2703</v>
      </c>
      <c r="K251" s="237" t="s">
        <v>2987</v>
      </c>
      <c r="L251" s="230" t="s">
        <v>1785</v>
      </c>
      <c r="M251" s="230" t="s">
        <v>2964</v>
      </c>
      <c r="N251" s="230" t="s">
        <v>2705</v>
      </c>
      <c r="O251" s="158" t="s">
        <v>61</v>
      </c>
      <c r="P251" s="92"/>
      <c r="Q251" s="146" t="s">
        <v>61</v>
      </c>
      <c r="R251" s="92"/>
      <c r="S251" s="146" t="s">
        <v>61</v>
      </c>
      <c r="T251" s="92"/>
      <c r="U251" s="146" t="s">
        <v>61</v>
      </c>
      <c r="V251" s="92"/>
      <c r="W251" s="146" t="s">
        <v>61</v>
      </c>
      <c r="X251" s="92"/>
      <c r="Y251" s="146" t="s">
        <v>61</v>
      </c>
      <c r="Z251" s="92"/>
      <c r="AA251" s="146" t="s">
        <v>61</v>
      </c>
      <c r="AB251" s="92"/>
      <c r="AC251" s="146" t="s">
        <v>61</v>
      </c>
      <c r="AD251" s="92"/>
      <c r="AE251" s="146" t="s">
        <v>61</v>
      </c>
      <c r="AF251" s="143" t="str">
        <f t="shared" si="15"/>
        <v>NA</v>
      </c>
      <c r="AG251" s="199" t="str">
        <f t="shared" si="14"/>
        <v>NÃO AVALIADO POR FALHA DE SINCRONISMO</v>
      </c>
      <c r="AH251" s="146"/>
      <c r="AI251" s="154" t="s">
        <v>6</v>
      </c>
      <c r="AJ251" s="151" t="str">
        <f t="shared" si="17"/>
        <v>GUARULHOS</v>
      </c>
      <c r="AK251" s="155" t="s">
        <v>59</v>
      </c>
      <c r="AL251" s="53">
        <v>-0.05</v>
      </c>
      <c r="AM251" s="53" t="str" cm="1">
        <f t="array" ref="AM251">IF(OR(O251&lt;&gt;"", SUMPRODUCT(($AN$2:$AN$561=AN251)*($AL$2:$AL$561&lt;=AL251)) &lt;= (COUNTIF($AN$2:$AN$561,AN251)*0.5)), "SORTEADO", "-")</f>
        <v>SORTEADO</v>
      </c>
      <c r="AN251" s="53" t="str">
        <f t="shared" si="16"/>
        <v>22/04/2026</v>
      </c>
    </row>
    <row r="252" spans="1:40" ht="30" hidden="1" customHeight="1" x14ac:dyDescent="0.2">
      <c r="A252" s="230" t="s">
        <v>197</v>
      </c>
      <c r="B252" s="230">
        <v>2615871010</v>
      </c>
      <c r="C252" s="230" t="s">
        <v>2701</v>
      </c>
      <c r="D252" s="230" t="s">
        <v>110</v>
      </c>
      <c r="E252" s="230" t="s">
        <v>198</v>
      </c>
      <c r="F252" s="230" t="s">
        <v>781</v>
      </c>
      <c r="G252" s="230">
        <v>143</v>
      </c>
      <c r="H252" s="230" t="s">
        <v>2988</v>
      </c>
      <c r="I252" s="230" t="s">
        <v>262</v>
      </c>
      <c r="J252" s="230" t="s">
        <v>2703</v>
      </c>
      <c r="K252" s="237" t="s">
        <v>2983</v>
      </c>
      <c r="L252" s="230" t="s">
        <v>1785</v>
      </c>
      <c r="M252" s="230" t="s">
        <v>2964</v>
      </c>
      <c r="N252" s="230" t="s">
        <v>2705</v>
      </c>
      <c r="O252" s="158" t="s">
        <v>61</v>
      </c>
      <c r="P252" s="92"/>
      <c r="Q252" s="146" t="s">
        <v>61</v>
      </c>
      <c r="R252" s="92"/>
      <c r="S252" s="146" t="s">
        <v>61</v>
      </c>
      <c r="T252" s="92"/>
      <c r="U252" s="146" t="s">
        <v>61</v>
      </c>
      <c r="V252" s="92"/>
      <c r="W252" s="146" t="s">
        <v>61</v>
      </c>
      <c r="X252" s="92"/>
      <c r="Y252" s="146" t="s">
        <v>61</v>
      </c>
      <c r="Z252" s="92"/>
      <c r="AA252" s="146" t="s">
        <v>61</v>
      </c>
      <c r="AB252" s="92"/>
      <c r="AC252" s="146" t="s">
        <v>61</v>
      </c>
      <c r="AD252" s="92"/>
      <c r="AE252" s="146" t="s">
        <v>61</v>
      </c>
      <c r="AF252" s="143" t="str">
        <f t="shared" si="15"/>
        <v>NA</v>
      </c>
      <c r="AG252" s="199" t="str">
        <f t="shared" si="14"/>
        <v>NÃO AVALIADO POR FALHA DE SINCRONISMO</v>
      </c>
      <c r="AH252" s="146"/>
      <c r="AI252" s="154" t="s">
        <v>6</v>
      </c>
      <c r="AJ252" s="151" t="str">
        <f t="shared" si="17"/>
        <v>GUARULHOS</v>
      </c>
      <c r="AK252" s="155" t="s">
        <v>59</v>
      </c>
      <c r="AL252" s="53">
        <v>-5.0200000000000002E-2</v>
      </c>
      <c r="AM252" s="53" t="str" cm="1">
        <f t="array" ref="AM252">IF(OR(O252&lt;&gt;"", SUMPRODUCT(($AN$2:$AN$561=AN252)*($AL$2:$AL$561&lt;=AL252)) &lt;= (COUNTIF($AN$2:$AN$561,AN252)*0.5)), "SORTEADO", "-")</f>
        <v>SORTEADO</v>
      </c>
      <c r="AN252" s="53" t="str">
        <f t="shared" si="16"/>
        <v>22/04/2026</v>
      </c>
    </row>
    <row r="253" spans="1:40" ht="30" hidden="1" customHeight="1" x14ac:dyDescent="0.2">
      <c r="A253" s="242" t="s">
        <v>197</v>
      </c>
      <c r="B253" s="242">
        <v>2616824082</v>
      </c>
      <c r="C253" s="242" t="s">
        <v>116</v>
      </c>
      <c r="D253" s="242" t="s">
        <v>111</v>
      </c>
      <c r="E253" s="242" t="s">
        <v>198</v>
      </c>
      <c r="F253" s="242" t="s">
        <v>2956</v>
      </c>
      <c r="G253" s="242">
        <v>81</v>
      </c>
      <c r="H253" s="242" t="s">
        <v>213</v>
      </c>
      <c r="I253" s="242" t="s">
        <v>2957</v>
      </c>
      <c r="J253" s="242" t="s">
        <v>2989</v>
      </c>
      <c r="K253" s="242" t="s">
        <v>2990</v>
      </c>
      <c r="L253" s="242" t="s">
        <v>1785</v>
      </c>
      <c r="M253" s="242" t="s">
        <v>2991</v>
      </c>
      <c r="N253" s="242" t="s">
        <v>2634</v>
      </c>
      <c r="O253" s="158"/>
      <c r="P253" s="92"/>
      <c r="Q253" s="146"/>
      <c r="R253" s="92"/>
      <c r="S253" s="146"/>
      <c r="T253" s="92"/>
      <c r="U253" s="146"/>
      <c r="V253" s="92"/>
      <c r="W253" s="146"/>
      <c r="X253" s="92"/>
      <c r="Y253" s="146"/>
      <c r="Z253" s="92"/>
      <c r="AA253" s="146"/>
      <c r="AB253" s="92"/>
      <c r="AC253" s="146"/>
      <c r="AD253" s="92"/>
      <c r="AE253" s="146"/>
      <c r="AF253" s="143" t="str">
        <f t="shared" si="15"/>
        <v/>
      </c>
      <c r="AG253" s="199" t="b">
        <f t="shared" si="14"/>
        <v>0</v>
      </c>
      <c r="AH253" s="146"/>
      <c r="AI253" s="154" t="s">
        <v>6</v>
      </c>
      <c r="AJ253" s="151" t="str">
        <f t="shared" si="17"/>
        <v>GUARULHOS</v>
      </c>
      <c r="AK253" s="155" t="s">
        <v>59</v>
      </c>
      <c r="AL253" s="53">
        <v>0.37920704453703524</v>
      </c>
      <c r="AM253" s="53" t="str" cm="1">
        <f t="array" ref="AM253">IF(OR(O253&lt;&gt;"", SUMPRODUCT(($AN$2:$AN$561=AN253)*($AL$2:$AL$561&lt;=AL253)) &lt;= (COUNTIF($AN$2:$AN$561,AN253)*0.5)), "SORTEADO", "-")</f>
        <v>-</v>
      </c>
      <c r="AN253" s="53" t="str">
        <f t="shared" si="16"/>
        <v>22/04/2026</v>
      </c>
    </row>
    <row r="254" spans="1:40" ht="30" hidden="1" customHeight="1" x14ac:dyDescent="0.2">
      <c r="A254" s="230" t="s">
        <v>197</v>
      </c>
      <c r="B254" s="230">
        <v>2617133799</v>
      </c>
      <c r="C254" s="230" t="s">
        <v>122</v>
      </c>
      <c r="D254" s="230" t="s">
        <v>108</v>
      </c>
      <c r="E254" s="230" t="s">
        <v>198</v>
      </c>
      <c r="F254" s="230" t="s">
        <v>2992</v>
      </c>
      <c r="G254" s="230">
        <v>125</v>
      </c>
      <c r="H254" s="230" t="s">
        <v>213</v>
      </c>
      <c r="I254" s="230" t="s">
        <v>509</v>
      </c>
      <c r="J254" s="230" t="s">
        <v>2633</v>
      </c>
      <c r="K254" s="230" t="s">
        <v>213</v>
      </c>
      <c r="L254" s="230" t="s">
        <v>1888</v>
      </c>
      <c r="M254" s="230" t="s">
        <v>2993</v>
      </c>
      <c r="N254" s="230" t="s">
        <v>2634</v>
      </c>
      <c r="O254" s="158"/>
      <c r="P254" s="92"/>
      <c r="Q254" s="146"/>
      <c r="R254" s="92"/>
      <c r="S254" s="146"/>
      <c r="T254" s="92"/>
      <c r="U254" s="146"/>
      <c r="V254" s="92"/>
      <c r="W254" s="146"/>
      <c r="X254" s="92"/>
      <c r="Y254" s="146"/>
      <c r="Z254" s="92"/>
      <c r="AA254" s="146"/>
      <c r="AB254" s="92"/>
      <c r="AC254" s="146"/>
      <c r="AD254" s="92"/>
      <c r="AE254" s="146"/>
      <c r="AF254" s="143" t="str">
        <f t="shared" si="15"/>
        <v/>
      </c>
      <c r="AG254" s="199" t="b">
        <f t="shared" ref="AG254:AG317" si="18">IF(AND(AE254="C",AF254="C"),"UTILIZOU O PDA CORRETAMENTE",IF(AND(AE254="C",AF254="NC"),"UTILIZOU O PDA CORRETAMENTE. NÃO HÁ FOTOS DE TODAS AS ETAPAS",IF(AND(AE254="NC",AF254="NC"),"NÃO UTILIZOU O PDA",IF(AND(AE254="NA",AF254="NA"),"NÃO AVALIADO POR FALHA DE SINCRONISMO"))))</f>
        <v>0</v>
      </c>
      <c r="AH254" s="146"/>
      <c r="AI254" s="154" t="s">
        <v>6</v>
      </c>
      <c r="AJ254" s="151" t="str">
        <f t="shared" si="17"/>
        <v>GUARULHOS</v>
      </c>
      <c r="AK254" s="155" t="s">
        <v>59</v>
      </c>
      <c r="AL254" s="53">
        <v>0.30749520061814584</v>
      </c>
      <c r="AM254" s="53" t="str" cm="1">
        <f t="array" ref="AM254">IF(OR(O254&lt;&gt;"", SUMPRODUCT(($AN$2:$AN$561=AN254)*($AL$2:$AL$561&lt;=AL254)) &lt;= (COUNTIF($AN$2:$AN$561,AN254)*0.5)), "SORTEADO", "-")</f>
        <v>-</v>
      </c>
      <c r="AN254" s="53" t="str">
        <f t="shared" si="16"/>
        <v>24/04/2026</v>
      </c>
    </row>
    <row r="255" spans="1:40" ht="30" customHeight="1" x14ac:dyDescent="0.2">
      <c r="A255" s="230" t="s">
        <v>197</v>
      </c>
      <c r="B255" s="230">
        <v>2617167637</v>
      </c>
      <c r="C255" s="230" t="s">
        <v>120</v>
      </c>
      <c r="D255" s="230" t="s">
        <v>111</v>
      </c>
      <c r="E255" s="230" t="s">
        <v>198</v>
      </c>
      <c r="F255" s="230" t="s">
        <v>1208</v>
      </c>
      <c r="G255" s="230">
        <v>326</v>
      </c>
      <c r="H255" s="230" t="s">
        <v>508</v>
      </c>
      <c r="I255" s="230" t="s">
        <v>1210</v>
      </c>
      <c r="J255" s="230" t="s">
        <v>2637</v>
      </c>
      <c r="K255" s="230"/>
      <c r="L255" s="230" t="s">
        <v>1888</v>
      </c>
      <c r="M255" s="230" t="s">
        <v>2994</v>
      </c>
      <c r="N255" s="230" t="s">
        <v>2638</v>
      </c>
      <c r="O255" s="158"/>
      <c r="P255" s="92"/>
      <c r="Q255" s="146"/>
      <c r="R255" s="92"/>
      <c r="S255" s="146"/>
      <c r="T255" s="92"/>
      <c r="U255" s="146"/>
      <c r="V255" s="92"/>
      <c r="W255" s="146"/>
      <c r="X255" s="92"/>
      <c r="Y255" s="146"/>
      <c r="Z255" s="92"/>
      <c r="AA255" s="146"/>
      <c r="AB255" s="92"/>
      <c r="AC255" s="146"/>
      <c r="AD255" s="92"/>
      <c r="AE255" s="146"/>
      <c r="AF255" s="143" t="str">
        <f t="shared" ref="AF255:AF318" si="19">IF(AND(O255="",Q255="",S255="",U255="",W255="",Y255="",AA255="",AC255=""),"",IF(OR(AND(O255&lt;&gt;"NA",O255&lt;&gt;"C",O255&lt;&gt;"NC",O255&lt;&gt;"SF",O255&lt;&gt;""),AND(Q255&lt;&gt;"NA",Q255&lt;&gt;"C",Q255&lt;&gt;"NC",Q255&lt;&gt;"SF",Q255&lt;&gt;""),AND(S255&lt;&gt;"NA",S255&lt;&gt;"C",S255&lt;&gt;"NC",S255&lt;&gt;"SF",S255&lt;&gt;""),AND(U255&lt;&gt;"NA",U255&lt;&gt;"C",U255&lt;&gt;"NC",U255&lt;&gt;"SF",U255&lt;&gt;""),AND(W255&lt;&gt;"NA",W255&lt;&gt;"C",W255&lt;&gt;"NC",W255&lt;&gt;"SF",W255&lt;&gt;""),AND(Y255&lt;&gt;"NA",Y255&lt;&gt;"C",Y255&lt;&gt;"NC",Y255&lt;&gt;"SF",Y255&lt;&gt;""),AND(AA255&lt;&gt;"NA",AA255&lt;&gt;"C",AA255&lt;&gt;"NC",AA255&lt;&gt;"SF",AA255&lt;&gt;""),AND(AC255&lt;&gt;"NA",AC255&lt;&gt;"C",AC255&lt;&gt;"NC",AC255&lt;&gt;"SF",AC255&lt;&gt;"")),"FALSO",IF(AND(O255="NA",Q255="NA",S255="NA",U255="NA",W255="NA",Y255="NA",AA255="NA",AC255="NA"),"NA",IF(OR(O255="NC",Q255="NC",S255="NC",U255="NC",W255="NC",Y255="NC",AA255="NC",AC255="NC",O255="SF",Q255="SF",S255="SF",U255="SF",W255="SF",Y255="SF",AA255="SF",AC255="SF"),"NC",IF(OR(O255="C",Q255="C",S255="C",U255="C",W255="C",Y255="C",AA255="C",AC255="C"),"C","")))))</f>
        <v/>
      </c>
      <c r="AG255" s="199" t="b">
        <f t="shared" si="18"/>
        <v>0</v>
      </c>
      <c r="AH255" s="146"/>
      <c r="AI255" s="154" t="s">
        <v>6</v>
      </c>
      <c r="AJ255" s="151" t="str">
        <f t="shared" si="17"/>
        <v>GUARULHOS</v>
      </c>
      <c r="AK255" s="155" t="s">
        <v>59</v>
      </c>
      <c r="AL255" s="53">
        <v>0.18690129767066022</v>
      </c>
      <c r="AM255" s="53" t="str" cm="1">
        <f t="array" ref="AM255">IF(OR(O255&lt;&gt;"", SUMPRODUCT(($AN$2:$AN$561=AN255)*($AL$2:$AL$561&lt;=AL255)) &lt;= (COUNTIF($AN$2:$AN$561,AN255)*0.5)), "SORTEADO", "-")</f>
        <v>-</v>
      </c>
      <c r="AN255" s="53" t="str">
        <f t="shared" si="16"/>
        <v>24/04/2026</v>
      </c>
    </row>
    <row r="256" spans="1:40" ht="30" hidden="1" customHeight="1" x14ac:dyDescent="0.2">
      <c r="A256" s="230" t="s">
        <v>197</v>
      </c>
      <c r="B256" s="230">
        <v>2617187600</v>
      </c>
      <c r="C256" s="230" t="s">
        <v>119</v>
      </c>
      <c r="D256" s="230" t="s">
        <v>109</v>
      </c>
      <c r="E256" s="230" t="s">
        <v>198</v>
      </c>
      <c r="F256" s="230" t="s">
        <v>2457</v>
      </c>
      <c r="G256" s="230">
        <v>238</v>
      </c>
      <c r="H256" s="230" t="s">
        <v>213</v>
      </c>
      <c r="I256" s="230" t="s">
        <v>1575</v>
      </c>
      <c r="J256" s="230" t="s">
        <v>119</v>
      </c>
      <c r="K256" s="230" t="s">
        <v>2995</v>
      </c>
      <c r="L256" s="230" t="s">
        <v>1888</v>
      </c>
      <c r="M256" s="230" t="s">
        <v>2996</v>
      </c>
      <c r="N256" s="230" t="s">
        <v>2646</v>
      </c>
      <c r="O256" s="158"/>
      <c r="P256" s="92"/>
      <c r="Q256" s="146"/>
      <c r="R256" s="92"/>
      <c r="S256" s="146"/>
      <c r="T256" s="92"/>
      <c r="U256" s="146"/>
      <c r="V256" s="92"/>
      <c r="W256" s="146"/>
      <c r="X256" s="92"/>
      <c r="Y256" s="146"/>
      <c r="Z256" s="92"/>
      <c r="AA256" s="146"/>
      <c r="AB256" s="92"/>
      <c r="AC256" s="146"/>
      <c r="AD256" s="92"/>
      <c r="AE256" s="146"/>
      <c r="AF256" s="143" t="str">
        <f t="shared" si="19"/>
        <v/>
      </c>
      <c r="AG256" s="199" t="b">
        <f t="shared" si="18"/>
        <v>0</v>
      </c>
      <c r="AH256" s="146"/>
      <c r="AI256" s="154" t="s">
        <v>6</v>
      </c>
      <c r="AJ256" s="151" t="str">
        <f t="shared" si="17"/>
        <v>GUARULHOS</v>
      </c>
      <c r="AK256" s="155" t="s">
        <v>59</v>
      </c>
      <c r="AL256" s="53">
        <v>0.2389028524843706</v>
      </c>
      <c r="AM256" s="53" t="str" cm="1">
        <f t="array" ref="AM256">IF(OR(O256&lt;&gt;"", SUMPRODUCT(($AN$2:$AN$561=AN256)*($AL$2:$AL$561&lt;=AL256)) &lt;= (COUNTIF($AN$2:$AN$561,AN256)*0.5)), "SORTEADO", "-")</f>
        <v>-</v>
      </c>
      <c r="AN256" s="53" t="str">
        <f t="shared" si="16"/>
        <v>24/04/2026</v>
      </c>
    </row>
    <row r="257" spans="1:40" ht="30" hidden="1" customHeight="1" x14ac:dyDescent="0.2">
      <c r="A257" s="230" t="s">
        <v>197</v>
      </c>
      <c r="B257" s="230">
        <v>2616901844</v>
      </c>
      <c r="C257" s="230" t="s">
        <v>121</v>
      </c>
      <c r="D257" s="230" t="s">
        <v>110</v>
      </c>
      <c r="E257" s="230" t="s">
        <v>198</v>
      </c>
      <c r="F257" s="230" t="s">
        <v>2997</v>
      </c>
      <c r="G257" s="230">
        <v>142</v>
      </c>
      <c r="H257" s="230"/>
      <c r="I257" s="230" t="s">
        <v>683</v>
      </c>
      <c r="J257" s="230" t="s">
        <v>2661</v>
      </c>
      <c r="K257" s="230"/>
      <c r="L257" s="230" t="s">
        <v>1888</v>
      </c>
      <c r="M257" s="230" t="s">
        <v>2998</v>
      </c>
      <c r="N257" s="230" t="s">
        <v>2640</v>
      </c>
      <c r="O257" s="158"/>
      <c r="P257" s="92"/>
      <c r="Q257" s="146"/>
      <c r="R257" s="92"/>
      <c r="S257" s="146"/>
      <c r="T257" s="92"/>
      <c r="U257" s="146"/>
      <c r="V257" s="92"/>
      <c r="W257" s="146"/>
      <c r="X257" s="92"/>
      <c r="Y257" s="146"/>
      <c r="Z257" s="92"/>
      <c r="AA257" s="146"/>
      <c r="AB257" s="92"/>
      <c r="AC257" s="146"/>
      <c r="AD257" s="92"/>
      <c r="AE257" s="146"/>
      <c r="AF257" s="143" t="str">
        <f t="shared" si="19"/>
        <v/>
      </c>
      <c r="AG257" s="199" t="b">
        <f t="shared" si="18"/>
        <v>0</v>
      </c>
      <c r="AH257" s="146"/>
      <c r="AI257" s="154" t="s">
        <v>6</v>
      </c>
      <c r="AJ257" s="151" t="str">
        <f t="shared" si="17"/>
        <v>GUARULHOS</v>
      </c>
      <c r="AK257" s="155" t="s">
        <v>59</v>
      </c>
      <c r="AL257" s="53">
        <v>4.0441918557409196E-2</v>
      </c>
      <c r="AM257" s="53" t="str" cm="1">
        <f t="array" ref="AM257">IF(OR(O257&lt;&gt;"", SUMPRODUCT(($AN$2:$AN$561=AN257)*($AL$2:$AL$561&lt;=AL257)) &lt;= (COUNTIF($AN$2:$AN$561,AN257)*0.5)), "SORTEADO", "-")</f>
        <v>-</v>
      </c>
      <c r="AN257" s="53" t="str">
        <f t="shared" si="16"/>
        <v>24/04/2026</v>
      </c>
    </row>
    <row r="258" spans="1:40" ht="30" hidden="1" customHeight="1" x14ac:dyDescent="0.2">
      <c r="A258" s="230" t="s">
        <v>197</v>
      </c>
      <c r="B258" s="230">
        <v>2616349012</v>
      </c>
      <c r="C258" s="230" t="s">
        <v>2701</v>
      </c>
      <c r="D258" s="230" t="s">
        <v>110</v>
      </c>
      <c r="E258" s="230" t="s">
        <v>198</v>
      </c>
      <c r="F258" s="230" t="s">
        <v>1727</v>
      </c>
      <c r="G258" s="230">
        <v>84</v>
      </c>
      <c r="H258" s="230" t="s">
        <v>2999</v>
      </c>
      <c r="I258" s="230" t="s">
        <v>356</v>
      </c>
      <c r="J258" s="230" t="s">
        <v>2703</v>
      </c>
      <c r="K258" s="237" t="s">
        <v>3000</v>
      </c>
      <c r="L258" s="230" t="s">
        <v>1888</v>
      </c>
      <c r="M258" s="230" t="s">
        <v>3001</v>
      </c>
      <c r="N258" s="230" t="s">
        <v>2705</v>
      </c>
      <c r="O258" s="158" t="s">
        <v>61</v>
      </c>
      <c r="P258" s="92"/>
      <c r="Q258" s="146" t="s">
        <v>61</v>
      </c>
      <c r="R258" s="92"/>
      <c r="S258" s="146" t="s">
        <v>61</v>
      </c>
      <c r="T258" s="92"/>
      <c r="U258" s="146" t="s">
        <v>61</v>
      </c>
      <c r="V258" s="92"/>
      <c r="W258" s="146" t="s">
        <v>61</v>
      </c>
      <c r="X258" s="92"/>
      <c r="Y258" s="146" t="s">
        <v>61</v>
      </c>
      <c r="Z258" s="92"/>
      <c r="AA258" s="146" t="s">
        <v>61</v>
      </c>
      <c r="AB258" s="92"/>
      <c r="AC258" s="146" t="s">
        <v>61</v>
      </c>
      <c r="AD258" s="92"/>
      <c r="AE258" s="146" t="s">
        <v>61</v>
      </c>
      <c r="AF258" s="143" t="str">
        <f t="shared" si="19"/>
        <v>NA</v>
      </c>
      <c r="AG258" s="199" t="str">
        <f t="shared" si="18"/>
        <v>NÃO AVALIADO POR FALHA DE SINCRONISMO</v>
      </c>
      <c r="AH258" s="146" t="s">
        <v>204</v>
      </c>
      <c r="AI258" s="154" t="s">
        <v>6</v>
      </c>
      <c r="AJ258" s="151" t="str">
        <f t="shared" si="17"/>
        <v>GUARULHOS</v>
      </c>
      <c r="AK258" s="155" t="s">
        <v>59</v>
      </c>
      <c r="AL258" s="53">
        <v>-5.1400000000000001E-2</v>
      </c>
      <c r="AM258" s="53" t="str" cm="1">
        <f t="array" ref="AM258">IF(OR(O258&lt;&gt;"", SUMPRODUCT(($AN$2:$AN$561=AN258)*($AL$2:$AL$561&lt;=AL258)) &lt;= (COUNTIF($AN$2:$AN$561,AN258)*0.5)), "SORTEADO", "-")</f>
        <v>SORTEADO</v>
      </c>
      <c r="AN258" s="53" t="str">
        <f t="shared" si="16"/>
        <v>24/04/2026</v>
      </c>
    </row>
    <row r="259" spans="1:40" ht="30" hidden="1" customHeight="1" x14ac:dyDescent="0.2">
      <c r="A259" s="230" t="s">
        <v>197</v>
      </c>
      <c r="B259" s="230">
        <v>2616350148</v>
      </c>
      <c r="C259" s="230" t="s">
        <v>2701</v>
      </c>
      <c r="D259" s="230" t="s">
        <v>110</v>
      </c>
      <c r="E259" s="230" t="s">
        <v>198</v>
      </c>
      <c r="F259" s="230" t="s">
        <v>1727</v>
      </c>
      <c r="G259" s="230">
        <v>75</v>
      </c>
      <c r="H259" s="230" t="s">
        <v>246</v>
      </c>
      <c r="I259" s="230" t="s">
        <v>356</v>
      </c>
      <c r="J259" s="230" t="s">
        <v>2703</v>
      </c>
      <c r="K259" s="237" t="s">
        <v>3000</v>
      </c>
      <c r="L259" s="230" t="s">
        <v>1888</v>
      </c>
      <c r="M259" s="230" t="s">
        <v>3001</v>
      </c>
      <c r="N259" s="230" t="s">
        <v>2705</v>
      </c>
      <c r="O259" s="158" t="s">
        <v>61</v>
      </c>
      <c r="P259" s="92"/>
      <c r="Q259" s="146" t="s">
        <v>61</v>
      </c>
      <c r="R259" s="92"/>
      <c r="S259" s="146" t="s">
        <v>61</v>
      </c>
      <c r="T259" s="92"/>
      <c r="U259" s="146" t="s">
        <v>61</v>
      </c>
      <c r="V259" s="92"/>
      <c r="W259" s="146" t="s">
        <v>61</v>
      </c>
      <c r="X259" s="92"/>
      <c r="Y259" s="146" t="s">
        <v>61</v>
      </c>
      <c r="Z259" s="92"/>
      <c r="AA259" s="146" t="s">
        <v>61</v>
      </c>
      <c r="AB259" s="92"/>
      <c r="AC259" s="146" t="s">
        <v>61</v>
      </c>
      <c r="AD259" s="92"/>
      <c r="AE259" s="146" t="s">
        <v>61</v>
      </c>
      <c r="AF259" s="143" t="str">
        <f t="shared" si="19"/>
        <v>NA</v>
      </c>
      <c r="AG259" s="199" t="str">
        <f t="shared" si="18"/>
        <v>NÃO AVALIADO POR FALHA DE SINCRONISMO</v>
      </c>
      <c r="AH259" s="146" t="s">
        <v>204</v>
      </c>
      <c r="AI259" s="154" t="s">
        <v>6</v>
      </c>
      <c r="AJ259" s="151" t="str">
        <f t="shared" si="17"/>
        <v>GUARULHOS</v>
      </c>
      <c r="AK259" s="155" t="s">
        <v>59</v>
      </c>
      <c r="AL259" s="53">
        <v>-5.16E-2</v>
      </c>
      <c r="AM259" s="53" t="str" cm="1">
        <f t="array" ref="AM259">IF(OR(O259&lt;&gt;"", SUMPRODUCT(($AN$2:$AN$561=AN259)*($AL$2:$AL$561&lt;=AL259)) &lt;= (COUNTIF($AN$2:$AN$561,AN259)*0.5)), "SORTEADO", "-")</f>
        <v>SORTEADO</v>
      </c>
      <c r="AN259" s="53" t="str">
        <f t="shared" si="16"/>
        <v>24/04/2026</v>
      </c>
    </row>
    <row r="260" spans="1:40" ht="30" hidden="1" customHeight="1" x14ac:dyDescent="0.2">
      <c r="A260" s="230" t="s">
        <v>197</v>
      </c>
      <c r="B260" s="230">
        <v>2616349954</v>
      </c>
      <c r="C260" s="230" t="s">
        <v>2701</v>
      </c>
      <c r="D260" s="230" t="s">
        <v>110</v>
      </c>
      <c r="E260" s="230" t="s">
        <v>198</v>
      </c>
      <c r="F260" s="230" t="s">
        <v>1727</v>
      </c>
      <c r="G260" s="230">
        <v>72</v>
      </c>
      <c r="H260" s="230" t="s">
        <v>3002</v>
      </c>
      <c r="I260" s="230" t="s">
        <v>356</v>
      </c>
      <c r="J260" s="230" t="s">
        <v>2703</v>
      </c>
      <c r="K260" s="237" t="s">
        <v>3000</v>
      </c>
      <c r="L260" s="230" t="s">
        <v>1888</v>
      </c>
      <c r="M260" s="230" t="s">
        <v>3001</v>
      </c>
      <c r="N260" s="230" t="s">
        <v>2705</v>
      </c>
      <c r="O260" s="158" t="s">
        <v>61</v>
      </c>
      <c r="P260" s="92"/>
      <c r="Q260" s="146" t="s">
        <v>61</v>
      </c>
      <c r="R260" s="92"/>
      <c r="S260" s="146" t="s">
        <v>61</v>
      </c>
      <c r="T260" s="92"/>
      <c r="U260" s="146" t="s">
        <v>61</v>
      </c>
      <c r="V260" s="92"/>
      <c r="W260" s="146" t="s">
        <v>61</v>
      </c>
      <c r="X260" s="92"/>
      <c r="Y260" s="146" t="s">
        <v>61</v>
      </c>
      <c r="Z260" s="92"/>
      <c r="AA260" s="146" t="s">
        <v>61</v>
      </c>
      <c r="AB260" s="92"/>
      <c r="AC260" s="146" t="s">
        <v>61</v>
      </c>
      <c r="AD260" s="92"/>
      <c r="AE260" s="146" t="s">
        <v>61</v>
      </c>
      <c r="AF260" s="143" t="str">
        <f t="shared" si="19"/>
        <v>NA</v>
      </c>
      <c r="AG260" s="199" t="str">
        <f t="shared" si="18"/>
        <v>NÃO AVALIADO POR FALHA DE SINCRONISMO</v>
      </c>
      <c r="AH260" s="146" t="s">
        <v>204</v>
      </c>
      <c r="AI260" s="154" t="s">
        <v>6</v>
      </c>
      <c r="AJ260" s="151" t="str">
        <f t="shared" si="17"/>
        <v>GUARULHOS</v>
      </c>
      <c r="AK260" s="155" t="s">
        <v>59</v>
      </c>
      <c r="AL260" s="53">
        <v>-5.1799999999999999E-2</v>
      </c>
      <c r="AM260" s="53" t="str" cm="1">
        <f t="array" ref="AM260">IF(OR(O260&lt;&gt;"", SUMPRODUCT(($AN$2:$AN$561=AN260)*($AL$2:$AL$561&lt;=AL260)) &lt;= (COUNTIF($AN$2:$AN$561,AN260)*0.5)), "SORTEADO", "-")</f>
        <v>SORTEADO</v>
      </c>
      <c r="AN260" s="53" t="str">
        <f t="shared" si="16"/>
        <v>24/04/2026</v>
      </c>
    </row>
    <row r="261" spans="1:40" ht="30" hidden="1" customHeight="1" x14ac:dyDescent="0.2">
      <c r="A261" s="230" t="s">
        <v>197</v>
      </c>
      <c r="B261" s="230">
        <v>2616350354</v>
      </c>
      <c r="C261" s="230" t="s">
        <v>2701</v>
      </c>
      <c r="D261" s="230" t="s">
        <v>110</v>
      </c>
      <c r="E261" s="230" t="s">
        <v>198</v>
      </c>
      <c r="F261" s="230" t="s">
        <v>1727</v>
      </c>
      <c r="G261" s="230">
        <v>67</v>
      </c>
      <c r="H261" s="230" t="s">
        <v>3003</v>
      </c>
      <c r="I261" s="230" t="s">
        <v>356</v>
      </c>
      <c r="J261" s="230" t="s">
        <v>2703</v>
      </c>
      <c r="K261" s="237" t="s">
        <v>3000</v>
      </c>
      <c r="L261" s="230" t="s">
        <v>1888</v>
      </c>
      <c r="M261" s="230" t="s">
        <v>3001</v>
      </c>
      <c r="N261" s="230" t="s">
        <v>2705</v>
      </c>
      <c r="O261" s="158" t="s">
        <v>61</v>
      </c>
      <c r="P261" s="92"/>
      <c r="Q261" s="146" t="s">
        <v>61</v>
      </c>
      <c r="R261" s="92"/>
      <c r="S261" s="146" t="s">
        <v>61</v>
      </c>
      <c r="T261" s="92"/>
      <c r="U261" s="146" t="s">
        <v>61</v>
      </c>
      <c r="V261" s="92"/>
      <c r="W261" s="146" t="s">
        <v>61</v>
      </c>
      <c r="X261" s="92"/>
      <c r="Y261" s="146" t="s">
        <v>61</v>
      </c>
      <c r="Z261" s="92"/>
      <c r="AA261" s="146" t="s">
        <v>61</v>
      </c>
      <c r="AB261" s="92"/>
      <c r="AC261" s="146" t="s">
        <v>61</v>
      </c>
      <c r="AD261" s="92"/>
      <c r="AE261" s="146" t="s">
        <v>61</v>
      </c>
      <c r="AF261" s="143" t="str">
        <f t="shared" si="19"/>
        <v>NA</v>
      </c>
      <c r="AG261" s="199" t="str">
        <f t="shared" si="18"/>
        <v>NÃO AVALIADO POR FALHA DE SINCRONISMO</v>
      </c>
      <c r="AH261" s="146" t="s">
        <v>204</v>
      </c>
      <c r="AI261" s="154" t="s">
        <v>6</v>
      </c>
      <c r="AJ261" s="151" t="str">
        <f t="shared" si="17"/>
        <v>GUARULHOS</v>
      </c>
      <c r="AK261" s="155" t="s">
        <v>59</v>
      </c>
      <c r="AL261" s="53">
        <v>-5.1999999999999998E-2</v>
      </c>
      <c r="AM261" s="53" t="str" cm="1">
        <f t="array" ref="AM261">IF(OR(O261&lt;&gt;"", SUMPRODUCT(($AN$2:$AN$561=AN261)*($AL$2:$AL$561&lt;=AL261)) &lt;= (COUNTIF($AN$2:$AN$561,AN261)*0.5)), "SORTEADO", "-")</f>
        <v>SORTEADO</v>
      </c>
      <c r="AN261" s="53" t="str">
        <f t="shared" si="16"/>
        <v>24/04/2026</v>
      </c>
    </row>
    <row r="262" spans="1:40" ht="30" hidden="1" customHeight="1" x14ac:dyDescent="0.2">
      <c r="A262" s="230" t="s">
        <v>197</v>
      </c>
      <c r="B262" s="230">
        <v>2616350688</v>
      </c>
      <c r="C262" s="230" t="s">
        <v>2701</v>
      </c>
      <c r="D262" s="230" t="s">
        <v>110</v>
      </c>
      <c r="E262" s="230" t="s">
        <v>198</v>
      </c>
      <c r="F262" s="230" t="s">
        <v>1727</v>
      </c>
      <c r="G262" s="230">
        <v>60</v>
      </c>
      <c r="H262" s="230" t="s">
        <v>211</v>
      </c>
      <c r="I262" s="230" t="s">
        <v>356</v>
      </c>
      <c r="J262" s="230" t="s">
        <v>2703</v>
      </c>
      <c r="K262" s="237" t="s">
        <v>3000</v>
      </c>
      <c r="L262" s="230" t="s">
        <v>1888</v>
      </c>
      <c r="M262" s="230" t="s">
        <v>3001</v>
      </c>
      <c r="N262" s="230" t="s">
        <v>2705</v>
      </c>
      <c r="O262" s="158" t="s">
        <v>61</v>
      </c>
      <c r="P262" s="92"/>
      <c r="Q262" s="146" t="s">
        <v>61</v>
      </c>
      <c r="R262" s="92"/>
      <c r="S262" s="146" t="s">
        <v>61</v>
      </c>
      <c r="T262" s="92"/>
      <c r="U262" s="146" t="s">
        <v>61</v>
      </c>
      <c r="V262" s="92"/>
      <c r="W262" s="146" t="s">
        <v>61</v>
      </c>
      <c r="X262" s="92"/>
      <c r="Y262" s="146" t="s">
        <v>61</v>
      </c>
      <c r="Z262" s="92"/>
      <c r="AA262" s="146" t="s">
        <v>61</v>
      </c>
      <c r="AB262" s="92"/>
      <c r="AC262" s="146" t="s">
        <v>61</v>
      </c>
      <c r="AD262" s="92"/>
      <c r="AE262" s="146" t="s">
        <v>61</v>
      </c>
      <c r="AF262" s="143" t="str">
        <f t="shared" si="19"/>
        <v>NA</v>
      </c>
      <c r="AG262" s="199" t="str">
        <f t="shared" si="18"/>
        <v>NÃO AVALIADO POR FALHA DE SINCRONISMO</v>
      </c>
      <c r="AH262" s="146" t="s">
        <v>204</v>
      </c>
      <c r="AI262" s="154" t="s">
        <v>6</v>
      </c>
      <c r="AJ262" s="151" t="str">
        <f t="shared" si="17"/>
        <v>GUARULHOS</v>
      </c>
      <c r="AK262" s="155" t="s">
        <v>59</v>
      </c>
      <c r="AL262" s="53">
        <v>-5.2200000000000003E-2</v>
      </c>
      <c r="AM262" s="53" t="str" cm="1">
        <f t="array" ref="AM262">IF(OR(O262&lt;&gt;"", SUMPRODUCT(($AN$2:$AN$561=AN262)*($AL$2:$AL$561&lt;=AL262)) &lt;= (COUNTIF($AN$2:$AN$561,AN262)*0.5)), "SORTEADO", "-")</f>
        <v>SORTEADO</v>
      </c>
      <c r="AN262" s="53" t="str">
        <f t="shared" si="16"/>
        <v>24/04/2026</v>
      </c>
    </row>
    <row r="263" spans="1:40" ht="30" hidden="1" customHeight="1" x14ac:dyDescent="0.2">
      <c r="A263" s="230" t="s">
        <v>197</v>
      </c>
      <c r="B263" s="230">
        <v>2616351000</v>
      </c>
      <c r="C263" s="230" t="s">
        <v>2701</v>
      </c>
      <c r="D263" s="230" t="s">
        <v>110</v>
      </c>
      <c r="E263" s="230" t="s">
        <v>198</v>
      </c>
      <c r="F263" s="230" t="s">
        <v>1727</v>
      </c>
      <c r="G263" s="230">
        <v>51</v>
      </c>
      <c r="H263" s="230" t="s">
        <v>2204</v>
      </c>
      <c r="I263" s="230" t="s">
        <v>356</v>
      </c>
      <c r="J263" s="230" t="s">
        <v>2703</v>
      </c>
      <c r="K263" s="237" t="s">
        <v>3004</v>
      </c>
      <c r="L263" s="230" t="s">
        <v>1888</v>
      </c>
      <c r="M263" s="230" t="s">
        <v>3001</v>
      </c>
      <c r="N263" s="230" t="s">
        <v>2705</v>
      </c>
      <c r="O263" s="158" t="s">
        <v>61</v>
      </c>
      <c r="P263" s="92"/>
      <c r="Q263" s="146" t="s">
        <v>61</v>
      </c>
      <c r="R263" s="92"/>
      <c r="S263" s="146" t="s">
        <v>61</v>
      </c>
      <c r="T263" s="92"/>
      <c r="U263" s="146" t="s">
        <v>61</v>
      </c>
      <c r="V263" s="92"/>
      <c r="W263" s="146" t="s">
        <v>61</v>
      </c>
      <c r="X263" s="92"/>
      <c r="Y263" s="146" t="s">
        <v>61</v>
      </c>
      <c r="Z263" s="92"/>
      <c r="AA263" s="146" t="s">
        <v>61</v>
      </c>
      <c r="AB263" s="92"/>
      <c r="AC263" s="146" t="s">
        <v>61</v>
      </c>
      <c r="AD263" s="92"/>
      <c r="AE263" s="146" t="s">
        <v>61</v>
      </c>
      <c r="AF263" s="143" t="str">
        <f t="shared" si="19"/>
        <v>NA</v>
      </c>
      <c r="AG263" s="199" t="str">
        <f t="shared" si="18"/>
        <v>NÃO AVALIADO POR FALHA DE SINCRONISMO</v>
      </c>
      <c r="AH263" s="146" t="s">
        <v>204</v>
      </c>
      <c r="AI263" s="154" t="s">
        <v>6</v>
      </c>
      <c r="AJ263" s="151" t="str">
        <f t="shared" si="17"/>
        <v>GUARULHOS</v>
      </c>
      <c r="AK263" s="155" t="s">
        <v>59</v>
      </c>
      <c r="AL263" s="53">
        <v>-5.2400000000000002E-2</v>
      </c>
      <c r="AM263" s="53" t="str" cm="1">
        <f t="array" ref="AM263">IF(OR(O263&lt;&gt;"", SUMPRODUCT(($AN$2:$AN$561=AN263)*($AL$2:$AL$561&lt;=AL263)) &lt;= (COUNTIF($AN$2:$AN$561,AN263)*0.5)), "SORTEADO", "-")</f>
        <v>SORTEADO</v>
      </c>
      <c r="AN263" s="53" t="str">
        <f t="shared" si="16"/>
        <v>24/04/2026</v>
      </c>
    </row>
    <row r="264" spans="1:40" ht="30" hidden="1" customHeight="1" x14ac:dyDescent="0.2">
      <c r="A264" s="230" t="s">
        <v>197</v>
      </c>
      <c r="B264" s="230">
        <v>2616351283</v>
      </c>
      <c r="C264" s="230" t="s">
        <v>2701</v>
      </c>
      <c r="D264" s="230" t="s">
        <v>110</v>
      </c>
      <c r="E264" s="230" t="s">
        <v>198</v>
      </c>
      <c r="F264" s="230" t="s">
        <v>1727</v>
      </c>
      <c r="G264" s="230">
        <v>50</v>
      </c>
      <c r="H264" s="230" t="s">
        <v>1518</v>
      </c>
      <c r="I264" s="230" t="s">
        <v>356</v>
      </c>
      <c r="J264" s="230" t="s">
        <v>2703</v>
      </c>
      <c r="K264" s="237" t="s">
        <v>3000</v>
      </c>
      <c r="L264" s="230" t="s">
        <v>1888</v>
      </c>
      <c r="M264" s="230" t="s">
        <v>3001</v>
      </c>
      <c r="N264" s="230" t="s">
        <v>2705</v>
      </c>
      <c r="O264" s="158" t="s">
        <v>61</v>
      </c>
      <c r="P264" s="92"/>
      <c r="Q264" s="146" t="s">
        <v>61</v>
      </c>
      <c r="R264" s="92"/>
      <c r="S264" s="146" t="s">
        <v>61</v>
      </c>
      <c r="T264" s="92"/>
      <c r="U264" s="146" t="s">
        <v>61</v>
      </c>
      <c r="V264" s="92"/>
      <c r="W264" s="146" t="s">
        <v>61</v>
      </c>
      <c r="X264" s="92"/>
      <c r="Y264" s="146" t="s">
        <v>61</v>
      </c>
      <c r="Z264" s="92"/>
      <c r="AA264" s="146" t="s">
        <v>61</v>
      </c>
      <c r="AB264" s="92"/>
      <c r="AC264" s="146" t="s">
        <v>61</v>
      </c>
      <c r="AD264" s="92"/>
      <c r="AE264" s="146" t="s">
        <v>61</v>
      </c>
      <c r="AF264" s="143" t="str">
        <f t="shared" si="19"/>
        <v>NA</v>
      </c>
      <c r="AG264" s="199" t="str">
        <f t="shared" si="18"/>
        <v>NÃO AVALIADO POR FALHA DE SINCRONISMO</v>
      </c>
      <c r="AH264" s="146" t="s">
        <v>204</v>
      </c>
      <c r="AI264" s="154" t="s">
        <v>6</v>
      </c>
      <c r="AJ264" s="151" t="str">
        <f t="shared" si="17"/>
        <v>GUARULHOS</v>
      </c>
      <c r="AK264" s="155" t="s">
        <v>59</v>
      </c>
      <c r="AL264" s="53">
        <v>-5.2600000000000001E-2</v>
      </c>
      <c r="AM264" s="53" t="str" cm="1">
        <f t="array" ref="AM264">IF(OR(O264&lt;&gt;"", SUMPRODUCT(($AN$2:$AN$561=AN264)*($AL$2:$AL$561&lt;=AL264)) &lt;= (COUNTIF($AN$2:$AN$561,AN264)*0.5)), "SORTEADO", "-")</f>
        <v>SORTEADO</v>
      </c>
      <c r="AN264" s="53" t="str">
        <f t="shared" si="16"/>
        <v>24/04/2026</v>
      </c>
    </row>
    <row r="265" spans="1:40" ht="30" hidden="1" customHeight="1" x14ac:dyDescent="0.2">
      <c r="A265" s="230" t="s">
        <v>197</v>
      </c>
      <c r="B265" s="230">
        <v>2616351780</v>
      </c>
      <c r="C265" s="230" t="s">
        <v>2701</v>
      </c>
      <c r="D265" s="230" t="s">
        <v>110</v>
      </c>
      <c r="E265" s="230" t="s">
        <v>198</v>
      </c>
      <c r="F265" s="230" t="s">
        <v>1727</v>
      </c>
      <c r="G265" s="230">
        <v>40</v>
      </c>
      <c r="H265" s="230" t="s">
        <v>3005</v>
      </c>
      <c r="I265" s="230" t="s">
        <v>356</v>
      </c>
      <c r="J265" s="230" t="s">
        <v>2703</v>
      </c>
      <c r="K265" s="237" t="s">
        <v>3000</v>
      </c>
      <c r="L265" s="230" t="s">
        <v>1888</v>
      </c>
      <c r="M265" s="230" t="s">
        <v>3001</v>
      </c>
      <c r="N265" s="230" t="s">
        <v>2705</v>
      </c>
      <c r="O265" s="158" t="s">
        <v>61</v>
      </c>
      <c r="P265" s="92"/>
      <c r="Q265" s="146" t="s">
        <v>61</v>
      </c>
      <c r="R265" s="92"/>
      <c r="S265" s="146" t="s">
        <v>61</v>
      </c>
      <c r="T265" s="92"/>
      <c r="U265" s="146" t="s">
        <v>61</v>
      </c>
      <c r="V265" s="92"/>
      <c r="W265" s="146" t="s">
        <v>61</v>
      </c>
      <c r="X265" s="92"/>
      <c r="Y265" s="146" t="s">
        <v>61</v>
      </c>
      <c r="Z265" s="92"/>
      <c r="AA265" s="146" t="s">
        <v>61</v>
      </c>
      <c r="AB265" s="92"/>
      <c r="AC265" s="146" t="s">
        <v>61</v>
      </c>
      <c r="AD265" s="92"/>
      <c r="AE265" s="146" t="s">
        <v>61</v>
      </c>
      <c r="AF265" s="143" t="str">
        <f t="shared" si="19"/>
        <v>NA</v>
      </c>
      <c r="AG265" s="199" t="str">
        <f t="shared" si="18"/>
        <v>NÃO AVALIADO POR FALHA DE SINCRONISMO</v>
      </c>
      <c r="AH265" s="146" t="s">
        <v>204</v>
      </c>
      <c r="AI265" s="154" t="s">
        <v>6</v>
      </c>
      <c r="AJ265" s="151" t="str">
        <f t="shared" si="17"/>
        <v>GUARULHOS</v>
      </c>
      <c r="AK265" s="155" t="s">
        <v>59</v>
      </c>
      <c r="AL265" s="53">
        <v>-5.28E-2</v>
      </c>
      <c r="AM265" s="53" t="str" cm="1">
        <f t="array" ref="AM265">IF(OR(O265&lt;&gt;"", SUMPRODUCT(($AN$2:$AN$561=AN265)*($AL$2:$AL$561&lt;=AL265)) &lt;= (COUNTIF($AN$2:$AN$561,AN265)*0.5)), "SORTEADO", "-")</f>
        <v>SORTEADO</v>
      </c>
      <c r="AN265" s="53" t="str">
        <f t="shared" si="16"/>
        <v>24/04/2026</v>
      </c>
    </row>
    <row r="266" spans="1:40" ht="30" hidden="1" customHeight="1" x14ac:dyDescent="0.2">
      <c r="A266" s="230" t="s">
        <v>197</v>
      </c>
      <c r="B266" s="230">
        <v>2616352057</v>
      </c>
      <c r="C266" s="230" t="s">
        <v>2701</v>
      </c>
      <c r="D266" s="230" t="s">
        <v>110</v>
      </c>
      <c r="E266" s="230" t="s">
        <v>198</v>
      </c>
      <c r="F266" s="230" t="s">
        <v>1727</v>
      </c>
      <c r="G266" s="230">
        <v>34</v>
      </c>
      <c r="H266" s="230" t="s">
        <v>3006</v>
      </c>
      <c r="I266" s="230" t="s">
        <v>356</v>
      </c>
      <c r="J266" s="230" t="s">
        <v>2703</v>
      </c>
      <c r="K266" s="237" t="s">
        <v>3007</v>
      </c>
      <c r="L266" s="230" t="s">
        <v>1888</v>
      </c>
      <c r="M266" s="230" t="s">
        <v>3001</v>
      </c>
      <c r="N266" s="230" t="s">
        <v>2705</v>
      </c>
      <c r="O266" s="158" t="s">
        <v>61</v>
      </c>
      <c r="P266" s="92"/>
      <c r="Q266" s="146" t="s">
        <v>61</v>
      </c>
      <c r="R266" s="92"/>
      <c r="S266" s="146" t="s">
        <v>61</v>
      </c>
      <c r="T266" s="92"/>
      <c r="U266" s="146" t="s">
        <v>61</v>
      </c>
      <c r="V266" s="92"/>
      <c r="W266" s="146" t="s">
        <v>61</v>
      </c>
      <c r="X266" s="92"/>
      <c r="Y266" s="146" t="s">
        <v>61</v>
      </c>
      <c r="Z266" s="92"/>
      <c r="AA266" s="146" t="s">
        <v>61</v>
      </c>
      <c r="AB266" s="92"/>
      <c r="AC266" s="146" t="s">
        <v>61</v>
      </c>
      <c r="AD266" s="92"/>
      <c r="AE266" s="146" t="s">
        <v>61</v>
      </c>
      <c r="AF266" s="143" t="str">
        <f t="shared" si="19"/>
        <v>NA</v>
      </c>
      <c r="AG266" s="199" t="str">
        <f t="shared" si="18"/>
        <v>NÃO AVALIADO POR FALHA DE SINCRONISMO</v>
      </c>
      <c r="AH266" s="146" t="s">
        <v>204</v>
      </c>
      <c r="AI266" s="154" t="s">
        <v>6</v>
      </c>
      <c r="AJ266" s="151" t="str">
        <f t="shared" si="17"/>
        <v>GUARULHOS</v>
      </c>
      <c r="AK266" s="155" t="s">
        <v>59</v>
      </c>
      <c r="AL266" s="53">
        <v>-5.2999999999999999E-2</v>
      </c>
      <c r="AM266" s="53" t="str" cm="1">
        <f t="array" ref="AM266">IF(OR(O266&lt;&gt;"", SUMPRODUCT(($AN$2:$AN$561=AN266)*($AL$2:$AL$561&lt;=AL266)) &lt;= (COUNTIF($AN$2:$AN$561,AN266)*0.5)), "SORTEADO", "-")</f>
        <v>SORTEADO</v>
      </c>
      <c r="AN266" s="53" t="str">
        <f t="shared" si="16"/>
        <v>24/04/2026</v>
      </c>
    </row>
    <row r="267" spans="1:40" ht="30" hidden="1" customHeight="1" x14ac:dyDescent="0.2">
      <c r="A267" s="230" t="s">
        <v>197</v>
      </c>
      <c r="B267" s="230">
        <v>2616349776</v>
      </c>
      <c r="C267" s="230" t="s">
        <v>2701</v>
      </c>
      <c r="D267" s="230" t="s">
        <v>110</v>
      </c>
      <c r="E267" s="230" t="s">
        <v>198</v>
      </c>
      <c r="F267" s="230" t="s">
        <v>1727</v>
      </c>
      <c r="G267" s="230">
        <v>198</v>
      </c>
      <c r="H267" s="230" t="s">
        <v>1728</v>
      </c>
      <c r="I267" s="230" t="s">
        <v>356</v>
      </c>
      <c r="J267" s="230" t="s">
        <v>2703</v>
      </c>
      <c r="K267" s="237" t="s">
        <v>3000</v>
      </c>
      <c r="L267" s="230" t="s">
        <v>1888</v>
      </c>
      <c r="M267" s="230" t="s">
        <v>3001</v>
      </c>
      <c r="N267" s="230" t="s">
        <v>2705</v>
      </c>
      <c r="O267" s="158" t="s">
        <v>61</v>
      </c>
      <c r="P267" s="92"/>
      <c r="Q267" s="146" t="s">
        <v>61</v>
      </c>
      <c r="R267" s="92"/>
      <c r="S267" s="146" t="s">
        <v>61</v>
      </c>
      <c r="T267" s="92"/>
      <c r="U267" s="146" t="s">
        <v>61</v>
      </c>
      <c r="V267" s="92"/>
      <c r="W267" s="146" t="s">
        <v>61</v>
      </c>
      <c r="X267" s="92"/>
      <c r="Y267" s="146" t="s">
        <v>61</v>
      </c>
      <c r="Z267" s="92"/>
      <c r="AA267" s="146" t="s">
        <v>61</v>
      </c>
      <c r="AB267" s="92"/>
      <c r="AC267" s="146" t="s">
        <v>61</v>
      </c>
      <c r="AD267" s="92"/>
      <c r="AE267" s="146" t="s">
        <v>61</v>
      </c>
      <c r="AF267" s="143" t="str">
        <f t="shared" si="19"/>
        <v>NA</v>
      </c>
      <c r="AG267" s="199" t="str">
        <f t="shared" si="18"/>
        <v>NÃO AVALIADO POR FALHA DE SINCRONISMO</v>
      </c>
      <c r="AH267" s="146" t="s">
        <v>204</v>
      </c>
      <c r="AI267" s="154" t="s">
        <v>6</v>
      </c>
      <c r="AJ267" s="151" t="str">
        <f t="shared" si="17"/>
        <v>GUARULHOS</v>
      </c>
      <c r="AK267" s="155" t="s">
        <v>59</v>
      </c>
      <c r="AL267" s="53">
        <v>-5.3199999999999997E-2</v>
      </c>
      <c r="AM267" s="53" t="str" cm="1">
        <f t="array" ref="AM267">IF(OR(O267&lt;&gt;"", SUMPRODUCT(($AN$2:$AN$561=AN267)*($AL$2:$AL$561&lt;=AL267)) &lt;= (COUNTIF($AN$2:$AN$561,AN267)*0.5)), "SORTEADO", "-")</f>
        <v>SORTEADO</v>
      </c>
      <c r="AN267" s="53" t="str">
        <f t="shared" si="16"/>
        <v>24/04/2026</v>
      </c>
    </row>
    <row r="268" spans="1:40" ht="30" hidden="1" customHeight="1" x14ac:dyDescent="0.2">
      <c r="A268" s="230" t="s">
        <v>197</v>
      </c>
      <c r="B268" s="230">
        <v>2616351482</v>
      </c>
      <c r="C268" s="230" t="s">
        <v>2701</v>
      </c>
      <c r="D268" s="230" t="s">
        <v>110</v>
      </c>
      <c r="E268" s="230" t="s">
        <v>198</v>
      </c>
      <c r="F268" s="230" t="s">
        <v>1727</v>
      </c>
      <c r="G268" s="230">
        <v>190</v>
      </c>
      <c r="H268" s="230" t="s">
        <v>213</v>
      </c>
      <c r="I268" s="230" t="s">
        <v>356</v>
      </c>
      <c r="J268" s="230" t="s">
        <v>2703</v>
      </c>
      <c r="K268" s="237" t="s">
        <v>3008</v>
      </c>
      <c r="L268" s="230" t="s">
        <v>1888</v>
      </c>
      <c r="M268" s="230" t="s">
        <v>3001</v>
      </c>
      <c r="N268" s="230" t="s">
        <v>2705</v>
      </c>
      <c r="O268" s="158" t="s">
        <v>61</v>
      </c>
      <c r="P268" s="92"/>
      <c r="Q268" s="146" t="s">
        <v>61</v>
      </c>
      <c r="R268" s="92"/>
      <c r="S268" s="146" t="s">
        <v>61</v>
      </c>
      <c r="T268" s="92"/>
      <c r="U268" s="146" t="s">
        <v>61</v>
      </c>
      <c r="V268" s="92"/>
      <c r="W268" s="146" t="s">
        <v>61</v>
      </c>
      <c r="X268" s="92"/>
      <c r="Y268" s="146" t="s">
        <v>61</v>
      </c>
      <c r="Z268" s="92"/>
      <c r="AA268" s="146" t="s">
        <v>61</v>
      </c>
      <c r="AB268" s="92"/>
      <c r="AC268" s="146" t="s">
        <v>61</v>
      </c>
      <c r="AD268" s="92"/>
      <c r="AE268" s="146" t="s">
        <v>61</v>
      </c>
      <c r="AF268" s="143" t="str">
        <f t="shared" si="19"/>
        <v>NA</v>
      </c>
      <c r="AG268" s="199" t="str">
        <f t="shared" si="18"/>
        <v>NÃO AVALIADO POR FALHA DE SINCRONISMO</v>
      </c>
      <c r="AH268" s="146" t="s">
        <v>204</v>
      </c>
      <c r="AI268" s="154" t="s">
        <v>6</v>
      </c>
      <c r="AJ268" s="151" t="str">
        <f t="shared" si="17"/>
        <v>GUARULHOS</v>
      </c>
      <c r="AK268" s="155" t="s">
        <v>59</v>
      </c>
      <c r="AL268" s="53">
        <v>-5.3400000000000003E-2</v>
      </c>
      <c r="AM268" s="53" t="str" cm="1">
        <f t="array" ref="AM268">IF(OR(O268&lt;&gt;"", SUMPRODUCT(($AN$2:$AN$561=AN268)*($AL$2:$AL$561&lt;=AL268)) &lt;= (COUNTIF($AN$2:$AN$561,AN268)*0.5)), "SORTEADO", "-")</f>
        <v>SORTEADO</v>
      </c>
      <c r="AN268" s="53" t="str">
        <f t="shared" si="16"/>
        <v>24/04/2026</v>
      </c>
    </row>
    <row r="269" spans="1:40" ht="30" hidden="1" customHeight="1" x14ac:dyDescent="0.2">
      <c r="A269" s="230" t="s">
        <v>197</v>
      </c>
      <c r="B269" s="230">
        <v>2616350244</v>
      </c>
      <c r="C269" s="230" t="s">
        <v>2701</v>
      </c>
      <c r="D269" s="230" t="s">
        <v>110</v>
      </c>
      <c r="E269" s="230" t="s">
        <v>198</v>
      </c>
      <c r="F269" s="230" t="s">
        <v>1727</v>
      </c>
      <c r="G269" s="230">
        <v>190</v>
      </c>
      <c r="H269" s="230"/>
      <c r="I269" s="230" t="s">
        <v>356</v>
      </c>
      <c r="J269" s="230" t="s">
        <v>2703</v>
      </c>
      <c r="K269" s="237" t="s">
        <v>3008</v>
      </c>
      <c r="L269" s="230" t="s">
        <v>1888</v>
      </c>
      <c r="M269" s="230" t="s">
        <v>3001</v>
      </c>
      <c r="N269" s="230" t="s">
        <v>2705</v>
      </c>
      <c r="O269" s="158" t="s">
        <v>61</v>
      </c>
      <c r="P269" s="92"/>
      <c r="Q269" s="146" t="s">
        <v>61</v>
      </c>
      <c r="R269" s="92"/>
      <c r="S269" s="146" t="s">
        <v>61</v>
      </c>
      <c r="T269" s="92"/>
      <c r="U269" s="146" t="s">
        <v>61</v>
      </c>
      <c r="V269" s="92"/>
      <c r="W269" s="146" t="s">
        <v>61</v>
      </c>
      <c r="X269" s="92"/>
      <c r="Y269" s="146" t="s">
        <v>61</v>
      </c>
      <c r="Z269" s="92"/>
      <c r="AA269" s="146" t="s">
        <v>61</v>
      </c>
      <c r="AB269" s="92"/>
      <c r="AC269" s="146" t="s">
        <v>61</v>
      </c>
      <c r="AD269" s="92"/>
      <c r="AE269" s="146" t="s">
        <v>61</v>
      </c>
      <c r="AF269" s="143" t="str">
        <f t="shared" si="19"/>
        <v>NA</v>
      </c>
      <c r="AG269" s="199" t="str">
        <f t="shared" si="18"/>
        <v>NÃO AVALIADO POR FALHA DE SINCRONISMO</v>
      </c>
      <c r="AH269" s="146" t="s">
        <v>204</v>
      </c>
      <c r="AI269" s="154" t="s">
        <v>6</v>
      </c>
      <c r="AJ269" s="151" t="str">
        <f t="shared" si="17"/>
        <v>GUARULHOS</v>
      </c>
      <c r="AK269" s="155" t="s">
        <v>59</v>
      </c>
      <c r="AL269" s="53">
        <v>-5.3600000000000002E-2</v>
      </c>
      <c r="AM269" s="53" t="str" cm="1">
        <f t="array" ref="AM269">IF(OR(O269&lt;&gt;"", SUMPRODUCT(($AN$2:$AN$561=AN269)*($AL$2:$AL$561&lt;=AL269)) &lt;= (COUNTIF($AN$2:$AN$561,AN269)*0.5)), "SORTEADO", "-")</f>
        <v>SORTEADO</v>
      </c>
      <c r="AN269" s="53" t="str">
        <f t="shared" si="16"/>
        <v>24/04/2026</v>
      </c>
    </row>
    <row r="270" spans="1:40" ht="30" hidden="1" customHeight="1" x14ac:dyDescent="0.2">
      <c r="A270" s="230" t="s">
        <v>197</v>
      </c>
      <c r="B270" s="230">
        <v>2616352950</v>
      </c>
      <c r="C270" s="230" t="s">
        <v>2701</v>
      </c>
      <c r="D270" s="230" t="s">
        <v>110</v>
      </c>
      <c r="E270" s="230" t="s">
        <v>198</v>
      </c>
      <c r="F270" s="230" t="s">
        <v>1727</v>
      </c>
      <c r="G270" s="230">
        <v>18</v>
      </c>
      <c r="H270" s="230" t="s">
        <v>213</v>
      </c>
      <c r="I270" s="230" t="s">
        <v>356</v>
      </c>
      <c r="J270" s="230" t="s">
        <v>2703</v>
      </c>
      <c r="K270" s="237" t="s">
        <v>3007</v>
      </c>
      <c r="L270" s="230" t="s">
        <v>1888</v>
      </c>
      <c r="M270" s="230" t="s">
        <v>3001</v>
      </c>
      <c r="N270" s="230" t="s">
        <v>2705</v>
      </c>
      <c r="O270" s="158" t="s">
        <v>61</v>
      </c>
      <c r="P270" s="92"/>
      <c r="Q270" s="146" t="s">
        <v>61</v>
      </c>
      <c r="R270" s="92"/>
      <c r="S270" s="146" t="s">
        <v>61</v>
      </c>
      <c r="T270" s="92"/>
      <c r="U270" s="146" t="s">
        <v>61</v>
      </c>
      <c r="V270" s="92"/>
      <c r="W270" s="146" t="s">
        <v>61</v>
      </c>
      <c r="X270" s="92"/>
      <c r="Y270" s="146" t="s">
        <v>61</v>
      </c>
      <c r="Z270" s="92"/>
      <c r="AA270" s="146" t="s">
        <v>61</v>
      </c>
      <c r="AB270" s="92"/>
      <c r="AC270" s="146" t="s">
        <v>61</v>
      </c>
      <c r="AD270" s="92"/>
      <c r="AE270" s="146" t="s">
        <v>61</v>
      </c>
      <c r="AF270" s="143" t="str">
        <f t="shared" si="19"/>
        <v>NA</v>
      </c>
      <c r="AG270" s="199" t="str">
        <f t="shared" si="18"/>
        <v>NÃO AVALIADO POR FALHA DE SINCRONISMO</v>
      </c>
      <c r="AH270" s="146" t="s">
        <v>204</v>
      </c>
      <c r="AI270" s="154" t="s">
        <v>6</v>
      </c>
      <c r="AJ270" s="151" t="str">
        <f t="shared" si="17"/>
        <v>GUARULHOS</v>
      </c>
      <c r="AK270" s="155" t="s">
        <v>59</v>
      </c>
      <c r="AL270" s="53">
        <v>-5.3800000000000001E-2</v>
      </c>
      <c r="AM270" s="53" t="str" cm="1">
        <f t="array" ref="AM270">IF(OR(O270&lt;&gt;"", SUMPRODUCT(($AN$2:$AN$561=AN270)*($AL$2:$AL$561&lt;=AL270)) &lt;= (COUNTIF($AN$2:$AN$561,AN270)*0.5)), "SORTEADO", "-")</f>
        <v>SORTEADO</v>
      </c>
      <c r="AN270" s="53" t="str">
        <f t="shared" si="16"/>
        <v>24/04/2026</v>
      </c>
    </row>
    <row r="271" spans="1:40" ht="30" hidden="1" customHeight="1" x14ac:dyDescent="0.2">
      <c r="A271" s="230" t="s">
        <v>197</v>
      </c>
      <c r="B271" s="230">
        <v>2616352451</v>
      </c>
      <c r="C271" s="230" t="s">
        <v>2701</v>
      </c>
      <c r="D271" s="230" t="s">
        <v>110</v>
      </c>
      <c r="E271" s="230" t="s">
        <v>198</v>
      </c>
      <c r="F271" s="230" t="s">
        <v>1727</v>
      </c>
      <c r="G271" s="230">
        <v>174</v>
      </c>
      <c r="H271" s="230" t="s">
        <v>3009</v>
      </c>
      <c r="I271" s="230" t="s">
        <v>356</v>
      </c>
      <c r="J271" s="230" t="s">
        <v>2703</v>
      </c>
      <c r="K271" s="237" t="s">
        <v>3007</v>
      </c>
      <c r="L271" s="230" t="s">
        <v>1888</v>
      </c>
      <c r="M271" s="230" t="s">
        <v>3001</v>
      </c>
      <c r="N271" s="230" t="s">
        <v>2705</v>
      </c>
      <c r="O271" s="158" t="s">
        <v>61</v>
      </c>
      <c r="P271" s="92"/>
      <c r="Q271" s="146" t="s">
        <v>61</v>
      </c>
      <c r="R271" s="92"/>
      <c r="S271" s="146" t="s">
        <v>61</v>
      </c>
      <c r="T271" s="92"/>
      <c r="U271" s="146" t="s">
        <v>61</v>
      </c>
      <c r="V271" s="92"/>
      <c r="W271" s="146" t="s">
        <v>61</v>
      </c>
      <c r="X271" s="92"/>
      <c r="Y271" s="146" t="s">
        <v>61</v>
      </c>
      <c r="Z271" s="92"/>
      <c r="AA271" s="146" t="s">
        <v>61</v>
      </c>
      <c r="AB271" s="92"/>
      <c r="AC271" s="146" t="s">
        <v>61</v>
      </c>
      <c r="AD271" s="92"/>
      <c r="AE271" s="146" t="s">
        <v>61</v>
      </c>
      <c r="AF271" s="143" t="str">
        <f t="shared" si="19"/>
        <v>NA</v>
      </c>
      <c r="AG271" s="199" t="str">
        <f t="shared" si="18"/>
        <v>NÃO AVALIADO POR FALHA DE SINCRONISMO</v>
      </c>
      <c r="AH271" s="146" t="s">
        <v>204</v>
      </c>
      <c r="AI271" s="154" t="s">
        <v>6</v>
      </c>
      <c r="AJ271" s="151" t="str">
        <f t="shared" si="17"/>
        <v>GUARULHOS</v>
      </c>
      <c r="AK271" s="155" t="s">
        <v>59</v>
      </c>
      <c r="AL271" s="53">
        <v>-5.3999999999999999E-2</v>
      </c>
      <c r="AM271" s="53" t="str" cm="1">
        <f t="array" ref="AM271">IF(OR(O271&lt;&gt;"", SUMPRODUCT(($AN$2:$AN$561=AN271)*($AL$2:$AL$561&lt;=AL271)) &lt;= (COUNTIF($AN$2:$AN$561,AN271)*0.5)), "SORTEADO", "-")</f>
        <v>SORTEADO</v>
      </c>
      <c r="AN271" s="53" t="str">
        <f t="shared" si="16"/>
        <v>24/04/2026</v>
      </c>
    </row>
    <row r="272" spans="1:40" ht="30" hidden="1" customHeight="1" x14ac:dyDescent="0.2">
      <c r="A272" s="230" t="s">
        <v>197</v>
      </c>
      <c r="B272" s="230">
        <v>2616354071</v>
      </c>
      <c r="C272" s="230" t="s">
        <v>2701</v>
      </c>
      <c r="D272" s="230" t="s">
        <v>110</v>
      </c>
      <c r="E272" s="230" t="s">
        <v>198</v>
      </c>
      <c r="F272" s="230" t="s">
        <v>1727</v>
      </c>
      <c r="G272" s="230">
        <v>166</v>
      </c>
      <c r="H272" s="230" t="s">
        <v>3010</v>
      </c>
      <c r="I272" s="230" t="s">
        <v>356</v>
      </c>
      <c r="J272" s="230" t="s">
        <v>2703</v>
      </c>
      <c r="K272" s="237" t="s">
        <v>3007</v>
      </c>
      <c r="L272" s="230" t="s">
        <v>1888</v>
      </c>
      <c r="M272" s="230" t="s">
        <v>3001</v>
      </c>
      <c r="N272" s="230" t="s">
        <v>2705</v>
      </c>
      <c r="O272" s="158" t="s">
        <v>61</v>
      </c>
      <c r="P272" s="92"/>
      <c r="Q272" s="146" t="s">
        <v>61</v>
      </c>
      <c r="R272" s="92"/>
      <c r="S272" s="146" t="s">
        <v>61</v>
      </c>
      <c r="T272" s="92"/>
      <c r="U272" s="146" t="s">
        <v>61</v>
      </c>
      <c r="V272" s="92"/>
      <c r="W272" s="146" t="s">
        <v>61</v>
      </c>
      <c r="X272" s="92"/>
      <c r="Y272" s="146" t="s">
        <v>61</v>
      </c>
      <c r="Z272" s="92"/>
      <c r="AA272" s="146" t="s">
        <v>61</v>
      </c>
      <c r="AB272" s="92"/>
      <c r="AC272" s="146" t="s">
        <v>61</v>
      </c>
      <c r="AD272" s="92"/>
      <c r="AE272" s="146" t="s">
        <v>61</v>
      </c>
      <c r="AF272" s="143" t="str">
        <f t="shared" si="19"/>
        <v>NA</v>
      </c>
      <c r="AG272" s="199" t="str">
        <f t="shared" si="18"/>
        <v>NÃO AVALIADO POR FALHA DE SINCRONISMO</v>
      </c>
      <c r="AH272" s="146" t="s">
        <v>204</v>
      </c>
      <c r="AI272" s="154" t="s">
        <v>6</v>
      </c>
      <c r="AJ272" s="151" t="str">
        <f t="shared" si="17"/>
        <v>GUARULHOS</v>
      </c>
      <c r="AK272" s="155" t="s">
        <v>59</v>
      </c>
      <c r="AL272" s="53">
        <v>-5.4199999999999998E-2</v>
      </c>
      <c r="AM272" s="53" t="str" cm="1">
        <f t="array" ref="AM272">IF(OR(O272&lt;&gt;"", SUMPRODUCT(($AN$2:$AN$561=AN272)*($AL$2:$AL$561&lt;=AL272)) &lt;= (COUNTIF($AN$2:$AN$561,AN272)*0.5)), "SORTEADO", "-")</f>
        <v>SORTEADO</v>
      </c>
      <c r="AN272" s="53" t="str">
        <f t="shared" si="16"/>
        <v>24/04/2026</v>
      </c>
    </row>
    <row r="273" spans="1:40" ht="30" hidden="1" customHeight="1" x14ac:dyDescent="0.2">
      <c r="A273" s="230" t="s">
        <v>197</v>
      </c>
      <c r="B273" s="230">
        <v>2616356368</v>
      </c>
      <c r="C273" s="230" t="s">
        <v>2701</v>
      </c>
      <c r="D273" s="230" t="s">
        <v>110</v>
      </c>
      <c r="E273" s="230" t="s">
        <v>198</v>
      </c>
      <c r="F273" s="230" t="s">
        <v>1727</v>
      </c>
      <c r="G273" s="230">
        <v>157</v>
      </c>
      <c r="H273" s="230" t="s">
        <v>3011</v>
      </c>
      <c r="I273" s="230" t="s">
        <v>356</v>
      </c>
      <c r="J273" s="230" t="s">
        <v>2703</v>
      </c>
      <c r="K273" s="237" t="s">
        <v>3007</v>
      </c>
      <c r="L273" s="230" t="s">
        <v>1888</v>
      </c>
      <c r="M273" s="230" t="s">
        <v>3001</v>
      </c>
      <c r="N273" s="230" t="s">
        <v>2705</v>
      </c>
      <c r="O273" s="158" t="s">
        <v>61</v>
      </c>
      <c r="P273" s="92"/>
      <c r="Q273" s="146" t="s">
        <v>61</v>
      </c>
      <c r="R273" s="92"/>
      <c r="S273" s="146" t="s">
        <v>61</v>
      </c>
      <c r="T273" s="92"/>
      <c r="U273" s="146" t="s">
        <v>61</v>
      </c>
      <c r="V273" s="92"/>
      <c r="W273" s="146" t="s">
        <v>61</v>
      </c>
      <c r="X273" s="92"/>
      <c r="Y273" s="146" t="s">
        <v>61</v>
      </c>
      <c r="Z273" s="92"/>
      <c r="AA273" s="146" t="s">
        <v>61</v>
      </c>
      <c r="AB273" s="92"/>
      <c r="AC273" s="146" t="s">
        <v>61</v>
      </c>
      <c r="AD273" s="92"/>
      <c r="AE273" s="146" t="s">
        <v>61</v>
      </c>
      <c r="AF273" s="143" t="str">
        <f t="shared" si="19"/>
        <v>NA</v>
      </c>
      <c r="AG273" s="199" t="str">
        <f t="shared" si="18"/>
        <v>NÃO AVALIADO POR FALHA DE SINCRONISMO</v>
      </c>
      <c r="AH273" s="146" t="s">
        <v>204</v>
      </c>
      <c r="AI273" s="154" t="s">
        <v>6</v>
      </c>
      <c r="AJ273" s="151" t="str">
        <f t="shared" si="17"/>
        <v>GUARULHOS</v>
      </c>
      <c r="AK273" s="155" t="s">
        <v>59</v>
      </c>
      <c r="AL273" s="53">
        <v>-5.4399999999999997E-2</v>
      </c>
      <c r="AM273" s="53" t="str" cm="1">
        <f t="array" ref="AM273">IF(OR(O273&lt;&gt;"", SUMPRODUCT(($AN$2:$AN$561=AN273)*($AL$2:$AL$561&lt;=AL273)) &lt;= (COUNTIF($AN$2:$AN$561,AN273)*0.5)), "SORTEADO", "-")</f>
        <v>SORTEADO</v>
      </c>
      <c r="AN273" s="53" t="str">
        <f t="shared" si="16"/>
        <v>24/04/2026</v>
      </c>
    </row>
    <row r="274" spans="1:40" ht="30" hidden="1" customHeight="1" x14ac:dyDescent="0.2">
      <c r="A274" s="230" t="s">
        <v>197</v>
      </c>
      <c r="B274" s="230">
        <v>2616355686</v>
      </c>
      <c r="C274" s="230" t="s">
        <v>2701</v>
      </c>
      <c r="D274" s="230" t="s">
        <v>110</v>
      </c>
      <c r="E274" s="230" t="s">
        <v>198</v>
      </c>
      <c r="F274" s="230" t="s">
        <v>1727</v>
      </c>
      <c r="G274" s="230">
        <v>154</v>
      </c>
      <c r="H274" s="230" t="s">
        <v>3012</v>
      </c>
      <c r="I274" s="230" t="s">
        <v>356</v>
      </c>
      <c r="J274" s="230" t="s">
        <v>2703</v>
      </c>
      <c r="K274" s="237" t="s">
        <v>3007</v>
      </c>
      <c r="L274" s="230" t="s">
        <v>1888</v>
      </c>
      <c r="M274" s="230" t="s">
        <v>3001</v>
      </c>
      <c r="N274" s="230" t="s">
        <v>2705</v>
      </c>
      <c r="O274" s="158" t="s">
        <v>61</v>
      </c>
      <c r="P274" s="92"/>
      <c r="Q274" s="146" t="s">
        <v>61</v>
      </c>
      <c r="R274" s="92"/>
      <c r="S274" s="146" t="s">
        <v>61</v>
      </c>
      <c r="T274" s="92"/>
      <c r="U274" s="146" t="s">
        <v>61</v>
      </c>
      <c r="V274" s="92"/>
      <c r="W274" s="146" t="s">
        <v>61</v>
      </c>
      <c r="X274" s="92"/>
      <c r="Y274" s="146" t="s">
        <v>61</v>
      </c>
      <c r="Z274" s="92"/>
      <c r="AA274" s="146" t="s">
        <v>61</v>
      </c>
      <c r="AB274" s="92"/>
      <c r="AC274" s="146" t="s">
        <v>61</v>
      </c>
      <c r="AD274" s="92"/>
      <c r="AE274" s="146" t="s">
        <v>61</v>
      </c>
      <c r="AF274" s="143" t="str">
        <f t="shared" si="19"/>
        <v>NA</v>
      </c>
      <c r="AG274" s="199" t="str">
        <f t="shared" si="18"/>
        <v>NÃO AVALIADO POR FALHA DE SINCRONISMO</v>
      </c>
      <c r="AH274" s="146" t="s">
        <v>204</v>
      </c>
      <c r="AI274" s="154" t="s">
        <v>6</v>
      </c>
      <c r="AJ274" s="151" t="str">
        <f t="shared" si="17"/>
        <v>GUARULHOS</v>
      </c>
      <c r="AK274" s="155" t="s">
        <v>59</v>
      </c>
      <c r="AL274" s="53">
        <v>-5.4600000000000003E-2</v>
      </c>
      <c r="AM274" s="53" t="str" cm="1">
        <f t="array" ref="AM274">IF(OR(O274&lt;&gt;"", SUMPRODUCT(($AN$2:$AN$561=AN274)*($AL$2:$AL$561&lt;=AL274)) &lt;= (COUNTIF($AN$2:$AN$561,AN274)*0.5)), "SORTEADO", "-")</f>
        <v>SORTEADO</v>
      </c>
      <c r="AN274" s="53" t="str">
        <f t="shared" si="16"/>
        <v>24/04/2026</v>
      </c>
    </row>
    <row r="275" spans="1:40" ht="30" hidden="1" customHeight="1" x14ac:dyDescent="0.2">
      <c r="A275" s="230" t="s">
        <v>197</v>
      </c>
      <c r="B275" s="230">
        <v>2616355383</v>
      </c>
      <c r="C275" s="230" t="s">
        <v>2701</v>
      </c>
      <c r="D275" s="230" t="s">
        <v>110</v>
      </c>
      <c r="E275" s="230" t="s">
        <v>198</v>
      </c>
      <c r="F275" s="230" t="s">
        <v>1727</v>
      </c>
      <c r="G275" s="230">
        <v>154</v>
      </c>
      <c r="H275" s="230" t="s">
        <v>733</v>
      </c>
      <c r="I275" s="230" t="s">
        <v>356</v>
      </c>
      <c r="J275" s="230" t="s">
        <v>2703</v>
      </c>
      <c r="K275" s="237" t="s">
        <v>3007</v>
      </c>
      <c r="L275" s="230" t="s">
        <v>1888</v>
      </c>
      <c r="M275" s="230" t="s">
        <v>3001</v>
      </c>
      <c r="N275" s="230" t="s">
        <v>2705</v>
      </c>
      <c r="O275" s="158" t="s">
        <v>61</v>
      </c>
      <c r="P275" s="92"/>
      <c r="Q275" s="146" t="s">
        <v>61</v>
      </c>
      <c r="R275" s="92"/>
      <c r="S275" s="146" t="s">
        <v>61</v>
      </c>
      <c r="T275" s="92"/>
      <c r="U275" s="146" t="s">
        <v>61</v>
      </c>
      <c r="V275" s="92"/>
      <c r="W275" s="146" t="s">
        <v>61</v>
      </c>
      <c r="X275" s="92"/>
      <c r="Y275" s="146" t="s">
        <v>61</v>
      </c>
      <c r="Z275" s="92"/>
      <c r="AA275" s="146" t="s">
        <v>61</v>
      </c>
      <c r="AB275" s="92"/>
      <c r="AC275" s="146" t="s">
        <v>61</v>
      </c>
      <c r="AD275" s="92"/>
      <c r="AE275" s="146" t="s">
        <v>61</v>
      </c>
      <c r="AF275" s="143" t="str">
        <f t="shared" si="19"/>
        <v>NA</v>
      </c>
      <c r="AG275" s="199" t="str">
        <f t="shared" si="18"/>
        <v>NÃO AVALIADO POR FALHA DE SINCRONISMO</v>
      </c>
      <c r="AH275" s="146" t="s">
        <v>204</v>
      </c>
      <c r="AI275" s="154" t="s">
        <v>6</v>
      </c>
      <c r="AJ275" s="151" t="str">
        <f t="shared" si="17"/>
        <v>GUARULHOS</v>
      </c>
      <c r="AK275" s="155" t="s">
        <v>59</v>
      </c>
      <c r="AL275" s="53">
        <v>-5.4800000000000001E-2</v>
      </c>
      <c r="AM275" s="53" t="str" cm="1">
        <f t="array" ref="AM275">IF(OR(O275&lt;&gt;"", SUMPRODUCT(($AN$2:$AN$561=AN275)*($AL$2:$AL$561&lt;=AL275)) &lt;= (COUNTIF($AN$2:$AN$561,AN275)*0.5)), "SORTEADO", "-")</f>
        <v>SORTEADO</v>
      </c>
      <c r="AN275" s="53" t="str">
        <f t="shared" si="16"/>
        <v>24/04/2026</v>
      </c>
    </row>
    <row r="276" spans="1:40" ht="30" hidden="1" customHeight="1" x14ac:dyDescent="0.2">
      <c r="A276" s="230" t="s">
        <v>197</v>
      </c>
      <c r="B276" s="230">
        <v>2616356812</v>
      </c>
      <c r="C276" s="230" t="s">
        <v>2701</v>
      </c>
      <c r="D276" s="230" t="s">
        <v>110</v>
      </c>
      <c r="E276" s="230" t="s">
        <v>198</v>
      </c>
      <c r="F276" s="230" t="s">
        <v>1727</v>
      </c>
      <c r="G276" s="230">
        <v>151</v>
      </c>
      <c r="H276" s="230" t="s">
        <v>213</v>
      </c>
      <c r="I276" s="230" t="s">
        <v>356</v>
      </c>
      <c r="J276" s="230" t="s">
        <v>2703</v>
      </c>
      <c r="K276" s="237" t="s">
        <v>3007</v>
      </c>
      <c r="L276" s="230" t="s">
        <v>1888</v>
      </c>
      <c r="M276" s="230" t="s">
        <v>3001</v>
      </c>
      <c r="N276" s="230" t="s">
        <v>2705</v>
      </c>
      <c r="O276" s="158" t="s">
        <v>61</v>
      </c>
      <c r="P276" s="92"/>
      <c r="Q276" s="146" t="s">
        <v>61</v>
      </c>
      <c r="R276" s="92"/>
      <c r="S276" s="146" t="s">
        <v>61</v>
      </c>
      <c r="T276" s="92"/>
      <c r="U276" s="146" t="s">
        <v>61</v>
      </c>
      <c r="V276" s="92"/>
      <c r="W276" s="146" t="s">
        <v>61</v>
      </c>
      <c r="X276" s="92"/>
      <c r="Y276" s="146" t="s">
        <v>61</v>
      </c>
      <c r="Z276" s="92"/>
      <c r="AA276" s="146" t="s">
        <v>61</v>
      </c>
      <c r="AB276" s="92"/>
      <c r="AC276" s="146" t="s">
        <v>61</v>
      </c>
      <c r="AD276" s="92"/>
      <c r="AE276" s="146" t="s">
        <v>61</v>
      </c>
      <c r="AF276" s="143" t="str">
        <f t="shared" si="19"/>
        <v>NA</v>
      </c>
      <c r="AG276" s="199" t="str">
        <f t="shared" si="18"/>
        <v>NÃO AVALIADO POR FALHA DE SINCRONISMO</v>
      </c>
      <c r="AH276" s="146" t="s">
        <v>204</v>
      </c>
      <c r="AI276" s="154" t="s">
        <v>6</v>
      </c>
      <c r="AJ276" s="151" t="str">
        <f t="shared" si="17"/>
        <v>GUARULHOS</v>
      </c>
      <c r="AK276" s="155" t="s">
        <v>59</v>
      </c>
      <c r="AL276" s="53">
        <v>-5.5E-2</v>
      </c>
      <c r="AM276" s="53" t="str" cm="1">
        <f t="array" ref="AM276">IF(OR(O276&lt;&gt;"", SUMPRODUCT(($AN$2:$AN$561=AN276)*($AL$2:$AL$561&lt;=AL276)) &lt;= (COUNTIF($AN$2:$AN$561,AN276)*0.5)), "SORTEADO", "-")</f>
        <v>SORTEADO</v>
      </c>
      <c r="AN276" s="53" t="str">
        <f t="shared" si="16"/>
        <v>24/04/2026</v>
      </c>
    </row>
    <row r="277" spans="1:40" ht="30" hidden="1" customHeight="1" x14ac:dyDescent="0.2">
      <c r="A277" s="230" t="s">
        <v>197</v>
      </c>
      <c r="B277" s="230">
        <v>2616358095</v>
      </c>
      <c r="C277" s="230" t="s">
        <v>2701</v>
      </c>
      <c r="D277" s="230" t="s">
        <v>110</v>
      </c>
      <c r="E277" s="230" t="s">
        <v>198</v>
      </c>
      <c r="F277" s="230" t="s">
        <v>1727</v>
      </c>
      <c r="G277" s="230">
        <v>146</v>
      </c>
      <c r="H277" s="230" t="s">
        <v>3013</v>
      </c>
      <c r="I277" s="230" t="s">
        <v>356</v>
      </c>
      <c r="J277" s="230" t="s">
        <v>2703</v>
      </c>
      <c r="K277" s="237" t="s">
        <v>3007</v>
      </c>
      <c r="L277" s="230" t="s">
        <v>1888</v>
      </c>
      <c r="M277" s="230" t="s">
        <v>3001</v>
      </c>
      <c r="N277" s="230" t="s">
        <v>2705</v>
      </c>
      <c r="O277" s="158" t="s">
        <v>61</v>
      </c>
      <c r="P277" s="92"/>
      <c r="Q277" s="146" t="s">
        <v>61</v>
      </c>
      <c r="R277" s="92"/>
      <c r="S277" s="146" t="s">
        <v>61</v>
      </c>
      <c r="T277" s="92"/>
      <c r="U277" s="146" t="s">
        <v>61</v>
      </c>
      <c r="V277" s="92"/>
      <c r="W277" s="146" t="s">
        <v>61</v>
      </c>
      <c r="X277" s="92"/>
      <c r="Y277" s="146" t="s">
        <v>61</v>
      </c>
      <c r="Z277" s="92"/>
      <c r="AA277" s="146" t="s">
        <v>61</v>
      </c>
      <c r="AB277" s="92"/>
      <c r="AC277" s="146" t="s">
        <v>61</v>
      </c>
      <c r="AD277" s="92"/>
      <c r="AE277" s="146" t="s">
        <v>61</v>
      </c>
      <c r="AF277" s="143" t="str">
        <f t="shared" si="19"/>
        <v>NA</v>
      </c>
      <c r="AG277" s="199" t="str">
        <f t="shared" si="18"/>
        <v>NÃO AVALIADO POR FALHA DE SINCRONISMO</v>
      </c>
      <c r="AH277" s="146" t="s">
        <v>204</v>
      </c>
      <c r="AI277" s="154" t="s">
        <v>6</v>
      </c>
      <c r="AJ277" s="151" t="str">
        <f t="shared" si="17"/>
        <v>GUARULHOS</v>
      </c>
      <c r="AK277" s="155" t="s">
        <v>59</v>
      </c>
      <c r="AL277" s="53">
        <v>-5.5199999999999999E-2</v>
      </c>
      <c r="AM277" s="53" t="str" cm="1">
        <f t="array" ref="AM277">IF(OR(O277&lt;&gt;"", SUMPRODUCT(($AN$2:$AN$561=AN277)*($AL$2:$AL$561&lt;=AL277)) &lt;= (COUNTIF($AN$2:$AN$561,AN277)*0.5)), "SORTEADO", "-")</f>
        <v>SORTEADO</v>
      </c>
      <c r="AN277" s="53" t="str">
        <f t="shared" ref="AN277:AN340" si="20">TEXT(L277, "dd/mm/aaaa")</f>
        <v>24/04/2026</v>
      </c>
    </row>
    <row r="278" spans="1:40" ht="30" hidden="1" customHeight="1" x14ac:dyDescent="0.2">
      <c r="A278" s="230" t="s">
        <v>197</v>
      </c>
      <c r="B278" s="230">
        <v>2616357727</v>
      </c>
      <c r="C278" s="230" t="s">
        <v>2701</v>
      </c>
      <c r="D278" s="230" t="s">
        <v>110</v>
      </c>
      <c r="E278" s="230" t="s">
        <v>198</v>
      </c>
      <c r="F278" s="230" t="s">
        <v>1727</v>
      </c>
      <c r="G278" s="230">
        <v>141</v>
      </c>
      <c r="H278" s="230" t="s">
        <v>213</v>
      </c>
      <c r="I278" s="230" t="s">
        <v>356</v>
      </c>
      <c r="J278" s="230" t="s">
        <v>2703</v>
      </c>
      <c r="K278" s="237" t="s">
        <v>3007</v>
      </c>
      <c r="L278" s="230" t="s">
        <v>1888</v>
      </c>
      <c r="M278" s="230" t="s">
        <v>3001</v>
      </c>
      <c r="N278" s="230" t="s">
        <v>2705</v>
      </c>
      <c r="O278" s="158" t="s">
        <v>61</v>
      </c>
      <c r="P278" s="92"/>
      <c r="Q278" s="146" t="s">
        <v>61</v>
      </c>
      <c r="R278" s="92"/>
      <c r="S278" s="146" t="s">
        <v>61</v>
      </c>
      <c r="T278" s="92"/>
      <c r="U278" s="146" t="s">
        <v>61</v>
      </c>
      <c r="V278" s="92"/>
      <c r="W278" s="146" t="s">
        <v>61</v>
      </c>
      <c r="X278" s="92"/>
      <c r="Y278" s="146" t="s">
        <v>61</v>
      </c>
      <c r="Z278" s="92"/>
      <c r="AA278" s="146" t="s">
        <v>61</v>
      </c>
      <c r="AB278" s="92"/>
      <c r="AC278" s="146" t="s">
        <v>61</v>
      </c>
      <c r="AD278" s="92"/>
      <c r="AE278" s="146" t="s">
        <v>61</v>
      </c>
      <c r="AF278" s="143" t="str">
        <f t="shared" si="19"/>
        <v>NA</v>
      </c>
      <c r="AG278" s="199" t="str">
        <f t="shared" si="18"/>
        <v>NÃO AVALIADO POR FALHA DE SINCRONISMO</v>
      </c>
      <c r="AH278" s="146" t="s">
        <v>204</v>
      </c>
      <c r="AI278" s="154" t="s">
        <v>6</v>
      </c>
      <c r="AJ278" s="151" t="str">
        <f t="shared" si="17"/>
        <v>GUARULHOS</v>
      </c>
      <c r="AK278" s="155" t="s">
        <v>59</v>
      </c>
      <c r="AL278" s="53">
        <v>-5.5399999999999998E-2</v>
      </c>
      <c r="AM278" s="53" t="str" cm="1">
        <f t="array" ref="AM278">IF(OR(O278&lt;&gt;"", SUMPRODUCT(($AN$2:$AN$561=AN278)*($AL$2:$AL$561&lt;=AL278)) &lt;= (COUNTIF($AN$2:$AN$561,AN278)*0.5)), "SORTEADO", "-")</f>
        <v>SORTEADO</v>
      </c>
      <c r="AN278" s="53" t="str">
        <f t="shared" si="20"/>
        <v>24/04/2026</v>
      </c>
    </row>
    <row r="279" spans="1:40" ht="30" hidden="1" customHeight="1" x14ac:dyDescent="0.2">
      <c r="A279" s="230" t="s">
        <v>197</v>
      </c>
      <c r="B279" s="230">
        <v>2616358774</v>
      </c>
      <c r="C279" s="230" t="s">
        <v>2701</v>
      </c>
      <c r="D279" s="230" t="s">
        <v>110</v>
      </c>
      <c r="E279" s="230" t="s">
        <v>198</v>
      </c>
      <c r="F279" s="230" t="s">
        <v>1727</v>
      </c>
      <c r="G279" s="230">
        <v>138</v>
      </c>
      <c r="H279" s="230" t="s">
        <v>2329</v>
      </c>
      <c r="I279" s="230" t="s">
        <v>356</v>
      </c>
      <c r="J279" s="230" t="s">
        <v>2703</v>
      </c>
      <c r="K279" s="237" t="s">
        <v>3007</v>
      </c>
      <c r="L279" s="230" t="s">
        <v>1888</v>
      </c>
      <c r="M279" s="230" t="s">
        <v>3001</v>
      </c>
      <c r="N279" s="230" t="s">
        <v>2705</v>
      </c>
      <c r="O279" s="158" t="s">
        <v>61</v>
      </c>
      <c r="P279" s="92"/>
      <c r="Q279" s="146" t="s">
        <v>61</v>
      </c>
      <c r="R279" s="92"/>
      <c r="S279" s="146" t="s">
        <v>61</v>
      </c>
      <c r="T279" s="92"/>
      <c r="U279" s="146" t="s">
        <v>61</v>
      </c>
      <c r="V279" s="92"/>
      <c r="W279" s="146" t="s">
        <v>61</v>
      </c>
      <c r="X279" s="92"/>
      <c r="Y279" s="146" t="s">
        <v>61</v>
      </c>
      <c r="Z279" s="92"/>
      <c r="AA279" s="146" t="s">
        <v>61</v>
      </c>
      <c r="AB279" s="92"/>
      <c r="AC279" s="146" t="s">
        <v>61</v>
      </c>
      <c r="AD279" s="92"/>
      <c r="AE279" s="146" t="s">
        <v>61</v>
      </c>
      <c r="AF279" s="143" t="str">
        <f t="shared" si="19"/>
        <v>NA</v>
      </c>
      <c r="AG279" s="199" t="str">
        <f t="shared" si="18"/>
        <v>NÃO AVALIADO POR FALHA DE SINCRONISMO</v>
      </c>
      <c r="AH279" s="146" t="s">
        <v>204</v>
      </c>
      <c r="AI279" s="154" t="s">
        <v>6</v>
      </c>
      <c r="AJ279" s="151" t="str">
        <f t="shared" si="17"/>
        <v>GUARULHOS</v>
      </c>
      <c r="AK279" s="155" t="s">
        <v>59</v>
      </c>
      <c r="AL279" s="53">
        <v>-5.5599999999999997E-2</v>
      </c>
      <c r="AM279" s="53" t="str" cm="1">
        <f t="array" ref="AM279">IF(OR(O279&lt;&gt;"", SUMPRODUCT(($AN$2:$AN$561=AN279)*($AL$2:$AL$561&lt;=AL279)) &lt;= (COUNTIF($AN$2:$AN$561,AN279)*0.5)), "SORTEADO", "-")</f>
        <v>SORTEADO</v>
      </c>
      <c r="AN279" s="53" t="str">
        <f t="shared" si="20"/>
        <v>24/04/2026</v>
      </c>
    </row>
    <row r="280" spans="1:40" ht="30" hidden="1" customHeight="1" x14ac:dyDescent="0.2">
      <c r="A280" s="230" t="s">
        <v>197</v>
      </c>
      <c r="B280" s="230">
        <v>2616358631</v>
      </c>
      <c r="C280" s="230" t="s">
        <v>2701</v>
      </c>
      <c r="D280" s="230" t="s">
        <v>110</v>
      </c>
      <c r="E280" s="230" t="s">
        <v>198</v>
      </c>
      <c r="F280" s="230" t="s">
        <v>1727</v>
      </c>
      <c r="G280" s="230">
        <v>131</v>
      </c>
      <c r="H280" s="230" t="s">
        <v>3014</v>
      </c>
      <c r="I280" s="230" t="s">
        <v>356</v>
      </c>
      <c r="J280" s="230" t="s">
        <v>2703</v>
      </c>
      <c r="K280" s="237" t="s">
        <v>3007</v>
      </c>
      <c r="L280" s="230" t="s">
        <v>1888</v>
      </c>
      <c r="M280" s="230" t="s">
        <v>3001</v>
      </c>
      <c r="N280" s="230" t="s">
        <v>2705</v>
      </c>
      <c r="O280" s="158" t="s">
        <v>61</v>
      </c>
      <c r="P280" s="92"/>
      <c r="Q280" s="146" t="s">
        <v>61</v>
      </c>
      <c r="R280" s="92"/>
      <c r="S280" s="146" t="s">
        <v>61</v>
      </c>
      <c r="T280" s="92"/>
      <c r="U280" s="146" t="s">
        <v>61</v>
      </c>
      <c r="V280" s="92"/>
      <c r="W280" s="146" t="s">
        <v>61</v>
      </c>
      <c r="X280" s="92"/>
      <c r="Y280" s="146" t="s">
        <v>61</v>
      </c>
      <c r="Z280" s="92"/>
      <c r="AA280" s="146" t="s">
        <v>61</v>
      </c>
      <c r="AB280" s="92"/>
      <c r="AC280" s="146" t="s">
        <v>61</v>
      </c>
      <c r="AD280" s="92"/>
      <c r="AE280" s="146" t="s">
        <v>61</v>
      </c>
      <c r="AF280" s="143" t="str">
        <f t="shared" si="19"/>
        <v>NA</v>
      </c>
      <c r="AG280" s="199" t="str">
        <f t="shared" si="18"/>
        <v>NÃO AVALIADO POR FALHA DE SINCRONISMO</v>
      </c>
      <c r="AH280" s="146" t="s">
        <v>204</v>
      </c>
      <c r="AI280" s="154" t="s">
        <v>6</v>
      </c>
      <c r="AJ280" s="151" t="str">
        <f t="shared" si="17"/>
        <v>GUARULHOS</v>
      </c>
      <c r="AK280" s="155" t="s">
        <v>59</v>
      </c>
      <c r="AL280" s="53">
        <v>-5.5800000000000002E-2</v>
      </c>
      <c r="AM280" s="53" t="str" cm="1">
        <f t="array" ref="AM280">IF(OR(O280&lt;&gt;"", SUMPRODUCT(($AN$2:$AN$561=AN280)*($AL$2:$AL$561&lt;=AL280)) &lt;= (COUNTIF($AN$2:$AN$561,AN280)*0.5)), "SORTEADO", "-")</f>
        <v>SORTEADO</v>
      </c>
      <c r="AN280" s="53" t="str">
        <f t="shared" si="20"/>
        <v>24/04/2026</v>
      </c>
    </row>
    <row r="281" spans="1:40" ht="30" hidden="1" customHeight="1" x14ac:dyDescent="0.2">
      <c r="A281" s="230" t="s">
        <v>197</v>
      </c>
      <c r="B281" s="230">
        <v>2613870195</v>
      </c>
      <c r="C281" s="230" t="s">
        <v>3015</v>
      </c>
      <c r="D281" s="230" t="s">
        <v>112</v>
      </c>
      <c r="E281" s="230" t="s">
        <v>198</v>
      </c>
      <c r="F281" s="230" t="s">
        <v>386</v>
      </c>
      <c r="G281" s="230">
        <v>94</v>
      </c>
      <c r="H281" s="230" t="s">
        <v>2786</v>
      </c>
      <c r="I281" s="230" t="s">
        <v>262</v>
      </c>
      <c r="J281" s="230" t="s">
        <v>3016</v>
      </c>
      <c r="K281" s="230" t="s">
        <v>3017</v>
      </c>
      <c r="L281" s="230" t="s">
        <v>1888</v>
      </c>
      <c r="M281" s="230" t="s">
        <v>3001</v>
      </c>
      <c r="N281" s="230" t="s">
        <v>2707</v>
      </c>
      <c r="O281" s="158"/>
      <c r="P281" s="92"/>
      <c r="Q281" s="146"/>
      <c r="R281" s="92"/>
      <c r="S281" s="146"/>
      <c r="T281" s="92"/>
      <c r="U281" s="146"/>
      <c r="V281" s="92"/>
      <c r="W281" s="146"/>
      <c r="X281" s="92"/>
      <c r="Y281" s="146"/>
      <c r="Z281" s="92"/>
      <c r="AA281" s="146"/>
      <c r="AB281" s="92"/>
      <c r="AC281" s="146"/>
      <c r="AD281" s="92"/>
      <c r="AE281" s="146"/>
      <c r="AF281" s="143" t="str">
        <f t="shared" si="19"/>
        <v/>
      </c>
      <c r="AG281" s="199" t="b">
        <f t="shared" si="18"/>
        <v>0</v>
      </c>
      <c r="AH281" s="146"/>
      <c r="AI281" s="154" t="s">
        <v>6</v>
      </c>
      <c r="AJ281" s="151" t="str">
        <f t="shared" si="17"/>
        <v>GUARULHOS</v>
      </c>
      <c r="AK281" s="155" t="s">
        <v>59</v>
      </c>
      <c r="AL281" s="53">
        <v>0.54552119726569537</v>
      </c>
      <c r="AM281" s="53" t="str" cm="1">
        <f t="array" ref="AM281">IF(OR(O281&lt;&gt;"", SUMPRODUCT(($AN$2:$AN$561=AN281)*($AL$2:$AL$561&lt;=AL281)) &lt;= (COUNTIF($AN$2:$AN$561,AN281)*0.5)), "SORTEADO", "-")</f>
        <v>-</v>
      </c>
      <c r="AN281" s="53" t="str">
        <f t="shared" si="20"/>
        <v>24/04/2026</v>
      </c>
    </row>
    <row r="282" spans="1:40" ht="30" hidden="1" customHeight="1" x14ac:dyDescent="0.2">
      <c r="A282" s="230" t="s">
        <v>197</v>
      </c>
      <c r="B282" s="230">
        <v>2617322601</v>
      </c>
      <c r="C282" s="230" t="s">
        <v>122</v>
      </c>
      <c r="D282" s="230" t="s">
        <v>108</v>
      </c>
      <c r="E282" s="230" t="s">
        <v>198</v>
      </c>
      <c r="F282" s="230" t="s">
        <v>2997</v>
      </c>
      <c r="G282" s="230">
        <v>151</v>
      </c>
      <c r="H282" s="230" t="s">
        <v>206</v>
      </c>
      <c r="I282" s="230" t="s">
        <v>683</v>
      </c>
      <c r="J282" s="230" t="s">
        <v>2633</v>
      </c>
      <c r="K282" s="230" t="s">
        <v>3018</v>
      </c>
      <c r="L282" s="230" t="s">
        <v>1888</v>
      </c>
      <c r="M282" s="230" t="s">
        <v>3019</v>
      </c>
      <c r="N282" s="230" t="s">
        <v>2640</v>
      </c>
      <c r="O282" s="158"/>
      <c r="P282" s="92"/>
      <c r="Q282" s="146"/>
      <c r="R282" s="92"/>
      <c r="S282" s="146"/>
      <c r="T282" s="92"/>
      <c r="U282" s="146"/>
      <c r="V282" s="92"/>
      <c r="W282" s="146"/>
      <c r="X282" s="92"/>
      <c r="Y282" s="146"/>
      <c r="Z282" s="92"/>
      <c r="AA282" s="146"/>
      <c r="AB282" s="92"/>
      <c r="AC282" s="146"/>
      <c r="AD282" s="92"/>
      <c r="AE282" s="146"/>
      <c r="AF282" s="143" t="str">
        <f t="shared" si="19"/>
        <v/>
      </c>
      <c r="AG282" s="199" t="b">
        <f t="shared" si="18"/>
        <v>0</v>
      </c>
      <c r="AH282" s="146"/>
      <c r="AI282" s="154" t="s">
        <v>6</v>
      </c>
      <c r="AJ282" s="151" t="str">
        <f t="shared" si="17"/>
        <v>GUARULHOS</v>
      </c>
      <c r="AK282" s="155" t="s">
        <v>59</v>
      </c>
      <c r="AL282" s="53">
        <v>0.46335176712701631</v>
      </c>
      <c r="AM282" s="53" t="str" cm="1">
        <f t="array" ref="AM282">IF(OR(O282&lt;&gt;"", SUMPRODUCT(($AN$2:$AN$561=AN282)*($AL$2:$AL$561&lt;=AL282)) &lt;= (COUNTIF($AN$2:$AN$561,AN282)*0.5)), "SORTEADO", "-")</f>
        <v>-</v>
      </c>
      <c r="AN282" s="53" t="str">
        <f t="shared" si="20"/>
        <v>24/04/2026</v>
      </c>
    </row>
    <row r="283" spans="1:40" ht="30" hidden="1" customHeight="1" x14ac:dyDescent="0.2">
      <c r="A283" s="230" t="s">
        <v>197</v>
      </c>
      <c r="B283" s="230">
        <v>2616901844</v>
      </c>
      <c r="C283" s="230" t="s">
        <v>122</v>
      </c>
      <c r="D283" s="230" t="s">
        <v>108</v>
      </c>
      <c r="E283" s="230" t="s">
        <v>198</v>
      </c>
      <c r="F283" s="230" t="s">
        <v>2997</v>
      </c>
      <c r="G283" s="230">
        <v>142</v>
      </c>
      <c r="H283" s="230" t="s">
        <v>213</v>
      </c>
      <c r="I283" s="230" t="s">
        <v>683</v>
      </c>
      <c r="J283" s="230" t="s">
        <v>2633</v>
      </c>
      <c r="K283" s="230" t="s">
        <v>2731</v>
      </c>
      <c r="L283" s="230" t="s">
        <v>1888</v>
      </c>
      <c r="M283" s="230" t="s">
        <v>3020</v>
      </c>
      <c r="N283" s="230" t="s">
        <v>2640</v>
      </c>
      <c r="O283" s="158"/>
      <c r="P283" s="92"/>
      <c r="Q283" s="146"/>
      <c r="R283" s="92"/>
      <c r="S283" s="146"/>
      <c r="T283" s="92"/>
      <c r="U283" s="146"/>
      <c r="V283" s="92"/>
      <c r="W283" s="146"/>
      <c r="X283" s="92"/>
      <c r="Y283" s="146"/>
      <c r="Z283" s="92"/>
      <c r="AA283" s="146"/>
      <c r="AB283" s="92"/>
      <c r="AC283" s="146"/>
      <c r="AD283" s="92"/>
      <c r="AE283" s="146"/>
      <c r="AF283" s="143" t="str">
        <f t="shared" si="19"/>
        <v/>
      </c>
      <c r="AG283" s="199" t="b">
        <f t="shared" si="18"/>
        <v>0</v>
      </c>
      <c r="AH283" s="146"/>
      <c r="AI283" s="154" t="s">
        <v>6</v>
      </c>
      <c r="AJ283" s="151" t="str">
        <f t="shared" si="17"/>
        <v>GUARULHOS</v>
      </c>
      <c r="AK283" s="155" t="s">
        <v>59</v>
      </c>
      <c r="AL283" s="53">
        <v>0.52302686240010532</v>
      </c>
      <c r="AM283" s="53" t="str" cm="1">
        <f t="array" ref="AM283">IF(OR(O283&lt;&gt;"", SUMPRODUCT(($AN$2:$AN$561=AN283)*($AL$2:$AL$561&lt;=AL283)) &lt;= (COUNTIF($AN$2:$AN$561,AN283)*0.5)), "SORTEADO", "-")</f>
        <v>-</v>
      </c>
      <c r="AN283" s="53" t="str">
        <f t="shared" si="20"/>
        <v>24/04/2026</v>
      </c>
    </row>
    <row r="284" spans="1:40" ht="30" hidden="1" customHeight="1" x14ac:dyDescent="0.2">
      <c r="A284" s="230" t="s">
        <v>197</v>
      </c>
      <c r="B284" s="230">
        <v>2617308666</v>
      </c>
      <c r="C284" s="230" t="s">
        <v>122</v>
      </c>
      <c r="D284" s="230" t="s">
        <v>108</v>
      </c>
      <c r="E284" s="230" t="s">
        <v>198</v>
      </c>
      <c r="F284" s="230" t="s">
        <v>512</v>
      </c>
      <c r="G284" s="230">
        <v>226</v>
      </c>
      <c r="H284" s="230"/>
      <c r="I284" s="230" t="s">
        <v>1584</v>
      </c>
      <c r="J284" s="230" t="s">
        <v>2633</v>
      </c>
      <c r="K284" s="230" t="s">
        <v>3021</v>
      </c>
      <c r="L284" s="230" t="s">
        <v>2065</v>
      </c>
      <c r="M284" s="230" t="s">
        <v>3022</v>
      </c>
      <c r="N284" s="230" t="s">
        <v>2646</v>
      </c>
      <c r="O284" s="158"/>
      <c r="P284" s="92"/>
      <c r="Q284" s="146"/>
      <c r="R284" s="92"/>
      <c r="S284" s="146"/>
      <c r="T284" s="92"/>
      <c r="U284" s="146"/>
      <c r="V284" s="92"/>
      <c r="W284" s="146"/>
      <c r="X284" s="92"/>
      <c r="Y284" s="146"/>
      <c r="Z284" s="92"/>
      <c r="AA284" s="146"/>
      <c r="AB284" s="92"/>
      <c r="AC284" s="146"/>
      <c r="AD284" s="92"/>
      <c r="AE284" s="146"/>
      <c r="AF284" s="143" t="str">
        <f t="shared" si="19"/>
        <v/>
      </c>
      <c r="AG284" s="199" t="b">
        <f t="shared" si="18"/>
        <v>0</v>
      </c>
      <c r="AH284" s="146"/>
      <c r="AI284" s="154" t="s">
        <v>6</v>
      </c>
      <c r="AJ284" s="151" t="str">
        <f t="shared" si="17"/>
        <v>GUARULHOS</v>
      </c>
      <c r="AK284" s="155" t="s">
        <v>59</v>
      </c>
      <c r="AL284" s="53">
        <v>1.5338186874269688E-4</v>
      </c>
      <c r="AM284" s="53" t="str" cm="1">
        <f t="array" ref="AM284">IF(OR(O284&lt;&gt;"", SUMPRODUCT(($AN$2:$AN$561=AN284)*($AL$2:$AL$561&lt;=AL284)) &lt;= (COUNTIF($AN$2:$AN$561,AN284)*0.5)), "SORTEADO", "-")</f>
        <v>-</v>
      </c>
      <c r="AN284" s="53" t="str">
        <f t="shared" si="20"/>
        <v>25/04/2026</v>
      </c>
    </row>
    <row r="285" spans="1:40" ht="30" customHeight="1" x14ac:dyDescent="0.2">
      <c r="A285" s="230" t="s">
        <v>197</v>
      </c>
      <c r="B285" s="230">
        <v>2617330291</v>
      </c>
      <c r="C285" s="230" t="s">
        <v>120</v>
      </c>
      <c r="D285" s="230" t="s">
        <v>111</v>
      </c>
      <c r="E285" s="230" t="s">
        <v>198</v>
      </c>
      <c r="F285" s="230" t="s">
        <v>585</v>
      </c>
      <c r="G285" s="230">
        <v>1050</v>
      </c>
      <c r="H285" s="230" t="s">
        <v>3023</v>
      </c>
      <c r="I285" s="230" t="s">
        <v>247</v>
      </c>
      <c r="J285" s="230" t="s">
        <v>2688</v>
      </c>
      <c r="K285" s="230" t="s">
        <v>3024</v>
      </c>
      <c r="L285" s="230" t="s">
        <v>1935</v>
      </c>
      <c r="M285" s="230" t="s">
        <v>2055</v>
      </c>
      <c r="N285" s="230" t="s">
        <v>2132</v>
      </c>
      <c r="O285" s="158"/>
      <c r="P285" s="92"/>
      <c r="Q285" s="146"/>
      <c r="R285" s="92"/>
      <c r="S285" s="146"/>
      <c r="T285" s="92"/>
      <c r="U285" s="146"/>
      <c r="V285" s="92"/>
      <c r="W285" s="146"/>
      <c r="X285" s="92"/>
      <c r="Y285" s="146"/>
      <c r="Z285" s="92"/>
      <c r="AA285" s="146"/>
      <c r="AB285" s="92"/>
      <c r="AC285" s="146"/>
      <c r="AD285" s="92"/>
      <c r="AE285" s="146"/>
      <c r="AF285" s="143" t="str">
        <f t="shared" si="19"/>
        <v/>
      </c>
      <c r="AG285" s="199" t="b">
        <f t="shared" si="18"/>
        <v>0</v>
      </c>
      <c r="AH285" s="146"/>
      <c r="AI285" s="154" t="s">
        <v>6</v>
      </c>
      <c r="AJ285" s="151" t="str">
        <f t="shared" si="17"/>
        <v>GUARULHOS</v>
      </c>
      <c r="AK285" s="155" t="s">
        <v>59</v>
      </c>
      <c r="AL285" s="53">
        <v>0.35420377109745538</v>
      </c>
      <c r="AM285" s="53" t="str" cm="1">
        <f t="array" ref="AM285">IF(OR(O285&lt;&gt;"", SUMPRODUCT(($AN$2:$AN$561=AN285)*($AL$2:$AL$561&lt;=AL285)) &lt;= (COUNTIF($AN$2:$AN$561,AN285)*0.5)), "SORTEADO", "-")</f>
        <v>-</v>
      </c>
      <c r="AN285" s="53" t="str">
        <f t="shared" si="20"/>
        <v>26/04/2026</v>
      </c>
    </row>
    <row r="286" spans="1:40" ht="30" hidden="1" customHeight="1" x14ac:dyDescent="0.2">
      <c r="A286" s="230" t="s">
        <v>197</v>
      </c>
      <c r="B286" s="230">
        <v>2615071873</v>
      </c>
      <c r="C286" s="230" t="s">
        <v>117</v>
      </c>
      <c r="D286" s="230" t="s">
        <v>109</v>
      </c>
      <c r="E286" s="230" t="s">
        <v>198</v>
      </c>
      <c r="F286" s="230" t="s">
        <v>3025</v>
      </c>
      <c r="G286" s="230">
        <v>310</v>
      </c>
      <c r="H286" s="230" t="s">
        <v>3026</v>
      </c>
      <c r="I286" s="230" t="s">
        <v>1546</v>
      </c>
      <c r="J286" s="230" t="s">
        <v>117</v>
      </c>
      <c r="K286" s="230"/>
      <c r="L286" s="230" t="s">
        <v>2165</v>
      </c>
      <c r="M286" s="230" t="s">
        <v>3027</v>
      </c>
      <c r="N286" s="230" t="s">
        <v>2132</v>
      </c>
      <c r="O286" s="158"/>
      <c r="P286" s="92"/>
      <c r="Q286" s="146"/>
      <c r="R286" s="92"/>
      <c r="S286" s="146"/>
      <c r="T286" s="92"/>
      <c r="U286" s="146"/>
      <c r="V286" s="92"/>
      <c r="W286" s="146"/>
      <c r="X286" s="92"/>
      <c r="Y286" s="146"/>
      <c r="Z286" s="92"/>
      <c r="AA286" s="146"/>
      <c r="AB286" s="92"/>
      <c r="AC286" s="146"/>
      <c r="AD286" s="92"/>
      <c r="AE286" s="146"/>
      <c r="AF286" s="143" t="str">
        <f t="shared" si="19"/>
        <v/>
      </c>
      <c r="AG286" s="199" t="b">
        <f t="shared" si="18"/>
        <v>0</v>
      </c>
      <c r="AH286" s="146"/>
      <c r="AI286" s="154" t="s">
        <v>6</v>
      </c>
      <c r="AJ286" s="151" t="str">
        <f t="shared" ref="AJ286:AJ349" si="21">E286</f>
        <v>GUARULHOS</v>
      </c>
      <c r="AK286" s="155" t="s">
        <v>59</v>
      </c>
      <c r="AL286" s="53">
        <v>3.393969642959227E-2</v>
      </c>
      <c r="AM286" s="53" t="str" cm="1">
        <f t="array" ref="AM286">IF(OR(O286&lt;&gt;"", SUMPRODUCT(($AN$2:$AN$561=AN286)*($AL$2:$AL$561&lt;=AL286)) &lt;= (COUNTIF($AN$2:$AN$561,AN286)*0.5)), "SORTEADO", "-")</f>
        <v>-</v>
      </c>
      <c r="AN286" s="53" t="str">
        <f t="shared" si="20"/>
        <v>27/04/2026</v>
      </c>
    </row>
    <row r="287" spans="1:40" ht="30" hidden="1" customHeight="1" x14ac:dyDescent="0.2">
      <c r="A287" s="230" t="s">
        <v>197</v>
      </c>
      <c r="B287" s="230">
        <v>2617186297</v>
      </c>
      <c r="C287" s="230" t="s">
        <v>119</v>
      </c>
      <c r="D287" s="230" t="s">
        <v>109</v>
      </c>
      <c r="E287" s="230" t="s">
        <v>198</v>
      </c>
      <c r="F287" s="230" t="s">
        <v>1478</v>
      </c>
      <c r="G287" s="230">
        <v>391</v>
      </c>
      <c r="H287" s="230" t="s">
        <v>213</v>
      </c>
      <c r="I287" s="230" t="s">
        <v>253</v>
      </c>
      <c r="J287" s="230" t="s">
        <v>119</v>
      </c>
      <c r="K287" s="230" t="s">
        <v>3028</v>
      </c>
      <c r="L287" s="230" t="s">
        <v>1935</v>
      </c>
      <c r="M287" s="230" t="s">
        <v>3029</v>
      </c>
      <c r="N287" s="230" t="s">
        <v>2646</v>
      </c>
      <c r="O287" s="158"/>
      <c r="P287" s="92"/>
      <c r="Q287" s="146"/>
      <c r="R287" s="92"/>
      <c r="S287" s="146"/>
      <c r="T287" s="92"/>
      <c r="U287" s="146"/>
      <c r="V287" s="92"/>
      <c r="W287" s="146"/>
      <c r="X287" s="92"/>
      <c r="Y287" s="146"/>
      <c r="Z287" s="92"/>
      <c r="AA287" s="146"/>
      <c r="AB287" s="92"/>
      <c r="AC287" s="146"/>
      <c r="AD287" s="92"/>
      <c r="AE287" s="146"/>
      <c r="AF287" s="143" t="str">
        <f t="shared" si="19"/>
        <v/>
      </c>
      <c r="AG287" s="199" t="b">
        <f t="shared" si="18"/>
        <v>0</v>
      </c>
      <c r="AH287" s="146"/>
      <c r="AI287" s="154" t="s">
        <v>6</v>
      </c>
      <c r="AJ287" s="151" t="str">
        <f t="shared" si="21"/>
        <v>GUARULHOS</v>
      </c>
      <c r="AK287" s="155" t="s">
        <v>59</v>
      </c>
      <c r="AL287" s="53">
        <v>0.19608063557986266</v>
      </c>
      <c r="AM287" s="53" t="str" cm="1">
        <f t="array" ref="AM287">IF(OR(O287&lt;&gt;"", SUMPRODUCT(($AN$2:$AN$561=AN287)*($AL$2:$AL$561&lt;=AL287)) &lt;= (COUNTIF($AN$2:$AN$561,AN287)*0.5)), "SORTEADO", "-")</f>
        <v>SORTEADO</v>
      </c>
      <c r="AN287" s="53" t="str">
        <f t="shared" si="20"/>
        <v>26/04/2026</v>
      </c>
    </row>
    <row r="288" spans="1:40" ht="30" hidden="1" customHeight="1" x14ac:dyDescent="0.2">
      <c r="A288" s="242" t="s">
        <v>197</v>
      </c>
      <c r="B288" s="242">
        <v>2613869942</v>
      </c>
      <c r="C288" s="242" t="s">
        <v>3015</v>
      </c>
      <c r="D288" s="242" t="s">
        <v>112</v>
      </c>
      <c r="E288" s="242" t="s">
        <v>198</v>
      </c>
      <c r="F288" s="242" t="s">
        <v>308</v>
      </c>
      <c r="G288" s="242">
        <v>535</v>
      </c>
      <c r="H288" s="242" t="s">
        <v>2002</v>
      </c>
      <c r="I288" s="242" t="s">
        <v>262</v>
      </c>
      <c r="J288" s="242" t="s">
        <v>3016</v>
      </c>
      <c r="K288" s="242" t="s">
        <v>3030</v>
      </c>
      <c r="L288" s="242" t="s">
        <v>2165</v>
      </c>
      <c r="M288" s="242" t="s">
        <v>3031</v>
      </c>
      <c r="N288" s="242" t="s">
        <v>2705</v>
      </c>
      <c r="O288" s="158"/>
      <c r="P288" s="92"/>
      <c r="Q288" s="146"/>
      <c r="R288" s="92"/>
      <c r="S288" s="146"/>
      <c r="T288" s="92"/>
      <c r="U288" s="146"/>
      <c r="V288" s="92"/>
      <c r="W288" s="146"/>
      <c r="X288" s="92"/>
      <c r="Y288" s="146"/>
      <c r="Z288" s="92"/>
      <c r="AA288" s="146"/>
      <c r="AB288" s="92"/>
      <c r="AC288" s="146"/>
      <c r="AD288" s="92"/>
      <c r="AE288" s="146"/>
      <c r="AF288" s="143" t="str">
        <f t="shared" si="19"/>
        <v/>
      </c>
      <c r="AG288" s="199" t="b">
        <f t="shared" si="18"/>
        <v>0</v>
      </c>
      <c r="AH288" s="146"/>
      <c r="AI288" s="154" t="s">
        <v>6</v>
      </c>
      <c r="AJ288" s="151" t="str">
        <f t="shared" si="21"/>
        <v>GUARULHOS</v>
      </c>
      <c r="AK288" s="155" t="s">
        <v>59</v>
      </c>
      <c r="AL288" s="53">
        <v>2.6604597614955039E-2</v>
      </c>
      <c r="AM288" s="53" t="str" cm="1">
        <f t="array" ref="AM288">IF(OR(O288&lt;&gt;"", SUMPRODUCT(($AN$2:$AN$561=AN288)*($AL$2:$AL$561&lt;=AL288)) &lt;= (COUNTIF($AN$2:$AN$561,AN288)*0.5)), "SORTEADO", "-")</f>
        <v>-</v>
      </c>
      <c r="AN288" s="53" t="str">
        <f t="shared" si="20"/>
        <v>27/04/2026</v>
      </c>
    </row>
    <row r="289" spans="1:40" ht="30" hidden="1" customHeight="1" x14ac:dyDescent="0.2">
      <c r="A289" s="230" t="s">
        <v>197</v>
      </c>
      <c r="B289" s="230">
        <v>2615071873</v>
      </c>
      <c r="C289" s="230" t="s">
        <v>117</v>
      </c>
      <c r="D289" s="230" t="s">
        <v>109</v>
      </c>
      <c r="E289" s="230" t="s">
        <v>198</v>
      </c>
      <c r="F289" s="230" t="s">
        <v>3025</v>
      </c>
      <c r="G289" s="230">
        <v>310</v>
      </c>
      <c r="H289" s="230" t="s">
        <v>3026</v>
      </c>
      <c r="I289" s="230" t="s">
        <v>1546</v>
      </c>
      <c r="J289" s="230" t="s">
        <v>117</v>
      </c>
      <c r="K289" s="230" t="s">
        <v>213</v>
      </c>
      <c r="L289" s="230" t="s">
        <v>2165</v>
      </c>
      <c r="M289" s="230" t="s">
        <v>3027</v>
      </c>
      <c r="N289" s="230" t="s">
        <v>2132</v>
      </c>
      <c r="O289" s="158"/>
      <c r="P289" s="92"/>
      <c r="Q289" s="146"/>
      <c r="R289" s="92"/>
      <c r="S289" s="146"/>
      <c r="T289" s="92"/>
      <c r="U289" s="146"/>
      <c r="V289" s="92"/>
      <c r="W289" s="146"/>
      <c r="X289" s="92"/>
      <c r="Y289" s="146"/>
      <c r="Z289" s="92"/>
      <c r="AA289" s="146"/>
      <c r="AB289" s="92"/>
      <c r="AC289" s="146"/>
      <c r="AD289" s="92"/>
      <c r="AE289" s="146"/>
      <c r="AF289" s="143" t="str">
        <f t="shared" si="19"/>
        <v/>
      </c>
      <c r="AG289" s="199" t="b">
        <f t="shared" si="18"/>
        <v>0</v>
      </c>
      <c r="AH289" s="146"/>
      <c r="AI289" s="154" t="s">
        <v>6</v>
      </c>
      <c r="AJ289" s="151" t="str">
        <f t="shared" si="21"/>
        <v>GUARULHOS</v>
      </c>
      <c r="AK289" s="155" t="s">
        <v>59</v>
      </c>
      <c r="AL289" s="53">
        <v>0.59703499683391414</v>
      </c>
      <c r="AM289" s="53" t="str" cm="1">
        <f t="array" ref="AM289">IF(OR(O289&lt;&gt;"", SUMPRODUCT(($AN$2:$AN$561=AN289)*($AL$2:$AL$561&lt;=AL289)) &lt;= (COUNTIF($AN$2:$AN$561,AN289)*0.5)), "SORTEADO", "-")</f>
        <v>-</v>
      </c>
      <c r="AN289" s="53" t="str">
        <f t="shared" si="20"/>
        <v>27/04/2026</v>
      </c>
    </row>
    <row r="290" spans="1:40" ht="30" hidden="1" customHeight="1" x14ac:dyDescent="0.2">
      <c r="A290" s="230" t="s">
        <v>197</v>
      </c>
      <c r="B290" s="230">
        <v>2617178716</v>
      </c>
      <c r="C290" s="230" t="s">
        <v>2737</v>
      </c>
      <c r="D290" s="230" t="s">
        <v>111</v>
      </c>
      <c r="E290" s="230" t="s">
        <v>198</v>
      </c>
      <c r="F290" s="230" t="s">
        <v>3032</v>
      </c>
      <c r="G290" s="230">
        <v>128</v>
      </c>
      <c r="H290" s="230" t="s">
        <v>211</v>
      </c>
      <c r="I290" s="230" t="s">
        <v>1921</v>
      </c>
      <c r="J290" s="230" t="s">
        <v>2739</v>
      </c>
      <c r="K290" s="230" t="s">
        <v>3033</v>
      </c>
      <c r="L290" s="230" t="s">
        <v>2165</v>
      </c>
      <c r="M290" s="230" t="s">
        <v>3034</v>
      </c>
      <c r="N290" s="230" t="s">
        <v>2640</v>
      </c>
      <c r="O290" s="158"/>
      <c r="P290" s="92"/>
      <c r="Q290" s="146"/>
      <c r="R290" s="92"/>
      <c r="S290" s="146"/>
      <c r="T290" s="92"/>
      <c r="U290" s="146"/>
      <c r="V290" s="92"/>
      <c r="W290" s="146"/>
      <c r="X290" s="92"/>
      <c r="Y290" s="146"/>
      <c r="Z290" s="92"/>
      <c r="AA290" s="146"/>
      <c r="AB290" s="92"/>
      <c r="AC290" s="146"/>
      <c r="AD290" s="92"/>
      <c r="AE290" s="146"/>
      <c r="AF290" s="143" t="str">
        <f t="shared" si="19"/>
        <v/>
      </c>
      <c r="AG290" s="199" t="b">
        <f t="shared" si="18"/>
        <v>0</v>
      </c>
      <c r="AH290" s="146"/>
      <c r="AI290" s="154" t="s">
        <v>6</v>
      </c>
      <c r="AJ290" s="151" t="str">
        <f t="shared" si="21"/>
        <v>GUARULHOS</v>
      </c>
      <c r="AK290" s="155" t="s">
        <v>59</v>
      </c>
      <c r="AL290" s="53">
        <v>0.72409583067093408</v>
      </c>
      <c r="AM290" s="53" t="str" cm="1">
        <f t="array" ref="AM290">IF(OR(O290&lt;&gt;"", SUMPRODUCT(($AN$2:$AN$561=AN290)*($AL$2:$AL$561&lt;=AL290)) &lt;= (COUNTIF($AN$2:$AN$561,AN290)*0.5)), "SORTEADO", "-")</f>
        <v>-</v>
      </c>
      <c r="AN290" s="53" t="str">
        <f t="shared" si="20"/>
        <v>27/04/2026</v>
      </c>
    </row>
    <row r="291" spans="1:40" ht="30" hidden="1" customHeight="1" x14ac:dyDescent="0.2">
      <c r="A291" s="230" t="s">
        <v>197</v>
      </c>
      <c r="B291" s="230">
        <v>2617178264</v>
      </c>
      <c r="C291" s="230" t="s">
        <v>2737</v>
      </c>
      <c r="D291" s="230" t="s">
        <v>111</v>
      </c>
      <c r="E291" s="230" t="s">
        <v>198</v>
      </c>
      <c r="F291" s="230" t="s">
        <v>3032</v>
      </c>
      <c r="G291" s="230">
        <v>8</v>
      </c>
      <c r="H291" s="230" t="s">
        <v>3035</v>
      </c>
      <c r="I291" s="230" t="s">
        <v>1921</v>
      </c>
      <c r="J291" s="230" t="s">
        <v>3036</v>
      </c>
      <c r="K291" s="230" t="s">
        <v>3037</v>
      </c>
      <c r="L291" s="230" t="s">
        <v>2165</v>
      </c>
      <c r="M291" s="230" t="s">
        <v>3038</v>
      </c>
      <c r="N291" s="230" t="s">
        <v>2640</v>
      </c>
      <c r="O291" s="158"/>
      <c r="P291" s="92"/>
      <c r="Q291" s="146"/>
      <c r="R291" s="92"/>
      <c r="S291" s="146"/>
      <c r="T291" s="92"/>
      <c r="U291" s="146"/>
      <c r="V291" s="92"/>
      <c r="W291" s="146"/>
      <c r="X291" s="92"/>
      <c r="Y291" s="146"/>
      <c r="Z291" s="92"/>
      <c r="AA291" s="146"/>
      <c r="AB291" s="92"/>
      <c r="AC291" s="146"/>
      <c r="AD291" s="92"/>
      <c r="AE291" s="146"/>
      <c r="AF291" s="143" t="str">
        <f t="shared" si="19"/>
        <v/>
      </c>
      <c r="AG291" s="199" t="b">
        <f t="shared" si="18"/>
        <v>0</v>
      </c>
      <c r="AH291" s="146"/>
      <c r="AI291" s="154" t="s">
        <v>6</v>
      </c>
      <c r="AJ291" s="151" t="str">
        <f t="shared" si="21"/>
        <v>GUARULHOS</v>
      </c>
      <c r="AK291" s="155" t="s">
        <v>59</v>
      </c>
      <c r="AL291" s="53">
        <v>0.84743243637213039</v>
      </c>
      <c r="AM291" s="53" t="str" cm="1">
        <f t="array" ref="AM291">IF(OR(O291&lt;&gt;"", SUMPRODUCT(($AN$2:$AN$561=AN291)*($AL$2:$AL$561&lt;=AL291)) &lt;= (COUNTIF($AN$2:$AN$561,AN291)*0.5)), "SORTEADO", "-")</f>
        <v>-</v>
      </c>
      <c r="AN291" s="53" t="str">
        <f t="shared" si="20"/>
        <v>27/04/2026</v>
      </c>
    </row>
    <row r="292" spans="1:40" ht="30" hidden="1" customHeight="1" x14ac:dyDescent="0.2">
      <c r="A292" s="230" t="s">
        <v>197</v>
      </c>
      <c r="B292" s="230">
        <v>2613869942</v>
      </c>
      <c r="C292" s="230" t="s">
        <v>3015</v>
      </c>
      <c r="D292" s="230" t="s">
        <v>112</v>
      </c>
      <c r="E292" s="230" t="s">
        <v>198</v>
      </c>
      <c r="F292" s="230" t="s">
        <v>308</v>
      </c>
      <c r="G292" s="230">
        <v>535</v>
      </c>
      <c r="H292" s="230" t="s">
        <v>2002</v>
      </c>
      <c r="I292" s="230" t="s">
        <v>262</v>
      </c>
      <c r="J292" s="230" t="s">
        <v>3016</v>
      </c>
      <c r="K292" s="230" t="s">
        <v>3030</v>
      </c>
      <c r="L292" s="230" t="s">
        <v>2165</v>
      </c>
      <c r="M292" s="230" t="s">
        <v>3031</v>
      </c>
      <c r="N292" s="230" t="s">
        <v>2705</v>
      </c>
      <c r="O292" s="158"/>
      <c r="P292" s="92"/>
      <c r="Q292" s="146"/>
      <c r="R292" s="92"/>
      <c r="S292" s="146"/>
      <c r="T292" s="92"/>
      <c r="U292" s="146"/>
      <c r="V292" s="92"/>
      <c r="W292" s="146"/>
      <c r="X292" s="92"/>
      <c r="Y292" s="146"/>
      <c r="Z292" s="92"/>
      <c r="AA292" s="146"/>
      <c r="AB292" s="92"/>
      <c r="AC292" s="146"/>
      <c r="AD292" s="92"/>
      <c r="AE292" s="146"/>
      <c r="AF292" s="143" t="str">
        <f t="shared" si="19"/>
        <v/>
      </c>
      <c r="AG292" s="199" t="b">
        <f t="shared" si="18"/>
        <v>0</v>
      </c>
      <c r="AH292" s="146"/>
      <c r="AI292" s="154" t="s">
        <v>6</v>
      </c>
      <c r="AJ292" s="151" t="str">
        <f t="shared" si="21"/>
        <v>GUARULHOS</v>
      </c>
      <c r="AK292" s="155" t="s">
        <v>59</v>
      </c>
      <c r="AL292" s="53">
        <v>0.31512392923174093</v>
      </c>
      <c r="AM292" s="53" t="str" cm="1">
        <f t="array" ref="AM292">IF(OR(O292&lt;&gt;"", SUMPRODUCT(($AN$2:$AN$561=AN292)*($AL$2:$AL$561&lt;=AL292)) &lt;= (COUNTIF($AN$2:$AN$561,AN292)*0.5)), "SORTEADO", "-")</f>
        <v>-</v>
      </c>
      <c r="AN292" s="53" t="str">
        <f t="shared" si="20"/>
        <v>27/04/2026</v>
      </c>
    </row>
    <row r="293" spans="1:40" ht="30" hidden="1" customHeight="1" x14ac:dyDescent="0.2">
      <c r="A293" s="230" t="s">
        <v>197</v>
      </c>
      <c r="B293" s="230">
        <v>2617591171</v>
      </c>
      <c r="C293" s="230" t="s">
        <v>115</v>
      </c>
      <c r="D293" s="230" t="s">
        <v>108</v>
      </c>
      <c r="E293" s="230" t="s">
        <v>198</v>
      </c>
      <c r="F293" s="230" t="s">
        <v>2951</v>
      </c>
      <c r="G293" s="230">
        <v>382</v>
      </c>
      <c r="H293" s="230" t="s">
        <v>534</v>
      </c>
      <c r="I293" s="230" t="s">
        <v>1150</v>
      </c>
      <c r="J293" s="230" t="s">
        <v>2644</v>
      </c>
      <c r="K293" s="230" t="s">
        <v>3039</v>
      </c>
      <c r="L293" s="230" t="s">
        <v>2165</v>
      </c>
      <c r="M293" s="230" t="s">
        <v>3040</v>
      </c>
      <c r="N293" s="230" t="s">
        <v>2646</v>
      </c>
      <c r="O293" s="158"/>
      <c r="P293" s="92"/>
      <c r="Q293" s="146"/>
      <c r="R293" s="92"/>
      <c r="S293" s="146"/>
      <c r="T293" s="92"/>
      <c r="U293" s="146"/>
      <c r="V293" s="92"/>
      <c r="W293" s="146"/>
      <c r="X293" s="92"/>
      <c r="Y293" s="146"/>
      <c r="Z293" s="92"/>
      <c r="AA293" s="146"/>
      <c r="AB293" s="92"/>
      <c r="AC293" s="146"/>
      <c r="AD293" s="92"/>
      <c r="AE293" s="146"/>
      <c r="AF293" s="143" t="str">
        <f t="shared" si="19"/>
        <v/>
      </c>
      <c r="AG293" s="199" t="b">
        <f t="shared" si="18"/>
        <v>0</v>
      </c>
      <c r="AH293" s="146"/>
      <c r="AI293" s="154" t="s">
        <v>6</v>
      </c>
      <c r="AJ293" s="151" t="str">
        <f t="shared" si="21"/>
        <v>GUARULHOS</v>
      </c>
      <c r="AK293" s="155" t="s">
        <v>59</v>
      </c>
      <c r="AL293" s="53">
        <v>0.21818164106295201</v>
      </c>
      <c r="AM293" s="53" t="str" cm="1">
        <f t="array" ref="AM293">IF(OR(O293&lt;&gt;"", SUMPRODUCT(($AN$2:$AN$561=AN293)*($AL$2:$AL$561&lt;=AL293)) &lt;= (COUNTIF($AN$2:$AN$561,AN293)*0.5)), "SORTEADO", "-")</f>
        <v>-</v>
      </c>
      <c r="AN293" s="53" t="str">
        <f t="shared" si="20"/>
        <v>27/04/2026</v>
      </c>
    </row>
    <row r="294" spans="1:40" ht="30" hidden="1" customHeight="1" x14ac:dyDescent="0.2">
      <c r="A294" s="230" t="s">
        <v>197</v>
      </c>
      <c r="B294" s="230">
        <v>2617163895</v>
      </c>
      <c r="C294" s="230" t="s">
        <v>2701</v>
      </c>
      <c r="D294" s="230" t="s">
        <v>110</v>
      </c>
      <c r="E294" s="230" t="s">
        <v>198</v>
      </c>
      <c r="F294" s="230" t="s">
        <v>3041</v>
      </c>
      <c r="G294" s="230">
        <v>31</v>
      </c>
      <c r="H294" s="230" t="s">
        <v>3042</v>
      </c>
      <c r="I294" s="230" t="s">
        <v>356</v>
      </c>
      <c r="J294" s="230" t="s">
        <v>2703</v>
      </c>
      <c r="K294" s="237" t="s">
        <v>3043</v>
      </c>
      <c r="L294" s="230" t="s">
        <v>2165</v>
      </c>
      <c r="M294" s="230" t="s">
        <v>3031</v>
      </c>
      <c r="N294" s="230" t="s">
        <v>2757</v>
      </c>
      <c r="O294" s="158" t="s">
        <v>61</v>
      </c>
      <c r="P294" s="92"/>
      <c r="Q294" s="146" t="s">
        <v>61</v>
      </c>
      <c r="R294" s="92"/>
      <c r="S294" s="146" t="s">
        <v>61</v>
      </c>
      <c r="T294" s="92"/>
      <c r="U294" s="146" t="s">
        <v>61</v>
      </c>
      <c r="V294" s="92"/>
      <c r="W294" s="146" t="s">
        <v>61</v>
      </c>
      <c r="X294" s="92"/>
      <c r="Y294" s="146" t="s">
        <v>61</v>
      </c>
      <c r="Z294" s="92"/>
      <c r="AA294" s="146" t="s">
        <v>61</v>
      </c>
      <c r="AB294" s="92"/>
      <c r="AC294" s="146" t="s">
        <v>61</v>
      </c>
      <c r="AD294" s="92"/>
      <c r="AE294" s="146" t="s">
        <v>61</v>
      </c>
      <c r="AF294" s="143" t="str">
        <f t="shared" si="19"/>
        <v>NA</v>
      </c>
      <c r="AG294" s="199" t="str">
        <f t="shared" si="18"/>
        <v>NÃO AVALIADO POR FALHA DE SINCRONISMO</v>
      </c>
      <c r="AH294" s="146" t="s">
        <v>204</v>
      </c>
      <c r="AI294" s="154" t="s">
        <v>6</v>
      </c>
      <c r="AJ294" s="151" t="str">
        <f t="shared" si="21"/>
        <v>GUARULHOS</v>
      </c>
      <c r="AK294" s="155" t="s">
        <v>59</v>
      </c>
      <c r="AL294" s="53">
        <v>-5.8599999999999999E-2</v>
      </c>
      <c r="AM294" s="53" t="str" cm="1">
        <f t="array" ref="AM294">IF(OR(O294&lt;&gt;"", SUMPRODUCT(($AN$2:$AN$561=AN294)*($AL$2:$AL$561&lt;=AL294)) &lt;= (COUNTIF($AN$2:$AN$561,AN294)*0.5)), "SORTEADO", "-")</f>
        <v>SORTEADO</v>
      </c>
      <c r="AN294" s="53" t="str">
        <f t="shared" si="20"/>
        <v>27/04/2026</v>
      </c>
    </row>
    <row r="295" spans="1:40" ht="30" hidden="1" customHeight="1" x14ac:dyDescent="0.2">
      <c r="A295" s="230" t="s">
        <v>197</v>
      </c>
      <c r="B295" s="230">
        <v>2617163466</v>
      </c>
      <c r="C295" s="230" t="s">
        <v>2701</v>
      </c>
      <c r="D295" s="230" t="s">
        <v>110</v>
      </c>
      <c r="E295" s="230" t="s">
        <v>198</v>
      </c>
      <c r="F295" s="230" t="s">
        <v>3041</v>
      </c>
      <c r="G295" s="230">
        <v>24</v>
      </c>
      <c r="H295" s="230" t="s">
        <v>276</v>
      </c>
      <c r="I295" s="230" t="s">
        <v>356</v>
      </c>
      <c r="J295" s="230" t="s">
        <v>2703</v>
      </c>
      <c r="K295" s="237" t="s">
        <v>3043</v>
      </c>
      <c r="L295" s="230" t="s">
        <v>2165</v>
      </c>
      <c r="M295" s="230" t="s">
        <v>3031</v>
      </c>
      <c r="N295" s="230" t="s">
        <v>2757</v>
      </c>
      <c r="O295" s="158" t="s">
        <v>61</v>
      </c>
      <c r="P295" s="92"/>
      <c r="Q295" s="146" t="s">
        <v>61</v>
      </c>
      <c r="R295" s="92"/>
      <c r="S295" s="146" t="s">
        <v>61</v>
      </c>
      <c r="T295" s="92"/>
      <c r="U295" s="146" t="s">
        <v>61</v>
      </c>
      <c r="V295" s="92"/>
      <c r="W295" s="146" t="s">
        <v>61</v>
      </c>
      <c r="X295" s="92"/>
      <c r="Y295" s="146" t="s">
        <v>61</v>
      </c>
      <c r="Z295" s="92"/>
      <c r="AA295" s="146" t="s">
        <v>61</v>
      </c>
      <c r="AB295" s="92"/>
      <c r="AC295" s="146" t="s">
        <v>61</v>
      </c>
      <c r="AD295" s="92"/>
      <c r="AE295" s="146" t="s">
        <v>61</v>
      </c>
      <c r="AF295" s="143" t="str">
        <f t="shared" si="19"/>
        <v>NA</v>
      </c>
      <c r="AG295" s="199" t="str">
        <f t="shared" si="18"/>
        <v>NÃO AVALIADO POR FALHA DE SINCRONISMO</v>
      </c>
      <c r="AH295" s="146" t="s">
        <v>204</v>
      </c>
      <c r="AI295" s="154" t="s">
        <v>6</v>
      </c>
      <c r="AJ295" s="151" t="str">
        <f t="shared" si="21"/>
        <v>GUARULHOS</v>
      </c>
      <c r="AK295" s="155" t="s">
        <v>59</v>
      </c>
      <c r="AL295" s="53">
        <v>-5.8799999999999998E-2</v>
      </c>
      <c r="AM295" s="53" t="str" cm="1">
        <f t="array" ref="AM295">IF(OR(O295&lt;&gt;"", SUMPRODUCT(($AN$2:$AN$561=AN295)*($AL$2:$AL$561&lt;=AL295)) &lt;= (COUNTIF($AN$2:$AN$561,AN295)*0.5)), "SORTEADO", "-")</f>
        <v>SORTEADO</v>
      </c>
      <c r="AN295" s="53" t="str">
        <f t="shared" si="20"/>
        <v>27/04/2026</v>
      </c>
    </row>
    <row r="296" spans="1:40" ht="30" hidden="1" customHeight="1" x14ac:dyDescent="0.2">
      <c r="A296" s="230" t="s">
        <v>197</v>
      </c>
      <c r="B296" s="230">
        <v>2617163725</v>
      </c>
      <c r="C296" s="230" t="s">
        <v>2701</v>
      </c>
      <c r="D296" s="230" t="s">
        <v>110</v>
      </c>
      <c r="E296" s="230" t="s">
        <v>198</v>
      </c>
      <c r="F296" s="230" t="s">
        <v>3041</v>
      </c>
      <c r="G296" s="230">
        <v>21</v>
      </c>
      <c r="H296" s="230"/>
      <c r="I296" s="230" t="s">
        <v>356</v>
      </c>
      <c r="J296" s="230" t="s">
        <v>2703</v>
      </c>
      <c r="K296" s="237" t="s">
        <v>3043</v>
      </c>
      <c r="L296" s="230" t="s">
        <v>2165</v>
      </c>
      <c r="M296" s="230" t="s">
        <v>3031</v>
      </c>
      <c r="N296" s="230" t="s">
        <v>2757</v>
      </c>
      <c r="O296" s="158" t="s">
        <v>61</v>
      </c>
      <c r="P296" s="92"/>
      <c r="Q296" s="146" t="s">
        <v>61</v>
      </c>
      <c r="R296" s="92"/>
      <c r="S296" s="146" t="s">
        <v>61</v>
      </c>
      <c r="T296" s="92"/>
      <c r="U296" s="146" t="s">
        <v>61</v>
      </c>
      <c r="V296" s="92"/>
      <c r="W296" s="146" t="s">
        <v>61</v>
      </c>
      <c r="X296" s="92"/>
      <c r="Y296" s="146" t="s">
        <v>61</v>
      </c>
      <c r="Z296" s="92"/>
      <c r="AA296" s="146" t="s">
        <v>61</v>
      </c>
      <c r="AB296" s="92"/>
      <c r="AC296" s="146" t="s">
        <v>61</v>
      </c>
      <c r="AD296" s="92"/>
      <c r="AE296" s="146" t="s">
        <v>61</v>
      </c>
      <c r="AF296" s="143" t="str">
        <f t="shared" si="19"/>
        <v>NA</v>
      </c>
      <c r="AG296" s="199" t="str">
        <f t="shared" si="18"/>
        <v>NÃO AVALIADO POR FALHA DE SINCRONISMO</v>
      </c>
      <c r="AH296" s="146" t="s">
        <v>204</v>
      </c>
      <c r="AI296" s="154" t="s">
        <v>6</v>
      </c>
      <c r="AJ296" s="151" t="str">
        <f t="shared" si="21"/>
        <v>GUARULHOS</v>
      </c>
      <c r="AK296" s="155" t="s">
        <v>59</v>
      </c>
      <c r="AL296" s="53">
        <v>-5.8999999999999997E-2</v>
      </c>
      <c r="AM296" s="53" t="str" cm="1">
        <f t="array" ref="AM296">IF(OR(O296&lt;&gt;"", SUMPRODUCT(($AN$2:$AN$561=AN296)*($AL$2:$AL$561&lt;=AL296)) &lt;= (COUNTIF($AN$2:$AN$561,AN296)*0.5)), "SORTEADO", "-")</f>
        <v>SORTEADO</v>
      </c>
      <c r="AN296" s="53" t="str">
        <f t="shared" si="20"/>
        <v>27/04/2026</v>
      </c>
    </row>
    <row r="297" spans="1:40" ht="30" hidden="1" customHeight="1" x14ac:dyDescent="0.2">
      <c r="A297" s="230" t="s">
        <v>197</v>
      </c>
      <c r="B297" s="230">
        <v>2617163381</v>
      </c>
      <c r="C297" s="230" t="s">
        <v>2701</v>
      </c>
      <c r="D297" s="230" t="s">
        <v>110</v>
      </c>
      <c r="E297" s="230" t="s">
        <v>198</v>
      </c>
      <c r="F297" s="230" t="s">
        <v>3041</v>
      </c>
      <c r="G297" s="230">
        <v>177</v>
      </c>
      <c r="H297" s="230" t="s">
        <v>555</v>
      </c>
      <c r="I297" s="230" t="s">
        <v>356</v>
      </c>
      <c r="J297" s="230" t="s">
        <v>2703</v>
      </c>
      <c r="K297" s="237" t="s">
        <v>3043</v>
      </c>
      <c r="L297" s="230" t="s">
        <v>2165</v>
      </c>
      <c r="M297" s="230" t="s">
        <v>3031</v>
      </c>
      <c r="N297" s="230" t="s">
        <v>2757</v>
      </c>
      <c r="O297" s="158" t="s">
        <v>61</v>
      </c>
      <c r="P297" s="92"/>
      <c r="Q297" s="146" t="s">
        <v>61</v>
      </c>
      <c r="R297" s="92"/>
      <c r="S297" s="146" t="s">
        <v>61</v>
      </c>
      <c r="T297" s="92"/>
      <c r="U297" s="146" t="s">
        <v>61</v>
      </c>
      <c r="V297" s="92"/>
      <c r="W297" s="146" t="s">
        <v>61</v>
      </c>
      <c r="X297" s="92"/>
      <c r="Y297" s="146" t="s">
        <v>61</v>
      </c>
      <c r="Z297" s="92"/>
      <c r="AA297" s="146" t="s">
        <v>61</v>
      </c>
      <c r="AB297" s="92"/>
      <c r="AC297" s="146" t="s">
        <v>61</v>
      </c>
      <c r="AD297" s="92"/>
      <c r="AE297" s="146" t="s">
        <v>61</v>
      </c>
      <c r="AF297" s="143" t="str">
        <f t="shared" si="19"/>
        <v>NA</v>
      </c>
      <c r="AG297" s="199" t="str">
        <f t="shared" si="18"/>
        <v>NÃO AVALIADO POR FALHA DE SINCRONISMO</v>
      </c>
      <c r="AH297" s="146" t="s">
        <v>204</v>
      </c>
      <c r="AI297" s="154" t="s">
        <v>6</v>
      </c>
      <c r="AJ297" s="151" t="str">
        <f t="shared" si="21"/>
        <v>GUARULHOS</v>
      </c>
      <c r="AK297" s="155" t="s">
        <v>59</v>
      </c>
      <c r="AL297" s="53">
        <v>-5.9200000000000003E-2</v>
      </c>
      <c r="AM297" s="53" t="str" cm="1">
        <f t="array" ref="AM297">IF(OR(O297&lt;&gt;"", SUMPRODUCT(($AN$2:$AN$561=AN297)*($AL$2:$AL$561&lt;=AL297)) &lt;= (COUNTIF($AN$2:$AN$561,AN297)*0.5)), "SORTEADO", "-")</f>
        <v>SORTEADO</v>
      </c>
      <c r="AN297" s="53" t="str">
        <f t="shared" si="20"/>
        <v>27/04/2026</v>
      </c>
    </row>
    <row r="298" spans="1:40" ht="30" hidden="1" customHeight="1" x14ac:dyDescent="0.2">
      <c r="A298" s="230" t="s">
        <v>197</v>
      </c>
      <c r="B298" s="230">
        <v>2617162670</v>
      </c>
      <c r="C298" s="230" t="s">
        <v>2701</v>
      </c>
      <c r="D298" s="230" t="s">
        <v>110</v>
      </c>
      <c r="E298" s="230" t="s">
        <v>198</v>
      </c>
      <c r="F298" s="230" t="s">
        <v>3041</v>
      </c>
      <c r="G298" s="230">
        <v>166</v>
      </c>
      <c r="H298" s="230" t="s">
        <v>3044</v>
      </c>
      <c r="I298" s="230" t="s">
        <v>356</v>
      </c>
      <c r="J298" s="230" t="s">
        <v>2703</v>
      </c>
      <c r="K298" s="237" t="s">
        <v>3043</v>
      </c>
      <c r="L298" s="230" t="s">
        <v>2165</v>
      </c>
      <c r="M298" s="230" t="s">
        <v>3031</v>
      </c>
      <c r="N298" s="230" t="s">
        <v>2757</v>
      </c>
      <c r="O298" s="158" t="s">
        <v>61</v>
      </c>
      <c r="P298" s="92"/>
      <c r="Q298" s="146" t="s">
        <v>61</v>
      </c>
      <c r="R298" s="92"/>
      <c r="S298" s="146" t="s">
        <v>61</v>
      </c>
      <c r="T298" s="92"/>
      <c r="U298" s="146" t="s">
        <v>61</v>
      </c>
      <c r="V298" s="92"/>
      <c r="W298" s="146" t="s">
        <v>61</v>
      </c>
      <c r="X298" s="92"/>
      <c r="Y298" s="146" t="s">
        <v>61</v>
      </c>
      <c r="Z298" s="92"/>
      <c r="AA298" s="146" t="s">
        <v>61</v>
      </c>
      <c r="AB298" s="92"/>
      <c r="AC298" s="146" t="s">
        <v>61</v>
      </c>
      <c r="AD298" s="92"/>
      <c r="AE298" s="146" t="s">
        <v>61</v>
      </c>
      <c r="AF298" s="143" t="str">
        <f t="shared" si="19"/>
        <v>NA</v>
      </c>
      <c r="AG298" s="199" t="str">
        <f t="shared" si="18"/>
        <v>NÃO AVALIADO POR FALHA DE SINCRONISMO</v>
      </c>
      <c r="AH298" s="146" t="s">
        <v>204</v>
      </c>
      <c r="AI298" s="154" t="s">
        <v>6</v>
      </c>
      <c r="AJ298" s="151" t="str">
        <f t="shared" si="21"/>
        <v>GUARULHOS</v>
      </c>
      <c r="AK298" s="155" t="s">
        <v>59</v>
      </c>
      <c r="AL298" s="53">
        <v>-5.9400000000000001E-2</v>
      </c>
      <c r="AM298" s="53" t="str" cm="1">
        <f t="array" ref="AM298">IF(OR(O298&lt;&gt;"", SUMPRODUCT(($AN$2:$AN$561=AN298)*($AL$2:$AL$561&lt;=AL298)) &lt;= (COUNTIF($AN$2:$AN$561,AN298)*0.5)), "SORTEADO", "-")</f>
        <v>SORTEADO</v>
      </c>
      <c r="AN298" s="53" t="str">
        <f t="shared" si="20"/>
        <v>27/04/2026</v>
      </c>
    </row>
    <row r="299" spans="1:40" ht="30" hidden="1" customHeight="1" x14ac:dyDescent="0.2">
      <c r="A299" s="230" t="s">
        <v>197</v>
      </c>
      <c r="B299" s="230">
        <v>2617162902</v>
      </c>
      <c r="C299" s="230" t="s">
        <v>2701</v>
      </c>
      <c r="D299" s="230" t="s">
        <v>110</v>
      </c>
      <c r="E299" s="230" t="s">
        <v>198</v>
      </c>
      <c r="F299" s="230" t="s">
        <v>3041</v>
      </c>
      <c r="G299" s="230">
        <v>160</v>
      </c>
      <c r="H299" s="230" t="s">
        <v>213</v>
      </c>
      <c r="I299" s="230" t="s">
        <v>356</v>
      </c>
      <c r="J299" s="230" t="s">
        <v>2703</v>
      </c>
      <c r="K299" s="237" t="s">
        <v>3043</v>
      </c>
      <c r="L299" s="230" t="s">
        <v>2165</v>
      </c>
      <c r="M299" s="230" t="s">
        <v>3031</v>
      </c>
      <c r="N299" s="230" t="s">
        <v>2757</v>
      </c>
      <c r="O299" s="158" t="s">
        <v>61</v>
      </c>
      <c r="P299" s="92"/>
      <c r="Q299" s="146" t="s">
        <v>61</v>
      </c>
      <c r="R299" s="92"/>
      <c r="S299" s="146" t="s">
        <v>61</v>
      </c>
      <c r="T299" s="92"/>
      <c r="U299" s="146" t="s">
        <v>61</v>
      </c>
      <c r="V299" s="92"/>
      <c r="W299" s="146" t="s">
        <v>61</v>
      </c>
      <c r="X299" s="92"/>
      <c r="Y299" s="146" t="s">
        <v>61</v>
      </c>
      <c r="Z299" s="92"/>
      <c r="AA299" s="146" t="s">
        <v>61</v>
      </c>
      <c r="AB299" s="92"/>
      <c r="AC299" s="146" t="s">
        <v>61</v>
      </c>
      <c r="AD299" s="92"/>
      <c r="AE299" s="146" t="s">
        <v>61</v>
      </c>
      <c r="AF299" s="143" t="str">
        <f t="shared" si="19"/>
        <v>NA</v>
      </c>
      <c r="AG299" s="199" t="str">
        <f t="shared" si="18"/>
        <v>NÃO AVALIADO POR FALHA DE SINCRONISMO</v>
      </c>
      <c r="AH299" s="146" t="s">
        <v>204</v>
      </c>
      <c r="AI299" s="154" t="s">
        <v>6</v>
      </c>
      <c r="AJ299" s="151" t="str">
        <f t="shared" si="21"/>
        <v>GUARULHOS</v>
      </c>
      <c r="AK299" s="155" t="s">
        <v>59</v>
      </c>
      <c r="AL299" s="53">
        <v>-5.96E-2</v>
      </c>
      <c r="AM299" s="53" t="str" cm="1">
        <f t="array" ref="AM299">IF(OR(O299&lt;&gt;"", SUMPRODUCT(($AN$2:$AN$561=AN299)*($AL$2:$AL$561&lt;=AL299)) &lt;= (COUNTIF($AN$2:$AN$561,AN299)*0.5)), "SORTEADO", "-")</f>
        <v>SORTEADO</v>
      </c>
      <c r="AN299" s="53" t="str">
        <f t="shared" si="20"/>
        <v>27/04/2026</v>
      </c>
    </row>
    <row r="300" spans="1:40" ht="30" hidden="1" customHeight="1" x14ac:dyDescent="0.2">
      <c r="A300" s="230" t="s">
        <v>197</v>
      </c>
      <c r="B300" s="230">
        <v>2617163236</v>
      </c>
      <c r="C300" s="230" t="s">
        <v>2701</v>
      </c>
      <c r="D300" s="230" t="s">
        <v>110</v>
      </c>
      <c r="E300" s="230" t="s">
        <v>198</v>
      </c>
      <c r="F300" s="230" t="s">
        <v>3041</v>
      </c>
      <c r="G300" s="230">
        <v>159</v>
      </c>
      <c r="H300" s="230" t="s">
        <v>3045</v>
      </c>
      <c r="I300" s="230" t="s">
        <v>356</v>
      </c>
      <c r="J300" s="230" t="s">
        <v>2703</v>
      </c>
      <c r="K300" s="237" t="s">
        <v>3043</v>
      </c>
      <c r="L300" s="230" t="s">
        <v>2165</v>
      </c>
      <c r="M300" s="230" t="s">
        <v>3031</v>
      </c>
      <c r="N300" s="230" t="s">
        <v>2757</v>
      </c>
      <c r="O300" s="158" t="s">
        <v>61</v>
      </c>
      <c r="P300" s="92"/>
      <c r="Q300" s="146" t="s">
        <v>61</v>
      </c>
      <c r="R300" s="92"/>
      <c r="S300" s="146" t="s">
        <v>61</v>
      </c>
      <c r="T300" s="92"/>
      <c r="U300" s="146" t="s">
        <v>61</v>
      </c>
      <c r="V300" s="92"/>
      <c r="W300" s="146" t="s">
        <v>61</v>
      </c>
      <c r="X300" s="92"/>
      <c r="Y300" s="146" t="s">
        <v>61</v>
      </c>
      <c r="Z300" s="92"/>
      <c r="AA300" s="146" t="s">
        <v>61</v>
      </c>
      <c r="AB300" s="92"/>
      <c r="AC300" s="146" t="s">
        <v>61</v>
      </c>
      <c r="AD300" s="92"/>
      <c r="AE300" s="146" t="s">
        <v>61</v>
      </c>
      <c r="AF300" s="143" t="str">
        <f t="shared" si="19"/>
        <v>NA</v>
      </c>
      <c r="AG300" s="199" t="str">
        <f t="shared" si="18"/>
        <v>NÃO AVALIADO POR FALHA DE SINCRONISMO</v>
      </c>
      <c r="AH300" s="146" t="s">
        <v>204</v>
      </c>
      <c r="AI300" s="154" t="s">
        <v>6</v>
      </c>
      <c r="AJ300" s="151" t="str">
        <f t="shared" si="21"/>
        <v>GUARULHOS</v>
      </c>
      <c r="AK300" s="155" t="s">
        <v>59</v>
      </c>
      <c r="AL300" s="53">
        <v>-5.9799999999999999E-2</v>
      </c>
      <c r="AM300" s="53" t="str" cm="1">
        <f t="array" ref="AM300">IF(OR(O300&lt;&gt;"", SUMPRODUCT(($AN$2:$AN$561=AN300)*($AL$2:$AL$561&lt;=AL300)) &lt;= (COUNTIF($AN$2:$AN$561,AN300)*0.5)), "SORTEADO", "-")</f>
        <v>SORTEADO</v>
      </c>
      <c r="AN300" s="53" t="str">
        <f t="shared" si="20"/>
        <v>27/04/2026</v>
      </c>
    </row>
    <row r="301" spans="1:40" ht="30" hidden="1" customHeight="1" x14ac:dyDescent="0.2">
      <c r="A301" s="230" t="s">
        <v>197</v>
      </c>
      <c r="B301" s="230">
        <v>2617163124</v>
      </c>
      <c r="C301" s="230" t="s">
        <v>2701</v>
      </c>
      <c r="D301" s="230" t="s">
        <v>110</v>
      </c>
      <c r="E301" s="230" t="s">
        <v>198</v>
      </c>
      <c r="F301" s="230" t="s">
        <v>3041</v>
      </c>
      <c r="G301" s="230">
        <v>152</v>
      </c>
      <c r="H301" s="230" t="s">
        <v>3046</v>
      </c>
      <c r="I301" s="230" t="s">
        <v>356</v>
      </c>
      <c r="J301" s="230" t="s">
        <v>2703</v>
      </c>
      <c r="K301" s="237" t="s">
        <v>3043</v>
      </c>
      <c r="L301" s="230" t="s">
        <v>2165</v>
      </c>
      <c r="M301" s="230" t="s">
        <v>3031</v>
      </c>
      <c r="N301" s="230" t="s">
        <v>2757</v>
      </c>
      <c r="O301" s="158" t="s">
        <v>61</v>
      </c>
      <c r="P301" s="92"/>
      <c r="Q301" s="146" t="s">
        <v>61</v>
      </c>
      <c r="R301" s="92"/>
      <c r="S301" s="146" t="s">
        <v>61</v>
      </c>
      <c r="T301" s="92"/>
      <c r="U301" s="146" t="s">
        <v>61</v>
      </c>
      <c r="V301" s="92"/>
      <c r="W301" s="146" t="s">
        <v>61</v>
      </c>
      <c r="X301" s="92"/>
      <c r="Y301" s="146" t="s">
        <v>61</v>
      </c>
      <c r="Z301" s="92"/>
      <c r="AA301" s="146" t="s">
        <v>61</v>
      </c>
      <c r="AB301" s="92"/>
      <c r="AC301" s="146" t="s">
        <v>61</v>
      </c>
      <c r="AD301" s="92"/>
      <c r="AE301" s="146" t="s">
        <v>61</v>
      </c>
      <c r="AF301" s="143" t="str">
        <f t="shared" si="19"/>
        <v>NA</v>
      </c>
      <c r="AG301" s="199" t="str">
        <f t="shared" si="18"/>
        <v>NÃO AVALIADO POR FALHA DE SINCRONISMO</v>
      </c>
      <c r="AH301" s="146" t="s">
        <v>204</v>
      </c>
      <c r="AI301" s="154" t="s">
        <v>6</v>
      </c>
      <c r="AJ301" s="151" t="str">
        <f t="shared" si="21"/>
        <v>GUARULHOS</v>
      </c>
      <c r="AK301" s="155" t="s">
        <v>59</v>
      </c>
      <c r="AL301" s="53">
        <v>-0.06</v>
      </c>
      <c r="AM301" s="53" t="str" cm="1">
        <f t="array" ref="AM301">IF(OR(O301&lt;&gt;"", SUMPRODUCT(($AN$2:$AN$561=AN301)*($AL$2:$AL$561&lt;=AL301)) &lt;= (COUNTIF($AN$2:$AN$561,AN301)*0.5)), "SORTEADO", "-")</f>
        <v>SORTEADO</v>
      </c>
      <c r="AN301" s="53" t="str">
        <f t="shared" si="20"/>
        <v>27/04/2026</v>
      </c>
    </row>
    <row r="302" spans="1:40" ht="30" hidden="1" customHeight="1" x14ac:dyDescent="0.2">
      <c r="A302" s="230" t="s">
        <v>197</v>
      </c>
      <c r="B302" s="230">
        <v>2617163583</v>
      </c>
      <c r="C302" s="230" t="s">
        <v>2701</v>
      </c>
      <c r="D302" s="230" t="s">
        <v>110</v>
      </c>
      <c r="E302" s="230" t="s">
        <v>198</v>
      </c>
      <c r="F302" s="230" t="s">
        <v>3041</v>
      </c>
      <c r="G302" s="230">
        <v>15</v>
      </c>
      <c r="H302" s="230"/>
      <c r="I302" s="230" t="s">
        <v>356</v>
      </c>
      <c r="J302" s="230" t="s">
        <v>2703</v>
      </c>
      <c r="K302" s="237" t="s">
        <v>3043</v>
      </c>
      <c r="L302" s="230" t="s">
        <v>2165</v>
      </c>
      <c r="M302" s="230" t="s">
        <v>3031</v>
      </c>
      <c r="N302" s="230" t="s">
        <v>2757</v>
      </c>
      <c r="O302" s="158" t="s">
        <v>61</v>
      </c>
      <c r="P302" s="92"/>
      <c r="Q302" s="146" t="s">
        <v>61</v>
      </c>
      <c r="R302" s="92"/>
      <c r="S302" s="146" t="s">
        <v>61</v>
      </c>
      <c r="T302" s="92"/>
      <c r="U302" s="146" t="s">
        <v>61</v>
      </c>
      <c r="V302" s="92"/>
      <c r="W302" s="146" t="s">
        <v>61</v>
      </c>
      <c r="X302" s="92"/>
      <c r="Y302" s="146" t="s">
        <v>61</v>
      </c>
      <c r="Z302" s="92"/>
      <c r="AA302" s="146" t="s">
        <v>61</v>
      </c>
      <c r="AB302" s="92"/>
      <c r="AC302" s="146" t="s">
        <v>61</v>
      </c>
      <c r="AD302" s="92"/>
      <c r="AE302" s="146" t="s">
        <v>61</v>
      </c>
      <c r="AF302" s="143" t="str">
        <f t="shared" si="19"/>
        <v>NA</v>
      </c>
      <c r="AG302" s="199" t="str">
        <f t="shared" si="18"/>
        <v>NÃO AVALIADO POR FALHA DE SINCRONISMO</v>
      </c>
      <c r="AH302" s="146" t="s">
        <v>204</v>
      </c>
      <c r="AI302" s="154" t="s">
        <v>6</v>
      </c>
      <c r="AJ302" s="151" t="str">
        <f t="shared" si="21"/>
        <v>GUARULHOS</v>
      </c>
      <c r="AK302" s="155" t="s">
        <v>59</v>
      </c>
      <c r="AL302" s="53">
        <v>-6.0199999999999997E-2</v>
      </c>
      <c r="AM302" s="53" t="str" cm="1">
        <f t="array" ref="AM302">IF(OR(O302&lt;&gt;"", SUMPRODUCT(($AN$2:$AN$561=AN302)*($AL$2:$AL$561&lt;=AL302)) &lt;= (COUNTIF($AN$2:$AN$561,AN302)*0.5)), "SORTEADO", "-")</f>
        <v>SORTEADO</v>
      </c>
      <c r="AN302" s="53" t="str">
        <f t="shared" si="20"/>
        <v>27/04/2026</v>
      </c>
    </row>
    <row r="303" spans="1:40" ht="30" hidden="1" customHeight="1" x14ac:dyDescent="0.2">
      <c r="A303" s="230" t="s">
        <v>197</v>
      </c>
      <c r="B303" s="230">
        <v>2617163034</v>
      </c>
      <c r="C303" s="230" t="s">
        <v>2701</v>
      </c>
      <c r="D303" s="230" t="s">
        <v>110</v>
      </c>
      <c r="E303" s="230" t="s">
        <v>198</v>
      </c>
      <c r="F303" s="230" t="s">
        <v>3041</v>
      </c>
      <c r="G303" s="230">
        <v>147</v>
      </c>
      <c r="H303" s="230" t="s">
        <v>3047</v>
      </c>
      <c r="I303" s="230" t="s">
        <v>356</v>
      </c>
      <c r="J303" s="230" t="s">
        <v>2703</v>
      </c>
      <c r="K303" s="237" t="s">
        <v>3043</v>
      </c>
      <c r="L303" s="230" t="s">
        <v>2165</v>
      </c>
      <c r="M303" s="230" t="s">
        <v>3031</v>
      </c>
      <c r="N303" s="230" t="s">
        <v>2757</v>
      </c>
      <c r="O303" s="158" t="s">
        <v>61</v>
      </c>
      <c r="P303" s="92"/>
      <c r="Q303" s="146" t="s">
        <v>61</v>
      </c>
      <c r="R303" s="92"/>
      <c r="S303" s="146" t="s">
        <v>61</v>
      </c>
      <c r="T303" s="92"/>
      <c r="U303" s="146" t="s">
        <v>61</v>
      </c>
      <c r="V303" s="92"/>
      <c r="W303" s="146" t="s">
        <v>61</v>
      </c>
      <c r="X303" s="92"/>
      <c r="Y303" s="146" t="s">
        <v>61</v>
      </c>
      <c r="Z303" s="92"/>
      <c r="AA303" s="146" t="s">
        <v>61</v>
      </c>
      <c r="AB303" s="92"/>
      <c r="AC303" s="146" t="s">
        <v>61</v>
      </c>
      <c r="AD303" s="92"/>
      <c r="AE303" s="146" t="s">
        <v>61</v>
      </c>
      <c r="AF303" s="143" t="str">
        <f t="shared" si="19"/>
        <v>NA</v>
      </c>
      <c r="AG303" s="199" t="str">
        <f t="shared" si="18"/>
        <v>NÃO AVALIADO POR FALHA DE SINCRONISMO</v>
      </c>
      <c r="AH303" s="146" t="s">
        <v>204</v>
      </c>
      <c r="AI303" s="154" t="s">
        <v>6</v>
      </c>
      <c r="AJ303" s="151" t="str">
        <f t="shared" si="21"/>
        <v>GUARULHOS</v>
      </c>
      <c r="AK303" s="155" t="s">
        <v>59</v>
      </c>
      <c r="AL303" s="53">
        <v>-6.0400000000000002E-2</v>
      </c>
      <c r="AM303" s="53" t="str" cm="1">
        <f t="array" ref="AM303">IF(OR(O303&lt;&gt;"", SUMPRODUCT(($AN$2:$AN$561=AN303)*($AL$2:$AL$561&lt;=AL303)) &lt;= (COUNTIF($AN$2:$AN$561,AN303)*0.5)), "SORTEADO", "-")</f>
        <v>SORTEADO</v>
      </c>
      <c r="AN303" s="53" t="str">
        <f t="shared" si="20"/>
        <v>27/04/2026</v>
      </c>
    </row>
    <row r="304" spans="1:40" ht="30" hidden="1" customHeight="1" x14ac:dyDescent="0.2">
      <c r="A304" s="230" t="s">
        <v>197</v>
      </c>
      <c r="B304" s="230">
        <v>2617163274</v>
      </c>
      <c r="C304" s="230" t="s">
        <v>2701</v>
      </c>
      <c r="D304" s="230" t="s">
        <v>110</v>
      </c>
      <c r="E304" s="230" t="s">
        <v>198</v>
      </c>
      <c r="F304" s="230" t="s">
        <v>3041</v>
      </c>
      <c r="G304" s="230">
        <v>146</v>
      </c>
      <c r="H304" s="230"/>
      <c r="I304" s="230" t="s">
        <v>356</v>
      </c>
      <c r="J304" s="230" t="s">
        <v>2703</v>
      </c>
      <c r="K304" s="237" t="s">
        <v>3043</v>
      </c>
      <c r="L304" s="230" t="s">
        <v>2165</v>
      </c>
      <c r="M304" s="230" t="s">
        <v>3031</v>
      </c>
      <c r="N304" s="230" t="s">
        <v>2757</v>
      </c>
      <c r="O304" s="158" t="s">
        <v>61</v>
      </c>
      <c r="P304" s="92"/>
      <c r="Q304" s="146" t="s">
        <v>61</v>
      </c>
      <c r="R304" s="92"/>
      <c r="S304" s="146" t="s">
        <v>61</v>
      </c>
      <c r="T304" s="92"/>
      <c r="U304" s="146" t="s">
        <v>61</v>
      </c>
      <c r="V304" s="92"/>
      <c r="W304" s="146" t="s">
        <v>61</v>
      </c>
      <c r="X304" s="92"/>
      <c r="Y304" s="146" t="s">
        <v>61</v>
      </c>
      <c r="Z304" s="92"/>
      <c r="AA304" s="146" t="s">
        <v>61</v>
      </c>
      <c r="AB304" s="92"/>
      <c r="AC304" s="146" t="s">
        <v>61</v>
      </c>
      <c r="AD304" s="92"/>
      <c r="AE304" s="146" t="s">
        <v>61</v>
      </c>
      <c r="AF304" s="143" t="str">
        <f t="shared" si="19"/>
        <v>NA</v>
      </c>
      <c r="AG304" s="199" t="str">
        <f t="shared" si="18"/>
        <v>NÃO AVALIADO POR FALHA DE SINCRONISMO</v>
      </c>
      <c r="AH304" s="146" t="s">
        <v>204</v>
      </c>
      <c r="AI304" s="154" t="s">
        <v>6</v>
      </c>
      <c r="AJ304" s="151" t="str">
        <f t="shared" si="21"/>
        <v>GUARULHOS</v>
      </c>
      <c r="AK304" s="155" t="s">
        <v>59</v>
      </c>
      <c r="AL304" s="53">
        <v>-6.0600000000000001E-2</v>
      </c>
      <c r="AM304" s="53" t="str" cm="1">
        <f t="array" ref="AM304">IF(OR(O304&lt;&gt;"", SUMPRODUCT(($AN$2:$AN$561=AN304)*($AL$2:$AL$561&lt;=AL304)) &lt;= (COUNTIF($AN$2:$AN$561,AN304)*0.5)), "SORTEADO", "-")</f>
        <v>SORTEADO</v>
      </c>
      <c r="AN304" s="53" t="str">
        <f t="shared" si="20"/>
        <v>27/04/2026</v>
      </c>
    </row>
    <row r="305" spans="1:40" ht="30" hidden="1" customHeight="1" x14ac:dyDescent="0.2">
      <c r="A305" s="230" t="s">
        <v>197</v>
      </c>
      <c r="B305" s="230">
        <v>2617162892</v>
      </c>
      <c r="C305" s="230" t="s">
        <v>2701</v>
      </c>
      <c r="D305" s="230" t="s">
        <v>110</v>
      </c>
      <c r="E305" s="230" t="s">
        <v>198</v>
      </c>
      <c r="F305" s="230" t="s">
        <v>3041</v>
      </c>
      <c r="G305" s="230">
        <v>141</v>
      </c>
      <c r="H305" s="230" t="s">
        <v>3048</v>
      </c>
      <c r="I305" s="230" t="s">
        <v>356</v>
      </c>
      <c r="J305" s="230" t="s">
        <v>2703</v>
      </c>
      <c r="K305" s="237" t="s">
        <v>3043</v>
      </c>
      <c r="L305" s="230" t="s">
        <v>2165</v>
      </c>
      <c r="M305" s="230" t="s">
        <v>3031</v>
      </c>
      <c r="N305" s="230" t="s">
        <v>2757</v>
      </c>
      <c r="O305" s="158" t="s">
        <v>61</v>
      </c>
      <c r="P305" s="92"/>
      <c r="Q305" s="146" t="s">
        <v>61</v>
      </c>
      <c r="R305" s="92"/>
      <c r="S305" s="146" t="s">
        <v>61</v>
      </c>
      <c r="T305" s="92"/>
      <c r="U305" s="146" t="s">
        <v>61</v>
      </c>
      <c r="V305" s="92"/>
      <c r="W305" s="146" t="s">
        <v>61</v>
      </c>
      <c r="X305" s="92"/>
      <c r="Y305" s="146" t="s">
        <v>61</v>
      </c>
      <c r="Z305" s="92"/>
      <c r="AA305" s="146" t="s">
        <v>61</v>
      </c>
      <c r="AB305" s="92"/>
      <c r="AC305" s="146" t="s">
        <v>61</v>
      </c>
      <c r="AD305" s="92"/>
      <c r="AE305" s="146" t="s">
        <v>61</v>
      </c>
      <c r="AF305" s="143" t="str">
        <f t="shared" si="19"/>
        <v>NA</v>
      </c>
      <c r="AG305" s="199" t="str">
        <f t="shared" si="18"/>
        <v>NÃO AVALIADO POR FALHA DE SINCRONISMO</v>
      </c>
      <c r="AH305" s="146" t="s">
        <v>204</v>
      </c>
      <c r="AI305" s="154" t="s">
        <v>6</v>
      </c>
      <c r="AJ305" s="151" t="str">
        <f t="shared" si="21"/>
        <v>GUARULHOS</v>
      </c>
      <c r="AK305" s="155" t="s">
        <v>59</v>
      </c>
      <c r="AL305" s="53">
        <v>-6.08E-2</v>
      </c>
      <c r="AM305" s="53" t="str" cm="1">
        <f t="array" ref="AM305">IF(OR(O305&lt;&gt;"", SUMPRODUCT(($AN$2:$AN$561=AN305)*($AL$2:$AL$561&lt;=AL305)) &lt;= (COUNTIF($AN$2:$AN$561,AN305)*0.5)), "SORTEADO", "-")</f>
        <v>SORTEADO</v>
      </c>
      <c r="AN305" s="53" t="str">
        <f t="shared" si="20"/>
        <v>27/04/2026</v>
      </c>
    </row>
    <row r="306" spans="1:40" ht="30" hidden="1" customHeight="1" x14ac:dyDescent="0.2">
      <c r="A306" s="230" t="s">
        <v>197</v>
      </c>
      <c r="B306" s="230">
        <v>2617163419</v>
      </c>
      <c r="C306" s="230" t="s">
        <v>2701</v>
      </c>
      <c r="D306" s="230" t="s">
        <v>110</v>
      </c>
      <c r="E306" s="230" t="s">
        <v>198</v>
      </c>
      <c r="F306" s="230" t="s">
        <v>3041</v>
      </c>
      <c r="G306" s="230">
        <v>140</v>
      </c>
      <c r="H306" s="230" t="s">
        <v>206</v>
      </c>
      <c r="I306" s="230" t="s">
        <v>356</v>
      </c>
      <c r="J306" s="230" t="s">
        <v>2703</v>
      </c>
      <c r="K306" s="237" t="s">
        <v>3043</v>
      </c>
      <c r="L306" s="230" t="s">
        <v>2165</v>
      </c>
      <c r="M306" s="230" t="s">
        <v>3031</v>
      </c>
      <c r="N306" s="230" t="s">
        <v>2757</v>
      </c>
      <c r="O306" s="158" t="s">
        <v>61</v>
      </c>
      <c r="P306" s="92"/>
      <c r="Q306" s="146" t="s">
        <v>61</v>
      </c>
      <c r="R306" s="92"/>
      <c r="S306" s="146" t="s">
        <v>61</v>
      </c>
      <c r="T306" s="92"/>
      <c r="U306" s="146" t="s">
        <v>61</v>
      </c>
      <c r="V306" s="92"/>
      <c r="W306" s="146" t="s">
        <v>61</v>
      </c>
      <c r="X306" s="92"/>
      <c r="Y306" s="146" t="s">
        <v>61</v>
      </c>
      <c r="Z306" s="92"/>
      <c r="AA306" s="146" t="s">
        <v>61</v>
      </c>
      <c r="AB306" s="92"/>
      <c r="AC306" s="146" t="s">
        <v>61</v>
      </c>
      <c r="AD306" s="92"/>
      <c r="AE306" s="146" t="s">
        <v>61</v>
      </c>
      <c r="AF306" s="143" t="str">
        <f t="shared" si="19"/>
        <v>NA</v>
      </c>
      <c r="AG306" s="199" t="str">
        <f t="shared" si="18"/>
        <v>NÃO AVALIADO POR FALHA DE SINCRONISMO</v>
      </c>
      <c r="AH306" s="146" t="s">
        <v>204</v>
      </c>
      <c r="AI306" s="154" t="s">
        <v>6</v>
      </c>
      <c r="AJ306" s="151" t="str">
        <f t="shared" si="21"/>
        <v>GUARULHOS</v>
      </c>
      <c r="AK306" s="155" t="s">
        <v>59</v>
      </c>
      <c r="AL306" s="53">
        <v>-6.0999999999999999E-2</v>
      </c>
      <c r="AM306" s="53" t="str" cm="1">
        <f t="array" ref="AM306">IF(OR(O306&lt;&gt;"", SUMPRODUCT(($AN$2:$AN$561=AN306)*($AL$2:$AL$561&lt;=AL306)) &lt;= (COUNTIF($AN$2:$AN$561,AN306)*0.5)), "SORTEADO", "-")</f>
        <v>SORTEADO</v>
      </c>
      <c r="AN306" s="53" t="str">
        <f t="shared" si="20"/>
        <v>27/04/2026</v>
      </c>
    </row>
    <row r="307" spans="1:40" ht="30" hidden="1" customHeight="1" x14ac:dyDescent="0.2">
      <c r="A307" s="230" t="s">
        <v>197</v>
      </c>
      <c r="B307" s="230">
        <v>2617163590</v>
      </c>
      <c r="C307" s="230" t="s">
        <v>2701</v>
      </c>
      <c r="D307" s="230" t="s">
        <v>110</v>
      </c>
      <c r="E307" s="230" t="s">
        <v>198</v>
      </c>
      <c r="F307" s="230" t="s">
        <v>3041</v>
      </c>
      <c r="G307" s="230">
        <v>134</v>
      </c>
      <c r="H307" s="230" t="s">
        <v>3049</v>
      </c>
      <c r="I307" s="230" t="s">
        <v>356</v>
      </c>
      <c r="J307" s="230" t="s">
        <v>2703</v>
      </c>
      <c r="K307" s="237" t="s">
        <v>3043</v>
      </c>
      <c r="L307" s="230" t="s">
        <v>2165</v>
      </c>
      <c r="M307" s="230" t="s">
        <v>3031</v>
      </c>
      <c r="N307" s="230" t="s">
        <v>2757</v>
      </c>
      <c r="O307" s="158" t="s">
        <v>61</v>
      </c>
      <c r="P307" s="92"/>
      <c r="Q307" s="146" t="s">
        <v>61</v>
      </c>
      <c r="R307" s="92"/>
      <c r="S307" s="146" t="s">
        <v>61</v>
      </c>
      <c r="T307" s="92"/>
      <c r="U307" s="146" t="s">
        <v>61</v>
      </c>
      <c r="V307" s="92"/>
      <c r="W307" s="146" t="s">
        <v>61</v>
      </c>
      <c r="X307" s="92"/>
      <c r="Y307" s="146" t="s">
        <v>61</v>
      </c>
      <c r="Z307" s="92"/>
      <c r="AA307" s="146" t="s">
        <v>61</v>
      </c>
      <c r="AB307" s="92"/>
      <c r="AC307" s="146" t="s">
        <v>61</v>
      </c>
      <c r="AD307" s="92"/>
      <c r="AE307" s="146" t="s">
        <v>61</v>
      </c>
      <c r="AF307" s="143" t="str">
        <f t="shared" si="19"/>
        <v>NA</v>
      </c>
      <c r="AG307" s="199" t="str">
        <f t="shared" si="18"/>
        <v>NÃO AVALIADO POR FALHA DE SINCRONISMO</v>
      </c>
      <c r="AH307" s="146" t="s">
        <v>204</v>
      </c>
      <c r="AI307" s="154" t="s">
        <v>6</v>
      </c>
      <c r="AJ307" s="151" t="str">
        <f t="shared" si="21"/>
        <v>GUARULHOS</v>
      </c>
      <c r="AK307" s="155" t="s">
        <v>59</v>
      </c>
      <c r="AL307" s="53">
        <v>-6.1199999999999997E-2</v>
      </c>
      <c r="AM307" s="53" t="str" cm="1">
        <f t="array" ref="AM307">IF(OR(O307&lt;&gt;"", SUMPRODUCT(($AN$2:$AN$561=AN307)*($AL$2:$AL$561&lt;=AL307)) &lt;= (COUNTIF($AN$2:$AN$561,AN307)*0.5)), "SORTEADO", "-")</f>
        <v>SORTEADO</v>
      </c>
      <c r="AN307" s="53" t="str">
        <f t="shared" si="20"/>
        <v>27/04/2026</v>
      </c>
    </row>
    <row r="308" spans="1:40" ht="30" hidden="1" customHeight="1" x14ac:dyDescent="0.2">
      <c r="A308" s="230" t="s">
        <v>197</v>
      </c>
      <c r="B308" s="230">
        <v>2617162743</v>
      </c>
      <c r="C308" s="230" t="s">
        <v>2701</v>
      </c>
      <c r="D308" s="230" t="s">
        <v>110</v>
      </c>
      <c r="E308" s="230" t="s">
        <v>198</v>
      </c>
      <c r="F308" s="230" t="s">
        <v>3041</v>
      </c>
      <c r="G308" s="230">
        <v>133</v>
      </c>
      <c r="H308" s="230"/>
      <c r="I308" s="230" t="s">
        <v>356</v>
      </c>
      <c r="J308" s="230" t="s">
        <v>2703</v>
      </c>
      <c r="K308" s="237" t="s">
        <v>3043</v>
      </c>
      <c r="L308" s="230" t="s">
        <v>2165</v>
      </c>
      <c r="M308" s="230" t="s">
        <v>3031</v>
      </c>
      <c r="N308" s="230" t="s">
        <v>2757</v>
      </c>
      <c r="O308" s="158" t="s">
        <v>61</v>
      </c>
      <c r="P308" s="92"/>
      <c r="Q308" s="146" t="s">
        <v>61</v>
      </c>
      <c r="R308" s="92"/>
      <c r="S308" s="146" t="s">
        <v>61</v>
      </c>
      <c r="T308" s="92"/>
      <c r="U308" s="146" t="s">
        <v>61</v>
      </c>
      <c r="V308" s="92"/>
      <c r="W308" s="146" t="s">
        <v>61</v>
      </c>
      <c r="X308" s="92"/>
      <c r="Y308" s="146" t="s">
        <v>61</v>
      </c>
      <c r="Z308" s="92"/>
      <c r="AA308" s="146" t="s">
        <v>61</v>
      </c>
      <c r="AB308" s="92"/>
      <c r="AC308" s="146" t="s">
        <v>61</v>
      </c>
      <c r="AD308" s="92"/>
      <c r="AE308" s="146" t="s">
        <v>61</v>
      </c>
      <c r="AF308" s="143" t="str">
        <f t="shared" si="19"/>
        <v>NA</v>
      </c>
      <c r="AG308" s="199" t="str">
        <f t="shared" si="18"/>
        <v>NÃO AVALIADO POR FALHA DE SINCRONISMO</v>
      </c>
      <c r="AH308" s="146" t="s">
        <v>204</v>
      </c>
      <c r="AI308" s="154" t="s">
        <v>6</v>
      </c>
      <c r="AJ308" s="151" t="str">
        <f t="shared" si="21"/>
        <v>GUARULHOS</v>
      </c>
      <c r="AK308" s="155" t="s">
        <v>59</v>
      </c>
      <c r="AL308" s="53">
        <v>-6.1400000000000003E-2</v>
      </c>
      <c r="AM308" s="53" t="str" cm="1">
        <f t="array" ref="AM308">IF(OR(O308&lt;&gt;"", SUMPRODUCT(($AN$2:$AN$561=AN308)*($AL$2:$AL$561&lt;=AL308)) &lt;= (COUNTIF($AN$2:$AN$561,AN308)*0.5)), "SORTEADO", "-")</f>
        <v>SORTEADO</v>
      </c>
      <c r="AN308" s="53" t="str">
        <f t="shared" si="20"/>
        <v>27/04/2026</v>
      </c>
    </row>
    <row r="309" spans="1:40" ht="30" hidden="1" customHeight="1" x14ac:dyDescent="0.2">
      <c r="A309" s="230" t="s">
        <v>197</v>
      </c>
      <c r="B309" s="230">
        <v>2617163727</v>
      </c>
      <c r="C309" s="230" t="s">
        <v>2701</v>
      </c>
      <c r="D309" s="230" t="s">
        <v>110</v>
      </c>
      <c r="E309" s="230" t="s">
        <v>198</v>
      </c>
      <c r="F309" s="230" t="s">
        <v>3041</v>
      </c>
      <c r="G309" s="230">
        <v>128</v>
      </c>
      <c r="H309" s="230" t="s">
        <v>3050</v>
      </c>
      <c r="I309" s="230" t="s">
        <v>356</v>
      </c>
      <c r="J309" s="230" t="s">
        <v>2703</v>
      </c>
      <c r="K309" s="237" t="s">
        <v>3043</v>
      </c>
      <c r="L309" s="230" t="s">
        <v>2165</v>
      </c>
      <c r="M309" s="230" t="s">
        <v>3031</v>
      </c>
      <c r="N309" s="230" t="s">
        <v>2757</v>
      </c>
      <c r="O309" s="158" t="s">
        <v>61</v>
      </c>
      <c r="P309" s="92"/>
      <c r="Q309" s="146" t="s">
        <v>61</v>
      </c>
      <c r="R309" s="92"/>
      <c r="S309" s="146" t="s">
        <v>61</v>
      </c>
      <c r="T309" s="92"/>
      <c r="U309" s="146" t="s">
        <v>61</v>
      </c>
      <c r="V309" s="92"/>
      <c r="W309" s="146" t="s">
        <v>61</v>
      </c>
      <c r="X309" s="92"/>
      <c r="Y309" s="146" t="s">
        <v>61</v>
      </c>
      <c r="Z309" s="92"/>
      <c r="AA309" s="146" t="s">
        <v>61</v>
      </c>
      <c r="AB309" s="92"/>
      <c r="AC309" s="146" t="s">
        <v>61</v>
      </c>
      <c r="AD309" s="92"/>
      <c r="AE309" s="146" t="s">
        <v>61</v>
      </c>
      <c r="AF309" s="143" t="str">
        <f t="shared" si="19"/>
        <v>NA</v>
      </c>
      <c r="AG309" s="199" t="str">
        <f t="shared" si="18"/>
        <v>NÃO AVALIADO POR FALHA DE SINCRONISMO</v>
      </c>
      <c r="AH309" s="146" t="s">
        <v>204</v>
      </c>
      <c r="AI309" s="154" t="s">
        <v>6</v>
      </c>
      <c r="AJ309" s="151" t="str">
        <f t="shared" si="21"/>
        <v>GUARULHOS</v>
      </c>
      <c r="AK309" s="155" t="s">
        <v>59</v>
      </c>
      <c r="AL309" s="53">
        <v>-6.1600000000000002E-2</v>
      </c>
      <c r="AM309" s="53" t="str" cm="1">
        <f t="array" ref="AM309">IF(OR(O309&lt;&gt;"", SUMPRODUCT(($AN$2:$AN$561=AN309)*($AL$2:$AL$561&lt;=AL309)) &lt;= (COUNTIF($AN$2:$AN$561,AN309)*0.5)), "SORTEADO", "-")</f>
        <v>SORTEADO</v>
      </c>
      <c r="AN309" s="53" t="str">
        <f t="shared" si="20"/>
        <v>27/04/2026</v>
      </c>
    </row>
    <row r="310" spans="1:40" ht="30" hidden="1" customHeight="1" x14ac:dyDescent="0.2">
      <c r="A310" s="230" t="s">
        <v>197</v>
      </c>
      <c r="B310" s="230">
        <v>2617162565</v>
      </c>
      <c r="C310" s="230" t="s">
        <v>2701</v>
      </c>
      <c r="D310" s="230" t="s">
        <v>110</v>
      </c>
      <c r="E310" s="230" t="s">
        <v>198</v>
      </c>
      <c r="F310" s="230" t="s">
        <v>3041</v>
      </c>
      <c r="G310" s="230">
        <v>125</v>
      </c>
      <c r="H310" s="230" t="s">
        <v>2521</v>
      </c>
      <c r="I310" s="230" t="s">
        <v>356</v>
      </c>
      <c r="J310" s="230" t="s">
        <v>2703</v>
      </c>
      <c r="K310" s="237" t="s">
        <v>3043</v>
      </c>
      <c r="L310" s="230" t="s">
        <v>2165</v>
      </c>
      <c r="M310" s="230" t="s">
        <v>3031</v>
      </c>
      <c r="N310" s="230" t="s">
        <v>2757</v>
      </c>
      <c r="O310" s="158" t="s">
        <v>61</v>
      </c>
      <c r="P310" s="92"/>
      <c r="Q310" s="146" t="s">
        <v>61</v>
      </c>
      <c r="R310" s="92"/>
      <c r="S310" s="146" t="s">
        <v>61</v>
      </c>
      <c r="T310" s="92"/>
      <c r="U310" s="146" t="s">
        <v>61</v>
      </c>
      <c r="V310" s="92"/>
      <c r="W310" s="146" t="s">
        <v>61</v>
      </c>
      <c r="X310" s="92"/>
      <c r="Y310" s="146" t="s">
        <v>61</v>
      </c>
      <c r="Z310" s="92"/>
      <c r="AA310" s="146" t="s">
        <v>61</v>
      </c>
      <c r="AB310" s="92"/>
      <c r="AC310" s="146" t="s">
        <v>61</v>
      </c>
      <c r="AD310" s="92"/>
      <c r="AE310" s="146" t="s">
        <v>61</v>
      </c>
      <c r="AF310" s="143" t="str">
        <f t="shared" si="19"/>
        <v>NA</v>
      </c>
      <c r="AG310" s="199" t="str">
        <f t="shared" si="18"/>
        <v>NÃO AVALIADO POR FALHA DE SINCRONISMO</v>
      </c>
      <c r="AH310" s="146" t="s">
        <v>204</v>
      </c>
      <c r="AI310" s="154" t="s">
        <v>6</v>
      </c>
      <c r="AJ310" s="151" t="str">
        <f t="shared" si="21"/>
        <v>GUARULHOS</v>
      </c>
      <c r="AK310" s="155" t="s">
        <v>59</v>
      </c>
      <c r="AL310" s="53">
        <v>-6.1800000000000001E-2</v>
      </c>
      <c r="AM310" s="53" t="str" cm="1">
        <f t="array" ref="AM310">IF(OR(O310&lt;&gt;"", SUMPRODUCT(($AN$2:$AN$561=AN310)*($AL$2:$AL$561&lt;=AL310)) &lt;= (COUNTIF($AN$2:$AN$561,AN310)*0.5)), "SORTEADO", "-")</f>
        <v>SORTEADO</v>
      </c>
      <c r="AN310" s="53" t="str">
        <f t="shared" si="20"/>
        <v>27/04/2026</v>
      </c>
    </row>
    <row r="311" spans="1:40" ht="30" hidden="1" customHeight="1" x14ac:dyDescent="0.2">
      <c r="A311" s="230" t="s">
        <v>197</v>
      </c>
      <c r="B311" s="230">
        <v>2617165507</v>
      </c>
      <c r="C311" s="230" t="s">
        <v>2701</v>
      </c>
      <c r="D311" s="230" t="s">
        <v>110</v>
      </c>
      <c r="E311" s="230" t="s">
        <v>198</v>
      </c>
      <c r="F311" s="230" t="s">
        <v>3041</v>
      </c>
      <c r="G311" s="230">
        <v>89</v>
      </c>
      <c r="H311" s="230" t="s">
        <v>827</v>
      </c>
      <c r="I311" s="230" t="s">
        <v>356</v>
      </c>
      <c r="J311" s="230" t="s">
        <v>2703</v>
      </c>
      <c r="K311" s="230" t="s">
        <v>3051</v>
      </c>
      <c r="L311" s="230" t="s">
        <v>2165</v>
      </c>
      <c r="M311" s="230" t="s">
        <v>3052</v>
      </c>
      <c r="N311" s="230" t="s">
        <v>2757</v>
      </c>
      <c r="O311" s="158" t="s">
        <v>61</v>
      </c>
      <c r="P311" s="92"/>
      <c r="Q311" s="146" t="s">
        <v>61</v>
      </c>
      <c r="R311" s="92"/>
      <c r="S311" s="146" t="s">
        <v>61</v>
      </c>
      <c r="T311" s="92"/>
      <c r="U311" s="146" t="s">
        <v>61</v>
      </c>
      <c r="V311" s="92"/>
      <c r="W311" s="146" t="s">
        <v>61</v>
      </c>
      <c r="X311" s="92"/>
      <c r="Y311" s="146" t="s">
        <v>61</v>
      </c>
      <c r="Z311" s="92"/>
      <c r="AA311" s="146" t="s">
        <v>61</v>
      </c>
      <c r="AB311" s="92"/>
      <c r="AC311" s="146" t="s">
        <v>61</v>
      </c>
      <c r="AD311" s="92"/>
      <c r="AE311" s="146" t="s">
        <v>61</v>
      </c>
      <c r="AF311" s="143" t="str">
        <f t="shared" si="19"/>
        <v>NA</v>
      </c>
      <c r="AG311" s="199" t="str">
        <f t="shared" si="18"/>
        <v>NÃO AVALIADO POR FALHA DE SINCRONISMO</v>
      </c>
      <c r="AH311" s="146" t="s">
        <v>204</v>
      </c>
      <c r="AI311" s="154" t="s">
        <v>6</v>
      </c>
      <c r="AJ311" s="151" t="str">
        <f t="shared" si="21"/>
        <v>GUARULHOS</v>
      </c>
      <c r="AK311" s="155" t="s">
        <v>59</v>
      </c>
      <c r="AL311" s="53">
        <v>-6.2E-2</v>
      </c>
      <c r="AM311" s="53" t="str" cm="1">
        <f t="array" ref="AM311">IF(OR(O311&lt;&gt;"", SUMPRODUCT(($AN$2:$AN$561=AN311)*($AL$2:$AL$561&lt;=AL311)) &lt;= (COUNTIF($AN$2:$AN$561,AN311)*0.5)), "SORTEADO", "-")</f>
        <v>SORTEADO</v>
      </c>
      <c r="AN311" s="53" t="str">
        <f t="shared" si="20"/>
        <v>27/04/2026</v>
      </c>
    </row>
    <row r="312" spans="1:40" ht="30" hidden="1" customHeight="1" x14ac:dyDescent="0.2">
      <c r="A312" s="230" t="s">
        <v>197</v>
      </c>
      <c r="B312" s="230">
        <v>2617164243</v>
      </c>
      <c r="C312" s="230" t="s">
        <v>2701</v>
      </c>
      <c r="D312" s="230" t="s">
        <v>110</v>
      </c>
      <c r="E312" s="230" t="s">
        <v>198</v>
      </c>
      <c r="F312" s="230" t="s">
        <v>3041</v>
      </c>
      <c r="G312" s="230">
        <v>88</v>
      </c>
      <c r="H312" s="230" t="s">
        <v>1749</v>
      </c>
      <c r="I312" s="230" t="s">
        <v>356</v>
      </c>
      <c r="J312" s="230" t="s">
        <v>2703</v>
      </c>
      <c r="K312" s="237" t="s">
        <v>3043</v>
      </c>
      <c r="L312" s="230" t="s">
        <v>2165</v>
      </c>
      <c r="M312" s="230" t="s">
        <v>3031</v>
      </c>
      <c r="N312" s="230" t="s">
        <v>2757</v>
      </c>
      <c r="O312" s="158" t="s">
        <v>61</v>
      </c>
      <c r="P312" s="92"/>
      <c r="Q312" s="146" t="s">
        <v>61</v>
      </c>
      <c r="R312" s="92"/>
      <c r="S312" s="146" t="s">
        <v>61</v>
      </c>
      <c r="T312" s="92"/>
      <c r="U312" s="146" t="s">
        <v>61</v>
      </c>
      <c r="V312" s="92"/>
      <c r="W312" s="146" t="s">
        <v>61</v>
      </c>
      <c r="X312" s="92"/>
      <c r="Y312" s="146" t="s">
        <v>61</v>
      </c>
      <c r="Z312" s="92"/>
      <c r="AA312" s="146" t="s">
        <v>61</v>
      </c>
      <c r="AB312" s="92"/>
      <c r="AC312" s="146" t="s">
        <v>61</v>
      </c>
      <c r="AD312" s="92"/>
      <c r="AE312" s="146" t="s">
        <v>61</v>
      </c>
      <c r="AF312" s="143" t="str">
        <f t="shared" si="19"/>
        <v>NA</v>
      </c>
      <c r="AG312" s="199" t="str">
        <f t="shared" si="18"/>
        <v>NÃO AVALIADO POR FALHA DE SINCRONISMO</v>
      </c>
      <c r="AH312" s="146" t="s">
        <v>204</v>
      </c>
      <c r="AI312" s="154" t="s">
        <v>6</v>
      </c>
      <c r="AJ312" s="151" t="str">
        <f t="shared" si="21"/>
        <v>GUARULHOS</v>
      </c>
      <c r="AK312" s="155" t="s">
        <v>59</v>
      </c>
      <c r="AL312" s="53">
        <v>-6.2199999999999998E-2</v>
      </c>
      <c r="AM312" s="53" t="str" cm="1">
        <f t="array" ref="AM312">IF(OR(O312&lt;&gt;"", SUMPRODUCT(($AN$2:$AN$561=AN312)*($AL$2:$AL$561&lt;=AL312)) &lt;= (COUNTIF($AN$2:$AN$561,AN312)*0.5)), "SORTEADO", "-")</f>
        <v>SORTEADO</v>
      </c>
      <c r="AN312" s="53" t="str">
        <f t="shared" si="20"/>
        <v>27/04/2026</v>
      </c>
    </row>
    <row r="313" spans="1:40" ht="30" hidden="1" customHeight="1" x14ac:dyDescent="0.2">
      <c r="A313" s="230" t="s">
        <v>197</v>
      </c>
      <c r="B313" s="230">
        <v>2617165254</v>
      </c>
      <c r="C313" s="230" t="s">
        <v>2701</v>
      </c>
      <c r="D313" s="230" t="s">
        <v>110</v>
      </c>
      <c r="E313" s="230" t="s">
        <v>198</v>
      </c>
      <c r="F313" s="230" t="s">
        <v>3041</v>
      </c>
      <c r="G313" s="230">
        <v>83</v>
      </c>
      <c r="H313" s="230" t="s">
        <v>3053</v>
      </c>
      <c r="I313" s="230" t="s">
        <v>356</v>
      </c>
      <c r="J313" s="230" t="s">
        <v>2703</v>
      </c>
      <c r="K313" s="237" t="s">
        <v>3043</v>
      </c>
      <c r="L313" s="230" t="s">
        <v>2165</v>
      </c>
      <c r="M313" s="230" t="s">
        <v>3031</v>
      </c>
      <c r="N313" s="230" t="s">
        <v>2757</v>
      </c>
      <c r="O313" s="158" t="s">
        <v>61</v>
      </c>
      <c r="P313" s="92"/>
      <c r="Q313" s="146" t="s">
        <v>61</v>
      </c>
      <c r="R313" s="92"/>
      <c r="S313" s="146" t="s">
        <v>61</v>
      </c>
      <c r="T313" s="92"/>
      <c r="U313" s="146" t="s">
        <v>61</v>
      </c>
      <c r="V313" s="92"/>
      <c r="W313" s="146" t="s">
        <v>61</v>
      </c>
      <c r="X313" s="92"/>
      <c r="Y313" s="146" t="s">
        <v>61</v>
      </c>
      <c r="Z313" s="92"/>
      <c r="AA313" s="146" t="s">
        <v>61</v>
      </c>
      <c r="AB313" s="92"/>
      <c r="AC313" s="146" t="s">
        <v>61</v>
      </c>
      <c r="AD313" s="92"/>
      <c r="AE313" s="146" t="s">
        <v>61</v>
      </c>
      <c r="AF313" s="143" t="str">
        <f t="shared" si="19"/>
        <v>NA</v>
      </c>
      <c r="AG313" s="199" t="str">
        <f t="shared" si="18"/>
        <v>NÃO AVALIADO POR FALHA DE SINCRONISMO</v>
      </c>
      <c r="AH313" s="146" t="s">
        <v>204</v>
      </c>
      <c r="AI313" s="154" t="s">
        <v>6</v>
      </c>
      <c r="AJ313" s="151" t="str">
        <f t="shared" si="21"/>
        <v>GUARULHOS</v>
      </c>
      <c r="AK313" s="155" t="s">
        <v>59</v>
      </c>
      <c r="AL313" s="53">
        <v>-6.2399999999999997E-2</v>
      </c>
      <c r="AM313" s="53" t="str" cm="1">
        <f t="array" ref="AM313">IF(OR(O313&lt;&gt;"", SUMPRODUCT(($AN$2:$AN$561=AN313)*($AL$2:$AL$561&lt;=AL313)) &lt;= (COUNTIF($AN$2:$AN$561,AN313)*0.5)), "SORTEADO", "-")</f>
        <v>SORTEADO</v>
      </c>
      <c r="AN313" s="53" t="str">
        <f t="shared" si="20"/>
        <v>27/04/2026</v>
      </c>
    </row>
    <row r="314" spans="1:40" ht="30" hidden="1" customHeight="1" x14ac:dyDescent="0.2">
      <c r="A314" s="230" t="s">
        <v>197</v>
      </c>
      <c r="B314" s="230">
        <v>2617164501</v>
      </c>
      <c r="C314" s="230" t="s">
        <v>2701</v>
      </c>
      <c r="D314" s="230" t="s">
        <v>110</v>
      </c>
      <c r="E314" s="230" t="s">
        <v>198</v>
      </c>
      <c r="F314" s="230" t="s">
        <v>3041</v>
      </c>
      <c r="G314" s="230">
        <v>80</v>
      </c>
      <c r="H314" s="230" t="s">
        <v>3054</v>
      </c>
      <c r="I314" s="230" t="s">
        <v>356</v>
      </c>
      <c r="J314" s="230" t="s">
        <v>2703</v>
      </c>
      <c r="K314" s="237" t="s">
        <v>3043</v>
      </c>
      <c r="L314" s="230" t="s">
        <v>2165</v>
      </c>
      <c r="M314" s="230" t="s">
        <v>3031</v>
      </c>
      <c r="N314" s="230" t="s">
        <v>2757</v>
      </c>
      <c r="O314" s="158" t="s">
        <v>61</v>
      </c>
      <c r="P314" s="92"/>
      <c r="Q314" s="146" t="s">
        <v>61</v>
      </c>
      <c r="R314" s="92"/>
      <c r="S314" s="146" t="s">
        <v>61</v>
      </c>
      <c r="T314" s="92"/>
      <c r="U314" s="146" t="s">
        <v>61</v>
      </c>
      <c r="V314" s="92"/>
      <c r="W314" s="146" t="s">
        <v>61</v>
      </c>
      <c r="X314" s="92"/>
      <c r="Y314" s="146" t="s">
        <v>61</v>
      </c>
      <c r="Z314" s="92"/>
      <c r="AA314" s="146" t="s">
        <v>61</v>
      </c>
      <c r="AB314" s="92"/>
      <c r="AC314" s="146" t="s">
        <v>61</v>
      </c>
      <c r="AD314" s="92"/>
      <c r="AE314" s="146" t="s">
        <v>61</v>
      </c>
      <c r="AF314" s="143" t="str">
        <f t="shared" si="19"/>
        <v>NA</v>
      </c>
      <c r="AG314" s="199" t="str">
        <f t="shared" si="18"/>
        <v>NÃO AVALIADO POR FALHA DE SINCRONISMO</v>
      </c>
      <c r="AH314" s="146" t="s">
        <v>204</v>
      </c>
      <c r="AI314" s="154" t="s">
        <v>6</v>
      </c>
      <c r="AJ314" s="151" t="str">
        <f t="shared" si="21"/>
        <v>GUARULHOS</v>
      </c>
      <c r="AK314" s="155" t="s">
        <v>59</v>
      </c>
      <c r="AL314" s="53">
        <v>-6.2600000000000003E-2</v>
      </c>
      <c r="AM314" s="53" t="str" cm="1">
        <f t="array" ref="AM314">IF(OR(O314&lt;&gt;"", SUMPRODUCT(($AN$2:$AN$561=AN314)*($AL$2:$AL$561&lt;=AL314)) &lt;= (COUNTIF($AN$2:$AN$561,AN314)*0.5)), "SORTEADO", "-")</f>
        <v>SORTEADO</v>
      </c>
      <c r="AN314" s="53" t="str">
        <f t="shared" si="20"/>
        <v>27/04/2026</v>
      </c>
    </row>
    <row r="315" spans="1:40" ht="30" hidden="1" customHeight="1" x14ac:dyDescent="0.2">
      <c r="A315" s="230" t="s">
        <v>197</v>
      </c>
      <c r="B315" s="230">
        <v>2617164589</v>
      </c>
      <c r="C315" s="230" t="s">
        <v>2701</v>
      </c>
      <c r="D315" s="230" t="s">
        <v>110</v>
      </c>
      <c r="E315" s="230" t="s">
        <v>198</v>
      </c>
      <c r="F315" s="230" t="s">
        <v>3041</v>
      </c>
      <c r="G315" s="230">
        <v>73</v>
      </c>
      <c r="H315" s="230" t="s">
        <v>213</v>
      </c>
      <c r="I315" s="230" t="s">
        <v>356</v>
      </c>
      <c r="J315" s="230" t="s">
        <v>2703</v>
      </c>
      <c r="K315" s="237" t="s">
        <v>3043</v>
      </c>
      <c r="L315" s="230" t="s">
        <v>2165</v>
      </c>
      <c r="M315" s="230" t="s">
        <v>3031</v>
      </c>
      <c r="N315" s="230" t="s">
        <v>2757</v>
      </c>
      <c r="O315" s="158" t="s">
        <v>61</v>
      </c>
      <c r="P315" s="92"/>
      <c r="Q315" s="146" t="s">
        <v>61</v>
      </c>
      <c r="R315" s="92"/>
      <c r="S315" s="146" t="s">
        <v>61</v>
      </c>
      <c r="T315" s="92"/>
      <c r="U315" s="146" t="s">
        <v>61</v>
      </c>
      <c r="V315" s="92"/>
      <c r="W315" s="146" t="s">
        <v>61</v>
      </c>
      <c r="X315" s="92"/>
      <c r="Y315" s="146" t="s">
        <v>61</v>
      </c>
      <c r="Z315" s="92"/>
      <c r="AA315" s="146" t="s">
        <v>61</v>
      </c>
      <c r="AB315" s="92"/>
      <c r="AC315" s="146" t="s">
        <v>61</v>
      </c>
      <c r="AD315" s="92"/>
      <c r="AE315" s="146" t="s">
        <v>61</v>
      </c>
      <c r="AF315" s="143" t="str">
        <f t="shared" si="19"/>
        <v>NA</v>
      </c>
      <c r="AG315" s="199" t="str">
        <f t="shared" si="18"/>
        <v>NÃO AVALIADO POR FALHA DE SINCRONISMO</v>
      </c>
      <c r="AH315" s="146" t="s">
        <v>204</v>
      </c>
      <c r="AI315" s="154" t="s">
        <v>6</v>
      </c>
      <c r="AJ315" s="151" t="str">
        <f t="shared" si="21"/>
        <v>GUARULHOS</v>
      </c>
      <c r="AK315" s="155" t="s">
        <v>59</v>
      </c>
      <c r="AL315" s="53">
        <v>-6.2799999999999995E-2</v>
      </c>
      <c r="AM315" s="53" t="str" cm="1">
        <f t="array" ref="AM315">IF(OR(O315&lt;&gt;"", SUMPRODUCT(($AN$2:$AN$561=AN315)*($AL$2:$AL$561&lt;=AL315)) &lt;= (COUNTIF($AN$2:$AN$561,AN315)*0.5)), "SORTEADO", "-")</f>
        <v>SORTEADO</v>
      </c>
      <c r="AN315" s="53" t="str">
        <f t="shared" si="20"/>
        <v>27/04/2026</v>
      </c>
    </row>
    <row r="316" spans="1:40" ht="30" hidden="1" customHeight="1" x14ac:dyDescent="0.2">
      <c r="A316" s="230" t="s">
        <v>197</v>
      </c>
      <c r="B316" s="230">
        <v>2617162492</v>
      </c>
      <c r="C316" s="230" t="s">
        <v>2701</v>
      </c>
      <c r="D316" s="230" t="s">
        <v>110</v>
      </c>
      <c r="E316" s="230" t="s">
        <v>198</v>
      </c>
      <c r="F316" s="230" t="s">
        <v>3041</v>
      </c>
      <c r="G316" s="230">
        <v>69</v>
      </c>
      <c r="H316" s="230" t="s">
        <v>235</v>
      </c>
      <c r="I316" s="230" t="s">
        <v>356</v>
      </c>
      <c r="J316" s="230" t="s">
        <v>2703</v>
      </c>
      <c r="K316" s="237" t="s">
        <v>3043</v>
      </c>
      <c r="L316" s="230" t="s">
        <v>2165</v>
      </c>
      <c r="M316" s="230" t="s">
        <v>3031</v>
      </c>
      <c r="N316" s="230" t="s">
        <v>2757</v>
      </c>
      <c r="O316" s="158" t="s">
        <v>61</v>
      </c>
      <c r="P316" s="92"/>
      <c r="Q316" s="146" t="s">
        <v>61</v>
      </c>
      <c r="R316" s="92"/>
      <c r="S316" s="146" t="s">
        <v>61</v>
      </c>
      <c r="T316" s="92"/>
      <c r="U316" s="146" t="s">
        <v>61</v>
      </c>
      <c r="V316" s="92"/>
      <c r="W316" s="146" t="s">
        <v>61</v>
      </c>
      <c r="X316" s="92"/>
      <c r="Y316" s="146" t="s">
        <v>61</v>
      </c>
      <c r="Z316" s="92"/>
      <c r="AA316" s="146" t="s">
        <v>61</v>
      </c>
      <c r="AB316" s="92"/>
      <c r="AC316" s="146" t="s">
        <v>61</v>
      </c>
      <c r="AD316" s="92"/>
      <c r="AE316" s="146" t="s">
        <v>61</v>
      </c>
      <c r="AF316" s="143" t="str">
        <f t="shared" si="19"/>
        <v>NA</v>
      </c>
      <c r="AG316" s="199" t="str">
        <f t="shared" si="18"/>
        <v>NÃO AVALIADO POR FALHA DE SINCRONISMO</v>
      </c>
      <c r="AH316" s="146" t="s">
        <v>204</v>
      </c>
      <c r="AI316" s="154" t="s">
        <v>6</v>
      </c>
      <c r="AJ316" s="151" t="str">
        <f t="shared" si="21"/>
        <v>GUARULHOS</v>
      </c>
      <c r="AK316" s="155" t="s">
        <v>59</v>
      </c>
      <c r="AL316" s="53">
        <v>-6.3E-2</v>
      </c>
      <c r="AM316" s="53" t="str" cm="1">
        <f t="array" ref="AM316">IF(OR(O316&lt;&gt;"", SUMPRODUCT(($AN$2:$AN$561=AN316)*($AL$2:$AL$561&lt;=AL316)) &lt;= (COUNTIF($AN$2:$AN$561,AN316)*0.5)), "SORTEADO", "-")</f>
        <v>SORTEADO</v>
      </c>
      <c r="AN316" s="53" t="str">
        <f t="shared" si="20"/>
        <v>27/04/2026</v>
      </c>
    </row>
    <row r="317" spans="1:40" ht="30" hidden="1" customHeight="1" x14ac:dyDescent="0.2">
      <c r="A317" s="230" t="s">
        <v>197</v>
      </c>
      <c r="B317" s="230">
        <v>2617164405</v>
      </c>
      <c r="C317" s="230" t="s">
        <v>2701</v>
      </c>
      <c r="D317" s="230" t="s">
        <v>110</v>
      </c>
      <c r="E317" s="230" t="s">
        <v>198</v>
      </c>
      <c r="F317" s="230" t="s">
        <v>3041</v>
      </c>
      <c r="G317" s="230">
        <v>65</v>
      </c>
      <c r="H317" s="230" t="s">
        <v>3055</v>
      </c>
      <c r="I317" s="230" t="s">
        <v>356</v>
      </c>
      <c r="J317" s="230" t="s">
        <v>2703</v>
      </c>
      <c r="K317" s="237" t="s">
        <v>3043</v>
      </c>
      <c r="L317" s="230" t="s">
        <v>2165</v>
      </c>
      <c r="M317" s="230" t="s">
        <v>3031</v>
      </c>
      <c r="N317" s="230" t="s">
        <v>2757</v>
      </c>
      <c r="O317" s="158" t="s">
        <v>61</v>
      </c>
      <c r="P317" s="92"/>
      <c r="Q317" s="146" t="s">
        <v>61</v>
      </c>
      <c r="R317" s="92"/>
      <c r="S317" s="146" t="s">
        <v>61</v>
      </c>
      <c r="T317" s="92"/>
      <c r="U317" s="146" t="s">
        <v>61</v>
      </c>
      <c r="V317" s="92"/>
      <c r="W317" s="146" t="s">
        <v>61</v>
      </c>
      <c r="X317" s="92"/>
      <c r="Y317" s="146" t="s">
        <v>61</v>
      </c>
      <c r="Z317" s="92"/>
      <c r="AA317" s="146" t="s">
        <v>61</v>
      </c>
      <c r="AB317" s="92"/>
      <c r="AC317" s="146" t="s">
        <v>61</v>
      </c>
      <c r="AD317" s="92"/>
      <c r="AE317" s="146" t="s">
        <v>61</v>
      </c>
      <c r="AF317" s="143" t="str">
        <f t="shared" si="19"/>
        <v>NA</v>
      </c>
      <c r="AG317" s="199" t="str">
        <f t="shared" si="18"/>
        <v>NÃO AVALIADO POR FALHA DE SINCRONISMO</v>
      </c>
      <c r="AH317" s="146" t="s">
        <v>204</v>
      </c>
      <c r="AI317" s="154" t="s">
        <v>6</v>
      </c>
      <c r="AJ317" s="151" t="str">
        <f t="shared" si="21"/>
        <v>GUARULHOS</v>
      </c>
      <c r="AK317" s="155" t="s">
        <v>59</v>
      </c>
      <c r="AL317" s="53">
        <v>-6.3200000000000006E-2</v>
      </c>
      <c r="AM317" s="53" t="str" cm="1">
        <f t="array" ref="AM317">IF(OR(O317&lt;&gt;"", SUMPRODUCT(($AN$2:$AN$561=AN317)*($AL$2:$AL$561&lt;=AL317)) &lt;= (COUNTIF($AN$2:$AN$561,AN317)*0.5)), "SORTEADO", "-")</f>
        <v>SORTEADO</v>
      </c>
      <c r="AN317" s="53" t="str">
        <f t="shared" si="20"/>
        <v>27/04/2026</v>
      </c>
    </row>
    <row r="318" spans="1:40" ht="30" hidden="1" customHeight="1" x14ac:dyDescent="0.2">
      <c r="A318" s="230" t="s">
        <v>197</v>
      </c>
      <c r="B318" s="230">
        <v>2617164779</v>
      </c>
      <c r="C318" s="230" t="s">
        <v>2701</v>
      </c>
      <c r="D318" s="230" t="s">
        <v>110</v>
      </c>
      <c r="E318" s="230" t="s">
        <v>198</v>
      </c>
      <c r="F318" s="230" t="s">
        <v>3041</v>
      </c>
      <c r="G318" s="230">
        <v>58</v>
      </c>
      <c r="H318" s="230" t="s">
        <v>288</v>
      </c>
      <c r="I318" s="230" t="s">
        <v>356</v>
      </c>
      <c r="J318" s="230" t="s">
        <v>2703</v>
      </c>
      <c r="K318" s="237" t="s">
        <v>3043</v>
      </c>
      <c r="L318" s="230" t="s">
        <v>2165</v>
      </c>
      <c r="M318" s="230" t="s">
        <v>3031</v>
      </c>
      <c r="N318" s="230" t="s">
        <v>2757</v>
      </c>
      <c r="O318" s="158" t="s">
        <v>61</v>
      </c>
      <c r="P318" s="92"/>
      <c r="Q318" s="146" t="s">
        <v>61</v>
      </c>
      <c r="R318" s="92"/>
      <c r="S318" s="146" t="s">
        <v>61</v>
      </c>
      <c r="T318" s="92"/>
      <c r="U318" s="146" t="s">
        <v>61</v>
      </c>
      <c r="V318" s="92"/>
      <c r="W318" s="146" t="s">
        <v>61</v>
      </c>
      <c r="X318" s="92"/>
      <c r="Y318" s="146" t="s">
        <v>61</v>
      </c>
      <c r="Z318" s="92"/>
      <c r="AA318" s="146" t="s">
        <v>61</v>
      </c>
      <c r="AB318" s="92"/>
      <c r="AC318" s="146" t="s">
        <v>61</v>
      </c>
      <c r="AD318" s="92"/>
      <c r="AE318" s="146" t="s">
        <v>61</v>
      </c>
      <c r="AF318" s="143" t="str">
        <f t="shared" si="19"/>
        <v>NA</v>
      </c>
      <c r="AG318" s="199" t="str">
        <f t="shared" ref="AG318:AG381" si="22">IF(AND(AE318="C",AF318="C"),"UTILIZOU O PDA CORRETAMENTE",IF(AND(AE318="C",AF318="NC"),"UTILIZOU O PDA CORRETAMENTE. NÃO HÁ FOTOS DE TODAS AS ETAPAS",IF(AND(AE318="NC",AF318="NC"),"NÃO UTILIZOU O PDA",IF(AND(AE318="NA",AF318="NA"),"NÃO AVALIADO POR FALHA DE SINCRONISMO"))))</f>
        <v>NÃO AVALIADO POR FALHA DE SINCRONISMO</v>
      </c>
      <c r="AH318" s="146" t="s">
        <v>204</v>
      </c>
      <c r="AI318" s="154" t="s">
        <v>6</v>
      </c>
      <c r="AJ318" s="151" t="str">
        <f t="shared" si="21"/>
        <v>GUARULHOS</v>
      </c>
      <c r="AK318" s="155" t="s">
        <v>59</v>
      </c>
      <c r="AL318" s="53">
        <v>-6.3399999999999998E-2</v>
      </c>
      <c r="AM318" s="53" t="str" cm="1">
        <f t="array" ref="AM318">IF(OR(O318&lt;&gt;"", SUMPRODUCT(($AN$2:$AN$561=AN318)*($AL$2:$AL$561&lt;=AL318)) &lt;= (COUNTIF($AN$2:$AN$561,AN318)*0.5)), "SORTEADO", "-")</f>
        <v>SORTEADO</v>
      </c>
      <c r="AN318" s="53" t="str">
        <f t="shared" si="20"/>
        <v>27/04/2026</v>
      </c>
    </row>
    <row r="319" spans="1:40" ht="30" hidden="1" customHeight="1" x14ac:dyDescent="0.2">
      <c r="A319" s="230" t="s">
        <v>197</v>
      </c>
      <c r="B319" s="230">
        <v>2617164957</v>
      </c>
      <c r="C319" s="230" t="s">
        <v>2701</v>
      </c>
      <c r="D319" s="230" t="s">
        <v>110</v>
      </c>
      <c r="E319" s="230" t="s">
        <v>198</v>
      </c>
      <c r="F319" s="230" t="s">
        <v>3041</v>
      </c>
      <c r="G319" s="230">
        <v>54</v>
      </c>
      <c r="H319" s="230" t="s">
        <v>213</v>
      </c>
      <c r="I319" s="230" t="s">
        <v>356</v>
      </c>
      <c r="J319" s="230" t="s">
        <v>2703</v>
      </c>
      <c r="K319" s="237" t="s">
        <v>3043</v>
      </c>
      <c r="L319" s="230" t="s">
        <v>2165</v>
      </c>
      <c r="M319" s="230" t="s">
        <v>3031</v>
      </c>
      <c r="N319" s="230" t="s">
        <v>2757</v>
      </c>
      <c r="O319" s="158" t="s">
        <v>61</v>
      </c>
      <c r="P319" s="92"/>
      <c r="Q319" s="146" t="s">
        <v>61</v>
      </c>
      <c r="R319" s="92"/>
      <c r="S319" s="146" t="s">
        <v>61</v>
      </c>
      <c r="T319" s="92"/>
      <c r="U319" s="146" t="s">
        <v>61</v>
      </c>
      <c r="V319" s="92"/>
      <c r="W319" s="146" t="s">
        <v>61</v>
      </c>
      <c r="X319" s="92"/>
      <c r="Y319" s="146" t="s">
        <v>61</v>
      </c>
      <c r="Z319" s="92"/>
      <c r="AA319" s="146" t="s">
        <v>61</v>
      </c>
      <c r="AB319" s="92"/>
      <c r="AC319" s="146" t="s">
        <v>61</v>
      </c>
      <c r="AD319" s="92"/>
      <c r="AE319" s="146" t="s">
        <v>61</v>
      </c>
      <c r="AF319" s="143" t="str">
        <f t="shared" ref="AF319:AF382" si="23">IF(AND(O319="",Q319="",S319="",U319="",W319="",Y319="",AA319="",AC319=""),"",IF(OR(AND(O319&lt;&gt;"NA",O319&lt;&gt;"C",O319&lt;&gt;"NC",O319&lt;&gt;"SF",O319&lt;&gt;""),AND(Q319&lt;&gt;"NA",Q319&lt;&gt;"C",Q319&lt;&gt;"NC",Q319&lt;&gt;"SF",Q319&lt;&gt;""),AND(S319&lt;&gt;"NA",S319&lt;&gt;"C",S319&lt;&gt;"NC",S319&lt;&gt;"SF",S319&lt;&gt;""),AND(U319&lt;&gt;"NA",U319&lt;&gt;"C",U319&lt;&gt;"NC",U319&lt;&gt;"SF",U319&lt;&gt;""),AND(W319&lt;&gt;"NA",W319&lt;&gt;"C",W319&lt;&gt;"NC",W319&lt;&gt;"SF",W319&lt;&gt;""),AND(Y319&lt;&gt;"NA",Y319&lt;&gt;"C",Y319&lt;&gt;"NC",Y319&lt;&gt;"SF",Y319&lt;&gt;""),AND(AA319&lt;&gt;"NA",AA319&lt;&gt;"C",AA319&lt;&gt;"NC",AA319&lt;&gt;"SF",AA319&lt;&gt;""),AND(AC319&lt;&gt;"NA",AC319&lt;&gt;"C",AC319&lt;&gt;"NC",AC319&lt;&gt;"SF",AC319&lt;&gt;"")),"FALSO",IF(AND(O319="NA",Q319="NA",S319="NA",U319="NA",W319="NA",Y319="NA",AA319="NA",AC319="NA"),"NA",IF(OR(O319="NC",Q319="NC",S319="NC",U319="NC",W319="NC",Y319="NC",AA319="NC",AC319="NC",O319="SF",Q319="SF",S319="SF",U319="SF",W319="SF",Y319="SF",AA319="SF",AC319="SF"),"NC",IF(OR(O319="C",Q319="C",S319="C",U319="C",W319="C",Y319="C",AA319="C",AC319="C"),"C","")))))</f>
        <v>NA</v>
      </c>
      <c r="AG319" s="199" t="str">
        <f t="shared" si="22"/>
        <v>NÃO AVALIADO POR FALHA DE SINCRONISMO</v>
      </c>
      <c r="AH319" s="146" t="s">
        <v>204</v>
      </c>
      <c r="AI319" s="154" t="s">
        <v>6</v>
      </c>
      <c r="AJ319" s="151" t="str">
        <f t="shared" si="21"/>
        <v>GUARULHOS</v>
      </c>
      <c r="AK319" s="155" t="s">
        <v>59</v>
      </c>
      <c r="AL319" s="53">
        <v>-6.3600000000000004E-2</v>
      </c>
      <c r="AM319" s="53" t="str" cm="1">
        <f t="array" ref="AM319">IF(OR(O319&lt;&gt;"", SUMPRODUCT(($AN$2:$AN$561=AN319)*($AL$2:$AL$561&lt;=AL319)) &lt;= (COUNTIF($AN$2:$AN$561,AN319)*0.5)), "SORTEADO", "-")</f>
        <v>SORTEADO</v>
      </c>
      <c r="AN319" s="53" t="str">
        <f t="shared" si="20"/>
        <v>27/04/2026</v>
      </c>
    </row>
    <row r="320" spans="1:40" ht="30" hidden="1" customHeight="1" x14ac:dyDescent="0.2">
      <c r="A320" s="230" t="s">
        <v>197</v>
      </c>
      <c r="B320" s="230">
        <v>2617164206</v>
      </c>
      <c r="C320" s="230" t="s">
        <v>2701</v>
      </c>
      <c r="D320" s="230" t="s">
        <v>110</v>
      </c>
      <c r="E320" s="230" t="s">
        <v>198</v>
      </c>
      <c r="F320" s="230" t="s">
        <v>3041</v>
      </c>
      <c r="G320" s="230">
        <v>53</v>
      </c>
      <c r="H320" s="230" t="s">
        <v>276</v>
      </c>
      <c r="I320" s="230" t="s">
        <v>356</v>
      </c>
      <c r="J320" s="230" t="s">
        <v>2703</v>
      </c>
      <c r="K320" s="237" t="s">
        <v>3043</v>
      </c>
      <c r="L320" s="230" t="s">
        <v>2165</v>
      </c>
      <c r="M320" s="230" t="s">
        <v>3031</v>
      </c>
      <c r="N320" s="230" t="s">
        <v>2757</v>
      </c>
      <c r="O320" s="158" t="s">
        <v>61</v>
      </c>
      <c r="P320" s="92"/>
      <c r="Q320" s="146" t="s">
        <v>61</v>
      </c>
      <c r="R320" s="92"/>
      <c r="S320" s="146" t="s">
        <v>61</v>
      </c>
      <c r="T320" s="92"/>
      <c r="U320" s="146" t="s">
        <v>61</v>
      </c>
      <c r="V320" s="92"/>
      <c r="W320" s="146" t="s">
        <v>61</v>
      </c>
      <c r="X320" s="92"/>
      <c r="Y320" s="146" t="s">
        <v>61</v>
      </c>
      <c r="Z320" s="92"/>
      <c r="AA320" s="146" t="s">
        <v>61</v>
      </c>
      <c r="AB320" s="92"/>
      <c r="AC320" s="146" t="s">
        <v>61</v>
      </c>
      <c r="AD320" s="92"/>
      <c r="AE320" s="146" t="s">
        <v>61</v>
      </c>
      <c r="AF320" s="143" t="str">
        <f t="shared" si="23"/>
        <v>NA</v>
      </c>
      <c r="AG320" s="199" t="str">
        <f t="shared" si="22"/>
        <v>NÃO AVALIADO POR FALHA DE SINCRONISMO</v>
      </c>
      <c r="AH320" s="146" t="s">
        <v>204</v>
      </c>
      <c r="AI320" s="154" t="s">
        <v>6</v>
      </c>
      <c r="AJ320" s="151" t="str">
        <f t="shared" si="21"/>
        <v>GUARULHOS</v>
      </c>
      <c r="AK320" s="155" t="s">
        <v>59</v>
      </c>
      <c r="AL320" s="53">
        <v>-6.3799999999999996E-2</v>
      </c>
      <c r="AM320" s="53" t="str" cm="1">
        <f t="array" ref="AM320">IF(OR(O320&lt;&gt;"", SUMPRODUCT(($AN$2:$AN$561=AN320)*($AL$2:$AL$561&lt;=AL320)) &lt;= (COUNTIF($AN$2:$AN$561,AN320)*0.5)), "SORTEADO", "-")</f>
        <v>SORTEADO</v>
      </c>
      <c r="AN320" s="53" t="str">
        <f t="shared" si="20"/>
        <v>27/04/2026</v>
      </c>
    </row>
    <row r="321" spans="1:40" ht="30" hidden="1" customHeight="1" x14ac:dyDescent="0.2">
      <c r="A321" s="230" t="s">
        <v>197</v>
      </c>
      <c r="B321" s="230">
        <v>2617164051</v>
      </c>
      <c r="C321" s="230" t="s">
        <v>2701</v>
      </c>
      <c r="D321" s="230" t="s">
        <v>110</v>
      </c>
      <c r="E321" s="230" t="s">
        <v>198</v>
      </c>
      <c r="F321" s="230" t="s">
        <v>3041</v>
      </c>
      <c r="G321" s="230">
        <v>43</v>
      </c>
      <c r="H321" s="230" t="s">
        <v>3056</v>
      </c>
      <c r="I321" s="230" t="s">
        <v>356</v>
      </c>
      <c r="J321" s="230" t="s">
        <v>2703</v>
      </c>
      <c r="K321" s="237" t="s">
        <v>3043</v>
      </c>
      <c r="L321" s="230" t="s">
        <v>2165</v>
      </c>
      <c r="M321" s="230" t="s">
        <v>3031</v>
      </c>
      <c r="N321" s="230" t="s">
        <v>2757</v>
      </c>
      <c r="O321" s="158" t="s">
        <v>61</v>
      </c>
      <c r="P321" s="92"/>
      <c r="Q321" s="146" t="s">
        <v>61</v>
      </c>
      <c r="R321" s="92"/>
      <c r="S321" s="146" t="s">
        <v>61</v>
      </c>
      <c r="T321" s="92"/>
      <c r="U321" s="146" t="s">
        <v>61</v>
      </c>
      <c r="V321" s="92"/>
      <c r="W321" s="146" t="s">
        <v>61</v>
      </c>
      <c r="X321" s="92"/>
      <c r="Y321" s="146" t="s">
        <v>61</v>
      </c>
      <c r="Z321" s="92"/>
      <c r="AA321" s="146" t="s">
        <v>61</v>
      </c>
      <c r="AB321" s="92"/>
      <c r="AC321" s="146" t="s">
        <v>61</v>
      </c>
      <c r="AD321" s="92"/>
      <c r="AE321" s="146" t="s">
        <v>61</v>
      </c>
      <c r="AF321" s="143" t="str">
        <f t="shared" si="23"/>
        <v>NA</v>
      </c>
      <c r="AG321" s="199" t="str">
        <f t="shared" si="22"/>
        <v>NÃO AVALIADO POR FALHA DE SINCRONISMO</v>
      </c>
      <c r="AH321" s="146" t="s">
        <v>204</v>
      </c>
      <c r="AI321" s="154" t="s">
        <v>6</v>
      </c>
      <c r="AJ321" s="151" t="str">
        <f t="shared" si="21"/>
        <v>GUARULHOS</v>
      </c>
      <c r="AK321" s="155" t="s">
        <v>59</v>
      </c>
      <c r="AL321" s="53">
        <v>-6.4000000000000001E-2</v>
      </c>
      <c r="AM321" s="53" t="str" cm="1">
        <f t="array" ref="AM321">IF(OR(O321&lt;&gt;"", SUMPRODUCT(($AN$2:$AN$561=AN321)*($AL$2:$AL$561&lt;=AL321)) &lt;= (COUNTIF($AN$2:$AN$561,AN321)*0.5)), "SORTEADO", "-")</f>
        <v>SORTEADO</v>
      </c>
      <c r="AN321" s="53" t="str">
        <f t="shared" si="20"/>
        <v>27/04/2026</v>
      </c>
    </row>
    <row r="322" spans="1:40" ht="30" hidden="1" customHeight="1" x14ac:dyDescent="0.2">
      <c r="A322" s="230" t="s">
        <v>197</v>
      </c>
      <c r="B322" s="230">
        <v>2617163332</v>
      </c>
      <c r="C322" s="230" t="s">
        <v>2701</v>
      </c>
      <c r="D322" s="230" t="s">
        <v>110</v>
      </c>
      <c r="E322" s="230" t="s">
        <v>198</v>
      </c>
      <c r="F322" s="230" t="s">
        <v>3041</v>
      </c>
      <c r="G322" s="230">
        <v>34</v>
      </c>
      <c r="H322" s="230"/>
      <c r="I322" s="230" t="s">
        <v>356</v>
      </c>
      <c r="J322" s="230" t="s">
        <v>2703</v>
      </c>
      <c r="K322" s="237" t="s">
        <v>3043</v>
      </c>
      <c r="L322" s="230" t="s">
        <v>2165</v>
      </c>
      <c r="M322" s="230" t="s">
        <v>3031</v>
      </c>
      <c r="N322" s="230" t="s">
        <v>2757</v>
      </c>
      <c r="O322" s="158" t="s">
        <v>61</v>
      </c>
      <c r="P322" s="92"/>
      <c r="Q322" s="146" t="s">
        <v>61</v>
      </c>
      <c r="R322" s="92"/>
      <c r="S322" s="146" t="s">
        <v>61</v>
      </c>
      <c r="T322" s="92"/>
      <c r="U322" s="146" t="s">
        <v>61</v>
      </c>
      <c r="V322" s="92"/>
      <c r="W322" s="146" t="s">
        <v>61</v>
      </c>
      <c r="X322" s="92"/>
      <c r="Y322" s="146" t="s">
        <v>61</v>
      </c>
      <c r="Z322" s="92"/>
      <c r="AA322" s="146" t="s">
        <v>61</v>
      </c>
      <c r="AB322" s="92"/>
      <c r="AC322" s="146" t="s">
        <v>61</v>
      </c>
      <c r="AD322" s="92"/>
      <c r="AE322" s="146" t="s">
        <v>61</v>
      </c>
      <c r="AF322" s="143" t="str">
        <f t="shared" si="23"/>
        <v>NA</v>
      </c>
      <c r="AG322" s="199" t="str">
        <f t="shared" si="22"/>
        <v>NÃO AVALIADO POR FALHA DE SINCRONISMO</v>
      </c>
      <c r="AH322" s="146" t="s">
        <v>204</v>
      </c>
      <c r="AI322" s="154" t="s">
        <v>6</v>
      </c>
      <c r="AJ322" s="151" t="str">
        <f t="shared" si="21"/>
        <v>GUARULHOS</v>
      </c>
      <c r="AK322" s="155" t="s">
        <v>59</v>
      </c>
      <c r="AL322" s="53">
        <v>-6.4199999999999993E-2</v>
      </c>
      <c r="AM322" s="53" t="str" cm="1">
        <f t="array" ref="AM322">IF(OR(O322&lt;&gt;"", SUMPRODUCT(($AN$2:$AN$561=AN322)*($AL$2:$AL$561&lt;=AL322)) &lt;= (COUNTIF($AN$2:$AN$561,AN322)*0.5)), "SORTEADO", "-")</f>
        <v>SORTEADO</v>
      </c>
      <c r="AN322" s="53" t="str">
        <f t="shared" si="20"/>
        <v>27/04/2026</v>
      </c>
    </row>
    <row r="323" spans="1:40" ht="30" hidden="1" customHeight="1" x14ac:dyDescent="0.2">
      <c r="A323" s="230" t="s">
        <v>197</v>
      </c>
      <c r="B323" s="230">
        <v>2617162410</v>
      </c>
      <c r="C323" s="230" t="s">
        <v>2701</v>
      </c>
      <c r="D323" s="230" t="s">
        <v>110</v>
      </c>
      <c r="E323" s="230" t="s">
        <v>198</v>
      </c>
      <c r="F323" s="230" t="s">
        <v>3041</v>
      </c>
      <c r="G323" s="230">
        <v>117</v>
      </c>
      <c r="H323" s="230" t="s">
        <v>276</v>
      </c>
      <c r="I323" s="230" t="s">
        <v>356</v>
      </c>
      <c r="J323" s="230" t="s">
        <v>2703</v>
      </c>
      <c r="K323" s="237" t="s">
        <v>3043</v>
      </c>
      <c r="L323" s="230" t="s">
        <v>2165</v>
      </c>
      <c r="M323" s="230" t="s">
        <v>3031</v>
      </c>
      <c r="N323" s="230" t="s">
        <v>2757</v>
      </c>
      <c r="O323" s="158" t="s">
        <v>61</v>
      </c>
      <c r="P323" s="92"/>
      <c r="Q323" s="146" t="s">
        <v>61</v>
      </c>
      <c r="R323" s="92"/>
      <c r="S323" s="146" t="s">
        <v>61</v>
      </c>
      <c r="T323" s="92"/>
      <c r="U323" s="146" t="s">
        <v>61</v>
      </c>
      <c r="V323" s="92"/>
      <c r="W323" s="146" t="s">
        <v>61</v>
      </c>
      <c r="X323" s="92"/>
      <c r="Y323" s="146" t="s">
        <v>61</v>
      </c>
      <c r="Z323" s="92"/>
      <c r="AA323" s="146" t="s">
        <v>61</v>
      </c>
      <c r="AB323" s="92"/>
      <c r="AC323" s="146" t="s">
        <v>61</v>
      </c>
      <c r="AD323" s="92"/>
      <c r="AE323" s="146" t="s">
        <v>61</v>
      </c>
      <c r="AF323" s="143" t="str">
        <f t="shared" si="23"/>
        <v>NA</v>
      </c>
      <c r="AG323" s="199" t="str">
        <f t="shared" si="22"/>
        <v>NÃO AVALIADO POR FALHA DE SINCRONISMO</v>
      </c>
      <c r="AH323" s="146" t="s">
        <v>204</v>
      </c>
      <c r="AI323" s="154" t="s">
        <v>6</v>
      </c>
      <c r="AJ323" s="151" t="str">
        <f t="shared" si="21"/>
        <v>GUARULHOS</v>
      </c>
      <c r="AK323" s="155" t="s">
        <v>59</v>
      </c>
      <c r="AL323" s="53">
        <v>-6.4399999999999999E-2</v>
      </c>
      <c r="AM323" s="53" t="str" cm="1">
        <f t="array" ref="AM323">IF(OR(O323&lt;&gt;"", SUMPRODUCT(($AN$2:$AN$561=AN323)*($AL$2:$AL$561&lt;=AL323)) &lt;= (COUNTIF($AN$2:$AN$561,AN323)*0.5)), "SORTEADO", "-")</f>
        <v>SORTEADO</v>
      </c>
      <c r="AN323" s="53" t="str">
        <f t="shared" si="20"/>
        <v>27/04/2026</v>
      </c>
    </row>
    <row r="324" spans="1:40" ht="30" hidden="1" customHeight="1" x14ac:dyDescent="0.2">
      <c r="A324" s="230" t="s">
        <v>197</v>
      </c>
      <c r="B324" s="230">
        <v>2617163834</v>
      </c>
      <c r="C324" s="230" t="s">
        <v>2701</v>
      </c>
      <c r="D324" s="230" t="s">
        <v>110</v>
      </c>
      <c r="E324" s="230" t="s">
        <v>198</v>
      </c>
      <c r="F324" s="230" t="s">
        <v>3041</v>
      </c>
      <c r="G324" s="230">
        <v>112</v>
      </c>
      <c r="H324" s="230"/>
      <c r="I324" s="230" t="s">
        <v>356</v>
      </c>
      <c r="J324" s="230" t="s">
        <v>2703</v>
      </c>
      <c r="K324" s="237" t="s">
        <v>3043</v>
      </c>
      <c r="L324" s="230" t="s">
        <v>2165</v>
      </c>
      <c r="M324" s="230" t="s">
        <v>3031</v>
      </c>
      <c r="N324" s="230" t="s">
        <v>2757</v>
      </c>
      <c r="O324" s="158" t="s">
        <v>61</v>
      </c>
      <c r="P324" s="92"/>
      <c r="Q324" s="146" t="s">
        <v>61</v>
      </c>
      <c r="R324" s="92"/>
      <c r="S324" s="146" t="s">
        <v>61</v>
      </c>
      <c r="T324" s="92"/>
      <c r="U324" s="146" t="s">
        <v>61</v>
      </c>
      <c r="V324" s="92"/>
      <c r="W324" s="146" t="s">
        <v>61</v>
      </c>
      <c r="X324" s="92"/>
      <c r="Y324" s="146" t="s">
        <v>61</v>
      </c>
      <c r="Z324" s="92"/>
      <c r="AA324" s="146" t="s">
        <v>61</v>
      </c>
      <c r="AB324" s="92"/>
      <c r="AC324" s="146" t="s">
        <v>61</v>
      </c>
      <c r="AD324" s="92"/>
      <c r="AE324" s="146" t="s">
        <v>61</v>
      </c>
      <c r="AF324" s="143" t="str">
        <f t="shared" si="23"/>
        <v>NA</v>
      </c>
      <c r="AG324" s="199" t="str">
        <f t="shared" si="22"/>
        <v>NÃO AVALIADO POR FALHA DE SINCRONISMO</v>
      </c>
      <c r="AH324" s="146" t="s">
        <v>204</v>
      </c>
      <c r="AI324" s="154" t="s">
        <v>6</v>
      </c>
      <c r="AJ324" s="151" t="str">
        <f t="shared" si="21"/>
        <v>GUARULHOS</v>
      </c>
      <c r="AK324" s="155" t="s">
        <v>59</v>
      </c>
      <c r="AL324" s="53">
        <v>-6.4600000000000005E-2</v>
      </c>
      <c r="AM324" s="53" t="str" cm="1">
        <f t="array" ref="AM324">IF(OR(O324&lt;&gt;"", SUMPRODUCT(($AN$2:$AN$561=AN324)*($AL$2:$AL$561&lt;=AL324)) &lt;= (COUNTIF($AN$2:$AN$561,AN324)*0.5)), "SORTEADO", "-")</f>
        <v>SORTEADO</v>
      </c>
      <c r="AN324" s="53" t="str">
        <f t="shared" si="20"/>
        <v>27/04/2026</v>
      </c>
    </row>
    <row r="325" spans="1:40" ht="30" hidden="1" customHeight="1" x14ac:dyDescent="0.2">
      <c r="A325" s="230" t="s">
        <v>197</v>
      </c>
      <c r="B325" s="230">
        <v>2617165878</v>
      </c>
      <c r="C325" s="230" t="s">
        <v>2701</v>
      </c>
      <c r="D325" s="230" t="s">
        <v>110</v>
      </c>
      <c r="E325" s="230" t="s">
        <v>198</v>
      </c>
      <c r="F325" s="230" t="s">
        <v>3041</v>
      </c>
      <c r="G325" s="230">
        <v>107</v>
      </c>
      <c r="H325" s="230" t="s">
        <v>2615</v>
      </c>
      <c r="I325" s="230" t="s">
        <v>356</v>
      </c>
      <c r="J325" s="230" t="s">
        <v>2703</v>
      </c>
      <c r="K325" s="230" t="s">
        <v>3051</v>
      </c>
      <c r="L325" s="230" t="s">
        <v>2165</v>
      </c>
      <c r="M325" s="230" t="s">
        <v>3052</v>
      </c>
      <c r="N325" s="230" t="s">
        <v>2757</v>
      </c>
      <c r="O325" s="158" t="s">
        <v>61</v>
      </c>
      <c r="P325" s="92"/>
      <c r="Q325" s="146" t="s">
        <v>61</v>
      </c>
      <c r="R325" s="92"/>
      <c r="S325" s="146" t="s">
        <v>61</v>
      </c>
      <c r="T325" s="92"/>
      <c r="U325" s="146" t="s">
        <v>61</v>
      </c>
      <c r="V325" s="92"/>
      <c r="W325" s="146" t="s">
        <v>61</v>
      </c>
      <c r="X325" s="92"/>
      <c r="Y325" s="146" t="s">
        <v>61</v>
      </c>
      <c r="Z325" s="92"/>
      <c r="AA325" s="146" t="s">
        <v>61</v>
      </c>
      <c r="AB325" s="92"/>
      <c r="AC325" s="146" t="s">
        <v>61</v>
      </c>
      <c r="AD325" s="92"/>
      <c r="AE325" s="146" t="s">
        <v>61</v>
      </c>
      <c r="AF325" s="143" t="str">
        <f t="shared" si="23"/>
        <v>NA</v>
      </c>
      <c r="AG325" s="199" t="str">
        <f t="shared" si="22"/>
        <v>NÃO AVALIADO POR FALHA DE SINCRONISMO</v>
      </c>
      <c r="AH325" s="146" t="s">
        <v>204</v>
      </c>
      <c r="AI325" s="154" t="s">
        <v>6</v>
      </c>
      <c r="AJ325" s="151" t="str">
        <f t="shared" si="21"/>
        <v>GUARULHOS</v>
      </c>
      <c r="AK325" s="155" t="s">
        <v>59</v>
      </c>
      <c r="AL325" s="53">
        <v>-6.4799999999999996E-2</v>
      </c>
      <c r="AM325" s="53" t="str" cm="1">
        <f t="array" ref="AM325">IF(OR(O325&lt;&gt;"", SUMPRODUCT(($AN$2:$AN$561=AN325)*($AL$2:$AL$561&lt;=AL325)) &lt;= (COUNTIF($AN$2:$AN$561,AN325)*0.5)), "SORTEADO", "-")</f>
        <v>SORTEADO</v>
      </c>
      <c r="AN325" s="53" t="str">
        <f t="shared" si="20"/>
        <v>27/04/2026</v>
      </c>
    </row>
    <row r="326" spans="1:40" ht="30" hidden="1" customHeight="1" x14ac:dyDescent="0.2">
      <c r="A326" s="230" t="s">
        <v>197</v>
      </c>
      <c r="B326" s="230">
        <v>2617165749</v>
      </c>
      <c r="C326" s="230" t="s">
        <v>2701</v>
      </c>
      <c r="D326" s="230" t="s">
        <v>110</v>
      </c>
      <c r="E326" s="230" t="s">
        <v>198</v>
      </c>
      <c r="F326" s="230" t="s">
        <v>3041</v>
      </c>
      <c r="G326" s="230">
        <v>101</v>
      </c>
      <c r="H326" s="230" t="s">
        <v>878</v>
      </c>
      <c r="I326" s="230" t="s">
        <v>356</v>
      </c>
      <c r="J326" s="230" t="s">
        <v>2703</v>
      </c>
      <c r="K326" s="230" t="s">
        <v>3057</v>
      </c>
      <c r="L326" s="230" t="s">
        <v>2165</v>
      </c>
      <c r="M326" s="230" t="s">
        <v>3052</v>
      </c>
      <c r="N326" s="230" t="s">
        <v>2757</v>
      </c>
      <c r="O326" s="158" t="s">
        <v>61</v>
      </c>
      <c r="P326" s="92"/>
      <c r="Q326" s="146" t="s">
        <v>61</v>
      </c>
      <c r="R326" s="92"/>
      <c r="S326" s="146" t="s">
        <v>61</v>
      </c>
      <c r="T326" s="92"/>
      <c r="U326" s="146" t="s">
        <v>61</v>
      </c>
      <c r="V326" s="92"/>
      <c r="W326" s="146" t="s">
        <v>61</v>
      </c>
      <c r="X326" s="92"/>
      <c r="Y326" s="146" t="s">
        <v>61</v>
      </c>
      <c r="Z326" s="92"/>
      <c r="AA326" s="146" t="s">
        <v>61</v>
      </c>
      <c r="AB326" s="92"/>
      <c r="AC326" s="146" t="s">
        <v>61</v>
      </c>
      <c r="AD326" s="92"/>
      <c r="AE326" s="146" t="s">
        <v>61</v>
      </c>
      <c r="AF326" s="143" t="str">
        <f t="shared" si="23"/>
        <v>NA</v>
      </c>
      <c r="AG326" s="199" t="str">
        <f t="shared" si="22"/>
        <v>NÃO AVALIADO POR FALHA DE SINCRONISMO</v>
      </c>
      <c r="AH326" s="146" t="s">
        <v>204</v>
      </c>
      <c r="AI326" s="154" t="s">
        <v>6</v>
      </c>
      <c r="AJ326" s="151" t="str">
        <f t="shared" si="21"/>
        <v>GUARULHOS</v>
      </c>
      <c r="AK326" s="155" t="s">
        <v>59</v>
      </c>
      <c r="AL326" s="53">
        <v>-6.5000000000000002E-2</v>
      </c>
      <c r="AM326" s="53" t="str" cm="1">
        <f t="array" ref="AM326">IF(OR(O326&lt;&gt;"", SUMPRODUCT(($AN$2:$AN$561=AN326)*($AL$2:$AL$561&lt;=AL326)) &lt;= (COUNTIF($AN$2:$AN$561,AN326)*0.5)), "SORTEADO", "-")</f>
        <v>SORTEADO</v>
      </c>
      <c r="AN326" s="53" t="str">
        <f t="shared" si="20"/>
        <v>27/04/2026</v>
      </c>
    </row>
    <row r="327" spans="1:40" ht="30" hidden="1" customHeight="1" x14ac:dyDescent="0.2">
      <c r="A327" s="230" t="s">
        <v>197</v>
      </c>
      <c r="B327" s="230">
        <v>2617164076</v>
      </c>
      <c r="C327" s="230" t="s">
        <v>2701</v>
      </c>
      <c r="D327" s="230" t="s">
        <v>110</v>
      </c>
      <c r="E327" s="230" t="s">
        <v>198</v>
      </c>
      <c r="F327" s="230" t="s">
        <v>3041</v>
      </c>
      <c r="G327" s="230">
        <v>100</v>
      </c>
      <c r="H327" s="230" t="s">
        <v>2501</v>
      </c>
      <c r="I327" s="230" t="s">
        <v>356</v>
      </c>
      <c r="J327" s="230" t="s">
        <v>2703</v>
      </c>
      <c r="K327" s="237" t="s">
        <v>3043</v>
      </c>
      <c r="L327" s="230" t="s">
        <v>2165</v>
      </c>
      <c r="M327" s="230" t="s">
        <v>3031</v>
      </c>
      <c r="N327" s="230" t="s">
        <v>2757</v>
      </c>
      <c r="O327" s="158" t="s">
        <v>61</v>
      </c>
      <c r="P327" s="92"/>
      <c r="Q327" s="146" t="s">
        <v>61</v>
      </c>
      <c r="R327" s="92"/>
      <c r="S327" s="146" t="s">
        <v>61</v>
      </c>
      <c r="T327" s="92"/>
      <c r="U327" s="146" t="s">
        <v>61</v>
      </c>
      <c r="V327" s="92"/>
      <c r="W327" s="146" t="s">
        <v>61</v>
      </c>
      <c r="X327" s="92"/>
      <c r="Y327" s="146" t="s">
        <v>61</v>
      </c>
      <c r="Z327" s="92"/>
      <c r="AA327" s="146" t="s">
        <v>61</v>
      </c>
      <c r="AB327" s="92"/>
      <c r="AC327" s="146" t="s">
        <v>61</v>
      </c>
      <c r="AD327" s="92"/>
      <c r="AE327" s="146" t="s">
        <v>61</v>
      </c>
      <c r="AF327" s="143" t="str">
        <f t="shared" si="23"/>
        <v>NA</v>
      </c>
      <c r="AG327" s="199" t="str">
        <f t="shared" si="22"/>
        <v>NÃO AVALIADO POR FALHA DE SINCRONISMO</v>
      </c>
      <c r="AH327" s="146" t="s">
        <v>204</v>
      </c>
      <c r="AI327" s="154" t="s">
        <v>6</v>
      </c>
      <c r="AJ327" s="151" t="str">
        <f t="shared" si="21"/>
        <v>GUARULHOS</v>
      </c>
      <c r="AK327" s="155" t="s">
        <v>59</v>
      </c>
      <c r="AL327" s="53">
        <v>-6.5199999999999994E-2</v>
      </c>
      <c r="AM327" s="53" t="str" cm="1">
        <f t="array" ref="AM327">IF(OR(O327&lt;&gt;"", SUMPRODUCT(($AN$2:$AN$561=AN327)*($AL$2:$AL$561&lt;=AL327)) &lt;= (COUNTIF($AN$2:$AN$561,AN327)*0.5)), "SORTEADO", "-")</f>
        <v>SORTEADO</v>
      </c>
      <c r="AN327" s="53" t="str">
        <f t="shared" si="20"/>
        <v>27/04/2026</v>
      </c>
    </row>
    <row r="328" spans="1:40" ht="30" hidden="1" customHeight="1" x14ac:dyDescent="0.2">
      <c r="A328" s="230" t="s">
        <v>197</v>
      </c>
      <c r="B328" s="230">
        <v>2617299422</v>
      </c>
      <c r="C328" s="230" t="s">
        <v>2701</v>
      </c>
      <c r="D328" s="230" t="s">
        <v>110</v>
      </c>
      <c r="E328" s="230" t="s">
        <v>198</v>
      </c>
      <c r="F328" s="230" t="s">
        <v>261</v>
      </c>
      <c r="G328" s="230">
        <v>415</v>
      </c>
      <c r="H328" s="230" t="s">
        <v>213</v>
      </c>
      <c r="I328" s="230" t="s">
        <v>262</v>
      </c>
      <c r="J328" s="230" t="s">
        <v>2703</v>
      </c>
      <c r="K328" s="237" t="s">
        <v>3058</v>
      </c>
      <c r="L328" s="230" t="s">
        <v>2165</v>
      </c>
      <c r="M328" s="230" t="s">
        <v>3059</v>
      </c>
      <c r="N328" s="230" t="s">
        <v>2707</v>
      </c>
      <c r="O328" s="158" t="s">
        <v>61</v>
      </c>
      <c r="P328" s="92"/>
      <c r="Q328" s="146" t="s">
        <v>61</v>
      </c>
      <c r="R328" s="92"/>
      <c r="S328" s="146" t="s">
        <v>61</v>
      </c>
      <c r="T328" s="92"/>
      <c r="U328" s="146" t="s">
        <v>61</v>
      </c>
      <c r="V328" s="92"/>
      <c r="W328" s="146" t="s">
        <v>61</v>
      </c>
      <c r="X328" s="92"/>
      <c r="Y328" s="146" t="s">
        <v>61</v>
      </c>
      <c r="Z328" s="92"/>
      <c r="AA328" s="146" t="s">
        <v>61</v>
      </c>
      <c r="AB328" s="92"/>
      <c r="AC328" s="146" t="s">
        <v>61</v>
      </c>
      <c r="AD328" s="92"/>
      <c r="AE328" s="146" t="s">
        <v>61</v>
      </c>
      <c r="AF328" s="143" t="str">
        <f t="shared" si="23"/>
        <v>NA</v>
      </c>
      <c r="AG328" s="199" t="str">
        <f t="shared" si="22"/>
        <v>NÃO AVALIADO POR FALHA DE SINCRONISMO</v>
      </c>
      <c r="AH328" s="146" t="s">
        <v>204</v>
      </c>
      <c r="AI328" s="154" t="s">
        <v>6</v>
      </c>
      <c r="AJ328" s="151" t="str">
        <f t="shared" si="21"/>
        <v>GUARULHOS</v>
      </c>
      <c r="AK328" s="155" t="s">
        <v>59</v>
      </c>
      <c r="AL328" s="53">
        <v>-6.54E-2</v>
      </c>
      <c r="AM328" s="53" t="str" cm="1">
        <f t="array" ref="AM328">IF(OR(O328&lt;&gt;"", SUMPRODUCT(($AN$2:$AN$561=AN328)*($AL$2:$AL$561&lt;=AL328)) &lt;= (COUNTIF($AN$2:$AN$561,AN328)*0.5)), "SORTEADO", "-")</f>
        <v>SORTEADO</v>
      </c>
      <c r="AN328" s="53" t="str">
        <f t="shared" si="20"/>
        <v>27/04/2026</v>
      </c>
    </row>
    <row r="329" spans="1:40" ht="30" hidden="1" customHeight="1" x14ac:dyDescent="0.2">
      <c r="A329" s="230" t="s">
        <v>197</v>
      </c>
      <c r="B329" s="230">
        <v>2617299639</v>
      </c>
      <c r="C329" s="230" t="s">
        <v>2701</v>
      </c>
      <c r="D329" s="230" t="s">
        <v>110</v>
      </c>
      <c r="E329" s="230" t="s">
        <v>198</v>
      </c>
      <c r="F329" s="230" t="s">
        <v>261</v>
      </c>
      <c r="G329" s="230">
        <v>405</v>
      </c>
      <c r="H329" s="230"/>
      <c r="I329" s="230" t="s">
        <v>262</v>
      </c>
      <c r="J329" s="230" t="s">
        <v>2703</v>
      </c>
      <c r="K329" s="237" t="s">
        <v>3058</v>
      </c>
      <c r="L329" s="230" t="s">
        <v>2165</v>
      </c>
      <c r="M329" s="230" t="s">
        <v>3059</v>
      </c>
      <c r="N329" s="230" t="s">
        <v>2707</v>
      </c>
      <c r="O329" s="158" t="s">
        <v>61</v>
      </c>
      <c r="P329" s="92"/>
      <c r="Q329" s="146" t="s">
        <v>61</v>
      </c>
      <c r="R329" s="92"/>
      <c r="S329" s="146" t="s">
        <v>61</v>
      </c>
      <c r="T329" s="92"/>
      <c r="U329" s="146" t="s">
        <v>61</v>
      </c>
      <c r="V329" s="92"/>
      <c r="W329" s="146" t="s">
        <v>61</v>
      </c>
      <c r="X329" s="92"/>
      <c r="Y329" s="146" t="s">
        <v>61</v>
      </c>
      <c r="Z329" s="92"/>
      <c r="AA329" s="146" t="s">
        <v>61</v>
      </c>
      <c r="AB329" s="92"/>
      <c r="AC329" s="146" t="s">
        <v>61</v>
      </c>
      <c r="AD329" s="92"/>
      <c r="AE329" s="146" t="s">
        <v>61</v>
      </c>
      <c r="AF329" s="143" t="str">
        <f t="shared" si="23"/>
        <v>NA</v>
      </c>
      <c r="AG329" s="199" t="str">
        <f t="shared" si="22"/>
        <v>NÃO AVALIADO POR FALHA DE SINCRONISMO</v>
      </c>
      <c r="AH329" s="146" t="s">
        <v>204</v>
      </c>
      <c r="AI329" s="154" t="s">
        <v>6</v>
      </c>
      <c r="AJ329" s="151" t="str">
        <f t="shared" si="21"/>
        <v>GUARULHOS</v>
      </c>
      <c r="AK329" s="155" t="s">
        <v>59</v>
      </c>
      <c r="AL329" s="53">
        <v>-6.5600000000000006E-2</v>
      </c>
      <c r="AM329" s="53" t="str" cm="1">
        <f t="array" ref="AM329">IF(OR(O329&lt;&gt;"", SUMPRODUCT(($AN$2:$AN$561=AN329)*($AL$2:$AL$561&lt;=AL329)) &lt;= (COUNTIF($AN$2:$AN$561,AN329)*0.5)), "SORTEADO", "-")</f>
        <v>SORTEADO</v>
      </c>
      <c r="AN329" s="53" t="str">
        <f t="shared" si="20"/>
        <v>27/04/2026</v>
      </c>
    </row>
    <row r="330" spans="1:40" ht="30" hidden="1" customHeight="1" x14ac:dyDescent="0.2">
      <c r="A330" s="230" t="s">
        <v>197</v>
      </c>
      <c r="B330" s="230">
        <v>2617299852</v>
      </c>
      <c r="C330" s="230" t="s">
        <v>2701</v>
      </c>
      <c r="D330" s="230" t="s">
        <v>110</v>
      </c>
      <c r="E330" s="230" t="s">
        <v>198</v>
      </c>
      <c r="F330" s="230" t="s">
        <v>261</v>
      </c>
      <c r="G330" s="230">
        <v>393</v>
      </c>
      <c r="H330" s="230" t="s">
        <v>213</v>
      </c>
      <c r="I330" s="230" t="s">
        <v>262</v>
      </c>
      <c r="J330" s="230" t="s">
        <v>2703</v>
      </c>
      <c r="K330" s="237" t="s">
        <v>3058</v>
      </c>
      <c r="L330" s="230" t="s">
        <v>2165</v>
      </c>
      <c r="M330" s="230" t="s">
        <v>3060</v>
      </c>
      <c r="N330" s="230" t="s">
        <v>2707</v>
      </c>
      <c r="O330" s="158" t="s">
        <v>61</v>
      </c>
      <c r="P330" s="92"/>
      <c r="Q330" s="146" t="s">
        <v>61</v>
      </c>
      <c r="R330" s="92"/>
      <c r="S330" s="146" t="s">
        <v>61</v>
      </c>
      <c r="T330" s="92"/>
      <c r="U330" s="146" t="s">
        <v>61</v>
      </c>
      <c r="V330" s="92"/>
      <c r="W330" s="146" t="s">
        <v>61</v>
      </c>
      <c r="X330" s="92"/>
      <c r="Y330" s="146" t="s">
        <v>61</v>
      </c>
      <c r="Z330" s="92"/>
      <c r="AA330" s="146" t="s">
        <v>61</v>
      </c>
      <c r="AB330" s="92"/>
      <c r="AC330" s="146" t="s">
        <v>61</v>
      </c>
      <c r="AD330" s="92"/>
      <c r="AE330" s="146" t="s">
        <v>61</v>
      </c>
      <c r="AF330" s="143" t="str">
        <f t="shared" si="23"/>
        <v>NA</v>
      </c>
      <c r="AG330" s="199" t="str">
        <f t="shared" si="22"/>
        <v>NÃO AVALIADO POR FALHA DE SINCRONISMO</v>
      </c>
      <c r="AH330" s="146" t="s">
        <v>204</v>
      </c>
      <c r="AI330" s="154" t="s">
        <v>6</v>
      </c>
      <c r="AJ330" s="151" t="str">
        <f t="shared" si="21"/>
        <v>GUARULHOS</v>
      </c>
      <c r="AK330" s="155" t="s">
        <v>59</v>
      </c>
      <c r="AL330" s="53">
        <v>-6.5799999999999997E-2</v>
      </c>
      <c r="AM330" s="53" t="str" cm="1">
        <f t="array" ref="AM330">IF(OR(O330&lt;&gt;"", SUMPRODUCT(($AN$2:$AN$561=AN330)*($AL$2:$AL$561&lt;=AL330)) &lt;= (COUNTIF($AN$2:$AN$561,AN330)*0.5)), "SORTEADO", "-")</f>
        <v>SORTEADO</v>
      </c>
      <c r="AN330" s="53" t="str">
        <f t="shared" si="20"/>
        <v>27/04/2026</v>
      </c>
    </row>
    <row r="331" spans="1:40" ht="30" hidden="1" customHeight="1" x14ac:dyDescent="0.2">
      <c r="A331" s="230" t="s">
        <v>197</v>
      </c>
      <c r="B331" s="230">
        <v>2617583379</v>
      </c>
      <c r="C331" s="230" t="s">
        <v>2701</v>
      </c>
      <c r="D331" s="230" t="s">
        <v>110</v>
      </c>
      <c r="E331" s="230" t="s">
        <v>198</v>
      </c>
      <c r="F331" s="230" t="s">
        <v>261</v>
      </c>
      <c r="G331" s="230">
        <v>387</v>
      </c>
      <c r="H331" s="230"/>
      <c r="I331" s="230" t="s">
        <v>262</v>
      </c>
      <c r="J331" s="230" t="s">
        <v>2703</v>
      </c>
      <c r="K331" s="237" t="s">
        <v>3058</v>
      </c>
      <c r="L331" s="230" t="s">
        <v>2165</v>
      </c>
      <c r="M331" s="230" t="s">
        <v>3061</v>
      </c>
      <c r="N331" s="230" t="s">
        <v>2707</v>
      </c>
      <c r="O331" s="158" t="s">
        <v>61</v>
      </c>
      <c r="P331" s="92"/>
      <c r="Q331" s="146" t="s">
        <v>61</v>
      </c>
      <c r="R331" s="92"/>
      <c r="S331" s="146" t="s">
        <v>61</v>
      </c>
      <c r="T331" s="92"/>
      <c r="U331" s="146" t="s">
        <v>61</v>
      </c>
      <c r="V331" s="92"/>
      <c r="W331" s="146" t="s">
        <v>61</v>
      </c>
      <c r="X331" s="92"/>
      <c r="Y331" s="146" t="s">
        <v>61</v>
      </c>
      <c r="Z331" s="92"/>
      <c r="AA331" s="146" t="s">
        <v>61</v>
      </c>
      <c r="AB331" s="92"/>
      <c r="AC331" s="146" t="s">
        <v>61</v>
      </c>
      <c r="AD331" s="92"/>
      <c r="AE331" s="146" t="s">
        <v>61</v>
      </c>
      <c r="AF331" s="143" t="str">
        <f t="shared" si="23"/>
        <v>NA</v>
      </c>
      <c r="AG331" s="199" t="str">
        <f t="shared" si="22"/>
        <v>NÃO AVALIADO POR FALHA DE SINCRONISMO</v>
      </c>
      <c r="AH331" s="146" t="s">
        <v>204</v>
      </c>
      <c r="AI331" s="154" t="s">
        <v>6</v>
      </c>
      <c r="AJ331" s="151" t="str">
        <f t="shared" si="21"/>
        <v>GUARULHOS</v>
      </c>
      <c r="AK331" s="155" t="s">
        <v>59</v>
      </c>
      <c r="AL331" s="53">
        <v>-6.6000000000000003E-2</v>
      </c>
      <c r="AM331" s="53" t="str" cm="1">
        <f t="array" ref="AM331">IF(OR(O331&lt;&gt;"", SUMPRODUCT(($AN$2:$AN$561=AN331)*($AL$2:$AL$561&lt;=AL331)) &lt;= (COUNTIF($AN$2:$AN$561,AN331)*0.5)), "SORTEADO", "-")</f>
        <v>SORTEADO</v>
      </c>
      <c r="AN331" s="53" t="str">
        <f t="shared" si="20"/>
        <v>27/04/2026</v>
      </c>
    </row>
    <row r="332" spans="1:40" ht="30" hidden="1" customHeight="1" x14ac:dyDescent="0.2">
      <c r="A332" s="242" t="s">
        <v>197</v>
      </c>
      <c r="B332" s="242">
        <v>2616348546</v>
      </c>
      <c r="C332" s="242" t="s">
        <v>2741</v>
      </c>
      <c r="D332" s="242" t="s">
        <v>111</v>
      </c>
      <c r="E332" s="242" t="s">
        <v>198</v>
      </c>
      <c r="F332" s="242" t="s">
        <v>3062</v>
      </c>
      <c r="G332" s="242">
        <v>0</v>
      </c>
      <c r="H332" s="242" t="s">
        <v>3063</v>
      </c>
      <c r="I332" s="242" t="s">
        <v>3064</v>
      </c>
      <c r="J332" s="242" t="s">
        <v>2742</v>
      </c>
      <c r="K332" s="242" t="s">
        <v>3065</v>
      </c>
      <c r="L332" s="242" t="s">
        <v>2165</v>
      </c>
      <c r="M332" s="242" t="s">
        <v>3066</v>
      </c>
      <c r="N332" s="242" t="s">
        <v>2707</v>
      </c>
      <c r="O332" s="158"/>
      <c r="P332" s="92"/>
      <c r="Q332" s="146"/>
      <c r="R332" s="92"/>
      <c r="S332" s="146"/>
      <c r="T332" s="92"/>
      <c r="U332" s="146"/>
      <c r="V332" s="92"/>
      <c r="W332" s="146"/>
      <c r="X332" s="92"/>
      <c r="Y332" s="146"/>
      <c r="Z332" s="92"/>
      <c r="AA332" s="146"/>
      <c r="AB332" s="92"/>
      <c r="AC332" s="146"/>
      <c r="AD332" s="92"/>
      <c r="AE332" s="146"/>
      <c r="AF332" s="143" t="str">
        <f t="shared" si="23"/>
        <v/>
      </c>
      <c r="AG332" s="199" t="b">
        <f t="shared" si="22"/>
        <v>0</v>
      </c>
      <c r="AH332" s="146"/>
      <c r="AI332" s="154" t="s">
        <v>6</v>
      </c>
      <c r="AJ332" s="151" t="str">
        <f t="shared" si="21"/>
        <v>GUARULHOS</v>
      </c>
      <c r="AK332" s="155" t="s">
        <v>59</v>
      </c>
      <c r="AL332" s="53">
        <v>0.28929229924443245</v>
      </c>
      <c r="AM332" s="53" t="str" cm="1">
        <f t="array" ref="AM332">IF(OR(O332&lt;&gt;"", SUMPRODUCT(($AN$2:$AN$561=AN332)*($AL$2:$AL$561&lt;=AL332)) &lt;= (COUNTIF($AN$2:$AN$561,AN332)*0.5)), "SORTEADO", "-")</f>
        <v>-</v>
      </c>
      <c r="AN332" s="53" t="str">
        <f t="shared" si="20"/>
        <v>27/04/2026</v>
      </c>
    </row>
    <row r="333" spans="1:40" ht="30" hidden="1" customHeight="1" x14ac:dyDescent="0.2">
      <c r="A333" s="245" t="s">
        <v>197</v>
      </c>
      <c r="B333" s="245">
        <v>2617567514</v>
      </c>
      <c r="C333" s="245" t="s">
        <v>122</v>
      </c>
      <c r="D333" s="245" t="s">
        <v>108</v>
      </c>
      <c r="E333" s="245" t="s">
        <v>198</v>
      </c>
      <c r="F333" s="245" t="s">
        <v>3067</v>
      </c>
      <c r="G333" s="245">
        <v>170</v>
      </c>
      <c r="H333" s="245" t="s">
        <v>213</v>
      </c>
      <c r="I333" s="245" t="s">
        <v>1397</v>
      </c>
      <c r="J333" s="245" t="s">
        <v>2633</v>
      </c>
      <c r="K333" s="245" t="s">
        <v>3068</v>
      </c>
      <c r="L333" s="245" t="s">
        <v>2294</v>
      </c>
      <c r="M333" s="245" t="s">
        <v>3069</v>
      </c>
      <c r="N333" s="245" t="s">
        <v>2634</v>
      </c>
      <c r="O333" s="158"/>
      <c r="P333" s="92"/>
      <c r="Q333" s="146"/>
      <c r="R333" s="92"/>
      <c r="S333" s="146"/>
      <c r="T333" s="92"/>
      <c r="U333" s="146"/>
      <c r="V333" s="92"/>
      <c r="W333" s="146"/>
      <c r="X333" s="92"/>
      <c r="Y333" s="146"/>
      <c r="Z333" s="92"/>
      <c r="AA333" s="146"/>
      <c r="AB333" s="92"/>
      <c r="AC333" s="146"/>
      <c r="AD333" s="92"/>
      <c r="AE333" s="146"/>
      <c r="AF333" s="143" t="str">
        <f t="shared" si="23"/>
        <v/>
      </c>
      <c r="AG333" s="199" t="b">
        <f t="shared" si="22"/>
        <v>0</v>
      </c>
      <c r="AH333" s="146"/>
      <c r="AI333" s="154" t="s">
        <v>6</v>
      </c>
      <c r="AJ333" s="151" t="str">
        <f t="shared" si="21"/>
        <v>GUARULHOS</v>
      </c>
      <c r="AK333" s="155" t="s">
        <v>59</v>
      </c>
      <c r="AL333" s="53">
        <v>0.24205511031800608</v>
      </c>
      <c r="AM333" s="53" t="str" cm="1">
        <f t="array" ref="AM333">IF(OR(O333&lt;&gt;"", SUMPRODUCT(($AN$2:$AN$561=AN333)*($AL$2:$AL$561&lt;=AL333)) &lt;= (COUNTIF($AN$2:$AN$561,AN333)*0.5)), "SORTEADO", "-")</f>
        <v>-</v>
      </c>
      <c r="AN333" s="53" t="str">
        <f t="shared" si="20"/>
        <v>28/04/2026</v>
      </c>
    </row>
    <row r="334" spans="1:40" ht="30" hidden="1" customHeight="1" x14ac:dyDescent="0.2">
      <c r="A334" s="245" t="s">
        <v>197</v>
      </c>
      <c r="B334" s="245">
        <v>2617459292</v>
      </c>
      <c r="C334" s="245" t="s">
        <v>2737</v>
      </c>
      <c r="D334" s="245" t="s">
        <v>111</v>
      </c>
      <c r="E334" s="245" t="s">
        <v>198</v>
      </c>
      <c r="F334" s="245" t="s">
        <v>3070</v>
      </c>
      <c r="G334" s="245">
        <v>13</v>
      </c>
      <c r="H334" s="245" t="s">
        <v>3071</v>
      </c>
      <c r="I334" s="245" t="s">
        <v>1768</v>
      </c>
      <c r="J334" s="245" t="s">
        <v>3072</v>
      </c>
      <c r="K334" s="245" t="s">
        <v>3073</v>
      </c>
      <c r="L334" s="245" t="s">
        <v>2294</v>
      </c>
      <c r="M334" s="245" t="s">
        <v>3074</v>
      </c>
      <c r="N334" s="245" t="s">
        <v>2132</v>
      </c>
      <c r="O334" s="158"/>
      <c r="P334" s="92"/>
      <c r="Q334" s="146"/>
      <c r="R334" s="92"/>
      <c r="S334" s="146"/>
      <c r="T334" s="92"/>
      <c r="U334" s="146"/>
      <c r="V334" s="92"/>
      <c r="W334" s="146"/>
      <c r="X334" s="92"/>
      <c r="Y334" s="146"/>
      <c r="Z334" s="92"/>
      <c r="AA334" s="146"/>
      <c r="AB334" s="92"/>
      <c r="AC334" s="146"/>
      <c r="AD334" s="92"/>
      <c r="AE334" s="146"/>
      <c r="AF334" s="143" t="str">
        <f t="shared" si="23"/>
        <v/>
      </c>
      <c r="AG334" s="199" t="b">
        <f t="shared" si="22"/>
        <v>0</v>
      </c>
      <c r="AH334" s="146"/>
      <c r="AI334" s="154" t="s">
        <v>6</v>
      </c>
      <c r="AJ334" s="151" t="str">
        <f t="shared" si="21"/>
        <v>GUARULHOS</v>
      </c>
      <c r="AK334" s="155" t="s">
        <v>59</v>
      </c>
      <c r="AL334" s="53">
        <v>0.89848568336808987</v>
      </c>
      <c r="AM334" s="53" t="str" cm="1">
        <f t="array" ref="AM334">IF(OR(O334&lt;&gt;"", SUMPRODUCT(($AN$2:$AN$561=AN334)*($AL$2:$AL$561&lt;=AL334)) &lt;= (COUNTIF($AN$2:$AN$561,AN334)*0.5)), "SORTEADO", "-")</f>
        <v>-</v>
      </c>
      <c r="AN334" s="53" t="str">
        <f t="shared" si="20"/>
        <v>28/04/2026</v>
      </c>
    </row>
    <row r="335" spans="1:40" ht="30" hidden="1" customHeight="1" x14ac:dyDescent="0.2">
      <c r="A335" s="245" t="s">
        <v>197</v>
      </c>
      <c r="B335" s="245">
        <v>2617301814</v>
      </c>
      <c r="C335" s="245" t="s">
        <v>2701</v>
      </c>
      <c r="D335" s="245" t="s">
        <v>110</v>
      </c>
      <c r="E335" s="245" t="s">
        <v>198</v>
      </c>
      <c r="F335" s="245" t="s">
        <v>355</v>
      </c>
      <c r="G335" s="245">
        <v>40</v>
      </c>
      <c r="H335" s="245" t="s">
        <v>213</v>
      </c>
      <c r="I335" s="245" t="s">
        <v>356</v>
      </c>
      <c r="J335" s="245" t="s">
        <v>2703</v>
      </c>
      <c r="K335" s="246" t="s">
        <v>3075</v>
      </c>
      <c r="L335" s="245" t="s">
        <v>2294</v>
      </c>
      <c r="M335" s="245" t="s">
        <v>3076</v>
      </c>
      <c r="N335" s="245" t="s">
        <v>2759</v>
      </c>
      <c r="O335" s="158" t="s">
        <v>61</v>
      </c>
      <c r="P335" s="92"/>
      <c r="Q335" s="146" t="s">
        <v>61</v>
      </c>
      <c r="R335" s="92"/>
      <c r="S335" s="146" t="s">
        <v>61</v>
      </c>
      <c r="T335" s="92"/>
      <c r="U335" s="146" t="s">
        <v>61</v>
      </c>
      <c r="V335" s="92"/>
      <c r="W335" s="146" t="s">
        <v>61</v>
      </c>
      <c r="X335" s="92"/>
      <c r="Y335" s="146" t="s">
        <v>61</v>
      </c>
      <c r="Z335" s="92"/>
      <c r="AA335" s="146" t="s">
        <v>61</v>
      </c>
      <c r="AB335" s="92"/>
      <c r="AC335" s="146" t="s">
        <v>61</v>
      </c>
      <c r="AD335" s="92"/>
      <c r="AE335" s="146" t="s">
        <v>61</v>
      </c>
      <c r="AF335" s="143" t="str">
        <f t="shared" si="23"/>
        <v>NA</v>
      </c>
      <c r="AG335" s="199" t="str">
        <f t="shared" si="22"/>
        <v>NÃO AVALIADO POR FALHA DE SINCRONISMO</v>
      </c>
      <c r="AH335" s="146" t="s">
        <v>204</v>
      </c>
      <c r="AI335" s="154" t="s">
        <v>6</v>
      </c>
      <c r="AJ335" s="151" t="str">
        <f t="shared" si="21"/>
        <v>GUARULHOS</v>
      </c>
      <c r="AK335" s="155" t="s">
        <v>59</v>
      </c>
      <c r="AL335" s="53">
        <v>-6.6799999999999998E-2</v>
      </c>
      <c r="AM335" s="53" t="str" cm="1">
        <f t="array" ref="AM335">IF(OR(O335&lt;&gt;"", SUMPRODUCT(($AN$2:$AN$561=AN335)*($AL$2:$AL$561&lt;=AL335)) &lt;= (COUNTIF($AN$2:$AN$561,AN335)*0.5)), "SORTEADO", "-")</f>
        <v>SORTEADO</v>
      </c>
      <c r="AN335" s="53" t="str">
        <f t="shared" si="20"/>
        <v>28/04/2026</v>
      </c>
    </row>
    <row r="336" spans="1:40" ht="30" hidden="1" customHeight="1" x14ac:dyDescent="0.2">
      <c r="A336" s="245" t="s">
        <v>197</v>
      </c>
      <c r="B336" s="245">
        <v>2617300471</v>
      </c>
      <c r="C336" s="245" t="s">
        <v>2701</v>
      </c>
      <c r="D336" s="245" t="s">
        <v>110</v>
      </c>
      <c r="E336" s="245" t="s">
        <v>198</v>
      </c>
      <c r="F336" s="245" t="s">
        <v>355</v>
      </c>
      <c r="G336" s="245">
        <v>26</v>
      </c>
      <c r="H336" s="245" t="s">
        <v>3077</v>
      </c>
      <c r="I336" s="245" t="s">
        <v>356</v>
      </c>
      <c r="J336" s="245" t="s">
        <v>2703</v>
      </c>
      <c r="K336" s="246" t="s">
        <v>3078</v>
      </c>
      <c r="L336" s="245" t="s">
        <v>2294</v>
      </c>
      <c r="M336" s="245" t="s">
        <v>3076</v>
      </c>
      <c r="N336" s="245" t="s">
        <v>2759</v>
      </c>
      <c r="O336" s="158" t="s">
        <v>61</v>
      </c>
      <c r="P336" s="92"/>
      <c r="Q336" s="146" t="s">
        <v>61</v>
      </c>
      <c r="R336" s="92"/>
      <c r="S336" s="146" t="s">
        <v>61</v>
      </c>
      <c r="T336" s="92"/>
      <c r="U336" s="146" t="s">
        <v>61</v>
      </c>
      <c r="V336" s="92"/>
      <c r="W336" s="146" t="s">
        <v>61</v>
      </c>
      <c r="X336" s="92"/>
      <c r="Y336" s="146" t="s">
        <v>61</v>
      </c>
      <c r="Z336" s="92"/>
      <c r="AA336" s="146" t="s">
        <v>61</v>
      </c>
      <c r="AB336" s="92"/>
      <c r="AC336" s="146" t="s">
        <v>61</v>
      </c>
      <c r="AD336" s="92"/>
      <c r="AE336" s="146" t="s">
        <v>61</v>
      </c>
      <c r="AF336" s="143" t="str">
        <f t="shared" si="23"/>
        <v>NA</v>
      </c>
      <c r="AG336" s="199" t="str">
        <f t="shared" si="22"/>
        <v>NÃO AVALIADO POR FALHA DE SINCRONISMO</v>
      </c>
      <c r="AH336" s="146" t="s">
        <v>204</v>
      </c>
      <c r="AI336" s="154" t="s">
        <v>6</v>
      </c>
      <c r="AJ336" s="151" t="str">
        <f t="shared" si="21"/>
        <v>GUARULHOS</v>
      </c>
      <c r="AK336" s="155" t="s">
        <v>59</v>
      </c>
      <c r="AL336" s="53">
        <v>-6.7000000000000004E-2</v>
      </c>
      <c r="AM336" s="53" t="str" cm="1">
        <f t="array" ref="AM336">IF(OR(O336&lt;&gt;"", SUMPRODUCT(($AN$2:$AN$561=AN336)*($AL$2:$AL$561&lt;=AL336)) &lt;= (COUNTIF($AN$2:$AN$561,AN336)*0.5)), "SORTEADO", "-")</f>
        <v>SORTEADO</v>
      </c>
      <c r="AN336" s="53" t="str">
        <f t="shared" si="20"/>
        <v>28/04/2026</v>
      </c>
    </row>
    <row r="337" spans="1:40" ht="30" hidden="1" customHeight="1" x14ac:dyDescent="0.2">
      <c r="A337" s="245" t="s">
        <v>197</v>
      </c>
      <c r="B337" s="245">
        <v>2617299741</v>
      </c>
      <c r="C337" s="245" t="s">
        <v>2701</v>
      </c>
      <c r="D337" s="245" t="s">
        <v>110</v>
      </c>
      <c r="E337" s="245" t="s">
        <v>198</v>
      </c>
      <c r="F337" s="245" t="s">
        <v>355</v>
      </c>
      <c r="G337" s="245">
        <v>243</v>
      </c>
      <c r="H337" s="245" t="s">
        <v>213</v>
      </c>
      <c r="I337" s="245" t="s">
        <v>356</v>
      </c>
      <c r="J337" s="245" t="s">
        <v>2703</v>
      </c>
      <c r="K337" s="246" t="s">
        <v>3075</v>
      </c>
      <c r="L337" s="245" t="s">
        <v>2294</v>
      </c>
      <c r="M337" s="245" t="s">
        <v>3076</v>
      </c>
      <c r="N337" s="245" t="s">
        <v>2759</v>
      </c>
      <c r="O337" s="158" t="s">
        <v>61</v>
      </c>
      <c r="P337" s="92"/>
      <c r="Q337" s="146" t="s">
        <v>61</v>
      </c>
      <c r="R337" s="92"/>
      <c r="S337" s="146" t="s">
        <v>61</v>
      </c>
      <c r="T337" s="92"/>
      <c r="U337" s="146" t="s">
        <v>61</v>
      </c>
      <c r="V337" s="92"/>
      <c r="W337" s="146" t="s">
        <v>61</v>
      </c>
      <c r="X337" s="92"/>
      <c r="Y337" s="146" t="s">
        <v>61</v>
      </c>
      <c r="Z337" s="92"/>
      <c r="AA337" s="146" t="s">
        <v>61</v>
      </c>
      <c r="AB337" s="92"/>
      <c r="AC337" s="146" t="s">
        <v>61</v>
      </c>
      <c r="AD337" s="92"/>
      <c r="AE337" s="146" t="s">
        <v>61</v>
      </c>
      <c r="AF337" s="143" t="str">
        <f t="shared" si="23"/>
        <v>NA</v>
      </c>
      <c r="AG337" s="199" t="str">
        <f t="shared" si="22"/>
        <v>NÃO AVALIADO POR FALHA DE SINCRONISMO</v>
      </c>
      <c r="AH337" s="146" t="s">
        <v>204</v>
      </c>
      <c r="AI337" s="154" t="s">
        <v>6</v>
      </c>
      <c r="AJ337" s="151" t="str">
        <f t="shared" si="21"/>
        <v>GUARULHOS</v>
      </c>
      <c r="AK337" s="155" t="s">
        <v>59</v>
      </c>
      <c r="AL337" s="53">
        <v>-6.7199999999999996E-2</v>
      </c>
      <c r="AM337" s="53" t="str" cm="1">
        <f t="array" ref="AM337">IF(OR(O337&lt;&gt;"", SUMPRODUCT(($AN$2:$AN$561=AN337)*($AL$2:$AL$561&lt;=AL337)) &lt;= (COUNTIF($AN$2:$AN$561,AN337)*0.5)), "SORTEADO", "-")</f>
        <v>SORTEADO</v>
      </c>
      <c r="AN337" s="53" t="str">
        <f t="shared" si="20"/>
        <v>28/04/2026</v>
      </c>
    </row>
    <row r="338" spans="1:40" ht="30" hidden="1" customHeight="1" x14ac:dyDescent="0.2">
      <c r="A338" s="245" t="s">
        <v>197</v>
      </c>
      <c r="B338" s="245">
        <v>2617307314</v>
      </c>
      <c r="C338" s="245" t="s">
        <v>2701</v>
      </c>
      <c r="D338" s="245" t="s">
        <v>110</v>
      </c>
      <c r="E338" s="245" t="s">
        <v>198</v>
      </c>
      <c r="F338" s="245" t="s">
        <v>355</v>
      </c>
      <c r="G338" s="245">
        <v>238</v>
      </c>
      <c r="H338" s="245"/>
      <c r="I338" s="245" t="s">
        <v>356</v>
      </c>
      <c r="J338" s="245" t="s">
        <v>2703</v>
      </c>
      <c r="K338" s="246" t="s">
        <v>3079</v>
      </c>
      <c r="L338" s="245" t="s">
        <v>2294</v>
      </c>
      <c r="M338" s="245" t="s">
        <v>3080</v>
      </c>
      <c r="N338" s="245" t="s">
        <v>2759</v>
      </c>
      <c r="O338" s="158" t="s">
        <v>61</v>
      </c>
      <c r="P338" s="92"/>
      <c r="Q338" s="146" t="s">
        <v>61</v>
      </c>
      <c r="R338" s="92"/>
      <c r="S338" s="146" t="s">
        <v>61</v>
      </c>
      <c r="T338" s="92"/>
      <c r="U338" s="146" t="s">
        <v>61</v>
      </c>
      <c r="V338" s="92"/>
      <c r="W338" s="146" t="s">
        <v>61</v>
      </c>
      <c r="X338" s="92"/>
      <c r="Y338" s="146" t="s">
        <v>61</v>
      </c>
      <c r="Z338" s="92"/>
      <c r="AA338" s="146" t="s">
        <v>61</v>
      </c>
      <c r="AB338" s="92"/>
      <c r="AC338" s="146" t="s">
        <v>61</v>
      </c>
      <c r="AD338" s="92"/>
      <c r="AE338" s="146" t="s">
        <v>61</v>
      </c>
      <c r="AF338" s="143" t="str">
        <f t="shared" si="23"/>
        <v>NA</v>
      </c>
      <c r="AG338" s="199" t="str">
        <f t="shared" si="22"/>
        <v>NÃO AVALIADO POR FALHA DE SINCRONISMO</v>
      </c>
      <c r="AH338" s="146" t="s">
        <v>204</v>
      </c>
      <c r="AI338" s="154" t="s">
        <v>6</v>
      </c>
      <c r="AJ338" s="151" t="str">
        <f t="shared" si="21"/>
        <v>GUARULHOS</v>
      </c>
      <c r="AK338" s="155" t="s">
        <v>59</v>
      </c>
      <c r="AL338" s="53">
        <v>-6.7400000000000002E-2</v>
      </c>
      <c r="AM338" s="53" t="str" cm="1">
        <f t="array" ref="AM338">IF(OR(O338&lt;&gt;"", SUMPRODUCT(($AN$2:$AN$561=AN338)*($AL$2:$AL$561&lt;=AL338)) &lt;= (COUNTIF($AN$2:$AN$561,AN338)*0.5)), "SORTEADO", "-")</f>
        <v>SORTEADO</v>
      </c>
      <c r="AN338" s="53" t="str">
        <f t="shared" si="20"/>
        <v>28/04/2026</v>
      </c>
    </row>
    <row r="339" spans="1:40" ht="30" hidden="1" customHeight="1" x14ac:dyDescent="0.2">
      <c r="A339" s="245" t="s">
        <v>197</v>
      </c>
      <c r="B339" s="245">
        <v>2617299401</v>
      </c>
      <c r="C339" s="245" t="s">
        <v>2701</v>
      </c>
      <c r="D339" s="245" t="s">
        <v>110</v>
      </c>
      <c r="E339" s="245" t="s">
        <v>198</v>
      </c>
      <c r="F339" s="245" t="s">
        <v>355</v>
      </c>
      <c r="G339" s="245">
        <v>237</v>
      </c>
      <c r="H339" s="245" t="s">
        <v>213</v>
      </c>
      <c r="I339" s="245" t="s">
        <v>356</v>
      </c>
      <c r="J339" s="245" t="s">
        <v>2703</v>
      </c>
      <c r="K339" s="246" t="s">
        <v>3078</v>
      </c>
      <c r="L339" s="245" t="s">
        <v>2294</v>
      </c>
      <c r="M339" s="245" t="s">
        <v>3076</v>
      </c>
      <c r="N339" s="245" t="s">
        <v>2759</v>
      </c>
      <c r="O339" s="158" t="s">
        <v>61</v>
      </c>
      <c r="P339" s="92"/>
      <c r="Q339" s="146" t="s">
        <v>61</v>
      </c>
      <c r="R339" s="92"/>
      <c r="S339" s="146" t="s">
        <v>61</v>
      </c>
      <c r="T339" s="92"/>
      <c r="U339" s="146" t="s">
        <v>61</v>
      </c>
      <c r="V339" s="92"/>
      <c r="W339" s="146" t="s">
        <v>61</v>
      </c>
      <c r="X339" s="92"/>
      <c r="Y339" s="146" t="s">
        <v>61</v>
      </c>
      <c r="Z339" s="92"/>
      <c r="AA339" s="146" t="s">
        <v>61</v>
      </c>
      <c r="AB339" s="92"/>
      <c r="AC339" s="146" t="s">
        <v>61</v>
      </c>
      <c r="AD339" s="92"/>
      <c r="AE339" s="146" t="s">
        <v>61</v>
      </c>
      <c r="AF339" s="143" t="str">
        <f t="shared" si="23"/>
        <v>NA</v>
      </c>
      <c r="AG339" s="199" t="str">
        <f t="shared" si="22"/>
        <v>NÃO AVALIADO POR FALHA DE SINCRONISMO</v>
      </c>
      <c r="AH339" s="146" t="s">
        <v>204</v>
      </c>
      <c r="AI339" s="154" t="s">
        <v>6</v>
      </c>
      <c r="AJ339" s="151" t="str">
        <f t="shared" si="21"/>
        <v>GUARULHOS</v>
      </c>
      <c r="AK339" s="155" t="s">
        <v>59</v>
      </c>
      <c r="AL339" s="53">
        <v>-6.7599999999999993E-2</v>
      </c>
      <c r="AM339" s="53" t="str" cm="1">
        <f t="array" ref="AM339">IF(OR(O339&lt;&gt;"", SUMPRODUCT(($AN$2:$AN$561=AN339)*($AL$2:$AL$561&lt;=AL339)) &lt;= (COUNTIF($AN$2:$AN$561,AN339)*0.5)), "SORTEADO", "-")</f>
        <v>SORTEADO</v>
      </c>
      <c r="AN339" s="53" t="str">
        <f t="shared" si="20"/>
        <v>28/04/2026</v>
      </c>
    </row>
    <row r="340" spans="1:40" ht="30" hidden="1" customHeight="1" x14ac:dyDescent="0.2">
      <c r="A340" s="245" t="s">
        <v>197</v>
      </c>
      <c r="B340" s="245">
        <v>2617307003</v>
      </c>
      <c r="C340" s="245" t="s">
        <v>2701</v>
      </c>
      <c r="D340" s="245" t="s">
        <v>110</v>
      </c>
      <c r="E340" s="245" t="s">
        <v>198</v>
      </c>
      <c r="F340" s="245" t="s">
        <v>355</v>
      </c>
      <c r="G340" s="245">
        <v>234</v>
      </c>
      <c r="H340" s="245"/>
      <c r="I340" s="245" t="s">
        <v>356</v>
      </c>
      <c r="J340" s="245" t="s">
        <v>2703</v>
      </c>
      <c r="K340" s="246" t="s">
        <v>3079</v>
      </c>
      <c r="L340" s="245" t="s">
        <v>2294</v>
      </c>
      <c r="M340" s="245" t="s">
        <v>3080</v>
      </c>
      <c r="N340" s="245" t="s">
        <v>2759</v>
      </c>
      <c r="O340" s="158" t="s">
        <v>61</v>
      </c>
      <c r="P340" s="92"/>
      <c r="Q340" s="146" t="s">
        <v>61</v>
      </c>
      <c r="R340" s="92"/>
      <c r="S340" s="146" t="s">
        <v>61</v>
      </c>
      <c r="T340" s="92"/>
      <c r="U340" s="146" t="s">
        <v>61</v>
      </c>
      <c r="V340" s="92"/>
      <c r="W340" s="146" t="s">
        <v>61</v>
      </c>
      <c r="X340" s="92"/>
      <c r="Y340" s="146" t="s">
        <v>61</v>
      </c>
      <c r="Z340" s="92"/>
      <c r="AA340" s="146" t="s">
        <v>61</v>
      </c>
      <c r="AB340" s="92"/>
      <c r="AC340" s="146" t="s">
        <v>61</v>
      </c>
      <c r="AD340" s="92"/>
      <c r="AE340" s="146" t="s">
        <v>61</v>
      </c>
      <c r="AF340" s="143" t="str">
        <f t="shared" si="23"/>
        <v>NA</v>
      </c>
      <c r="AG340" s="199" t="str">
        <f t="shared" si="22"/>
        <v>NÃO AVALIADO POR FALHA DE SINCRONISMO</v>
      </c>
      <c r="AH340" s="146" t="s">
        <v>204</v>
      </c>
      <c r="AI340" s="154" t="s">
        <v>6</v>
      </c>
      <c r="AJ340" s="151" t="str">
        <f t="shared" si="21"/>
        <v>GUARULHOS</v>
      </c>
      <c r="AK340" s="155" t="s">
        <v>59</v>
      </c>
      <c r="AL340" s="53">
        <v>-6.7799999999999999E-2</v>
      </c>
      <c r="AM340" s="53" t="str" cm="1">
        <f t="array" ref="AM340">IF(OR(O340&lt;&gt;"", SUMPRODUCT(($AN$2:$AN$561=AN340)*($AL$2:$AL$561&lt;=AL340)) &lt;= (COUNTIF($AN$2:$AN$561,AN340)*0.5)), "SORTEADO", "-")</f>
        <v>SORTEADO</v>
      </c>
      <c r="AN340" s="53" t="str">
        <f t="shared" si="20"/>
        <v>28/04/2026</v>
      </c>
    </row>
    <row r="341" spans="1:40" ht="30" hidden="1" customHeight="1" x14ac:dyDescent="0.2">
      <c r="A341" s="245" t="s">
        <v>197</v>
      </c>
      <c r="B341" s="245">
        <v>2617306242</v>
      </c>
      <c r="C341" s="245" t="s">
        <v>2701</v>
      </c>
      <c r="D341" s="245" t="s">
        <v>110</v>
      </c>
      <c r="E341" s="245" t="s">
        <v>198</v>
      </c>
      <c r="F341" s="245" t="s">
        <v>355</v>
      </c>
      <c r="G341" s="245">
        <v>233</v>
      </c>
      <c r="H341" s="245" t="s">
        <v>362</v>
      </c>
      <c r="I341" s="245" t="s">
        <v>356</v>
      </c>
      <c r="J341" s="245" t="s">
        <v>2703</v>
      </c>
      <c r="K341" s="246" t="s">
        <v>3079</v>
      </c>
      <c r="L341" s="245" t="s">
        <v>2294</v>
      </c>
      <c r="M341" s="245" t="s">
        <v>3080</v>
      </c>
      <c r="N341" s="245" t="s">
        <v>2759</v>
      </c>
      <c r="O341" s="158" t="s">
        <v>61</v>
      </c>
      <c r="P341" s="92"/>
      <c r="Q341" s="146" t="s">
        <v>61</v>
      </c>
      <c r="R341" s="92"/>
      <c r="S341" s="146" t="s">
        <v>61</v>
      </c>
      <c r="T341" s="92"/>
      <c r="U341" s="146" t="s">
        <v>61</v>
      </c>
      <c r="V341" s="92"/>
      <c r="W341" s="146" t="s">
        <v>61</v>
      </c>
      <c r="X341" s="92"/>
      <c r="Y341" s="146" t="s">
        <v>61</v>
      </c>
      <c r="Z341" s="92"/>
      <c r="AA341" s="146" t="s">
        <v>61</v>
      </c>
      <c r="AB341" s="92"/>
      <c r="AC341" s="146" t="s">
        <v>61</v>
      </c>
      <c r="AD341" s="92"/>
      <c r="AE341" s="146" t="s">
        <v>61</v>
      </c>
      <c r="AF341" s="143" t="str">
        <f t="shared" si="23"/>
        <v>NA</v>
      </c>
      <c r="AG341" s="199" t="str">
        <f t="shared" si="22"/>
        <v>NÃO AVALIADO POR FALHA DE SINCRONISMO</v>
      </c>
      <c r="AH341" s="146" t="s">
        <v>204</v>
      </c>
      <c r="AI341" s="154" t="s">
        <v>6</v>
      </c>
      <c r="AJ341" s="151" t="str">
        <f t="shared" si="21"/>
        <v>GUARULHOS</v>
      </c>
      <c r="AK341" s="155" t="s">
        <v>59</v>
      </c>
      <c r="AL341" s="53">
        <v>-6.8000000000000005E-2</v>
      </c>
      <c r="AM341" s="53" t="str" cm="1">
        <f t="array" ref="AM341">IF(OR(O341&lt;&gt;"", SUMPRODUCT(($AN$2:$AN$561=AN341)*($AL$2:$AL$561&lt;=AL341)) &lt;= (COUNTIF($AN$2:$AN$561,AN341)*0.5)), "SORTEADO", "-")</f>
        <v>SORTEADO</v>
      </c>
      <c r="AN341" s="53" t="str">
        <f t="shared" ref="AN341:AN404" si="24">TEXT(L341, "dd/mm/aaaa")</f>
        <v>28/04/2026</v>
      </c>
    </row>
    <row r="342" spans="1:40" ht="30" hidden="1" customHeight="1" x14ac:dyDescent="0.2">
      <c r="A342" s="245" t="s">
        <v>197</v>
      </c>
      <c r="B342" s="245">
        <v>2617305748</v>
      </c>
      <c r="C342" s="245" t="s">
        <v>2701</v>
      </c>
      <c r="D342" s="245" t="s">
        <v>110</v>
      </c>
      <c r="E342" s="245" t="s">
        <v>198</v>
      </c>
      <c r="F342" s="245" t="s">
        <v>355</v>
      </c>
      <c r="G342" s="245">
        <v>229</v>
      </c>
      <c r="H342" s="245"/>
      <c r="I342" s="245" t="s">
        <v>356</v>
      </c>
      <c r="J342" s="245" t="s">
        <v>2703</v>
      </c>
      <c r="K342" s="246" t="s">
        <v>3079</v>
      </c>
      <c r="L342" s="245" t="s">
        <v>2294</v>
      </c>
      <c r="M342" s="245" t="s">
        <v>3080</v>
      </c>
      <c r="N342" s="245" t="s">
        <v>2759</v>
      </c>
      <c r="O342" s="158" t="s">
        <v>61</v>
      </c>
      <c r="P342" s="92"/>
      <c r="Q342" s="146" t="s">
        <v>61</v>
      </c>
      <c r="R342" s="92"/>
      <c r="S342" s="146" t="s">
        <v>61</v>
      </c>
      <c r="T342" s="92"/>
      <c r="U342" s="146" t="s">
        <v>61</v>
      </c>
      <c r="V342" s="92"/>
      <c r="W342" s="146" t="s">
        <v>61</v>
      </c>
      <c r="X342" s="92"/>
      <c r="Y342" s="146" t="s">
        <v>61</v>
      </c>
      <c r="Z342" s="92"/>
      <c r="AA342" s="146" t="s">
        <v>61</v>
      </c>
      <c r="AB342" s="92"/>
      <c r="AC342" s="146" t="s">
        <v>61</v>
      </c>
      <c r="AD342" s="92"/>
      <c r="AE342" s="146" t="s">
        <v>61</v>
      </c>
      <c r="AF342" s="143" t="str">
        <f t="shared" si="23"/>
        <v>NA</v>
      </c>
      <c r="AG342" s="199" t="str">
        <f t="shared" si="22"/>
        <v>NÃO AVALIADO POR FALHA DE SINCRONISMO</v>
      </c>
      <c r="AH342" s="146" t="s">
        <v>204</v>
      </c>
      <c r="AI342" s="154" t="s">
        <v>6</v>
      </c>
      <c r="AJ342" s="151" t="str">
        <f t="shared" si="21"/>
        <v>GUARULHOS</v>
      </c>
      <c r="AK342" s="155" t="s">
        <v>59</v>
      </c>
      <c r="AL342" s="53">
        <v>-6.8199999999999997E-2</v>
      </c>
      <c r="AM342" s="53" t="str" cm="1">
        <f t="array" ref="AM342">IF(OR(O342&lt;&gt;"", SUMPRODUCT(($AN$2:$AN$561=AN342)*($AL$2:$AL$561&lt;=AL342)) &lt;= (COUNTIF($AN$2:$AN$561,AN342)*0.5)), "SORTEADO", "-")</f>
        <v>SORTEADO</v>
      </c>
      <c r="AN342" s="53" t="str">
        <f t="shared" si="24"/>
        <v>28/04/2026</v>
      </c>
    </row>
    <row r="343" spans="1:40" ht="30" hidden="1" customHeight="1" x14ac:dyDescent="0.2">
      <c r="A343" s="245" t="s">
        <v>197</v>
      </c>
      <c r="B343" s="245">
        <v>2617305994</v>
      </c>
      <c r="C343" s="245" t="s">
        <v>2701</v>
      </c>
      <c r="D343" s="245" t="s">
        <v>110</v>
      </c>
      <c r="E343" s="245" t="s">
        <v>198</v>
      </c>
      <c r="F343" s="245" t="s">
        <v>355</v>
      </c>
      <c r="G343" s="245">
        <v>228</v>
      </c>
      <c r="H343" s="245">
        <v>202</v>
      </c>
      <c r="I343" s="245" t="s">
        <v>356</v>
      </c>
      <c r="J343" s="245" t="s">
        <v>2703</v>
      </c>
      <c r="K343" s="246" t="s">
        <v>3079</v>
      </c>
      <c r="L343" s="245" t="s">
        <v>2294</v>
      </c>
      <c r="M343" s="245" t="s">
        <v>3080</v>
      </c>
      <c r="N343" s="245" t="s">
        <v>2759</v>
      </c>
      <c r="O343" s="158" t="s">
        <v>61</v>
      </c>
      <c r="P343" s="92"/>
      <c r="Q343" s="146" t="s">
        <v>61</v>
      </c>
      <c r="R343" s="92"/>
      <c r="S343" s="146" t="s">
        <v>61</v>
      </c>
      <c r="T343" s="92"/>
      <c r="U343" s="146" t="s">
        <v>61</v>
      </c>
      <c r="V343" s="92"/>
      <c r="W343" s="146" t="s">
        <v>61</v>
      </c>
      <c r="X343" s="92"/>
      <c r="Y343" s="146" t="s">
        <v>61</v>
      </c>
      <c r="Z343" s="92"/>
      <c r="AA343" s="146" t="s">
        <v>61</v>
      </c>
      <c r="AB343" s="92"/>
      <c r="AC343" s="146" t="s">
        <v>61</v>
      </c>
      <c r="AD343" s="92"/>
      <c r="AE343" s="146" t="s">
        <v>61</v>
      </c>
      <c r="AF343" s="143" t="str">
        <f t="shared" si="23"/>
        <v>NA</v>
      </c>
      <c r="AG343" s="199" t="str">
        <f t="shared" si="22"/>
        <v>NÃO AVALIADO POR FALHA DE SINCRONISMO</v>
      </c>
      <c r="AH343" s="146" t="s">
        <v>204</v>
      </c>
      <c r="AI343" s="154" t="s">
        <v>6</v>
      </c>
      <c r="AJ343" s="151" t="str">
        <f t="shared" si="21"/>
        <v>GUARULHOS</v>
      </c>
      <c r="AK343" s="155" t="s">
        <v>59</v>
      </c>
      <c r="AL343" s="53">
        <v>-6.8400000000000002E-2</v>
      </c>
      <c r="AM343" s="53" t="str" cm="1">
        <f t="array" ref="AM343">IF(OR(O343&lt;&gt;"", SUMPRODUCT(($AN$2:$AN$561=AN343)*($AL$2:$AL$561&lt;=AL343)) &lt;= (COUNTIF($AN$2:$AN$561,AN343)*0.5)), "SORTEADO", "-")</f>
        <v>SORTEADO</v>
      </c>
      <c r="AN343" s="53" t="str">
        <f t="shared" si="24"/>
        <v>28/04/2026</v>
      </c>
    </row>
    <row r="344" spans="1:40" ht="30" hidden="1" customHeight="1" x14ac:dyDescent="0.2">
      <c r="A344" s="245" t="s">
        <v>197</v>
      </c>
      <c r="B344" s="245">
        <v>2617305532</v>
      </c>
      <c r="C344" s="245" t="s">
        <v>2701</v>
      </c>
      <c r="D344" s="245" t="s">
        <v>110</v>
      </c>
      <c r="E344" s="245" t="s">
        <v>198</v>
      </c>
      <c r="F344" s="245" t="s">
        <v>355</v>
      </c>
      <c r="G344" s="245">
        <v>223</v>
      </c>
      <c r="H344" s="245"/>
      <c r="I344" s="245" t="s">
        <v>356</v>
      </c>
      <c r="J344" s="245" t="s">
        <v>2703</v>
      </c>
      <c r="K344" s="246" t="s">
        <v>3081</v>
      </c>
      <c r="L344" s="245" t="s">
        <v>2294</v>
      </c>
      <c r="M344" s="245" t="s">
        <v>3080</v>
      </c>
      <c r="N344" s="245" t="s">
        <v>2759</v>
      </c>
      <c r="O344" s="158" t="s">
        <v>61</v>
      </c>
      <c r="P344" s="92"/>
      <c r="Q344" s="146" t="s">
        <v>61</v>
      </c>
      <c r="R344" s="92"/>
      <c r="S344" s="146" t="s">
        <v>61</v>
      </c>
      <c r="T344" s="92"/>
      <c r="U344" s="146" t="s">
        <v>61</v>
      </c>
      <c r="V344" s="92"/>
      <c r="W344" s="146" t="s">
        <v>61</v>
      </c>
      <c r="X344" s="92"/>
      <c r="Y344" s="146" t="s">
        <v>61</v>
      </c>
      <c r="Z344" s="92"/>
      <c r="AA344" s="146" t="s">
        <v>61</v>
      </c>
      <c r="AB344" s="92"/>
      <c r="AC344" s="146" t="s">
        <v>61</v>
      </c>
      <c r="AD344" s="92"/>
      <c r="AE344" s="146" t="s">
        <v>61</v>
      </c>
      <c r="AF344" s="143" t="str">
        <f t="shared" si="23"/>
        <v>NA</v>
      </c>
      <c r="AG344" s="199" t="str">
        <f t="shared" si="22"/>
        <v>NÃO AVALIADO POR FALHA DE SINCRONISMO</v>
      </c>
      <c r="AH344" s="146" t="s">
        <v>204</v>
      </c>
      <c r="AI344" s="154" t="s">
        <v>6</v>
      </c>
      <c r="AJ344" s="151" t="str">
        <f t="shared" si="21"/>
        <v>GUARULHOS</v>
      </c>
      <c r="AK344" s="155" t="s">
        <v>59</v>
      </c>
      <c r="AL344" s="53">
        <v>-6.8599999999999994E-2</v>
      </c>
      <c r="AM344" s="53" t="str" cm="1">
        <f t="array" ref="AM344">IF(OR(O344&lt;&gt;"", SUMPRODUCT(($AN$2:$AN$561=AN344)*($AL$2:$AL$561&lt;=AL344)) &lt;= (COUNTIF($AN$2:$AN$561,AN344)*0.5)), "SORTEADO", "-")</f>
        <v>SORTEADO</v>
      </c>
      <c r="AN344" s="53" t="str">
        <f t="shared" si="24"/>
        <v>28/04/2026</v>
      </c>
    </row>
    <row r="345" spans="1:40" ht="30" hidden="1" customHeight="1" x14ac:dyDescent="0.2">
      <c r="A345" s="245" t="s">
        <v>197</v>
      </c>
      <c r="B345" s="245">
        <v>2617305296</v>
      </c>
      <c r="C345" s="245" t="s">
        <v>2701</v>
      </c>
      <c r="D345" s="245" t="s">
        <v>110</v>
      </c>
      <c r="E345" s="245" t="s">
        <v>198</v>
      </c>
      <c r="F345" s="245" t="s">
        <v>355</v>
      </c>
      <c r="G345" s="245">
        <v>222</v>
      </c>
      <c r="H345" s="245" t="s">
        <v>3082</v>
      </c>
      <c r="I345" s="245" t="s">
        <v>356</v>
      </c>
      <c r="J345" s="245" t="s">
        <v>2703</v>
      </c>
      <c r="K345" s="246" t="s">
        <v>3079</v>
      </c>
      <c r="L345" s="245" t="s">
        <v>2294</v>
      </c>
      <c r="M345" s="245" t="s">
        <v>3080</v>
      </c>
      <c r="N345" s="245" t="s">
        <v>2759</v>
      </c>
      <c r="O345" s="158" t="s">
        <v>61</v>
      </c>
      <c r="P345" s="92"/>
      <c r="Q345" s="146" t="s">
        <v>61</v>
      </c>
      <c r="R345" s="92"/>
      <c r="S345" s="146" t="s">
        <v>61</v>
      </c>
      <c r="T345" s="92"/>
      <c r="U345" s="146" t="s">
        <v>61</v>
      </c>
      <c r="V345" s="92"/>
      <c r="W345" s="146" t="s">
        <v>61</v>
      </c>
      <c r="X345" s="92"/>
      <c r="Y345" s="146" t="s">
        <v>61</v>
      </c>
      <c r="Z345" s="92"/>
      <c r="AA345" s="146" t="s">
        <v>61</v>
      </c>
      <c r="AB345" s="92"/>
      <c r="AC345" s="146" t="s">
        <v>61</v>
      </c>
      <c r="AD345" s="92"/>
      <c r="AE345" s="146" t="s">
        <v>61</v>
      </c>
      <c r="AF345" s="143" t="str">
        <f t="shared" si="23"/>
        <v>NA</v>
      </c>
      <c r="AG345" s="199" t="str">
        <f t="shared" si="22"/>
        <v>NÃO AVALIADO POR FALHA DE SINCRONISMO</v>
      </c>
      <c r="AH345" s="146" t="s">
        <v>204</v>
      </c>
      <c r="AI345" s="154" t="s">
        <v>6</v>
      </c>
      <c r="AJ345" s="151" t="str">
        <f t="shared" si="21"/>
        <v>GUARULHOS</v>
      </c>
      <c r="AK345" s="155" t="s">
        <v>59</v>
      </c>
      <c r="AL345" s="53">
        <v>-6.88E-2</v>
      </c>
      <c r="AM345" s="53" t="str" cm="1">
        <f t="array" ref="AM345">IF(OR(O345&lt;&gt;"", SUMPRODUCT(($AN$2:$AN$561=AN345)*($AL$2:$AL$561&lt;=AL345)) &lt;= (COUNTIF($AN$2:$AN$561,AN345)*0.5)), "SORTEADO", "-")</f>
        <v>SORTEADO</v>
      </c>
      <c r="AN345" s="53" t="str">
        <f t="shared" si="24"/>
        <v>28/04/2026</v>
      </c>
    </row>
    <row r="346" spans="1:40" ht="30" hidden="1" customHeight="1" x14ac:dyDescent="0.2">
      <c r="A346" s="245" t="s">
        <v>197</v>
      </c>
      <c r="B346" s="245">
        <v>2617305118</v>
      </c>
      <c r="C346" s="245" t="s">
        <v>2701</v>
      </c>
      <c r="D346" s="245" t="s">
        <v>110</v>
      </c>
      <c r="E346" s="245" t="s">
        <v>198</v>
      </c>
      <c r="F346" s="245" t="s">
        <v>355</v>
      </c>
      <c r="G346" s="245">
        <v>217</v>
      </c>
      <c r="H346" s="245"/>
      <c r="I346" s="245" t="s">
        <v>356</v>
      </c>
      <c r="J346" s="245" t="s">
        <v>2703</v>
      </c>
      <c r="K346" s="246" t="s">
        <v>3079</v>
      </c>
      <c r="L346" s="245" t="s">
        <v>2294</v>
      </c>
      <c r="M346" s="245" t="s">
        <v>3080</v>
      </c>
      <c r="N346" s="245" t="s">
        <v>2759</v>
      </c>
      <c r="O346" s="158" t="s">
        <v>61</v>
      </c>
      <c r="P346" s="92"/>
      <c r="Q346" s="146" t="s">
        <v>61</v>
      </c>
      <c r="R346" s="92"/>
      <c r="S346" s="146" t="s">
        <v>61</v>
      </c>
      <c r="T346" s="92"/>
      <c r="U346" s="146" t="s">
        <v>61</v>
      </c>
      <c r="V346" s="92"/>
      <c r="W346" s="146" t="s">
        <v>61</v>
      </c>
      <c r="X346" s="92"/>
      <c r="Y346" s="146" t="s">
        <v>61</v>
      </c>
      <c r="Z346" s="92"/>
      <c r="AA346" s="146" t="s">
        <v>61</v>
      </c>
      <c r="AB346" s="92"/>
      <c r="AC346" s="146" t="s">
        <v>61</v>
      </c>
      <c r="AD346" s="92"/>
      <c r="AE346" s="146" t="s">
        <v>61</v>
      </c>
      <c r="AF346" s="143" t="str">
        <f t="shared" si="23"/>
        <v>NA</v>
      </c>
      <c r="AG346" s="199" t="str">
        <f t="shared" si="22"/>
        <v>NÃO AVALIADO POR FALHA DE SINCRONISMO</v>
      </c>
      <c r="AH346" s="146" t="s">
        <v>204</v>
      </c>
      <c r="AI346" s="154" t="s">
        <v>6</v>
      </c>
      <c r="AJ346" s="151" t="str">
        <f t="shared" si="21"/>
        <v>GUARULHOS</v>
      </c>
      <c r="AK346" s="155" t="s">
        <v>59</v>
      </c>
      <c r="AL346" s="53">
        <v>-6.9000000000000006E-2</v>
      </c>
      <c r="AM346" s="53" t="str" cm="1">
        <f t="array" ref="AM346">IF(OR(O346&lt;&gt;"", SUMPRODUCT(($AN$2:$AN$561=AN346)*($AL$2:$AL$561&lt;=AL346)) &lt;= (COUNTIF($AN$2:$AN$561,AN346)*0.5)), "SORTEADO", "-")</f>
        <v>SORTEADO</v>
      </c>
      <c r="AN346" s="53" t="str">
        <f t="shared" si="24"/>
        <v>28/04/2026</v>
      </c>
    </row>
    <row r="347" spans="1:40" ht="30" hidden="1" customHeight="1" x14ac:dyDescent="0.2">
      <c r="A347" s="245" t="s">
        <v>197</v>
      </c>
      <c r="B347" s="245">
        <v>2617300092</v>
      </c>
      <c r="C347" s="245" t="s">
        <v>2701</v>
      </c>
      <c r="D347" s="245" t="s">
        <v>110</v>
      </c>
      <c r="E347" s="245" t="s">
        <v>198</v>
      </c>
      <c r="F347" s="245" t="s">
        <v>355</v>
      </c>
      <c r="G347" s="245">
        <v>21</v>
      </c>
      <c r="H347" s="245" t="s">
        <v>206</v>
      </c>
      <c r="I347" s="245" t="s">
        <v>356</v>
      </c>
      <c r="J347" s="245" t="s">
        <v>2703</v>
      </c>
      <c r="K347" s="246" t="s">
        <v>3078</v>
      </c>
      <c r="L347" s="245" t="s">
        <v>2294</v>
      </c>
      <c r="M347" s="245" t="s">
        <v>3076</v>
      </c>
      <c r="N347" s="245" t="s">
        <v>2759</v>
      </c>
      <c r="O347" s="158" t="s">
        <v>61</v>
      </c>
      <c r="P347" s="92"/>
      <c r="Q347" s="146" t="s">
        <v>61</v>
      </c>
      <c r="R347" s="92"/>
      <c r="S347" s="146" t="s">
        <v>61</v>
      </c>
      <c r="T347" s="92"/>
      <c r="U347" s="146" t="s">
        <v>61</v>
      </c>
      <c r="V347" s="92"/>
      <c r="W347" s="146" t="s">
        <v>61</v>
      </c>
      <c r="X347" s="92"/>
      <c r="Y347" s="146" t="s">
        <v>61</v>
      </c>
      <c r="Z347" s="92"/>
      <c r="AA347" s="146" t="s">
        <v>61</v>
      </c>
      <c r="AB347" s="92"/>
      <c r="AC347" s="146" t="s">
        <v>61</v>
      </c>
      <c r="AD347" s="92"/>
      <c r="AE347" s="146" t="s">
        <v>61</v>
      </c>
      <c r="AF347" s="143" t="str">
        <f t="shared" si="23"/>
        <v>NA</v>
      </c>
      <c r="AG347" s="199" t="str">
        <f t="shared" si="22"/>
        <v>NÃO AVALIADO POR FALHA DE SINCRONISMO</v>
      </c>
      <c r="AH347" s="146" t="s">
        <v>204</v>
      </c>
      <c r="AI347" s="154" t="s">
        <v>6</v>
      </c>
      <c r="AJ347" s="151" t="str">
        <f t="shared" si="21"/>
        <v>GUARULHOS</v>
      </c>
      <c r="AK347" s="155" t="s">
        <v>59</v>
      </c>
      <c r="AL347" s="53">
        <v>-6.9199999999999998E-2</v>
      </c>
      <c r="AM347" s="53" t="str" cm="1">
        <f t="array" ref="AM347">IF(OR(O347&lt;&gt;"", SUMPRODUCT(($AN$2:$AN$561=AN347)*($AL$2:$AL$561&lt;=AL347)) &lt;= (COUNTIF($AN$2:$AN$561,AN347)*0.5)), "SORTEADO", "-")</f>
        <v>SORTEADO</v>
      </c>
      <c r="AN347" s="53" t="str">
        <f t="shared" si="24"/>
        <v>28/04/2026</v>
      </c>
    </row>
    <row r="348" spans="1:40" ht="30" hidden="1" customHeight="1" x14ac:dyDescent="0.2">
      <c r="A348" s="245" t="s">
        <v>197</v>
      </c>
      <c r="B348" s="245">
        <v>2617304701</v>
      </c>
      <c r="C348" s="245" t="s">
        <v>2701</v>
      </c>
      <c r="D348" s="245" t="s">
        <v>110</v>
      </c>
      <c r="E348" s="245" t="s">
        <v>198</v>
      </c>
      <c r="F348" s="245" t="s">
        <v>355</v>
      </c>
      <c r="G348" s="245">
        <v>190</v>
      </c>
      <c r="H348" s="245" t="s">
        <v>257</v>
      </c>
      <c r="I348" s="245" t="s">
        <v>356</v>
      </c>
      <c r="J348" s="245" t="s">
        <v>2703</v>
      </c>
      <c r="K348" s="246" t="s">
        <v>3079</v>
      </c>
      <c r="L348" s="245" t="s">
        <v>2294</v>
      </c>
      <c r="M348" s="245" t="s">
        <v>3080</v>
      </c>
      <c r="N348" s="245" t="s">
        <v>2759</v>
      </c>
      <c r="O348" s="158" t="s">
        <v>61</v>
      </c>
      <c r="P348" s="92"/>
      <c r="Q348" s="146" t="s">
        <v>61</v>
      </c>
      <c r="R348" s="92"/>
      <c r="S348" s="146" t="s">
        <v>61</v>
      </c>
      <c r="T348" s="92"/>
      <c r="U348" s="146" t="s">
        <v>61</v>
      </c>
      <c r="V348" s="92"/>
      <c r="W348" s="146" t="s">
        <v>61</v>
      </c>
      <c r="X348" s="92"/>
      <c r="Y348" s="146" t="s">
        <v>61</v>
      </c>
      <c r="Z348" s="92"/>
      <c r="AA348" s="146" t="s">
        <v>61</v>
      </c>
      <c r="AB348" s="92"/>
      <c r="AC348" s="146" t="s">
        <v>61</v>
      </c>
      <c r="AD348" s="92"/>
      <c r="AE348" s="146" t="s">
        <v>61</v>
      </c>
      <c r="AF348" s="143" t="str">
        <f t="shared" si="23"/>
        <v>NA</v>
      </c>
      <c r="AG348" s="199" t="str">
        <f t="shared" si="22"/>
        <v>NÃO AVALIADO POR FALHA DE SINCRONISMO</v>
      </c>
      <c r="AH348" s="146" t="s">
        <v>204</v>
      </c>
      <c r="AI348" s="154" t="s">
        <v>6</v>
      </c>
      <c r="AJ348" s="151" t="str">
        <f t="shared" si="21"/>
        <v>GUARULHOS</v>
      </c>
      <c r="AK348" s="155" t="s">
        <v>59</v>
      </c>
      <c r="AL348" s="53">
        <v>-6.9400000000000003E-2</v>
      </c>
      <c r="AM348" s="53" t="str" cm="1">
        <f t="array" ref="AM348">IF(OR(O348&lt;&gt;"", SUMPRODUCT(($AN$2:$AN$561=AN348)*($AL$2:$AL$561&lt;=AL348)) &lt;= (COUNTIF($AN$2:$AN$561,AN348)*0.5)), "SORTEADO", "-")</f>
        <v>SORTEADO</v>
      </c>
      <c r="AN348" s="53" t="str">
        <f t="shared" si="24"/>
        <v>28/04/2026</v>
      </c>
    </row>
    <row r="349" spans="1:40" ht="30" hidden="1" customHeight="1" x14ac:dyDescent="0.2">
      <c r="A349" s="245" t="s">
        <v>197</v>
      </c>
      <c r="B349" s="245">
        <v>2617304515</v>
      </c>
      <c r="C349" s="245" t="s">
        <v>2701</v>
      </c>
      <c r="D349" s="245" t="s">
        <v>110</v>
      </c>
      <c r="E349" s="245" t="s">
        <v>198</v>
      </c>
      <c r="F349" s="245" t="s">
        <v>355</v>
      </c>
      <c r="G349" s="245">
        <v>184</v>
      </c>
      <c r="H349" s="245" t="s">
        <v>206</v>
      </c>
      <c r="I349" s="245" t="s">
        <v>356</v>
      </c>
      <c r="J349" s="245" t="s">
        <v>2703</v>
      </c>
      <c r="K349" s="246" t="s">
        <v>3079</v>
      </c>
      <c r="L349" s="245" t="s">
        <v>2294</v>
      </c>
      <c r="M349" s="245" t="s">
        <v>3080</v>
      </c>
      <c r="N349" s="245" t="s">
        <v>2759</v>
      </c>
      <c r="O349" s="158" t="s">
        <v>61</v>
      </c>
      <c r="P349" s="92"/>
      <c r="Q349" s="146" t="s">
        <v>61</v>
      </c>
      <c r="R349" s="92"/>
      <c r="S349" s="146" t="s">
        <v>61</v>
      </c>
      <c r="T349" s="92"/>
      <c r="U349" s="146" t="s">
        <v>61</v>
      </c>
      <c r="V349" s="92"/>
      <c r="W349" s="146" t="s">
        <v>61</v>
      </c>
      <c r="X349" s="92"/>
      <c r="Y349" s="146" t="s">
        <v>61</v>
      </c>
      <c r="Z349" s="92"/>
      <c r="AA349" s="146" t="s">
        <v>61</v>
      </c>
      <c r="AB349" s="92"/>
      <c r="AC349" s="146" t="s">
        <v>61</v>
      </c>
      <c r="AD349" s="92"/>
      <c r="AE349" s="146" t="s">
        <v>61</v>
      </c>
      <c r="AF349" s="143" t="str">
        <f t="shared" si="23"/>
        <v>NA</v>
      </c>
      <c r="AG349" s="199" t="str">
        <f t="shared" si="22"/>
        <v>NÃO AVALIADO POR FALHA DE SINCRONISMO</v>
      </c>
      <c r="AH349" s="146" t="s">
        <v>204</v>
      </c>
      <c r="AI349" s="154" t="s">
        <v>6</v>
      </c>
      <c r="AJ349" s="151" t="str">
        <f t="shared" si="21"/>
        <v>GUARULHOS</v>
      </c>
      <c r="AK349" s="155" t="s">
        <v>59</v>
      </c>
      <c r="AL349" s="53">
        <v>-6.9599999999999995E-2</v>
      </c>
      <c r="AM349" s="53" t="str" cm="1">
        <f t="array" ref="AM349">IF(OR(O349&lt;&gt;"", SUMPRODUCT(($AN$2:$AN$561=AN349)*($AL$2:$AL$561&lt;=AL349)) &lt;= (COUNTIF($AN$2:$AN$561,AN349)*0.5)), "SORTEADO", "-")</f>
        <v>SORTEADO</v>
      </c>
      <c r="AN349" s="53" t="str">
        <f t="shared" si="24"/>
        <v>28/04/2026</v>
      </c>
    </row>
    <row r="350" spans="1:40" ht="30" hidden="1" customHeight="1" x14ac:dyDescent="0.2">
      <c r="A350" s="245" t="s">
        <v>197</v>
      </c>
      <c r="B350" s="245">
        <v>2617304344</v>
      </c>
      <c r="C350" s="245" t="s">
        <v>2701</v>
      </c>
      <c r="D350" s="245" t="s">
        <v>110</v>
      </c>
      <c r="E350" s="245" t="s">
        <v>198</v>
      </c>
      <c r="F350" s="245" t="s">
        <v>355</v>
      </c>
      <c r="G350" s="245">
        <v>181</v>
      </c>
      <c r="H350" s="245" t="s">
        <v>2231</v>
      </c>
      <c r="I350" s="245" t="s">
        <v>356</v>
      </c>
      <c r="J350" s="245" t="s">
        <v>2703</v>
      </c>
      <c r="K350" s="246" t="s">
        <v>3079</v>
      </c>
      <c r="L350" s="245" t="s">
        <v>2294</v>
      </c>
      <c r="M350" s="245" t="s">
        <v>3080</v>
      </c>
      <c r="N350" s="245" t="s">
        <v>2759</v>
      </c>
      <c r="O350" s="158" t="s">
        <v>61</v>
      </c>
      <c r="P350" s="92"/>
      <c r="Q350" s="146" t="s">
        <v>61</v>
      </c>
      <c r="R350" s="92"/>
      <c r="S350" s="146" t="s">
        <v>61</v>
      </c>
      <c r="T350" s="92"/>
      <c r="U350" s="146" t="s">
        <v>61</v>
      </c>
      <c r="V350" s="92"/>
      <c r="W350" s="146" t="s">
        <v>61</v>
      </c>
      <c r="X350" s="92"/>
      <c r="Y350" s="146" t="s">
        <v>61</v>
      </c>
      <c r="Z350" s="92"/>
      <c r="AA350" s="146" t="s">
        <v>61</v>
      </c>
      <c r="AB350" s="92"/>
      <c r="AC350" s="146" t="s">
        <v>61</v>
      </c>
      <c r="AD350" s="92"/>
      <c r="AE350" s="146" t="s">
        <v>61</v>
      </c>
      <c r="AF350" s="143" t="str">
        <f t="shared" si="23"/>
        <v>NA</v>
      </c>
      <c r="AG350" s="199" t="str">
        <f t="shared" si="22"/>
        <v>NÃO AVALIADO POR FALHA DE SINCRONISMO</v>
      </c>
      <c r="AH350" s="146" t="s">
        <v>204</v>
      </c>
      <c r="AI350" s="154" t="s">
        <v>6</v>
      </c>
      <c r="AJ350" s="151" t="str">
        <f t="shared" ref="AJ350:AJ413" si="25">E350</f>
        <v>GUARULHOS</v>
      </c>
      <c r="AK350" s="155" t="s">
        <v>59</v>
      </c>
      <c r="AL350" s="53">
        <v>-6.9800000000000001E-2</v>
      </c>
      <c r="AM350" s="53" t="str" cm="1">
        <f t="array" ref="AM350">IF(OR(O350&lt;&gt;"", SUMPRODUCT(($AN$2:$AN$561=AN350)*($AL$2:$AL$561&lt;=AL350)) &lt;= (COUNTIF($AN$2:$AN$561,AN350)*0.5)), "SORTEADO", "-")</f>
        <v>SORTEADO</v>
      </c>
      <c r="AN350" s="53" t="str">
        <f t="shared" si="24"/>
        <v>28/04/2026</v>
      </c>
    </row>
    <row r="351" spans="1:40" ht="30" hidden="1" customHeight="1" x14ac:dyDescent="0.2">
      <c r="A351" s="245" t="s">
        <v>197</v>
      </c>
      <c r="B351" s="245">
        <v>2617299754</v>
      </c>
      <c r="C351" s="245" t="s">
        <v>2701</v>
      </c>
      <c r="D351" s="245" t="s">
        <v>110</v>
      </c>
      <c r="E351" s="245" t="s">
        <v>198</v>
      </c>
      <c r="F351" s="245" t="s">
        <v>355</v>
      </c>
      <c r="G351" s="245">
        <v>18</v>
      </c>
      <c r="H351" s="245" t="s">
        <v>2062</v>
      </c>
      <c r="I351" s="245" t="s">
        <v>356</v>
      </c>
      <c r="J351" s="245" t="s">
        <v>2703</v>
      </c>
      <c r="K351" s="246" t="s">
        <v>3083</v>
      </c>
      <c r="L351" s="245" t="s">
        <v>2294</v>
      </c>
      <c r="M351" s="245" t="s">
        <v>3076</v>
      </c>
      <c r="N351" s="245" t="s">
        <v>2759</v>
      </c>
      <c r="O351" s="158" t="s">
        <v>61</v>
      </c>
      <c r="P351" s="92"/>
      <c r="Q351" s="146" t="s">
        <v>61</v>
      </c>
      <c r="R351" s="92"/>
      <c r="S351" s="146" t="s">
        <v>61</v>
      </c>
      <c r="T351" s="92"/>
      <c r="U351" s="146" t="s">
        <v>61</v>
      </c>
      <c r="V351" s="92"/>
      <c r="W351" s="146" t="s">
        <v>61</v>
      </c>
      <c r="X351" s="92"/>
      <c r="Y351" s="146" t="s">
        <v>61</v>
      </c>
      <c r="Z351" s="92"/>
      <c r="AA351" s="146" t="s">
        <v>61</v>
      </c>
      <c r="AB351" s="92"/>
      <c r="AC351" s="146" t="s">
        <v>61</v>
      </c>
      <c r="AD351" s="92"/>
      <c r="AE351" s="146" t="s">
        <v>61</v>
      </c>
      <c r="AF351" s="143" t="str">
        <f t="shared" si="23"/>
        <v>NA</v>
      </c>
      <c r="AG351" s="199" t="str">
        <f t="shared" si="22"/>
        <v>NÃO AVALIADO POR FALHA DE SINCRONISMO</v>
      </c>
      <c r="AH351" s="146" t="s">
        <v>204</v>
      </c>
      <c r="AI351" s="154" t="s">
        <v>6</v>
      </c>
      <c r="AJ351" s="151" t="str">
        <f t="shared" si="25"/>
        <v>GUARULHOS</v>
      </c>
      <c r="AK351" s="155" t="s">
        <v>59</v>
      </c>
      <c r="AL351" s="53">
        <v>-7.0000000000000007E-2</v>
      </c>
      <c r="AM351" s="53" t="str" cm="1">
        <f t="array" ref="AM351">IF(OR(O351&lt;&gt;"", SUMPRODUCT(($AN$2:$AN$561=AN351)*($AL$2:$AL$561&lt;=AL351)) &lt;= (COUNTIF($AN$2:$AN$561,AN351)*0.5)), "SORTEADO", "-")</f>
        <v>SORTEADO</v>
      </c>
      <c r="AN351" s="53" t="str">
        <f t="shared" si="24"/>
        <v>28/04/2026</v>
      </c>
    </row>
    <row r="352" spans="1:40" ht="30" hidden="1" customHeight="1" x14ac:dyDescent="0.2">
      <c r="A352" s="245" t="s">
        <v>197</v>
      </c>
      <c r="B352" s="245">
        <v>2617303818</v>
      </c>
      <c r="C352" s="245" t="s">
        <v>2701</v>
      </c>
      <c r="D352" s="245" t="s">
        <v>110</v>
      </c>
      <c r="E352" s="245" t="s">
        <v>198</v>
      </c>
      <c r="F352" s="245" t="s">
        <v>355</v>
      </c>
      <c r="G352" s="245">
        <v>175</v>
      </c>
      <c r="H352" s="245" t="s">
        <v>3084</v>
      </c>
      <c r="I352" s="245" t="s">
        <v>356</v>
      </c>
      <c r="J352" s="245" t="s">
        <v>2703</v>
      </c>
      <c r="K352" s="246" t="s">
        <v>3079</v>
      </c>
      <c r="L352" s="245" t="s">
        <v>2294</v>
      </c>
      <c r="M352" s="245" t="s">
        <v>3080</v>
      </c>
      <c r="N352" s="245" t="s">
        <v>2759</v>
      </c>
      <c r="O352" s="158" t="s">
        <v>61</v>
      </c>
      <c r="P352" s="92"/>
      <c r="Q352" s="146" t="s">
        <v>61</v>
      </c>
      <c r="R352" s="92"/>
      <c r="S352" s="146" t="s">
        <v>61</v>
      </c>
      <c r="T352" s="92"/>
      <c r="U352" s="146" t="s">
        <v>61</v>
      </c>
      <c r="V352" s="92"/>
      <c r="W352" s="146" t="s">
        <v>61</v>
      </c>
      <c r="X352" s="92"/>
      <c r="Y352" s="146" t="s">
        <v>61</v>
      </c>
      <c r="Z352" s="92"/>
      <c r="AA352" s="146" t="s">
        <v>61</v>
      </c>
      <c r="AB352" s="92"/>
      <c r="AC352" s="146" t="s">
        <v>61</v>
      </c>
      <c r="AD352" s="92"/>
      <c r="AE352" s="146" t="s">
        <v>61</v>
      </c>
      <c r="AF352" s="143" t="str">
        <f t="shared" si="23"/>
        <v>NA</v>
      </c>
      <c r="AG352" s="199" t="str">
        <f t="shared" si="22"/>
        <v>NÃO AVALIADO POR FALHA DE SINCRONISMO</v>
      </c>
      <c r="AH352" s="146" t="s">
        <v>204</v>
      </c>
      <c r="AI352" s="154" t="s">
        <v>6</v>
      </c>
      <c r="AJ352" s="151" t="str">
        <f t="shared" si="25"/>
        <v>GUARULHOS</v>
      </c>
      <c r="AK352" s="155" t="s">
        <v>59</v>
      </c>
      <c r="AL352" s="53">
        <v>-7.0199999999999999E-2</v>
      </c>
      <c r="AM352" s="53" t="str" cm="1">
        <f t="array" ref="AM352">IF(OR(O352&lt;&gt;"", SUMPRODUCT(($AN$2:$AN$561=AN352)*($AL$2:$AL$561&lt;=AL352)) &lt;= (COUNTIF($AN$2:$AN$561,AN352)*0.5)), "SORTEADO", "-")</f>
        <v>SORTEADO</v>
      </c>
      <c r="AN352" s="53" t="str">
        <f t="shared" si="24"/>
        <v>28/04/2026</v>
      </c>
    </row>
    <row r="353" spans="1:40" ht="30" hidden="1" customHeight="1" x14ac:dyDescent="0.2">
      <c r="A353" s="245" t="s">
        <v>197</v>
      </c>
      <c r="B353" s="245">
        <v>2617303354</v>
      </c>
      <c r="C353" s="245" t="s">
        <v>2701</v>
      </c>
      <c r="D353" s="245" t="s">
        <v>110</v>
      </c>
      <c r="E353" s="245" t="s">
        <v>198</v>
      </c>
      <c r="F353" s="245" t="s">
        <v>355</v>
      </c>
      <c r="G353" s="245">
        <v>168</v>
      </c>
      <c r="H353" s="245" t="s">
        <v>3085</v>
      </c>
      <c r="I353" s="245" t="s">
        <v>356</v>
      </c>
      <c r="J353" s="245" t="s">
        <v>2703</v>
      </c>
      <c r="K353" s="246" t="s">
        <v>3079</v>
      </c>
      <c r="L353" s="245" t="s">
        <v>2294</v>
      </c>
      <c r="M353" s="245" t="s">
        <v>3080</v>
      </c>
      <c r="N353" s="245" t="s">
        <v>2759</v>
      </c>
      <c r="O353" s="158" t="s">
        <v>61</v>
      </c>
      <c r="P353" s="92"/>
      <c r="Q353" s="146" t="s">
        <v>61</v>
      </c>
      <c r="R353" s="92"/>
      <c r="S353" s="146" t="s">
        <v>61</v>
      </c>
      <c r="T353" s="92"/>
      <c r="U353" s="146" t="s">
        <v>61</v>
      </c>
      <c r="V353" s="92"/>
      <c r="W353" s="146" t="s">
        <v>61</v>
      </c>
      <c r="X353" s="92"/>
      <c r="Y353" s="146" t="s">
        <v>61</v>
      </c>
      <c r="Z353" s="92"/>
      <c r="AA353" s="146" t="s">
        <v>61</v>
      </c>
      <c r="AB353" s="92"/>
      <c r="AC353" s="146" t="s">
        <v>61</v>
      </c>
      <c r="AD353" s="92"/>
      <c r="AE353" s="146" t="s">
        <v>61</v>
      </c>
      <c r="AF353" s="143" t="str">
        <f t="shared" si="23"/>
        <v>NA</v>
      </c>
      <c r="AG353" s="199" t="str">
        <f t="shared" si="22"/>
        <v>NÃO AVALIADO POR FALHA DE SINCRONISMO</v>
      </c>
      <c r="AH353" s="146" t="s">
        <v>204</v>
      </c>
      <c r="AI353" s="154" t="s">
        <v>6</v>
      </c>
      <c r="AJ353" s="151" t="str">
        <f t="shared" si="25"/>
        <v>GUARULHOS</v>
      </c>
      <c r="AK353" s="155" t="s">
        <v>59</v>
      </c>
      <c r="AL353" s="53">
        <v>-7.0400000000000004E-2</v>
      </c>
      <c r="AM353" s="53" t="str" cm="1">
        <f t="array" ref="AM353">IF(OR(O353&lt;&gt;"", SUMPRODUCT(($AN$2:$AN$561=AN353)*($AL$2:$AL$561&lt;=AL353)) &lt;= (COUNTIF($AN$2:$AN$561,AN353)*0.5)), "SORTEADO", "-")</f>
        <v>SORTEADO</v>
      </c>
      <c r="AN353" s="53" t="str">
        <f t="shared" si="24"/>
        <v>28/04/2026</v>
      </c>
    </row>
    <row r="354" spans="1:40" ht="30" hidden="1" customHeight="1" x14ac:dyDescent="0.2">
      <c r="A354" s="245" t="s">
        <v>197</v>
      </c>
      <c r="B354" s="245">
        <v>2617303673</v>
      </c>
      <c r="C354" s="245" t="s">
        <v>2701</v>
      </c>
      <c r="D354" s="245" t="s">
        <v>110</v>
      </c>
      <c r="E354" s="245" t="s">
        <v>198</v>
      </c>
      <c r="F354" s="245" t="s">
        <v>355</v>
      </c>
      <c r="G354" s="245">
        <v>167</v>
      </c>
      <c r="H354" s="245" t="s">
        <v>1057</v>
      </c>
      <c r="I354" s="245" t="s">
        <v>356</v>
      </c>
      <c r="J354" s="245" t="s">
        <v>2703</v>
      </c>
      <c r="K354" s="246" t="s">
        <v>3079</v>
      </c>
      <c r="L354" s="245" t="s">
        <v>2294</v>
      </c>
      <c r="M354" s="245" t="s">
        <v>3080</v>
      </c>
      <c r="N354" s="245" t="s">
        <v>2759</v>
      </c>
      <c r="O354" s="158" t="s">
        <v>61</v>
      </c>
      <c r="P354" s="92"/>
      <c r="Q354" s="146" t="s">
        <v>61</v>
      </c>
      <c r="R354" s="92"/>
      <c r="S354" s="146" t="s">
        <v>61</v>
      </c>
      <c r="T354" s="92"/>
      <c r="U354" s="146" t="s">
        <v>61</v>
      </c>
      <c r="V354" s="92"/>
      <c r="W354" s="146" t="s">
        <v>61</v>
      </c>
      <c r="X354" s="92"/>
      <c r="Y354" s="146" t="s">
        <v>61</v>
      </c>
      <c r="Z354" s="92"/>
      <c r="AA354" s="146" t="s">
        <v>61</v>
      </c>
      <c r="AB354" s="92"/>
      <c r="AC354" s="146" t="s">
        <v>61</v>
      </c>
      <c r="AD354" s="92"/>
      <c r="AE354" s="146" t="s">
        <v>61</v>
      </c>
      <c r="AF354" s="143" t="str">
        <f t="shared" si="23"/>
        <v>NA</v>
      </c>
      <c r="AG354" s="199" t="str">
        <f t="shared" si="22"/>
        <v>NÃO AVALIADO POR FALHA DE SINCRONISMO</v>
      </c>
      <c r="AH354" s="146" t="s">
        <v>204</v>
      </c>
      <c r="AI354" s="154" t="s">
        <v>6</v>
      </c>
      <c r="AJ354" s="151" t="str">
        <f t="shared" si="25"/>
        <v>GUARULHOS</v>
      </c>
      <c r="AK354" s="155" t="s">
        <v>59</v>
      </c>
      <c r="AL354" s="53">
        <v>-7.0599999999999996E-2</v>
      </c>
      <c r="AM354" s="53" t="str" cm="1">
        <f t="array" ref="AM354">IF(OR(O354&lt;&gt;"", SUMPRODUCT(($AN$2:$AN$561=AN354)*($AL$2:$AL$561&lt;=AL354)) &lt;= (COUNTIF($AN$2:$AN$561,AN354)*0.5)), "SORTEADO", "-")</f>
        <v>SORTEADO</v>
      </c>
      <c r="AN354" s="53" t="str">
        <f t="shared" si="24"/>
        <v>28/04/2026</v>
      </c>
    </row>
    <row r="355" spans="1:40" ht="30" hidden="1" customHeight="1" x14ac:dyDescent="0.2">
      <c r="A355" s="245" t="s">
        <v>197</v>
      </c>
      <c r="B355" s="245">
        <v>2617302727</v>
      </c>
      <c r="C355" s="245" t="s">
        <v>2701</v>
      </c>
      <c r="D355" s="245" t="s">
        <v>110</v>
      </c>
      <c r="E355" s="245" t="s">
        <v>198</v>
      </c>
      <c r="F355" s="245" t="s">
        <v>355</v>
      </c>
      <c r="G355" s="245">
        <v>157</v>
      </c>
      <c r="H355" s="245" t="s">
        <v>213</v>
      </c>
      <c r="I355" s="245" t="s">
        <v>356</v>
      </c>
      <c r="J355" s="245" t="s">
        <v>2703</v>
      </c>
      <c r="K355" s="246" t="s">
        <v>3079</v>
      </c>
      <c r="L355" s="245" t="s">
        <v>2294</v>
      </c>
      <c r="M355" s="245" t="s">
        <v>3080</v>
      </c>
      <c r="N355" s="245" t="s">
        <v>2759</v>
      </c>
      <c r="O355" s="158" t="s">
        <v>61</v>
      </c>
      <c r="P355" s="92"/>
      <c r="Q355" s="146" t="s">
        <v>61</v>
      </c>
      <c r="R355" s="92"/>
      <c r="S355" s="146" t="s">
        <v>61</v>
      </c>
      <c r="T355" s="92"/>
      <c r="U355" s="146" t="s">
        <v>61</v>
      </c>
      <c r="V355" s="92"/>
      <c r="W355" s="146" t="s">
        <v>61</v>
      </c>
      <c r="X355" s="92"/>
      <c r="Y355" s="146" t="s">
        <v>61</v>
      </c>
      <c r="Z355" s="92"/>
      <c r="AA355" s="146" t="s">
        <v>61</v>
      </c>
      <c r="AB355" s="92"/>
      <c r="AC355" s="146" t="s">
        <v>61</v>
      </c>
      <c r="AD355" s="92"/>
      <c r="AE355" s="146" t="s">
        <v>61</v>
      </c>
      <c r="AF355" s="143" t="str">
        <f t="shared" si="23"/>
        <v>NA</v>
      </c>
      <c r="AG355" s="199" t="str">
        <f t="shared" si="22"/>
        <v>NÃO AVALIADO POR FALHA DE SINCRONISMO</v>
      </c>
      <c r="AH355" s="146" t="s">
        <v>204</v>
      </c>
      <c r="AI355" s="154" t="s">
        <v>6</v>
      </c>
      <c r="AJ355" s="151" t="str">
        <f t="shared" si="25"/>
        <v>GUARULHOS</v>
      </c>
      <c r="AK355" s="155" t="s">
        <v>59</v>
      </c>
      <c r="AL355" s="53">
        <v>-7.0800000000000002E-2</v>
      </c>
      <c r="AM355" s="53" t="str" cm="1">
        <f t="array" ref="AM355">IF(OR(O355&lt;&gt;"", SUMPRODUCT(($AN$2:$AN$561=AN355)*($AL$2:$AL$561&lt;=AL355)) &lt;= (COUNTIF($AN$2:$AN$561,AN355)*0.5)), "SORTEADO", "-")</f>
        <v>SORTEADO</v>
      </c>
      <c r="AN355" s="53" t="str">
        <f t="shared" si="24"/>
        <v>28/04/2026</v>
      </c>
    </row>
    <row r="356" spans="1:40" ht="30" hidden="1" customHeight="1" x14ac:dyDescent="0.2">
      <c r="A356" s="245" t="s">
        <v>197</v>
      </c>
      <c r="B356" s="245">
        <v>2617302570</v>
      </c>
      <c r="C356" s="245" t="s">
        <v>2701</v>
      </c>
      <c r="D356" s="245" t="s">
        <v>110</v>
      </c>
      <c r="E356" s="245" t="s">
        <v>198</v>
      </c>
      <c r="F356" s="245" t="s">
        <v>355</v>
      </c>
      <c r="G356" s="245">
        <v>156</v>
      </c>
      <c r="H356" s="245"/>
      <c r="I356" s="245" t="s">
        <v>356</v>
      </c>
      <c r="J356" s="245" t="s">
        <v>2703</v>
      </c>
      <c r="K356" s="246" t="s">
        <v>3079</v>
      </c>
      <c r="L356" s="245" t="s">
        <v>2294</v>
      </c>
      <c r="M356" s="245" t="s">
        <v>3080</v>
      </c>
      <c r="N356" s="245" t="s">
        <v>2759</v>
      </c>
      <c r="O356" s="158" t="s">
        <v>61</v>
      </c>
      <c r="P356" s="92"/>
      <c r="Q356" s="146" t="s">
        <v>61</v>
      </c>
      <c r="R356" s="92"/>
      <c r="S356" s="146" t="s">
        <v>61</v>
      </c>
      <c r="T356" s="92"/>
      <c r="U356" s="146" t="s">
        <v>61</v>
      </c>
      <c r="V356" s="92"/>
      <c r="W356" s="146" t="s">
        <v>61</v>
      </c>
      <c r="X356" s="92"/>
      <c r="Y356" s="146" t="s">
        <v>61</v>
      </c>
      <c r="Z356" s="92"/>
      <c r="AA356" s="146" t="s">
        <v>61</v>
      </c>
      <c r="AB356" s="92"/>
      <c r="AC356" s="146" t="s">
        <v>61</v>
      </c>
      <c r="AD356" s="92"/>
      <c r="AE356" s="146" t="s">
        <v>61</v>
      </c>
      <c r="AF356" s="143" t="str">
        <f t="shared" si="23"/>
        <v>NA</v>
      </c>
      <c r="AG356" s="199" t="str">
        <f t="shared" si="22"/>
        <v>NÃO AVALIADO POR FALHA DE SINCRONISMO</v>
      </c>
      <c r="AH356" s="146" t="s">
        <v>204</v>
      </c>
      <c r="AI356" s="154" t="s">
        <v>6</v>
      </c>
      <c r="AJ356" s="151" t="str">
        <f t="shared" si="25"/>
        <v>GUARULHOS</v>
      </c>
      <c r="AK356" s="155" t="s">
        <v>59</v>
      </c>
      <c r="AL356" s="53">
        <v>-7.0999999999999994E-2</v>
      </c>
      <c r="AM356" s="53" t="str" cm="1">
        <f t="array" ref="AM356">IF(OR(O356&lt;&gt;"", SUMPRODUCT(($AN$2:$AN$561=AN356)*($AL$2:$AL$561&lt;=AL356)) &lt;= (COUNTIF($AN$2:$AN$561,AN356)*0.5)), "SORTEADO", "-")</f>
        <v>SORTEADO</v>
      </c>
      <c r="AN356" s="53" t="str">
        <f t="shared" si="24"/>
        <v>28/04/2026</v>
      </c>
    </row>
    <row r="357" spans="1:40" ht="30" hidden="1" customHeight="1" x14ac:dyDescent="0.2">
      <c r="A357" s="245" t="s">
        <v>197</v>
      </c>
      <c r="B357" s="245">
        <v>2617302952</v>
      </c>
      <c r="C357" s="245" t="s">
        <v>2701</v>
      </c>
      <c r="D357" s="245" t="s">
        <v>110</v>
      </c>
      <c r="E357" s="245" t="s">
        <v>198</v>
      </c>
      <c r="F357" s="245" t="s">
        <v>355</v>
      </c>
      <c r="G357" s="245">
        <v>155</v>
      </c>
      <c r="H357" s="245" t="s">
        <v>213</v>
      </c>
      <c r="I357" s="245" t="s">
        <v>356</v>
      </c>
      <c r="J357" s="245" t="s">
        <v>2703</v>
      </c>
      <c r="K357" s="246" t="s">
        <v>3079</v>
      </c>
      <c r="L357" s="245" t="s">
        <v>2294</v>
      </c>
      <c r="M357" s="245" t="s">
        <v>3080</v>
      </c>
      <c r="N357" s="245" t="s">
        <v>2759</v>
      </c>
      <c r="O357" s="158" t="s">
        <v>61</v>
      </c>
      <c r="P357" s="92"/>
      <c r="Q357" s="146" t="s">
        <v>61</v>
      </c>
      <c r="R357" s="92"/>
      <c r="S357" s="146" t="s">
        <v>61</v>
      </c>
      <c r="T357" s="92"/>
      <c r="U357" s="146" t="s">
        <v>61</v>
      </c>
      <c r="V357" s="92"/>
      <c r="W357" s="146" t="s">
        <v>61</v>
      </c>
      <c r="X357" s="92"/>
      <c r="Y357" s="146" t="s">
        <v>61</v>
      </c>
      <c r="Z357" s="92"/>
      <c r="AA357" s="146" t="s">
        <v>61</v>
      </c>
      <c r="AB357" s="92"/>
      <c r="AC357" s="146" t="s">
        <v>61</v>
      </c>
      <c r="AD357" s="92"/>
      <c r="AE357" s="146" t="s">
        <v>61</v>
      </c>
      <c r="AF357" s="143" t="str">
        <f t="shared" si="23"/>
        <v>NA</v>
      </c>
      <c r="AG357" s="199" t="str">
        <f t="shared" si="22"/>
        <v>NÃO AVALIADO POR FALHA DE SINCRONISMO</v>
      </c>
      <c r="AH357" s="146" t="s">
        <v>204</v>
      </c>
      <c r="AI357" s="154" t="s">
        <v>6</v>
      </c>
      <c r="AJ357" s="151" t="str">
        <f t="shared" si="25"/>
        <v>GUARULHOS</v>
      </c>
      <c r="AK357" s="155" t="s">
        <v>59</v>
      </c>
      <c r="AL357" s="53">
        <v>-7.1199999999999999E-2</v>
      </c>
      <c r="AM357" s="53" t="str" cm="1">
        <f t="array" ref="AM357">IF(OR(O357&lt;&gt;"", SUMPRODUCT(($AN$2:$AN$561=AN357)*($AL$2:$AL$561&lt;=AL357)) &lt;= (COUNTIF($AN$2:$AN$561,AN357)*0.5)), "SORTEADO", "-")</f>
        <v>SORTEADO</v>
      </c>
      <c r="AN357" s="53" t="str">
        <f t="shared" si="24"/>
        <v>28/04/2026</v>
      </c>
    </row>
    <row r="358" spans="1:40" ht="30" hidden="1" customHeight="1" x14ac:dyDescent="0.2">
      <c r="A358" s="245" t="s">
        <v>197</v>
      </c>
      <c r="B358" s="245">
        <v>2617303244</v>
      </c>
      <c r="C358" s="245" t="s">
        <v>2701</v>
      </c>
      <c r="D358" s="245" t="s">
        <v>110</v>
      </c>
      <c r="E358" s="245" t="s">
        <v>198</v>
      </c>
      <c r="F358" s="245" t="s">
        <v>355</v>
      </c>
      <c r="G358" s="245">
        <v>153</v>
      </c>
      <c r="H358" s="245"/>
      <c r="I358" s="245" t="s">
        <v>356</v>
      </c>
      <c r="J358" s="245" t="s">
        <v>2703</v>
      </c>
      <c r="K358" s="246" t="s">
        <v>3079</v>
      </c>
      <c r="L358" s="245" t="s">
        <v>2294</v>
      </c>
      <c r="M358" s="245" t="s">
        <v>3080</v>
      </c>
      <c r="N358" s="245" t="s">
        <v>2759</v>
      </c>
      <c r="O358" s="158" t="s">
        <v>61</v>
      </c>
      <c r="P358" s="92"/>
      <c r="Q358" s="146" t="s">
        <v>61</v>
      </c>
      <c r="R358" s="92"/>
      <c r="S358" s="146" t="s">
        <v>61</v>
      </c>
      <c r="T358" s="92"/>
      <c r="U358" s="146" t="s">
        <v>61</v>
      </c>
      <c r="V358" s="92"/>
      <c r="W358" s="146" t="s">
        <v>61</v>
      </c>
      <c r="X358" s="92"/>
      <c r="Y358" s="146" t="s">
        <v>61</v>
      </c>
      <c r="Z358" s="92"/>
      <c r="AA358" s="146" t="s">
        <v>61</v>
      </c>
      <c r="AB358" s="92"/>
      <c r="AC358" s="146" t="s">
        <v>61</v>
      </c>
      <c r="AD358" s="92"/>
      <c r="AE358" s="146" t="s">
        <v>61</v>
      </c>
      <c r="AF358" s="143" t="str">
        <f t="shared" si="23"/>
        <v>NA</v>
      </c>
      <c r="AG358" s="199" t="str">
        <f t="shared" si="22"/>
        <v>NÃO AVALIADO POR FALHA DE SINCRONISMO</v>
      </c>
      <c r="AH358" s="146" t="s">
        <v>204</v>
      </c>
      <c r="AI358" s="154" t="s">
        <v>6</v>
      </c>
      <c r="AJ358" s="151" t="str">
        <f t="shared" si="25"/>
        <v>GUARULHOS</v>
      </c>
      <c r="AK358" s="155" t="s">
        <v>59</v>
      </c>
      <c r="AL358" s="53">
        <v>-7.1400000000000005E-2</v>
      </c>
      <c r="AM358" s="53" t="str" cm="1">
        <f t="array" ref="AM358">IF(OR(O358&lt;&gt;"", SUMPRODUCT(($AN$2:$AN$561=AN358)*($AL$2:$AL$561&lt;=AL358)) &lt;= (COUNTIF($AN$2:$AN$561,AN358)*0.5)), "SORTEADO", "-")</f>
        <v>SORTEADO</v>
      </c>
      <c r="AN358" s="53" t="str">
        <f t="shared" si="24"/>
        <v>28/04/2026</v>
      </c>
    </row>
    <row r="359" spans="1:40" ht="30" hidden="1" customHeight="1" x14ac:dyDescent="0.2">
      <c r="A359" s="245" t="s">
        <v>197</v>
      </c>
      <c r="B359" s="245">
        <v>2617299470</v>
      </c>
      <c r="C359" s="245" t="s">
        <v>2701</v>
      </c>
      <c r="D359" s="245" t="s">
        <v>110</v>
      </c>
      <c r="E359" s="245" t="s">
        <v>198</v>
      </c>
      <c r="F359" s="245" t="s">
        <v>355</v>
      </c>
      <c r="G359" s="245">
        <v>15</v>
      </c>
      <c r="H359" s="245" t="s">
        <v>827</v>
      </c>
      <c r="I359" s="245" t="s">
        <v>356</v>
      </c>
      <c r="J359" s="245" t="s">
        <v>2703</v>
      </c>
      <c r="K359" s="246" t="s">
        <v>3078</v>
      </c>
      <c r="L359" s="245" t="s">
        <v>2294</v>
      </c>
      <c r="M359" s="245" t="s">
        <v>3076</v>
      </c>
      <c r="N359" s="245" t="s">
        <v>2759</v>
      </c>
      <c r="O359" s="158" t="s">
        <v>61</v>
      </c>
      <c r="P359" s="92"/>
      <c r="Q359" s="146" t="s">
        <v>61</v>
      </c>
      <c r="R359" s="92"/>
      <c r="S359" s="146" t="s">
        <v>61</v>
      </c>
      <c r="T359" s="92"/>
      <c r="U359" s="146" t="s">
        <v>61</v>
      </c>
      <c r="V359" s="92"/>
      <c r="W359" s="146" t="s">
        <v>61</v>
      </c>
      <c r="X359" s="92"/>
      <c r="Y359" s="146" t="s">
        <v>61</v>
      </c>
      <c r="Z359" s="92"/>
      <c r="AA359" s="146" t="s">
        <v>61</v>
      </c>
      <c r="AB359" s="92"/>
      <c r="AC359" s="146" t="s">
        <v>61</v>
      </c>
      <c r="AD359" s="92"/>
      <c r="AE359" s="146" t="s">
        <v>61</v>
      </c>
      <c r="AF359" s="143" t="str">
        <f t="shared" si="23"/>
        <v>NA</v>
      </c>
      <c r="AG359" s="199" t="str">
        <f t="shared" si="22"/>
        <v>NÃO AVALIADO POR FALHA DE SINCRONISMO</v>
      </c>
      <c r="AH359" s="146" t="s">
        <v>204</v>
      </c>
      <c r="AI359" s="154" t="s">
        <v>6</v>
      </c>
      <c r="AJ359" s="151" t="str">
        <f t="shared" si="25"/>
        <v>GUARULHOS</v>
      </c>
      <c r="AK359" s="155" t="s">
        <v>59</v>
      </c>
      <c r="AL359" s="53">
        <v>-7.1599999999999997E-2</v>
      </c>
      <c r="AM359" s="53" t="str" cm="1">
        <f t="array" ref="AM359">IF(OR(O359&lt;&gt;"", SUMPRODUCT(($AN$2:$AN$561=AN359)*($AL$2:$AL$561&lt;=AL359)) &lt;= (COUNTIF($AN$2:$AN$561,AN359)*0.5)), "SORTEADO", "-")</f>
        <v>SORTEADO</v>
      </c>
      <c r="AN359" s="53" t="str">
        <f t="shared" si="24"/>
        <v>28/04/2026</v>
      </c>
    </row>
    <row r="360" spans="1:40" ht="30" hidden="1" customHeight="1" x14ac:dyDescent="0.2">
      <c r="A360" s="245" t="s">
        <v>197</v>
      </c>
      <c r="B360" s="245">
        <v>2617302303</v>
      </c>
      <c r="C360" s="245" t="s">
        <v>2701</v>
      </c>
      <c r="D360" s="245" t="s">
        <v>110</v>
      </c>
      <c r="E360" s="245" t="s">
        <v>198</v>
      </c>
      <c r="F360" s="245" t="s">
        <v>355</v>
      </c>
      <c r="G360" s="245">
        <v>148</v>
      </c>
      <c r="H360" s="245" t="s">
        <v>729</v>
      </c>
      <c r="I360" s="245" t="s">
        <v>356</v>
      </c>
      <c r="J360" s="245" t="s">
        <v>2703</v>
      </c>
      <c r="K360" s="246" t="s">
        <v>3075</v>
      </c>
      <c r="L360" s="245" t="s">
        <v>2294</v>
      </c>
      <c r="M360" s="245" t="s">
        <v>3080</v>
      </c>
      <c r="N360" s="245" t="s">
        <v>2759</v>
      </c>
      <c r="O360" s="158" t="s">
        <v>61</v>
      </c>
      <c r="P360" s="92"/>
      <c r="Q360" s="146" t="s">
        <v>61</v>
      </c>
      <c r="R360" s="92"/>
      <c r="S360" s="146" t="s">
        <v>61</v>
      </c>
      <c r="T360" s="92"/>
      <c r="U360" s="146" t="s">
        <v>61</v>
      </c>
      <c r="V360" s="92"/>
      <c r="W360" s="146" t="s">
        <v>61</v>
      </c>
      <c r="X360" s="92"/>
      <c r="Y360" s="146" t="s">
        <v>61</v>
      </c>
      <c r="Z360" s="92"/>
      <c r="AA360" s="146" t="s">
        <v>61</v>
      </c>
      <c r="AB360" s="92"/>
      <c r="AC360" s="146" t="s">
        <v>61</v>
      </c>
      <c r="AD360" s="92"/>
      <c r="AE360" s="146" t="s">
        <v>61</v>
      </c>
      <c r="AF360" s="143" t="str">
        <f t="shared" si="23"/>
        <v>NA</v>
      </c>
      <c r="AG360" s="199" t="str">
        <f t="shared" si="22"/>
        <v>NÃO AVALIADO POR FALHA DE SINCRONISMO</v>
      </c>
      <c r="AH360" s="146" t="s">
        <v>204</v>
      </c>
      <c r="AI360" s="154" t="s">
        <v>6</v>
      </c>
      <c r="AJ360" s="151" t="str">
        <f t="shared" si="25"/>
        <v>GUARULHOS</v>
      </c>
      <c r="AK360" s="155" t="s">
        <v>59</v>
      </c>
      <c r="AL360" s="53">
        <v>-7.1800000000000003E-2</v>
      </c>
      <c r="AM360" s="53" t="str" cm="1">
        <f t="array" ref="AM360">IF(OR(O360&lt;&gt;"", SUMPRODUCT(($AN$2:$AN$561=AN360)*($AL$2:$AL$561&lt;=AL360)) &lt;= (COUNTIF($AN$2:$AN$561,AN360)*0.5)), "SORTEADO", "-")</f>
        <v>SORTEADO</v>
      </c>
      <c r="AN360" s="53" t="str">
        <f t="shared" si="24"/>
        <v>28/04/2026</v>
      </c>
    </row>
    <row r="361" spans="1:40" ht="30" hidden="1" customHeight="1" x14ac:dyDescent="0.2">
      <c r="A361" s="245" t="s">
        <v>197</v>
      </c>
      <c r="B361" s="245">
        <v>2617302095</v>
      </c>
      <c r="C361" s="245" t="s">
        <v>2701</v>
      </c>
      <c r="D361" s="245" t="s">
        <v>110</v>
      </c>
      <c r="E361" s="245" t="s">
        <v>198</v>
      </c>
      <c r="F361" s="245" t="s">
        <v>355</v>
      </c>
      <c r="G361" s="245">
        <v>144</v>
      </c>
      <c r="H361" s="245" t="s">
        <v>2506</v>
      </c>
      <c r="I361" s="245" t="s">
        <v>356</v>
      </c>
      <c r="J361" s="245" t="s">
        <v>2703</v>
      </c>
      <c r="K361" s="245" t="s">
        <v>213</v>
      </c>
      <c r="L361" s="245" t="s">
        <v>2294</v>
      </c>
      <c r="M361" s="245" t="s">
        <v>3080</v>
      </c>
      <c r="N361" s="245" t="s">
        <v>2759</v>
      </c>
      <c r="O361" s="158" t="s">
        <v>61</v>
      </c>
      <c r="P361" s="92"/>
      <c r="Q361" s="146" t="s">
        <v>61</v>
      </c>
      <c r="R361" s="92"/>
      <c r="S361" s="146" t="s">
        <v>61</v>
      </c>
      <c r="T361" s="92"/>
      <c r="U361" s="146" t="s">
        <v>61</v>
      </c>
      <c r="V361" s="92"/>
      <c r="W361" s="146" t="s">
        <v>61</v>
      </c>
      <c r="X361" s="92"/>
      <c r="Y361" s="146" t="s">
        <v>61</v>
      </c>
      <c r="Z361" s="92"/>
      <c r="AA361" s="146" t="s">
        <v>61</v>
      </c>
      <c r="AB361" s="92"/>
      <c r="AC361" s="146" t="s">
        <v>61</v>
      </c>
      <c r="AD361" s="92"/>
      <c r="AE361" s="146" t="s">
        <v>61</v>
      </c>
      <c r="AF361" s="143" t="str">
        <f t="shared" si="23"/>
        <v>NA</v>
      </c>
      <c r="AG361" s="199" t="str">
        <f t="shared" si="22"/>
        <v>NÃO AVALIADO POR FALHA DE SINCRONISMO</v>
      </c>
      <c r="AH361" s="146" t="s">
        <v>204</v>
      </c>
      <c r="AI361" s="154" t="s">
        <v>6</v>
      </c>
      <c r="AJ361" s="151" t="str">
        <f t="shared" si="25"/>
        <v>GUARULHOS</v>
      </c>
      <c r="AK361" s="155" t="s">
        <v>59</v>
      </c>
      <c r="AL361" s="53">
        <v>-7.1999999999999995E-2</v>
      </c>
      <c r="AM361" s="53" t="str" cm="1">
        <f t="array" ref="AM361">IF(OR(O361&lt;&gt;"", SUMPRODUCT(($AN$2:$AN$561=AN361)*($AL$2:$AL$561&lt;=AL361)) &lt;= (COUNTIF($AN$2:$AN$561,AN361)*0.5)), "SORTEADO", "-")</f>
        <v>SORTEADO</v>
      </c>
      <c r="AN361" s="53" t="str">
        <f t="shared" si="24"/>
        <v>28/04/2026</v>
      </c>
    </row>
    <row r="362" spans="1:40" ht="30" hidden="1" customHeight="1" x14ac:dyDescent="0.2">
      <c r="A362" s="245" t="s">
        <v>197</v>
      </c>
      <c r="B362" s="245">
        <v>2617306382</v>
      </c>
      <c r="C362" s="245" t="s">
        <v>2701</v>
      </c>
      <c r="D362" s="245" t="s">
        <v>110</v>
      </c>
      <c r="E362" s="245" t="s">
        <v>198</v>
      </c>
      <c r="F362" s="245" t="s">
        <v>355</v>
      </c>
      <c r="G362" s="245">
        <v>138</v>
      </c>
      <c r="H362" s="245" t="s">
        <v>3086</v>
      </c>
      <c r="I362" s="245" t="s">
        <v>356</v>
      </c>
      <c r="J362" s="245" t="s">
        <v>2703</v>
      </c>
      <c r="K362" s="246" t="s">
        <v>3079</v>
      </c>
      <c r="L362" s="245" t="s">
        <v>2294</v>
      </c>
      <c r="M362" s="245" t="s">
        <v>3080</v>
      </c>
      <c r="N362" s="245" t="s">
        <v>2759</v>
      </c>
      <c r="O362" s="158" t="s">
        <v>61</v>
      </c>
      <c r="P362" s="92"/>
      <c r="Q362" s="146" t="s">
        <v>61</v>
      </c>
      <c r="R362" s="92"/>
      <c r="S362" s="146" t="s">
        <v>61</v>
      </c>
      <c r="T362" s="92"/>
      <c r="U362" s="146" t="s">
        <v>61</v>
      </c>
      <c r="V362" s="92"/>
      <c r="W362" s="146" t="s">
        <v>61</v>
      </c>
      <c r="X362" s="92"/>
      <c r="Y362" s="146" t="s">
        <v>61</v>
      </c>
      <c r="Z362" s="92"/>
      <c r="AA362" s="146" t="s">
        <v>61</v>
      </c>
      <c r="AB362" s="92"/>
      <c r="AC362" s="146" t="s">
        <v>61</v>
      </c>
      <c r="AD362" s="92"/>
      <c r="AE362" s="146" t="s">
        <v>61</v>
      </c>
      <c r="AF362" s="143" t="str">
        <f t="shared" si="23"/>
        <v>NA</v>
      </c>
      <c r="AG362" s="199" t="str">
        <f t="shared" si="22"/>
        <v>NÃO AVALIADO POR FALHA DE SINCRONISMO</v>
      </c>
      <c r="AH362" s="146" t="s">
        <v>204</v>
      </c>
      <c r="AI362" s="154" t="s">
        <v>6</v>
      </c>
      <c r="AJ362" s="151" t="str">
        <f t="shared" si="25"/>
        <v>GUARULHOS</v>
      </c>
      <c r="AK362" s="155" t="s">
        <v>59</v>
      </c>
      <c r="AL362" s="53">
        <v>-7.22E-2</v>
      </c>
      <c r="AM362" s="53" t="str" cm="1">
        <f t="array" ref="AM362">IF(OR(O362&lt;&gt;"", SUMPRODUCT(($AN$2:$AN$561=AN362)*($AL$2:$AL$561&lt;=AL362)) &lt;= (COUNTIF($AN$2:$AN$561,AN362)*0.5)), "SORTEADO", "-")</f>
        <v>SORTEADO</v>
      </c>
      <c r="AN362" s="53" t="str">
        <f t="shared" si="24"/>
        <v>28/04/2026</v>
      </c>
    </row>
    <row r="363" spans="1:40" ht="30" hidden="1" customHeight="1" x14ac:dyDescent="0.2">
      <c r="A363" s="245" t="s">
        <v>197</v>
      </c>
      <c r="B363" s="245">
        <v>2617305682</v>
      </c>
      <c r="C363" s="245" t="s">
        <v>2701</v>
      </c>
      <c r="D363" s="245" t="s">
        <v>110</v>
      </c>
      <c r="E363" s="245" t="s">
        <v>198</v>
      </c>
      <c r="F363" s="245" t="s">
        <v>355</v>
      </c>
      <c r="G363" s="245">
        <v>137</v>
      </c>
      <c r="H363" s="245" t="s">
        <v>206</v>
      </c>
      <c r="I363" s="245" t="s">
        <v>356</v>
      </c>
      <c r="J363" s="245" t="s">
        <v>2703</v>
      </c>
      <c r="K363" s="246" t="s">
        <v>3079</v>
      </c>
      <c r="L363" s="245" t="s">
        <v>2294</v>
      </c>
      <c r="M363" s="245" t="s">
        <v>3080</v>
      </c>
      <c r="N363" s="245" t="s">
        <v>2759</v>
      </c>
      <c r="O363" s="158" t="s">
        <v>61</v>
      </c>
      <c r="P363" s="92"/>
      <c r="Q363" s="146" t="s">
        <v>61</v>
      </c>
      <c r="R363" s="92"/>
      <c r="S363" s="146" t="s">
        <v>61</v>
      </c>
      <c r="T363" s="92"/>
      <c r="U363" s="146" t="s">
        <v>61</v>
      </c>
      <c r="V363" s="92"/>
      <c r="W363" s="146" t="s">
        <v>61</v>
      </c>
      <c r="X363" s="92"/>
      <c r="Y363" s="146" t="s">
        <v>61</v>
      </c>
      <c r="Z363" s="92"/>
      <c r="AA363" s="146" t="s">
        <v>61</v>
      </c>
      <c r="AB363" s="92"/>
      <c r="AC363" s="146" t="s">
        <v>61</v>
      </c>
      <c r="AD363" s="92"/>
      <c r="AE363" s="146" t="s">
        <v>61</v>
      </c>
      <c r="AF363" s="143" t="str">
        <f t="shared" si="23"/>
        <v>NA</v>
      </c>
      <c r="AG363" s="199" t="str">
        <f t="shared" si="22"/>
        <v>NÃO AVALIADO POR FALHA DE SINCRONISMO</v>
      </c>
      <c r="AH363" s="146" t="s">
        <v>204</v>
      </c>
      <c r="AI363" s="154" t="s">
        <v>6</v>
      </c>
      <c r="AJ363" s="151" t="str">
        <f t="shared" si="25"/>
        <v>GUARULHOS</v>
      </c>
      <c r="AK363" s="155" t="s">
        <v>59</v>
      </c>
      <c r="AL363" s="53">
        <v>-7.2400000000000006E-2</v>
      </c>
      <c r="AM363" s="53" t="str" cm="1">
        <f t="array" ref="AM363">IF(OR(O363&lt;&gt;"", SUMPRODUCT(($AN$2:$AN$561=AN363)*($AL$2:$AL$561&lt;=AL363)) &lt;= (COUNTIF($AN$2:$AN$561,AN363)*0.5)), "SORTEADO", "-")</f>
        <v>SORTEADO</v>
      </c>
      <c r="AN363" s="53" t="str">
        <f t="shared" si="24"/>
        <v>28/04/2026</v>
      </c>
    </row>
    <row r="364" spans="1:40" ht="30" hidden="1" customHeight="1" x14ac:dyDescent="0.2">
      <c r="A364" s="245" t="s">
        <v>197</v>
      </c>
      <c r="B364" s="245">
        <v>2617305496</v>
      </c>
      <c r="C364" s="245" t="s">
        <v>2701</v>
      </c>
      <c r="D364" s="245" t="s">
        <v>110</v>
      </c>
      <c r="E364" s="245" t="s">
        <v>198</v>
      </c>
      <c r="F364" s="245" t="s">
        <v>355</v>
      </c>
      <c r="G364" s="245">
        <v>134</v>
      </c>
      <c r="H364" s="245" t="s">
        <v>3087</v>
      </c>
      <c r="I364" s="245" t="s">
        <v>356</v>
      </c>
      <c r="J364" s="245" t="s">
        <v>2703</v>
      </c>
      <c r="K364" s="246" t="s">
        <v>3079</v>
      </c>
      <c r="L364" s="245" t="s">
        <v>2294</v>
      </c>
      <c r="M364" s="245" t="s">
        <v>3080</v>
      </c>
      <c r="N364" s="245" t="s">
        <v>2759</v>
      </c>
      <c r="O364" s="158" t="s">
        <v>61</v>
      </c>
      <c r="P364" s="92"/>
      <c r="Q364" s="146" t="s">
        <v>61</v>
      </c>
      <c r="R364" s="92"/>
      <c r="S364" s="146" t="s">
        <v>61</v>
      </c>
      <c r="T364" s="92"/>
      <c r="U364" s="146" t="s">
        <v>61</v>
      </c>
      <c r="V364" s="92"/>
      <c r="W364" s="146" t="s">
        <v>61</v>
      </c>
      <c r="X364" s="92"/>
      <c r="Y364" s="146" t="s">
        <v>61</v>
      </c>
      <c r="Z364" s="92"/>
      <c r="AA364" s="146" t="s">
        <v>61</v>
      </c>
      <c r="AB364" s="92"/>
      <c r="AC364" s="146" t="s">
        <v>61</v>
      </c>
      <c r="AD364" s="92"/>
      <c r="AE364" s="146" t="s">
        <v>61</v>
      </c>
      <c r="AF364" s="143" t="str">
        <f t="shared" si="23"/>
        <v>NA</v>
      </c>
      <c r="AG364" s="199" t="str">
        <f t="shared" si="22"/>
        <v>NÃO AVALIADO POR FALHA DE SINCRONISMO</v>
      </c>
      <c r="AH364" s="146" t="s">
        <v>204</v>
      </c>
      <c r="AI364" s="154" t="s">
        <v>6</v>
      </c>
      <c r="AJ364" s="151" t="str">
        <f t="shared" si="25"/>
        <v>GUARULHOS</v>
      </c>
      <c r="AK364" s="155" t="s">
        <v>59</v>
      </c>
      <c r="AL364" s="53">
        <v>-7.2599999999999998E-2</v>
      </c>
      <c r="AM364" s="53" t="str" cm="1">
        <f t="array" ref="AM364">IF(OR(O364&lt;&gt;"", SUMPRODUCT(($AN$2:$AN$561=AN364)*($AL$2:$AL$561&lt;=AL364)) &lt;= (COUNTIF($AN$2:$AN$561,AN364)*0.5)), "SORTEADO", "-")</f>
        <v>SORTEADO</v>
      </c>
      <c r="AN364" s="53" t="str">
        <f t="shared" si="24"/>
        <v>28/04/2026</v>
      </c>
    </row>
    <row r="365" spans="1:40" ht="30" hidden="1" customHeight="1" x14ac:dyDescent="0.2">
      <c r="A365" s="245" t="s">
        <v>197</v>
      </c>
      <c r="B365" s="245">
        <v>2617305334</v>
      </c>
      <c r="C365" s="245" t="s">
        <v>2701</v>
      </c>
      <c r="D365" s="245" t="s">
        <v>110</v>
      </c>
      <c r="E365" s="245" t="s">
        <v>198</v>
      </c>
      <c r="F365" s="245" t="s">
        <v>355</v>
      </c>
      <c r="G365" s="245">
        <v>126</v>
      </c>
      <c r="H365" s="245" t="s">
        <v>3088</v>
      </c>
      <c r="I365" s="245" t="s">
        <v>356</v>
      </c>
      <c r="J365" s="245" t="s">
        <v>2703</v>
      </c>
      <c r="K365" s="246" t="s">
        <v>3079</v>
      </c>
      <c r="L365" s="245" t="s">
        <v>2294</v>
      </c>
      <c r="M365" s="245" t="s">
        <v>3080</v>
      </c>
      <c r="N365" s="245" t="s">
        <v>2759</v>
      </c>
      <c r="O365" s="158" t="s">
        <v>61</v>
      </c>
      <c r="P365" s="92"/>
      <c r="Q365" s="146" t="s">
        <v>61</v>
      </c>
      <c r="R365" s="92"/>
      <c r="S365" s="146" t="s">
        <v>61</v>
      </c>
      <c r="T365" s="92"/>
      <c r="U365" s="146" t="s">
        <v>61</v>
      </c>
      <c r="V365" s="92"/>
      <c r="W365" s="146" t="s">
        <v>61</v>
      </c>
      <c r="X365" s="92"/>
      <c r="Y365" s="146" t="s">
        <v>61</v>
      </c>
      <c r="Z365" s="92"/>
      <c r="AA365" s="146" t="s">
        <v>61</v>
      </c>
      <c r="AB365" s="92"/>
      <c r="AC365" s="146" t="s">
        <v>61</v>
      </c>
      <c r="AD365" s="92"/>
      <c r="AE365" s="146" t="s">
        <v>61</v>
      </c>
      <c r="AF365" s="143" t="str">
        <f t="shared" si="23"/>
        <v>NA</v>
      </c>
      <c r="AG365" s="199" t="str">
        <f t="shared" si="22"/>
        <v>NÃO AVALIADO POR FALHA DE SINCRONISMO</v>
      </c>
      <c r="AH365" s="146" t="s">
        <v>204</v>
      </c>
      <c r="AI365" s="154" t="s">
        <v>6</v>
      </c>
      <c r="AJ365" s="151" t="str">
        <f t="shared" si="25"/>
        <v>GUARULHOS</v>
      </c>
      <c r="AK365" s="155" t="s">
        <v>59</v>
      </c>
      <c r="AL365" s="53">
        <v>-7.2800000000000004E-2</v>
      </c>
      <c r="AM365" s="53" t="str" cm="1">
        <f t="array" ref="AM365">IF(OR(O365&lt;&gt;"", SUMPRODUCT(($AN$2:$AN$561=AN365)*($AL$2:$AL$561&lt;=AL365)) &lt;= (COUNTIF($AN$2:$AN$561,AN365)*0.5)), "SORTEADO", "-")</f>
        <v>SORTEADO</v>
      </c>
      <c r="AN365" s="53" t="str">
        <f t="shared" si="24"/>
        <v>28/04/2026</v>
      </c>
    </row>
    <row r="366" spans="1:40" ht="30" hidden="1" customHeight="1" x14ac:dyDescent="0.2">
      <c r="A366" s="245" t="s">
        <v>197</v>
      </c>
      <c r="B366" s="245">
        <v>2617305211</v>
      </c>
      <c r="C366" s="245" t="s">
        <v>2701</v>
      </c>
      <c r="D366" s="245" t="s">
        <v>110</v>
      </c>
      <c r="E366" s="245" t="s">
        <v>198</v>
      </c>
      <c r="F366" s="245" t="s">
        <v>355</v>
      </c>
      <c r="G366" s="245">
        <v>125</v>
      </c>
      <c r="H366" s="245"/>
      <c r="I366" s="245" t="s">
        <v>356</v>
      </c>
      <c r="J366" s="245" t="s">
        <v>2703</v>
      </c>
      <c r="K366" s="246" t="s">
        <v>3079</v>
      </c>
      <c r="L366" s="245" t="s">
        <v>2294</v>
      </c>
      <c r="M366" s="245" t="s">
        <v>3080</v>
      </c>
      <c r="N366" s="245" t="s">
        <v>2759</v>
      </c>
      <c r="O366" s="158" t="s">
        <v>61</v>
      </c>
      <c r="P366" s="92"/>
      <c r="Q366" s="146" t="s">
        <v>61</v>
      </c>
      <c r="R366" s="92"/>
      <c r="S366" s="146" t="s">
        <v>61</v>
      </c>
      <c r="T366" s="92"/>
      <c r="U366" s="146" t="s">
        <v>61</v>
      </c>
      <c r="V366" s="92"/>
      <c r="W366" s="146" t="s">
        <v>61</v>
      </c>
      <c r="X366" s="92"/>
      <c r="Y366" s="146" t="s">
        <v>61</v>
      </c>
      <c r="Z366" s="92"/>
      <c r="AA366" s="146" t="s">
        <v>61</v>
      </c>
      <c r="AB366" s="92"/>
      <c r="AC366" s="146" t="s">
        <v>61</v>
      </c>
      <c r="AD366" s="92"/>
      <c r="AE366" s="146" t="s">
        <v>61</v>
      </c>
      <c r="AF366" s="143" t="str">
        <f t="shared" si="23"/>
        <v>NA</v>
      </c>
      <c r="AG366" s="199" t="str">
        <f t="shared" si="22"/>
        <v>NÃO AVALIADO POR FALHA DE SINCRONISMO</v>
      </c>
      <c r="AH366" s="146" t="s">
        <v>204</v>
      </c>
      <c r="AI366" s="154" t="s">
        <v>6</v>
      </c>
      <c r="AJ366" s="151" t="str">
        <f t="shared" si="25"/>
        <v>GUARULHOS</v>
      </c>
      <c r="AK366" s="155" t="s">
        <v>59</v>
      </c>
      <c r="AL366" s="53">
        <v>-7.2999999999999995E-2</v>
      </c>
      <c r="AM366" s="53" t="str" cm="1">
        <f t="array" ref="AM366">IF(OR(O366&lt;&gt;"", SUMPRODUCT(($AN$2:$AN$561=AN366)*($AL$2:$AL$561&lt;=AL366)) &lt;= (COUNTIF($AN$2:$AN$561,AN366)*0.5)), "SORTEADO", "-")</f>
        <v>SORTEADO</v>
      </c>
      <c r="AN366" s="53" t="str">
        <f t="shared" si="24"/>
        <v>28/04/2026</v>
      </c>
    </row>
    <row r="367" spans="1:40" ht="30" hidden="1" customHeight="1" x14ac:dyDescent="0.2">
      <c r="A367" s="245" t="s">
        <v>197</v>
      </c>
      <c r="B367" s="245">
        <v>2617304946</v>
      </c>
      <c r="C367" s="245" t="s">
        <v>2701</v>
      </c>
      <c r="D367" s="245" t="s">
        <v>110</v>
      </c>
      <c r="E367" s="245" t="s">
        <v>198</v>
      </c>
      <c r="F367" s="245" t="s">
        <v>355</v>
      </c>
      <c r="G367" s="245">
        <v>122</v>
      </c>
      <c r="H367" s="245" t="s">
        <v>3089</v>
      </c>
      <c r="I367" s="245" t="s">
        <v>356</v>
      </c>
      <c r="J367" s="245" t="s">
        <v>2703</v>
      </c>
      <c r="K367" s="246" t="s">
        <v>3079</v>
      </c>
      <c r="L367" s="245" t="s">
        <v>2294</v>
      </c>
      <c r="M367" s="245" t="s">
        <v>3080</v>
      </c>
      <c r="N367" s="245" t="s">
        <v>2759</v>
      </c>
      <c r="O367" s="158" t="s">
        <v>61</v>
      </c>
      <c r="P367" s="92"/>
      <c r="Q367" s="146" t="s">
        <v>61</v>
      </c>
      <c r="R367" s="92"/>
      <c r="S367" s="146" t="s">
        <v>61</v>
      </c>
      <c r="T367" s="92"/>
      <c r="U367" s="146" t="s">
        <v>61</v>
      </c>
      <c r="V367" s="92"/>
      <c r="W367" s="146" t="s">
        <v>61</v>
      </c>
      <c r="X367" s="92"/>
      <c r="Y367" s="146" t="s">
        <v>61</v>
      </c>
      <c r="Z367" s="92"/>
      <c r="AA367" s="146" t="s">
        <v>61</v>
      </c>
      <c r="AB367" s="92"/>
      <c r="AC367" s="146" t="s">
        <v>61</v>
      </c>
      <c r="AD367" s="92"/>
      <c r="AE367" s="146" t="s">
        <v>61</v>
      </c>
      <c r="AF367" s="143" t="str">
        <f t="shared" si="23"/>
        <v>NA</v>
      </c>
      <c r="AG367" s="199" t="str">
        <f t="shared" si="22"/>
        <v>NÃO AVALIADO POR FALHA DE SINCRONISMO</v>
      </c>
      <c r="AH367" s="146" t="s">
        <v>204</v>
      </c>
      <c r="AI367" s="154" t="s">
        <v>6</v>
      </c>
      <c r="AJ367" s="151" t="str">
        <f t="shared" si="25"/>
        <v>GUARULHOS</v>
      </c>
      <c r="AK367" s="155" t="s">
        <v>59</v>
      </c>
      <c r="AL367" s="53">
        <v>-7.3200000000000001E-2</v>
      </c>
      <c r="AM367" s="53" t="str" cm="1">
        <f t="array" ref="AM367">IF(OR(O367&lt;&gt;"", SUMPRODUCT(($AN$2:$AN$561=AN367)*($AL$2:$AL$561&lt;=AL367)) &lt;= (COUNTIF($AN$2:$AN$561,AN367)*0.5)), "SORTEADO", "-")</f>
        <v>SORTEADO</v>
      </c>
      <c r="AN367" s="53" t="str">
        <f t="shared" si="24"/>
        <v>28/04/2026</v>
      </c>
    </row>
    <row r="368" spans="1:40" ht="30" hidden="1" customHeight="1" x14ac:dyDescent="0.2">
      <c r="A368" s="245" t="s">
        <v>197</v>
      </c>
      <c r="B368" s="245">
        <v>2617304828</v>
      </c>
      <c r="C368" s="245" t="s">
        <v>2701</v>
      </c>
      <c r="D368" s="245" t="s">
        <v>110</v>
      </c>
      <c r="E368" s="245" t="s">
        <v>198</v>
      </c>
      <c r="F368" s="245" t="s">
        <v>355</v>
      </c>
      <c r="G368" s="245">
        <v>117</v>
      </c>
      <c r="H368" s="245" t="s">
        <v>2729</v>
      </c>
      <c r="I368" s="245" t="s">
        <v>356</v>
      </c>
      <c r="J368" s="245" t="s">
        <v>2703</v>
      </c>
      <c r="K368" s="246" t="s">
        <v>3079</v>
      </c>
      <c r="L368" s="245" t="s">
        <v>2294</v>
      </c>
      <c r="M368" s="245" t="s">
        <v>3080</v>
      </c>
      <c r="N368" s="245" t="s">
        <v>2759</v>
      </c>
      <c r="O368" s="158" t="s">
        <v>61</v>
      </c>
      <c r="P368" s="92"/>
      <c r="Q368" s="146" t="s">
        <v>61</v>
      </c>
      <c r="R368" s="92"/>
      <c r="S368" s="146" t="s">
        <v>61</v>
      </c>
      <c r="T368" s="92"/>
      <c r="U368" s="146" t="s">
        <v>61</v>
      </c>
      <c r="V368" s="92"/>
      <c r="W368" s="146" t="s">
        <v>61</v>
      </c>
      <c r="X368" s="92"/>
      <c r="Y368" s="146" t="s">
        <v>61</v>
      </c>
      <c r="Z368" s="92"/>
      <c r="AA368" s="146" t="s">
        <v>61</v>
      </c>
      <c r="AB368" s="92"/>
      <c r="AC368" s="146" t="s">
        <v>61</v>
      </c>
      <c r="AD368" s="92"/>
      <c r="AE368" s="146" t="s">
        <v>61</v>
      </c>
      <c r="AF368" s="143" t="str">
        <f t="shared" si="23"/>
        <v>NA</v>
      </c>
      <c r="AG368" s="199" t="str">
        <f t="shared" si="22"/>
        <v>NÃO AVALIADO POR FALHA DE SINCRONISMO</v>
      </c>
      <c r="AH368" s="146" t="s">
        <v>204</v>
      </c>
      <c r="AI368" s="154" t="s">
        <v>6</v>
      </c>
      <c r="AJ368" s="151" t="str">
        <f t="shared" si="25"/>
        <v>GUARULHOS</v>
      </c>
      <c r="AK368" s="155" t="s">
        <v>59</v>
      </c>
      <c r="AL368" s="53">
        <v>-7.3400000000000007E-2</v>
      </c>
      <c r="AM368" s="53" t="str" cm="1">
        <f t="array" ref="AM368">IF(OR(O368&lt;&gt;"", SUMPRODUCT(($AN$2:$AN$561=AN368)*($AL$2:$AL$561&lt;=AL368)) &lt;= (COUNTIF($AN$2:$AN$561,AN368)*0.5)), "SORTEADO", "-")</f>
        <v>SORTEADO</v>
      </c>
      <c r="AN368" s="53" t="str">
        <f t="shared" si="24"/>
        <v>28/04/2026</v>
      </c>
    </row>
    <row r="369" spans="1:40" ht="30" hidden="1" customHeight="1" x14ac:dyDescent="0.2">
      <c r="A369" s="245" t="s">
        <v>197</v>
      </c>
      <c r="B369" s="245">
        <v>2617304619</v>
      </c>
      <c r="C369" s="245" t="s">
        <v>2701</v>
      </c>
      <c r="D369" s="245" t="s">
        <v>110</v>
      </c>
      <c r="E369" s="245" t="s">
        <v>198</v>
      </c>
      <c r="F369" s="245" t="s">
        <v>355</v>
      </c>
      <c r="G369" s="245">
        <v>111</v>
      </c>
      <c r="H369" s="245" t="s">
        <v>3090</v>
      </c>
      <c r="I369" s="245" t="s">
        <v>356</v>
      </c>
      <c r="J369" s="245" t="s">
        <v>2703</v>
      </c>
      <c r="K369" s="246" t="s">
        <v>3079</v>
      </c>
      <c r="L369" s="245" t="s">
        <v>2294</v>
      </c>
      <c r="M369" s="245" t="s">
        <v>3080</v>
      </c>
      <c r="N369" s="245" t="s">
        <v>2759</v>
      </c>
      <c r="O369" s="158" t="s">
        <v>61</v>
      </c>
      <c r="P369" s="92"/>
      <c r="Q369" s="146" t="s">
        <v>61</v>
      </c>
      <c r="R369" s="92"/>
      <c r="S369" s="146" t="s">
        <v>61</v>
      </c>
      <c r="T369" s="92"/>
      <c r="U369" s="146" t="s">
        <v>61</v>
      </c>
      <c r="V369" s="92"/>
      <c r="W369" s="146" t="s">
        <v>61</v>
      </c>
      <c r="X369" s="92"/>
      <c r="Y369" s="146" t="s">
        <v>61</v>
      </c>
      <c r="Z369" s="92"/>
      <c r="AA369" s="146" t="s">
        <v>61</v>
      </c>
      <c r="AB369" s="92"/>
      <c r="AC369" s="146" t="s">
        <v>61</v>
      </c>
      <c r="AD369" s="92"/>
      <c r="AE369" s="146" t="s">
        <v>61</v>
      </c>
      <c r="AF369" s="143" t="str">
        <f t="shared" si="23"/>
        <v>NA</v>
      </c>
      <c r="AG369" s="199" t="str">
        <f t="shared" si="22"/>
        <v>NÃO AVALIADO POR FALHA DE SINCRONISMO</v>
      </c>
      <c r="AH369" s="146" t="s">
        <v>204</v>
      </c>
      <c r="AI369" s="154" t="s">
        <v>6</v>
      </c>
      <c r="AJ369" s="151" t="str">
        <f t="shared" si="25"/>
        <v>GUARULHOS</v>
      </c>
      <c r="AK369" s="155" t="s">
        <v>59</v>
      </c>
      <c r="AL369" s="53">
        <v>-7.3599999999999999E-2</v>
      </c>
      <c r="AM369" s="53" t="str" cm="1">
        <f t="array" ref="AM369">IF(OR(O369&lt;&gt;"", SUMPRODUCT(($AN$2:$AN$561=AN369)*($AL$2:$AL$561&lt;=AL369)) &lt;= (COUNTIF($AN$2:$AN$561,AN369)*0.5)), "SORTEADO", "-")</f>
        <v>SORTEADO</v>
      </c>
      <c r="AN369" s="53" t="str">
        <f t="shared" si="24"/>
        <v>28/04/2026</v>
      </c>
    </row>
    <row r="370" spans="1:40" ht="30" hidden="1" customHeight="1" x14ac:dyDescent="0.2">
      <c r="A370" s="245" t="s">
        <v>197</v>
      </c>
      <c r="B370" s="245">
        <v>2617303694</v>
      </c>
      <c r="C370" s="245" t="s">
        <v>2701</v>
      </c>
      <c r="D370" s="245" t="s">
        <v>110</v>
      </c>
      <c r="E370" s="245" t="s">
        <v>198</v>
      </c>
      <c r="F370" s="245" t="s">
        <v>355</v>
      </c>
      <c r="G370" s="245">
        <v>105</v>
      </c>
      <c r="H370" s="245"/>
      <c r="I370" s="245" t="s">
        <v>356</v>
      </c>
      <c r="J370" s="245" t="s">
        <v>2703</v>
      </c>
      <c r="K370" s="246" t="s">
        <v>3079</v>
      </c>
      <c r="L370" s="245" t="s">
        <v>2294</v>
      </c>
      <c r="M370" s="245" t="s">
        <v>3080</v>
      </c>
      <c r="N370" s="245" t="s">
        <v>2759</v>
      </c>
      <c r="O370" s="158" t="s">
        <v>61</v>
      </c>
      <c r="P370" s="92"/>
      <c r="Q370" s="146" t="s">
        <v>61</v>
      </c>
      <c r="R370" s="92"/>
      <c r="S370" s="146" t="s">
        <v>61</v>
      </c>
      <c r="T370" s="92"/>
      <c r="U370" s="146" t="s">
        <v>61</v>
      </c>
      <c r="V370" s="92"/>
      <c r="W370" s="146" t="s">
        <v>61</v>
      </c>
      <c r="X370" s="92"/>
      <c r="Y370" s="146" t="s">
        <v>61</v>
      </c>
      <c r="Z370" s="92"/>
      <c r="AA370" s="146" t="s">
        <v>61</v>
      </c>
      <c r="AB370" s="92"/>
      <c r="AC370" s="146" t="s">
        <v>61</v>
      </c>
      <c r="AD370" s="92"/>
      <c r="AE370" s="146" t="s">
        <v>61</v>
      </c>
      <c r="AF370" s="143" t="str">
        <f t="shared" si="23"/>
        <v>NA</v>
      </c>
      <c r="AG370" s="199" t="str">
        <f t="shared" si="22"/>
        <v>NÃO AVALIADO POR FALHA DE SINCRONISMO</v>
      </c>
      <c r="AH370" s="146" t="s">
        <v>204</v>
      </c>
      <c r="AI370" s="154" t="s">
        <v>6</v>
      </c>
      <c r="AJ370" s="151" t="str">
        <f t="shared" si="25"/>
        <v>GUARULHOS</v>
      </c>
      <c r="AK370" s="155" t="s">
        <v>59</v>
      </c>
      <c r="AL370" s="53">
        <v>-7.3800000000000004E-2</v>
      </c>
      <c r="AM370" s="53" t="str" cm="1">
        <f t="array" ref="AM370">IF(OR(O370&lt;&gt;"", SUMPRODUCT(($AN$2:$AN$561=AN370)*($AL$2:$AL$561&lt;=AL370)) &lt;= (COUNTIF($AN$2:$AN$561,AN370)*0.5)), "SORTEADO", "-")</f>
        <v>SORTEADO</v>
      </c>
      <c r="AN370" s="53" t="str">
        <f t="shared" si="24"/>
        <v>28/04/2026</v>
      </c>
    </row>
    <row r="371" spans="1:40" ht="30" hidden="1" customHeight="1" x14ac:dyDescent="0.2">
      <c r="A371" s="245" t="s">
        <v>197</v>
      </c>
      <c r="B371" s="245">
        <v>2617303202</v>
      </c>
      <c r="C371" s="245" t="s">
        <v>2701</v>
      </c>
      <c r="D371" s="245" t="s">
        <v>110</v>
      </c>
      <c r="E371" s="245" t="s">
        <v>198</v>
      </c>
      <c r="F371" s="245" t="s">
        <v>355</v>
      </c>
      <c r="G371" s="245">
        <v>100</v>
      </c>
      <c r="H371" s="245" t="s">
        <v>1525</v>
      </c>
      <c r="I371" s="245" t="s">
        <v>356</v>
      </c>
      <c r="J371" s="245" t="s">
        <v>2703</v>
      </c>
      <c r="K371" s="246" t="s">
        <v>3079</v>
      </c>
      <c r="L371" s="245" t="s">
        <v>2294</v>
      </c>
      <c r="M371" s="245" t="s">
        <v>3080</v>
      </c>
      <c r="N371" s="245" t="s">
        <v>2759</v>
      </c>
      <c r="O371" s="158" t="s">
        <v>61</v>
      </c>
      <c r="P371" s="92"/>
      <c r="Q371" s="146" t="s">
        <v>61</v>
      </c>
      <c r="R371" s="92"/>
      <c r="S371" s="146" t="s">
        <v>61</v>
      </c>
      <c r="T371" s="92"/>
      <c r="U371" s="146" t="s">
        <v>61</v>
      </c>
      <c r="V371" s="92"/>
      <c r="W371" s="146" t="s">
        <v>61</v>
      </c>
      <c r="X371" s="92"/>
      <c r="Y371" s="146" t="s">
        <v>61</v>
      </c>
      <c r="Z371" s="92"/>
      <c r="AA371" s="146" t="s">
        <v>61</v>
      </c>
      <c r="AB371" s="92"/>
      <c r="AC371" s="146" t="s">
        <v>61</v>
      </c>
      <c r="AD371" s="92"/>
      <c r="AE371" s="146" t="s">
        <v>61</v>
      </c>
      <c r="AF371" s="143" t="str">
        <f t="shared" si="23"/>
        <v>NA</v>
      </c>
      <c r="AG371" s="199" t="str">
        <f t="shared" si="22"/>
        <v>NÃO AVALIADO POR FALHA DE SINCRONISMO</v>
      </c>
      <c r="AH371" s="146" t="s">
        <v>204</v>
      </c>
      <c r="AI371" s="154" t="s">
        <v>6</v>
      </c>
      <c r="AJ371" s="151" t="str">
        <f t="shared" si="25"/>
        <v>GUARULHOS</v>
      </c>
      <c r="AK371" s="155" t="s">
        <v>59</v>
      </c>
      <c r="AL371" s="53">
        <v>-7.3999999999999996E-2</v>
      </c>
      <c r="AM371" s="53" t="str" cm="1">
        <f t="array" ref="AM371">IF(OR(O371&lt;&gt;"", SUMPRODUCT(($AN$2:$AN$561=AN371)*($AL$2:$AL$561&lt;=AL371)) &lt;= (COUNTIF($AN$2:$AN$561,AN371)*0.5)), "SORTEADO", "-")</f>
        <v>SORTEADO</v>
      </c>
      <c r="AN371" s="53" t="str">
        <f t="shared" si="24"/>
        <v>28/04/2026</v>
      </c>
    </row>
    <row r="372" spans="1:40" ht="30" hidden="1" customHeight="1" x14ac:dyDescent="0.2">
      <c r="A372" s="245" t="s">
        <v>197</v>
      </c>
      <c r="B372" s="245">
        <v>2617304586</v>
      </c>
      <c r="C372" s="245" t="s">
        <v>2701</v>
      </c>
      <c r="D372" s="245" t="s">
        <v>110</v>
      </c>
      <c r="E372" s="245" t="s">
        <v>198</v>
      </c>
      <c r="F372" s="245" t="s">
        <v>355</v>
      </c>
      <c r="G372" s="245">
        <v>320</v>
      </c>
      <c r="H372" s="245" t="s">
        <v>3091</v>
      </c>
      <c r="I372" s="245" t="s">
        <v>356</v>
      </c>
      <c r="J372" s="245" t="s">
        <v>2703</v>
      </c>
      <c r="K372" s="246" t="s">
        <v>3079</v>
      </c>
      <c r="L372" s="245" t="s">
        <v>2294</v>
      </c>
      <c r="M372" s="245" t="s">
        <v>3080</v>
      </c>
      <c r="N372" s="245" t="s">
        <v>2759</v>
      </c>
      <c r="O372" s="158" t="s">
        <v>61</v>
      </c>
      <c r="P372" s="92"/>
      <c r="Q372" s="146" t="s">
        <v>61</v>
      </c>
      <c r="R372" s="92"/>
      <c r="S372" s="146" t="s">
        <v>61</v>
      </c>
      <c r="T372" s="92"/>
      <c r="U372" s="146" t="s">
        <v>61</v>
      </c>
      <c r="V372" s="92"/>
      <c r="W372" s="146" t="s">
        <v>61</v>
      </c>
      <c r="X372" s="92"/>
      <c r="Y372" s="146" t="s">
        <v>61</v>
      </c>
      <c r="Z372" s="92"/>
      <c r="AA372" s="146" t="s">
        <v>61</v>
      </c>
      <c r="AB372" s="92"/>
      <c r="AC372" s="146" t="s">
        <v>61</v>
      </c>
      <c r="AD372" s="92"/>
      <c r="AE372" s="146" t="s">
        <v>61</v>
      </c>
      <c r="AF372" s="143" t="str">
        <f t="shared" si="23"/>
        <v>NA</v>
      </c>
      <c r="AG372" s="199" t="str">
        <f t="shared" si="22"/>
        <v>NÃO AVALIADO POR FALHA DE SINCRONISMO</v>
      </c>
      <c r="AH372" s="146" t="s">
        <v>204</v>
      </c>
      <c r="AI372" s="154" t="s">
        <v>6</v>
      </c>
      <c r="AJ372" s="151" t="str">
        <f t="shared" si="25"/>
        <v>GUARULHOS</v>
      </c>
      <c r="AK372" s="155" t="s">
        <v>59</v>
      </c>
      <c r="AL372" s="53">
        <v>-7.4200000000000002E-2</v>
      </c>
      <c r="AM372" s="53" t="str" cm="1">
        <f t="array" ref="AM372">IF(OR(O372&lt;&gt;"", SUMPRODUCT(($AN$2:$AN$561=AN372)*($AL$2:$AL$561&lt;=AL372)) &lt;= (COUNTIF($AN$2:$AN$561,AN372)*0.5)), "SORTEADO", "-")</f>
        <v>SORTEADO</v>
      </c>
      <c r="AN372" s="53" t="str">
        <f t="shared" si="24"/>
        <v>28/04/2026</v>
      </c>
    </row>
    <row r="373" spans="1:40" ht="30" hidden="1" customHeight="1" x14ac:dyDescent="0.2">
      <c r="A373" s="245" t="s">
        <v>197</v>
      </c>
      <c r="B373" s="245">
        <v>2617302574</v>
      </c>
      <c r="C373" s="245" t="s">
        <v>2701</v>
      </c>
      <c r="D373" s="245" t="s">
        <v>110</v>
      </c>
      <c r="E373" s="245" t="s">
        <v>198</v>
      </c>
      <c r="F373" s="245" t="s">
        <v>355</v>
      </c>
      <c r="G373" s="245">
        <v>314</v>
      </c>
      <c r="H373" s="245" t="s">
        <v>3092</v>
      </c>
      <c r="I373" s="245" t="s">
        <v>356</v>
      </c>
      <c r="J373" s="245" t="s">
        <v>2703</v>
      </c>
      <c r="K373" s="246" t="s">
        <v>3079</v>
      </c>
      <c r="L373" s="245" t="s">
        <v>2294</v>
      </c>
      <c r="M373" s="245" t="s">
        <v>3080</v>
      </c>
      <c r="N373" s="245" t="s">
        <v>2759</v>
      </c>
      <c r="O373" s="158" t="s">
        <v>61</v>
      </c>
      <c r="P373" s="92"/>
      <c r="Q373" s="146" t="s">
        <v>61</v>
      </c>
      <c r="R373" s="92"/>
      <c r="S373" s="146" t="s">
        <v>61</v>
      </c>
      <c r="T373" s="92"/>
      <c r="U373" s="146" t="s">
        <v>61</v>
      </c>
      <c r="V373" s="92"/>
      <c r="W373" s="146" t="s">
        <v>61</v>
      </c>
      <c r="X373" s="92"/>
      <c r="Y373" s="146" t="s">
        <v>61</v>
      </c>
      <c r="Z373" s="92"/>
      <c r="AA373" s="146" t="s">
        <v>61</v>
      </c>
      <c r="AB373" s="92"/>
      <c r="AC373" s="146" t="s">
        <v>61</v>
      </c>
      <c r="AD373" s="92"/>
      <c r="AE373" s="146" t="s">
        <v>61</v>
      </c>
      <c r="AF373" s="143" t="str">
        <f t="shared" si="23"/>
        <v>NA</v>
      </c>
      <c r="AG373" s="199" t="str">
        <f t="shared" si="22"/>
        <v>NÃO AVALIADO POR FALHA DE SINCRONISMO</v>
      </c>
      <c r="AH373" s="146" t="s">
        <v>204</v>
      </c>
      <c r="AI373" s="154" t="s">
        <v>6</v>
      </c>
      <c r="AJ373" s="151" t="str">
        <f t="shared" si="25"/>
        <v>GUARULHOS</v>
      </c>
      <c r="AK373" s="155" t="s">
        <v>59</v>
      </c>
      <c r="AL373" s="53">
        <v>-7.4399999999999994E-2</v>
      </c>
      <c r="AM373" s="53" t="str" cm="1">
        <f t="array" ref="AM373">IF(OR(O373&lt;&gt;"", SUMPRODUCT(($AN$2:$AN$561=AN373)*($AL$2:$AL$561&lt;=AL373)) &lt;= (COUNTIF($AN$2:$AN$561,AN373)*0.5)), "SORTEADO", "-")</f>
        <v>SORTEADO</v>
      </c>
      <c r="AN373" s="53" t="str">
        <f t="shared" si="24"/>
        <v>28/04/2026</v>
      </c>
    </row>
    <row r="374" spans="1:40" ht="30" hidden="1" customHeight="1" x14ac:dyDescent="0.2">
      <c r="A374" s="245" t="s">
        <v>197</v>
      </c>
      <c r="B374" s="245">
        <v>2617302221</v>
      </c>
      <c r="C374" s="245" t="s">
        <v>2701</v>
      </c>
      <c r="D374" s="245" t="s">
        <v>110</v>
      </c>
      <c r="E374" s="245" t="s">
        <v>198</v>
      </c>
      <c r="F374" s="245" t="s">
        <v>355</v>
      </c>
      <c r="G374" s="245">
        <v>310</v>
      </c>
      <c r="H374" s="245" t="s">
        <v>3093</v>
      </c>
      <c r="I374" s="245" t="s">
        <v>356</v>
      </c>
      <c r="J374" s="245" t="s">
        <v>2703</v>
      </c>
      <c r="K374" s="246" t="s">
        <v>3075</v>
      </c>
      <c r="L374" s="245" t="s">
        <v>2294</v>
      </c>
      <c r="M374" s="245" t="s">
        <v>3080</v>
      </c>
      <c r="N374" s="245" t="s">
        <v>2759</v>
      </c>
      <c r="O374" s="158" t="s">
        <v>61</v>
      </c>
      <c r="P374" s="92"/>
      <c r="Q374" s="146" t="s">
        <v>61</v>
      </c>
      <c r="R374" s="92"/>
      <c r="S374" s="146" t="s">
        <v>61</v>
      </c>
      <c r="T374" s="92"/>
      <c r="U374" s="146" t="s">
        <v>61</v>
      </c>
      <c r="V374" s="92"/>
      <c r="W374" s="146" t="s">
        <v>61</v>
      </c>
      <c r="X374" s="92"/>
      <c r="Y374" s="146" t="s">
        <v>61</v>
      </c>
      <c r="Z374" s="92"/>
      <c r="AA374" s="146" t="s">
        <v>61</v>
      </c>
      <c r="AB374" s="92"/>
      <c r="AC374" s="146" t="s">
        <v>61</v>
      </c>
      <c r="AD374" s="92"/>
      <c r="AE374" s="146" t="s">
        <v>61</v>
      </c>
      <c r="AF374" s="143" t="str">
        <f t="shared" si="23"/>
        <v>NA</v>
      </c>
      <c r="AG374" s="199" t="str">
        <f t="shared" si="22"/>
        <v>NÃO AVALIADO POR FALHA DE SINCRONISMO</v>
      </c>
      <c r="AH374" s="146" t="s">
        <v>204</v>
      </c>
      <c r="AI374" s="154" t="s">
        <v>6</v>
      </c>
      <c r="AJ374" s="151" t="str">
        <f t="shared" si="25"/>
        <v>GUARULHOS</v>
      </c>
      <c r="AK374" s="155" t="s">
        <v>59</v>
      </c>
      <c r="AL374" s="53">
        <v>-7.46E-2</v>
      </c>
      <c r="AM374" s="53" t="str" cm="1">
        <f t="array" ref="AM374">IF(OR(O374&lt;&gt;"", SUMPRODUCT(($AN$2:$AN$561=AN374)*($AL$2:$AL$561&lt;=AL374)) &lt;= (COUNTIF($AN$2:$AN$561,AN374)*0.5)), "SORTEADO", "-")</f>
        <v>SORTEADO</v>
      </c>
      <c r="AN374" s="53" t="str">
        <f t="shared" si="24"/>
        <v>28/04/2026</v>
      </c>
    </row>
    <row r="375" spans="1:40" ht="30" hidden="1" customHeight="1" x14ac:dyDescent="0.2">
      <c r="A375" s="245" t="s">
        <v>197</v>
      </c>
      <c r="B375" s="245">
        <v>2617301173</v>
      </c>
      <c r="C375" s="245" t="s">
        <v>2701</v>
      </c>
      <c r="D375" s="245" t="s">
        <v>110</v>
      </c>
      <c r="E375" s="245" t="s">
        <v>198</v>
      </c>
      <c r="F375" s="245" t="s">
        <v>355</v>
      </c>
      <c r="G375" s="245">
        <v>31</v>
      </c>
      <c r="H375" s="245" t="s">
        <v>2949</v>
      </c>
      <c r="I375" s="245" t="s">
        <v>356</v>
      </c>
      <c r="J375" s="245" t="s">
        <v>2703</v>
      </c>
      <c r="K375" s="246" t="s">
        <v>3075</v>
      </c>
      <c r="L375" s="245" t="s">
        <v>2294</v>
      </c>
      <c r="M375" s="245" t="s">
        <v>3076</v>
      </c>
      <c r="N375" s="245" t="s">
        <v>2759</v>
      </c>
      <c r="O375" s="158" t="s">
        <v>61</v>
      </c>
      <c r="P375" s="92"/>
      <c r="Q375" s="146" t="s">
        <v>61</v>
      </c>
      <c r="R375" s="92"/>
      <c r="S375" s="146" t="s">
        <v>61</v>
      </c>
      <c r="T375" s="92"/>
      <c r="U375" s="146" t="s">
        <v>61</v>
      </c>
      <c r="V375" s="92"/>
      <c r="W375" s="146" t="s">
        <v>61</v>
      </c>
      <c r="X375" s="92"/>
      <c r="Y375" s="146" t="s">
        <v>61</v>
      </c>
      <c r="Z375" s="92"/>
      <c r="AA375" s="146" t="s">
        <v>61</v>
      </c>
      <c r="AB375" s="92"/>
      <c r="AC375" s="146" t="s">
        <v>61</v>
      </c>
      <c r="AD375" s="92"/>
      <c r="AE375" s="146" t="s">
        <v>61</v>
      </c>
      <c r="AF375" s="143" t="str">
        <f t="shared" si="23"/>
        <v>NA</v>
      </c>
      <c r="AG375" s="199" t="str">
        <f t="shared" si="22"/>
        <v>NÃO AVALIADO POR FALHA DE SINCRONISMO</v>
      </c>
      <c r="AH375" s="146" t="s">
        <v>204</v>
      </c>
      <c r="AI375" s="154" t="s">
        <v>6</v>
      </c>
      <c r="AJ375" s="151" t="str">
        <f t="shared" si="25"/>
        <v>GUARULHOS</v>
      </c>
      <c r="AK375" s="155" t="s">
        <v>59</v>
      </c>
      <c r="AL375" s="53">
        <v>-7.4800000000000005E-2</v>
      </c>
      <c r="AM375" s="53" t="str" cm="1">
        <f t="array" ref="AM375">IF(OR(O375&lt;&gt;"", SUMPRODUCT(($AN$2:$AN$561=AN375)*($AL$2:$AL$561&lt;=AL375)) &lt;= (COUNTIF($AN$2:$AN$561,AN375)*0.5)), "SORTEADO", "-")</f>
        <v>SORTEADO</v>
      </c>
      <c r="AN375" s="53" t="str">
        <f t="shared" si="24"/>
        <v>28/04/2026</v>
      </c>
    </row>
    <row r="376" spans="1:40" ht="30" hidden="1" customHeight="1" x14ac:dyDescent="0.2">
      <c r="A376" s="245" t="s">
        <v>197</v>
      </c>
      <c r="B376" s="245">
        <v>2617302042</v>
      </c>
      <c r="C376" s="245" t="s">
        <v>2701</v>
      </c>
      <c r="D376" s="245" t="s">
        <v>110</v>
      </c>
      <c r="E376" s="245" t="s">
        <v>198</v>
      </c>
      <c r="F376" s="245" t="s">
        <v>355</v>
      </c>
      <c r="G376" s="245">
        <v>309</v>
      </c>
      <c r="H376" s="245" t="s">
        <v>3094</v>
      </c>
      <c r="I376" s="245" t="s">
        <v>356</v>
      </c>
      <c r="J376" s="245" t="s">
        <v>2703</v>
      </c>
      <c r="K376" s="246" t="s">
        <v>3075</v>
      </c>
      <c r="L376" s="245" t="s">
        <v>2294</v>
      </c>
      <c r="M376" s="245" t="s">
        <v>3080</v>
      </c>
      <c r="N376" s="245" t="s">
        <v>2759</v>
      </c>
      <c r="O376" s="158" t="s">
        <v>61</v>
      </c>
      <c r="P376" s="92"/>
      <c r="Q376" s="146" t="s">
        <v>61</v>
      </c>
      <c r="R376" s="92"/>
      <c r="S376" s="146" t="s">
        <v>61</v>
      </c>
      <c r="T376" s="92"/>
      <c r="U376" s="146" t="s">
        <v>61</v>
      </c>
      <c r="V376" s="92"/>
      <c r="W376" s="146" t="s">
        <v>61</v>
      </c>
      <c r="X376" s="92"/>
      <c r="Y376" s="146" t="s">
        <v>61</v>
      </c>
      <c r="Z376" s="92"/>
      <c r="AA376" s="146" t="s">
        <v>61</v>
      </c>
      <c r="AB376" s="92"/>
      <c r="AC376" s="146" t="s">
        <v>61</v>
      </c>
      <c r="AD376" s="92"/>
      <c r="AE376" s="146" t="s">
        <v>61</v>
      </c>
      <c r="AF376" s="143" t="str">
        <f t="shared" si="23"/>
        <v>NA</v>
      </c>
      <c r="AG376" s="199" t="str">
        <f t="shared" si="22"/>
        <v>NÃO AVALIADO POR FALHA DE SINCRONISMO</v>
      </c>
      <c r="AH376" s="146" t="s">
        <v>204</v>
      </c>
      <c r="AI376" s="154" t="s">
        <v>6</v>
      </c>
      <c r="AJ376" s="151" t="str">
        <f t="shared" si="25"/>
        <v>GUARULHOS</v>
      </c>
      <c r="AK376" s="155" t="s">
        <v>59</v>
      </c>
      <c r="AL376" s="53">
        <v>-7.4999999999999997E-2</v>
      </c>
      <c r="AM376" s="53" t="str" cm="1">
        <f t="array" ref="AM376">IF(OR(O376&lt;&gt;"", SUMPRODUCT(($AN$2:$AN$561=AN376)*($AL$2:$AL$561&lt;=AL376)) &lt;= (COUNTIF($AN$2:$AN$561,AN376)*0.5)), "SORTEADO", "-")</f>
        <v>SORTEADO</v>
      </c>
      <c r="AN376" s="53" t="str">
        <f t="shared" si="24"/>
        <v>28/04/2026</v>
      </c>
    </row>
    <row r="377" spans="1:40" ht="30" hidden="1" customHeight="1" x14ac:dyDescent="0.2">
      <c r="A377" s="245" t="s">
        <v>197</v>
      </c>
      <c r="B377" s="245">
        <v>2617301874</v>
      </c>
      <c r="C377" s="245" t="s">
        <v>2701</v>
      </c>
      <c r="D377" s="245" t="s">
        <v>110</v>
      </c>
      <c r="E377" s="245" t="s">
        <v>198</v>
      </c>
      <c r="F377" s="245" t="s">
        <v>355</v>
      </c>
      <c r="G377" s="245">
        <v>304</v>
      </c>
      <c r="H377" s="245" t="s">
        <v>3095</v>
      </c>
      <c r="I377" s="245" t="s">
        <v>356</v>
      </c>
      <c r="J377" s="245" t="s">
        <v>2703</v>
      </c>
      <c r="K377" s="246" t="s">
        <v>3078</v>
      </c>
      <c r="L377" s="245" t="s">
        <v>2294</v>
      </c>
      <c r="M377" s="245" t="s">
        <v>3076</v>
      </c>
      <c r="N377" s="245" t="s">
        <v>2759</v>
      </c>
      <c r="O377" s="158" t="s">
        <v>61</v>
      </c>
      <c r="P377" s="92"/>
      <c r="Q377" s="146" t="s">
        <v>61</v>
      </c>
      <c r="R377" s="92"/>
      <c r="S377" s="146" t="s">
        <v>61</v>
      </c>
      <c r="T377" s="92"/>
      <c r="U377" s="146" t="s">
        <v>61</v>
      </c>
      <c r="V377" s="92"/>
      <c r="W377" s="146" t="s">
        <v>61</v>
      </c>
      <c r="X377" s="92"/>
      <c r="Y377" s="146" t="s">
        <v>61</v>
      </c>
      <c r="Z377" s="92"/>
      <c r="AA377" s="146" t="s">
        <v>61</v>
      </c>
      <c r="AB377" s="92"/>
      <c r="AC377" s="146" t="s">
        <v>61</v>
      </c>
      <c r="AD377" s="92"/>
      <c r="AE377" s="146" t="s">
        <v>61</v>
      </c>
      <c r="AF377" s="143" t="str">
        <f t="shared" si="23"/>
        <v>NA</v>
      </c>
      <c r="AG377" s="199" t="str">
        <f t="shared" si="22"/>
        <v>NÃO AVALIADO POR FALHA DE SINCRONISMO</v>
      </c>
      <c r="AH377" s="146" t="s">
        <v>204</v>
      </c>
      <c r="AI377" s="154" t="s">
        <v>6</v>
      </c>
      <c r="AJ377" s="151" t="str">
        <f t="shared" si="25"/>
        <v>GUARULHOS</v>
      </c>
      <c r="AK377" s="155" t="s">
        <v>59</v>
      </c>
      <c r="AL377" s="53">
        <v>-7.5200000000000003E-2</v>
      </c>
      <c r="AM377" s="53" t="str" cm="1">
        <f t="array" ref="AM377">IF(OR(O377&lt;&gt;"", SUMPRODUCT(($AN$2:$AN$561=AN377)*($AL$2:$AL$561&lt;=AL377)) &lt;= (COUNTIF($AN$2:$AN$561,AN377)*0.5)), "SORTEADO", "-")</f>
        <v>SORTEADO</v>
      </c>
      <c r="AN377" s="53" t="str">
        <f t="shared" si="24"/>
        <v>28/04/2026</v>
      </c>
    </row>
    <row r="378" spans="1:40" ht="30" hidden="1" customHeight="1" x14ac:dyDescent="0.2">
      <c r="A378" s="245" t="s">
        <v>197</v>
      </c>
      <c r="B378" s="245">
        <v>2617300773</v>
      </c>
      <c r="C378" s="245" t="s">
        <v>2701</v>
      </c>
      <c r="D378" s="245" t="s">
        <v>110</v>
      </c>
      <c r="E378" s="245" t="s">
        <v>198</v>
      </c>
      <c r="F378" s="245" t="s">
        <v>355</v>
      </c>
      <c r="G378" s="245">
        <v>30</v>
      </c>
      <c r="H378" s="245" t="s">
        <v>1299</v>
      </c>
      <c r="I378" s="245" t="s">
        <v>356</v>
      </c>
      <c r="J378" s="245" t="s">
        <v>2703</v>
      </c>
      <c r="K378" s="246" t="s">
        <v>3075</v>
      </c>
      <c r="L378" s="245" t="s">
        <v>2294</v>
      </c>
      <c r="M378" s="245" t="s">
        <v>3076</v>
      </c>
      <c r="N378" s="245" t="s">
        <v>2759</v>
      </c>
      <c r="O378" s="158" t="s">
        <v>61</v>
      </c>
      <c r="P378" s="92"/>
      <c r="Q378" s="146" t="s">
        <v>61</v>
      </c>
      <c r="R378" s="92"/>
      <c r="S378" s="146" t="s">
        <v>61</v>
      </c>
      <c r="T378" s="92"/>
      <c r="U378" s="146" t="s">
        <v>61</v>
      </c>
      <c r="V378" s="92"/>
      <c r="W378" s="146" t="s">
        <v>61</v>
      </c>
      <c r="X378" s="92"/>
      <c r="Y378" s="146" t="s">
        <v>61</v>
      </c>
      <c r="Z378" s="92"/>
      <c r="AA378" s="146" t="s">
        <v>61</v>
      </c>
      <c r="AB378" s="92"/>
      <c r="AC378" s="146" t="s">
        <v>61</v>
      </c>
      <c r="AD378" s="92"/>
      <c r="AE378" s="146" t="s">
        <v>61</v>
      </c>
      <c r="AF378" s="143" t="str">
        <f t="shared" si="23"/>
        <v>NA</v>
      </c>
      <c r="AG378" s="199" t="str">
        <f t="shared" si="22"/>
        <v>NÃO AVALIADO POR FALHA DE SINCRONISMO</v>
      </c>
      <c r="AH378" s="146" t="s">
        <v>204</v>
      </c>
      <c r="AI378" s="154" t="s">
        <v>6</v>
      </c>
      <c r="AJ378" s="151" t="str">
        <f t="shared" si="25"/>
        <v>GUARULHOS</v>
      </c>
      <c r="AK378" s="155" t="s">
        <v>59</v>
      </c>
      <c r="AL378" s="53">
        <v>-7.5399999999999995E-2</v>
      </c>
      <c r="AM378" s="53" t="str" cm="1">
        <f t="array" ref="AM378">IF(OR(O378&lt;&gt;"", SUMPRODUCT(($AN$2:$AN$561=AN378)*($AL$2:$AL$561&lt;=AL378)) &lt;= (COUNTIF($AN$2:$AN$561,AN378)*0.5)), "SORTEADO", "-")</f>
        <v>SORTEADO</v>
      </c>
      <c r="AN378" s="53" t="str">
        <f t="shared" si="24"/>
        <v>28/04/2026</v>
      </c>
    </row>
    <row r="379" spans="1:40" ht="30" hidden="1" customHeight="1" x14ac:dyDescent="0.2">
      <c r="A379" s="245" t="s">
        <v>197</v>
      </c>
      <c r="B379" s="245">
        <v>2617303282</v>
      </c>
      <c r="C379" s="245" t="s">
        <v>2701</v>
      </c>
      <c r="D379" s="245" t="s">
        <v>110</v>
      </c>
      <c r="E379" s="245" t="s">
        <v>198</v>
      </c>
      <c r="F379" s="245" t="s">
        <v>355</v>
      </c>
      <c r="G379" s="245">
        <v>297</v>
      </c>
      <c r="H379" s="245" t="s">
        <v>1545</v>
      </c>
      <c r="I379" s="245" t="s">
        <v>356</v>
      </c>
      <c r="J379" s="245" t="s">
        <v>2703</v>
      </c>
      <c r="K379" s="246" t="s">
        <v>3079</v>
      </c>
      <c r="L379" s="245" t="s">
        <v>2294</v>
      </c>
      <c r="M379" s="245" t="s">
        <v>3080</v>
      </c>
      <c r="N379" s="245" t="s">
        <v>2759</v>
      </c>
      <c r="O379" s="158" t="s">
        <v>61</v>
      </c>
      <c r="P379" s="92"/>
      <c r="Q379" s="146" t="s">
        <v>61</v>
      </c>
      <c r="R379" s="92"/>
      <c r="S379" s="146" t="s">
        <v>61</v>
      </c>
      <c r="T379" s="92"/>
      <c r="U379" s="146" t="s">
        <v>61</v>
      </c>
      <c r="V379" s="92"/>
      <c r="W379" s="146" t="s">
        <v>61</v>
      </c>
      <c r="X379" s="92"/>
      <c r="Y379" s="146" t="s">
        <v>61</v>
      </c>
      <c r="Z379" s="92"/>
      <c r="AA379" s="146" t="s">
        <v>61</v>
      </c>
      <c r="AB379" s="92"/>
      <c r="AC379" s="146" t="s">
        <v>61</v>
      </c>
      <c r="AD379" s="92"/>
      <c r="AE379" s="146" t="s">
        <v>61</v>
      </c>
      <c r="AF379" s="143" t="str">
        <f t="shared" si="23"/>
        <v>NA</v>
      </c>
      <c r="AG379" s="199" t="str">
        <f t="shared" si="22"/>
        <v>NÃO AVALIADO POR FALHA DE SINCRONISMO</v>
      </c>
      <c r="AH379" s="146" t="s">
        <v>204</v>
      </c>
      <c r="AI379" s="154" t="s">
        <v>6</v>
      </c>
      <c r="AJ379" s="151" t="str">
        <f t="shared" si="25"/>
        <v>GUARULHOS</v>
      </c>
      <c r="AK379" s="155" t="s">
        <v>59</v>
      </c>
      <c r="AL379" s="53">
        <v>-7.5600000000000001E-2</v>
      </c>
      <c r="AM379" s="53" t="str" cm="1">
        <f t="array" ref="AM379">IF(OR(O379&lt;&gt;"", SUMPRODUCT(($AN$2:$AN$561=AN379)*($AL$2:$AL$561&lt;=AL379)) &lt;= (COUNTIF($AN$2:$AN$561,AN379)*0.5)), "SORTEADO", "-")</f>
        <v>SORTEADO</v>
      </c>
      <c r="AN379" s="53" t="str">
        <f t="shared" si="24"/>
        <v>28/04/2026</v>
      </c>
    </row>
    <row r="380" spans="1:40" ht="30" hidden="1" customHeight="1" x14ac:dyDescent="0.2">
      <c r="A380" s="245" t="s">
        <v>197</v>
      </c>
      <c r="B380" s="245">
        <v>2617302956</v>
      </c>
      <c r="C380" s="245" t="s">
        <v>2701</v>
      </c>
      <c r="D380" s="245" t="s">
        <v>110</v>
      </c>
      <c r="E380" s="245" t="s">
        <v>198</v>
      </c>
      <c r="F380" s="245" t="s">
        <v>355</v>
      </c>
      <c r="G380" s="245">
        <v>296</v>
      </c>
      <c r="H380" s="245">
        <v>150</v>
      </c>
      <c r="I380" s="245" t="s">
        <v>356</v>
      </c>
      <c r="J380" s="245" t="s">
        <v>2703</v>
      </c>
      <c r="K380" s="246" t="s">
        <v>3079</v>
      </c>
      <c r="L380" s="245" t="s">
        <v>2294</v>
      </c>
      <c r="M380" s="245" t="s">
        <v>3080</v>
      </c>
      <c r="N380" s="245" t="s">
        <v>2759</v>
      </c>
      <c r="O380" s="158" t="s">
        <v>61</v>
      </c>
      <c r="P380" s="92"/>
      <c r="Q380" s="146" t="s">
        <v>61</v>
      </c>
      <c r="R380" s="92"/>
      <c r="S380" s="146" t="s">
        <v>61</v>
      </c>
      <c r="T380" s="92"/>
      <c r="U380" s="146" t="s">
        <v>61</v>
      </c>
      <c r="V380" s="92"/>
      <c r="W380" s="146" t="s">
        <v>61</v>
      </c>
      <c r="X380" s="92"/>
      <c r="Y380" s="146" t="s">
        <v>61</v>
      </c>
      <c r="Z380" s="92"/>
      <c r="AA380" s="146" t="s">
        <v>61</v>
      </c>
      <c r="AB380" s="92"/>
      <c r="AC380" s="146" t="s">
        <v>61</v>
      </c>
      <c r="AD380" s="92"/>
      <c r="AE380" s="146" t="s">
        <v>61</v>
      </c>
      <c r="AF380" s="143" t="str">
        <f t="shared" si="23"/>
        <v>NA</v>
      </c>
      <c r="AG380" s="199" t="str">
        <f t="shared" si="22"/>
        <v>NÃO AVALIADO POR FALHA DE SINCRONISMO</v>
      </c>
      <c r="AH380" s="146" t="s">
        <v>204</v>
      </c>
      <c r="AI380" s="154" t="s">
        <v>6</v>
      </c>
      <c r="AJ380" s="151" t="str">
        <f t="shared" si="25"/>
        <v>GUARULHOS</v>
      </c>
      <c r="AK380" s="155" t="s">
        <v>59</v>
      </c>
      <c r="AL380" s="53">
        <v>-7.5800000000000006E-2</v>
      </c>
      <c r="AM380" s="53" t="str" cm="1">
        <f t="array" ref="AM380">IF(OR(O380&lt;&gt;"", SUMPRODUCT(($AN$2:$AN$561=AN380)*($AL$2:$AL$561&lt;=AL380)) &lt;= (COUNTIF($AN$2:$AN$561,AN380)*0.5)), "SORTEADO", "-")</f>
        <v>SORTEADO</v>
      </c>
      <c r="AN380" s="53" t="str">
        <f t="shared" si="24"/>
        <v>28/04/2026</v>
      </c>
    </row>
    <row r="381" spans="1:40" ht="30" hidden="1" customHeight="1" x14ac:dyDescent="0.2">
      <c r="A381" s="245" t="s">
        <v>197</v>
      </c>
      <c r="B381" s="245">
        <v>2617302389</v>
      </c>
      <c r="C381" s="245" t="s">
        <v>2701</v>
      </c>
      <c r="D381" s="245" t="s">
        <v>110</v>
      </c>
      <c r="E381" s="245" t="s">
        <v>198</v>
      </c>
      <c r="F381" s="245" t="s">
        <v>355</v>
      </c>
      <c r="G381" s="245">
        <v>289</v>
      </c>
      <c r="H381" s="245" t="s">
        <v>213</v>
      </c>
      <c r="I381" s="245" t="s">
        <v>356</v>
      </c>
      <c r="J381" s="245" t="s">
        <v>2703</v>
      </c>
      <c r="K381" s="246" t="s">
        <v>3078</v>
      </c>
      <c r="L381" s="245" t="s">
        <v>2294</v>
      </c>
      <c r="M381" s="245" t="s">
        <v>3080</v>
      </c>
      <c r="N381" s="245" t="s">
        <v>2759</v>
      </c>
      <c r="O381" s="158" t="s">
        <v>61</v>
      </c>
      <c r="P381" s="92"/>
      <c r="Q381" s="146" t="s">
        <v>61</v>
      </c>
      <c r="R381" s="92"/>
      <c r="S381" s="146" t="s">
        <v>61</v>
      </c>
      <c r="T381" s="92"/>
      <c r="U381" s="146" t="s">
        <v>61</v>
      </c>
      <c r="V381" s="92"/>
      <c r="W381" s="146" t="s">
        <v>61</v>
      </c>
      <c r="X381" s="92"/>
      <c r="Y381" s="146" t="s">
        <v>61</v>
      </c>
      <c r="Z381" s="92"/>
      <c r="AA381" s="146" t="s">
        <v>61</v>
      </c>
      <c r="AB381" s="92"/>
      <c r="AC381" s="146" t="s">
        <v>61</v>
      </c>
      <c r="AD381" s="92"/>
      <c r="AE381" s="146" t="s">
        <v>61</v>
      </c>
      <c r="AF381" s="143" t="str">
        <f t="shared" si="23"/>
        <v>NA</v>
      </c>
      <c r="AG381" s="199" t="str">
        <f t="shared" si="22"/>
        <v>NÃO AVALIADO POR FALHA DE SINCRONISMO</v>
      </c>
      <c r="AH381" s="146" t="s">
        <v>204</v>
      </c>
      <c r="AI381" s="154" t="s">
        <v>6</v>
      </c>
      <c r="AJ381" s="151" t="str">
        <f t="shared" si="25"/>
        <v>GUARULHOS</v>
      </c>
      <c r="AK381" s="155" t="s">
        <v>59</v>
      </c>
      <c r="AL381" s="53">
        <v>-7.5999999999999998E-2</v>
      </c>
      <c r="AM381" s="53" t="str" cm="1">
        <f t="array" ref="AM381">IF(OR(O381&lt;&gt;"", SUMPRODUCT(($AN$2:$AN$561=AN381)*($AL$2:$AL$561&lt;=AL381)) &lt;= (COUNTIF($AN$2:$AN$561,AN381)*0.5)), "SORTEADO", "-")</f>
        <v>SORTEADO</v>
      </c>
      <c r="AN381" s="53" t="str">
        <f t="shared" si="24"/>
        <v>28/04/2026</v>
      </c>
    </row>
    <row r="382" spans="1:40" ht="30" hidden="1" customHeight="1" x14ac:dyDescent="0.2">
      <c r="A382" s="245" t="s">
        <v>197</v>
      </c>
      <c r="B382" s="245">
        <v>2617302663</v>
      </c>
      <c r="C382" s="245" t="s">
        <v>2701</v>
      </c>
      <c r="D382" s="245" t="s">
        <v>110</v>
      </c>
      <c r="E382" s="245" t="s">
        <v>198</v>
      </c>
      <c r="F382" s="245" t="s">
        <v>355</v>
      </c>
      <c r="G382" s="245">
        <v>288</v>
      </c>
      <c r="H382" s="245" t="s">
        <v>276</v>
      </c>
      <c r="I382" s="245" t="s">
        <v>356</v>
      </c>
      <c r="J382" s="245" t="s">
        <v>2703</v>
      </c>
      <c r="K382" s="246" t="s">
        <v>3079</v>
      </c>
      <c r="L382" s="245" t="s">
        <v>2294</v>
      </c>
      <c r="M382" s="245" t="s">
        <v>3080</v>
      </c>
      <c r="N382" s="245" t="s">
        <v>2759</v>
      </c>
      <c r="O382" s="158" t="s">
        <v>61</v>
      </c>
      <c r="P382" s="92"/>
      <c r="Q382" s="146" t="s">
        <v>61</v>
      </c>
      <c r="R382" s="92"/>
      <c r="S382" s="146" t="s">
        <v>61</v>
      </c>
      <c r="T382" s="92"/>
      <c r="U382" s="146" t="s">
        <v>61</v>
      </c>
      <c r="V382" s="92"/>
      <c r="W382" s="146" t="s">
        <v>61</v>
      </c>
      <c r="X382" s="92"/>
      <c r="Y382" s="146" t="s">
        <v>61</v>
      </c>
      <c r="Z382" s="92"/>
      <c r="AA382" s="146" t="s">
        <v>61</v>
      </c>
      <c r="AB382" s="92"/>
      <c r="AC382" s="146" t="s">
        <v>61</v>
      </c>
      <c r="AD382" s="92"/>
      <c r="AE382" s="146" t="s">
        <v>61</v>
      </c>
      <c r="AF382" s="143" t="str">
        <f t="shared" si="23"/>
        <v>NA</v>
      </c>
      <c r="AG382" s="199" t="str">
        <f t="shared" ref="AG382:AG445" si="26">IF(AND(AE382="C",AF382="C"),"UTILIZOU O PDA CORRETAMENTE",IF(AND(AE382="C",AF382="NC"),"UTILIZOU O PDA CORRETAMENTE. NÃO HÁ FOTOS DE TODAS AS ETAPAS",IF(AND(AE382="NC",AF382="NC"),"NÃO UTILIZOU O PDA",IF(AND(AE382="NA",AF382="NA"),"NÃO AVALIADO POR FALHA DE SINCRONISMO"))))</f>
        <v>NÃO AVALIADO POR FALHA DE SINCRONISMO</v>
      </c>
      <c r="AH382" s="146" t="s">
        <v>204</v>
      </c>
      <c r="AI382" s="154" t="s">
        <v>6</v>
      </c>
      <c r="AJ382" s="151" t="str">
        <f t="shared" si="25"/>
        <v>GUARULHOS</v>
      </c>
      <c r="AK382" s="155" t="s">
        <v>59</v>
      </c>
      <c r="AL382" s="53">
        <v>-7.6200000000000004E-2</v>
      </c>
      <c r="AM382" s="53" t="str" cm="1">
        <f t="array" ref="AM382">IF(OR(O382&lt;&gt;"", SUMPRODUCT(($AN$2:$AN$561=AN382)*($AL$2:$AL$561&lt;=AL382)) &lt;= (COUNTIF($AN$2:$AN$561,AN382)*0.5)), "SORTEADO", "-")</f>
        <v>SORTEADO</v>
      </c>
      <c r="AN382" s="53" t="str">
        <f t="shared" si="24"/>
        <v>28/04/2026</v>
      </c>
    </row>
    <row r="383" spans="1:40" ht="30" hidden="1" customHeight="1" x14ac:dyDescent="0.2">
      <c r="A383" s="245" t="s">
        <v>197</v>
      </c>
      <c r="B383" s="245">
        <v>2617302102</v>
      </c>
      <c r="C383" s="245" t="s">
        <v>2701</v>
      </c>
      <c r="D383" s="245" t="s">
        <v>110</v>
      </c>
      <c r="E383" s="245" t="s">
        <v>198</v>
      </c>
      <c r="F383" s="245" t="s">
        <v>355</v>
      </c>
      <c r="G383" s="245">
        <v>283</v>
      </c>
      <c r="H383" s="245" t="s">
        <v>213</v>
      </c>
      <c r="I383" s="245" t="s">
        <v>356</v>
      </c>
      <c r="J383" s="245" t="s">
        <v>2703</v>
      </c>
      <c r="K383" s="246" t="s">
        <v>3075</v>
      </c>
      <c r="L383" s="245" t="s">
        <v>2294</v>
      </c>
      <c r="M383" s="245" t="s">
        <v>3080</v>
      </c>
      <c r="N383" s="245" t="s">
        <v>2759</v>
      </c>
      <c r="O383" s="158" t="s">
        <v>61</v>
      </c>
      <c r="P383" s="92"/>
      <c r="Q383" s="146" t="s">
        <v>61</v>
      </c>
      <c r="R383" s="92"/>
      <c r="S383" s="146" t="s">
        <v>61</v>
      </c>
      <c r="T383" s="92"/>
      <c r="U383" s="146" t="s">
        <v>61</v>
      </c>
      <c r="V383" s="92"/>
      <c r="W383" s="146" t="s">
        <v>61</v>
      </c>
      <c r="X383" s="92"/>
      <c r="Y383" s="146" t="s">
        <v>61</v>
      </c>
      <c r="Z383" s="92"/>
      <c r="AA383" s="146" t="s">
        <v>61</v>
      </c>
      <c r="AB383" s="92"/>
      <c r="AC383" s="146" t="s">
        <v>61</v>
      </c>
      <c r="AD383" s="92"/>
      <c r="AE383" s="146" t="s">
        <v>61</v>
      </c>
      <c r="AF383" s="143" t="str">
        <f t="shared" ref="AF383:AF446" si="27">IF(AND(O383="",Q383="",S383="",U383="",W383="",Y383="",AA383="",AC383=""),"",IF(OR(AND(O383&lt;&gt;"NA",O383&lt;&gt;"C",O383&lt;&gt;"NC",O383&lt;&gt;"SF",O383&lt;&gt;""),AND(Q383&lt;&gt;"NA",Q383&lt;&gt;"C",Q383&lt;&gt;"NC",Q383&lt;&gt;"SF",Q383&lt;&gt;""),AND(S383&lt;&gt;"NA",S383&lt;&gt;"C",S383&lt;&gt;"NC",S383&lt;&gt;"SF",S383&lt;&gt;""),AND(U383&lt;&gt;"NA",U383&lt;&gt;"C",U383&lt;&gt;"NC",U383&lt;&gt;"SF",U383&lt;&gt;""),AND(W383&lt;&gt;"NA",W383&lt;&gt;"C",W383&lt;&gt;"NC",W383&lt;&gt;"SF",W383&lt;&gt;""),AND(Y383&lt;&gt;"NA",Y383&lt;&gt;"C",Y383&lt;&gt;"NC",Y383&lt;&gt;"SF",Y383&lt;&gt;""),AND(AA383&lt;&gt;"NA",AA383&lt;&gt;"C",AA383&lt;&gt;"NC",AA383&lt;&gt;"SF",AA383&lt;&gt;""),AND(AC383&lt;&gt;"NA",AC383&lt;&gt;"C",AC383&lt;&gt;"NC",AC383&lt;&gt;"SF",AC383&lt;&gt;"")),"FALSO",IF(AND(O383="NA",Q383="NA",S383="NA",U383="NA",W383="NA",Y383="NA",AA383="NA",AC383="NA"),"NA",IF(OR(O383="NC",Q383="NC",S383="NC",U383="NC",W383="NC",Y383="NC",AA383="NC",AC383="NC",O383="SF",Q383="SF",S383="SF",U383="SF",W383="SF",Y383="SF",AA383="SF",AC383="SF"),"NC",IF(OR(O383="C",Q383="C",S383="C",U383="C",W383="C",Y383="C",AA383="C",AC383="C"),"C","")))))</f>
        <v>NA</v>
      </c>
      <c r="AG383" s="199" t="str">
        <f t="shared" si="26"/>
        <v>NÃO AVALIADO POR FALHA DE SINCRONISMO</v>
      </c>
      <c r="AH383" s="146" t="s">
        <v>204</v>
      </c>
      <c r="AI383" s="154" t="s">
        <v>6</v>
      </c>
      <c r="AJ383" s="151" t="str">
        <f t="shared" si="25"/>
        <v>GUARULHOS</v>
      </c>
      <c r="AK383" s="155" t="s">
        <v>59</v>
      </c>
      <c r="AL383" s="53">
        <v>-7.6399999999999996E-2</v>
      </c>
      <c r="AM383" s="53" t="str" cm="1">
        <f t="array" ref="AM383">IF(OR(O383&lt;&gt;"", SUMPRODUCT(($AN$2:$AN$561=AN383)*($AL$2:$AL$561&lt;=AL383)) &lt;= (COUNTIF($AN$2:$AN$561,AN383)*0.5)), "SORTEADO", "-")</f>
        <v>SORTEADO</v>
      </c>
      <c r="AN383" s="53" t="str">
        <f t="shared" si="24"/>
        <v>28/04/2026</v>
      </c>
    </row>
    <row r="384" spans="1:40" ht="30" hidden="1" customHeight="1" x14ac:dyDescent="0.2">
      <c r="A384" s="245" t="s">
        <v>197</v>
      </c>
      <c r="B384" s="245">
        <v>2617301943</v>
      </c>
      <c r="C384" s="245" t="s">
        <v>2701</v>
      </c>
      <c r="D384" s="245" t="s">
        <v>110</v>
      </c>
      <c r="E384" s="245" t="s">
        <v>198</v>
      </c>
      <c r="F384" s="245" t="s">
        <v>355</v>
      </c>
      <c r="G384" s="245">
        <v>272</v>
      </c>
      <c r="H384" s="245" t="s">
        <v>3096</v>
      </c>
      <c r="I384" s="245" t="s">
        <v>356</v>
      </c>
      <c r="J384" s="245" t="s">
        <v>2703</v>
      </c>
      <c r="K384" s="246" t="s">
        <v>3078</v>
      </c>
      <c r="L384" s="245" t="s">
        <v>2294</v>
      </c>
      <c r="M384" s="245" t="s">
        <v>3076</v>
      </c>
      <c r="N384" s="245" t="s">
        <v>2759</v>
      </c>
      <c r="O384" s="158" t="s">
        <v>61</v>
      </c>
      <c r="P384" s="92"/>
      <c r="Q384" s="146" t="s">
        <v>61</v>
      </c>
      <c r="R384" s="92"/>
      <c r="S384" s="146" t="s">
        <v>61</v>
      </c>
      <c r="T384" s="92"/>
      <c r="U384" s="146" t="s">
        <v>61</v>
      </c>
      <c r="V384" s="92"/>
      <c r="W384" s="146" t="s">
        <v>61</v>
      </c>
      <c r="X384" s="92"/>
      <c r="Y384" s="146" t="s">
        <v>61</v>
      </c>
      <c r="Z384" s="92"/>
      <c r="AA384" s="146" t="s">
        <v>61</v>
      </c>
      <c r="AB384" s="92"/>
      <c r="AC384" s="146" t="s">
        <v>61</v>
      </c>
      <c r="AD384" s="92"/>
      <c r="AE384" s="146" t="s">
        <v>61</v>
      </c>
      <c r="AF384" s="143" t="str">
        <f t="shared" si="27"/>
        <v>NA</v>
      </c>
      <c r="AG384" s="199" t="str">
        <f t="shared" si="26"/>
        <v>NÃO AVALIADO POR FALHA DE SINCRONISMO</v>
      </c>
      <c r="AH384" s="146" t="s">
        <v>204</v>
      </c>
      <c r="AI384" s="154" t="s">
        <v>6</v>
      </c>
      <c r="AJ384" s="151" t="str">
        <f t="shared" si="25"/>
        <v>GUARULHOS</v>
      </c>
      <c r="AK384" s="155" t="s">
        <v>59</v>
      </c>
      <c r="AL384" s="53">
        <v>-7.6600000000000001E-2</v>
      </c>
      <c r="AM384" s="53" t="str" cm="1">
        <f t="array" ref="AM384">IF(OR(O384&lt;&gt;"", SUMPRODUCT(($AN$2:$AN$561=AN384)*($AL$2:$AL$561&lt;=AL384)) &lt;= (COUNTIF($AN$2:$AN$561,AN384)*0.5)), "SORTEADO", "-")</f>
        <v>SORTEADO</v>
      </c>
      <c r="AN384" s="53" t="str">
        <f t="shared" si="24"/>
        <v>28/04/2026</v>
      </c>
    </row>
    <row r="385" spans="1:40" ht="30" hidden="1" customHeight="1" x14ac:dyDescent="0.2">
      <c r="A385" s="245" t="s">
        <v>197</v>
      </c>
      <c r="B385" s="245">
        <v>2617301736</v>
      </c>
      <c r="C385" s="245" t="s">
        <v>2701</v>
      </c>
      <c r="D385" s="245" t="s">
        <v>110</v>
      </c>
      <c r="E385" s="245" t="s">
        <v>198</v>
      </c>
      <c r="F385" s="245" t="s">
        <v>355</v>
      </c>
      <c r="G385" s="245">
        <v>271</v>
      </c>
      <c r="H385" s="245" t="s">
        <v>213</v>
      </c>
      <c r="I385" s="245" t="s">
        <v>356</v>
      </c>
      <c r="J385" s="245" t="s">
        <v>2703</v>
      </c>
      <c r="K385" s="246" t="s">
        <v>3075</v>
      </c>
      <c r="L385" s="245" t="s">
        <v>2294</v>
      </c>
      <c r="M385" s="245" t="s">
        <v>3076</v>
      </c>
      <c r="N385" s="245" t="s">
        <v>2759</v>
      </c>
      <c r="O385" s="158" t="s">
        <v>61</v>
      </c>
      <c r="P385" s="92"/>
      <c r="Q385" s="146" t="s">
        <v>61</v>
      </c>
      <c r="R385" s="92"/>
      <c r="S385" s="146" t="s">
        <v>61</v>
      </c>
      <c r="T385" s="92"/>
      <c r="U385" s="146" t="s">
        <v>61</v>
      </c>
      <c r="V385" s="92"/>
      <c r="W385" s="146" t="s">
        <v>61</v>
      </c>
      <c r="X385" s="92"/>
      <c r="Y385" s="146" t="s">
        <v>61</v>
      </c>
      <c r="Z385" s="92"/>
      <c r="AA385" s="146" t="s">
        <v>61</v>
      </c>
      <c r="AB385" s="92"/>
      <c r="AC385" s="146" t="s">
        <v>61</v>
      </c>
      <c r="AD385" s="92"/>
      <c r="AE385" s="146" t="s">
        <v>61</v>
      </c>
      <c r="AF385" s="143" t="str">
        <f t="shared" si="27"/>
        <v>NA</v>
      </c>
      <c r="AG385" s="199" t="str">
        <f t="shared" si="26"/>
        <v>NÃO AVALIADO POR FALHA DE SINCRONISMO</v>
      </c>
      <c r="AH385" s="146" t="s">
        <v>204</v>
      </c>
      <c r="AI385" s="154" t="s">
        <v>6</v>
      </c>
      <c r="AJ385" s="151" t="str">
        <f t="shared" si="25"/>
        <v>GUARULHOS</v>
      </c>
      <c r="AK385" s="155" t="s">
        <v>59</v>
      </c>
      <c r="AL385" s="53">
        <v>-7.6799999999999993E-2</v>
      </c>
      <c r="AM385" s="53" t="str" cm="1">
        <f t="array" ref="AM385">IF(OR(O385&lt;&gt;"", SUMPRODUCT(($AN$2:$AN$561=AN385)*($AL$2:$AL$561&lt;=AL385)) &lt;= (COUNTIF($AN$2:$AN$561,AN385)*0.5)), "SORTEADO", "-")</f>
        <v>SORTEADO</v>
      </c>
      <c r="AN385" s="53" t="str">
        <f t="shared" si="24"/>
        <v>28/04/2026</v>
      </c>
    </row>
    <row r="386" spans="1:40" ht="30" hidden="1" customHeight="1" x14ac:dyDescent="0.2">
      <c r="A386" s="245" t="s">
        <v>197</v>
      </c>
      <c r="B386" s="245">
        <v>2617301479</v>
      </c>
      <c r="C386" s="245" t="s">
        <v>2701</v>
      </c>
      <c r="D386" s="245" t="s">
        <v>110</v>
      </c>
      <c r="E386" s="245" t="s">
        <v>198</v>
      </c>
      <c r="F386" s="245" t="s">
        <v>355</v>
      </c>
      <c r="G386" s="245">
        <v>268</v>
      </c>
      <c r="H386" s="245"/>
      <c r="I386" s="245" t="s">
        <v>356</v>
      </c>
      <c r="J386" s="245" t="s">
        <v>2703</v>
      </c>
      <c r="K386" s="246" t="s">
        <v>3097</v>
      </c>
      <c r="L386" s="245" t="s">
        <v>2294</v>
      </c>
      <c r="M386" s="245" t="s">
        <v>3076</v>
      </c>
      <c r="N386" s="245" t="s">
        <v>2759</v>
      </c>
      <c r="O386" s="158" t="s">
        <v>61</v>
      </c>
      <c r="P386" s="92"/>
      <c r="Q386" s="146" t="s">
        <v>61</v>
      </c>
      <c r="R386" s="92"/>
      <c r="S386" s="146" t="s">
        <v>61</v>
      </c>
      <c r="T386" s="92"/>
      <c r="U386" s="146" t="s">
        <v>61</v>
      </c>
      <c r="V386" s="92"/>
      <c r="W386" s="146" t="s">
        <v>61</v>
      </c>
      <c r="X386" s="92"/>
      <c r="Y386" s="146" t="s">
        <v>61</v>
      </c>
      <c r="Z386" s="92"/>
      <c r="AA386" s="146" t="s">
        <v>61</v>
      </c>
      <c r="AB386" s="92"/>
      <c r="AC386" s="146" t="s">
        <v>61</v>
      </c>
      <c r="AD386" s="92"/>
      <c r="AE386" s="146" t="s">
        <v>61</v>
      </c>
      <c r="AF386" s="143" t="str">
        <f t="shared" si="27"/>
        <v>NA</v>
      </c>
      <c r="AG386" s="199" t="str">
        <f t="shared" si="26"/>
        <v>NÃO AVALIADO POR FALHA DE SINCRONISMO</v>
      </c>
      <c r="AH386" s="146" t="s">
        <v>204</v>
      </c>
      <c r="AI386" s="154" t="s">
        <v>6</v>
      </c>
      <c r="AJ386" s="151" t="str">
        <f t="shared" si="25"/>
        <v>GUARULHOS</v>
      </c>
      <c r="AK386" s="155" t="s">
        <v>59</v>
      </c>
      <c r="AL386" s="53">
        <v>-7.6999999999999999E-2</v>
      </c>
      <c r="AM386" s="53" t="str" cm="1">
        <f t="array" ref="AM386">IF(OR(O386&lt;&gt;"", SUMPRODUCT(($AN$2:$AN$561=AN386)*($AL$2:$AL$561&lt;=AL386)) &lt;= (COUNTIF($AN$2:$AN$561,AN386)*0.5)), "SORTEADO", "-")</f>
        <v>SORTEADO</v>
      </c>
      <c r="AN386" s="53" t="str">
        <f t="shared" si="24"/>
        <v>28/04/2026</v>
      </c>
    </row>
    <row r="387" spans="1:40" ht="30" hidden="1" customHeight="1" x14ac:dyDescent="0.2">
      <c r="A387" s="245" t="s">
        <v>197</v>
      </c>
      <c r="B387" s="245">
        <v>2617300873</v>
      </c>
      <c r="C387" s="245" t="s">
        <v>2701</v>
      </c>
      <c r="D387" s="245" t="s">
        <v>110</v>
      </c>
      <c r="E387" s="245" t="s">
        <v>198</v>
      </c>
      <c r="F387" s="245" t="s">
        <v>355</v>
      </c>
      <c r="G387" s="245">
        <v>267</v>
      </c>
      <c r="H387" s="245" t="s">
        <v>3098</v>
      </c>
      <c r="I387" s="245" t="s">
        <v>356</v>
      </c>
      <c r="J387" s="245" t="s">
        <v>2703</v>
      </c>
      <c r="K387" s="246" t="s">
        <v>3075</v>
      </c>
      <c r="L387" s="245" t="s">
        <v>2294</v>
      </c>
      <c r="M387" s="245" t="s">
        <v>3076</v>
      </c>
      <c r="N387" s="245" t="s">
        <v>2759</v>
      </c>
      <c r="O387" s="158" t="s">
        <v>61</v>
      </c>
      <c r="P387" s="92"/>
      <c r="Q387" s="146" t="s">
        <v>61</v>
      </c>
      <c r="R387" s="92"/>
      <c r="S387" s="146" t="s">
        <v>61</v>
      </c>
      <c r="T387" s="92"/>
      <c r="U387" s="146" t="s">
        <v>61</v>
      </c>
      <c r="V387" s="92"/>
      <c r="W387" s="146" t="s">
        <v>61</v>
      </c>
      <c r="X387" s="92"/>
      <c r="Y387" s="146" t="s">
        <v>61</v>
      </c>
      <c r="Z387" s="92"/>
      <c r="AA387" s="146" t="s">
        <v>61</v>
      </c>
      <c r="AB387" s="92"/>
      <c r="AC387" s="146" t="s">
        <v>61</v>
      </c>
      <c r="AD387" s="92"/>
      <c r="AE387" s="146" t="s">
        <v>61</v>
      </c>
      <c r="AF387" s="143" t="str">
        <f t="shared" si="27"/>
        <v>NA</v>
      </c>
      <c r="AG387" s="199" t="str">
        <f t="shared" si="26"/>
        <v>NÃO AVALIADO POR FALHA DE SINCRONISMO</v>
      </c>
      <c r="AH387" s="146" t="s">
        <v>204</v>
      </c>
      <c r="AI387" s="154" t="s">
        <v>6</v>
      </c>
      <c r="AJ387" s="151" t="str">
        <f t="shared" si="25"/>
        <v>GUARULHOS</v>
      </c>
      <c r="AK387" s="155" t="s">
        <v>59</v>
      </c>
      <c r="AL387" s="53">
        <v>-7.7200000000000005E-2</v>
      </c>
      <c r="AM387" s="53" t="str" cm="1">
        <f t="array" ref="AM387">IF(OR(O387&lt;&gt;"", SUMPRODUCT(($AN$2:$AN$561=AN387)*($AL$2:$AL$561&lt;=AL387)) &lt;= (COUNTIF($AN$2:$AN$561,AN387)*0.5)), "SORTEADO", "-")</f>
        <v>SORTEADO</v>
      </c>
      <c r="AN387" s="53" t="str">
        <f t="shared" si="24"/>
        <v>28/04/2026</v>
      </c>
    </row>
    <row r="388" spans="1:40" ht="30" hidden="1" customHeight="1" x14ac:dyDescent="0.2">
      <c r="A388" s="245" t="s">
        <v>197</v>
      </c>
      <c r="B388" s="245">
        <v>2617301358</v>
      </c>
      <c r="C388" s="245" t="s">
        <v>2701</v>
      </c>
      <c r="D388" s="245" t="s">
        <v>110</v>
      </c>
      <c r="E388" s="245" t="s">
        <v>198</v>
      </c>
      <c r="F388" s="245" t="s">
        <v>355</v>
      </c>
      <c r="G388" s="245">
        <v>262</v>
      </c>
      <c r="H388" s="245"/>
      <c r="I388" s="245" t="s">
        <v>356</v>
      </c>
      <c r="J388" s="245" t="s">
        <v>2703</v>
      </c>
      <c r="K388" s="246" t="s">
        <v>3078</v>
      </c>
      <c r="L388" s="245" t="s">
        <v>2294</v>
      </c>
      <c r="M388" s="245" t="s">
        <v>3099</v>
      </c>
      <c r="N388" s="245" t="s">
        <v>2759</v>
      </c>
      <c r="O388" s="158" t="s">
        <v>61</v>
      </c>
      <c r="P388" s="92"/>
      <c r="Q388" s="146" t="s">
        <v>61</v>
      </c>
      <c r="R388" s="92"/>
      <c r="S388" s="146" t="s">
        <v>61</v>
      </c>
      <c r="T388" s="92"/>
      <c r="U388" s="146" t="s">
        <v>61</v>
      </c>
      <c r="V388" s="92"/>
      <c r="W388" s="146" t="s">
        <v>61</v>
      </c>
      <c r="X388" s="92"/>
      <c r="Y388" s="146" t="s">
        <v>61</v>
      </c>
      <c r="Z388" s="92"/>
      <c r="AA388" s="146" t="s">
        <v>61</v>
      </c>
      <c r="AB388" s="92"/>
      <c r="AC388" s="146" t="s">
        <v>61</v>
      </c>
      <c r="AD388" s="92"/>
      <c r="AE388" s="146" t="s">
        <v>61</v>
      </c>
      <c r="AF388" s="143" t="str">
        <f t="shared" si="27"/>
        <v>NA</v>
      </c>
      <c r="AG388" s="199" t="str">
        <f t="shared" si="26"/>
        <v>NÃO AVALIADO POR FALHA DE SINCRONISMO</v>
      </c>
      <c r="AH388" s="146" t="s">
        <v>204</v>
      </c>
      <c r="AI388" s="154" t="s">
        <v>6</v>
      </c>
      <c r="AJ388" s="151" t="str">
        <f t="shared" si="25"/>
        <v>GUARULHOS</v>
      </c>
      <c r="AK388" s="155" t="s">
        <v>59</v>
      </c>
      <c r="AL388" s="53">
        <v>-7.7399999999999997E-2</v>
      </c>
      <c r="AM388" s="53" t="str" cm="1">
        <f t="array" ref="AM388">IF(OR(O388&lt;&gt;"", SUMPRODUCT(($AN$2:$AN$561=AN388)*($AL$2:$AL$561&lt;=AL388)) &lt;= (COUNTIF($AN$2:$AN$561,AN388)*0.5)), "SORTEADO", "-")</f>
        <v>SORTEADO</v>
      </c>
      <c r="AN388" s="53" t="str">
        <f t="shared" si="24"/>
        <v>28/04/2026</v>
      </c>
    </row>
    <row r="389" spans="1:40" ht="30" hidden="1" customHeight="1" x14ac:dyDescent="0.2">
      <c r="A389" s="245" t="s">
        <v>197</v>
      </c>
      <c r="B389" s="245">
        <v>2617300680</v>
      </c>
      <c r="C389" s="245" t="s">
        <v>2701</v>
      </c>
      <c r="D389" s="245" t="s">
        <v>110</v>
      </c>
      <c r="E389" s="245" t="s">
        <v>198</v>
      </c>
      <c r="F389" s="245" t="s">
        <v>355</v>
      </c>
      <c r="G389" s="245">
        <v>261</v>
      </c>
      <c r="H389" s="245" t="s">
        <v>213</v>
      </c>
      <c r="I389" s="245" t="s">
        <v>356</v>
      </c>
      <c r="J389" s="245" t="s">
        <v>2703</v>
      </c>
      <c r="K389" s="246" t="s">
        <v>3078</v>
      </c>
      <c r="L389" s="245" t="s">
        <v>2294</v>
      </c>
      <c r="M389" s="245" t="s">
        <v>3076</v>
      </c>
      <c r="N389" s="245" t="s">
        <v>2759</v>
      </c>
      <c r="O389" s="158" t="s">
        <v>61</v>
      </c>
      <c r="P389" s="92"/>
      <c r="Q389" s="146" t="s">
        <v>61</v>
      </c>
      <c r="R389" s="92"/>
      <c r="S389" s="146" t="s">
        <v>61</v>
      </c>
      <c r="T389" s="92"/>
      <c r="U389" s="146" t="s">
        <v>61</v>
      </c>
      <c r="V389" s="92"/>
      <c r="W389" s="146" t="s">
        <v>61</v>
      </c>
      <c r="X389" s="92"/>
      <c r="Y389" s="146" t="s">
        <v>61</v>
      </c>
      <c r="Z389" s="92"/>
      <c r="AA389" s="146" t="s">
        <v>61</v>
      </c>
      <c r="AB389" s="92"/>
      <c r="AC389" s="146" t="s">
        <v>61</v>
      </c>
      <c r="AD389" s="92"/>
      <c r="AE389" s="146" t="s">
        <v>61</v>
      </c>
      <c r="AF389" s="143" t="str">
        <f t="shared" si="27"/>
        <v>NA</v>
      </c>
      <c r="AG389" s="199" t="str">
        <f t="shared" si="26"/>
        <v>NÃO AVALIADO POR FALHA DE SINCRONISMO</v>
      </c>
      <c r="AH389" s="146" t="s">
        <v>204</v>
      </c>
      <c r="AI389" s="154" t="s">
        <v>6</v>
      </c>
      <c r="AJ389" s="151" t="str">
        <f t="shared" si="25"/>
        <v>GUARULHOS</v>
      </c>
      <c r="AK389" s="155" t="s">
        <v>59</v>
      </c>
      <c r="AL389" s="53">
        <v>-7.7600000000000002E-2</v>
      </c>
      <c r="AM389" s="53" t="str" cm="1">
        <f t="array" ref="AM389">IF(OR(O389&lt;&gt;"", SUMPRODUCT(($AN$2:$AN$561=AN389)*($AL$2:$AL$561&lt;=AL389)) &lt;= (COUNTIF($AN$2:$AN$561,AN389)*0.5)), "SORTEADO", "-")</f>
        <v>SORTEADO</v>
      </c>
      <c r="AN389" s="53" t="str">
        <f t="shared" si="24"/>
        <v>28/04/2026</v>
      </c>
    </row>
    <row r="390" spans="1:40" ht="30" hidden="1" customHeight="1" x14ac:dyDescent="0.2">
      <c r="A390" s="245" t="s">
        <v>197</v>
      </c>
      <c r="B390" s="245">
        <v>2617300368</v>
      </c>
      <c r="C390" s="245" t="s">
        <v>2701</v>
      </c>
      <c r="D390" s="245" t="s">
        <v>110</v>
      </c>
      <c r="E390" s="245" t="s">
        <v>198</v>
      </c>
      <c r="F390" s="245" t="s">
        <v>355</v>
      </c>
      <c r="G390" s="245">
        <v>250</v>
      </c>
      <c r="H390" s="245" t="s">
        <v>3100</v>
      </c>
      <c r="I390" s="245" t="s">
        <v>356</v>
      </c>
      <c r="J390" s="245" t="s">
        <v>2703</v>
      </c>
      <c r="K390" s="246" t="s">
        <v>3101</v>
      </c>
      <c r="L390" s="245" t="s">
        <v>2294</v>
      </c>
      <c r="M390" s="245" t="s">
        <v>3076</v>
      </c>
      <c r="N390" s="245" t="s">
        <v>2759</v>
      </c>
      <c r="O390" s="158" t="s">
        <v>61</v>
      </c>
      <c r="P390" s="92"/>
      <c r="Q390" s="146" t="s">
        <v>61</v>
      </c>
      <c r="R390" s="92"/>
      <c r="S390" s="146" t="s">
        <v>61</v>
      </c>
      <c r="T390" s="92"/>
      <c r="U390" s="146" t="s">
        <v>61</v>
      </c>
      <c r="V390" s="92"/>
      <c r="W390" s="146" t="s">
        <v>61</v>
      </c>
      <c r="X390" s="92"/>
      <c r="Y390" s="146" t="s">
        <v>61</v>
      </c>
      <c r="Z390" s="92"/>
      <c r="AA390" s="146" t="s">
        <v>61</v>
      </c>
      <c r="AB390" s="92"/>
      <c r="AC390" s="146" t="s">
        <v>61</v>
      </c>
      <c r="AD390" s="92"/>
      <c r="AE390" s="146" t="s">
        <v>61</v>
      </c>
      <c r="AF390" s="143" t="str">
        <f t="shared" si="27"/>
        <v>NA</v>
      </c>
      <c r="AG390" s="199" t="str">
        <f t="shared" si="26"/>
        <v>NÃO AVALIADO POR FALHA DE SINCRONISMO</v>
      </c>
      <c r="AH390" s="146" t="s">
        <v>204</v>
      </c>
      <c r="AI390" s="154" t="s">
        <v>6</v>
      </c>
      <c r="AJ390" s="151" t="str">
        <f t="shared" si="25"/>
        <v>GUARULHOS</v>
      </c>
      <c r="AK390" s="155" t="s">
        <v>59</v>
      </c>
      <c r="AL390" s="53">
        <v>-7.7799999999999994E-2</v>
      </c>
      <c r="AM390" s="53" t="str" cm="1">
        <f t="array" ref="AM390">IF(OR(O390&lt;&gt;"", SUMPRODUCT(($AN$2:$AN$561=AN390)*($AL$2:$AL$561&lt;=AL390)) &lt;= (COUNTIF($AN$2:$AN$561,AN390)*0.5)), "SORTEADO", "-")</f>
        <v>SORTEADO</v>
      </c>
      <c r="AN390" s="53" t="str">
        <f t="shared" si="24"/>
        <v>28/04/2026</v>
      </c>
    </row>
    <row r="391" spans="1:40" ht="30" hidden="1" customHeight="1" x14ac:dyDescent="0.2">
      <c r="A391" s="245" t="s">
        <v>197</v>
      </c>
      <c r="B391" s="245">
        <v>2617300106</v>
      </c>
      <c r="C391" s="245" t="s">
        <v>2701</v>
      </c>
      <c r="D391" s="245" t="s">
        <v>110</v>
      </c>
      <c r="E391" s="245" t="s">
        <v>198</v>
      </c>
      <c r="F391" s="245" t="s">
        <v>355</v>
      </c>
      <c r="G391" s="245">
        <v>249</v>
      </c>
      <c r="H391" s="245" t="s">
        <v>3102</v>
      </c>
      <c r="I391" s="245" t="s">
        <v>356</v>
      </c>
      <c r="J391" s="245" t="s">
        <v>2703</v>
      </c>
      <c r="K391" s="246" t="s">
        <v>3075</v>
      </c>
      <c r="L391" s="245" t="s">
        <v>2294</v>
      </c>
      <c r="M391" s="245" t="s">
        <v>3076</v>
      </c>
      <c r="N391" s="245" t="s">
        <v>2759</v>
      </c>
      <c r="O391" s="158" t="s">
        <v>61</v>
      </c>
      <c r="P391" s="92"/>
      <c r="Q391" s="146" t="s">
        <v>61</v>
      </c>
      <c r="R391" s="92"/>
      <c r="S391" s="146" t="s">
        <v>61</v>
      </c>
      <c r="T391" s="92"/>
      <c r="U391" s="146" t="s">
        <v>61</v>
      </c>
      <c r="V391" s="92"/>
      <c r="W391" s="146" t="s">
        <v>61</v>
      </c>
      <c r="X391" s="92"/>
      <c r="Y391" s="146" t="s">
        <v>61</v>
      </c>
      <c r="Z391" s="92"/>
      <c r="AA391" s="146" t="s">
        <v>61</v>
      </c>
      <c r="AB391" s="92"/>
      <c r="AC391" s="146" t="s">
        <v>61</v>
      </c>
      <c r="AD391" s="92"/>
      <c r="AE391" s="146" t="s">
        <v>61</v>
      </c>
      <c r="AF391" s="143" t="str">
        <f t="shared" si="27"/>
        <v>NA</v>
      </c>
      <c r="AG391" s="199" t="str">
        <f t="shared" si="26"/>
        <v>NÃO AVALIADO POR FALHA DE SINCRONISMO</v>
      </c>
      <c r="AH391" s="146" t="s">
        <v>204</v>
      </c>
      <c r="AI391" s="154" t="s">
        <v>6</v>
      </c>
      <c r="AJ391" s="151" t="str">
        <f t="shared" si="25"/>
        <v>GUARULHOS</v>
      </c>
      <c r="AK391" s="155" t="s">
        <v>59</v>
      </c>
      <c r="AL391" s="53">
        <v>-7.8E-2</v>
      </c>
      <c r="AM391" s="53" t="str" cm="1">
        <f t="array" ref="AM391">IF(OR(O391&lt;&gt;"", SUMPRODUCT(($AN$2:$AN$561=AN391)*($AL$2:$AL$561&lt;=AL391)) &lt;= (COUNTIF($AN$2:$AN$561,AN391)*0.5)), "SORTEADO", "-")</f>
        <v>SORTEADO</v>
      </c>
      <c r="AN391" s="53" t="str">
        <f t="shared" si="24"/>
        <v>28/04/2026</v>
      </c>
    </row>
    <row r="392" spans="1:40" ht="30" hidden="1" customHeight="1" x14ac:dyDescent="0.2">
      <c r="A392" s="245" t="s">
        <v>197</v>
      </c>
      <c r="B392" s="245">
        <v>2617299963</v>
      </c>
      <c r="C392" s="245" t="s">
        <v>2701</v>
      </c>
      <c r="D392" s="245" t="s">
        <v>110</v>
      </c>
      <c r="E392" s="245" t="s">
        <v>198</v>
      </c>
      <c r="F392" s="245" t="s">
        <v>355</v>
      </c>
      <c r="G392" s="245">
        <v>244</v>
      </c>
      <c r="H392" s="245"/>
      <c r="I392" s="245" t="s">
        <v>356</v>
      </c>
      <c r="J392" s="245" t="s">
        <v>2703</v>
      </c>
      <c r="K392" s="246" t="s">
        <v>3075</v>
      </c>
      <c r="L392" s="245" t="s">
        <v>2294</v>
      </c>
      <c r="M392" s="245" t="s">
        <v>3076</v>
      </c>
      <c r="N392" s="245" t="s">
        <v>2759</v>
      </c>
      <c r="O392" s="158" t="s">
        <v>61</v>
      </c>
      <c r="P392" s="92"/>
      <c r="Q392" s="146" t="s">
        <v>61</v>
      </c>
      <c r="R392" s="92"/>
      <c r="S392" s="146" t="s">
        <v>61</v>
      </c>
      <c r="T392" s="92"/>
      <c r="U392" s="146" t="s">
        <v>61</v>
      </c>
      <c r="V392" s="92"/>
      <c r="W392" s="146" t="s">
        <v>61</v>
      </c>
      <c r="X392" s="92"/>
      <c r="Y392" s="146" t="s">
        <v>61</v>
      </c>
      <c r="Z392" s="92"/>
      <c r="AA392" s="146" t="s">
        <v>61</v>
      </c>
      <c r="AB392" s="92"/>
      <c r="AC392" s="146" t="s">
        <v>61</v>
      </c>
      <c r="AD392" s="92"/>
      <c r="AE392" s="146" t="s">
        <v>61</v>
      </c>
      <c r="AF392" s="143" t="str">
        <f t="shared" si="27"/>
        <v>NA</v>
      </c>
      <c r="AG392" s="199" t="str">
        <f t="shared" si="26"/>
        <v>NÃO AVALIADO POR FALHA DE SINCRONISMO</v>
      </c>
      <c r="AH392" s="146" t="s">
        <v>204</v>
      </c>
      <c r="AI392" s="154" t="s">
        <v>6</v>
      </c>
      <c r="AJ392" s="151" t="str">
        <f t="shared" si="25"/>
        <v>GUARULHOS</v>
      </c>
      <c r="AK392" s="155" t="s">
        <v>59</v>
      </c>
      <c r="AL392" s="53">
        <v>-7.8200000000000006E-2</v>
      </c>
      <c r="AM392" s="53" t="str" cm="1">
        <f t="array" ref="AM392">IF(OR(O392&lt;&gt;"", SUMPRODUCT(($AN$2:$AN$561=AN392)*($AL$2:$AL$561&lt;=AL392)) &lt;= (COUNTIF($AN$2:$AN$561,AN392)*0.5)), "SORTEADO", "-")</f>
        <v>SORTEADO</v>
      </c>
      <c r="AN392" s="53" t="str">
        <f t="shared" si="24"/>
        <v>28/04/2026</v>
      </c>
    </row>
    <row r="393" spans="1:40" ht="30" hidden="1" customHeight="1" x14ac:dyDescent="0.2">
      <c r="A393" s="245" t="s">
        <v>197</v>
      </c>
      <c r="B393" s="245">
        <v>2617302936</v>
      </c>
      <c r="C393" s="245" t="s">
        <v>2701</v>
      </c>
      <c r="D393" s="245" t="s">
        <v>110</v>
      </c>
      <c r="E393" s="245" t="s">
        <v>198</v>
      </c>
      <c r="F393" s="245" t="s">
        <v>355</v>
      </c>
      <c r="G393" s="245">
        <v>317</v>
      </c>
      <c r="H393" s="245" t="s">
        <v>3103</v>
      </c>
      <c r="I393" s="245" t="s">
        <v>356</v>
      </c>
      <c r="J393" s="245" t="s">
        <v>2703</v>
      </c>
      <c r="K393" s="246" t="s">
        <v>3079</v>
      </c>
      <c r="L393" s="245" t="s">
        <v>2294</v>
      </c>
      <c r="M393" s="245" t="s">
        <v>3080</v>
      </c>
      <c r="N393" s="245" t="s">
        <v>2759</v>
      </c>
      <c r="O393" s="158" t="s">
        <v>61</v>
      </c>
      <c r="P393" s="92"/>
      <c r="Q393" s="146" t="s">
        <v>61</v>
      </c>
      <c r="R393" s="92"/>
      <c r="S393" s="146" t="s">
        <v>61</v>
      </c>
      <c r="T393" s="92"/>
      <c r="U393" s="146" t="s">
        <v>61</v>
      </c>
      <c r="V393" s="92"/>
      <c r="W393" s="146" t="s">
        <v>61</v>
      </c>
      <c r="X393" s="92"/>
      <c r="Y393" s="146" t="s">
        <v>61</v>
      </c>
      <c r="Z393" s="92"/>
      <c r="AA393" s="146" t="s">
        <v>61</v>
      </c>
      <c r="AB393" s="92"/>
      <c r="AC393" s="146" t="s">
        <v>61</v>
      </c>
      <c r="AD393" s="92"/>
      <c r="AE393" s="146" t="s">
        <v>61</v>
      </c>
      <c r="AF393" s="143" t="str">
        <f t="shared" si="27"/>
        <v>NA</v>
      </c>
      <c r="AG393" s="199" t="str">
        <f t="shared" si="26"/>
        <v>NÃO AVALIADO POR FALHA DE SINCRONISMO</v>
      </c>
      <c r="AH393" s="146" t="s">
        <v>204</v>
      </c>
      <c r="AI393" s="154" t="s">
        <v>6</v>
      </c>
      <c r="AJ393" s="151" t="str">
        <f t="shared" si="25"/>
        <v>GUARULHOS</v>
      </c>
      <c r="AK393" s="155" t="s">
        <v>59</v>
      </c>
      <c r="AL393" s="53">
        <v>-7.8399999999999997E-2</v>
      </c>
      <c r="AM393" s="53" t="str" cm="1">
        <f t="array" ref="AM393">IF(OR(O393&lt;&gt;"", SUMPRODUCT(($AN$2:$AN$561=AN393)*($AL$2:$AL$561&lt;=AL393)) &lt;= (COUNTIF($AN$2:$AN$561,AN393)*0.5)), "SORTEADO", "-")</f>
        <v>SORTEADO</v>
      </c>
      <c r="AN393" s="53" t="str">
        <f t="shared" si="24"/>
        <v>28/04/2026</v>
      </c>
    </row>
    <row r="394" spans="1:40" ht="30" hidden="1" customHeight="1" x14ac:dyDescent="0.2">
      <c r="A394" s="245" t="s">
        <v>197</v>
      </c>
      <c r="B394" s="245">
        <v>2617302992</v>
      </c>
      <c r="C394" s="245" t="s">
        <v>2701</v>
      </c>
      <c r="D394" s="245" t="s">
        <v>110</v>
      </c>
      <c r="E394" s="245" t="s">
        <v>198</v>
      </c>
      <c r="F394" s="245" t="s">
        <v>355</v>
      </c>
      <c r="G394" s="245">
        <v>99</v>
      </c>
      <c r="H394" s="245" t="s">
        <v>3104</v>
      </c>
      <c r="I394" s="245" t="s">
        <v>356</v>
      </c>
      <c r="J394" s="245" t="s">
        <v>2703</v>
      </c>
      <c r="K394" s="246" t="s">
        <v>3079</v>
      </c>
      <c r="L394" s="245" t="s">
        <v>2294</v>
      </c>
      <c r="M394" s="245" t="s">
        <v>3080</v>
      </c>
      <c r="N394" s="245" t="s">
        <v>2759</v>
      </c>
      <c r="O394" s="158" t="s">
        <v>61</v>
      </c>
      <c r="P394" s="92"/>
      <c r="Q394" s="146" t="s">
        <v>61</v>
      </c>
      <c r="R394" s="92"/>
      <c r="S394" s="146" t="s">
        <v>61</v>
      </c>
      <c r="T394" s="92"/>
      <c r="U394" s="146" t="s">
        <v>61</v>
      </c>
      <c r="V394" s="92"/>
      <c r="W394" s="146" t="s">
        <v>61</v>
      </c>
      <c r="X394" s="92"/>
      <c r="Y394" s="146" t="s">
        <v>61</v>
      </c>
      <c r="Z394" s="92"/>
      <c r="AA394" s="146" t="s">
        <v>61</v>
      </c>
      <c r="AB394" s="92"/>
      <c r="AC394" s="146" t="s">
        <v>61</v>
      </c>
      <c r="AD394" s="92"/>
      <c r="AE394" s="146" t="s">
        <v>61</v>
      </c>
      <c r="AF394" s="143" t="str">
        <f t="shared" si="27"/>
        <v>NA</v>
      </c>
      <c r="AG394" s="199" t="str">
        <f t="shared" si="26"/>
        <v>NÃO AVALIADO POR FALHA DE SINCRONISMO</v>
      </c>
      <c r="AH394" s="146" t="s">
        <v>204</v>
      </c>
      <c r="AI394" s="154" t="s">
        <v>6</v>
      </c>
      <c r="AJ394" s="151" t="str">
        <f t="shared" si="25"/>
        <v>GUARULHOS</v>
      </c>
      <c r="AK394" s="155" t="s">
        <v>59</v>
      </c>
      <c r="AL394" s="53">
        <v>-7.8600000000000003E-2</v>
      </c>
      <c r="AM394" s="53" t="str" cm="1">
        <f t="array" ref="AM394">IF(OR(O394&lt;&gt;"", SUMPRODUCT(($AN$2:$AN$561=AN394)*($AL$2:$AL$561&lt;=AL394)) &lt;= (COUNTIF($AN$2:$AN$561,AN394)*0.5)), "SORTEADO", "-")</f>
        <v>SORTEADO</v>
      </c>
      <c r="AN394" s="53" t="str">
        <f t="shared" si="24"/>
        <v>28/04/2026</v>
      </c>
    </row>
    <row r="395" spans="1:40" ht="30" hidden="1" customHeight="1" x14ac:dyDescent="0.2">
      <c r="A395" s="245" t="s">
        <v>197</v>
      </c>
      <c r="B395" s="245">
        <v>2617302667</v>
      </c>
      <c r="C395" s="245" t="s">
        <v>2701</v>
      </c>
      <c r="D395" s="245" t="s">
        <v>110</v>
      </c>
      <c r="E395" s="245" t="s">
        <v>198</v>
      </c>
      <c r="F395" s="245" t="s">
        <v>355</v>
      </c>
      <c r="G395" s="245">
        <v>93</v>
      </c>
      <c r="H395" s="245" t="s">
        <v>1049</v>
      </c>
      <c r="I395" s="245" t="s">
        <v>356</v>
      </c>
      <c r="J395" s="245" t="s">
        <v>2703</v>
      </c>
      <c r="K395" s="246" t="s">
        <v>3079</v>
      </c>
      <c r="L395" s="245" t="s">
        <v>2294</v>
      </c>
      <c r="M395" s="245" t="s">
        <v>3080</v>
      </c>
      <c r="N395" s="245" t="s">
        <v>2759</v>
      </c>
      <c r="O395" s="158" t="s">
        <v>61</v>
      </c>
      <c r="P395" s="92"/>
      <c r="Q395" s="146" t="s">
        <v>61</v>
      </c>
      <c r="R395" s="92"/>
      <c r="S395" s="146" t="s">
        <v>61</v>
      </c>
      <c r="T395" s="92"/>
      <c r="U395" s="146" t="s">
        <v>61</v>
      </c>
      <c r="V395" s="92"/>
      <c r="W395" s="146" t="s">
        <v>61</v>
      </c>
      <c r="X395" s="92"/>
      <c r="Y395" s="146" t="s">
        <v>61</v>
      </c>
      <c r="Z395" s="92"/>
      <c r="AA395" s="146" t="s">
        <v>61</v>
      </c>
      <c r="AB395" s="92"/>
      <c r="AC395" s="146" t="s">
        <v>61</v>
      </c>
      <c r="AD395" s="92"/>
      <c r="AE395" s="146" t="s">
        <v>61</v>
      </c>
      <c r="AF395" s="143" t="str">
        <f t="shared" si="27"/>
        <v>NA</v>
      </c>
      <c r="AG395" s="199" t="str">
        <f t="shared" si="26"/>
        <v>NÃO AVALIADO POR FALHA DE SINCRONISMO</v>
      </c>
      <c r="AH395" s="146" t="s">
        <v>204</v>
      </c>
      <c r="AI395" s="154" t="s">
        <v>6</v>
      </c>
      <c r="AJ395" s="151" t="str">
        <f t="shared" si="25"/>
        <v>GUARULHOS</v>
      </c>
      <c r="AK395" s="155" t="s">
        <v>59</v>
      </c>
      <c r="AL395" s="53">
        <v>-7.8799999999999995E-2</v>
      </c>
      <c r="AM395" s="53" t="str" cm="1">
        <f t="array" ref="AM395">IF(OR(O395&lt;&gt;"", SUMPRODUCT(($AN$2:$AN$561=AN395)*($AL$2:$AL$561&lt;=AL395)) &lt;= (COUNTIF($AN$2:$AN$561,AN395)*0.5)), "SORTEADO", "-")</f>
        <v>SORTEADO</v>
      </c>
      <c r="AN395" s="53" t="str">
        <f t="shared" si="24"/>
        <v>28/04/2026</v>
      </c>
    </row>
    <row r="396" spans="1:40" ht="30" hidden="1" customHeight="1" x14ac:dyDescent="0.2">
      <c r="A396" s="245" t="s">
        <v>197</v>
      </c>
      <c r="B396" s="245">
        <v>2617302503</v>
      </c>
      <c r="C396" s="245" t="s">
        <v>2701</v>
      </c>
      <c r="D396" s="245" t="s">
        <v>110</v>
      </c>
      <c r="E396" s="245" t="s">
        <v>198</v>
      </c>
      <c r="F396" s="245" t="s">
        <v>355</v>
      </c>
      <c r="G396" s="245">
        <v>90</v>
      </c>
      <c r="H396" s="245" t="s">
        <v>3105</v>
      </c>
      <c r="I396" s="245" t="s">
        <v>356</v>
      </c>
      <c r="J396" s="245" t="s">
        <v>2703</v>
      </c>
      <c r="K396" s="246" t="s">
        <v>3078</v>
      </c>
      <c r="L396" s="245" t="s">
        <v>2294</v>
      </c>
      <c r="M396" s="245" t="s">
        <v>3080</v>
      </c>
      <c r="N396" s="245" t="s">
        <v>2759</v>
      </c>
      <c r="O396" s="158" t="s">
        <v>61</v>
      </c>
      <c r="P396" s="92"/>
      <c r="Q396" s="146" t="s">
        <v>61</v>
      </c>
      <c r="R396" s="92"/>
      <c r="S396" s="146" t="s">
        <v>61</v>
      </c>
      <c r="T396" s="92"/>
      <c r="U396" s="146" t="s">
        <v>61</v>
      </c>
      <c r="V396" s="92"/>
      <c r="W396" s="146" t="s">
        <v>61</v>
      </c>
      <c r="X396" s="92"/>
      <c r="Y396" s="146" t="s">
        <v>61</v>
      </c>
      <c r="Z396" s="92"/>
      <c r="AA396" s="146" t="s">
        <v>61</v>
      </c>
      <c r="AB396" s="92"/>
      <c r="AC396" s="146" t="s">
        <v>61</v>
      </c>
      <c r="AD396" s="92"/>
      <c r="AE396" s="146" t="s">
        <v>61</v>
      </c>
      <c r="AF396" s="143" t="str">
        <f t="shared" si="27"/>
        <v>NA</v>
      </c>
      <c r="AG396" s="199" t="str">
        <f t="shared" si="26"/>
        <v>NÃO AVALIADO POR FALHA DE SINCRONISMO</v>
      </c>
      <c r="AH396" s="146" t="s">
        <v>204</v>
      </c>
      <c r="AI396" s="154" t="s">
        <v>6</v>
      </c>
      <c r="AJ396" s="151" t="str">
        <f t="shared" si="25"/>
        <v>GUARULHOS</v>
      </c>
      <c r="AK396" s="155" t="s">
        <v>59</v>
      </c>
      <c r="AL396" s="53">
        <v>-7.9000000000000001E-2</v>
      </c>
      <c r="AM396" s="53" t="str" cm="1">
        <f t="array" ref="AM396">IF(OR(O396&lt;&gt;"", SUMPRODUCT(($AN$2:$AN$561=AN396)*($AL$2:$AL$561&lt;=AL396)) &lt;= (COUNTIF($AN$2:$AN$561,AN396)*0.5)), "SORTEADO", "-")</f>
        <v>SORTEADO</v>
      </c>
      <c r="AN396" s="53" t="str">
        <f t="shared" si="24"/>
        <v>28/04/2026</v>
      </c>
    </row>
    <row r="397" spans="1:40" ht="30" hidden="1" customHeight="1" x14ac:dyDescent="0.2">
      <c r="A397" s="245" t="s">
        <v>197</v>
      </c>
      <c r="B397" s="245">
        <v>2617302134</v>
      </c>
      <c r="C397" s="245" t="s">
        <v>2701</v>
      </c>
      <c r="D397" s="245" t="s">
        <v>110</v>
      </c>
      <c r="E397" s="245" t="s">
        <v>198</v>
      </c>
      <c r="F397" s="245" t="s">
        <v>355</v>
      </c>
      <c r="G397" s="245">
        <v>77</v>
      </c>
      <c r="H397" s="245" t="s">
        <v>3106</v>
      </c>
      <c r="I397" s="245" t="s">
        <v>356</v>
      </c>
      <c r="J397" s="245" t="s">
        <v>2703</v>
      </c>
      <c r="K397" s="246" t="s">
        <v>3078</v>
      </c>
      <c r="L397" s="245" t="s">
        <v>2294</v>
      </c>
      <c r="M397" s="245" t="s">
        <v>3080</v>
      </c>
      <c r="N397" s="245" t="s">
        <v>2759</v>
      </c>
      <c r="O397" s="158" t="s">
        <v>61</v>
      </c>
      <c r="P397" s="92"/>
      <c r="Q397" s="146" t="s">
        <v>61</v>
      </c>
      <c r="R397" s="92"/>
      <c r="S397" s="146" t="s">
        <v>61</v>
      </c>
      <c r="T397" s="92"/>
      <c r="U397" s="146" t="s">
        <v>61</v>
      </c>
      <c r="V397" s="92"/>
      <c r="W397" s="146" t="s">
        <v>61</v>
      </c>
      <c r="X397" s="92"/>
      <c r="Y397" s="146" t="s">
        <v>61</v>
      </c>
      <c r="Z397" s="92"/>
      <c r="AA397" s="146" t="s">
        <v>61</v>
      </c>
      <c r="AB397" s="92"/>
      <c r="AC397" s="146" t="s">
        <v>61</v>
      </c>
      <c r="AD397" s="92"/>
      <c r="AE397" s="146" t="s">
        <v>61</v>
      </c>
      <c r="AF397" s="143" t="str">
        <f t="shared" si="27"/>
        <v>NA</v>
      </c>
      <c r="AG397" s="199" t="str">
        <f t="shared" si="26"/>
        <v>NÃO AVALIADO POR FALHA DE SINCRONISMO</v>
      </c>
      <c r="AH397" s="146" t="s">
        <v>204</v>
      </c>
      <c r="AI397" s="154" t="s">
        <v>6</v>
      </c>
      <c r="AJ397" s="151" t="str">
        <f t="shared" si="25"/>
        <v>GUARULHOS</v>
      </c>
      <c r="AK397" s="155" t="s">
        <v>59</v>
      </c>
      <c r="AL397" s="53">
        <v>-7.9200000000000007E-2</v>
      </c>
      <c r="AM397" s="53" t="str" cm="1">
        <f t="array" ref="AM397">IF(OR(O397&lt;&gt;"", SUMPRODUCT(($AN$2:$AN$561=AN397)*($AL$2:$AL$561&lt;=AL397)) &lt;= (COUNTIF($AN$2:$AN$561,AN397)*0.5)), "SORTEADO", "-")</f>
        <v>SORTEADO</v>
      </c>
      <c r="AN397" s="53" t="str">
        <f t="shared" si="24"/>
        <v>28/04/2026</v>
      </c>
    </row>
    <row r="398" spans="1:40" ht="30" hidden="1" customHeight="1" x14ac:dyDescent="0.2">
      <c r="A398" s="245" t="s">
        <v>197</v>
      </c>
      <c r="B398" s="245">
        <v>2617301750</v>
      </c>
      <c r="C398" s="245" t="s">
        <v>2701</v>
      </c>
      <c r="D398" s="245" t="s">
        <v>110</v>
      </c>
      <c r="E398" s="245" t="s">
        <v>198</v>
      </c>
      <c r="F398" s="245" t="s">
        <v>355</v>
      </c>
      <c r="G398" s="245">
        <v>71</v>
      </c>
      <c r="H398" s="245" t="s">
        <v>3107</v>
      </c>
      <c r="I398" s="245" t="s">
        <v>356</v>
      </c>
      <c r="J398" s="245" t="s">
        <v>2703</v>
      </c>
      <c r="K398" s="246" t="s">
        <v>3078</v>
      </c>
      <c r="L398" s="245" t="s">
        <v>2294</v>
      </c>
      <c r="M398" s="245" t="s">
        <v>3076</v>
      </c>
      <c r="N398" s="245" t="s">
        <v>2759</v>
      </c>
      <c r="O398" s="158" t="s">
        <v>61</v>
      </c>
      <c r="P398" s="92"/>
      <c r="Q398" s="146" t="s">
        <v>61</v>
      </c>
      <c r="R398" s="92"/>
      <c r="S398" s="146" t="s">
        <v>61</v>
      </c>
      <c r="T398" s="92"/>
      <c r="U398" s="146" t="s">
        <v>61</v>
      </c>
      <c r="V398" s="92"/>
      <c r="W398" s="146" t="s">
        <v>61</v>
      </c>
      <c r="X398" s="92"/>
      <c r="Y398" s="146" t="s">
        <v>61</v>
      </c>
      <c r="Z398" s="92"/>
      <c r="AA398" s="146" t="s">
        <v>61</v>
      </c>
      <c r="AB398" s="92"/>
      <c r="AC398" s="146" t="s">
        <v>61</v>
      </c>
      <c r="AD398" s="92"/>
      <c r="AE398" s="146" t="s">
        <v>61</v>
      </c>
      <c r="AF398" s="143" t="str">
        <f t="shared" si="27"/>
        <v>NA</v>
      </c>
      <c r="AG398" s="199" t="str">
        <f t="shared" si="26"/>
        <v>NÃO AVALIADO POR FALHA DE SINCRONISMO</v>
      </c>
      <c r="AH398" s="146" t="s">
        <v>204</v>
      </c>
      <c r="AI398" s="154" t="s">
        <v>6</v>
      </c>
      <c r="AJ398" s="151" t="str">
        <f t="shared" si="25"/>
        <v>GUARULHOS</v>
      </c>
      <c r="AK398" s="155" t="s">
        <v>59</v>
      </c>
      <c r="AL398" s="53">
        <v>-7.9399999999999998E-2</v>
      </c>
      <c r="AM398" s="53" t="str" cm="1">
        <f t="array" ref="AM398">IF(OR(O398&lt;&gt;"", SUMPRODUCT(($AN$2:$AN$561=AN398)*($AL$2:$AL$561&lt;=AL398)) &lt;= (COUNTIF($AN$2:$AN$561,AN398)*0.5)), "SORTEADO", "-")</f>
        <v>SORTEADO</v>
      </c>
      <c r="AN398" s="53" t="str">
        <f t="shared" si="24"/>
        <v>28/04/2026</v>
      </c>
    </row>
    <row r="399" spans="1:40" ht="30" hidden="1" customHeight="1" x14ac:dyDescent="0.2">
      <c r="A399" s="245" t="s">
        <v>197</v>
      </c>
      <c r="B399" s="245">
        <v>2617301352</v>
      </c>
      <c r="C399" s="245" t="s">
        <v>2701</v>
      </c>
      <c r="D399" s="245" t="s">
        <v>110</v>
      </c>
      <c r="E399" s="245" t="s">
        <v>198</v>
      </c>
      <c r="F399" s="245" t="s">
        <v>355</v>
      </c>
      <c r="G399" s="245">
        <v>68</v>
      </c>
      <c r="H399" s="245" t="s">
        <v>3108</v>
      </c>
      <c r="I399" s="245" t="s">
        <v>356</v>
      </c>
      <c r="J399" s="245" t="s">
        <v>2703</v>
      </c>
      <c r="K399" s="246" t="s">
        <v>3078</v>
      </c>
      <c r="L399" s="245" t="s">
        <v>2294</v>
      </c>
      <c r="M399" s="245" t="s">
        <v>3076</v>
      </c>
      <c r="N399" s="245" t="s">
        <v>2759</v>
      </c>
      <c r="O399" s="158" t="s">
        <v>61</v>
      </c>
      <c r="P399" s="92"/>
      <c r="Q399" s="146" t="s">
        <v>61</v>
      </c>
      <c r="R399" s="92"/>
      <c r="S399" s="146" t="s">
        <v>61</v>
      </c>
      <c r="T399" s="92"/>
      <c r="U399" s="146" t="s">
        <v>61</v>
      </c>
      <c r="V399" s="92"/>
      <c r="W399" s="146" t="s">
        <v>61</v>
      </c>
      <c r="X399" s="92"/>
      <c r="Y399" s="146" t="s">
        <v>61</v>
      </c>
      <c r="Z399" s="92"/>
      <c r="AA399" s="146" t="s">
        <v>61</v>
      </c>
      <c r="AB399" s="92"/>
      <c r="AC399" s="146" t="s">
        <v>61</v>
      </c>
      <c r="AD399" s="92"/>
      <c r="AE399" s="146" t="s">
        <v>61</v>
      </c>
      <c r="AF399" s="143" t="str">
        <f t="shared" si="27"/>
        <v>NA</v>
      </c>
      <c r="AG399" s="199" t="str">
        <f t="shared" si="26"/>
        <v>NÃO AVALIADO POR FALHA DE SINCRONISMO</v>
      </c>
      <c r="AH399" s="146" t="s">
        <v>204</v>
      </c>
      <c r="AI399" s="154" t="s">
        <v>6</v>
      </c>
      <c r="AJ399" s="151" t="str">
        <f t="shared" si="25"/>
        <v>GUARULHOS</v>
      </c>
      <c r="AK399" s="155" t="s">
        <v>59</v>
      </c>
      <c r="AL399" s="53">
        <v>-7.9600000000000004E-2</v>
      </c>
      <c r="AM399" s="53" t="str" cm="1">
        <f t="array" ref="AM399">IF(OR(O399&lt;&gt;"", SUMPRODUCT(($AN$2:$AN$561=AN399)*($AL$2:$AL$561&lt;=AL399)) &lt;= (COUNTIF($AN$2:$AN$561,AN399)*0.5)), "SORTEADO", "-")</f>
        <v>SORTEADO</v>
      </c>
      <c r="AN399" s="53" t="str">
        <f t="shared" si="24"/>
        <v>28/04/2026</v>
      </c>
    </row>
    <row r="400" spans="1:40" ht="30" hidden="1" customHeight="1" x14ac:dyDescent="0.2">
      <c r="A400" s="245" t="s">
        <v>197</v>
      </c>
      <c r="B400" s="245">
        <v>2617300985</v>
      </c>
      <c r="C400" s="245" t="s">
        <v>2701</v>
      </c>
      <c r="D400" s="245" t="s">
        <v>110</v>
      </c>
      <c r="E400" s="245" t="s">
        <v>198</v>
      </c>
      <c r="F400" s="245" t="s">
        <v>355</v>
      </c>
      <c r="G400" s="245">
        <v>63</v>
      </c>
      <c r="H400" s="245" t="s">
        <v>276</v>
      </c>
      <c r="I400" s="245" t="s">
        <v>356</v>
      </c>
      <c r="J400" s="245" t="s">
        <v>2703</v>
      </c>
      <c r="K400" s="246" t="s">
        <v>3078</v>
      </c>
      <c r="L400" s="245" t="s">
        <v>2294</v>
      </c>
      <c r="M400" s="245" t="s">
        <v>3076</v>
      </c>
      <c r="N400" s="245" t="s">
        <v>2759</v>
      </c>
      <c r="O400" s="158" t="s">
        <v>61</v>
      </c>
      <c r="P400" s="92"/>
      <c r="Q400" s="146" t="s">
        <v>61</v>
      </c>
      <c r="R400" s="92"/>
      <c r="S400" s="146" t="s">
        <v>61</v>
      </c>
      <c r="T400" s="92"/>
      <c r="U400" s="146" t="s">
        <v>61</v>
      </c>
      <c r="V400" s="92"/>
      <c r="W400" s="146" t="s">
        <v>61</v>
      </c>
      <c r="X400" s="92"/>
      <c r="Y400" s="146" t="s">
        <v>61</v>
      </c>
      <c r="Z400" s="92"/>
      <c r="AA400" s="146" t="s">
        <v>61</v>
      </c>
      <c r="AB400" s="92"/>
      <c r="AC400" s="146" t="s">
        <v>61</v>
      </c>
      <c r="AD400" s="92"/>
      <c r="AE400" s="146" t="s">
        <v>61</v>
      </c>
      <c r="AF400" s="143" t="str">
        <f t="shared" si="27"/>
        <v>NA</v>
      </c>
      <c r="AG400" s="199" t="str">
        <f t="shared" si="26"/>
        <v>NÃO AVALIADO POR FALHA DE SINCRONISMO</v>
      </c>
      <c r="AH400" s="146" t="s">
        <v>204</v>
      </c>
      <c r="AI400" s="154" t="s">
        <v>6</v>
      </c>
      <c r="AJ400" s="151" t="str">
        <f t="shared" si="25"/>
        <v>GUARULHOS</v>
      </c>
      <c r="AK400" s="155" t="s">
        <v>59</v>
      </c>
      <c r="AL400" s="53">
        <v>-7.9799999999999996E-2</v>
      </c>
      <c r="AM400" s="53" t="str" cm="1">
        <f t="array" ref="AM400">IF(OR(O400&lt;&gt;"", SUMPRODUCT(($AN$2:$AN$561=AN400)*($AL$2:$AL$561&lt;=AL400)) &lt;= (COUNTIF($AN$2:$AN$561,AN400)*0.5)), "SORTEADO", "-")</f>
        <v>SORTEADO</v>
      </c>
      <c r="AN400" s="53" t="str">
        <f t="shared" si="24"/>
        <v>28/04/2026</v>
      </c>
    </row>
    <row r="401" spans="1:40" ht="30" hidden="1" customHeight="1" x14ac:dyDescent="0.2">
      <c r="A401" s="245" t="s">
        <v>197</v>
      </c>
      <c r="B401" s="245">
        <v>2617300731</v>
      </c>
      <c r="C401" s="245" t="s">
        <v>2701</v>
      </c>
      <c r="D401" s="245" t="s">
        <v>110</v>
      </c>
      <c r="E401" s="245" t="s">
        <v>198</v>
      </c>
      <c r="F401" s="245" t="s">
        <v>355</v>
      </c>
      <c r="G401" s="245">
        <v>54</v>
      </c>
      <c r="H401" s="245" t="s">
        <v>206</v>
      </c>
      <c r="I401" s="245" t="s">
        <v>356</v>
      </c>
      <c r="J401" s="245" t="s">
        <v>2703</v>
      </c>
      <c r="K401" s="246" t="s">
        <v>3075</v>
      </c>
      <c r="L401" s="245" t="s">
        <v>2294</v>
      </c>
      <c r="M401" s="245" t="s">
        <v>3076</v>
      </c>
      <c r="N401" s="245" t="s">
        <v>2759</v>
      </c>
      <c r="O401" s="158" t="s">
        <v>61</v>
      </c>
      <c r="P401" s="92"/>
      <c r="Q401" s="146" t="s">
        <v>61</v>
      </c>
      <c r="R401" s="92"/>
      <c r="S401" s="146" t="s">
        <v>61</v>
      </c>
      <c r="T401" s="92"/>
      <c r="U401" s="146" t="s">
        <v>61</v>
      </c>
      <c r="V401" s="92"/>
      <c r="W401" s="146" t="s">
        <v>61</v>
      </c>
      <c r="X401" s="92"/>
      <c r="Y401" s="146" t="s">
        <v>61</v>
      </c>
      <c r="Z401" s="92"/>
      <c r="AA401" s="146" t="s">
        <v>61</v>
      </c>
      <c r="AB401" s="92"/>
      <c r="AC401" s="146" t="s">
        <v>61</v>
      </c>
      <c r="AD401" s="92"/>
      <c r="AE401" s="146" t="s">
        <v>61</v>
      </c>
      <c r="AF401" s="143" t="str">
        <f t="shared" si="27"/>
        <v>NA</v>
      </c>
      <c r="AG401" s="199" t="str">
        <f t="shared" si="26"/>
        <v>NÃO AVALIADO POR FALHA DE SINCRONISMO</v>
      </c>
      <c r="AH401" s="146" t="s">
        <v>204</v>
      </c>
      <c r="AI401" s="154" t="s">
        <v>6</v>
      </c>
      <c r="AJ401" s="151" t="str">
        <f t="shared" si="25"/>
        <v>GUARULHOS</v>
      </c>
      <c r="AK401" s="155" t="s">
        <v>59</v>
      </c>
      <c r="AL401" s="53">
        <v>-0.08</v>
      </c>
      <c r="AM401" s="53" t="str" cm="1">
        <f t="array" ref="AM401">IF(OR(O401&lt;&gt;"", SUMPRODUCT(($AN$2:$AN$561=AN401)*($AL$2:$AL$561&lt;=AL401)) &lt;= (COUNTIF($AN$2:$AN$561,AN401)*0.5)), "SORTEADO", "-")</f>
        <v>SORTEADO</v>
      </c>
      <c r="AN401" s="53" t="str">
        <f t="shared" si="24"/>
        <v>28/04/2026</v>
      </c>
    </row>
    <row r="402" spans="1:40" ht="30" hidden="1" customHeight="1" x14ac:dyDescent="0.2">
      <c r="A402" s="245" t="s">
        <v>197</v>
      </c>
      <c r="B402" s="245">
        <v>2617300511</v>
      </c>
      <c r="C402" s="245" t="s">
        <v>2701</v>
      </c>
      <c r="D402" s="245" t="s">
        <v>110</v>
      </c>
      <c r="E402" s="245" t="s">
        <v>198</v>
      </c>
      <c r="F402" s="245" t="s">
        <v>355</v>
      </c>
      <c r="G402" s="245">
        <v>53</v>
      </c>
      <c r="H402" s="245" t="s">
        <v>3109</v>
      </c>
      <c r="I402" s="245" t="s">
        <v>356</v>
      </c>
      <c r="J402" s="245" t="s">
        <v>2703</v>
      </c>
      <c r="K402" s="246" t="s">
        <v>3078</v>
      </c>
      <c r="L402" s="245" t="s">
        <v>2294</v>
      </c>
      <c r="M402" s="245" t="s">
        <v>3076</v>
      </c>
      <c r="N402" s="245" t="s">
        <v>2759</v>
      </c>
      <c r="O402" s="158" t="s">
        <v>61</v>
      </c>
      <c r="P402" s="92"/>
      <c r="Q402" s="146" t="s">
        <v>61</v>
      </c>
      <c r="R402" s="92"/>
      <c r="S402" s="146" t="s">
        <v>61</v>
      </c>
      <c r="T402" s="92"/>
      <c r="U402" s="146" t="s">
        <v>61</v>
      </c>
      <c r="V402" s="92"/>
      <c r="W402" s="146" t="s">
        <v>61</v>
      </c>
      <c r="X402" s="92"/>
      <c r="Y402" s="146" t="s">
        <v>61</v>
      </c>
      <c r="Z402" s="92"/>
      <c r="AA402" s="146" t="s">
        <v>61</v>
      </c>
      <c r="AB402" s="92"/>
      <c r="AC402" s="146" t="s">
        <v>61</v>
      </c>
      <c r="AD402" s="92"/>
      <c r="AE402" s="146" t="s">
        <v>61</v>
      </c>
      <c r="AF402" s="143" t="str">
        <f t="shared" si="27"/>
        <v>NA</v>
      </c>
      <c r="AG402" s="199" t="str">
        <f t="shared" si="26"/>
        <v>NÃO AVALIADO POR FALHA DE SINCRONISMO</v>
      </c>
      <c r="AH402" s="146" t="s">
        <v>204</v>
      </c>
      <c r="AI402" s="154" t="s">
        <v>6</v>
      </c>
      <c r="AJ402" s="151" t="str">
        <f t="shared" si="25"/>
        <v>GUARULHOS</v>
      </c>
      <c r="AK402" s="155" t="s">
        <v>59</v>
      </c>
      <c r="AL402" s="53">
        <v>-8.0199999999999994E-2</v>
      </c>
      <c r="AM402" s="53" t="str" cm="1">
        <f t="array" ref="AM402">IF(OR(O402&lt;&gt;"", SUMPRODUCT(($AN$2:$AN$561=AN402)*($AL$2:$AL$561&lt;=AL402)) &lt;= (COUNTIF($AN$2:$AN$561,AN402)*0.5)), "SORTEADO", "-")</f>
        <v>SORTEADO</v>
      </c>
      <c r="AN402" s="53" t="str">
        <f t="shared" si="24"/>
        <v>28/04/2026</v>
      </c>
    </row>
    <row r="403" spans="1:40" ht="30" hidden="1" customHeight="1" x14ac:dyDescent="0.2">
      <c r="A403" s="245" t="s">
        <v>197</v>
      </c>
      <c r="B403" s="245">
        <v>2617300307</v>
      </c>
      <c r="C403" s="245" t="s">
        <v>2701</v>
      </c>
      <c r="D403" s="245" t="s">
        <v>110</v>
      </c>
      <c r="E403" s="245" t="s">
        <v>198</v>
      </c>
      <c r="F403" s="245" t="s">
        <v>355</v>
      </c>
      <c r="G403" s="245">
        <v>46</v>
      </c>
      <c r="H403" s="245" t="s">
        <v>213</v>
      </c>
      <c r="I403" s="245" t="s">
        <v>356</v>
      </c>
      <c r="J403" s="245" t="s">
        <v>2703</v>
      </c>
      <c r="K403" s="246" t="s">
        <v>3075</v>
      </c>
      <c r="L403" s="245" t="s">
        <v>2294</v>
      </c>
      <c r="M403" s="245" t="s">
        <v>3076</v>
      </c>
      <c r="N403" s="245" t="s">
        <v>2759</v>
      </c>
      <c r="O403" s="158" t="s">
        <v>61</v>
      </c>
      <c r="P403" s="92"/>
      <c r="Q403" s="146" t="s">
        <v>61</v>
      </c>
      <c r="R403" s="92"/>
      <c r="S403" s="146" t="s">
        <v>61</v>
      </c>
      <c r="T403" s="92"/>
      <c r="U403" s="146" t="s">
        <v>61</v>
      </c>
      <c r="V403" s="92"/>
      <c r="W403" s="146" t="s">
        <v>61</v>
      </c>
      <c r="X403" s="92"/>
      <c r="Y403" s="146" t="s">
        <v>61</v>
      </c>
      <c r="Z403" s="92"/>
      <c r="AA403" s="146" t="s">
        <v>61</v>
      </c>
      <c r="AB403" s="92"/>
      <c r="AC403" s="146" t="s">
        <v>61</v>
      </c>
      <c r="AD403" s="92"/>
      <c r="AE403" s="146" t="s">
        <v>61</v>
      </c>
      <c r="AF403" s="143" t="str">
        <f t="shared" si="27"/>
        <v>NA</v>
      </c>
      <c r="AG403" s="199" t="str">
        <f t="shared" si="26"/>
        <v>NÃO AVALIADO POR FALHA DE SINCRONISMO</v>
      </c>
      <c r="AH403" s="146" t="s">
        <v>204</v>
      </c>
      <c r="AI403" s="154" t="s">
        <v>6</v>
      </c>
      <c r="AJ403" s="151" t="str">
        <f t="shared" si="25"/>
        <v>GUARULHOS</v>
      </c>
      <c r="AK403" s="155" t="s">
        <v>59</v>
      </c>
      <c r="AL403" s="53">
        <v>-8.0399999999999999E-2</v>
      </c>
      <c r="AM403" s="53" t="str" cm="1">
        <f t="array" ref="AM403">IF(OR(O403&lt;&gt;"", SUMPRODUCT(($AN$2:$AN$561=AN403)*($AL$2:$AL$561&lt;=AL403)) &lt;= (COUNTIF($AN$2:$AN$561,AN403)*0.5)), "SORTEADO", "-")</f>
        <v>SORTEADO</v>
      </c>
      <c r="AN403" s="53" t="str">
        <f t="shared" si="24"/>
        <v>28/04/2026</v>
      </c>
    </row>
    <row r="404" spans="1:40" ht="30" hidden="1" customHeight="1" x14ac:dyDescent="0.2">
      <c r="A404" s="245" t="s">
        <v>197</v>
      </c>
      <c r="B404" s="245">
        <v>2617300018</v>
      </c>
      <c r="C404" s="245" t="s">
        <v>2701</v>
      </c>
      <c r="D404" s="245" t="s">
        <v>110</v>
      </c>
      <c r="E404" s="245" t="s">
        <v>198</v>
      </c>
      <c r="F404" s="245" t="s">
        <v>355</v>
      </c>
      <c r="G404" s="245">
        <v>43</v>
      </c>
      <c r="H404" s="245"/>
      <c r="I404" s="245" t="s">
        <v>356</v>
      </c>
      <c r="J404" s="245" t="s">
        <v>2703</v>
      </c>
      <c r="K404" s="246" t="s">
        <v>3075</v>
      </c>
      <c r="L404" s="245" t="s">
        <v>2294</v>
      </c>
      <c r="M404" s="245" t="s">
        <v>3076</v>
      </c>
      <c r="N404" s="245" t="s">
        <v>2759</v>
      </c>
      <c r="O404" s="158" t="s">
        <v>61</v>
      </c>
      <c r="P404" s="92"/>
      <c r="Q404" s="146" t="s">
        <v>61</v>
      </c>
      <c r="R404" s="92"/>
      <c r="S404" s="146" t="s">
        <v>61</v>
      </c>
      <c r="T404" s="92"/>
      <c r="U404" s="146" t="s">
        <v>61</v>
      </c>
      <c r="V404" s="92"/>
      <c r="W404" s="146" t="s">
        <v>61</v>
      </c>
      <c r="X404" s="92"/>
      <c r="Y404" s="146" t="s">
        <v>61</v>
      </c>
      <c r="Z404" s="92"/>
      <c r="AA404" s="146" t="s">
        <v>61</v>
      </c>
      <c r="AB404" s="92"/>
      <c r="AC404" s="146" t="s">
        <v>61</v>
      </c>
      <c r="AD404" s="92"/>
      <c r="AE404" s="146" t="s">
        <v>61</v>
      </c>
      <c r="AF404" s="143" t="str">
        <f t="shared" si="27"/>
        <v>NA</v>
      </c>
      <c r="AG404" s="199" t="str">
        <f t="shared" si="26"/>
        <v>NÃO AVALIADO POR FALHA DE SINCRONISMO</v>
      </c>
      <c r="AH404" s="146" t="s">
        <v>204</v>
      </c>
      <c r="AI404" s="154" t="s">
        <v>6</v>
      </c>
      <c r="AJ404" s="151" t="str">
        <f t="shared" si="25"/>
        <v>GUARULHOS</v>
      </c>
      <c r="AK404" s="155" t="s">
        <v>59</v>
      </c>
      <c r="AL404" s="53">
        <v>-8.0600000000000005E-2</v>
      </c>
      <c r="AM404" s="53" t="str" cm="1">
        <f t="array" ref="AM404">IF(OR(O404&lt;&gt;"", SUMPRODUCT(($AN$2:$AN$561=AN404)*($AL$2:$AL$561&lt;=AL404)) &lt;= (COUNTIF($AN$2:$AN$561,AN404)*0.5)), "SORTEADO", "-")</f>
        <v>SORTEADO</v>
      </c>
      <c r="AN404" s="53" t="str">
        <f t="shared" si="24"/>
        <v>28/04/2026</v>
      </c>
    </row>
    <row r="405" spans="1:40" ht="30" hidden="1" customHeight="1" x14ac:dyDescent="0.2">
      <c r="A405" s="245" t="s">
        <v>197</v>
      </c>
      <c r="B405" s="245">
        <v>2617300709</v>
      </c>
      <c r="C405" s="245" t="s">
        <v>2701</v>
      </c>
      <c r="D405" s="245" t="s">
        <v>110</v>
      </c>
      <c r="E405" s="245" t="s">
        <v>198</v>
      </c>
      <c r="F405" s="245" t="s">
        <v>355</v>
      </c>
      <c r="G405" s="245">
        <v>414</v>
      </c>
      <c r="H405" s="245" t="s">
        <v>3110</v>
      </c>
      <c r="I405" s="245" t="s">
        <v>356</v>
      </c>
      <c r="J405" s="245" t="s">
        <v>2703</v>
      </c>
      <c r="K405" s="246" t="s">
        <v>3111</v>
      </c>
      <c r="L405" s="245" t="s">
        <v>2294</v>
      </c>
      <c r="M405" s="245" t="s">
        <v>3076</v>
      </c>
      <c r="N405" s="245" t="s">
        <v>2759</v>
      </c>
      <c r="O405" s="158" t="s">
        <v>61</v>
      </c>
      <c r="P405" s="92"/>
      <c r="Q405" s="146" t="s">
        <v>61</v>
      </c>
      <c r="R405" s="92"/>
      <c r="S405" s="146" t="s">
        <v>61</v>
      </c>
      <c r="T405" s="92"/>
      <c r="U405" s="146" t="s">
        <v>61</v>
      </c>
      <c r="V405" s="92"/>
      <c r="W405" s="146" t="s">
        <v>61</v>
      </c>
      <c r="X405" s="92"/>
      <c r="Y405" s="146" t="s">
        <v>61</v>
      </c>
      <c r="Z405" s="92"/>
      <c r="AA405" s="146" t="s">
        <v>61</v>
      </c>
      <c r="AB405" s="92"/>
      <c r="AC405" s="146" t="s">
        <v>61</v>
      </c>
      <c r="AD405" s="92"/>
      <c r="AE405" s="146" t="s">
        <v>61</v>
      </c>
      <c r="AF405" s="143" t="str">
        <f t="shared" si="27"/>
        <v>NA</v>
      </c>
      <c r="AG405" s="199" t="str">
        <f t="shared" si="26"/>
        <v>NÃO AVALIADO POR FALHA DE SINCRONISMO</v>
      </c>
      <c r="AH405" s="146" t="s">
        <v>204</v>
      </c>
      <c r="AI405" s="154" t="s">
        <v>6</v>
      </c>
      <c r="AJ405" s="151" t="str">
        <f t="shared" si="25"/>
        <v>GUARULHOS</v>
      </c>
      <c r="AK405" s="155" t="s">
        <v>59</v>
      </c>
      <c r="AL405" s="53">
        <v>-8.0799999999999997E-2</v>
      </c>
      <c r="AM405" s="53" t="str" cm="1">
        <f t="array" ref="AM405">IF(OR(O405&lt;&gt;"", SUMPRODUCT(($AN$2:$AN$561=AN405)*($AL$2:$AL$561&lt;=AL405)) &lt;= (COUNTIF($AN$2:$AN$561,AN405)*0.5)), "SORTEADO", "-")</f>
        <v>SORTEADO</v>
      </c>
      <c r="AN405" s="53" t="str">
        <f t="shared" ref="AN405:AN468" si="28">TEXT(L405, "dd/mm/aaaa")</f>
        <v>28/04/2026</v>
      </c>
    </row>
    <row r="406" spans="1:40" ht="30" hidden="1" customHeight="1" x14ac:dyDescent="0.2">
      <c r="A406" s="245" t="s">
        <v>197</v>
      </c>
      <c r="B406" s="245">
        <v>2617301218</v>
      </c>
      <c r="C406" s="245" t="s">
        <v>2701</v>
      </c>
      <c r="D406" s="245" t="s">
        <v>110</v>
      </c>
      <c r="E406" s="245" t="s">
        <v>198</v>
      </c>
      <c r="F406" s="245" t="s">
        <v>355</v>
      </c>
      <c r="G406" s="245">
        <v>392</v>
      </c>
      <c r="H406" s="245"/>
      <c r="I406" s="245" t="s">
        <v>356</v>
      </c>
      <c r="J406" s="245" t="s">
        <v>2703</v>
      </c>
      <c r="K406" s="246" t="s">
        <v>3075</v>
      </c>
      <c r="L406" s="245" t="s">
        <v>2294</v>
      </c>
      <c r="M406" s="245" t="s">
        <v>3076</v>
      </c>
      <c r="N406" s="245" t="s">
        <v>2759</v>
      </c>
      <c r="O406" s="158" t="s">
        <v>61</v>
      </c>
      <c r="P406" s="92"/>
      <c r="Q406" s="146" t="s">
        <v>61</v>
      </c>
      <c r="R406" s="92"/>
      <c r="S406" s="146" t="s">
        <v>61</v>
      </c>
      <c r="T406" s="92"/>
      <c r="U406" s="146" t="s">
        <v>61</v>
      </c>
      <c r="V406" s="92"/>
      <c r="W406" s="146" t="s">
        <v>61</v>
      </c>
      <c r="X406" s="92"/>
      <c r="Y406" s="146" t="s">
        <v>61</v>
      </c>
      <c r="Z406" s="92"/>
      <c r="AA406" s="146" t="s">
        <v>61</v>
      </c>
      <c r="AB406" s="92"/>
      <c r="AC406" s="146" t="s">
        <v>61</v>
      </c>
      <c r="AD406" s="92"/>
      <c r="AE406" s="146" t="s">
        <v>61</v>
      </c>
      <c r="AF406" s="143" t="str">
        <f t="shared" si="27"/>
        <v>NA</v>
      </c>
      <c r="AG406" s="199" t="str">
        <f t="shared" si="26"/>
        <v>NÃO AVALIADO POR FALHA DE SINCRONISMO</v>
      </c>
      <c r="AH406" s="146" t="s">
        <v>204</v>
      </c>
      <c r="AI406" s="154" t="s">
        <v>6</v>
      </c>
      <c r="AJ406" s="151" t="str">
        <f t="shared" si="25"/>
        <v>GUARULHOS</v>
      </c>
      <c r="AK406" s="155" t="s">
        <v>59</v>
      </c>
      <c r="AL406" s="53">
        <v>-8.1000000000000003E-2</v>
      </c>
      <c r="AM406" s="53" t="str" cm="1">
        <f t="array" ref="AM406">IF(OR(O406&lt;&gt;"", SUMPRODUCT(($AN$2:$AN$561=AN406)*($AL$2:$AL$561&lt;=AL406)) &lt;= (COUNTIF($AN$2:$AN$561,AN406)*0.5)), "SORTEADO", "-")</f>
        <v>SORTEADO</v>
      </c>
      <c r="AN406" s="53" t="str">
        <f t="shared" si="28"/>
        <v>28/04/2026</v>
      </c>
    </row>
    <row r="407" spans="1:40" ht="30" hidden="1" customHeight="1" x14ac:dyDescent="0.2">
      <c r="A407" s="245" t="s">
        <v>197</v>
      </c>
      <c r="B407" s="245">
        <v>2617301401</v>
      </c>
      <c r="C407" s="245" t="s">
        <v>2701</v>
      </c>
      <c r="D407" s="245" t="s">
        <v>110</v>
      </c>
      <c r="E407" s="245" t="s">
        <v>198</v>
      </c>
      <c r="F407" s="245" t="s">
        <v>355</v>
      </c>
      <c r="G407" s="245">
        <v>382</v>
      </c>
      <c r="H407" s="245" t="s">
        <v>2730</v>
      </c>
      <c r="I407" s="245" t="s">
        <v>356</v>
      </c>
      <c r="J407" s="245" t="s">
        <v>2703</v>
      </c>
      <c r="K407" s="246" t="s">
        <v>3075</v>
      </c>
      <c r="L407" s="245" t="s">
        <v>2294</v>
      </c>
      <c r="M407" s="245" t="s">
        <v>3076</v>
      </c>
      <c r="N407" s="245" t="s">
        <v>2759</v>
      </c>
      <c r="O407" s="158" t="s">
        <v>61</v>
      </c>
      <c r="P407" s="92"/>
      <c r="Q407" s="146" t="s">
        <v>61</v>
      </c>
      <c r="R407" s="92"/>
      <c r="S407" s="146" t="s">
        <v>61</v>
      </c>
      <c r="T407" s="92"/>
      <c r="U407" s="146" t="s">
        <v>61</v>
      </c>
      <c r="V407" s="92"/>
      <c r="W407" s="146" t="s">
        <v>61</v>
      </c>
      <c r="X407" s="92"/>
      <c r="Y407" s="146" t="s">
        <v>61</v>
      </c>
      <c r="Z407" s="92"/>
      <c r="AA407" s="146" t="s">
        <v>61</v>
      </c>
      <c r="AB407" s="92"/>
      <c r="AC407" s="146" t="s">
        <v>61</v>
      </c>
      <c r="AD407" s="92"/>
      <c r="AE407" s="146" t="s">
        <v>61</v>
      </c>
      <c r="AF407" s="143" t="str">
        <f t="shared" si="27"/>
        <v>NA</v>
      </c>
      <c r="AG407" s="199" t="str">
        <f t="shared" si="26"/>
        <v>NÃO AVALIADO POR FALHA DE SINCRONISMO</v>
      </c>
      <c r="AH407" s="146" t="s">
        <v>204</v>
      </c>
      <c r="AI407" s="154" t="s">
        <v>6</v>
      </c>
      <c r="AJ407" s="151" t="str">
        <f t="shared" si="25"/>
        <v>GUARULHOS</v>
      </c>
      <c r="AK407" s="155" t="s">
        <v>59</v>
      </c>
      <c r="AL407" s="53">
        <v>-8.1199999999999994E-2</v>
      </c>
      <c r="AM407" s="53" t="str" cm="1">
        <f t="array" ref="AM407">IF(OR(O407&lt;&gt;"", SUMPRODUCT(($AN$2:$AN$561=AN407)*($AL$2:$AL$561&lt;=AL407)) &lt;= (COUNTIF($AN$2:$AN$561,AN407)*0.5)), "SORTEADO", "-")</f>
        <v>SORTEADO</v>
      </c>
      <c r="AN407" s="53" t="str">
        <f t="shared" si="28"/>
        <v>28/04/2026</v>
      </c>
    </row>
    <row r="408" spans="1:40" ht="30" hidden="1" customHeight="1" x14ac:dyDescent="0.2">
      <c r="A408" s="245" t="s">
        <v>197</v>
      </c>
      <c r="B408" s="245">
        <v>2617301555</v>
      </c>
      <c r="C408" s="245" t="s">
        <v>2701</v>
      </c>
      <c r="D408" s="245" t="s">
        <v>110</v>
      </c>
      <c r="E408" s="245" t="s">
        <v>198</v>
      </c>
      <c r="F408" s="245" t="s">
        <v>355</v>
      </c>
      <c r="G408" s="245">
        <v>377</v>
      </c>
      <c r="H408" s="245"/>
      <c r="I408" s="245" t="s">
        <v>356</v>
      </c>
      <c r="J408" s="245" t="s">
        <v>2703</v>
      </c>
      <c r="K408" s="246" t="s">
        <v>3075</v>
      </c>
      <c r="L408" s="245" t="s">
        <v>2294</v>
      </c>
      <c r="M408" s="245" t="s">
        <v>3076</v>
      </c>
      <c r="N408" s="245" t="s">
        <v>2759</v>
      </c>
      <c r="O408" s="158" t="s">
        <v>61</v>
      </c>
      <c r="P408" s="92"/>
      <c r="Q408" s="146" t="s">
        <v>61</v>
      </c>
      <c r="R408" s="92"/>
      <c r="S408" s="146" t="s">
        <v>61</v>
      </c>
      <c r="T408" s="92"/>
      <c r="U408" s="146" t="s">
        <v>61</v>
      </c>
      <c r="V408" s="92"/>
      <c r="W408" s="146" t="s">
        <v>61</v>
      </c>
      <c r="X408" s="92"/>
      <c r="Y408" s="146" t="s">
        <v>61</v>
      </c>
      <c r="Z408" s="92"/>
      <c r="AA408" s="146" t="s">
        <v>61</v>
      </c>
      <c r="AB408" s="92"/>
      <c r="AC408" s="146" t="s">
        <v>61</v>
      </c>
      <c r="AD408" s="92"/>
      <c r="AE408" s="146" t="s">
        <v>61</v>
      </c>
      <c r="AF408" s="143" t="str">
        <f t="shared" si="27"/>
        <v>NA</v>
      </c>
      <c r="AG408" s="199" t="str">
        <f t="shared" si="26"/>
        <v>NÃO AVALIADO POR FALHA DE SINCRONISMO</v>
      </c>
      <c r="AH408" s="146" t="s">
        <v>204</v>
      </c>
      <c r="AI408" s="154" t="s">
        <v>6</v>
      </c>
      <c r="AJ408" s="151" t="str">
        <f t="shared" si="25"/>
        <v>GUARULHOS</v>
      </c>
      <c r="AK408" s="155" t="s">
        <v>59</v>
      </c>
      <c r="AL408" s="53">
        <v>-8.14E-2</v>
      </c>
      <c r="AM408" s="53" t="str" cm="1">
        <f t="array" ref="AM408">IF(OR(O408&lt;&gt;"", SUMPRODUCT(($AN$2:$AN$561=AN408)*($AL$2:$AL$561&lt;=AL408)) &lt;= (COUNTIF($AN$2:$AN$561,AN408)*0.5)), "SORTEADO", "-")</f>
        <v>SORTEADO</v>
      </c>
      <c r="AN408" s="53" t="str">
        <f t="shared" si="28"/>
        <v>28/04/2026</v>
      </c>
    </row>
    <row r="409" spans="1:40" ht="30" hidden="1" customHeight="1" x14ac:dyDescent="0.2">
      <c r="A409" s="245" t="s">
        <v>197</v>
      </c>
      <c r="B409" s="245">
        <v>2617307375</v>
      </c>
      <c r="C409" s="245" t="s">
        <v>2701</v>
      </c>
      <c r="D409" s="245" t="s">
        <v>110</v>
      </c>
      <c r="E409" s="245" t="s">
        <v>198</v>
      </c>
      <c r="F409" s="245" t="s">
        <v>355</v>
      </c>
      <c r="G409" s="245">
        <v>371</v>
      </c>
      <c r="H409" s="245" t="s">
        <v>213</v>
      </c>
      <c r="I409" s="245" t="s">
        <v>356</v>
      </c>
      <c r="J409" s="245" t="s">
        <v>2703</v>
      </c>
      <c r="K409" s="246" t="s">
        <v>3079</v>
      </c>
      <c r="L409" s="245" t="s">
        <v>2294</v>
      </c>
      <c r="M409" s="245" t="s">
        <v>3080</v>
      </c>
      <c r="N409" s="245" t="s">
        <v>2759</v>
      </c>
      <c r="O409" s="158" t="s">
        <v>61</v>
      </c>
      <c r="P409" s="92"/>
      <c r="Q409" s="146" t="s">
        <v>61</v>
      </c>
      <c r="R409" s="92"/>
      <c r="S409" s="146" t="s">
        <v>61</v>
      </c>
      <c r="T409" s="92"/>
      <c r="U409" s="146" t="s">
        <v>61</v>
      </c>
      <c r="V409" s="92"/>
      <c r="W409" s="146" t="s">
        <v>61</v>
      </c>
      <c r="X409" s="92"/>
      <c r="Y409" s="146" t="s">
        <v>61</v>
      </c>
      <c r="Z409" s="92"/>
      <c r="AA409" s="146" t="s">
        <v>61</v>
      </c>
      <c r="AB409" s="92"/>
      <c r="AC409" s="146" t="s">
        <v>61</v>
      </c>
      <c r="AD409" s="92"/>
      <c r="AE409" s="146" t="s">
        <v>61</v>
      </c>
      <c r="AF409" s="143" t="str">
        <f t="shared" si="27"/>
        <v>NA</v>
      </c>
      <c r="AG409" s="199" t="str">
        <f t="shared" si="26"/>
        <v>NÃO AVALIADO POR FALHA DE SINCRONISMO</v>
      </c>
      <c r="AH409" s="146" t="s">
        <v>204</v>
      </c>
      <c r="AI409" s="154" t="s">
        <v>6</v>
      </c>
      <c r="AJ409" s="151" t="str">
        <f t="shared" si="25"/>
        <v>GUARULHOS</v>
      </c>
      <c r="AK409" s="155" t="s">
        <v>59</v>
      </c>
      <c r="AL409" s="53">
        <v>-8.1600000000000006E-2</v>
      </c>
      <c r="AM409" s="53" t="str" cm="1">
        <f t="array" ref="AM409">IF(OR(O409&lt;&gt;"", SUMPRODUCT(($AN$2:$AN$561=AN409)*($AL$2:$AL$561&lt;=AL409)) &lt;= (COUNTIF($AN$2:$AN$561,AN409)*0.5)), "SORTEADO", "-")</f>
        <v>SORTEADO</v>
      </c>
      <c r="AN409" s="53" t="str">
        <f t="shared" si="28"/>
        <v>28/04/2026</v>
      </c>
    </row>
    <row r="410" spans="1:40" ht="30" hidden="1" customHeight="1" x14ac:dyDescent="0.2">
      <c r="A410" s="245" t="s">
        <v>197</v>
      </c>
      <c r="B410" s="245">
        <v>2617307240</v>
      </c>
      <c r="C410" s="245" t="s">
        <v>2701</v>
      </c>
      <c r="D410" s="245" t="s">
        <v>110</v>
      </c>
      <c r="E410" s="245" t="s">
        <v>198</v>
      </c>
      <c r="F410" s="245" t="s">
        <v>355</v>
      </c>
      <c r="G410" s="245">
        <v>366</v>
      </c>
      <c r="H410" s="245" t="s">
        <v>3112</v>
      </c>
      <c r="I410" s="245" t="s">
        <v>356</v>
      </c>
      <c r="J410" s="245" t="s">
        <v>2703</v>
      </c>
      <c r="K410" s="246" t="s">
        <v>3079</v>
      </c>
      <c r="L410" s="245" t="s">
        <v>2294</v>
      </c>
      <c r="M410" s="245" t="s">
        <v>3080</v>
      </c>
      <c r="N410" s="245" t="s">
        <v>2759</v>
      </c>
      <c r="O410" s="158" t="s">
        <v>61</v>
      </c>
      <c r="P410" s="92"/>
      <c r="Q410" s="146" t="s">
        <v>61</v>
      </c>
      <c r="R410" s="92"/>
      <c r="S410" s="146" t="s">
        <v>61</v>
      </c>
      <c r="T410" s="92"/>
      <c r="U410" s="146" t="s">
        <v>61</v>
      </c>
      <c r="V410" s="92"/>
      <c r="W410" s="146" t="s">
        <v>61</v>
      </c>
      <c r="X410" s="92"/>
      <c r="Y410" s="146" t="s">
        <v>61</v>
      </c>
      <c r="Z410" s="92"/>
      <c r="AA410" s="146" t="s">
        <v>61</v>
      </c>
      <c r="AB410" s="92"/>
      <c r="AC410" s="146" t="s">
        <v>61</v>
      </c>
      <c r="AD410" s="92"/>
      <c r="AE410" s="146" t="s">
        <v>61</v>
      </c>
      <c r="AF410" s="143" t="str">
        <f t="shared" si="27"/>
        <v>NA</v>
      </c>
      <c r="AG410" s="199" t="str">
        <f t="shared" si="26"/>
        <v>NÃO AVALIADO POR FALHA DE SINCRONISMO</v>
      </c>
      <c r="AH410" s="146" t="s">
        <v>204</v>
      </c>
      <c r="AI410" s="154" t="s">
        <v>6</v>
      </c>
      <c r="AJ410" s="151" t="str">
        <f t="shared" si="25"/>
        <v>GUARULHOS</v>
      </c>
      <c r="AK410" s="155" t="s">
        <v>59</v>
      </c>
      <c r="AL410" s="53">
        <v>-8.1799999999999998E-2</v>
      </c>
      <c r="AM410" s="53" t="str" cm="1">
        <f t="array" ref="AM410">IF(OR(O410&lt;&gt;"", SUMPRODUCT(($AN$2:$AN$561=AN410)*($AL$2:$AL$561&lt;=AL410)) &lt;= (COUNTIF($AN$2:$AN$561,AN410)*0.5)), "SORTEADO", "-")</f>
        <v>SORTEADO</v>
      </c>
      <c r="AN410" s="53" t="str">
        <f t="shared" si="28"/>
        <v>28/04/2026</v>
      </c>
    </row>
    <row r="411" spans="1:40" ht="30" hidden="1" customHeight="1" x14ac:dyDescent="0.2">
      <c r="A411" s="245" t="s">
        <v>197</v>
      </c>
      <c r="B411" s="245">
        <v>2617306351</v>
      </c>
      <c r="C411" s="245" t="s">
        <v>2701</v>
      </c>
      <c r="D411" s="245" t="s">
        <v>110</v>
      </c>
      <c r="E411" s="245" t="s">
        <v>198</v>
      </c>
      <c r="F411" s="245" t="s">
        <v>355</v>
      </c>
      <c r="G411" s="245">
        <v>362</v>
      </c>
      <c r="H411" s="245" t="s">
        <v>3113</v>
      </c>
      <c r="I411" s="245" t="s">
        <v>356</v>
      </c>
      <c r="J411" s="245" t="s">
        <v>2703</v>
      </c>
      <c r="K411" s="246" t="s">
        <v>3079</v>
      </c>
      <c r="L411" s="245" t="s">
        <v>2294</v>
      </c>
      <c r="M411" s="245" t="s">
        <v>3080</v>
      </c>
      <c r="N411" s="245" t="s">
        <v>2759</v>
      </c>
      <c r="O411" s="158" t="s">
        <v>61</v>
      </c>
      <c r="P411" s="92"/>
      <c r="Q411" s="146" t="s">
        <v>61</v>
      </c>
      <c r="R411" s="92"/>
      <c r="S411" s="146" t="s">
        <v>61</v>
      </c>
      <c r="T411" s="92"/>
      <c r="U411" s="146" t="s">
        <v>61</v>
      </c>
      <c r="V411" s="92"/>
      <c r="W411" s="146" t="s">
        <v>61</v>
      </c>
      <c r="X411" s="92"/>
      <c r="Y411" s="146" t="s">
        <v>61</v>
      </c>
      <c r="Z411" s="92"/>
      <c r="AA411" s="146" t="s">
        <v>61</v>
      </c>
      <c r="AB411" s="92"/>
      <c r="AC411" s="146" t="s">
        <v>61</v>
      </c>
      <c r="AD411" s="92"/>
      <c r="AE411" s="146" t="s">
        <v>61</v>
      </c>
      <c r="AF411" s="143" t="str">
        <f t="shared" si="27"/>
        <v>NA</v>
      </c>
      <c r="AG411" s="199" t="str">
        <f t="shared" si="26"/>
        <v>NÃO AVALIADO POR FALHA DE SINCRONISMO</v>
      </c>
      <c r="AH411" s="146" t="s">
        <v>204</v>
      </c>
      <c r="AI411" s="154" t="s">
        <v>6</v>
      </c>
      <c r="AJ411" s="151" t="str">
        <f t="shared" si="25"/>
        <v>GUARULHOS</v>
      </c>
      <c r="AK411" s="155" t="s">
        <v>59</v>
      </c>
      <c r="AL411" s="53">
        <v>-8.2000000000000003E-2</v>
      </c>
      <c r="AM411" s="53" t="str" cm="1">
        <f t="array" ref="AM411">IF(OR(O411&lt;&gt;"", SUMPRODUCT(($AN$2:$AN$561=AN411)*($AL$2:$AL$561&lt;=AL411)) &lt;= (COUNTIF($AN$2:$AN$561,AN411)*0.5)), "SORTEADO", "-")</f>
        <v>SORTEADO</v>
      </c>
      <c r="AN411" s="53" t="str">
        <f t="shared" si="28"/>
        <v>28/04/2026</v>
      </c>
    </row>
    <row r="412" spans="1:40" ht="30" hidden="1" customHeight="1" x14ac:dyDescent="0.2">
      <c r="A412" s="245" t="s">
        <v>197</v>
      </c>
      <c r="B412" s="245">
        <v>2617306634</v>
      </c>
      <c r="C412" s="245" t="s">
        <v>2701</v>
      </c>
      <c r="D412" s="245" t="s">
        <v>110</v>
      </c>
      <c r="E412" s="245" t="s">
        <v>198</v>
      </c>
      <c r="F412" s="245" t="s">
        <v>355</v>
      </c>
      <c r="G412" s="245">
        <v>361</v>
      </c>
      <c r="H412" s="245"/>
      <c r="I412" s="245" t="s">
        <v>356</v>
      </c>
      <c r="J412" s="245" t="s">
        <v>2703</v>
      </c>
      <c r="K412" s="246" t="s">
        <v>3079</v>
      </c>
      <c r="L412" s="245" t="s">
        <v>2294</v>
      </c>
      <c r="M412" s="245" t="s">
        <v>3080</v>
      </c>
      <c r="N412" s="245" t="s">
        <v>2759</v>
      </c>
      <c r="O412" s="158" t="s">
        <v>61</v>
      </c>
      <c r="P412" s="92"/>
      <c r="Q412" s="146" t="s">
        <v>61</v>
      </c>
      <c r="R412" s="92"/>
      <c r="S412" s="146" t="s">
        <v>61</v>
      </c>
      <c r="T412" s="92"/>
      <c r="U412" s="146" t="s">
        <v>61</v>
      </c>
      <c r="V412" s="92"/>
      <c r="W412" s="146" t="s">
        <v>61</v>
      </c>
      <c r="X412" s="92"/>
      <c r="Y412" s="146" t="s">
        <v>61</v>
      </c>
      <c r="Z412" s="92"/>
      <c r="AA412" s="146" t="s">
        <v>61</v>
      </c>
      <c r="AB412" s="92"/>
      <c r="AC412" s="146" t="s">
        <v>61</v>
      </c>
      <c r="AD412" s="92"/>
      <c r="AE412" s="146" t="s">
        <v>61</v>
      </c>
      <c r="AF412" s="143" t="str">
        <f t="shared" si="27"/>
        <v>NA</v>
      </c>
      <c r="AG412" s="199" t="str">
        <f t="shared" si="26"/>
        <v>NÃO AVALIADO POR FALHA DE SINCRONISMO</v>
      </c>
      <c r="AH412" s="146" t="s">
        <v>204</v>
      </c>
      <c r="AI412" s="154" t="s">
        <v>6</v>
      </c>
      <c r="AJ412" s="151" t="str">
        <f t="shared" si="25"/>
        <v>GUARULHOS</v>
      </c>
      <c r="AK412" s="155" t="s">
        <v>59</v>
      </c>
      <c r="AL412" s="53">
        <v>-8.2199999999999995E-2</v>
      </c>
      <c r="AM412" s="53" t="str" cm="1">
        <f t="array" ref="AM412">IF(OR(O412&lt;&gt;"", SUMPRODUCT(($AN$2:$AN$561=AN412)*($AL$2:$AL$561&lt;=AL412)) &lt;= (COUNTIF($AN$2:$AN$561,AN412)*0.5)), "SORTEADO", "-")</f>
        <v>SORTEADO</v>
      </c>
      <c r="AN412" s="53" t="str">
        <f t="shared" si="28"/>
        <v>28/04/2026</v>
      </c>
    </row>
    <row r="413" spans="1:40" ht="30" hidden="1" customHeight="1" x14ac:dyDescent="0.2">
      <c r="A413" s="245" t="s">
        <v>197</v>
      </c>
      <c r="B413" s="245">
        <v>2617301647</v>
      </c>
      <c r="C413" s="245" t="s">
        <v>2701</v>
      </c>
      <c r="D413" s="245" t="s">
        <v>110</v>
      </c>
      <c r="E413" s="245" t="s">
        <v>198</v>
      </c>
      <c r="F413" s="245" t="s">
        <v>355</v>
      </c>
      <c r="G413" s="245">
        <v>36</v>
      </c>
      <c r="H413" s="245" t="s">
        <v>213</v>
      </c>
      <c r="I413" s="245" t="s">
        <v>356</v>
      </c>
      <c r="J413" s="245" t="s">
        <v>2703</v>
      </c>
      <c r="K413" s="246" t="s">
        <v>3075</v>
      </c>
      <c r="L413" s="245" t="s">
        <v>2294</v>
      </c>
      <c r="M413" s="245" t="s">
        <v>3076</v>
      </c>
      <c r="N413" s="245" t="s">
        <v>2759</v>
      </c>
      <c r="O413" s="158" t="s">
        <v>61</v>
      </c>
      <c r="P413" s="92"/>
      <c r="Q413" s="146" t="s">
        <v>61</v>
      </c>
      <c r="R413" s="92"/>
      <c r="S413" s="146" t="s">
        <v>61</v>
      </c>
      <c r="T413" s="92"/>
      <c r="U413" s="146" t="s">
        <v>61</v>
      </c>
      <c r="V413" s="92"/>
      <c r="W413" s="146" t="s">
        <v>61</v>
      </c>
      <c r="X413" s="92"/>
      <c r="Y413" s="146" t="s">
        <v>61</v>
      </c>
      <c r="Z413" s="92"/>
      <c r="AA413" s="146" t="s">
        <v>61</v>
      </c>
      <c r="AB413" s="92"/>
      <c r="AC413" s="146" t="s">
        <v>61</v>
      </c>
      <c r="AD413" s="92"/>
      <c r="AE413" s="146" t="s">
        <v>61</v>
      </c>
      <c r="AF413" s="143" t="str">
        <f t="shared" si="27"/>
        <v>NA</v>
      </c>
      <c r="AG413" s="199" t="str">
        <f t="shared" si="26"/>
        <v>NÃO AVALIADO POR FALHA DE SINCRONISMO</v>
      </c>
      <c r="AH413" s="146" t="s">
        <v>204</v>
      </c>
      <c r="AI413" s="154" t="s">
        <v>6</v>
      </c>
      <c r="AJ413" s="151" t="str">
        <f t="shared" si="25"/>
        <v>GUARULHOS</v>
      </c>
      <c r="AK413" s="155" t="s">
        <v>59</v>
      </c>
      <c r="AL413" s="53">
        <v>-8.2400000000000001E-2</v>
      </c>
      <c r="AM413" s="53" t="str" cm="1">
        <f t="array" ref="AM413">IF(OR(O413&lt;&gt;"", SUMPRODUCT(($AN$2:$AN$561=AN413)*($AL$2:$AL$561&lt;=AL413)) &lt;= (COUNTIF($AN$2:$AN$561,AN413)*0.5)), "SORTEADO", "-")</f>
        <v>SORTEADO</v>
      </c>
      <c r="AN413" s="53" t="str">
        <f t="shared" si="28"/>
        <v>28/04/2026</v>
      </c>
    </row>
    <row r="414" spans="1:40" ht="30" hidden="1" customHeight="1" x14ac:dyDescent="0.2">
      <c r="A414" s="245" t="s">
        <v>197</v>
      </c>
      <c r="B414" s="245">
        <v>2617305965</v>
      </c>
      <c r="C414" s="245" t="s">
        <v>2701</v>
      </c>
      <c r="D414" s="245" t="s">
        <v>110</v>
      </c>
      <c r="E414" s="245" t="s">
        <v>198</v>
      </c>
      <c r="F414" s="245" t="s">
        <v>355</v>
      </c>
      <c r="G414" s="245">
        <v>356</v>
      </c>
      <c r="H414" s="245" t="s">
        <v>3114</v>
      </c>
      <c r="I414" s="245" t="s">
        <v>356</v>
      </c>
      <c r="J414" s="245" t="s">
        <v>2703</v>
      </c>
      <c r="K414" s="245"/>
      <c r="L414" s="245" t="s">
        <v>2294</v>
      </c>
      <c r="M414" s="245" t="s">
        <v>3080</v>
      </c>
      <c r="N414" s="245" t="s">
        <v>2759</v>
      </c>
      <c r="O414" s="158" t="s">
        <v>61</v>
      </c>
      <c r="P414" s="92"/>
      <c r="Q414" s="146" t="s">
        <v>61</v>
      </c>
      <c r="R414" s="92"/>
      <c r="S414" s="146" t="s">
        <v>61</v>
      </c>
      <c r="T414" s="92"/>
      <c r="U414" s="146" t="s">
        <v>61</v>
      </c>
      <c r="V414" s="92"/>
      <c r="W414" s="146" t="s">
        <v>61</v>
      </c>
      <c r="X414" s="92"/>
      <c r="Y414" s="146" t="s">
        <v>61</v>
      </c>
      <c r="Z414" s="92"/>
      <c r="AA414" s="146" t="s">
        <v>61</v>
      </c>
      <c r="AB414" s="92"/>
      <c r="AC414" s="146" t="s">
        <v>61</v>
      </c>
      <c r="AD414" s="92"/>
      <c r="AE414" s="146" t="s">
        <v>61</v>
      </c>
      <c r="AF414" s="143" t="str">
        <f t="shared" si="27"/>
        <v>NA</v>
      </c>
      <c r="AG414" s="199" t="str">
        <f t="shared" si="26"/>
        <v>NÃO AVALIADO POR FALHA DE SINCRONISMO</v>
      </c>
      <c r="AH414" s="146" t="s">
        <v>204</v>
      </c>
      <c r="AI414" s="154" t="s">
        <v>6</v>
      </c>
      <c r="AJ414" s="151" t="str">
        <f t="shared" ref="AJ414:AJ477" si="29">E414</f>
        <v>GUARULHOS</v>
      </c>
      <c r="AK414" s="155" t="s">
        <v>59</v>
      </c>
      <c r="AL414" s="53">
        <v>-8.2600000000000007E-2</v>
      </c>
      <c r="AM414" s="53" t="str" cm="1">
        <f t="array" ref="AM414">IF(OR(O414&lt;&gt;"", SUMPRODUCT(($AN$2:$AN$561=AN414)*($AL$2:$AL$561&lt;=AL414)) &lt;= (COUNTIF($AN$2:$AN$561,AN414)*0.5)), "SORTEADO", "-")</f>
        <v>SORTEADO</v>
      </c>
      <c r="AN414" s="53" t="str">
        <f t="shared" si="28"/>
        <v>28/04/2026</v>
      </c>
    </row>
    <row r="415" spans="1:40" ht="30" hidden="1" customHeight="1" x14ac:dyDescent="0.2">
      <c r="A415" s="245" t="s">
        <v>197</v>
      </c>
      <c r="B415" s="245">
        <v>2617305701</v>
      </c>
      <c r="C415" s="245" t="s">
        <v>2701</v>
      </c>
      <c r="D415" s="245" t="s">
        <v>110</v>
      </c>
      <c r="E415" s="245" t="s">
        <v>198</v>
      </c>
      <c r="F415" s="245" t="s">
        <v>355</v>
      </c>
      <c r="G415" s="245">
        <v>349</v>
      </c>
      <c r="H415" s="245" t="s">
        <v>1725</v>
      </c>
      <c r="I415" s="245" t="s">
        <v>356</v>
      </c>
      <c r="J415" s="245" t="s">
        <v>2703</v>
      </c>
      <c r="K415" s="246" t="s">
        <v>3079</v>
      </c>
      <c r="L415" s="245" t="s">
        <v>2294</v>
      </c>
      <c r="M415" s="245" t="s">
        <v>3080</v>
      </c>
      <c r="N415" s="245" t="s">
        <v>2759</v>
      </c>
      <c r="O415" s="158" t="s">
        <v>61</v>
      </c>
      <c r="P415" s="92"/>
      <c r="Q415" s="146" t="s">
        <v>61</v>
      </c>
      <c r="R415" s="92"/>
      <c r="S415" s="146" t="s">
        <v>61</v>
      </c>
      <c r="T415" s="92"/>
      <c r="U415" s="146" t="s">
        <v>61</v>
      </c>
      <c r="V415" s="92"/>
      <c r="W415" s="146" t="s">
        <v>61</v>
      </c>
      <c r="X415" s="92"/>
      <c r="Y415" s="146" t="s">
        <v>61</v>
      </c>
      <c r="Z415" s="92"/>
      <c r="AA415" s="146" t="s">
        <v>61</v>
      </c>
      <c r="AB415" s="92"/>
      <c r="AC415" s="146" t="s">
        <v>61</v>
      </c>
      <c r="AD415" s="92"/>
      <c r="AE415" s="146" t="s">
        <v>61</v>
      </c>
      <c r="AF415" s="143" t="str">
        <f t="shared" si="27"/>
        <v>NA</v>
      </c>
      <c r="AG415" s="199" t="str">
        <f t="shared" si="26"/>
        <v>NÃO AVALIADO POR FALHA DE SINCRONISMO</v>
      </c>
      <c r="AH415" s="146" t="s">
        <v>204</v>
      </c>
      <c r="AI415" s="154" t="s">
        <v>6</v>
      </c>
      <c r="AJ415" s="151" t="str">
        <f t="shared" si="29"/>
        <v>GUARULHOS</v>
      </c>
      <c r="AK415" s="155" t="s">
        <v>59</v>
      </c>
      <c r="AL415" s="53">
        <v>-8.2799999999999999E-2</v>
      </c>
      <c r="AM415" s="53" t="str" cm="1">
        <f t="array" ref="AM415">IF(OR(O415&lt;&gt;"", SUMPRODUCT(($AN$2:$AN$561=AN415)*($AL$2:$AL$561&lt;=AL415)) &lt;= (COUNTIF($AN$2:$AN$561,AN415)*0.5)), "SORTEADO", "-")</f>
        <v>SORTEADO</v>
      </c>
      <c r="AN415" s="53" t="str">
        <f t="shared" si="28"/>
        <v>28/04/2026</v>
      </c>
    </row>
    <row r="416" spans="1:40" ht="30" hidden="1" customHeight="1" x14ac:dyDescent="0.2">
      <c r="A416" s="245" t="s">
        <v>197</v>
      </c>
      <c r="B416" s="245">
        <v>2617305786</v>
      </c>
      <c r="C416" s="245" t="s">
        <v>2701</v>
      </c>
      <c r="D416" s="245" t="s">
        <v>110</v>
      </c>
      <c r="E416" s="245" t="s">
        <v>198</v>
      </c>
      <c r="F416" s="245" t="s">
        <v>355</v>
      </c>
      <c r="G416" s="245">
        <v>346</v>
      </c>
      <c r="H416" s="245" t="s">
        <v>3115</v>
      </c>
      <c r="I416" s="245" t="s">
        <v>356</v>
      </c>
      <c r="J416" s="245" t="s">
        <v>2703</v>
      </c>
      <c r="K416" s="246" t="s">
        <v>3079</v>
      </c>
      <c r="L416" s="245" t="s">
        <v>2294</v>
      </c>
      <c r="M416" s="245" t="s">
        <v>3080</v>
      </c>
      <c r="N416" s="245" t="s">
        <v>2759</v>
      </c>
      <c r="O416" s="158" t="s">
        <v>61</v>
      </c>
      <c r="P416" s="92"/>
      <c r="Q416" s="146" t="s">
        <v>61</v>
      </c>
      <c r="R416" s="92"/>
      <c r="S416" s="146" t="s">
        <v>61</v>
      </c>
      <c r="T416" s="92"/>
      <c r="U416" s="146" t="s">
        <v>61</v>
      </c>
      <c r="V416" s="92"/>
      <c r="W416" s="146" t="s">
        <v>61</v>
      </c>
      <c r="X416" s="92"/>
      <c r="Y416" s="146" t="s">
        <v>61</v>
      </c>
      <c r="Z416" s="92"/>
      <c r="AA416" s="146" t="s">
        <v>61</v>
      </c>
      <c r="AB416" s="92"/>
      <c r="AC416" s="146" t="s">
        <v>61</v>
      </c>
      <c r="AD416" s="92"/>
      <c r="AE416" s="146" t="s">
        <v>61</v>
      </c>
      <c r="AF416" s="143" t="str">
        <f t="shared" si="27"/>
        <v>NA</v>
      </c>
      <c r="AG416" s="199" t="str">
        <f t="shared" si="26"/>
        <v>NÃO AVALIADO POR FALHA DE SINCRONISMO</v>
      </c>
      <c r="AH416" s="146" t="s">
        <v>204</v>
      </c>
      <c r="AI416" s="154" t="s">
        <v>6</v>
      </c>
      <c r="AJ416" s="151" t="str">
        <f t="shared" si="29"/>
        <v>GUARULHOS</v>
      </c>
      <c r="AK416" s="155" t="s">
        <v>59</v>
      </c>
      <c r="AL416" s="53">
        <v>-8.3000000000000004E-2</v>
      </c>
      <c r="AM416" s="53" t="str" cm="1">
        <f t="array" ref="AM416">IF(OR(O416&lt;&gt;"", SUMPRODUCT(($AN$2:$AN$561=AN416)*($AL$2:$AL$561&lt;=AL416)) &lt;= (COUNTIF($AN$2:$AN$561,AN416)*0.5)), "SORTEADO", "-")</f>
        <v>SORTEADO</v>
      </c>
      <c r="AN416" s="53" t="str">
        <f t="shared" si="28"/>
        <v>28/04/2026</v>
      </c>
    </row>
    <row r="417" spans="1:40" ht="30" hidden="1" customHeight="1" x14ac:dyDescent="0.2">
      <c r="A417" s="245" t="s">
        <v>197</v>
      </c>
      <c r="B417" s="245">
        <v>2617305311</v>
      </c>
      <c r="C417" s="245" t="s">
        <v>2701</v>
      </c>
      <c r="D417" s="245" t="s">
        <v>110</v>
      </c>
      <c r="E417" s="245" t="s">
        <v>198</v>
      </c>
      <c r="F417" s="245" t="s">
        <v>355</v>
      </c>
      <c r="G417" s="245">
        <v>334</v>
      </c>
      <c r="H417" s="245" t="s">
        <v>2323</v>
      </c>
      <c r="I417" s="245" t="s">
        <v>356</v>
      </c>
      <c r="J417" s="245" t="s">
        <v>2703</v>
      </c>
      <c r="K417" s="246" t="s">
        <v>3079</v>
      </c>
      <c r="L417" s="245" t="s">
        <v>2294</v>
      </c>
      <c r="M417" s="245" t="s">
        <v>3080</v>
      </c>
      <c r="N417" s="245" t="s">
        <v>2759</v>
      </c>
      <c r="O417" s="158" t="s">
        <v>61</v>
      </c>
      <c r="P417" s="92"/>
      <c r="Q417" s="146" t="s">
        <v>61</v>
      </c>
      <c r="R417" s="92"/>
      <c r="S417" s="146" t="s">
        <v>61</v>
      </c>
      <c r="T417" s="92"/>
      <c r="U417" s="146" t="s">
        <v>61</v>
      </c>
      <c r="V417" s="92"/>
      <c r="W417" s="146" t="s">
        <v>61</v>
      </c>
      <c r="X417" s="92"/>
      <c r="Y417" s="146" t="s">
        <v>61</v>
      </c>
      <c r="Z417" s="92"/>
      <c r="AA417" s="146" t="s">
        <v>61</v>
      </c>
      <c r="AB417" s="92"/>
      <c r="AC417" s="146" t="s">
        <v>61</v>
      </c>
      <c r="AD417" s="92"/>
      <c r="AE417" s="146" t="s">
        <v>61</v>
      </c>
      <c r="AF417" s="143" t="str">
        <f t="shared" si="27"/>
        <v>NA</v>
      </c>
      <c r="AG417" s="199" t="str">
        <f t="shared" si="26"/>
        <v>NÃO AVALIADO POR FALHA DE SINCRONISMO</v>
      </c>
      <c r="AH417" s="146" t="s">
        <v>204</v>
      </c>
      <c r="AI417" s="154" t="s">
        <v>6</v>
      </c>
      <c r="AJ417" s="151" t="str">
        <f t="shared" si="29"/>
        <v>GUARULHOS</v>
      </c>
      <c r="AK417" s="155" t="s">
        <v>59</v>
      </c>
      <c r="AL417" s="53">
        <v>-8.3199999999999996E-2</v>
      </c>
      <c r="AM417" s="53" t="str" cm="1">
        <f t="array" ref="AM417">IF(OR(O417&lt;&gt;"", SUMPRODUCT(($AN$2:$AN$561=AN417)*($AL$2:$AL$561&lt;=AL417)) &lt;= (COUNTIF($AN$2:$AN$561,AN417)*0.5)), "SORTEADO", "-")</f>
        <v>SORTEADO</v>
      </c>
      <c r="AN417" s="53" t="str">
        <f t="shared" si="28"/>
        <v>28/04/2026</v>
      </c>
    </row>
    <row r="418" spans="1:40" ht="30" hidden="1" customHeight="1" x14ac:dyDescent="0.2">
      <c r="A418" s="245" t="s">
        <v>197</v>
      </c>
      <c r="B418" s="245">
        <v>2617303190</v>
      </c>
      <c r="C418" s="245" t="s">
        <v>2701</v>
      </c>
      <c r="D418" s="245" t="s">
        <v>110</v>
      </c>
      <c r="E418" s="245" t="s">
        <v>198</v>
      </c>
      <c r="F418" s="245" t="s">
        <v>355</v>
      </c>
      <c r="G418" s="245">
        <v>325</v>
      </c>
      <c r="H418" s="245"/>
      <c r="I418" s="245" t="s">
        <v>356</v>
      </c>
      <c r="J418" s="245" t="s">
        <v>2703</v>
      </c>
      <c r="K418" s="246" t="s">
        <v>3079</v>
      </c>
      <c r="L418" s="245" t="s">
        <v>2294</v>
      </c>
      <c r="M418" s="245" t="s">
        <v>3080</v>
      </c>
      <c r="N418" s="245" t="s">
        <v>2759</v>
      </c>
      <c r="O418" s="158" t="s">
        <v>61</v>
      </c>
      <c r="P418" s="92"/>
      <c r="Q418" s="146" t="s">
        <v>61</v>
      </c>
      <c r="R418" s="92"/>
      <c r="S418" s="146" t="s">
        <v>61</v>
      </c>
      <c r="T418" s="92"/>
      <c r="U418" s="146" t="s">
        <v>61</v>
      </c>
      <c r="V418" s="92"/>
      <c r="W418" s="146" t="s">
        <v>61</v>
      </c>
      <c r="X418" s="92"/>
      <c r="Y418" s="146" t="s">
        <v>61</v>
      </c>
      <c r="Z418" s="92"/>
      <c r="AA418" s="146" t="s">
        <v>61</v>
      </c>
      <c r="AB418" s="92"/>
      <c r="AC418" s="146" t="s">
        <v>61</v>
      </c>
      <c r="AD418" s="92"/>
      <c r="AE418" s="146" t="s">
        <v>61</v>
      </c>
      <c r="AF418" s="143" t="str">
        <f t="shared" si="27"/>
        <v>NA</v>
      </c>
      <c r="AG418" s="199" t="str">
        <f t="shared" si="26"/>
        <v>NÃO AVALIADO POR FALHA DE SINCRONISMO</v>
      </c>
      <c r="AH418" s="146" t="s">
        <v>204</v>
      </c>
      <c r="AI418" s="154" t="s">
        <v>6</v>
      </c>
      <c r="AJ418" s="151" t="str">
        <f t="shared" si="29"/>
        <v>GUARULHOS</v>
      </c>
      <c r="AK418" s="155" t="s">
        <v>59</v>
      </c>
      <c r="AL418" s="53">
        <v>-8.3400000000000002E-2</v>
      </c>
      <c r="AM418" s="53" t="str" cm="1">
        <f t="array" ref="AM418">IF(OR(O418&lt;&gt;"", SUMPRODUCT(($AN$2:$AN$561=AN418)*($AL$2:$AL$561&lt;=AL418)) &lt;= (COUNTIF($AN$2:$AN$561,AN418)*0.5)), "SORTEADO", "-")</f>
        <v>SORTEADO</v>
      </c>
      <c r="AN418" s="53" t="str">
        <f t="shared" si="28"/>
        <v>28/04/2026</v>
      </c>
    </row>
    <row r="419" spans="1:40" ht="30" hidden="1" customHeight="1" x14ac:dyDescent="0.2">
      <c r="A419" s="245" t="s">
        <v>197</v>
      </c>
      <c r="B419" s="245">
        <v>2614793765</v>
      </c>
      <c r="C419" s="245" t="s">
        <v>3015</v>
      </c>
      <c r="D419" s="245" t="s">
        <v>112</v>
      </c>
      <c r="E419" s="245" t="s">
        <v>198</v>
      </c>
      <c r="F419" s="245" t="s">
        <v>261</v>
      </c>
      <c r="G419" s="245">
        <v>419</v>
      </c>
      <c r="H419" s="245" t="s">
        <v>675</v>
      </c>
      <c r="I419" s="245" t="s">
        <v>262</v>
      </c>
      <c r="J419" s="245" t="s">
        <v>3016</v>
      </c>
      <c r="K419" s="245" t="s">
        <v>3116</v>
      </c>
      <c r="L419" s="245" t="s">
        <v>2294</v>
      </c>
      <c r="M419" s="245" t="s">
        <v>3080</v>
      </c>
      <c r="N419" s="245" t="s">
        <v>2707</v>
      </c>
      <c r="O419" s="158"/>
      <c r="P419" s="92"/>
      <c r="Q419" s="146"/>
      <c r="R419" s="92"/>
      <c r="S419" s="146"/>
      <c r="T419" s="92"/>
      <c r="U419" s="146"/>
      <c r="V419" s="92"/>
      <c r="W419" s="146"/>
      <c r="X419" s="92"/>
      <c r="Y419" s="146"/>
      <c r="Z419" s="92"/>
      <c r="AA419" s="146"/>
      <c r="AB419" s="92"/>
      <c r="AC419" s="146"/>
      <c r="AD419" s="92"/>
      <c r="AE419" s="146"/>
      <c r="AF419" s="143" t="str">
        <f t="shared" si="27"/>
        <v/>
      </c>
      <c r="AG419" s="199" t="b">
        <f t="shared" si="26"/>
        <v>0</v>
      </c>
      <c r="AH419" s="146"/>
      <c r="AI419" s="154" t="s">
        <v>6</v>
      </c>
      <c r="AJ419" s="151" t="str">
        <f t="shared" si="29"/>
        <v>GUARULHOS</v>
      </c>
      <c r="AK419" s="155" t="s">
        <v>59</v>
      </c>
      <c r="AL419" s="53">
        <v>0.68005887123880315</v>
      </c>
      <c r="AM419" s="53" t="str" cm="1">
        <f t="array" ref="AM419">IF(OR(O419&lt;&gt;"", SUMPRODUCT(($AN$2:$AN$561=AN419)*($AL$2:$AL$561&lt;=AL419)) &lt;= (COUNTIF($AN$2:$AN$561,AN419)*0.5)), "SORTEADO", "-")</f>
        <v>-</v>
      </c>
      <c r="AN419" s="53" t="str">
        <f t="shared" si="28"/>
        <v>28/04/2026</v>
      </c>
    </row>
    <row r="420" spans="1:40" ht="30" hidden="1" customHeight="1" x14ac:dyDescent="0.2">
      <c r="A420" s="245" t="s">
        <v>197</v>
      </c>
      <c r="B420" s="245">
        <v>2617316492</v>
      </c>
      <c r="C420" s="245" t="s">
        <v>2741</v>
      </c>
      <c r="D420" s="245" t="s">
        <v>111</v>
      </c>
      <c r="E420" s="245" t="s">
        <v>198</v>
      </c>
      <c r="F420" s="245" t="s">
        <v>261</v>
      </c>
      <c r="G420" s="245">
        <v>415</v>
      </c>
      <c r="H420" s="245"/>
      <c r="I420" s="245" t="s">
        <v>262</v>
      </c>
      <c r="J420" s="245" t="s">
        <v>2742</v>
      </c>
      <c r="K420" s="246" t="s">
        <v>3117</v>
      </c>
      <c r="L420" s="245" t="s">
        <v>2294</v>
      </c>
      <c r="M420" s="245" t="s">
        <v>3080</v>
      </c>
      <c r="N420" s="245" t="s">
        <v>2707</v>
      </c>
      <c r="O420" s="158"/>
      <c r="P420" s="92"/>
      <c r="Q420" s="146"/>
      <c r="R420" s="92"/>
      <c r="S420" s="146"/>
      <c r="T420" s="92"/>
      <c r="U420" s="146"/>
      <c r="V420" s="92"/>
      <c r="W420" s="146"/>
      <c r="X420" s="92"/>
      <c r="Y420" s="146"/>
      <c r="Z420" s="92"/>
      <c r="AA420" s="146"/>
      <c r="AB420" s="92"/>
      <c r="AC420" s="146"/>
      <c r="AD420" s="92"/>
      <c r="AE420" s="146"/>
      <c r="AF420" s="143" t="str">
        <f t="shared" si="27"/>
        <v/>
      </c>
      <c r="AG420" s="199" t="b">
        <f t="shared" si="26"/>
        <v>0</v>
      </c>
      <c r="AH420" s="146"/>
      <c r="AI420" s="154" t="s">
        <v>6</v>
      </c>
      <c r="AJ420" s="151" t="str">
        <f t="shared" si="29"/>
        <v>GUARULHOS</v>
      </c>
      <c r="AK420" s="155" t="s">
        <v>59</v>
      </c>
      <c r="AL420" s="53">
        <v>0.10301361592904523</v>
      </c>
      <c r="AM420" s="53" t="str" cm="1">
        <f t="array" ref="AM420">IF(OR(O420&lt;&gt;"", SUMPRODUCT(($AN$2:$AN$561=AN420)*($AL$2:$AL$561&lt;=AL420)) &lt;= (COUNTIF($AN$2:$AN$561,AN420)*0.5)), "SORTEADO", "-")</f>
        <v>-</v>
      </c>
      <c r="AN420" s="53" t="str">
        <f t="shared" si="28"/>
        <v>28/04/2026</v>
      </c>
    </row>
    <row r="421" spans="1:40" ht="30" hidden="1" customHeight="1" x14ac:dyDescent="0.2">
      <c r="A421" s="245" t="s">
        <v>197</v>
      </c>
      <c r="B421" s="245">
        <v>2617751127</v>
      </c>
      <c r="C421" s="245" t="s">
        <v>121</v>
      </c>
      <c r="D421" s="245" t="s">
        <v>110</v>
      </c>
      <c r="E421" s="245" t="s">
        <v>198</v>
      </c>
      <c r="F421" s="245" t="s">
        <v>3118</v>
      </c>
      <c r="G421" s="245">
        <v>55</v>
      </c>
      <c r="H421" s="245" t="s">
        <v>1599</v>
      </c>
      <c r="I421" s="245" t="s">
        <v>1163</v>
      </c>
      <c r="J421" s="245" t="s">
        <v>2661</v>
      </c>
      <c r="K421" s="245" t="s">
        <v>3119</v>
      </c>
      <c r="L421" s="245" t="s">
        <v>2294</v>
      </c>
      <c r="M421" s="245" t="s">
        <v>3120</v>
      </c>
      <c r="N421" s="245" t="s">
        <v>2638</v>
      </c>
      <c r="O421" s="158"/>
      <c r="P421" s="92"/>
      <c r="Q421" s="146"/>
      <c r="R421" s="92"/>
      <c r="S421" s="146"/>
      <c r="T421" s="92"/>
      <c r="U421" s="146"/>
      <c r="V421" s="92"/>
      <c r="W421" s="146"/>
      <c r="X421" s="92"/>
      <c r="Y421" s="146"/>
      <c r="Z421" s="92"/>
      <c r="AA421" s="146"/>
      <c r="AB421" s="92"/>
      <c r="AC421" s="146"/>
      <c r="AD421" s="92"/>
      <c r="AE421" s="146"/>
      <c r="AF421" s="143" t="str">
        <f t="shared" si="27"/>
        <v/>
      </c>
      <c r="AG421" s="199" t="b">
        <f t="shared" si="26"/>
        <v>0</v>
      </c>
      <c r="AH421" s="146"/>
      <c r="AI421" s="154" t="s">
        <v>6</v>
      </c>
      <c r="AJ421" s="151" t="str">
        <f t="shared" si="29"/>
        <v>GUARULHOS</v>
      </c>
      <c r="AK421" s="155" t="s">
        <v>59</v>
      </c>
      <c r="AL421" s="53">
        <v>0.9983313920599155</v>
      </c>
      <c r="AM421" s="53" t="str" cm="1">
        <f t="array" ref="AM421">IF(OR(O421&lt;&gt;"", SUMPRODUCT(($AN$2:$AN$561=AN421)*($AL$2:$AL$561&lt;=AL421)) &lt;= (COUNTIF($AN$2:$AN$561,AN421)*0.5)), "SORTEADO", "-")</f>
        <v>-</v>
      </c>
      <c r="AN421" s="53" t="str">
        <f t="shared" si="28"/>
        <v>28/04/2026</v>
      </c>
    </row>
    <row r="422" spans="1:40" ht="30" hidden="1" customHeight="1" x14ac:dyDescent="0.2">
      <c r="A422" s="245" t="s">
        <v>197</v>
      </c>
      <c r="B422" s="245">
        <v>2616348310</v>
      </c>
      <c r="C422" s="245" t="s">
        <v>3015</v>
      </c>
      <c r="D422" s="245" t="s">
        <v>112</v>
      </c>
      <c r="E422" s="245" t="s">
        <v>198</v>
      </c>
      <c r="F422" s="245" t="s">
        <v>3062</v>
      </c>
      <c r="G422" s="245">
        <v>0</v>
      </c>
      <c r="H422" s="245" t="s">
        <v>3063</v>
      </c>
      <c r="I422" s="245" t="s">
        <v>3064</v>
      </c>
      <c r="J422" s="245" t="s">
        <v>3016</v>
      </c>
      <c r="K422" s="246" t="s">
        <v>3121</v>
      </c>
      <c r="L422" s="245" t="s">
        <v>2294</v>
      </c>
      <c r="M422" s="245" t="s">
        <v>3080</v>
      </c>
      <c r="N422" s="245" t="s">
        <v>2707</v>
      </c>
      <c r="O422" s="158"/>
      <c r="P422" s="92"/>
      <c r="Q422" s="146"/>
      <c r="R422" s="92"/>
      <c r="S422" s="146"/>
      <c r="T422" s="92"/>
      <c r="U422" s="146"/>
      <c r="V422" s="92"/>
      <c r="W422" s="146"/>
      <c r="X422" s="92"/>
      <c r="Y422" s="146"/>
      <c r="Z422" s="92"/>
      <c r="AA422" s="146"/>
      <c r="AB422" s="92"/>
      <c r="AC422" s="146"/>
      <c r="AD422" s="92"/>
      <c r="AE422" s="146"/>
      <c r="AF422" s="143" t="str">
        <f t="shared" si="27"/>
        <v/>
      </c>
      <c r="AG422" s="199" t="b">
        <f t="shared" si="26"/>
        <v>0</v>
      </c>
      <c r="AH422" s="146"/>
      <c r="AI422" s="154" t="s">
        <v>6</v>
      </c>
      <c r="AJ422" s="151" t="str">
        <f t="shared" si="29"/>
        <v>GUARULHOS</v>
      </c>
      <c r="AK422" s="155" t="s">
        <v>59</v>
      </c>
      <c r="AL422" s="53">
        <v>0.58768161747365655</v>
      </c>
      <c r="AM422" s="53" t="str" cm="1">
        <f t="array" ref="AM422">IF(OR(O422&lt;&gt;"", SUMPRODUCT(($AN$2:$AN$561=AN422)*($AL$2:$AL$561&lt;=AL422)) &lt;= (COUNTIF($AN$2:$AN$561,AN422)*0.5)), "SORTEADO", "-")</f>
        <v>-</v>
      </c>
      <c r="AN422" s="53" t="str">
        <f t="shared" si="28"/>
        <v>28/04/2026</v>
      </c>
    </row>
    <row r="423" spans="1:40" ht="30" hidden="1" customHeight="1" x14ac:dyDescent="0.2">
      <c r="A423" s="245" t="s">
        <v>197</v>
      </c>
      <c r="B423" s="245">
        <v>2617751500</v>
      </c>
      <c r="C423" s="245" t="s">
        <v>121</v>
      </c>
      <c r="D423" s="245" t="s">
        <v>110</v>
      </c>
      <c r="E423" s="245" t="s">
        <v>198</v>
      </c>
      <c r="F423" s="245" t="s">
        <v>3122</v>
      </c>
      <c r="G423" s="245">
        <v>388</v>
      </c>
      <c r="H423" s="245" t="s">
        <v>3123</v>
      </c>
      <c r="I423" s="245" t="s">
        <v>521</v>
      </c>
      <c r="J423" s="245" t="s">
        <v>2661</v>
      </c>
      <c r="K423" s="245" t="s">
        <v>3124</v>
      </c>
      <c r="L423" s="245" t="s">
        <v>2294</v>
      </c>
      <c r="M423" s="245" t="s">
        <v>3125</v>
      </c>
      <c r="N423" s="245" t="s">
        <v>2638</v>
      </c>
      <c r="O423" s="158"/>
      <c r="P423" s="92"/>
      <c r="Q423" s="146"/>
      <c r="R423" s="92"/>
      <c r="S423" s="146"/>
      <c r="T423" s="92"/>
      <c r="U423" s="146"/>
      <c r="V423" s="92"/>
      <c r="W423" s="146"/>
      <c r="X423" s="92"/>
      <c r="Y423" s="146"/>
      <c r="Z423" s="92"/>
      <c r="AA423" s="146"/>
      <c r="AB423" s="92"/>
      <c r="AC423" s="146"/>
      <c r="AD423" s="92"/>
      <c r="AE423" s="146"/>
      <c r="AF423" s="143" t="str">
        <f t="shared" si="27"/>
        <v/>
      </c>
      <c r="AG423" s="199" t="b">
        <f t="shared" si="26"/>
        <v>0</v>
      </c>
      <c r="AH423" s="146"/>
      <c r="AI423" s="154" t="s">
        <v>6</v>
      </c>
      <c r="AJ423" s="151" t="str">
        <f t="shared" si="29"/>
        <v>GUARULHOS</v>
      </c>
      <c r="AK423" s="155" t="s">
        <v>59</v>
      </c>
      <c r="AL423" s="53">
        <v>0.25511570586674248</v>
      </c>
      <c r="AM423" s="53" t="str" cm="1">
        <f t="array" ref="AM423">IF(OR(O423&lt;&gt;"", SUMPRODUCT(($AN$2:$AN$561=AN423)*($AL$2:$AL$561&lt;=AL423)) &lt;= (COUNTIF($AN$2:$AN$561,AN423)*0.5)), "SORTEADO", "-")</f>
        <v>-</v>
      </c>
      <c r="AN423" s="53" t="str">
        <f t="shared" si="28"/>
        <v>28/04/2026</v>
      </c>
    </row>
    <row r="424" spans="1:40" ht="30" hidden="1" customHeight="1" x14ac:dyDescent="0.2">
      <c r="A424" s="245" t="s">
        <v>197</v>
      </c>
      <c r="B424" s="245">
        <v>2617316540</v>
      </c>
      <c r="C424" s="245" t="s">
        <v>116</v>
      </c>
      <c r="D424" s="245" t="s">
        <v>111</v>
      </c>
      <c r="E424" s="245" t="s">
        <v>198</v>
      </c>
      <c r="F424" s="245" t="s">
        <v>261</v>
      </c>
      <c r="G424" s="245">
        <v>381</v>
      </c>
      <c r="H424" s="245"/>
      <c r="I424" s="245" t="s">
        <v>262</v>
      </c>
      <c r="J424" s="245" t="s">
        <v>2989</v>
      </c>
      <c r="K424" s="246" t="s">
        <v>3117</v>
      </c>
      <c r="L424" s="245" t="s">
        <v>2294</v>
      </c>
      <c r="M424" s="245" t="s">
        <v>3126</v>
      </c>
      <c r="N424" s="245" t="s">
        <v>2707</v>
      </c>
      <c r="O424" s="158"/>
      <c r="P424" s="92"/>
      <c r="Q424" s="146"/>
      <c r="R424" s="92"/>
      <c r="S424" s="146"/>
      <c r="T424" s="92"/>
      <c r="U424" s="146"/>
      <c r="V424" s="92"/>
      <c r="W424" s="146"/>
      <c r="X424" s="92"/>
      <c r="Y424" s="146"/>
      <c r="Z424" s="92"/>
      <c r="AA424" s="146"/>
      <c r="AB424" s="92"/>
      <c r="AC424" s="146"/>
      <c r="AD424" s="92"/>
      <c r="AE424" s="146"/>
      <c r="AF424" s="143" t="str">
        <f t="shared" si="27"/>
        <v/>
      </c>
      <c r="AG424" s="199" t="b">
        <f t="shared" si="26"/>
        <v>0</v>
      </c>
      <c r="AH424" s="146"/>
      <c r="AI424" s="154" t="s">
        <v>6</v>
      </c>
      <c r="AJ424" s="151" t="str">
        <f t="shared" si="29"/>
        <v>GUARULHOS</v>
      </c>
      <c r="AK424" s="155" t="s">
        <v>59</v>
      </c>
      <c r="AL424" s="53">
        <v>0.56653979029765977</v>
      </c>
      <c r="AM424" s="53" t="str" cm="1">
        <f t="array" ref="AM424">IF(OR(O424&lt;&gt;"", SUMPRODUCT(($AN$2:$AN$561=AN424)*($AL$2:$AL$561&lt;=AL424)) &lt;= (COUNTIF($AN$2:$AN$561,AN424)*0.5)), "SORTEADO", "-")</f>
        <v>-</v>
      </c>
      <c r="AN424" s="53" t="str">
        <f t="shared" si="28"/>
        <v>28/04/2026</v>
      </c>
    </row>
    <row r="425" spans="1:40" ht="30" hidden="1" customHeight="1" x14ac:dyDescent="0.2">
      <c r="A425" s="245" t="s">
        <v>197</v>
      </c>
      <c r="B425" s="245">
        <v>2615285368</v>
      </c>
      <c r="C425" s="245" t="s">
        <v>3015</v>
      </c>
      <c r="D425" s="245" t="s">
        <v>112</v>
      </c>
      <c r="E425" s="245" t="s">
        <v>198</v>
      </c>
      <c r="F425" s="245" t="s">
        <v>3127</v>
      </c>
      <c r="G425" s="245">
        <v>132</v>
      </c>
      <c r="H425" s="245" t="s">
        <v>3128</v>
      </c>
      <c r="I425" s="245" t="s">
        <v>1677</v>
      </c>
      <c r="J425" s="245" t="s">
        <v>3016</v>
      </c>
      <c r="K425" s="245" t="s">
        <v>3129</v>
      </c>
      <c r="L425" s="245" t="s">
        <v>2294</v>
      </c>
      <c r="M425" s="245" t="s">
        <v>3126</v>
      </c>
      <c r="N425" s="245" t="s">
        <v>2705</v>
      </c>
      <c r="O425" s="158"/>
      <c r="P425" s="92"/>
      <c r="Q425" s="146"/>
      <c r="R425" s="92"/>
      <c r="S425" s="146"/>
      <c r="T425" s="92"/>
      <c r="U425" s="146"/>
      <c r="V425" s="92"/>
      <c r="W425" s="146"/>
      <c r="X425" s="92"/>
      <c r="Y425" s="146"/>
      <c r="Z425" s="92"/>
      <c r="AA425" s="146"/>
      <c r="AB425" s="92"/>
      <c r="AC425" s="146"/>
      <c r="AD425" s="92"/>
      <c r="AE425" s="146"/>
      <c r="AF425" s="143" t="str">
        <f t="shared" si="27"/>
        <v/>
      </c>
      <c r="AG425" s="199" t="b">
        <f t="shared" si="26"/>
        <v>0</v>
      </c>
      <c r="AH425" s="146"/>
      <c r="AI425" s="154" t="s">
        <v>6</v>
      </c>
      <c r="AJ425" s="151" t="str">
        <f t="shared" si="29"/>
        <v>GUARULHOS</v>
      </c>
      <c r="AK425" s="155" t="s">
        <v>59</v>
      </c>
      <c r="AL425" s="53">
        <v>0.80817983760560297</v>
      </c>
      <c r="AM425" s="53" t="str" cm="1">
        <f t="array" ref="AM425">IF(OR(O425&lt;&gt;"", SUMPRODUCT(($AN$2:$AN$561=AN425)*($AL$2:$AL$561&lt;=AL425)) &lt;= (COUNTIF($AN$2:$AN$561,AN425)*0.5)), "SORTEADO", "-")</f>
        <v>-</v>
      </c>
      <c r="AN425" s="53" t="str">
        <f t="shared" si="28"/>
        <v>28/04/2026</v>
      </c>
    </row>
    <row r="426" spans="1:40" ht="30" customHeight="1" x14ac:dyDescent="0.2">
      <c r="A426" s="245" t="s">
        <v>197</v>
      </c>
      <c r="B426" s="245">
        <v>2617758417</v>
      </c>
      <c r="C426" s="245" t="s">
        <v>120</v>
      </c>
      <c r="D426" s="245" t="s">
        <v>111</v>
      </c>
      <c r="E426" s="245" t="s">
        <v>198</v>
      </c>
      <c r="F426" s="245" t="s">
        <v>829</v>
      </c>
      <c r="G426" s="245">
        <v>801</v>
      </c>
      <c r="H426" s="245"/>
      <c r="I426" s="245" t="s">
        <v>247</v>
      </c>
      <c r="J426" s="245" t="s">
        <v>2637</v>
      </c>
      <c r="K426" s="245" t="s">
        <v>3130</v>
      </c>
      <c r="L426" s="245" t="s">
        <v>2294</v>
      </c>
      <c r="M426" s="245" t="s">
        <v>3131</v>
      </c>
      <c r="N426" s="245" t="s">
        <v>2638</v>
      </c>
      <c r="O426" s="158"/>
      <c r="P426" s="92"/>
      <c r="Q426" s="146"/>
      <c r="R426" s="92"/>
      <c r="S426" s="146"/>
      <c r="T426" s="92"/>
      <c r="U426" s="146"/>
      <c r="V426" s="92"/>
      <c r="W426" s="146"/>
      <c r="X426" s="92"/>
      <c r="Y426" s="146"/>
      <c r="Z426" s="92"/>
      <c r="AA426" s="146"/>
      <c r="AB426" s="92"/>
      <c r="AC426" s="146"/>
      <c r="AD426" s="92"/>
      <c r="AE426" s="146"/>
      <c r="AF426" s="143" t="str">
        <f t="shared" si="27"/>
        <v/>
      </c>
      <c r="AG426" s="199" t="b">
        <f t="shared" si="26"/>
        <v>0</v>
      </c>
      <c r="AH426" s="146"/>
      <c r="AI426" s="154" t="s">
        <v>6</v>
      </c>
      <c r="AJ426" s="151" t="str">
        <f t="shared" si="29"/>
        <v>GUARULHOS</v>
      </c>
      <c r="AK426" s="155" t="s">
        <v>59</v>
      </c>
      <c r="AL426" s="53">
        <v>0.91158261311889988</v>
      </c>
      <c r="AM426" s="53" t="str" cm="1">
        <f t="array" ref="AM426">IF(OR(O426&lt;&gt;"", SUMPRODUCT(($AN$2:$AN$561=AN426)*($AL$2:$AL$561&lt;=AL426)) &lt;= (COUNTIF($AN$2:$AN$561,AN426)*0.5)), "SORTEADO", "-")</f>
        <v>-</v>
      </c>
      <c r="AN426" s="53" t="str">
        <f t="shared" si="28"/>
        <v>28/04/2026</v>
      </c>
    </row>
    <row r="427" spans="1:40" ht="30" hidden="1" customHeight="1" x14ac:dyDescent="0.2">
      <c r="A427" s="245" t="s">
        <v>197</v>
      </c>
      <c r="B427" s="245">
        <v>2617319142</v>
      </c>
      <c r="C427" s="245" t="s">
        <v>2701</v>
      </c>
      <c r="D427" s="245" t="s">
        <v>110</v>
      </c>
      <c r="E427" s="245" t="s">
        <v>198</v>
      </c>
      <c r="F427" s="245" t="s">
        <v>781</v>
      </c>
      <c r="G427" s="245">
        <v>95</v>
      </c>
      <c r="H427" s="245" t="s">
        <v>2190</v>
      </c>
      <c r="I427" s="245" t="s">
        <v>262</v>
      </c>
      <c r="J427" s="245" t="s">
        <v>2703</v>
      </c>
      <c r="K427" s="246" t="s">
        <v>3132</v>
      </c>
      <c r="L427" s="245" t="s">
        <v>2294</v>
      </c>
      <c r="M427" s="245" t="s">
        <v>3080</v>
      </c>
      <c r="N427" s="245" t="s">
        <v>2705</v>
      </c>
      <c r="O427" s="158"/>
      <c r="P427" s="92"/>
      <c r="Q427" s="146"/>
      <c r="R427" s="92"/>
      <c r="S427" s="146"/>
      <c r="T427" s="92"/>
      <c r="U427" s="146"/>
      <c r="V427" s="92"/>
      <c r="W427" s="146"/>
      <c r="X427" s="92"/>
      <c r="Y427" s="146"/>
      <c r="Z427" s="92"/>
      <c r="AA427" s="146"/>
      <c r="AB427" s="92"/>
      <c r="AC427" s="146"/>
      <c r="AD427" s="92"/>
      <c r="AE427" s="146"/>
      <c r="AF427" s="143" t="str">
        <f t="shared" si="27"/>
        <v/>
      </c>
      <c r="AG427" s="199" t="b">
        <f t="shared" si="26"/>
        <v>0</v>
      </c>
      <c r="AH427" s="146"/>
      <c r="AI427" s="154" t="s">
        <v>6</v>
      </c>
      <c r="AJ427" s="151" t="str">
        <f t="shared" si="29"/>
        <v>GUARULHOS</v>
      </c>
      <c r="AK427" s="155" t="s">
        <v>59</v>
      </c>
      <c r="AL427" s="53">
        <v>0.23756215312179463</v>
      </c>
      <c r="AM427" s="53" t="str" cm="1">
        <f t="array" ref="AM427">IF(OR(O427&lt;&gt;"", SUMPRODUCT(($AN$2:$AN$561=AN427)*($AL$2:$AL$561&lt;=AL427)) &lt;= (COUNTIF($AN$2:$AN$561,AN427)*0.5)), "SORTEADO", "-")</f>
        <v>-</v>
      </c>
      <c r="AN427" s="53" t="str">
        <f t="shared" si="28"/>
        <v>28/04/2026</v>
      </c>
    </row>
    <row r="428" spans="1:40" ht="30" hidden="1" customHeight="1" x14ac:dyDescent="0.2">
      <c r="A428" s="245" t="s">
        <v>197</v>
      </c>
      <c r="B428" s="245">
        <v>2617319528</v>
      </c>
      <c r="C428" s="245" t="s">
        <v>2701</v>
      </c>
      <c r="D428" s="245" t="s">
        <v>110</v>
      </c>
      <c r="E428" s="245" t="s">
        <v>198</v>
      </c>
      <c r="F428" s="245" t="s">
        <v>781</v>
      </c>
      <c r="G428" s="245">
        <v>85</v>
      </c>
      <c r="H428" s="245" t="s">
        <v>2193</v>
      </c>
      <c r="I428" s="245" t="s">
        <v>262</v>
      </c>
      <c r="J428" s="245" t="s">
        <v>2703</v>
      </c>
      <c r="K428" s="246" t="s">
        <v>3133</v>
      </c>
      <c r="L428" s="245" t="s">
        <v>2294</v>
      </c>
      <c r="M428" s="245" t="s">
        <v>3080</v>
      </c>
      <c r="N428" s="245" t="s">
        <v>2705</v>
      </c>
      <c r="O428" s="158"/>
      <c r="P428" s="92"/>
      <c r="Q428" s="146"/>
      <c r="R428" s="92"/>
      <c r="S428" s="146"/>
      <c r="T428" s="92"/>
      <c r="U428" s="146"/>
      <c r="V428" s="92"/>
      <c r="W428" s="146"/>
      <c r="X428" s="92"/>
      <c r="Y428" s="146"/>
      <c r="Z428" s="92"/>
      <c r="AA428" s="146"/>
      <c r="AB428" s="92"/>
      <c r="AC428" s="146"/>
      <c r="AD428" s="92"/>
      <c r="AE428" s="146"/>
      <c r="AF428" s="143" t="str">
        <f t="shared" si="27"/>
        <v/>
      </c>
      <c r="AG428" s="199" t="b">
        <f t="shared" si="26"/>
        <v>0</v>
      </c>
      <c r="AH428" s="146"/>
      <c r="AI428" s="154" t="s">
        <v>6</v>
      </c>
      <c r="AJ428" s="151" t="str">
        <f t="shared" si="29"/>
        <v>GUARULHOS</v>
      </c>
      <c r="AK428" s="155" t="s">
        <v>59</v>
      </c>
      <c r="AL428" s="53">
        <v>0.63357591466179985</v>
      </c>
      <c r="AM428" s="53" t="str" cm="1">
        <f t="array" ref="AM428">IF(OR(O428&lt;&gt;"", SUMPRODUCT(($AN$2:$AN$561=AN428)*($AL$2:$AL$561&lt;=AL428)) &lt;= (COUNTIF($AN$2:$AN$561,AN428)*0.5)), "SORTEADO", "-")</f>
        <v>-</v>
      </c>
      <c r="AN428" s="53" t="str">
        <f t="shared" si="28"/>
        <v>28/04/2026</v>
      </c>
    </row>
    <row r="429" spans="1:40" ht="30" hidden="1" customHeight="1" x14ac:dyDescent="0.2">
      <c r="A429" s="245" t="s">
        <v>197</v>
      </c>
      <c r="B429" s="245">
        <v>2617319707</v>
      </c>
      <c r="C429" s="245" t="s">
        <v>2701</v>
      </c>
      <c r="D429" s="245" t="s">
        <v>110</v>
      </c>
      <c r="E429" s="245" t="s">
        <v>198</v>
      </c>
      <c r="F429" s="245" t="s">
        <v>781</v>
      </c>
      <c r="G429" s="245">
        <v>79</v>
      </c>
      <c r="H429" s="245" t="s">
        <v>3134</v>
      </c>
      <c r="I429" s="245" t="s">
        <v>262</v>
      </c>
      <c r="J429" s="245" t="s">
        <v>2703</v>
      </c>
      <c r="K429" s="246" t="s">
        <v>3133</v>
      </c>
      <c r="L429" s="245" t="s">
        <v>2294</v>
      </c>
      <c r="M429" s="245" t="s">
        <v>3080</v>
      </c>
      <c r="N429" s="245" t="s">
        <v>2705</v>
      </c>
      <c r="O429" s="158"/>
      <c r="P429" s="92"/>
      <c r="Q429" s="146"/>
      <c r="R429" s="92"/>
      <c r="S429" s="146"/>
      <c r="T429" s="92"/>
      <c r="U429" s="146"/>
      <c r="V429" s="92"/>
      <c r="W429" s="146"/>
      <c r="X429" s="92"/>
      <c r="Y429" s="146"/>
      <c r="Z429" s="92"/>
      <c r="AA429" s="146"/>
      <c r="AB429" s="92"/>
      <c r="AC429" s="146"/>
      <c r="AD429" s="92"/>
      <c r="AE429" s="146"/>
      <c r="AF429" s="143" t="str">
        <f t="shared" si="27"/>
        <v/>
      </c>
      <c r="AG429" s="199" t="b">
        <f t="shared" si="26"/>
        <v>0</v>
      </c>
      <c r="AH429" s="146"/>
      <c r="AI429" s="154" t="s">
        <v>6</v>
      </c>
      <c r="AJ429" s="151" t="str">
        <f t="shared" si="29"/>
        <v>GUARULHOS</v>
      </c>
      <c r="AK429" s="155" t="s">
        <v>59</v>
      </c>
      <c r="AL429" s="53">
        <v>0.57551123861214326</v>
      </c>
      <c r="AM429" s="53" t="str" cm="1">
        <f t="array" ref="AM429">IF(OR(O429&lt;&gt;"", SUMPRODUCT(($AN$2:$AN$561=AN429)*($AL$2:$AL$561&lt;=AL429)) &lt;= (COUNTIF($AN$2:$AN$561,AN429)*0.5)), "SORTEADO", "-")</f>
        <v>-</v>
      </c>
      <c r="AN429" s="53" t="str">
        <f t="shared" si="28"/>
        <v>28/04/2026</v>
      </c>
    </row>
    <row r="430" spans="1:40" ht="30" hidden="1" customHeight="1" x14ac:dyDescent="0.2">
      <c r="A430" s="245" t="s">
        <v>197</v>
      </c>
      <c r="B430" s="245">
        <v>2617320026</v>
      </c>
      <c r="C430" s="245" t="s">
        <v>2701</v>
      </c>
      <c r="D430" s="245" t="s">
        <v>110</v>
      </c>
      <c r="E430" s="245" t="s">
        <v>198</v>
      </c>
      <c r="F430" s="245" t="s">
        <v>781</v>
      </c>
      <c r="G430" s="245">
        <v>78</v>
      </c>
      <c r="H430" s="245"/>
      <c r="I430" s="245" t="s">
        <v>262</v>
      </c>
      <c r="J430" s="245" t="s">
        <v>2703</v>
      </c>
      <c r="K430" s="246" t="s">
        <v>3133</v>
      </c>
      <c r="L430" s="245" t="s">
        <v>2294</v>
      </c>
      <c r="M430" s="245" t="s">
        <v>3080</v>
      </c>
      <c r="N430" s="245" t="s">
        <v>2705</v>
      </c>
      <c r="O430" s="158"/>
      <c r="P430" s="92"/>
      <c r="Q430" s="146"/>
      <c r="R430" s="92"/>
      <c r="S430" s="146"/>
      <c r="T430" s="92"/>
      <c r="U430" s="146"/>
      <c r="V430" s="92"/>
      <c r="W430" s="146"/>
      <c r="X430" s="92"/>
      <c r="Y430" s="146"/>
      <c r="Z430" s="92"/>
      <c r="AA430" s="146"/>
      <c r="AB430" s="92"/>
      <c r="AC430" s="146"/>
      <c r="AD430" s="92"/>
      <c r="AE430" s="146"/>
      <c r="AF430" s="143" t="str">
        <f t="shared" si="27"/>
        <v/>
      </c>
      <c r="AG430" s="199" t="b">
        <f t="shared" si="26"/>
        <v>0</v>
      </c>
      <c r="AH430" s="146"/>
      <c r="AI430" s="154" t="s">
        <v>6</v>
      </c>
      <c r="AJ430" s="151" t="str">
        <f t="shared" si="29"/>
        <v>GUARULHOS</v>
      </c>
      <c r="AK430" s="155" t="s">
        <v>59</v>
      </c>
      <c r="AL430" s="53">
        <v>0.98646235177518549</v>
      </c>
      <c r="AM430" s="53" t="str" cm="1">
        <f t="array" ref="AM430">IF(OR(O430&lt;&gt;"", SUMPRODUCT(($AN$2:$AN$561=AN430)*($AL$2:$AL$561&lt;=AL430)) &lt;= (COUNTIF($AN$2:$AN$561,AN430)*0.5)), "SORTEADO", "-")</f>
        <v>-</v>
      </c>
      <c r="AN430" s="53" t="str">
        <f t="shared" si="28"/>
        <v>28/04/2026</v>
      </c>
    </row>
    <row r="431" spans="1:40" ht="30" hidden="1" customHeight="1" x14ac:dyDescent="0.2">
      <c r="A431" s="245" t="s">
        <v>197</v>
      </c>
      <c r="B431" s="245">
        <v>2617319850</v>
      </c>
      <c r="C431" s="245" t="s">
        <v>2701</v>
      </c>
      <c r="D431" s="245" t="s">
        <v>110</v>
      </c>
      <c r="E431" s="245" t="s">
        <v>198</v>
      </c>
      <c r="F431" s="245" t="s">
        <v>781</v>
      </c>
      <c r="G431" s="245">
        <v>75</v>
      </c>
      <c r="H431" s="245" t="s">
        <v>1426</v>
      </c>
      <c r="I431" s="245" t="s">
        <v>262</v>
      </c>
      <c r="J431" s="245" t="s">
        <v>2703</v>
      </c>
      <c r="K431" s="246" t="s">
        <v>3133</v>
      </c>
      <c r="L431" s="245" t="s">
        <v>2294</v>
      </c>
      <c r="M431" s="245" t="s">
        <v>3080</v>
      </c>
      <c r="N431" s="245" t="s">
        <v>2705</v>
      </c>
      <c r="O431" s="158"/>
      <c r="P431" s="92"/>
      <c r="Q431" s="146"/>
      <c r="R431" s="92"/>
      <c r="S431" s="146"/>
      <c r="T431" s="92"/>
      <c r="U431" s="146"/>
      <c r="V431" s="92"/>
      <c r="W431" s="146"/>
      <c r="X431" s="92"/>
      <c r="Y431" s="146"/>
      <c r="Z431" s="92"/>
      <c r="AA431" s="146"/>
      <c r="AB431" s="92"/>
      <c r="AC431" s="146"/>
      <c r="AD431" s="92"/>
      <c r="AE431" s="146"/>
      <c r="AF431" s="143" t="str">
        <f t="shared" si="27"/>
        <v/>
      </c>
      <c r="AG431" s="199" t="b">
        <f t="shared" si="26"/>
        <v>0</v>
      </c>
      <c r="AH431" s="146"/>
      <c r="AI431" s="154" t="s">
        <v>6</v>
      </c>
      <c r="AJ431" s="151" t="str">
        <f t="shared" si="29"/>
        <v>GUARULHOS</v>
      </c>
      <c r="AK431" s="155" t="s">
        <v>59</v>
      </c>
      <c r="AL431" s="53">
        <v>0.25750910371593116</v>
      </c>
      <c r="AM431" s="53" t="str" cm="1">
        <f t="array" ref="AM431">IF(OR(O431&lt;&gt;"", SUMPRODUCT(($AN$2:$AN$561=AN431)*($AL$2:$AL$561&lt;=AL431)) &lt;= (COUNTIF($AN$2:$AN$561,AN431)*0.5)), "SORTEADO", "-")</f>
        <v>-</v>
      </c>
      <c r="AN431" s="53" t="str">
        <f t="shared" si="28"/>
        <v>28/04/2026</v>
      </c>
    </row>
    <row r="432" spans="1:40" ht="30" hidden="1" customHeight="1" x14ac:dyDescent="0.2">
      <c r="A432" s="245" t="s">
        <v>197</v>
      </c>
      <c r="B432" s="245">
        <v>2617318879</v>
      </c>
      <c r="C432" s="245" t="s">
        <v>2701</v>
      </c>
      <c r="D432" s="245" t="s">
        <v>110</v>
      </c>
      <c r="E432" s="245" t="s">
        <v>198</v>
      </c>
      <c r="F432" s="245" t="s">
        <v>781</v>
      </c>
      <c r="G432" s="245">
        <v>133</v>
      </c>
      <c r="H432" s="245"/>
      <c r="I432" s="245" t="s">
        <v>262</v>
      </c>
      <c r="J432" s="245" t="s">
        <v>2703</v>
      </c>
      <c r="K432" s="245"/>
      <c r="L432" s="245" t="s">
        <v>2294</v>
      </c>
      <c r="M432" s="245" t="s">
        <v>3080</v>
      </c>
      <c r="N432" s="245" t="s">
        <v>2705</v>
      </c>
      <c r="O432" s="158"/>
      <c r="P432" s="92"/>
      <c r="Q432" s="146"/>
      <c r="R432" s="92"/>
      <c r="S432" s="146"/>
      <c r="T432" s="92"/>
      <c r="U432" s="146"/>
      <c r="V432" s="92"/>
      <c r="W432" s="146"/>
      <c r="X432" s="92"/>
      <c r="Y432" s="146"/>
      <c r="Z432" s="92"/>
      <c r="AA432" s="146"/>
      <c r="AB432" s="92"/>
      <c r="AC432" s="146"/>
      <c r="AD432" s="92"/>
      <c r="AE432" s="146"/>
      <c r="AF432" s="143" t="str">
        <f t="shared" si="27"/>
        <v/>
      </c>
      <c r="AG432" s="199" t="b">
        <f t="shared" si="26"/>
        <v>0</v>
      </c>
      <c r="AH432" s="146"/>
      <c r="AI432" s="154" t="s">
        <v>6</v>
      </c>
      <c r="AJ432" s="151" t="str">
        <f t="shared" si="29"/>
        <v>GUARULHOS</v>
      </c>
      <c r="AK432" s="155" t="s">
        <v>59</v>
      </c>
      <c r="AL432" s="53">
        <v>0.20689228713687613</v>
      </c>
      <c r="AM432" s="53" t="str" cm="1">
        <f t="array" ref="AM432">IF(OR(O432&lt;&gt;"", SUMPRODUCT(($AN$2:$AN$561=AN432)*($AL$2:$AL$561&lt;=AL432)) &lt;= (COUNTIF($AN$2:$AN$561,AN432)*0.5)), "SORTEADO", "-")</f>
        <v>-</v>
      </c>
      <c r="AN432" s="53" t="str">
        <f t="shared" si="28"/>
        <v>28/04/2026</v>
      </c>
    </row>
    <row r="433" spans="1:40" ht="30" hidden="1" customHeight="1" x14ac:dyDescent="0.2">
      <c r="A433" s="245" t="s">
        <v>197</v>
      </c>
      <c r="B433" s="245">
        <v>2617319054</v>
      </c>
      <c r="C433" s="245" t="s">
        <v>2701</v>
      </c>
      <c r="D433" s="245" t="s">
        <v>110</v>
      </c>
      <c r="E433" s="245" t="s">
        <v>198</v>
      </c>
      <c r="F433" s="245" t="s">
        <v>781</v>
      </c>
      <c r="G433" s="245">
        <v>127</v>
      </c>
      <c r="H433" s="245" t="s">
        <v>276</v>
      </c>
      <c r="I433" s="245" t="s">
        <v>262</v>
      </c>
      <c r="J433" s="245" t="s">
        <v>2703</v>
      </c>
      <c r="K433" s="246" t="s">
        <v>3133</v>
      </c>
      <c r="L433" s="245" t="s">
        <v>2294</v>
      </c>
      <c r="M433" s="245" t="s">
        <v>3080</v>
      </c>
      <c r="N433" s="245" t="s">
        <v>2705</v>
      </c>
      <c r="O433" s="158"/>
      <c r="P433" s="92"/>
      <c r="Q433" s="146"/>
      <c r="R433" s="92"/>
      <c r="S433" s="146"/>
      <c r="T433" s="92"/>
      <c r="U433" s="146"/>
      <c r="V433" s="92"/>
      <c r="W433" s="146"/>
      <c r="X433" s="92"/>
      <c r="Y433" s="146"/>
      <c r="Z433" s="92"/>
      <c r="AA433" s="146"/>
      <c r="AB433" s="92"/>
      <c r="AC433" s="146"/>
      <c r="AD433" s="92"/>
      <c r="AE433" s="146"/>
      <c r="AF433" s="143" t="str">
        <f t="shared" si="27"/>
        <v/>
      </c>
      <c r="AG433" s="199" t="b">
        <f t="shared" si="26"/>
        <v>0</v>
      </c>
      <c r="AH433" s="146"/>
      <c r="AI433" s="154" t="s">
        <v>6</v>
      </c>
      <c r="AJ433" s="151" t="str">
        <f t="shared" si="29"/>
        <v>GUARULHOS</v>
      </c>
      <c r="AK433" s="155" t="s">
        <v>59</v>
      </c>
      <c r="AL433" s="53">
        <v>0.55978226976921719</v>
      </c>
      <c r="AM433" s="53" t="str" cm="1">
        <f t="array" ref="AM433">IF(OR(O433&lt;&gt;"", SUMPRODUCT(($AN$2:$AN$561=AN433)*($AL$2:$AL$561&lt;=AL433)) &lt;= (COUNTIF($AN$2:$AN$561,AN433)*0.5)), "SORTEADO", "-")</f>
        <v>-</v>
      </c>
      <c r="AN433" s="53" t="str">
        <f t="shared" si="28"/>
        <v>28/04/2026</v>
      </c>
    </row>
    <row r="434" spans="1:40" ht="30" hidden="1" customHeight="1" x14ac:dyDescent="0.2">
      <c r="A434" s="245" t="s">
        <v>197</v>
      </c>
      <c r="B434" s="245">
        <v>2617319174</v>
      </c>
      <c r="C434" s="245" t="s">
        <v>2701</v>
      </c>
      <c r="D434" s="245" t="s">
        <v>110</v>
      </c>
      <c r="E434" s="245" t="s">
        <v>198</v>
      </c>
      <c r="F434" s="245" t="s">
        <v>781</v>
      </c>
      <c r="G434" s="245">
        <v>121</v>
      </c>
      <c r="H434" s="245"/>
      <c r="I434" s="245" t="s">
        <v>262</v>
      </c>
      <c r="J434" s="245" t="s">
        <v>2703</v>
      </c>
      <c r="K434" s="246" t="s">
        <v>3132</v>
      </c>
      <c r="L434" s="245" t="s">
        <v>2294</v>
      </c>
      <c r="M434" s="245" t="s">
        <v>3080</v>
      </c>
      <c r="N434" s="245" t="s">
        <v>2705</v>
      </c>
      <c r="O434" s="158"/>
      <c r="P434" s="92"/>
      <c r="Q434" s="146"/>
      <c r="R434" s="92"/>
      <c r="S434" s="146"/>
      <c r="T434" s="92"/>
      <c r="U434" s="146"/>
      <c r="V434" s="92"/>
      <c r="W434" s="146"/>
      <c r="X434" s="92"/>
      <c r="Y434" s="146"/>
      <c r="Z434" s="92"/>
      <c r="AA434" s="146"/>
      <c r="AB434" s="92"/>
      <c r="AC434" s="146"/>
      <c r="AD434" s="92"/>
      <c r="AE434" s="146"/>
      <c r="AF434" s="143" t="str">
        <f t="shared" si="27"/>
        <v/>
      </c>
      <c r="AG434" s="199" t="b">
        <f t="shared" si="26"/>
        <v>0</v>
      </c>
      <c r="AH434" s="146"/>
      <c r="AI434" s="154" t="s">
        <v>6</v>
      </c>
      <c r="AJ434" s="151" t="str">
        <f t="shared" si="29"/>
        <v>GUARULHOS</v>
      </c>
      <c r="AK434" s="155" t="s">
        <v>59</v>
      </c>
      <c r="AL434" s="53">
        <v>0.70481152493495824</v>
      </c>
      <c r="AM434" s="53" t="str" cm="1">
        <f t="array" ref="AM434">IF(OR(O434&lt;&gt;"", SUMPRODUCT(($AN$2:$AN$561=AN434)*($AL$2:$AL$561&lt;=AL434)) &lt;= (COUNTIF($AN$2:$AN$561,AN434)*0.5)), "SORTEADO", "-")</f>
        <v>-</v>
      </c>
      <c r="AN434" s="53" t="str">
        <f t="shared" si="28"/>
        <v>28/04/2026</v>
      </c>
    </row>
    <row r="435" spans="1:40" ht="30" hidden="1" customHeight="1" x14ac:dyDescent="0.2">
      <c r="A435" s="245" t="s">
        <v>197</v>
      </c>
      <c r="B435" s="245">
        <v>2617319388</v>
      </c>
      <c r="C435" s="245" t="s">
        <v>2701</v>
      </c>
      <c r="D435" s="245" t="s">
        <v>110</v>
      </c>
      <c r="E435" s="245" t="s">
        <v>198</v>
      </c>
      <c r="F435" s="245" t="s">
        <v>781</v>
      </c>
      <c r="G435" s="245">
        <v>117</v>
      </c>
      <c r="H435" s="245" t="s">
        <v>2184</v>
      </c>
      <c r="I435" s="245" t="s">
        <v>262</v>
      </c>
      <c r="J435" s="245" t="s">
        <v>2703</v>
      </c>
      <c r="K435" s="246" t="s">
        <v>3133</v>
      </c>
      <c r="L435" s="245" t="s">
        <v>2294</v>
      </c>
      <c r="M435" s="245" t="s">
        <v>3080</v>
      </c>
      <c r="N435" s="245" t="s">
        <v>2705</v>
      </c>
      <c r="O435" s="158"/>
      <c r="P435" s="92"/>
      <c r="Q435" s="146"/>
      <c r="R435" s="92"/>
      <c r="S435" s="146"/>
      <c r="T435" s="92"/>
      <c r="U435" s="146"/>
      <c r="V435" s="92"/>
      <c r="W435" s="146"/>
      <c r="X435" s="92"/>
      <c r="Y435" s="146"/>
      <c r="Z435" s="92"/>
      <c r="AA435" s="146"/>
      <c r="AB435" s="92"/>
      <c r="AC435" s="146"/>
      <c r="AD435" s="92"/>
      <c r="AE435" s="146"/>
      <c r="AF435" s="143" t="str">
        <f t="shared" si="27"/>
        <v/>
      </c>
      <c r="AG435" s="199" t="b">
        <f t="shared" si="26"/>
        <v>0</v>
      </c>
      <c r="AH435" s="146"/>
      <c r="AI435" s="154" t="s">
        <v>6</v>
      </c>
      <c r="AJ435" s="151" t="str">
        <f t="shared" si="29"/>
        <v>GUARULHOS</v>
      </c>
      <c r="AK435" s="155" t="s">
        <v>59</v>
      </c>
      <c r="AL435" s="53">
        <v>0.47292794958566253</v>
      </c>
      <c r="AM435" s="53" t="str" cm="1">
        <f t="array" ref="AM435">IF(OR(O435&lt;&gt;"", SUMPRODUCT(($AN$2:$AN$561=AN435)*($AL$2:$AL$561&lt;=AL435)) &lt;= (COUNTIF($AN$2:$AN$561,AN435)*0.5)), "SORTEADO", "-")</f>
        <v>-</v>
      </c>
      <c r="AN435" s="53" t="str">
        <f t="shared" si="28"/>
        <v>28/04/2026</v>
      </c>
    </row>
    <row r="436" spans="1:40" ht="30" hidden="1" customHeight="1" x14ac:dyDescent="0.2">
      <c r="A436" s="245" t="s">
        <v>197</v>
      </c>
      <c r="B436" s="245">
        <v>2617319261</v>
      </c>
      <c r="C436" s="245" t="s">
        <v>2701</v>
      </c>
      <c r="D436" s="245" t="s">
        <v>110</v>
      </c>
      <c r="E436" s="245" t="s">
        <v>198</v>
      </c>
      <c r="F436" s="245" t="s">
        <v>781</v>
      </c>
      <c r="G436" s="245">
        <v>113</v>
      </c>
      <c r="H436" s="245" t="s">
        <v>3135</v>
      </c>
      <c r="I436" s="245" t="s">
        <v>262</v>
      </c>
      <c r="J436" s="245" t="s">
        <v>2703</v>
      </c>
      <c r="K436" s="246" t="s">
        <v>3133</v>
      </c>
      <c r="L436" s="245" t="s">
        <v>2294</v>
      </c>
      <c r="M436" s="245" t="s">
        <v>3080</v>
      </c>
      <c r="N436" s="245" t="s">
        <v>2705</v>
      </c>
      <c r="O436" s="158"/>
      <c r="P436" s="92"/>
      <c r="Q436" s="146"/>
      <c r="R436" s="92"/>
      <c r="S436" s="146"/>
      <c r="T436" s="92"/>
      <c r="U436" s="146"/>
      <c r="V436" s="92"/>
      <c r="W436" s="146"/>
      <c r="X436" s="92"/>
      <c r="Y436" s="146"/>
      <c r="Z436" s="92"/>
      <c r="AA436" s="146"/>
      <c r="AB436" s="92"/>
      <c r="AC436" s="146"/>
      <c r="AD436" s="92"/>
      <c r="AE436" s="146"/>
      <c r="AF436" s="143" t="str">
        <f t="shared" si="27"/>
        <v/>
      </c>
      <c r="AG436" s="199" t="b">
        <f t="shared" si="26"/>
        <v>0</v>
      </c>
      <c r="AH436" s="146"/>
      <c r="AI436" s="154" t="s">
        <v>6</v>
      </c>
      <c r="AJ436" s="151" t="str">
        <f t="shared" si="29"/>
        <v>GUARULHOS</v>
      </c>
      <c r="AK436" s="155" t="s">
        <v>59</v>
      </c>
      <c r="AL436" s="53">
        <v>0.20108513955606111</v>
      </c>
      <c r="AM436" s="53" t="str" cm="1">
        <f t="array" ref="AM436">IF(OR(O436&lt;&gt;"", SUMPRODUCT(($AN$2:$AN$561=AN436)*($AL$2:$AL$561&lt;=AL436)) &lt;= (COUNTIF($AN$2:$AN$561,AN436)*0.5)), "SORTEADO", "-")</f>
        <v>-</v>
      </c>
      <c r="AN436" s="53" t="str">
        <f t="shared" si="28"/>
        <v>28/04/2026</v>
      </c>
    </row>
    <row r="437" spans="1:40" ht="30" hidden="1" customHeight="1" x14ac:dyDescent="0.2">
      <c r="A437" s="245" t="s">
        <v>197</v>
      </c>
      <c r="B437" s="245">
        <v>2617319533</v>
      </c>
      <c r="C437" s="245" t="s">
        <v>2701</v>
      </c>
      <c r="D437" s="245" t="s">
        <v>110</v>
      </c>
      <c r="E437" s="245" t="s">
        <v>198</v>
      </c>
      <c r="F437" s="245" t="s">
        <v>781</v>
      </c>
      <c r="G437" s="245">
        <v>107</v>
      </c>
      <c r="H437" s="245" t="s">
        <v>213</v>
      </c>
      <c r="I437" s="245" t="s">
        <v>262</v>
      </c>
      <c r="J437" s="245" t="s">
        <v>2703</v>
      </c>
      <c r="K437" s="246" t="s">
        <v>3132</v>
      </c>
      <c r="L437" s="245" t="s">
        <v>2294</v>
      </c>
      <c r="M437" s="245" t="s">
        <v>3080</v>
      </c>
      <c r="N437" s="245" t="s">
        <v>2705</v>
      </c>
      <c r="O437" s="158"/>
      <c r="P437" s="92"/>
      <c r="Q437" s="146"/>
      <c r="R437" s="92"/>
      <c r="S437" s="146"/>
      <c r="T437" s="92"/>
      <c r="U437" s="146"/>
      <c r="V437" s="92"/>
      <c r="W437" s="146"/>
      <c r="X437" s="92"/>
      <c r="Y437" s="146"/>
      <c r="Z437" s="92"/>
      <c r="AA437" s="146"/>
      <c r="AB437" s="92"/>
      <c r="AC437" s="146"/>
      <c r="AD437" s="92"/>
      <c r="AE437" s="146"/>
      <c r="AF437" s="143" t="str">
        <f t="shared" si="27"/>
        <v/>
      </c>
      <c r="AG437" s="199" t="b">
        <f t="shared" si="26"/>
        <v>0</v>
      </c>
      <c r="AH437" s="146"/>
      <c r="AI437" s="154" t="s">
        <v>6</v>
      </c>
      <c r="AJ437" s="151" t="str">
        <f t="shared" si="29"/>
        <v>GUARULHOS</v>
      </c>
      <c r="AK437" s="155" t="s">
        <v>59</v>
      </c>
      <c r="AL437" s="53">
        <v>0.28841180091824103</v>
      </c>
      <c r="AM437" s="53" t="str" cm="1">
        <f t="array" ref="AM437">IF(OR(O437&lt;&gt;"", SUMPRODUCT(($AN$2:$AN$561=AN437)*($AL$2:$AL$561&lt;=AL437)) &lt;= (COUNTIF($AN$2:$AN$561,AN437)*0.5)), "SORTEADO", "-")</f>
        <v>-</v>
      </c>
      <c r="AN437" s="53" t="str">
        <f t="shared" si="28"/>
        <v>28/04/2026</v>
      </c>
    </row>
    <row r="438" spans="1:40" ht="30" hidden="1" customHeight="1" x14ac:dyDescent="0.2">
      <c r="A438" s="245" t="s">
        <v>197</v>
      </c>
      <c r="B438" s="245">
        <v>2617318933</v>
      </c>
      <c r="C438" s="245" t="s">
        <v>2701</v>
      </c>
      <c r="D438" s="245" t="s">
        <v>110</v>
      </c>
      <c r="E438" s="245" t="s">
        <v>198</v>
      </c>
      <c r="F438" s="245" t="s">
        <v>781</v>
      </c>
      <c r="G438" s="245">
        <v>101</v>
      </c>
      <c r="H438" s="245" t="s">
        <v>2467</v>
      </c>
      <c r="I438" s="245" t="s">
        <v>262</v>
      </c>
      <c r="J438" s="245" t="s">
        <v>2703</v>
      </c>
      <c r="K438" s="246" t="s">
        <v>3132</v>
      </c>
      <c r="L438" s="245" t="s">
        <v>2294</v>
      </c>
      <c r="M438" s="245" t="s">
        <v>3080</v>
      </c>
      <c r="N438" s="245" t="s">
        <v>2705</v>
      </c>
      <c r="O438" s="158"/>
      <c r="P438" s="92"/>
      <c r="Q438" s="146"/>
      <c r="R438" s="92"/>
      <c r="S438" s="146"/>
      <c r="T438" s="92"/>
      <c r="U438" s="146"/>
      <c r="V438" s="92"/>
      <c r="W438" s="146"/>
      <c r="X438" s="92"/>
      <c r="Y438" s="146"/>
      <c r="Z438" s="92"/>
      <c r="AA438" s="146"/>
      <c r="AB438" s="92"/>
      <c r="AC438" s="146"/>
      <c r="AD438" s="92"/>
      <c r="AE438" s="146"/>
      <c r="AF438" s="143" t="str">
        <f t="shared" si="27"/>
        <v/>
      </c>
      <c r="AG438" s="199" t="b">
        <f t="shared" si="26"/>
        <v>0</v>
      </c>
      <c r="AH438" s="146"/>
      <c r="AI438" s="154" t="s">
        <v>6</v>
      </c>
      <c r="AJ438" s="151" t="str">
        <f t="shared" si="29"/>
        <v>GUARULHOS</v>
      </c>
      <c r="AK438" s="155" t="s">
        <v>59</v>
      </c>
      <c r="AL438" s="53">
        <v>0.42580620468930663</v>
      </c>
      <c r="AM438" s="53" t="str" cm="1">
        <f t="array" ref="AM438">IF(OR(O438&lt;&gt;"", SUMPRODUCT(($AN$2:$AN$561=AN438)*($AL$2:$AL$561&lt;=AL438)) &lt;= (COUNTIF($AN$2:$AN$561,AN438)*0.5)), "SORTEADO", "-")</f>
        <v>-</v>
      </c>
      <c r="AN438" s="53" t="str">
        <f t="shared" si="28"/>
        <v>28/04/2026</v>
      </c>
    </row>
    <row r="439" spans="1:40" ht="30" hidden="1" customHeight="1" x14ac:dyDescent="0.2">
      <c r="A439" s="245" t="s">
        <v>197</v>
      </c>
      <c r="B439" s="245">
        <v>2617774883</v>
      </c>
      <c r="C439" s="245" t="s">
        <v>2673</v>
      </c>
      <c r="D439" s="245" t="s">
        <v>111</v>
      </c>
      <c r="E439" s="245" t="s">
        <v>198</v>
      </c>
      <c r="F439" s="245" t="s">
        <v>2956</v>
      </c>
      <c r="G439" s="245">
        <v>81</v>
      </c>
      <c r="H439" s="245" t="s">
        <v>213</v>
      </c>
      <c r="I439" s="245" t="s">
        <v>2957</v>
      </c>
      <c r="J439" s="245" t="s">
        <v>2674</v>
      </c>
      <c r="K439" s="245" t="s">
        <v>3136</v>
      </c>
      <c r="L439" s="245" t="s">
        <v>2294</v>
      </c>
      <c r="M439" s="245" t="s">
        <v>3137</v>
      </c>
      <c r="N439" s="245" t="s">
        <v>2634</v>
      </c>
      <c r="O439" s="158"/>
      <c r="P439" s="92"/>
      <c r="Q439" s="146"/>
      <c r="R439" s="92"/>
      <c r="S439" s="146"/>
      <c r="T439" s="92"/>
      <c r="U439" s="146"/>
      <c r="V439" s="92"/>
      <c r="W439" s="146"/>
      <c r="X439" s="92"/>
      <c r="Y439" s="146"/>
      <c r="Z439" s="92"/>
      <c r="AA439" s="146"/>
      <c r="AB439" s="92"/>
      <c r="AC439" s="146"/>
      <c r="AD439" s="92"/>
      <c r="AE439" s="146"/>
      <c r="AF439" s="143" t="str">
        <f t="shared" si="27"/>
        <v/>
      </c>
      <c r="AG439" s="199" t="b">
        <f t="shared" si="26"/>
        <v>0</v>
      </c>
      <c r="AH439" s="146"/>
      <c r="AI439" s="154" t="s">
        <v>6</v>
      </c>
      <c r="AJ439" s="151" t="str">
        <f t="shared" si="29"/>
        <v>GUARULHOS</v>
      </c>
      <c r="AK439" s="155" t="s">
        <v>59</v>
      </c>
      <c r="AL439" s="53">
        <v>8.366671570300066E-2</v>
      </c>
      <c r="AM439" s="53" t="str" cm="1">
        <f t="array" ref="AM439">IF(OR(O439&lt;&gt;"", SUMPRODUCT(($AN$2:$AN$561=AN439)*($AL$2:$AL$561&lt;=AL439)) &lt;= (COUNTIF($AN$2:$AN$561,AN439)*0.5)), "SORTEADO", "-")</f>
        <v>-</v>
      </c>
      <c r="AN439" s="53" t="str">
        <f t="shared" si="28"/>
        <v>28/04/2026</v>
      </c>
    </row>
    <row r="440" spans="1:40" ht="30" hidden="1" customHeight="1" x14ac:dyDescent="0.2">
      <c r="A440" s="245" t="s">
        <v>197</v>
      </c>
      <c r="B440" s="245">
        <v>2617774663</v>
      </c>
      <c r="C440" s="245" t="s">
        <v>2819</v>
      </c>
      <c r="D440" s="245" t="s">
        <v>111</v>
      </c>
      <c r="E440" s="245" t="s">
        <v>198</v>
      </c>
      <c r="F440" s="245" t="s">
        <v>319</v>
      </c>
      <c r="G440" s="245">
        <v>212</v>
      </c>
      <c r="H440" s="245"/>
      <c r="I440" s="245" t="s">
        <v>281</v>
      </c>
      <c r="J440" s="245" t="s">
        <v>2820</v>
      </c>
      <c r="K440" s="245" t="s">
        <v>3138</v>
      </c>
      <c r="L440" s="245" t="s">
        <v>2294</v>
      </c>
      <c r="M440" s="245" t="s">
        <v>3139</v>
      </c>
      <c r="N440" s="245" t="s">
        <v>2634</v>
      </c>
      <c r="O440" s="158"/>
      <c r="P440" s="92"/>
      <c r="Q440" s="146"/>
      <c r="R440" s="92"/>
      <c r="S440" s="146"/>
      <c r="T440" s="92"/>
      <c r="U440" s="146"/>
      <c r="V440" s="92"/>
      <c r="W440" s="146"/>
      <c r="X440" s="92"/>
      <c r="Y440" s="146"/>
      <c r="Z440" s="92"/>
      <c r="AA440" s="146"/>
      <c r="AB440" s="92"/>
      <c r="AC440" s="146"/>
      <c r="AD440" s="92"/>
      <c r="AE440" s="146"/>
      <c r="AF440" s="143" t="str">
        <f t="shared" si="27"/>
        <v/>
      </c>
      <c r="AG440" s="199" t="b">
        <f t="shared" si="26"/>
        <v>0</v>
      </c>
      <c r="AH440" s="146"/>
      <c r="AI440" s="154" t="s">
        <v>6</v>
      </c>
      <c r="AJ440" s="151" t="str">
        <f t="shared" si="29"/>
        <v>GUARULHOS</v>
      </c>
      <c r="AK440" s="155" t="s">
        <v>59</v>
      </c>
      <c r="AL440" s="53">
        <v>0.72829754290135473</v>
      </c>
      <c r="AM440" s="53" t="str" cm="1">
        <f t="array" ref="AM440">IF(OR(O440&lt;&gt;"", SUMPRODUCT(($AN$2:$AN$561=AN440)*($AL$2:$AL$561&lt;=AL440)) &lt;= (COUNTIF($AN$2:$AN$561,AN440)*0.5)), "SORTEADO", "-")</f>
        <v>-</v>
      </c>
      <c r="AN440" s="53" t="str">
        <f t="shared" si="28"/>
        <v>28/04/2026</v>
      </c>
    </row>
    <row r="441" spans="1:40" ht="30" hidden="1" customHeight="1" x14ac:dyDescent="0.2">
      <c r="A441" s="245" t="s">
        <v>197</v>
      </c>
      <c r="B441" s="245">
        <v>2617175621</v>
      </c>
      <c r="C441" s="245" t="s">
        <v>121</v>
      </c>
      <c r="D441" s="245" t="s">
        <v>110</v>
      </c>
      <c r="E441" s="245" t="s">
        <v>198</v>
      </c>
      <c r="F441" s="245" t="s">
        <v>3140</v>
      </c>
      <c r="G441" s="245">
        <v>81</v>
      </c>
      <c r="H441" s="245" t="s">
        <v>3141</v>
      </c>
      <c r="I441" s="245" t="s">
        <v>643</v>
      </c>
      <c r="J441" s="245" t="s">
        <v>2661</v>
      </c>
      <c r="K441" s="245" t="s">
        <v>3142</v>
      </c>
      <c r="L441" s="245" t="s">
        <v>2294</v>
      </c>
      <c r="M441" s="245" t="s">
        <v>3143</v>
      </c>
      <c r="N441" s="245" t="s">
        <v>2640</v>
      </c>
      <c r="O441" s="158"/>
      <c r="P441" s="92"/>
      <c r="Q441" s="146"/>
      <c r="R441" s="92"/>
      <c r="S441" s="146"/>
      <c r="T441" s="92"/>
      <c r="U441" s="146"/>
      <c r="V441" s="92"/>
      <c r="W441" s="146"/>
      <c r="X441" s="92"/>
      <c r="Y441" s="146"/>
      <c r="Z441" s="92"/>
      <c r="AA441" s="146"/>
      <c r="AB441" s="92"/>
      <c r="AC441" s="146"/>
      <c r="AD441" s="92"/>
      <c r="AE441" s="146"/>
      <c r="AF441" s="143" t="str">
        <f t="shared" si="27"/>
        <v/>
      </c>
      <c r="AG441" s="199" t="b">
        <f t="shared" si="26"/>
        <v>0</v>
      </c>
      <c r="AH441" s="146"/>
      <c r="AI441" s="154" t="s">
        <v>6</v>
      </c>
      <c r="AJ441" s="151" t="str">
        <f t="shared" si="29"/>
        <v>GUARULHOS</v>
      </c>
      <c r="AK441" s="155" t="s">
        <v>59</v>
      </c>
      <c r="AL441" s="53">
        <v>0.1076489442796027</v>
      </c>
      <c r="AM441" s="53" t="str" cm="1">
        <f t="array" ref="AM441">IF(OR(O441&lt;&gt;"", SUMPRODUCT(($AN$2:$AN$561=AN441)*($AL$2:$AL$561&lt;=AL441)) &lt;= (COUNTIF($AN$2:$AN$561,AN441)*0.5)), "SORTEADO", "-")</f>
        <v>-</v>
      </c>
      <c r="AN441" s="53" t="str">
        <f t="shared" si="28"/>
        <v>28/04/2026</v>
      </c>
    </row>
    <row r="442" spans="1:40" ht="30" hidden="1" customHeight="1" x14ac:dyDescent="0.2">
      <c r="A442" s="253" t="s">
        <v>197</v>
      </c>
      <c r="B442" s="253">
        <v>2617622488</v>
      </c>
      <c r="C442" s="253" t="s">
        <v>115</v>
      </c>
      <c r="D442" s="253" t="s">
        <v>108</v>
      </c>
      <c r="E442" s="253" t="s">
        <v>198</v>
      </c>
      <c r="F442" s="253" t="s">
        <v>3144</v>
      </c>
      <c r="G442" s="253">
        <v>113</v>
      </c>
      <c r="H442" s="253" t="s">
        <v>3145</v>
      </c>
      <c r="I442" s="253" t="s">
        <v>947</v>
      </c>
      <c r="J442" s="253" t="s">
        <v>2644</v>
      </c>
      <c r="K442" s="253" t="s">
        <v>3146</v>
      </c>
      <c r="L442" s="253" t="s">
        <v>2294</v>
      </c>
      <c r="M442" s="253" t="s">
        <v>3147</v>
      </c>
      <c r="N442" s="253" t="s">
        <v>2646</v>
      </c>
      <c r="O442" s="158"/>
      <c r="P442" s="92"/>
      <c r="Q442" s="146"/>
      <c r="R442" s="92"/>
      <c r="S442" s="146"/>
      <c r="T442" s="92"/>
      <c r="U442" s="146"/>
      <c r="V442" s="92"/>
      <c r="W442" s="146"/>
      <c r="X442" s="92"/>
      <c r="Y442" s="146"/>
      <c r="Z442" s="92"/>
      <c r="AA442" s="146"/>
      <c r="AB442" s="92"/>
      <c r="AC442" s="146"/>
      <c r="AD442" s="92"/>
      <c r="AE442" s="146"/>
      <c r="AF442" s="143" t="str">
        <f t="shared" si="27"/>
        <v/>
      </c>
      <c r="AG442" s="199" t="b">
        <f t="shared" si="26"/>
        <v>0</v>
      </c>
      <c r="AH442" s="146"/>
      <c r="AI442" s="154" t="s">
        <v>6</v>
      </c>
      <c r="AJ442" s="151" t="str">
        <f t="shared" si="29"/>
        <v>GUARULHOS</v>
      </c>
      <c r="AK442" s="155" t="s">
        <v>59</v>
      </c>
      <c r="AL442" s="53">
        <v>0.74396962752599927</v>
      </c>
      <c r="AM442" s="53" t="str" cm="1">
        <f t="array" ref="AM442">IF(OR(O442&lt;&gt;"", SUMPRODUCT(($AN$2:$AN$561=AN442)*($AL$2:$AL$561&lt;=AL442)) &lt;= (COUNTIF($AN$2:$AN$561,AN442)*0.5)), "SORTEADO", "-")</f>
        <v>-</v>
      </c>
      <c r="AN442" s="53" t="str">
        <f t="shared" si="28"/>
        <v>28/04/2026</v>
      </c>
    </row>
    <row r="443" spans="1:40" ht="30" hidden="1" customHeight="1" x14ac:dyDescent="0.2">
      <c r="A443" s="245" t="s">
        <v>197</v>
      </c>
      <c r="B443" s="245">
        <v>2617272541</v>
      </c>
      <c r="C443" s="245" t="s">
        <v>3015</v>
      </c>
      <c r="D443" s="245" t="s">
        <v>112</v>
      </c>
      <c r="E443" s="245" t="s">
        <v>198</v>
      </c>
      <c r="F443" s="245" t="s">
        <v>3067</v>
      </c>
      <c r="G443" s="245">
        <v>170</v>
      </c>
      <c r="H443" s="245" t="s">
        <v>213</v>
      </c>
      <c r="I443" s="245" t="s">
        <v>1397</v>
      </c>
      <c r="J443" s="245" t="s">
        <v>3016</v>
      </c>
      <c r="K443" s="245" t="s">
        <v>3148</v>
      </c>
      <c r="L443" s="245" t="s">
        <v>2396</v>
      </c>
      <c r="M443" s="245" t="s">
        <v>3149</v>
      </c>
      <c r="N443" s="245" t="s">
        <v>2757</v>
      </c>
      <c r="O443" s="158"/>
      <c r="P443" s="92"/>
      <c r="Q443" s="146"/>
      <c r="R443" s="92"/>
      <c r="S443" s="146"/>
      <c r="T443" s="92"/>
      <c r="U443" s="146"/>
      <c r="V443" s="92"/>
      <c r="W443" s="146"/>
      <c r="X443" s="92"/>
      <c r="Y443" s="146"/>
      <c r="Z443" s="92"/>
      <c r="AA443" s="146"/>
      <c r="AB443" s="92"/>
      <c r="AC443" s="146"/>
      <c r="AD443" s="92"/>
      <c r="AE443" s="146"/>
      <c r="AF443" s="143" t="str">
        <f t="shared" si="27"/>
        <v/>
      </c>
      <c r="AG443" s="199" t="b">
        <f t="shared" si="26"/>
        <v>0</v>
      </c>
      <c r="AH443" s="146"/>
      <c r="AI443" s="154" t="s">
        <v>6</v>
      </c>
      <c r="AJ443" s="151" t="str">
        <f t="shared" si="29"/>
        <v>GUARULHOS</v>
      </c>
      <c r="AK443" s="155" t="s">
        <v>59</v>
      </c>
      <c r="AL443" s="53">
        <v>0.92450104498418784</v>
      </c>
      <c r="AM443" s="53" t="str" cm="1">
        <f t="array" ref="AM443">IF(OR(O443&lt;&gt;"", SUMPRODUCT(($AN$2:$AN$561=AN443)*($AL$2:$AL$561&lt;=AL443)) &lt;= (COUNTIF($AN$2:$AN$561,AN443)*0.5)), "SORTEADO", "-")</f>
        <v>-</v>
      </c>
      <c r="AN443" s="53" t="str">
        <f t="shared" si="28"/>
        <v>29/04/2026</v>
      </c>
    </row>
    <row r="444" spans="1:40" ht="30" hidden="1" customHeight="1" x14ac:dyDescent="0.2">
      <c r="A444" s="245" t="s">
        <v>197</v>
      </c>
      <c r="B444" s="245">
        <v>2616329834</v>
      </c>
      <c r="C444" s="245" t="s">
        <v>3150</v>
      </c>
      <c r="D444" s="245" t="s">
        <v>112</v>
      </c>
      <c r="E444" s="245" t="s">
        <v>198</v>
      </c>
      <c r="F444" s="245" t="s">
        <v>1817</v>
      </c>
      <c r="G444" s="245">
        <v>184</v>
      </c>
      <c r="H444" s="245"/>
      <c r="I444" s="245" t="s">
        <v>772</v>
      </c>
      <c r="J444" s="245" t="s">
        <v>3151</v>
      </c>
      <c r="K444" s="245" t="s">
        <v>3152</v>
      </c>
      <c r="L444" s="245" t="s">
        <v>2396</v>
      </c>
      <c r="M444" s="245" t="s">
        <v>3149</v>
      </c>
      <c r="N444" s="245" t="s">
        <v>2757</v>
      </c>
      <c r="O444" s="158"/>
      <c r="P444" s="92"/>
      <c r="Q444" s="146"/>
      <c r="R444" s="92"/>
      <c r="S444" s="146"/>
      <c r="T444" s="92"/>
      <c r="U444" s="146"/>
      <c r="V444" s="92"/>
      <c r="W444" s="146"/>
      <c r="X444" s="92"/>
      <c r="Y444" s="146"/>
      <c r="Z444" s="92"/>
      <c r="AA444" s="146"/>
      <c r="AB444" s="92"/>
      <c r="AC444" s="146"/>
      <c r="AD444" s="92"/>
      <c r="AE444" s="146"/>
      <c r="AF444" s="143" t="str">
        <f t="shared" si="27"/>
        <v/>
      </c>
      <c r="AG444" s="199" t="b">
        <f t="shared" si="26"/>
        <v>0</v>
      </c>
      <c r="AH444" s="146"/>
      <c r="AI444" s="154" t="s">
        <v>6</v>
      </c>
      <c r="AJ444" s="151" t="str">
        <f t="shared" si="29"/>
        <v>GUARULHOS</v>
      </c>
      <c r="AK444" s="155" t="s">
        <v>59</v>
      </c>
      <c r="AL444" s="53">
        <v>0.80168599509612049</v>
      </c>
      <c r="AM444" s="53" t="str" cm="1">
        <f t="array" ref="AM444">IF(OR(O444&lt;&gt;"", SUMPRODUCT(($AN$2:$AN$561=AN444)*($AL$2:$AL$561&lt;=AL444)) &lt;= (COUNTIF($AN$2:$AN$561,AN444)*0.5)), "SORTEADO", "-")</f>
        <v>-</v>
      </c>
      <c r="AN444" s="53" t="str">
        <f t="shared" si="28"/>
        <v>29/04/2026</v>
      </c>
    </row>
    <row r="445" spans="1:40" ht="30" customHeight="1" x14ac:dyDescent="0.2">
      <c r="A445" s="245" t="s">
        <v>197</v>
      </c>
      <c r="B445" s="245">
        <v>2617733344</v>
      </c>
      <c r="C445" s="245" t="s">
        <v>120</v>
      </c>
      <c r="D445" s="245" t="s">
        <v>111</v>
      </c>
      <c r="E445" s="245" t="s">
        <v>198</v>
      </c>
      <c r="F445" s="245" t="s">
        <v>838</v>
      </c>
      <c r="G445" s="245">
        <v>137</v>
      </c>
      <c r="H445" s="245" t="s">
        <v>235</v>
      </c>
      <c r="I445" s="245" t="s">
        <v>277</v>
      </c>
      <c r="J445" s="245" t="s">
        <v>2637</v>
      </c>
      <c r="K445" s="245" t="s">
        <v>213</v>
      </c>
      <c r="L445" s="245" t="s">
        <v>2396</v>
      </c>
      <c r="M445" s="245" t="s">
        <v>3153</v>
      </c>
      <c r="N445" s="245" t="s">
        <v>2638</v>
      </c>
      <c r="O445" s="158"/>
      <c r="P445" s="92"/>
      <c r="Q445" s="146"/>
      <c r="R445" s="92"/>
      <c r="S445" s="146"/>
      <c r="T445" s="92"/>
      <c r="U445" s="146"/>
      <c r="V445" s="92"/>
      <c r="W445" s="146"/>
      <c r="X445" s="92"/>
      <c r="Y445" s="146"/>
      <c r="Z445" s="92"/>
      <c r="AA445" s="146"/>
      <c r="AB445" s="92"/>
      <c r="AC445" s="146"/>
      <c r="AD445" s="92"/>
      <c r="AE445" s="146"/>
      <c r="AF445" s="143" t="str">
        <f t="shared" si="27"/>
        <v/>
      </c>
      <c r="AG445" s="199" t="b">
        <f t="shared" si="26"/>
        <v>0</v>
      </c>
      <c r="AH445" s="146"/>
      <c r="AI445" s="154" t="s">
        <v>6</v>
      </c>
      <c r="AJ445" s="151" t="str">
        <f t="shared" si="29"/>
        <v>GUARULHOS</v>
      </c>
      <c r="AK445" s="155" t="s">
        <v>59</v>
      </c>
      <c r="AL445" s="53">
        <v>0.25616884545905627</v>
      </c>
      <c r="AM445" s="53" t="str" cm="1">
        <f t="array" ref="AM445">IF(OR(O445&lt;&gt;"", SUMPRODUCT(($AN$2:$AN$561=AN445)*($AL$2:$AL$561&lt;=AL445)) &lt;= (COUNTIF($AN$2:$AN$561,AN445)*0.5)), "SORTEADO", "-")</f>
        <v>SORTEADO</v>
      </c>
      <c r="AN445" s="53" t="str">
        <f t="shared" si="28"/>
        <v>29/04/2026</v>
      </c>
    </row>
    <row r="446" spans="1:40" ht="30" customHeight="1" x14ac:dyDescent="0.2">
      <c r="A446" s="245" t="s">
        <v>197</v>
      </c>
      <c r="B446" s="245">
        <v>2617743128</v>
      </c>
      <c r="C446" s="245" t="s">
        <v>120</v>
      </c>
      <c r="D446" s="245" t="s">
        <v>111</v>
      </c>
      <c r="E446" s="245" t="s">
        <v>198</v>
      </c>
      <c r="F446" s="245" t="s">
        <v>829</v>
      </c>
      <c r="G446" s="245">
        <v>775</v>
      </c>
      <c r="H446" s="245"/>
      <c r="I446" s="245" t="s">
        <v>664</v>
      </c>
      <c r="J446" s="245" t="s">
        <v>2637</v>
      </c>
      <c r="K446" s="245" t="s">
        <v>3154</v>
      </c>
      <c r="L446" s="245" t="s">
        <v>2396</v>
      </c>
      <c r="M446" s="245" t="s">
        <v>3155</v>
      </c>
      <c r="N446" s="245" t="s">
        <v>2638</v>
      </c>
      <c r="O446" s="158"/>
      <c r="P446" s="92"/>
      <c r="Q446" s="146"/>
      <c r="R446" s="92"/>
      <c r="S446" s="146"/>
      <c r="T446" s="92"/>
      <c r="U446" s="146"/>
      <c r="V446" s="92"/>
      <c r="W446" s="146"/>
      <c r="X446" s="92"/>
      <c r="Y446" s="146"/>
      <c r="Z446" s="92"/>
      <c r="AA446" s="146"/>
      <c r="AB446" s="92"/>
      <c r="AC446" s="146"/>
      <c r="AD446" s="92"/>
      <c r="AE446" s="146"/>
      <c r="AF446" s="143" t="str">
        <f t="shared" si="27"/>
        <v/>
      </c>
      <c r="AG446" s="199" t="b">
        <f t="shared" ref="AG446:AG509" si="30">IF(AND(AE446="C",AF446="C"),"UTILIZOU O PDA CORRETAMENTE",IF(AND(AE446="C",AF446="NC"),"UTILIZOU O PDA CORRETAMENTE. NÃO HÁ FOTOS DE TODAS AS ETAPAS",IF(AND(AE446="NC",AF446="NC"),"NÃO UTILIZOU O PDA",IF(AND(AE446="NA",AF446="NA"),"NÃO AVALIADO POR FALHA DE SINCRONISMO"))))</f>
        <v>0</v>
      </c>
      <c r="AH446" s="146"/>
      <c r="AI446" s="154" t="s">
        <v>6</v>
      </c>
      <c r="AJ446" s="151" t="str">
        <f t="shared" si="29"/>
        <v>GUARULHOS</v>
      </c>
      <c r="AK446" s="155" t="s">
        <v>59</v>
      </c>
      <c r="AL446" s="53">
        <v>0.22922106951663257</v>
      </c>
      <c r="AM446" s="53" t="str" cm="1">
        <f t="array" ref="AM446">IF(OR(O446&lt;&gt;"", SUMPRODUCT(($AN$2:$AN$561=AN446)*($AL$2:$AL$561&lt;=AL446)) &lt;= (COUNTIF($AN$2:$AN$561,AN446)*0.5)), "SORTEADO", "-")</f>
        <v>SORTEADO</v>
      </c>
      <c r="AN446" s="53" t="str">
        <f t="shared" si="28"/>
        <v>29/04/2026</v>
      </c>
    </row>
    <row r="447" spans="1:40" ht="30" customHeight="1" x14ac:dyDescent="0.2">
      <c r="A447" s="245" t="s">
        <v>197</v>
      </c>
      <c r="B447" s="245">
        <v>2617755309</v>
      </c>
      <c r="C447" s="245" t="s">
        <v>120</v>
      </c>
      <c r="D447" s="245" t="s">
        <v>111</v>
      </c>
      <c r="E447" s="245" t="s">
        <v>198</v>
      </c>
      <c r="F447" s="245" t="s">
        <v>3156</v>
      </c>
      <c r="G447" s="245">
        <v>74</v>
      </c>
      <c r="H447" s="245" t="s">
        <v>3086</v>
      </c>
      <c r="I447" s="245" t="s">
        <v>509</v>
      </c>
      <c r="J447" s="245" t="s">
        <v>2637</v>
      </c>
      <c r="K447" s="245" t="s">
        <v>3157</v>
      </c>
      <c r="L447" s="245" t="s">
        <v>2396</v>
      </c>
      <c r="M447" s="245" t="s">
        <v>2459</v>
      </c>
      <c r="N447" s="245" t="s">
        <v>2638</v>
      </c>
      <c r="O447" s="158"/>
      <c r="P447" s="92"/>
      <c r="Q447" s="146"/>
      <c r="R447" s="92"/>
      <c r="S447" s="146"/>
      <c r="T447" s="92"/>
      <c r="U447" s="146"/>
      <c r="V447" s="92"/>
      <c r="W447" s="146"/>
      <c r="X447" s="92"/>
      <c r="Y447" s="146"/>
      <c r="Z447" s="92"/>
      <c r="AA447" s="146"/>
      <c r="AB447" s="92"/>
      <c r="AC447" s="146"/>
      <c r="AD447" s="92"/>
      <c r="AE447" s="146"/>
      <c r="AF447" s="143" t="str">
        <f t="shared" ref="AF447:AF510" si="31">IF(AND(O447="",Q447="",S447="",U447="",W447="",Y447="",AA447="",AC447=""),"",IF(OR(AND(O447&lt;&gt;"NA",O447&lt;&gt;"C",O447&lt;&gt;"NC",O447&lt;&gt;"SF",O447&lt;&gt;""),AND(Q447&lt;&gt;"NA",Q447&lt;&gt;"C",Q447&lt;&gt;"NC",Q447&lt;&gt;"SF",Q447&lt;&gt;""),AND(S447&lt;&gt;"NA",S447&lt;&gt;"C",S447&lt;&gt;"NC",S447&lt;&gt;"SF",S447&lt;&gt;""),AND(U447&lt;&gt;"NA",U447&lt;&gt;"C",U447&lt;&gt;"NC",U447&lt;&gt;"SF",U447&lt;&gt;""),AND(W447&lt;&gt;"NA",W447&lt;&gt;"C",W447&lt;&gt;"NC",W447&lt;&gt;"SF",W447&lt;&gt;""),AND(Y447&lt;&gt;"NA",Y447&lt;&gt;"C",Y447&lt;&gt;"NC",Y447&lt;&gt;"SF",Y447&lt;&gt;""),AND(AA447&lt;&gt;"NA",AA447&lt;&gt;"C",AA447&lt;&gt;"NC",AA447&lt;&gt;"SF",AA447&lt;&gt;""),AND(AC447&lt;&gt;"NA",AC447&lt;&gt;"C",AC447&lt;&gt;"NC",AC447&lt;&gt;"SF",AC447&lt;&gt;"")),"FALSO",IF(AND(O447="NA",Q447="NA",S447="NA",U447="NA",W447="NA",Y447="NA",AA447="NA",AC447="NA"),"NA",IF(OR(O447="NC",Q447="NC",S447="NC",U447="NC",W447="NC",Y447="NC",AA447="NC",AC447="NC",O447="SF",Q447="SF",S447="SF",U447="SF",W447="SF",Y447="SF",AA447="SF",AC447="SF"),"NC",IF(OR(O447="C",Q447="C",S447="C",U447="C",W447="C",Y447="C",AA447="C",AC447="C"),"C","")))))</f>
        <v/>
      </c>
      <c r="AG447" s="199" t="b">
        <f t="shared" si="30"/>
        <v>0</v>
      </c>
      <c r="AH447" s="146"/>
      <c r="AI447" s="154" t="s">
        <v>6</v>
      </c>
      <c r="AJ447" s="151" t="str">
        <f t="shared" si="29"/>
        <v>GUARULHOS</v>
      </c>
      <c r="AK447" s="155" t="s">
        <v>59</v>
      </c>
      <c r="AL447" s="53">
        <v>2.6341162191324763E-2</v>
      </c>
      <c r="AM447" s="53" t="str" cm="1">
        <f t="array" ref="AM447">IF(OR(O447&lt;&gt;"", SUMPRODUCT(($AN$2:$AN$561=AN447)*($AL$2:$AL$561&lt;=AL447)) &lt;= (COUNTIF($AN$2:$AN$561,AN447)*0.5)), "SORTEADO", "-")</f>
        <v>SORTEADO</v>
      </c>
      <c r="AN447" s="53" t="str">
        <f t="shared" si="28"/>
        <v>29/04/2026</v>
      </c>
    </row>
    <row r="448" spans="1:40" ht="30" hidden="1" customHeight="1" x14ac:dyDescent="0.2">
      <c r="A448" s="245" t="s">
        <v>197</v>
      </c>
      <c r="B448" s="245">
        <v>2617787186</v>
      </c>
      <c r="C448" s="245" t="s">
        <v>121</v>
      </c>
      <c r="D448" s="245" t="s">
        <v>110</v>
      </c>
      <c r="E448" s="245" t="s">
        <v>198</v>
      </c>
      <c r="F448" s="245" t="s">
        <v>3158</v>
      </c>
      <c r="G448" s="245">
        <v>231</v>
      </c>
      <c r="H448" s="245" t="s">
        <v>715</v>
      </c>
      <c r="I448" s="245" t="s">
        <v>915</v>
      </c>
      <c r="J448" s="245" t="s">
        <v>2661</v>
      </c>
      <c r="K448" s="245"/>
      <c r="L448" s="245" t="s">
        <v>2396</v>
      </c>
      <c r="M448" s="245" t="s">
        <v>3159</v>
      </c>
      <c r="N448" s="245" t="s">
        <v>2640</v>
      </c>
      <c r="O448" s="158"/>
      <c r="P448" s="92"/>
      <c r="Q448" s="146"/>
      <c r="R448" s="92"/>
      <c r="S448" s="146"/>
      <c r="T448" s="92"/>
      <c r="U448" s="146"/>
      <c r="V448" s="92"/>
      <c r="W448" s="146"/>
      <c r="X448" s="92"/>
      <c r="Y448" s="146"/>
      <c r="Z448" s="92"/>
      <c r="AA448" s="146"/>
      <c r="AB448" s="92"/>
      <c r="AC448" s="146"/>
      <c r="AD448" s="92"/>
      <c r="AE448" s="146"/>
      <c r="AF448" s="143" t="str">
        <f t="shared" si="31"/>
        <v/>
      </c>
      <c r="AG448" s="199" t="b">
        <f t="shared" si="30"/>
        <v>0</v>
      </c>
      <c r="AH448" s="146"/>
      <c r="AI448" s="154" t="s">
        <v>6</v>
      </c>
      <c r="AJ448" s="151" t="str">
        <f t="shared" si="29"/>
        <v>GUARULHOS</v>
      </c>
      <c r="AK448" s="155" t="s">
        <v>59</v>
      </c>
      <c r="AL448" s="53">
        <v>0.30954581496480593</v>
      </c>
      <c r="AM448" s="53" t="str" cm="1">
        <f t="array" ref="AM448">IF(OR(O448&lt;&gt;"", SUMPRODUCT(($AN$2:$AN$561=AN448)*($AL$2:$AL$561&lt;=AL448)) &lt;= (COUNTIF($AN$2:$AN$561,AN448)*0.5)), "SORTEADO", "-")</f>
        <v>SORTEADO</v>
      </c>
      <c r="AN448" s="53" t="str">
        <f t="shared" si="28"/>
        <v>29/04/2026</v>
      </c>
    </row>
    <row r="449" spans="1:40" ht="30" hidden="1" customHeight="1" x14ac:dyDescent="0.2">
      <c r="A449" s="245" t="s">
        <v>197</v>
      </c>
      <c r="B449" s="245">
        <v>2617785238</v>
      </c>
      <c r="C449" s="245" t="s">
        <v>2810</v>
      </c>
      <c r="D449" s="245" t="s">
        <v>110</v>
      </c>
      <c r="E449" s="245" t="s">
        <v>198</v>
      </c>
      <c r="F449" s="245" t="s">
        <v>3160</v>
      </c>
      <c r="G449" s="245">
        <v>161</v>
      </c>
      <c r="H449" s="245">
        <v>175</v>
      </c>
      <c r="I449" s="245" t="s">
        <v>207</v>
      </c>
      <c r="J449" s="245" t="s">
        <v>2813</v>
      </c>
      <c r="K449" s="245" t="s">
        <v>3161</v>
      </c>
      <c r="L449" s="245" t="s">
        <v>2396</v>
      </c>
      <c r="M449" s="245" t="s">
        <v>2474</v>
      </c>
      <c r="N449" s="245" t="s">
        <v>2634</v>
      </c>
      <c r="O449" s="158"/>
      <c r="P449" s="92"/>
      <c r="Q449" s="146"/>
      <c r="R449" s="92"/>
      <c r="S449" s="146"/>
      <c r="T449" s="92"/>
      <c r="U449" s="146"/>
      <c r="V449" s="92"/>
      <c r="W449" s="146"/>
      <c r="X449" s="92"/>
      <c r="Y449" s="146"/>
      <c r="Z449" s="92"/>
      <c r="AA449" s="146"/>
      <c r="AB449" s="92"/>
      <c r="AC449" s="146"/>
      <c r="AD449" s="92"/>
      <c r="AE449" s="146"/>
      <c r="AF449" s="143" t="str">
        <f t="shared" si="31"/>
        <v/>
      </c>
      <c r="AG449" s="199" t="b">
        <f t="shared" si="30"/>
        <v>0</v>
      </c>
      <c r="AH449" s="146"/>
      <c r="AI449" s="154" t="s">
        <v>6</v>
      </c>
      <c r="AJ449" s="151" t="str">
        <f t="shared" si="29"/>
        <v>GUARULHOS</v>
      </c>
      <c r="AK449" s="155" t="s">
        <v>59</v>
      </c>
      <c r="AL449" s="53">
        <v>0.74100056144005655</v>
      </c>
      <c r="AM449" s="53" t="str" cm="1">
        <f t="array" ref="AM449">IF(OR(O449&lt;&gt;"", SUMPRODUCT(($AN$2:$AN$561=AN449)*($AL$2:$AL$561&lt;=AL449)) &lt;= (COUNTIF($AN$2:$AN$561,AN449)*0.5)), "SORTEADO", "-")</f>
        <v>-</v>
      </c>
      <c r="AN449" s="53" t="str">
        <f t="shared" si="28"/>
        <v>29/04/2026</v>
      </c>
    </row>
    <row r="450" spans="1:40" ht="30" hidden="1" customHeight="1" x14ac:dyDescent="0.2">
      <c r="A450" s="245" t="s">
        <v>197</v>
      </c>
      <c r="B450" s="245">
        <v>2615121362</v>
      </c>
      <c r="C450" s="245" t="s">
        <v>117</v>
      </c>
      <c r="D450" s="245" t="s">
        <v>109</v>
      </c>
      <c r="E450" s="245" t="s">
        <v>198</v>
      </c>
      <c r="F450" s="245" t="s">
        <v>3162</v>
      </c>
      <c r="G450" s="245">
        <v>59</v>
      </c>
      <c r="H450" s="245" t="s">
        <v>3014</v>
      </c>
      <c r="I450" s="245" t="s">
        <v>366</v>
      </c>
      <c r="J450" s="245" t="s">
        <v>117</v>
      </c>
      <c r="K450" s="245" t="s">
        <v>2752</v>
      </c>
      <c r="L450" s="245" t="s">
        <v>2396</v>
      </c>
      <c r="M450" s="245" t="s">
        <v>3163</v>
      </c>
      <c r="N450" s="245" t="s">
        <v>2646</v>
      </c>
      <c r="O450" s="158"/>
      <c r="P450" s="92"/>
      <c r="Q450" s="146"/>
      <c r="R450" s="92"/>
      <c r="S450" s="146"/>
      <c r="T450" s="92"/>
      <c r="U450" s="146"/>
      <c r="V450" s="92"/>
      <c r="W450" s="146"/>
      <c r="X450" s="92"/>
      <c r="Y450" s="146"/>
      <c r="Z450" s="92"/>
      <c r="AA450" s="146"/>
      <c r="AB450" s="92"/>
      <c r="AC450" s="146"/>
      <c r="AD450" s="92"/>
      <c r="AE450" s="146"/>
      <c r="AF450" s="143" t="str">
        <f t="shared" si="31"/>
        <v/>
      </c>
      <c r="AG450" s="199" t="b">
        <f t="shared" si="30"/>
        <v>0</v>
      </c>
      <c r="AH450" s="146"/>
      <c r="AI450" s="154" t="s">
        <v>6</v>
      </c>
      <c r="AJ450" s="151" t="str">
        <f t="shared" si="29"/>
        <v>GUARULHOS</v>
      </c>
      <c r="AK450" s="155" t="s">
        <v>59</v>
      </c>
      <c r="AL450" s="53">
        <v>0.53011688043193972</v>
      </c>
      <c r="AM450" s="53" t="str" cm="1">
        <f t="array" ref="AM450">IF(OR(O450&lt;&gt;"", SUMPRODUCT(($AN$2:$AN$561=AN450)*($AL$2:$AL$561&lt;=AL450)) &lt;= (COUNTIF($AN$2:$AN$561,AN450)*0.5)), "SORTEADO", "-")</f>
        <v>-</v>
      </c>
      <c r="AN450" s="53" t="str">
        <f t="shared" si="28"/>
        <v>29/04/2026</v>
      </c>
    </row>
    <row r="451" spans="1:40" ht="30" hidden="1" customHeight="1" x14ac:dyDescent="0.2">
      <c r="A451" s="245" t="s">
        <v>197</v>
      </c>
      <c r="B451" s="245">
        <v>2617786287</v>
      </c>
      <c r="C451" s="245" t="s">
        <v>122</v>
      </c>
      <c r="D451" s="245" t="s">
        <v>108</v>
      </c>
      <c r="E451" s="245" t="s">
        <v>198</v>
      </c>
      <c r="F451" s="245" t="s">
        <v>3144</v>
      </c>
      <c r="G451" s="245">
        <v>108</v>
      </c>
      <c r="H451" s="245" t="s">
        <v>206</v>
      </c>
      <c r="I451" s="245" t="s">
        <v>947</v>
      </c>
      <c r="J451" s="245" t="s">
        <v>2649</v>
      </c>
      <c r="K451" s="245" t="s">
        <v>3164</v>
      </c>
      <c r="L451" s="245" t="s">
        <v>2396</v>
      </c>
      <c r="M451" s="245" t="s">
        <v>3165</v>
      </c>
      <c r="N451" s="245" t="s">
        <v>2646</v>
      </c>
      <c r="O451" s="158"/>
      <c r="P451" s="92"/>
      <c r="Q451" s="146"/>
      <c r="R451" s="92"/>
      <c r="S451" s="146"/>
      <c r="T451" s="92"/>
      <c r="U451" s="146"/>
      <c r="V451" s="92"/>
      <c r="W451" s="146"/>
      <c r="X451" s="92"/>
      <c r="Y451" s="146"/>
      <c r="Z451" s="92"/>
      <c r="AA451" s="146"/>
      <c r="AB451" s="92"/>
      <c r="AC451" s="146"/>
      <c r="AD451" s="92"/>
      <c r="AE451" s="146"/>
      <c r="AF451" s="143" t="str">
        <f t="shared" si="31"/>
        <v/>
      </c>
      <c r="AG451" s="199" t="b">
        <f t="shared" si="30"/>
        <v>0</v>
      </c>
      <c r="AH451" s="146"/>
      <c r="AI451" s="154" t="s">
        <v>6</v>
      </c>
      <c r="AJ451" s="151" t="str">
        <f t="shared" si="29"/>
        <v>GUARULHOS</v>
      </c>
      <c r="AK451" s="155" t="s">
        <v>59</v>
      </c>
      <c r="AL451" s="53">
        <v>0.54909935372099106</v>
      </c>
      <c r="AM451" s="53" t="str" cm="1">
        <f t="array" ref="AM451">IF(OR(O451&lt;&gt;"", SUMPRODUCT(($AN$2:$AN$561=AN451)*($AL$2:$AL$561&lt;=AL451)) &lt;= (COUNTIF($AN$2:$AN$561,AN451)*0.5)), "SORTEADO", "-")</f>
        <v>-</v>
      </c>
      <c r="AN451" s="53" t="str">
        <f t="shared" si="28"/>
        <v>29/04/2026</v>
      </c>
    </row>
    <row r="452" spans="1:40" ht="30" hidden="1" customHeight="1" x14ac:dyDescent="0.2">
      <c r="A452" s="245" t="s">
        <v>197</v>
      </c>
      <c r="B452" s="245">
        <v>2617577309</v>
      </c>
      <c r="C452" s="245" t="s">
        <v>119</v>
      </c>
      <c r="D452" s="245" t="s">
        <v>109</v>
      </c>
      <c r="E452" s="245" t="s">
        <v>198</v>
      </c>
      <c r="F452" s="245" t="s">
        <v>3166</v>
      </c>
      <c r="G452" s="245">
        <v>21</v>
      </c>
      <c r="H452" s="245"/>
      <c r="I452" s="245" t="s">
        <v>664</v>
      </c>
      <c r="J452" s="245" t="s">
        <v>119</v>
      </c>
      <c r="K452" s="245"/>
      <c r="L452" s="245" t="s">
        <v>2396</v>
      </c>
      <c r="M452" s="245" t="s">
        <v>2507</v>
      </c>
      <c r="N452" s="245" t="s">
        <v>2634</v>
      </c>
      <c r="O452" s="158"/>
      <c r="P452" s="92"/>
      <c r="Q452" s="146"/>
      <c r="R452" s="92"/>
      <c r="S452" s="146"/>
      <c r="T452" s="92"/>
      <c r="U452" s="146"/>
      <c r="V452" s="92"/>
      <c r="W452" s="146"/>
      <c r="X452" s="92"/>
      <c r="Y452" s="146"/>
      <c r="Z452" s="92"/>
      <c r="AA452" s="146"/>
      <c r="AB452" s="92"/>
      <c r="AC452" s="146"/>
      <c r="AD452" s="92"/>
      <c r="AE452" s="146"/>
      <c r="AF452" s="143" t="str">
        <f t="shared" si="31"/>
        <v/>
      </c>
      <c r="AG452" s="199" t="b">
        <f t="shared" si="30"/>
        <v>0</v>
      </c>
      <c r="AH452" s="146"/>
      <c r="AI452" s="154" t="s">
        <v>6</v>
      </c>
      <c r="AJ452" s="151" t="str">
        <f t="shared" si="29"/>
        <v>GUARULHOS</v>
      </c>
      <c r="AK452" s="155" t="s">
        <v>59</v>
      </c>
      <c r="AL452" s="53">
        <v>0.9773293423713445</v>
      </c>
      <c r="AM452" s="53" t="str" cm="1">
        <f t="array" ref="AM452">IF(OR(O452&lt;&gt;"", SUMPRODUCT(($AN$2:$AN$561=AN452)*($AL$2:$AL$561&lt;=AL452)) &lt;= (COUNTIF($AN$2:$AN$561,AN452)*0.5)), "SORTEADO", "-")</f>
        <v>-</v>
      </c>
      <c r="AN452" s="53" t="str">
        <f t="shared" si="28"/>
        <v>29/04/2026</v>
      </c>
    </row>
    <row r="453" spans="1:40" ht="30" hidden="1" customHeight="1" x14ac:dyDescent="0.2">
      <c r="A453" s="245" t="s">
        <v>197</v>
      </c>
      <c r="B453" s="245">
        <v>2614627408</v>
      </c>
      <c r="C453" s="245" t="s">
        <v>3015</v>
      </c>
      <c r="D453" s="245" t="s">
        <v>112</v>
      </c>
      <c r="E453" s="245" t="s">
        <v>198</v>
      </c>
      <c r="F453" s="245" t="s">
        <v>1727</v>
      </c>
      <c r="G453" s="245">
        <v>34</v>
      </c>
      <c r="H453" s="245" t="s">
        <v>3006</v>
      </c>
      <c r="I453" s="245" t="s">
        <v>356</v>
      </c>
      <c r="J453" s="245" t="s">
        <v>3016</v>
      </c>
      <c r="K453" s="246" t="s">
        <v>3167</v>
      </c>
      <c r="L453" s="245" t="s">
        <v>2396</v>
      </c>
      <c r="M453" s="245" t="s">
        <v>3168</v>
      </c>
      <c r="N453" s="245" t="s">
        <v>2705</v>
      </c>
      <c r="O453" s="158"/>
      <c r="P453" s="92"/>
      <c r="Q453" s="146"/>
      <c r="R453" s="92"/>
      <c r="S453" s="146"/>
      <c r="T453" s="92"/>
      <c r="U453" s="146"/>
      <c r="V453" s="92"/>
      <c r="W453" s="146"/>
      <c r="X453" s="92"/>
      <c r="Y453" s="146"/>
      <c r="Z453" s="92"/>
      <c r="AA453" s="146"/>
      <c r="AB453" s="92"/>
      <c r="AC453" s="146"/>
      <c r="AD453" s="92"/>
      <c r="AE453" s="146"/>
      <c r="AF453" s="143" t="str">
        <f t="shared" si="31"/>
        <v/>
      </c>
      <c r="AG453" s="199" t="b">
        <f t="shared" si="30"/>
        <v>0</v>
      </c>
      <c r="AH453" s="146"/>
      <c r="AI453" s="154" t="s">
        <v>6</v>
      </c>
      <c r="AJ453" s="151" t="str">
        <f t="shared" si="29"/>
        <v>GUARULHOS</v>
      </c>
      <c r="AK453" s="155" t="s">
        <v>59</v>
      </c>
      <c r="AL453" s="53">
        <v>0.31139022417344075</v>
      </c>
      <c r="AM453" s="53" t="str" cm="1">
        <f t="array" ref="AM453">IF(OR(O453&lt;&gt;"", SUMPRODUCT(($AN$2:$AN$561=AN453)*($AL$2:$AL$561&lt;=AL453)) &lt;= (COUNTIF($AN$2:$AN$561,AN453)*0.5)), "SORTEADO", "-")</f>
        <v>SORTEADO</v>
      </c>
      <c r="AN453" s="53" t="str">
        <f t="shared" si="28"/>
        <v>29/04/2026</v>
      </c>
    </row>
    <row r="454" spans="1:40" ht="30" hidden="1" customHeight="1" x14ac:dyDescent="0.2">
      <c r="A454" s="245" t="s">
        <v>197</v>
      </c>
      <c r="B454" s="245">
        <v>2617303300</v>
      </c>
      <c r="C454" s="245" t="s">
        <v>116</v>
      </c>
      <c r="D454" s="245" t="s">
        <v>111</v>
      </c>
      <c r="E454" s="245" t="s">
        <v>198</v>
      </c>
      <c r="F454" s="245" t="s">
        <v>1727</v>
      </c>
      <c r="G454" s="245">
        <v>124</v>
      </c>
      <c r="H454" s="245"/>
      <c r="I454" s="245" t="s">
        <v>356</v>
      </c>
      <c r="J454" s="245" t="s">
        <v>2989</v>
      </c>
      <c r="K454" s="246" t="s">
        <v>3169</v>
      </c>
      <c r="L454" s="245" t="s">
        <v>2396</v>
      </c>
      <c r="M454" s="245" t="s">
        <v>3168</v>
      </c>
      <c r="N454" s="245" t="s">
        <v>2705</v>
      </c>
      <c r="O454" s="158"/>
      <c r="P454" s="92"/>
      <c r="Q454" s="146"/>
      <c r="R454" s="92"/>
      <c r="S454" s="146"/>
      <c r="T454" s="92"/>
      <c r="U454" s="146"/>
      <c r="V454" s="92"/>
      <c r="W454" s="146"/>
      <c r="X454" s="92"/>
      <c r="Y454" s="146"/>
      <c r="Z454" s="92"/>
      <c r="AA454" s="146"/>
      <c r="AB454" s="92"/>
      <c r="AC454" s="146"/>
      <c r="AD454" s="92"/>
      <c r="AE454" s="146"/>
      <c r="AF454" s="143" t="str">
        <f t="shared" si="31"/>
        <v/>
      </c>
      <c r="AG454" s="199" t="b">
        <f t="shared" si="30"/>
        <v>0</v>
      </c>
      <c r="AH454" s="146"/>
      <c r="AI454" s="154" t="s">
        <v>6</v>
      </c>
      <c r="AJ454" s="151" t="str">
        <f t="shared" si="29"/>
        <v>GUARULHOS</v>
      </c>
      <c r="AK454" s="155" t="s">
        <v>59</v>
      </c>
      <c r="AL454" s="53">
        <v>0.2594750756376818</v>
      </c>
      <c r="AM454" s="53" t="str" cm="1">
        <f t="array" ref="AM454">IF(OR(O454&lt;&gt;"", SUMPRODUCT(($AN$2:$AN$561=AN454)*($AL$2:$AL$561&lt;=AL454)) &lt;= (COUNTIF($AN$2:$AN$561,AN454)*0.5)), "SORTEADO", "-")</f>
        <v>SORTEADO</v>
      </c>
      <c r="AN454" s="53" t="str">
        <f t="shared" si="28"/>
        <v>29/04/2026</v>
      </c>
    </row>
    <row r="455" spans="1:40" ht="30" hidden="1" customHeight="1" x14ac:dyDescent="0.2">
      <c r="A455" s="245" t="s">
        <v>197</v>
      </c>
      <c r="B455" s="245">
        <v>2617289849</v>
      </c>
      <c r="C455" s="245" t="s">
        <v>2673</v>
      </c>
      <c r="D455" s="245" t="s">
        <v>111</v>
      </c>
      <c r="E455" s="245" t="s">
        <v>198</v>
      </c>
      <c r="F455" s="245" t="s">
        <v>3067</v>
      </c>
      <c r="G455" s="245">
        <v>170</v>
      </c>
      <c r="H455" s="245" t="s">
        <v>213</v>
      </c>
      <c r="I455" s="245" t="s">
        <v>1397</v>
      </c>
      <c r="J455" s="245" t="s">
        <v>2674</v>
      </c>
      <c r="K455" s="246" t="s">
        <v>3170</v>
      </c>
      <c r="L455" s="245" t="s">
        <v>2396</v>
      </c>
      <c r="M455" s="245" t="s">
        <v>3149</v>
      </c>
      <c r="N455" s="245" t="s">
        <v>2757</v>
      </c>
      <c r="O455" s="158"/>
      <c r="P455" s="92"/>
      <c r="Q455" s="146"/>
      <c r="R455" s="92"/>
      <c r="S455" s="146"/>
      <c r="T455" s="92"/>
      <c r="U455" s="146"/>
      <c r="V455" s="92"/>
      <c r="W455" s="146"/>
      <c r="X455" s="92"/>
      <c r="Y455" s="146"/>
      <c r="Z455" s="92"/>
      <c r="AA455" s="146"/>
      <c r="AB455" s="92"/>
      <c r="AC455" s="146"/>
      <c r="AD455" s="92"/>
      <c r="AE455" s="146"/>
      <c r="AF455" s="143" t="str">
        <f t="shared" si="31"/>
        <v/>
      </c>
      <c r="AG455" s="199" t="b">
        <f t="shared" si="30"/>
        <v>0</v>
      </c>
      <c r="AH455" s="146"/>
      <c r="AI455" s="154" t="s">
        <v>6</v>
      </c>
      <c r="AJ455" s="151" t="str">
        <f t="shared" si="29"/>
        <v>GUARULHOS</v>
      </c>
      <c r="AK455" s="155" t="s">
        <v>59</v>
      </c>
      <c r="AL455" s="53">
        <v>0.50692597072886658</v>
      </c>
      <c r="AM455" s="53" t="str" cm="1">
        <f t="array" ref="AM455">IF(OR(O455&lt;&gt;"", SUMPRODUCT(($AN$2:$AN$561=AN455)*($AL$2:$AL$561&lt;=AL455)) &lt;= (COUNTIF($AN$2:$AN$561,AN455)*0.5)), "SORTEADO", "-")</f>
        <v>-</v>
      </c>
      <c r="AN455" s="53" t="str">
        <f t="shared" si="28"/>
        <v>29/04/2026</v>
      </c>
    </row>
    <row r="456" spans="1:40" ht="30" hidden="1" customHeight="1" x14ac:dyDescent="0.2">
      <c r="A456" s="245" t="s">
        <v>197</v>
      </c>
      <c r="B456" s="245">
        <v>2615569109</v>
      </c>
      <c r="C456" s="245" t="s">
        <v>117</v>
      </c>
      <c r="D456" s="245" t="s">
        <v>109</v>
      </c>
      <c r="E456" s="245" t="s">
        <v>198</v>
      </c>
      <c r="F456" s="245" t="s">
        <v>3171</v>
      </c>
      <c r="G456" s="245">
        <v>319</v>
      </c>
      <c r="H456" s="245" t="s">
        <v>827</v>
      </c>
      <c r="I456" s="245" t="s">
        <v>667</v>
      </c>
      <c r="J456" s="245" t="s">
        <v>117</v>
      </c>
      <c r="K456" s="245" t="s">
        <v>3172</v>
      </c>
      <c r="L456" s="245" t="s">
        <v>2396</v>
      </c>
      <c r="M456" s="245" t="s">
        <v>3173</v>
      </c>
      <c r="N456" s="245" t="s">
        <v>2640</v>
      </c>
      <c r="O456" s="158"/>
      <c r="P456" s="92"/>
      <c r="Q456" s="146"/>
      <c r="R456" s="92"/>
      <c r="S456" s="146"/>
      <c r="T456" s="92"/>
      <c r="U456" s="146"/>
      <c r="V456" s="92"/>
      <c r="W456" s="146"/>
      <c r="X456" s="92"/>
      <c r="Y456" s="146"/>
      <c r="Z456" s="92"/>
      <c r="AA456" s="146"/>
      <c r="AB456" s="92"/>
      <c r="AC456" s="146"/>
      <c r="AD456" s="92"/>
      <c r="AE456" s="146"/>
      <c r="AF456" s="143" t="str">
        <f t="shared" si="31"/>
        <v/>
      </c>
      <c r="AG456" s="199" t="b">
        <f t="shared" si="30"/>
        <v>0</v>
      </c>
      <c r="AH456" s="146"/>
      <c r="AI456" s="154" t="s">
        <v>6</v>
      </c>
      <c r="AJ456" s="151" t="str">
        <f t="shared" si="29"/>
        <v>GUARULHOS</v>
      </c>
      <c r="AK456" s="155" t="s">
        <v>59</v>
      </c>
      <c r="AL456" s="53">
        <v>0.92263567979298677</v>
      </c>
      <c r="AM456" s="53" t="str" cm="1">
        <f t="array" ref="AM456">IF(OR(O456&lt;&gt;"", SUMPRODUCT(($AN$2:$AN$561=AN456)*($AL$2:$AL$561&lt;=AL456)) &lt;= (COUNTIF($AN$2:$AN$561,AN456)*0.5)), "SORTEADO", "-")</f>
        <v>-</v>
      </c>
      <c r="AN456" s="53" t="str">
        <f t="shared" si="28"/>
        <v>29/04/2026</v>
      </c>
    </row>
    <row r="457" spans="1:40" ht="30" hidden="1" customHeight="1" x14ac:dyDescent="0.2">
      <c r="A457" s="245" t="s">
        <v>197</v>
      </c>
      <c r="B457" s="245">
        <v>2613869556</v>
      </c>
      <c r="C457" s="245" t="s">
        <v>3015</v>
      </c>
      <c r="D457" s="245" t="s">
        <v>112</v>
      </c>
      <c r="E457" s="245" t="s">
        <v>198</v>
      </c>
      <c r="F457" s="245" t="s">
        <v>688</v>
      </c>
      <c r="G457" s="245">
        <v>277</v>
      </c>
      <c r="H457" s="245" t="s">
        <v>700</v>
      </c>
      <c r="I457" s="245" t="s">
        <v>356</v>
      </c>
      <c r="J457" s="245" t="s">
        <v>3016</v>
      </c>
      <c r="K457" s="245" t="s">
        <v>3174</v>
      </c>
      <c r="L457" s="245" t="s">
        <v>2396</v>
      </c>
      <c r="M457" s="245" t="s">
        <v>3168</v>
      </c>
      <c r="N457" s="245" t="s">
        <v>2132</v>
      </c>
      <c r="O457" s="158"/>
      <c r="P457" s="92"/>
      <c r="Q457" s="146"/>
      <c r="R457" s="92"/>
      <c r="S457" s="146"/>
      <c r="T457" s="92"/>
      <c r="U457" s="146"/>
      <c r="V457" s="92"/>
      <c r="W457" s="146"/>
      <c r="X457" s="92"/>
      <c r="Y457" s="146"/>
      <c r="Z457" s="92"/>
      <c r="AA457" s="146"/>
      <c r="AB457" s="92"/>
      <c r="AC457" s="146"/>
      <c r="AD457" s="92"/>
      <c r="AE457" s="146"/>
      <c r="AF457" s="143" t="str">
        <f t="shared" si="31"/>
        <v/>
      </c>
      <c r="AG457" s="199" t="b">
        <f t="shared" si="30"/>
        <v>0</v>
      </c>
      <c r="AH457" s="146"/>
      <c r="AI457" s="154" t="s">
        <v>6</v>
      </c>
      <c r="AJ457" s="151" t="str">
        <f t="shared" si="29"/>
        <v>GUARULHOS</v>
      </c>
      <c r="AK457" s="155" t="s">
        <v>59</v>
      </c>
      <c r="AL457" s="53">
        <v>0.38301864575738798</v>
      </c>
      <c r="AM457" s="53" t="str" cm="1">
        <f t="array" ref="AM457">IF(OR(O457&lt;&gt;"", SUMPRODUCT(($AN$2:$AN$561=AN457)*($AL$2:$AL$561&lt;=AL457)) &lt;= (COUNTIF($AN$2:$AN$561,AN457)*0.5)), "SORTEADO", "-")</f>
        <v>SORTEADO</v>
      </c>
      <c r="AN457" s="53" t="str">
        <f t="shared" si="28"/>
        <v>29/04/2026</v>
      </c>
    </row>
    <row r="458" spans="1:40" ht="30" hidden="1" customHeight="1" x14ac:dyDescent="0.2">
      <c r="A458" s="245" t="s">
        <v>197</v>
      </c>
      <c r="B458" s="245">
        <v>2617307037</v>
      </c>
      <c r="C458" s="245" t="s">
        <v>116</v>
      </c>
      <c r="D458" s="245" t="s">
        <v>111</v>
      </c>
      <c r="E458" s="245" t="s">
        <v>198</v>
      </c>
      <c r="F458" s="245" t="s">
        <v>688</v>
      </c>
      <c r="G458" s="245">
        <v>338</v>
      </c>
      <c r="H458" s="245" t="s">
        <v>3175</v>
      </c>
      <c r="I458" s="245" t="s">
        <v>356</v>
      </c>
      <c r="J458" s="245" t="s">
        <v>2989</v>
      </c>
      <c r="K458" s="246" t="s">
        <v>3176</v>
      </c>
      <c r="L458" s="245" t="s">
        <v>2396</v>
      </c>
      <c r="M458" s="245" t="s">
        <v>3168</v>
      </c>
      <c r="N458" s="245" t="s">
        <v>2132</v>
      </c>
      <c r="O458" s="158"/>
      <c r="P458" s="92"/>
      <c r="Q458" s="146"/>
      <c r="R458" s="92"/>
      <c r="S458" s="146"/>
      <c r="T458" s="92"/>
      <c r="U458" s="146"/>
      <c r="V458" s="92"/>
      <c r="W458" s="146"/>
      <c r="X458" s="92"/>
      <c r="Y458" s="146"/>
      <c r="Z458" s="92"/>
      <c r="AA458" s="146"/>
      <c r="AB458" s="92"/>
      <c r="AC458" s="146"/>
      <c r="AD458" s="92"/>
      <c r="AE458" s="146"/>
      <c r="AF458" s="143" t="str">
        <f t="shared" si="31"/>
        <v/>
      </c>
      <c r="AG458" s="199" t="b">
        <f t="shared" si="30"/>
        <v>0</v>
      </c>
      <c r="AH458" s="146"/>
      <c r="AI458" s="154" t="s">
        <v>6</v>
      </c>
      <c r="AJ458" s="151" t="str">
        <f t="shared" si="29"/>
        <v>GUARULHOS</v>
      </c>
      <c r="AK458" s="155" t="s">
        <v>59</v>
      </c>
      <c r="AL458" s="53">
        <v>0.48263909727755094</v>
      </c>
      <c r="AM458" s="53" t="str" cm="1">
        <f t="array" ref="AM458">IF(OR(O458&lt;&gt;"", SUMPRODUCT(($AN$2:$AN$561=AN458)*($AL$2:$AL$561&lt;=AL458)) &lt;= (COUNTIF($AN$2:$AN$561,AN458)*0.5)), "SORTEADO", "-")</f>
        <v>-</v>
      </c>
      <c r="AN458" s="53" t="str">
        <f t="shared" si="28"/>
        <v>29/04/2026</v>
      </c>
    </row>
    <row r="459" spans="1:40" ht="30" hidden="1" customHeight="1" x14ac:dyDescent="0.2">
      <c r="A459" s="245" t="s">
        <v>197</v>
      </c>
      <c r="B459" s="245">
        <v>2617307245</v>
      </c>
      <c r="C459" s="245" t="s">
        <v>116</v>
      </c>
      <c r="D459" s="245" t="s">
        <v>111</v>
      </c>
      <c r="E459" s="245" t="s">
        <v>198</v>
      </c>
      <c r="F459" s="245" t="s">
        <v>688</v>
      </c>
      <c r="G459" s="245">
        <v>401</v>
      </c>
      <c r="H459" s="245" t="s">
        <v>3177</v>
      </c>
      <c r="I459" s="245" t="s">
        <v>356</v>
      </c>
      <c r="J459" s="245" t="s">
        <v>2989</v>
      </c>
      <c r="K459" s="246" t="s">
        <v>3176</v>
      </c>
      <c r="L459" s="245" t="s">
        <v>2396</v>
      </c>
      <c r="M459" s="245" t="s">
        <v>3168</v>
      </c>
      <c r="N459" s="245" t="s">
        <v>2132</v>
      </c>
      <c r="O459" s="158"/>
      <c r="P459" s="92"/>
      <c r="Q459" s="146"/>
      <c r="R459" s="92"/>
      <c r="S459" s="146"/>
      <c r="T459" s="92"/>
      <c r="U459" s="146"/>
      <c r="V459" s="92"/>
      <c r="W459" s="146"/>
      <c r="X459" s="92"/>
      <c r="Y459" s="146"/>
      <c r="Z459" s="92"/>
      <c r="AA459" s="146"/>
      <c r="AB459" s="92"/>
      <c r="AC459" s="146"/>
      <c r="AD459" s="92"/>
      <c r="AE459" s="146"/>
      <c r="AF459" s="143" t="str">
        <f t="shared" si="31"/>
        <v/>
      </c>
      <c r="AG459" s="199" t="b">
        <f t="shared" si="30"/>
        <v>0</v>
      </c>
      <c r="AH459" s="146"/>
      <c r="AI459" s="154" t="s">
        <v>6</v>
      </c>
      <c r="AJ459" s="151" t="str">
        <f t="shared" si="29"/>
        <v>GUARULHOS</v>
      </c>
      <c r="AK459" s="155" t="s">
        <v>59</v>
      </c>
      <c r="AL459" s="53">
        <v>0.11088931711010197</v>
      </c>
      <c r="AM459" s="53" t="str" cm="1">
        <f t="array" ref="AM459">IF(OR(O459&lt;&gt;"", SUMPRODUCT(($AN$2:$AN$561=AN459)*($AL$2:$AL$561&lt;=AL459)) &lt;= (COUNTIF($AN$2:$AN$561,AN459)*0.5)), "SORTEADO", "-")</f>
        <v>SORTEADO</v>
      </c>
      <c r="AN459" s="53" t="str">
        <f t="shared" si="28"/>
        <v>29/04/2026</v>
      </c>
    </row>
    <row r="460" spans="1:40" ht="30" hidden="1" customHeight="1" x14ac:dyDescent="0.2">
      <c r="A460" s="245" t="s">
        <v>197</v>
      </c>
      <c r="B460" s="245">
        <v>2614794053</v>
      </c>
      <c r="C460" s="245" t="s">
        <v>3150</v>
      </c>
      <c r="D460" s="245" t="s">
        <v>112</v>
      </c>
      <c r="E460" s="245" t="s">
        <v>198</v>
      </c>
      <c r="F460" s="245" t="s">
        <v>2718</v>
      </c>
      <c r="G460" s="245">
        <v>60</v>
      </c>
      <c r="H460" s="245" t="s">
        <v>235</v>
      </c>
      <c r="I460" s="245" t="s">
        <v>262</v>
      </c>
      <c r="J460" s="245" t="s">
        <v>3151</v>
      </c>
      <c r="K460" s="245" t="s">
        <v>3178</v>
      </c>
      <c r="L460" s="245" t="s">
        <v>2396</v>
      </c>
      <c r="M460" s="245" t="s">
        <v>3168</v>
      </c>
      <c r="N460" s="245" t="s">
        <v>2707</v>
      </c>
      <c r="O460" s="158"/>
      <c r="P460" s="92"/>
      <c r="Q460" s="146"/>
      <c r="R460" s="92"/>
      <c r="S460" s="146"/>
      <c r="T460" s="92"/>
      <c r="U460" s="146"/>
      <c r="V460" s="92"/>
      <c r="W460" s="146"/>
      <c r="X460" s="92"/>
      <c r="Y460" s="146"/>
      <c r="Z460" s="92"/>
      <c r="AA460" s="146"/>
      <c r="AB460" s="92"/>
      <c r="AC460" s="146"/>
      <c r="AD460" s="92"/>
      <c r="AE460" s="146"/>
      <c r="AF460" s="143" t="str">
        <f t="shared" si="31"/>
        <v/>
      </c>
      <c r="AG460" s="199" t="b">
        <f t="shared" si="30"/>
        <v>0</v>
      </c>
      <c r="AH460" s="146"/>
      <c r="AI460" s="154" t="s">
        <v>6</v>
      </c>
      <c r="AJ460" s="151" t="str">
        <f t="shared" si="29"/>
        <v>GUARULHOS</v>
      </c>
      <c r="AK460" s="155" t="s">
        <v>59</v>
      </c>
      <c r="AL460" s="53">
        <v>0.4125516715690708</v>
      </c>
      <c r="AM460" s="53" t="str" cm="1">
        <f t="array" ref="AM460">IF(OR(O460&lt;&gt;"", SUMPRODUCT(($AN$2:$AN$561=AN460)*($AL$2:$AL$561&lt;=AL460)) &lt;= (COUNTIF($AN$2:$AN$561,AN460)*0.5)), "SORTEADO", "-")</f>
        <v>-</v>
      </c>
      <c r="AN460" s="53" t="str">
        <f t="shared" si="28"/>
        <v>29/04/2026</v>
      </c>
    </row>
    <row r="461" spans="1:40" ht="30" hidden="1" customHeight="1" x14ac:dyDescent="0.2">
      <c r="A461" s="245" t="s">
        <v>197</v>
      </c>
      <c r="B461" s="245">
        <v>2617316777</v>
      </c>
      <c r="C461" s="245" t="s">
        <v>116</v>
      </c>
      <c r="D461" s="245" t="s">
        <v>111</v>
      </c>
      <c r="E461" s="245" t="s">
        <v>198</v>
      </c>
      <c r="F461" s="245" t="s">
        <v>2718</v>
      </c>
      <c r="G461" s="245">
        <v>50</v>
      </c>
      <c r="H461" s="245" t="s">
        <v>3179</v>
      </c>
      <c r="I461" s="245" t="s">
        <v>262</v>
      </c>
      <c r="J461" s="245" t="s">
        <v>2989</v>
      </c>
      <c r="K461" s="246" t="s">
        <v>3180</v>
      </c>
      <c r="L461" s="245" t="s">
        <v>2396</v>
      </c>
      <c r="M461" s="245" t="s">
        <v>3168</v>
      </c>
      <c r="N461" s="245" t="s">
        <v>2707</v>
      </c>
      <c r="O461" s="158"/>
      <c r="P461" s="92"/>
      <c r="Q461" s="146"/>
      <c r="R461" s="92"/>
      <c r="S461" s="146"/>
      <c r="T461" s="92"/>
      <c r="U461" s="146"/>
      <c r="V461" s="92"/>
      <c r="W461" s="146"/>
      <c r="X461" s="92"/>
      <c r="Y461" s="146"/>
      <c r="Z461" s="92"/>
      <c r="AA461" s="146"/>
      <c r="AB461" s="92"/>
      <c r="AC461" s="146"/>
      <c r="AD461" s="92"/>
      <c r="AE461" s="146"/>
      <c r="AF461" s="143" t="str">
        <f t="shared" si="31"/>
        <v/>
      </c>
      <c r="AG461" s="199" t="b">
        <f t="shared" si="30"/>
        <v>0</v>
      </c>
      <c r="AH461" s="146"/>
      <c r="AI461" s="154" t="s">
        <v>6</v>
      </c>
      <c r="AJ461" s="151" t="str">
        <f t="shared" si="29"/>
        <v>GUARULHOS</v>
      </c>
      <c r="AK461" s="155" t="s">
        <v>59</v>
      </c>
      <c r="AL461" s="53">
        <v>0.40156107304794375</v>
      </c>
      <c r="AM461" s="53" t="str" cm="1">
        <f t="array" ref="AM461">IF(OR(O461&lt;&gt;"", SUMPRODUCT(($AN$2:$AN$561=AN461)*($AL$2:$AL$561&lt;=AL461)) &lt;= (COUNTIF($AN$2:$AN$561,AN461)*0.5)), "SORTEADO", "-")</f>
        <v>SORTEADO</v>
      </c>
      <c r="AN461" s="53" t="str">
        <f t="shared" si="28"/>
        <v>29/04/2026</v>
      </c>
    </row>
    <row r="462" spans="1:40" ht="30" hidden="1" customHeight="1" x14ac:dyDescent="0.2">
      <c r="A462" s="253" t="s">
        <v>197</v>
      </c>
      <c r="B462" s="253">
        <v>2617316908</v>
      </c>
      <c r="C462" s="253" t="s">
        <v>2741</v>
      </c>
      <c r="D462" s="253" t="s">
        <v>111</v>
      </c>
      <c r="E462" s="253" t="s">
        <v>198</v>
      </c>
      <c r="F462" s="253" t="s">
        <v>2718</v>
      </c>
      <c r="G462" s="253">
        <v>88</v>
      </c>
      <c r="H462" s="253" t="s">
        <v>3181</v>
      </c>
      <c r="I462" s="253" t="s">
        <v>262</v>
      </c>
      <c r="J462" s="253" t="s">
        <v>2742</v>
      </c>
      <c r="K462" s="254" t="s">
        <v>3180</v>
      </c>
      <c r="L462" s="253" t="s">
        <v>2396</v>
      </c>
      <c r="M462" s="253" t="s">
        <v>3168</v>
      </c>
      <c r="N462" s="253" t="s">
        <v>2707</v>
      </c>
      <c r="O462" s="158"/>
      <c r="P462" s="92"/>
      <c r="Q462" s="146"/>
      <c r="R462" s="92"/>
      <c r="S462" s="146"/>
      <c r="T462" s="92"/>
      <c r="U462" s="146"/>
      <c r="V462" s="92"/>
      <c r="W462" s="146"/>
      <c r="X462" s="92"/>
      <c r="Y462" s="146"/>
      <c r="Z462" s="92"/>
      <c r="AA462" s="146"/>
      <c r="AB462" s="92"/>
      <c r="AC462" s="146"/>
      <c r="AD462" s="92"/>
      <c r="AE462" s="146"/>
      <c r="AF462" s="143" t="str">
        <f t="shared" si="31"/>
        <v/>
      </c>
      <c r="AG462" s="199" t="b">
        <f t="shared" si="30"/>
        <v>0</v>
      </c>
      <c r="AH462" s="146"/>
      <c r="AI462" s="154" t="s">
        <v>6</v>
      </c>
      <c r="AJ462" s="151" t="str">
        <f t="shared" si="29"/>
        <v>GUARULHOS</v>
      </c>
      <c r="AK462" s="155" t="s">
        <v>59</v>
      </c>
      <c r="AL462" s="53">
        <v>0.27112763588515643</v>
      </c>
      <c r="AM462" s="53" t="str" cm="1">
        <f t="array" ref="AM462">IF(OR(O462&lt;&gt;"", SUMPRODUCT(($AN$2:$AN$561=AN462)*($AL$2:$AL$561&lt;=AL462)) &lt;= (COUNTIF($AN$2:$AN$561,AN462)*0.5)), "SORTEADO", "-")</f>
        <v>SORTEADO</v>
      </c>
      <c r="AN462" s="53" t="str">
        <f t="shared" si="28"/>
        <v>29/04/2026</v>
      </c>
    </row>
    <row r="463" spans="1:40" ht="30" hidden="1" customHeight="1" x14ac:dyDescent="0.2">
      <c r="A463" s="245" t="s">
        <v>197</v>
      </c>
      <c r="B463" s="245">
        <v>2616751999</v>
      </c>
      <c r="C463" s="245" t="s">
        <v>3015</v>
      </c>
      <c r="D463" s="245" t="s">
        <v>112</v>
      </c>
      <c r="E463" s="245" t="s">
        <v>198</v>
      </c>
      <c r="F463" s="245" t="s">
        <v>1233</v>
      </c>
      <c r="G463" s="245">
        <v>583</v>
      </c>
      <c r="H463" s="245" t="s">
        <v>213</v>
      </c>
      <c r="I463" s="245" t="s">
        <v>801</v>
      </c>
      <c r="J463" s="245" t="s">
        <v>3016</v>
      </c>
      <c r="K463" s="246" t="s">
        <v>3182</v>
      </c>
      <c r="L463" s="245" t="s">
        <v>2516</v>
      </c>
      <c r="M463" s="245" t="s">
        <v>3183</v>
      </c>
      <c r="N463" s="245" t="s">
        <v>2707</v>
      </c>
      <c r="O463" s="158"/>
      <c r="P463" s="92"/>
      <c r="Q463" s="146"/>
      <c r="R463" s="92"/>
      <c r="S463" s="146"/>
      <c r="T463" s="92"/>
      <c r="U463" s="146"/>
      <c r="V463" s="92"/>
      <c r="W463" s="146"/>
      <c r="X463" s="92"/>
      <c r="Y463" s="146"/>
      <c r="Z463" s="92"/>
      <c r="AA463" s="146"/>
      <c r="AB463" s="92"/>
      <c r="AC463" s="146"/>
      <c r="AD463" s="92"/>
      <c r="AE463" s="146"/>
      <c r="AF463" s="143" t="str">
        <f t="shared" si="31"/>
        <v/>
      </c>
      <c r="AG463" s="199" t="b">
        <f t="shared" si="30"/>
        <v>0</v>
      </c>
      <c r="AH463" s="146"/>
      <c r="AI463" s="154" t="s">
        <v>6</v>
      </c>
      <c r="AJ463" s="151" t="str">
        <f t="shared" si="29"/>
        <v>GUARULHOS</v>
      </c>
      <c r="AK463" s="155" t="s">
        <v>59</v>
      </c>
      <c r="AL463" s="53">
        <v>0.50332797483207314</v>
      </c>
      <c r="AM463" s="53" t="str" cm="1">
        <f t="array" ref="AM463">IF(OR(O463&lt;&gt;"", SUMPRODUCT(($AN$2:$AN$561=AN463)*($AL$2:$AL$561&lt;=AL463)) &lt;= (COUNTIF($AN$2:$AN$561,AN463)*0.5)), "SORTEADO", "-")</f>
        <v>SORTEADO</v>
      </c>
      <c r="AN463" s="53" t="str">
        <f t="shared" si="28"/>
        <v>30/04/2026</v>
      </c>
    </row>
    <row r="464" spans="1:40" ht="30" hidden="1" customHeight="1" x14ac:dyDescent="0.2">
      <c r="A464" s="245" t="s">
        <v>197</v>
      </c>
      <c r="B464" s="245">
        <v>2617323963</v>
      </c>
      <c r="C464" s="245" t="s">
        <v>116</v>
      </c>
      <c r="D464" s="245" t="s">
        <v>111</v>
      </c>
      <c r="E464" s="245" t="s">
        <v>198</v>
      </c>
      <c r="F464" s="245" t="s">
        <v>3041</v>
      </c>
      <c r="G464" s="245">
        <v>146</v>
      </c>
      <c r="H464" s="245"/>
      <c r="I464" s="245" t="s">
        <v>356</v>
      </c>
      <c r="J464" s="245" t="s">
        <v>2989</v>
      </c>
      <c r="K464" s="246" t="s">
        <v>3184</v>
      </c>
      <c r="L464" s="245" t="s">
        <v>2516</v>
      </c>
      <c r="M464" s="245" t="s">
        <v>3185</v>
      </c>
      <c r="N464" s="245" t="s">
        <v>2757</v>
      </c>
      <c r="O464" s="158"/>
      <c r="P464" s="92"/>
      <c r="Q464" s="146"/>
      <c r="R464" s="92"/>
      <c r="S464" s="146"/>
      <c r="T464" s="92"/>
      <c r="U464" s="146"/>
      <c r="V464" s="92"/>
      <c r="W464" s="146"/>
      <c r="X464" s="92"/>
      <c r="Y464" s="146"/>
      <c r="Z464" s="92"/>
      <c r="AA464" s="146"/>
      <c r="AB464" s="92"/>
      <c r="AC464" s="146"/>
      <c r="AD464" s="92"/>
      <c r="AE464" s="146"/>
      <c r="AF464" s="143" t="str">
        <f t="shared" si="31"/>
        <v/>
      </c>
      <c r="AG464" s="199" t="b">
        <f t="shared" si="30"/>
        <v>0</v>
      </c>
      <c r="AH464" s="146"/>
      <c r="AI464" s="154" t="s">
        <v>6</v>
      </c>
      <c r="AJ464" s="151" t="str">
        <f t="shared" si="29"/>
        <v>GUARULHOS</v>
      </c>
      <c r="AK464" s="155" t="s">
        <v>59</v>
      </c>
      <c r="AL464" s="53">
        <v>0.68583763619586635</v>
      </c>
      <c r="AM464" s="53" t="str" cm="1">
        <f t="array" ref="AM464">IF(OR(O464&lt;&gt;"", SUMPRODUCT(($AN$2:$AN$561=AN464)*($AL$2:$AL$561&lt;=AL464)) &lt;= (COUNTIF($AN$2:$AN$561,AN464)*0.5)), "SORTEADO", "-")</f>
        <v>-</v>
      </c>
      <c r="AN464" s="53" t="str">
        <f t="shared" si="28"/>
        <v>30/04/2026</v>
      </c>
    </row>
    <row r="465" spans="1:40" ht="30" hidden="1" customHeight="1" x14ac:dyDescent="0.2">
      <c r="A465" s="245" t="s">
        <v>197</v>
      </c>
      <c r="B465" s="245">
        <v>2617323993</v>
      </c>
      <c r="C465" s="245" t="s">
        <v>116</v>
      </c>
      <c r="D465" s="245" t="s">
        <v>111</v>
      </c>
      <c r="E465" s="245" t="s">
        <v>198</v>
      </c>
      <c r="F465" s="245" t="s">
        <v>3041</v>
      </c>
      <c r="G465" s="245">
        <v>101</v>
      </c>
      <c r="H465" s="245" t="s">
        <v>878</v>
      </c>
      <c r="I465" s="245" t="s">
        <v>356</v>
      </c>
      <c r="J465" s="245" t="s">
        <v>2989</v>
      </c>
      <c r="K465" s="246" t="s">
        <v>3184</v>
      </c>
      <c r="L465" s="245" t="s">
        <v>2516</v>
      </c>
      <c r="M465" s="245" t="s">
        <v>3183</v>
      </c>
      <c r="N465" s="245" t="s">
        <v>2757</v>
      </c>
      <c r="O465" s="158"/>
      <c r="P465" s="92"/>
      <c r="Q465" s="146"/>
      <c r="R465" s="92"/>
      <c r="S465" s="146"/>
      <c r="T465" s="92"/>
      <c r="U465" s="146"/>
      <c r="V465" s="92"/>
      <c r="W465" s="146"/>
      <c r="X465" s="92"/>
      <c r="Y465" s="146"/>
      <c r="Z465" s="92"/>
      <c r="AA465" s="146"/>
      <c r="AB465" s="92"/>
      <c r="AC465" s="146"/>
      <c r="AD465" s="92"/>
      <c r="AE465" s="146"/>
      <c r="AF465" s="143" t="str">
        <f t="shared" si="31"/>
        <v/>
      </c>
      <c r="AG465" s="199" t="b">
        <f t="shared" si="30"/>
        <v>0</v>
      </c>
      <c r="AH465" s="146"/>
      <c r="AI465" s="154" t="s">
        <v>6</v>
      </c>
      <c r="AJ465" s="151" t="str">
        <f t="shared" si="29"/>
        <v>GUARULHOS</v>
      </c>
      <c r="AK465" s="155" t="s">
        <v>59</v>
      </c>
      <c r="AL465" s="53">
        <v>0.34465423596042155</v>
      </c>
      <c r="AM465" s="53" t="str" cm="1">
        <f t="array" ref="AM465">IF(OR(O465&lt;&gt;"", SUMPRODUCT(($AN$2:$AN$561=AN465)*($AL$2:$AL$561&lt;=AL465)) &lt;= (COUNTIF($AN$2:$AN$561,AN465)*0.5)), "SORTEADO", "-")</f>
        <v>SORTEADO</v>
      </c>
      <c r="AN465" s="53" t="str">
        <f t="shared" si="28"/>
        <v>30/04/2026</v>
      </c>
    </row>
    <row r="466" spans="1:40" ht="30" hidden="1" customHeight="1" x14ac:dyDescent="0.2">
      <c r="A466" s="245" t="s">
        <v>197</v>
      </c>
      <c r="B466" s="245">
        <v>2613869365</v>
      </c>
      <c r="C466" s="245" t="s">
        <v>3015</v>
      </c>
      <c r="D466" s="245" t="s">
        <v>112</v>
      </c>
      <c r="E466" s="245" t="s">
        <v>198</v>
      </c>
      <c r="F466" s="245" t="s">
        <v>355</v>
      </c>
      <c r="G466" s="245">
        <v>259</v>
      </c>
      <c r="H466" s="245" t="s">
        <v>3186</v>
      </c>
      <c r="I466" s="245" t="s">
        <v>356</v>
      </c>
      <c r="J466" s="245" t="s">
        <v>3016</v>
      </c>
      <c r="K466" s="246" t="s">
        <v>3187</v>
      </c>
      <c r="L466" s="245" t="s">
        <v>2516</v>
      </c>
      <c r="M466" s="245" t="s">
        <v>3183</v>
      </c>
      <c r="N466" s="245" t="s">
        <v>2759</v>
      </c>
      <c r="O466" s="158"/>
      <c r="P466" s="92"/>
      <c r="Q466" s="146"/>
      <c r="R466" s="92"/>
      <c r="S466" s="146"/>
      <c r="T466" s="92"/>
      <c r="U466" s="146"/>
      <c r="V466" s="92"/>
      <c r="W466" s="146"/>
      <c r="X466" s="92"/>
      <c r="Y466" s="146"/>
      <c r="Z466" s="92"/>
      <c r="AA466" s="146"/>
      <c r="AB466" s="92"/>
      <c r="AC466" s="146"/>
      <c r="AD466" s="92"/>
      <c r="AE466" s="146"/>
      <c r="AF466" s="143" t="str">
        <f t="shared" si="31"/>
        <v/>
      </c>
      <c r="AG466" s="199" t="b">
        <f t="shared" si="30"/>
        <v>0</v>
      </c>
      <c r="AH466" s="146"/>
      <c r="AI466" s="154" t="s">
        <v>6</v>
      </c>
      <c r="AJ466" s="151" t="str">
        <f t="shared" si="29"/>
        <v>GUARULHOS</v>
      </c>
      <c r="AK466" s="155" t="s">
        <v>59</v>
      </c>
      <c r="AL466" s="53">
        <v>0.59577628068765931</v>
      </c>
      <c r="AM466" s="53" t="str" cm="1">
        <f t="array" ref="AM466">IF(OR(O466&lt;&gt;"", SUMPRODUCT(($AN$2:$AN$561=AN466)*($AL$2:$AL$561&lt;=AL466)) &lt;= (COUNTIF($AN$2:$AN$561,AN466)*0.5)), "SORTEADO", "-")</f>
        <v>-</v>
      </c>
      <c r="AN466" s="53" t="str">
        <f t="shared" si="28"/>
        <v>30/04/2026</v>
      </c>
    </row>
    <row r="467" spans="1:40" ht="30" hidden="1" customHeight="1" x14ac:dyDescent="0.2">
      <c r="A467" s="245" t="s">
        <v>197</v>
      </c>
      <c r="B467" s="245">
        <v>2617316186</v>
      </c>
      <c r="C467" s="245" t="s">
        <v>3015</v>
      </c>
      <c r="D467" s="245" t="s">
        <v>112</v>
      </c>
      <c r="E467" s="245" t="s">
        <v>198</v>
      </c>
      <c r="F467" s="245" t="s">
        <v>3188</v>
      </c>
      <c r="G467" s="245">
        <v>296</v>
      </c>
      <c r="H467" s="245" t="s">
        <v>362</v>
      </c>
      <c r="I467" s="245" t="s">
        <v>356</v>
      </c>
      <c r="J467" s="245" t="s">
        <v>3016</v>
      </c>
      <c r="K467" s="245" t="s">
        <v>3129</v>
      </c>
      <c r="L467" s="245" t="s">
        <v>2516</v>
      </c>
      <c r="M467" s="245" t="s">
        <v>3185</v>
      </c>
      <c r="N467" s="245" t="s">
        <v>2705</v>
      </c>
      <c r="O467" s="158"/>
      <c r="P467" s="92"/>
      <c r="Q467" s="146"/>
      <c r="R467" s="92"/>
      <c r="S467" s="146"/>
      <c r="T467" s="92"/>
      <c r="U467" s="146"/>
      <c r="V467" s="92"/>
      <c r="W467" s="146"/>
      <c r="X467" s="92"/>
      <c r="Y467" s="146"/>
      <c r="Z467" s="92"/>
      <c r="AA467" s="146"/>
      <c r="AB467" s="92"/>
      <c r="AC467" s="146"/>
      <c r="AD467" s="92"/>
      <c r="AE467" s="146"/>
      <c r="AF467" s="143" t="str">
        <f t="shared" si="31"/>
        <v/>
      </c>
      <c r="AG467" s="199" t="b">
        <f t="shared" si="30"/>
        <v>0</v>
      </c>
      <c r="AH467" s="146"/>
      <c r="AI467" s="154" t="s">
        <v>6</v>
      </c>
      <c r="AJ467" s="151" t="str">
        <f t="shared" si="29"/>
        <v>GUARULHOS</v>
      </c>
      <c r="AK467" s="155" t="s">
        <v>59</v>
      </c>
      <c r="AL467" s="53">
        <v>0.66190548548025918</v>
      </c>
      <c r="AM467" s="53" t="str" cm="1">
        <f t="array" ref="AM467">IF(OR(O467&lt;&gt;"", SUMPRODUCT(($AN$2:$AN$561=AN467)*($AL$2:$AL$561&lt;=AL467)) &lt;= (COUNTIF($AN$2:$AN$561,AN467)*0.5)), "SORTEADO", "-")</f>
        <v>-</v>
      </c>
      <c r="AN467" s="53" t="str">
        <f t="shared" si="28"/>
        <v>30/04/2026</v>
      </c>
    </row>
    <row r="468" spans="1:40" ht="30" hidden="1" customHeight="1" x14ac:dyDescent="0.2">
      <c r="A468" s="245" t="s">
        <v>197</v>
      </c>
      <c r="B468" s="245">
        <v>2617999807</v>
      </c>
      <c r="C468" s="245" t="s">
        <v>115</v>
      </c>
      <c r="D468" s="245" t="s">
        <v>108</v>
      </c>
      <c r="E468" s="245" t="s">
        <v>198</v>
      </c>
      <c r="F468" s="245" t="s">
        <v>3189</v>
      </c>
      <c r="G468" s="245">
        <v>16</v>
      </c>
      <c r="H468" s="245" t="s">
        <v>3190</v>
      </c>
      <c r="I468" s="245" t="s">
        <v>1753</v>
      </c>
      <c r="J468" s="245" t="s">
        <v>2644</v>
      </c>
      <c r="K468" s="245"/>
      <c r="L468" s="245" t="s">
        <v>2516</v>
      </c>
      <c r="M468" s="245" t="s">
        <v>3191</v>
      </c>
      <c r="N468" s="245" t="s">
        <v>2634</v>
      </c>
      <c r="O468" s="158"/>
      <c r="P468" s="92"/>
      <c r="Q468" s="146"/>
      <c r="R468" s="92"/>
      <c r="S468" s="146"/>
      <c r="T468" s="92"/>
      <c r="U468" s="146"/>
      <c r="V468" s="92"/>
      <c r="W468" s="146"/>
      <c r="X468" s="92"/>
      <c r="Y468" s="146"/>
      <c r="Z468" s="92"/>
      <c r="AA468" s="146"/>
      <c r="AB468" s="92"/>
      <c r="AC468" s="146"/>
      <c r="AD468" s="92"/>
      <c r="AE468" s="146"/>
      <c r="AF468" s="143" t="str">
        <f t="shared" si="31"/>
        <v/>
      </c>
      <c r="AG468" s="199" t="b">
        <f t="shared" si="30"/>
        <v>0</v>
      </c>
      <c r="AH468" s="146"/>
      <c r="AI468" s="154" t="s">
        <v>6</v>
      </c>
      <c r="AJ468" s="151" t="str">
        <f t="shared" si="29"/>
        <v>GUARULHOS</v>
      </c>
      <c r="AK468" s="155" t="s">
        <v>59</v>
      </c>
      <c r="AL468" s="53">
        <v>0.84149134865461805</v>
      </c>
      <c r="AM468" s="53" t="str" cm="1">
        <f t="array" ref="AM468">IF(OR(O468&lt;&gt;"", SUMPRODUCT(($AN$2:$AN$561=AN468)*($AL$2:$AL$561&lt;=AL468)) &lt;= (COUNTIF($AN$2:$AN$561,AN468)*0.5)), "SORTEADO", "-")</f>
        <v>-</v>
      </c>
      <c r="AN468" s="53" t="str">
        <f t="shared" si="28"/>
        <v>30/04/2026</v>
      </c>
    </row>
    <row r="469" spans="1:40" ht="30" customHeight="1" x14ac:dyDescent="0.2">
      <c r="A469" s="245" t="s">
        <v>197</v>
      </c>
      <c r="B469" s="245">
        <v>2617959964</v>
      </c>
      <c r="C469" s="245" t="s">
        <v>120</v>
      </c>
      <c r="D469" s="245" t="s">
        <v>111</v>
      </c>
      <c r="E469" s="245" t="s">
        <v>198</v>
      </c>
      <c r="F469" s="245" t="s">
        <v>684</v>
      </c>
      <c r="G469" s="245">
        <v>89</v>
      </c>
      <c r="H469" s="245" t="s">
        <v>3192</v>
      </c>
      <c r="I469" s="245" t="s">
        <v>685</v>
      </c>
      <c r="J469" s="245" t="s">
        <v>2637</v>
      </c>
      <c r="K469" s="245"/>
      <c r="L469" s="245" t="s">
        <v>2516</v>
      </c>
      <c r="M469" s="245" t="s">
        <v>3193</v>
      </c>
      <c r="N469" s="245" t="s">
        <v>2638</v>
      </c>
      <c r="O469" s="158"/>
      <c r="P469" s="92"/>
      <c r="Q469" s="146"/>
      <c r="R469" s="92"/>
      <c r="S469" s="146"/>
      <c r="T469" s="92"/>
      <c r="U469" s="146"/>
      <c r="V469" s="92"/>
      <c r="W469" s="146"/>
      <c r="X469" s="92"/>
      <c r="Y469" s="146"/>
      <c r="Z469" s="92"/>
      <c r="AA469" s="146"/>
      <c r="AB469" s="92"/>
      <c r="AC469" s="146"/>
      <c r="AD469" s="92"/>
      <c r="AE469" s="146"/>
      <c r="AF469" s="143" t="str">
        <f t="shared" si="31"/>
        <v/>
      </c>
      <c r="AG469" s="199" t="b">
        <f t="shared" si="30"/>
        <v>0</v>
      </c>
      <c r="AH469" s="146"/>
      <c r="AI469" s="154" t="s">
        <v>6</v>
      </c>
      <c r="AJ469" s="151" t="str">
        <f t="shared" si="29"/>
        <v>GUARULHOS</v>
      </c>
      <c r="AK469" s="155" t="s">
        <v>59</v>
      </c>
      <c r="AL469" s="53">
        <v>0.62662658954801242</v>
      </c>
      <c r="AM469" s="53" t="str" cm="1">
        <f t="array" ref="AM469">IF(OR(O469&lt;&gt;"", SUMPRODUCT(($AN$2:$AN$561=AN469)*($AL$2:$AL$561&lt;=AL469)) &lt;= (COUNTIF($AN$2:$AN$561,AN469)*0.5)), "SORTEADO", "-")</f>
        <v>-</v>
      </c>
      <c r="AN469" s="53" t="str">
        <f t="shared" ref="AN469:AN532" si="32">TEXT(L469, "dd/mm/aaaa")</f>
        <v>30/04/2026</v>
      </c>
    </row>
    <row r="470" spans="1:40" ht="30" hidden="1" customHeight="1" x14ac:dyDescent="0.2">
      <c r="A470" s="245" t="s">
        <v>197</v>
      </c>
      <c r="B470" s="245">
        <v>2617959198</v>
      </c>
      <c r="C470" s="245" t="s">
        <v>2810</v>
      </c>
      <c r="D470" s="245" t="s">
        <v>110</v>
      </c>
      <c r="E470" s="245" t="s">
        <v>198</v>
      </c>
      <c r="F470" s="245" t="s">
        <v>3194</v>
      </c>
      <c r="G470" s="245">
        <v>108</v>
      </c>
      <c r="H470" s="245" t="s">
        <v>213</v>
      </c>
      <c r="I470" s="245" t="s">
        <v>3195</v>
      </c>
      <c r="J470" s="245" t="s">
        <v>2813</v>
      </c>
      <c r="K470" s="245" t="s">
        <v>213</v>
      </c>
      <c r="L470" s="245" t="s">
        <v>2516</v>
      </c>
      <c r="M470" s="245" t="s">
        <v>3196</v>
      </c>
      <c r="N470" s="245" t="s">
        <v>2634</v>
      </c>
      <c r="O470" s="158"/>
      <c r="P470" s="92"/>
      <c r="Q470" s="146"/>
      <c r="R470" s="92"/>
      <c r="S470" s="146"/>
      <c r="T470" s="92"/>
      <c r="U470" s="146"/>
      <c r="V470" s="92"/>
      <c r="W470" s="146"/>
      <c r="X470" s="92"/>
      <c r="Y470" s="146"/>
      <c r="Z470" s="92"/>
      <c r="AA470" s="146"/>
      <c r="AB470" s="92"/>
      <c r="AC470" s="146"/>
      <c r="AD470" s="92"/>
      <c r="AE470" s="146"/>
      <c r="AF470" s="143" t="str">
        <f t="shared" si="31"/>
        <v/>
      </c>
      <c r="AG470" s="199" t="b">
        <f t="shared" si="30"/>
        <v>0</v>
      </c>
      <c r="AH470" s="146"/>
      <c r="AI470" s="154" t="s">
        <v>6</v>
      </c>
      <c r="AJ470" s="151" t="str">
        <f t="shared" si="29"/>
        <v>GUARULHOS</v>
      </c>
      <c r="AK470" s="155" t="s">
        <v>59</v>
      </c>
      <c r="AL470" s="53">
        <v>7.1189586604394783E-2</v>
      </c>
      <c r="AM470" s="53" t="str" cm="1">
        <f t="array" ref="AM470">IF(OR(O470&lt;&gt;"", SUMPRODUCT(($AN$2:$AN$561=AN470)*($AL$2:$AL$561&lt;=AL470)) &lt;= (COUNTIF($AN$2:$AN$561,AN470)*0.5)), "SORTEADO", "-")</f>
        <v>SORTEADO</v>
      </c>
      <c r="AN470" s="53" t="str">
        <f t="shared" si="32"/>
        <v>30/04/2026</v>
      </c>
    </row>
    <row r="471" spans="1:40" ht="30" hidden="1" customHeight="1" x14ac:dyDescent="0.2">
      <c r="A471" s="245" t="s">
        <v>197</v>
      </c>
      <c r="B471" s="245">
        <v>2617152433</v>
      </c>
      <c r="C471" s="245" t="s">
        <v>3015</v>
      </c>
      <c r="D471" s="245" t="s">
        <v>112</v>
      </c>
      <c r="E471" s="245" t="s">
        <v>198</v>
      </c>
      <c r="F471" s="245" t="s">
        <v>2101</v>
      </c>
      <c r="G471" s="245">
        <v>17</v>
      </c>
      <c r="H471" s="245"/>
      <c r="I471" s="245" t="s">
        <v>356</v>
      </c>
      <c r="J471" s="245" t="s">
        <v>3016</v>
      </c>
      <c r="K471" s="245" t="s">
        <v>3174</v>
      </c>
      <c r="L471" s="245" t="s">
        <v>2516</v>
      </c>
      <c r="M471" s="245" t="s">
        <v>3183</v>
      </c>
      <c r="N471" s="245" t="s">
        <v>2132</v>
      </c>
      <c r="O471" s="158"/>
      <c r="P471" s="92"/>
      <c r="Q471" s="146"/>
      <c r="R471" s="92"/>
      <c r="S471" s="146"/>
      <c r="T471" s="92"/>
      <c r="U471" s="146"/>
      <c r="V471" s="92"/>
      <c r="W471" s="146"/>
      <c r="X471" s="92"/>
      <c r="Y471" s="146"/>
      <c r="Z471" s="92"/>
      <c r="AA471" s="146"/>
      <c r="AB471" s="92"/>
      <c r="AC471" s="146"/>
      <c r="AD471" s="92"/>
      <c r="AE471" s="146"/>
      <c r="AF471" s="143" t="str">
        <f t="shared" si="31"/>
        <v/>
      </c>
      <c r="AG471" s="199" t="b">
        <f t="shared" si="30"/>
        <v>0</v>
      </c>
      <c r="AH471" s="146"/>
      <c r="AI471" s="154" t="s">
        <v>6</v>
      </c>
      <c r="AJ471" s="151" t="str">
        <f t="shared" si="29"/>
        <v>GUARULHOS</v>
      </c>
      <c r="AK471" s="155" t="s">
        <v>59</v>
      </c>
      <c r="AL471" s="53">
        <v>0.17552264696664399</v>
      </c>
      <c r="AM471" s="53" t="str" cm="1">
        <f t="array" ref="AM471">IF(OR(O471&lt;&gt;"", SUMPRODUCT(($AN$2:$AN$561=AN471)*($AL$2:$AL$561&lt;=AL471)) &lt;= (COUNTIF($AN$2:$AN$561,AN471)*0.5)), "SORTEADO", "-")</f>
        <v>SORTEADO</v>
      </c>
      <c r="AN471" s="53" t="str">
        <f t="shared" si="32"/>
        <v>30/04/2026</v>
      </c>
    </row>
    <row r="472" spans="1:40" ht="30" hidden="1" customHeight="1" x14ac:dyDescent="0.2">
      <c r="A472" s="245" t="s">
        <v>197</v>
      </c>
      <c r="B472" s="245">
        <v>2618078521</v>
      </c>
      <c r="C472" s="245" t="s">
        <v>115</v>
      </c>
      <c r="D472" s="245" t="s">
        <v>108</v>
      </c>
      <c r="E472" s="245" t="s">
        <v>198</v>
      </c>
      <c r="F472" s="245" t="s">
        <v>2531</v>
      </c>
      <c r="G472" s="245">
        <v>75</v>
      </c>
      <c r="H472" s="245" t="s">
        <v>334</v>
      </c>
      <c r="I472" s="245" t="s">
        <v>200</v>
      </c>
      <c r="J472" s="245" t="s">
        <v>2644</v>
      </c>
      <c r="K472" s="245" t="s">
        <v>213</v>
      </c>
      <c r="L472" s="245" t="s">
        <v>2516</v>
      </c>
      <c r="M472" s="245" t="s">
        <v>3197</v>
      </c>
      <c r="N472" s="245" t="s">
        <v>2640</v>
      </c>
      <c r="O472" s="158"/>
      <c r="P472" s="92"/>
      <c r="Q472" s="146"/>
      <c r="R472" s="92"/>
      <c r="S472" s="146"/>
      <c r="T472" s="92"/>
      <c r="U472" s="146"/>
      <c r="V472" s="92"/>
      <c r="W472" s="146"/>
      <c r="X472" s="92"/>
      <c r="Y472" s="146"/>
      <c r="Z472" s="92"/>
      <c r="AA472" s="146"/>
      <c r="AB472" s="92"/>
      <c r="AC472" s="146"/>
      <c r="AD472" s="92"/>
      <c r="AE472" s="146"/>
      <c r="AF472" s="143" t="str">
        <f t="shared" si="31"/>
        <v/>
      </c>
      <c r="AG472" s="199" t="b">
        <f t="shared" si="30"/>
        <v>0</v>
      </c>
      <c r="AH472" s="146"/>
      <c r="AI472" s="154" t="s">
        <v>6</v>
      </c>
      <c r="AJ472" s="151" t="str">
        <f t="shared" si="29"/>
        <v>GUARULHOS</v>
      </c>
      <c r="AK472" s="155" t="s">
        <v>59</v>
      </c>
      <c r="AL472" s="53">
        <v>0.11765221789379787</v>
      </c>
      <c r="AM472" s="53" t="str" cm="1">
        <f t="array" ref="AM472">IF(OR(O472&lt;&gt;"", SUMPRODUCT(($AN$2:$AN$561=AN472)*($AL$2:$AL$561&lt;=AL472)) &lt;= (COUNTIF($AN$2:$AN$561,AN472)*0.5)), "SORTEADO", "-")</f>
        <v>SORTEADO</v>
      </c>
      <c r="AN472" s="53" t="str">
        <f t="shared" si="32"/>
        <v>30/04/2026</v>
      </c>
    </row>
    <row r="473" spans="1:40" ht="30" hidden="1" customHeight="1" x14ac:dyDescent="0.2">
      <c r="A473" s="245" t="s">
        <v>197</v>
      </c>
      <c r="B473" s="245">
        <v>2617306897</v>
      </c>
      <c r="C473" s="245" t="s">
        <v>2701</v>
      </c>
      <c r="D473" s="245" t="s">
        <v>110</v>
      </c>
      <c r="E473" s="245" t="s">
        <v>198</v>
      </c>
      <c r="F473" s="245" t="s">
        <v>688</v>
      </c>
      <c r="G473" s="245">
        <v>328</v>
      </c>
      <c r="H473" s="245"/>
      <c r="I473" s="245" t="s">
        <v>356</v>
      </c>
      <c r="J473" s="245" t="s">
        <v>2703</v>
      </c>
      <c r="K473" s="246" t="s">
        <v>3198</v>
      </c>
      <c r="L473" s="245" t="s">
        <v>2516</v>
      </c>
      <c r="M473" s="245" t="s">
        <v>3199</v>
      </c>
      <c r="N473" s="245" t="s">
        <v>2132</v>
      </c>
      <c r="O473" s="158" t="s">
        <v>61</v>
      </c>
      <c r="P473" s="92"/>
      <c r="Q473" s="146" t="s">
        <v>61</v>
      </c>
      <c r="R473" s="92"/>
      <c r="S473" s="146" t="s">
        <v>61</v>
      </c>
      <c r="T473" s="92"/>
      <c r="U473" s="146" t="s">
        <v>61</v>
      </c>
      <c r="V473" s="92"/>
      <c r="W473" s="146" t="s">
        <v>61</v>
      </c>
      <c r="X473" s="92"/>
      <c r="Y473" s="146" t="s">
        <v>61</v>
      </c>
      <c r="Z473" s="92"/>
      <c r="AA473" s="146" t="s">
        <v>61</v>
      </c>
      <c r="AB473" s="92"/>
      <c r="AC473" s="146" t="s">
        <v>61</v>
      </c>
      <c r="AD473" s="92"/>
      <c r="AE473" s="146" t="s">
        <v>61</v>
      </c>
      <c r="AF473" s="143" t="str">
        <f t="shared" si="31"/>
        <v>NA</v>
      </c>
      <c r="AG473" s="199" t="str">
        <f t="shared" si="30"/>
        <v>NÃO AVALIADO POR FALHA DE SINCRONISMO</v>
      </c>
      <c r="AH473" s="146" t="s">
        <v>204</v>
      </c>
      <c r="AI473" s="154" t="s">
        <v>6</v>
      </c>
      <c r="AJ473" s="151" t="str">
        <f t="shared" si="29"/>
        <v>GUARULHOS</v>
      </c>
      <c r="AK473" s="155" t="s">
        <v>59</v>
      </c>
      <c r="AL473" s="53">
        <v>0.36415252671202214</v>
      </c>
      <c r="AM473" s="53" t="str" cm="1">
        <f t="array" ref="AM473">IF(OR(O473&lt;&gt;"", SUMPRODUCT(($AN$2:$AN$561=AN473)*($AL$2:$AL$561&lt;=AL473)) &lt;= (COUNTIF($AN$2:$AN$561,AN473)*0.5)), "SORTEADO", "-")</f>
        <v>SORTEADO</v>
      </c>
      <c r="AN473" s="53" t="str">
        <f t="shared" si="32"/>
        <v>30/04/2026</v>
      </c>
    </row>
    <row r="474" spans="1:40" ht="30" hidden="1" customHeight="1" x14ac:dyDescent="0.2">
      <c r="A474" s="245" t="s">
        <v>197</v>
      </c>
      <c r="B474" s="245">
        <v>2617306691</v>
      </c>
      <c r="C474" s="245" t="s">
        <v>2701</v>
      </c>
      <c r="D474" s="245" t="s">
        <v>110</v>
      </c>
      <c r="E474" s="245" t="s">
        <v>198</v>
      </c>
      <c r="F474" s="245" t="s">
        <v>688</v>
      </c>
      <c r="G474" s="245">
        <v>320</v>
      </c>
      <c r="H474" s="245" t="s">
        <v>213</v>
      </c>
      <c r="I474" s="245" t="s">
        <v>356</v>
      </c>
      <c r="J474" s="245" t="s">
        <v>2703</v>
      </c>
      <c r="K474" s="246" t="s">
        <v>3200</v>
      </c>
      <c r="L474" s="245" t="s">
        <v>2516</v>
      </c>
      <c r="M474" s="245" t="s">
        <v>3199</v>
      </c>
      <c r="N474" s="245" t="s">
        <v>2132</v>
      </c>
      <c r="O474" s="158"/>
      <c r="P474" s="92"/>
      <c r="Q474" s="146"/>
      <c r="R474" s="92"/>
      <c r="S474" s="146"/>
      <c r="T474" s="92"/>
      <c r="U474" s="146"/>
      <c r="V474" s="92"/>
      <c r="W474" s="146"/>
      <c r="X474" s="92"/>
      <c r="Y474" s="146"/>
      <c r="Z474" s="92"/>
      <c r="AA474" s="146"/>
      <c r="AB474" s="92"/>
      <c r="AC474" s="146"/>
      <c r="AD474" s="92"/>
      <c r="AE474" s="146"/>
      <c r="AF474" s="143" t="str">
        <f t="shared" si="31"/>
        <v/>
      </c>
      <c r="AG474" s="199" t="b">
        <f t="shared" si="30"/>
        <v>0</v>
      </c>
      <c r="AH474" s="146"/>
      <c r="AI474" s="154" t="s">
        <v>6</v>
      </c>
      <c r="AJ474" s="151" t="str">
        <f t="shared" si="29"/>
        <v>GUARULHOS</v>
      </c>
      <c r="AK474" s="155" t="s">
        <v>59</v>
      </c>
      <c r="AL474" s="53">
        <v>0.57010456395972897</v>
      </c>
      <c r="AM474" s="53" t="str" cm="1">
        <f t="array" ref="AM474">IF(OR(O474&lt;&gt;"", SUMPRODUCT(($AN$2:$AN$561=AN474)*($AL$2:$AL$561&lt;=AL474)) &lt;= (COUNTIF($AN$2:$AN$561,AN474)*0.5)), "SORTEADO", "-")</f>
        <v>-</v>
      </c>
      <c r="AN474" s="53" t="str">
        <f t="shared" si="32"/>
        <v>30/04/2026</v>
      </c>
    </row>
    <row r="475" spans="1:40" ht="30" hidden="1" customHeight="1" x14ac:dyDescent="0.2">
      <c r="A475" s="245" t="s">
        <v>197</v>
      </c>
      <c r="B475" s="245">
        <v>2617306801</v>
      </c>
      <c r="C475" s="245" t="s">
        <v>2701</v>
      </c>
      <c r="D475" s="245" t="s">
        <v>110</v>
      </c>
      <c r="E475" s="245" t="s">
        <v>198</v>
      </c>
      <c r="F475" s="245" t="s">
        <v>688</v>
      </c>
      <c r="G475" s="245">
        <v>316</v>
      </c>
      <c r="H475" s="245"/>
      <c r="I475" s="245" t="s">
        <v>356</v>
      </c>
      <c r="J475" s="245" t="s">
        <v>2703</v>
      </c>
      <c r="K475" s="246" t="s">
        <v>3200</v>
      </c>
      <c r="L475" s="245" t="s">
        <v>2516</v>
      </c>
      <c r="M475" s="245" t="s">
        <v>3199</v>
      </c>
      <c r="N475" s="245" t="s">
        <v>2132</v>
      </c>
      <c r="O475" s="158"/>
      <c r="P475" s="92"/>
      <c r="Q475" s="146"/>
      <c r="R475" s="92"/>
      <c r="S475" s="146"/>
      <c r="T475" s="92"/>
      <c r="U475" s="146"/>
      <c r="V475" s="92"/>
      <c r="W475" s="146"/>
      <c r="X475" s="92"/>
      <c r="Y475" s="146"/>
      <c r="Z475" s="92"/>
      <c r="AA475" s="146"/>
      <c r="AB475" s="92"/>
      <c r="AC475" s="146"/>
      <c r="AD475" s="92"/>
      <c r="AE475" s="146"/>
      <c r="AF475" s="143" t="str">
        <f t="shared" si="31"/>
        <v/>
      </c>
      <c r="AG475" s="199" t="b">
        <f t="shared" si="30"/>
        <v>0</v>
      </c>
      <c r="AH475" s="146"/>
      <c r="AI475" s="154" t="s">
        <v>6</v>
      </c>
      <c r="AJ475" s="151" t="str">
        <f t="shared" si="29"/>
        <v>GUARULHOS</v>
      </c>
      <c r="AK475" s="155" t="s">
        <v>59</v>
      </c>
      <c r="AL475" s="53">
        <v>0.74602659173924346</v>
      </c>
      <c r="AM475" s="53" t="str" cm="1">
        <f t="array" ref="AM475">IF(OR(O475&lt;&gt;"", SUMPRODUCT(($AN$2:$AN$561=AN475)*($AL$2:$AL$561&lt;=AL475)) &lt;= (COUNTIF($AN$2:$AN$561,AN475)*0.5)), "SORTEADO", "-")</f>
        <v>-</v>
      </c>
      <c r="AN475" s="53" t="str">
        <f t="shared" si="32"/>
        <v>30/04/2026</v>
      </c>
    </row>
    <row r="476" spans="1:40" ht="30" hidden="1" customHeight="1" x14ac:dyDescent="0.2">
      <c r="A476" s="245" t="s">
        <v>197</v>
      </c>
      <c r="B476" s="245">
        <v>2617306205</v>
      </c>
      <c r="C476" s="245" t="s">
        <v>2701</v>
      </c>
      <c r="D476" s="245" t="s">
        <v>110</v>
      </c>
      <c r="E476" s="245" t="s">
        <v>198</v>
      </c>
      <c r="F476" s="245" t="s">
        <v>688</v>
      </c>
      <c r="G476" s="245">
        <v>310</v>
      </c>
      <c r="H476" s="245" t="s">
        <v>1535</v>
      </c>
      <c r="I476" s="245" t="s">
        <v>356</v>
      </c>
      <c r="J476" s="245" t="s">
        <v>2703</v>
      </c>
      <c r="K476" s="246" t="s">
        <v>3201</v>
      </c>
      <c r="L476" s="245" t="s">
        <v>2516</v>
      </c>
      <c r="M476" s="245" t="s">
        <v>3199</v>
      </c>
      <c r="N476" s="245" t="s">
        <v>2132</v>
      </c>
      <c r="O476" s="158"/>
      <c r="P476" s="92"/>
      <c r="Q476" s="146"/>
      <c r="R476" s="92"/>
      <c r="S476" s="146"/>
      <c r="T476" s="92"/>
      <c r="U476" s="146"/>
      <c r="V476" s="92"/>
      <c r="W476" s="146"/>
      <c r="X476" s="92"/>
      <c r="Y476" s="146"/>
      <c r="Z476" s="92"/>
      <c r="AA476" s="146"/>
      <c r="AB476" s="92"/>
      <c r="AC476" s="146"/>
      <c r="AD476" s="92"/>
      <c r="AE476" s="146"/>
      <c r="AF476" s="143" t="str">
        <f t="shared" si="31"/>
        <v/>
      </c>
      <c r="AG476" s="199" t="b">
        <f t="shared" si="30"/>
        <v>0</v>
      </c>
      <c r="AH476" s="146"/>
      <c r="AI476" s="154" t="s">
        <v>6</v>
      </c>
      <c r="AJ476" s="151" t="str">
        <f t="shared" si="29"/>
        <v>GUARULHOS</v>
      </c>
      <c r="AK476" s="155" t="s">
        <v>59</v>
      </c>
      <c r="AL476" s="53">
        <v>0.94712602398985102</v>
      </c>
      <c r="AM476" s="53" t="str" cm="1">
        <f t="array" ref="AM476">IF(OR(O476&lt;&gt;"", SUMPRODUCT(($AN$2:$AN$561=AN476)*($AL$2:$AL$561&lt;=AL476)) &lt;= (COUNTIF($AN$2:$AN$561,AN476)*0.5)), "SORTEADO", "-")</f>
        <v>-</v>
      </c>
      <c r="AN476" s="53" t="str">
        <f t="shared" si="32"/>
        <v>30/04/2026</v>
      </c>
    </row>
    <row r="477" spans="1:40" ht="30" hidden="1" customHeight="1" x14ac:dyDescent="0.2">
      <c r="A477" s="245" t="s">
        <v>197</v>
      </c>
      <c r="B477" s="245">
        <v>2617305986</v>
      </c>
      <c r="C477" s="245" t="s">
        <v>2701</v>
      </c>
      <c r="D477" s="245" t="s">
        <v>110</v>
      </c>
      <c r="E477" s="245" t="s">
        <v>198</v>
      </c>
      <c r="F477" s="245" t="s">
        <v>688</v>
      </c>
      <c r="G477" s="245">
        <v>302</v>
      </c>
      <c r="H477" s="245" t="s">
        <v>1533</v>
      </c>
      <c r="I477" s="245" t="s">
        <v>356</v>
      </c>
      <c r="J477" s="245" t="s">
        <v>2703</v>
      </c>
      <c r="K477" s="246" t="s">
        <v>3202</v>
      </c>
      <c r="L477" s="245" t="s">
        <v>2516</v>
      </c>
      <c r="M477" s="245" t="s">
        <v>3199</v>
      </c>
      <c r="N477" s="245" t="s">
        <v>2132</v>
      </c>
      <c r="O477" s="158" t="s">
        <v>61</v>
      </c>
      <c r="P477" s="92"/>
      <c r="Q477" s="146" t="s">
        <v>61</v>
      </c>
      <c r="R477" s="92"/>
      <c r="S477" s="146" t="s">
        <v>61</v>
      </c>
      <c r="T477" s="92"/>
      <c r="U477" s="146" t="s">
        <v>61</v>
      </c>
      <c r="V477" s="92"/>
      <c r="W477" s="146" t="s">
        <v>61</v>
      </c>
      <c r="X477" s="92"/>
      <c r="Y477" s="146" t="s">
        <v>61</v>
      </c>
      <c r="Z477" s="92"/>
      <c r="AA477" s="146" t="s">
        <v>61</v>
      </c>
      <c r="AB477" s="92"/>
      <c r="AC477" s="146" t="s">
        <v>61</v>
      </c>
      <c r="AD477" s="92"/>
      <c r="AE477" s="146" t="s">
        <v>61</v>
      </c>
      <c r="AF477" s="143" t="str">
        <f t="shared" si="31"/>
        <v>NA</v>
      </c>
      <c r="AG477" s="199" t="str">
        <f t="shared" si="30"/>
        <v>NÃO AVALIADO POR FALHA DE SINCRONISMO</v>
      </c>
      <c r="AH477" s="146" t="s">
        <v>204</v>
      </c>
      <c r="AI477" s="154" t="s">
        <v>6</v>
      </c>
      <c r="AJ477" s="151" t="str">
        <f t="shared" si="29"/>
        <v>GUARULHOS</v>
      </c>
      <c r="AK477" s="155" t="s">
        <v>59</v>
      </c>
      <c r="AL477" s="53">
        <v>0.13004276265519743</v>
      </c>
      <c r="AM477" s="53" t="str" cm="1">
        <f t="array" ref="AM477">IF(OR(O477&lt;&gt;"", SUMPRODUCT(($AN$2:$AN$561=AN477)*($AL$2:$AL$561&lt;=AL477)) &lt;= (COUNTIF($AN$2:$AN$561,AN477)*0.5)), "SORTEADO", "-")</f>
        <v>SORTEADO</v>
      </c>
      <c r="AN477" s="53" t="str">
        <f t="shared" si="32"/>
        <v>30/04/2026</v>
      </c>
    </row>
    <row r="478" spans="1:40" ht="30" hidden="1" customHeight="1" x14ac:dyDescent="0.2">
      <c r="A478" s="245" t="s">
        <v>197</v>
      </c>
      <c r="B478" s="245">
        <v>2617305606</v>
      </c>
      <c r="C478" s="245" t="s">
        <v>2701</v>
      </c>
      <c r="D478" s="245" t="s">
        <v>110</v>
      </c>
      <c r="E478" s="245" t="s">
        <v>198</v>
      </c>
      <c r="F478" s="245" t="s">
        <v>688</v>
      </c>
      <c r="G478" s="245">
        <v>293</v>
      </c>
      <c r="H478" s="245" t="s">
        <v>3203</v>
      </c>
      <c r="I478" s="245" t="s">
        <v>356</v>
      </c>
      <c r="J478" s="245" t="s">
        <v>2703</v>
      </c>
      <c r="K478" s="246" t="s">
        <v>3200</v>
      </c>
      <c r="L478" s="245" t="s">
        <v>2516</v>
      </c>
      <c r="M478" s="245" t="s">
        <v>3199</v>
      </c>
      <c r="N478" s="245" t="s">
        <v>2132</v>
      </c>
      <c r="O478" s="158" t="s">
        <v>61</v>
      </c>
      <c r="P478" s="92"/>
      <c r="Q478" s="146" t="s">
        <v>61</v>
      </c>
      <c r="R478" s="92"/>
      <c r="S478" s="146" t="s">
        <v>61</v>
      </c>
      <c r="T478" s="92"/>
      <c r="U478" s="146" t="s">
        <v>61</v>
      </c>
      <c r="V478" s="92"/>
      <c r="W478" s="146" t="s">
        <v>61</v>
      </c>
      <c r="X478" s="92"/>
      <c r="Y478" s="146" t="s">
        <v>61</v>
      </c>
      <c r="Z478" s="92"/>
      <c r="AA478" s="146" t="s">
        <v>61</v>
      </c>
      <c r="AB478" s="92"/>
      <c r="AC478" s="146" t="s">
        <v>61</v>
      </c>
      <c r="AD478" s="92"/>
      <c r="AE478" s="146" t="s">
        <v>61</v>
      </c>
      <c r="AF478" s="143" t="str">
        <f t="shared" si="31"/>
        <v>NA</v>
      </c>
      <c r="AG478" s="199" t="str">
        <f t="shared" si="30"/>
        <v>NÃO AVALIADO POR FALHA DE SINCRONISMO</v>
      </c>
      <c r="AH478" s="146" t="s">
        <v>204</v>
      </c>
      <c r="AI478" s="154" t="s">
        <v>6</v>
      </c>
      <c r="AJ478" s="151" t="str">
        <f t="shared" ref="AJ478:AJ541" si="33">E478</f>
        <v>GUARULHOS</v>
      </c>
      <c r="AK478" s="155" t="s">
        <v>59</v>
      </c>
      <c r="AL478" s="53">
        <v>0.51933492952302895</v>
      </c>
      <c r="AM478" s="53" t="str" cm="1">
        <f t="array" ref="AM478">IF(OR(O478&lt;&gt;"", SUMPRODUCT(($AN$2:$AN$561=AN478)*($AL$2:$AL$561&lt;=AL478)) &lt;= (COUNTIF($AN$2:$AN$561,AN478)*0.5)), "SORTEADO", "-")</f>
        <v>SORTEADO</v>
      </c>
      <c r="AN478" s="53" t="str">
        <f t="shared" si="32"/>
        <v>30/04/2026</v>
      </c>
    </row>
    <row r="479" spans="1:40" ht="30" hidden="1" customHeight="1" x14ac:dyDescent="0.2">
      <c r="A479" s="245" t="s">
        <v>197</v>
      </c>
      <c r="B479" s="245">
        <v>2617305261</v>
      </c>
      <c r="C479" s="245" t="s">
        <v>2701</v>
      </c>
      <c r="D479" s="245" t="s">
        <v>110</v>
      </c>
      <c r="E479" s="245" t="s">
        <v>198</v>
      </c>
      <c r="F479" s="245" t="s">
        <v>688</v>
      </c>
      <c r="G479" s="245">
        <v>283</v>
      </c>
      <c r="H479" s="245" t="s">
        <v>3204</v>
      </c>
      <c r="I479" s="245" t="s">
        <v>356</v>
      </c>
      <c r="J479" s="245" t="s">
        <v>2703</v>
      </c>
      <c r="K479" s="246" t="s">
        <v>3200</v>
      </c>
      <c r="L479" s="245" t="s">
        <v>2516</v>
      </c>
      <c r="M479" s="245" t="s">
        <v>3199</v>
      </c>
      <c r="N479" s="245" t="s">
        <v>2132</v>
      </c>
      <c r="O479" s="158" t="s">
        <v>61</v>
      </c>
      <c r="P479" s="92"/>
      <c r="Q479" s="146" t="s">
        <v>61</v>
      </c>
      <c r="R479" s="92"/>
      <c r="S479" s="146" t="s">
        <v>61</v>
      </c>
      <c r="T479" s="92"/>
      <c r="U479" s="146" t="s">
        <v>61</v>
      </c>
      <c r="V479" s="92"/>
      <c r="W479" s="146" t="s">
        <v>61</v>
      </c>
      <c r="X479" s="92"/>
      <c r="Y479" s="146" t="s">
        <v>61</v>
      </c>
      <c r="Z479" s="92"/>
      <c r="AA479" s="146" t="s">
        <v>61</v>
      </c>
      <c r="AB479" s="92"/>
      <c r="AC479" s="146" t="s">
        <v>61</v>
      </c>
      <c r="AD479" s="92"/>
      <c r="AE479" s="146" t="s">
        <v>61</v>
      </c>
      <c r="AF479" s="143" t="str">
        <f t="shared" si="31"/>
        <v>NA</v>
      </c>
      <c r="AG479" s="199" t="str">
        <f t="shared" si="30"/>
        <v>NÃO AVALIADO POR FALHA DE SINCRONISMO</v>
      </c>
      <c r="AH479" s="146" t="s">
        <v>204</v>
      </c>
      <c r="AI479" s="154" t="s">
        <v>6</v>
      </c>
      <c r="AJ479" s="151" t="str">
        <f t="shared" si="33"/>
        <v>GUARULHOS</v>
      </c>
      <c r="AK479" s="155" t="s">
        <v>59</v>
      </c>
      <c r="AL479" s="53">
        <v>0.54475961005774087</v>
      </c>
      <c r="AM479" s="53" t="str" cm="1">
        <f t="array" ref="AM479">IF(OR(O479&lt;&gt;"", SUMPRODUCT(($AN$2:$AN$561=AN479)*($AL$2:$AL$561&lt;=AL479)) &lt;= (COUNTIF($AN$2:$AN$561,AN479)*0.5)), "SORTEADO", "-")</f>
        <v>SORTEADO</v>
      </c>
      <c r="AN479" s="53" t="str">
        <f t="shared" si="32"/>
        <v>30/04/2026</v>
      </c>
    </row>
    <row r="480" spans="1:40" ht="30" hidden="1" customHeight="1" x14ac:dyDescent="0.2">
      <c r="A480" s="245" t="s">
        <v>197</v>
      </c>
      <c r="B480" s="245">
        <v>2617305076</v>
      </c>
      <c r="C480" s="245" t="s">
        <v>2701</v>
      </c>
      <c r="D480" s="245" t="s">
        <v>110</v>
      </c>
      <c r="E480" s="245" t="s">
        <v>198</v>
      </c>
      <c r="F480" s="245" t="s">
        <v>688</v>
      </c>
      <c r="G480" s="245">
        <v>277</v>
      </c>
      <c r="H480" s="245" t="s">
        <v>700</v>
      </c>
      <c r="I480" s="245" t="s">
        <v>356</v>
      </c>
      <c r="J480" s="245" t="s">
        <v>2703</v>
      </c>
      <c r="K480" s="246" t="s">
        <v>3198</v>
      </c>
      <c r="L480" s="245" t="s">
        <v>2516</v>
      </c>
      <c r="M480" s="245" t="s">
        <v>3199</v>
      </c>
      <c r="N480" s="245" t="s">
        <v>2132</v>
      </c>
      <c r="O480" s="158"/>
      <c r="P480" s="92"/>
      <c r="Q480" s="146"/>
      <c r="R480" s="92"/>
      <c r="S480" s="146"/>
      <c r="T480" s="92"/>
      <c r="U480" s="146"/>
      <c r="V480" s="92"/>
      <c r="W480" s="146"/>
      <c r="X480" s="92"/>
      <c r="Y480" s="146"/>
      <c r="Z480" s="92"/>
      <c r="AA480" s="146"/>
      <c r="AB480" s="92"/>
      <c r="AC480" s="146"/>
      <c r="AD480" s="92"/>
      <c r="AE480" s="146"/>
      <c r="AF480" s="143" t="str">
        <f t="shared" si="31"/>
        <v/>
      </c>
      <c r="AG480" s="199" t="b">
        <f t="shared" si="30"/>
        <v>0</v>
      </c>
      <c r="AH480" s="146"/>
      <c r="AI480" s="154" t="s">
        <v>6</v>
      </c>
      <c r="AJ480" s="151" t="str">
        <f t="shared" si="33"/>
        <v>GUARULHOS</v>
      </c>
      <c r="AK480" s="155" t="s">
        <v>59</v>
      </c>
      <c r="AL480" s="53">
        <v>0.95714906667635846</v>
      </c>
      <c r="AM480" s="53" t="str" cm="1">
        <f t="array" ref="AM480">IF(OR(O480&lt;&gt;"", SUMPRODUCT(($AN$2:$AN$561=AN480)*($AL$2:$AL$561&lt;=AL480)) &lt;= (COUNTIF($AN$2:$AN$561,AN480)*0.5)), "SORTEADO", "-")</f>
        <v>-</v>
      </c>
      <c r="AN480" s="53" t="str">
        <f t="shared" si="32"/>
        <v>30/04/2026</v>
      </c>
    </row>
    <row r="481" spans="1:40" ht="30" hidden="1" customHeight="1" x14ac:dyDescent="0.2">
      <c r="A481" s="245" t="s">
        <v>197</v>
      </c>
      <c r="B481" s="245">
        <v>2617304970</v>
      </c>
      <c r="C481" s="245" t="s">
        <v>2701</v>
      </c>
      <c r="D481" s="245" t="s">
        <v>110</v>
      </c>
      <c r="E481" s="245" t="s">
        <v>198</v>
      </c>
      <c r="F481" s="245" t="s">
        <v>688</v>
      </c>
      <c r="G481" s="245">
        <v>273</v>
      </c>
      <c r="H481" s="245"/>
      <c r="I481" s="245" t="s">
        <v>356</v>
      </c>
      <c r="J481" s="245" t="s">
        <v>2703</v>
      </c>
      <c r="K481" s="246" t="s">
        <v>3200</v>
      </c>
      <c r="L481" s="245" t="s">
        <v>2516</v>
      </c>
      <c r="M481" s="245" t="s">
        <v>3199</v>
      </c>
      <c r="N481" s="245" t="s">
        <v>2132</v>
      </c>
      <c r="O481" s="158" t="s">
        <v>61</v>
      </c>
      <c r="P481" s="92"/>
      <c r="Q481" s="146" t="s">
        <v>61</v>
      </c>
      <c r="R481" s="92"/>
      <c r="S481" s="146" t="s">
        <v>61</v>
      </c>
      <c r="T481" s="92"/>
      <c r="U481" s="146" t="s">
        <v>61</v>
      </c>
      <c r="V481" s="92"/>
      <c r="W481" s="146" t="s">
        <v>61</v>
      </c>
      <c r="X481" s="92"/>
      <c r="Y481" s="146" t="s">
        <v>61</v>
      </c>
      <c r="Z481" s="92"/>
      <c r="AA481" s="146" t="s">
        <v>61</v>
      </c>
      <c r="AB481" s="92"/>
      <c r="AC481" s="146" t="s">
        <v>61</v>
      </c>
      <c r="AD481" s="92"/>
      <c r="AE481" s="146" t="s">
        <v>61</v>
      </c>
      <c r="AF481" s="143" t="str">
        <f t="shared" si="31"/>
        <v>NA</v>
      </c>
      <c r="AG481" s="199" t="str">
        <f t="shared" si="30"/>
        <v>NÃO AVALIADO POR FALHA DE SINCRONISMO</v>
      </c>
      <c r="AH481" s="146" t="s">
        <v>204</v>
      </c>
      <c r="AI481" s="154" t="s">
        <v>6</v>
      </c>
      <c r="AJ481" s="151" t="str">
        <f t="shared" si="33"/>
        <v>GUARULHOS</v>
      </c>
      <c r="AK481" s="155" t="s">
        <v>59</v>
      </c>
      <c r="AL481" s="53">
        <v>0.37985125213101478</v>
      </c>
      <c r="AM481" s="53" t="str" cm="1">
        <f t="array" ref="AM481">IF(OR(O481&lt;&gt;"", SUMPRODUCT(($AN$2:$AN$561=AN481)*($AL$2:$AL$561&lt;=AL481)) &lt;= (COUNTIF($AN$2:$AN$561,AN481)*0.5)), "SORTEADO", "-")</f>
        <v>SORTEADO</v>
      </c>
      <c r="AN481" s="53" t="str">
        <f t="shared" si="32"/>
        <v>30/04/2026</v>
      </c>
    </row>
    <row r="482" spans="1:40" ht="30" hidden="1" customHeight="1" x14ac:dyDescent="0.2">
      <c r="A482" s="245" t="s">
        <v>197</v>
      </c>
      <c r="B482" s="245">
        <v>2617304812</v>
      </c>
      <c r="C482" s="245" t="s">
        <v>2701</v>
      </c>
      <c r="D482" s="245" t="s">
        <v>110</v>
      </c>
      <c r="E482" s="245" t="s">
        <v>198</v>
      </c>
      <c r="F482" s="245" t="s">
        <v>688</v>
      </c>
      <c r="G482" s="245">
        <v>267</v>
      </c>
      <c r="H482" s="245" t="s">
        <v>3205</v>
      </c>
      <c r="I482" s="245" t="s">
        <v>356</v>
      </c>
      <c r="J482" s="245" t="s">
        <v>2703</v>
      </c>
      <c r="K482" s="246" t="s">
        <v>3200</v>
      </c>
      <c r="L482" s="245" t="s">
        <v>2516</v>
      </c>
      <c r="M482" s="245" t="s">
        <v>3183</v>
      </c>
      <c r="N482" s="245" t="s">
        <v>2132</v>
      </c>
      <c r="O482" s="158"/>
      <c r="P482" s="92"/>
      <c r="Q482" s="146"/>
      <c r="R482" s="92"/>
      <c r="S482" s="146"/>
      <c r="T482" s="92"/>
      <c r="U482" s="146"/>
      <c r="V482" s="92"/>
      <c r="W482" s="146"/>
      <c r="X482" s="92"/>
      <c r="Y482" s="146"/>
      <c r="Z482" s="92"/>
      <c r="AA482" s="146"/>
      <c r="AB482" s="92"/>
      <c r="AC482" s="146"/>
      <c r="AD482" s="92"/>
      <c r="AE482" s="146"/>
      <c r="AF482" s="143" t="str">
        <f t="shared" si="31"/>
        <v/>
      </c>
      <c r="AG482" s="199" t="b">
        <f t="shared" si="30"/>
        <v>0</v>
      </c>
      <c r="AH482" s="146"/>
      <c r="AI482" s="154" t="s">
        <v>6</v>
      </c>
      <c r="AJ482" s="151" t="str">
        <f t="shared" si="33"/>
        <v>GUARULHOS</v>
      </c>
      <c r="AK482" s="155" t="s">
        <v>59</v>
      </c>
      <c r="AL482" s="53">
        <v>0.83393471521726703</v>
      </c>
      <c r="AM482" s="53" t="str" cm="1">
        <f t="array" ref="AM482">IF(OR(O482&lt;&gt;"", SUMPRODUCT(($AN$2:$AN$561=AN482)*($AL$2:$AL$561&lt;=AL482)) &lt;= (COUNTIF($AN$2:$AN$561,AN482)*0.5)), "SORTEADO", "-")</f>
        <v>-</v>
      </c>
      <c r="AN482" s="53" t="str">
        <f t="shared" si="32"/>
        <v>30/04/2026</v>
      </c>
    </row>
    <row r="483" spans="1:40" ht="30" hidden="1" customHeight="1" x14ac:dyDescent="0.2">
      <c r="A483" s="245" t="s">
        <v>197</v>
      </c>
      <c r="B483" s="245">
        <v>2617304690</v>
      </c>
      <c r="C483" s="245" t="s">
        <v>2701</v>
      </c>
      <c r="D483" s="245" t="s">
        <v>110</v>
      </c>
      <c r="E483" s="245" t="s">
        <v>198</v>
      </c>
      <c r="F483" s="245" t="s">
        <v>688</v>
      </c>
      <c r="G483" s="245">
        <v>261</v>
      </c>
      <c r="H483" s="245" t="s">
        <v>3206</v>
      </c>
      <c r="I483" s="245" t="s">
        <v>356</v>
      </c>
      <c r="J483" s="245" t="s">
        <v>2703</v>
      </c>
      <c r="K483" s="246" t="s">
        <v>3200</v>
      </c>
      <c r="L483" s="245" t="s">
        <v>2516</v>
      </c>
      <c r="M483" s="245" t="s">
        <v>3183</v>
      </c>
      <c r="N483" s="245" t="s">
        <v>2132</v>
      </c>
      <c r="O483" s="158"/>
      <c r="P483" s="92"/>
      <c r="Q483" s="146"/>
      <c r="R483" s="92"/>
      <c r="S483" s="146"/>
      <c r="T483" s="92"/>
      <c r="U483" s="146"/>
      <c r="V483" s="92"/>
      <c r="W483" s="146"/>
      <c r="X483" s="92"/>
      <c r="Y483" s="146"/>
      <c r="Z483" s="92"/>
      <c r="AA483" s="146"/>
      <c r="AB483" s="92"/>
      <c r="AC483" s="146"/>
      <c r="AD483" s="92"/>
      <c r="AE483" s="146"/>
      <c r="AF483" s="143" t="str">
        <f t="shared" si="31"/>
        <v/>
      </c>
      <c r="AG483" s="199" t="b">
        <f t="shared" si="30"/>
        <v>0</v>
      </c>
      <c r="AH483" s="146"/>
      <c r="AI483" s="154" t="s">
        <v>6</v>
      </c>
      <c r="AJ483" s="151" t="str">
        <f t="shared" si="33"/>
        <v>GUARULHOS</v>
      </c>
      <c r="AK483" s="155" t="s">
        <v>59</v>
      </c>
      <c r="AL483" s="53">
        <v>0.94613600048829816</v>
      </c>
      <c r="AM483" s="53" t="str" cm="1">
        <f t="array" ref="AM483">IF(OR(O483&lt;&gt;"", SUMPRODUCT(($AN$2:$AN$561=AN483)*($AL$2:$AL$561&lt;=AL483)) &lt;= (COUNTIF($AN$2:$AN$561,AN483)*0.5)), "SORTEADO", "-")</f>
        <v>-</v>
      </c>
      <c r="AN483" s="53" t="str">
        <f t="shared" si="32"/>
        <v>30/04/2026</v>
      </c>
    </row>
    <row r="484" spans="1:40" ht="30" hidden="1" customHeight="1" x14ac:dyDescent="0.2">
      <c r="A484" s="245" t="s">
        <v>197</v>
      </c>
      <c r="B484" s="245">
        <v>2617304258</v>
      </c>
      <c r="C484" s="245" t="s">
        <v>2701</v>
      </c>
      <c r="D484" s="245" t="s">
        <v>110</v>
      </c>
      <c r="E484" s="245" t="s">
        <v>198</v>
      </c>
      <c r="F484" s="245" t="s">
        <v>688</v>
      </c>
      <c r="G484" s="245">
        <v>260</v>
      </c>
      <c r="H484" s="245" t="s">
        <v>3207</v>
      </c>
      <c r="I484" s="245" t="s">
        <v>356</v>
      </c>
      <c r="J484" s="245" t="s">
        <v>2703</v>
      </c>
      <c r="K484" s="246" t="s">
        <v>3198</v>
      </c>
      <c r="L484" s="245" t="s">
        <v>2516</v>
      </c>
      <c r="M484" s="245" t="s">
        <v>3183</v>
      </c>
      <c r="N484" s="245" t="s">
        <v>2132</v>
      </c>
      <c r="O484" s="158" t="s">
        <v>61</v>
      </c>
      <c r="P484" s="92"/>
      <c r="Q484" s="146" t="s">
        <v>61</v>
      </c>
      <c r="R484" s="92"/>
      <c r="S484" s="146" t="s">
        <v>61</v>
      </c>
      <c r="T484" s="92"/>
      <c r="U484" s="146" t="s">
        <v>61</v>
      </c>
      <c r="V484" s="92"/>
      <c r="W484" s="146" t="s">
        <v>61</v>
      </c>
      <c r="X484" s="92"/>
      <c r="Y484" s="146" t="s">
        <v>61</v>
      </c>
      <c r="Z484" s="92"/>
      <c r="AA484" s="146" t="s">
        <v>61</v>
      </c>
      <c r="AB484" s="92"/>
      <c r="AC484" s="146" t="s">
        <v>61</v>
      </c>
      <c r="AD484" s="92"/>
      <c r="AE484" s="146" t="s">
        <v>61</v>
      </c>
      <c r="AF484" s="143" t="str">
        <f t="shared" si="31"/>
        <v>NA</v>
      </c>
      <c r="AG484" s="199" t="str">
        <f t="shared" si="30"/>
        <v>NÃO AVALIADO POR FALHA DE SINCRONISMO</v>
      </c>
      <c r="AH484" s="146" t="s">
        <v>204</v>
      </c>
      <c r="AI484" s="154" t="s">
        <v>6</v>
      </c>
      <c r="AJ484" s="151" t="str">
        <f t="shared" si="33"/>
        <v>GUARULHOS</v>
      </c>
      <c r="AK484" s="155" t="s">
        <v>59</v>
      </c>
      <c r="AL484" s="53">
        <v>0.40028498290740144</v>
      </c>
      <c r="AM484" s="53" t="str" cm="1">
        <f t="array" ref="AM484">IF(OR(O484&lt;&gt;"", SUMPRODUCT(($AN$2:$AN$561=AN484)*($AL$2:$AL$561&lt;=AL484)) &lt;= (COUNTIF($AN$2:$AN$561,AN484)*0.5)), "SORTEADO", "-")</f>
        <v>SORTEADO</v>
      </c>
      <c r="AN484" s="53" t="str">
        <f t="shared" si="32"/>
        <v>30/04/2026</v>
      </c>
    </row>
    <row r="485" spans="1:40" ht="30" hidden="1" customHeight="1" x14ac:dyDescent="0.2">
      <c r="A485" s="245" t="s">
        <v>197</v>
      </c>
      <c r="B485" s="245">
        <v>2617304462</v>
      </c>
      <c r="C485" s="245" t="s">
        <v>2701</v>
      </c>
      <c r="D485" s="245" t="s">
        <v>110</v>
      </c>
      <c r="E485" s="245" t="s">
        <v>198</v>
      </c>
      <c r="F485" s="245" t="s">
        <v>688</v>
      </c>
      <c r="G485" s="245">
        <v>259</v>
      </c>
      <c r="H485" s="245" t="s">
        <v>3208</v>
      </c>
      <c r="I485" s="245" t="s">
        <v>356</v>
      </c>
      <c r="J485" s="245" t="s">
        <v>2703</v>
      </c>
      <c r="K485" s="246" t="s">
        <v>3198</v>
      </c>
      <c r="L485" s="245" t="s">
        <v>2516</v>
      </c>
      <c r="M485" s="245" t="s">
        <v>3183</v>
      </c>
      <c r="N485" s="245" t="s">
        <v>2132</v>
      </c>
      <c r="O485" s="158" t="s">
        <v>61</v>
      </c>
      <c r="P485" s="92"/>
      <c r="Q485" s="146" t="s">
        <v>61</v>
      </c>
      <c r="R485" s="92"/>
      <c r="S485" s="146" t="s">
        <v>61</v>
      </c>
      <c r="T485" s="92"/>
      <c r="U485" s="146" t="s">
        <v>61</v>
      </c>
      <c r="V485" s="92"/>
      <c r="W485" s="146" t="s">
        <v>61</v>
      </c>
      <c r="X485" s="92"/>
      <c r="Y485" s="146" t="s">
        <v>61</v>
      </c>
      <c r="Z485" s="92"/>
      <c r="AA485" s="146" t="s">
        <v>61</v>
      </c>
      <c r="AB485" s="92"/>
      <c r="AC485" s="146" t="s">
        <v>61</v>
      </c>
      <c r="AD485" s="92"/>
      <c r="AE485" s="146" t="s">
        <v>61</v>
      </c>
      <c r="AF485" s="143" t="str">
        <f t="shared" si="31"/>
        <v>NA</v>
      </c>
      <c r="AG485" s="199" t="str">
        <f t="shared" si="30"/>
        <v>NÃO AVALIADO POR FALHA DE SINCRONISMO</v>
      </c>
      <c r="AH485" s="146" t="s">
        <v>204</v>
      </c>
      <c r="AI485" s="154" t="s">
        <v>6</v>
      </c>
      <c r="AJ485" s="151" t="str">
        <f t="shared" si="33"/>
        <v>GUARULHOS</v>
      </c>
      <c r="AK485" s="155" t="s">
        <v>59</v>
      </c>
      <c r="AL485" s="53">
        <v>0.47391798340140467</v>
      </c>
      <c r="AM485" s="53" t="str" cm="1">
        <f t="array" ref="AM485">IF(OR(O485&lt;&gt;"", SUMPRODUCT(($AN$2:$AN$561=AN485)*($AL$2:$AL$561&lt;=AL485)) &lt;= (COUNTIF($AN$2:$AN$561,AN485)*0.5)), "SORTEADO", "-")</f>
        <v>SORTEADO</v>
      </c>
      <c r="AN485" s="53" t="str">
        <f t="shared" si="32"/>
        <v>30/04/2026</v>
      </c>
    </row>
    <row r="486" spans="1:40" ht="30" hidden="1" customHeight="1" x14ac:dyDescent="0.2">
      <c r="A486" s="245" t="s">
        <v>197</v>
      </c>
      <c r="B486" s="245">
        <v>2617303869</v>
      </c>
      <c r="C486" s="245" t="s">
        <v>2701</v>
      </c>
      <c r="D486" s="245" t="s">
        <v>110</v>
      </c>
      <c r="E486" s="245" t="s">
        <v>198</v>
      </c>
      <c r="F486" s="245" t="s">
        <v>688</v>
      </c>
      <c r="G486" s="245">
        <v>255</v>
      </c>
      <c r="H486" s="245" t="s">
        <v>3209</v>
      </c>
      <c r="I486" s="245" t="s">
        <v>356</v>
      </c>
      <c r="J486" s="245" t="s">
        <v>2703</v>
      </c>
      <c r="K486" s="246" t="s">
        <v>3198</v>
      </c>
      <c r="L486" s="245" t="s">
        <v>2516</v>
      </c>
      <c r="M486" s="245" t="s">
        <v>3183</v>
      </c>
      <c r="N486" s="245" t="s">
        <v>2132</v>
      </c>
      <c r="O486" s="158" t="s">
        <v>61</v>
      </c>
      <c r="P486" s="92"/>
      <c r="Q486" s="146" t="s">
        <v>61</v>
      </c>
      <c r="R486" s="92"/>
      <c r="S486" s="146" t="s">
        <v>61</v>
      </c>
      <c r="T486" s="92"/>
      <c r="U486" s="146" t="s">
        <v>61</v>
      </c>
      <c r="V486" s="92"/>
      <c r="W486" s="146" t="s">
        <v>61</v>
      </c>
      <c r="X486" s="92"/>
      <c r="Y486" s="146" t="s">
        <v>61</v>
      </c>
      <c r="Z486" s="92"/>
      <c r="AA486" s="146" t="s">
        <v>61</v>
      </c>
      <c r="AB486" s="92"/>
      <c r="AC486" s="146" t="s">
        <v>61</v>
      </c>
      <c r="AD486" s="92"/>
      <c r="AE486" s="146" t="s">
        <v>61</v>
      </c>
      <c r="AF486" s="143" t="str">
        <f t="shared" si="31"/>
        <v>NA</v>
      </c>
      <c r="AG486" s="199" t="str">
        <f t="shared" si="30"/>
        <v>NÃO AVALIADO POR FALHA DE SINCRONISMO</v>
      </c>
      <c r="AH486" s="146" t="s">
        <v>204</v>
      </c>
      <c r="AI486" s="154" t="s">
        <v>6</v>
      </c>
      <c r="AJ486" s="151" t="str">
        <f t="shared" si="33"/>
        <v>GUARULHOS</v>
      </c>
      <c r="AK486" s="155" t="s">
        <v>59</v>
      </c>
      <c r="AL486" s="53">
        <v>0.32315210899544078</v>
      </c>
      <c r="AM486" s="53" t="str" cm="1">
        <f t="array" ref="AM486">IF(OR(O486&lt;&gt;"", SUMPRODUCT(($AN$2:$AN$561=AN486)*($AL$2:$AL$561&lt;=AL486)) &lt;= (COUNTIF($AN$2:$AN$561,AN486)*0.5)), "SORTEADO", "-")</f>
        <v>SORTEADO</v>
      </c>
      <c r="AN486" s="53" t="str">
        <f t="shared" si="32"/>
        <v>30/04/2026</v>
      </c>
    </row>
    <row r="487" spans="1:40" ht="30" hidden="1" customHeight="1" x14ac:dyDescent="0.2">
      <c r="A487" s="245" t="s">
        <v>197</v>
      </c>
      <c r="B487" s="245">
        <v>2618090848</v>
      </c>
      <c r="C487" s="245" t="s">
        <v>2701</v>
      </c>
      <c r="D487" s="245" t="s">
        <v>110</v>
      </c>
      <c r="E487" s="245" t="s">
        <v>198</v>
      </c>
      <c r="F487" s="245" t="s">
        <v>2101</v>
      </c>
      <c r="G487" s="245">
        <v>94</v>
      </c>
      <c r="H487" s="245" t="s">
        <v>3210</v>
      </c>
      <c r="I487" s="245" t="s">
        <v>356</v>
      </c>
      <c r="J487" s="245" t="s">
        <v>2703</v>
      </c>
      <c r="K487" s="246" t="s">
        <v>3211</v>
      </c>
      <c r="L487" s="245" t="s">
        <v>2516</v>
      </c>
      <c r="M487" s="245" t="s">
        <v>3212</v>
      </c>
      <c r="N487" s="245" t="s">
        <v>2132</v>
      </c>
      <c r="O487" s="158" t="s">
        <v>61</v>
      </c>
      <c r="P487" s="92"/>
      <c r="Q487" s="146" t="s">
        <v>61</v>
      </c>
      <c r="R487" s="92"/>
      <c r="S487" s="146" t="s">
        <v>61</v>
      </c>
      <c r="T487" s="92"/>
      <c r="U487" s="146" t="s">
        <v>61</v>
      </c>
      <c r="V487" s="92"/>
      <c r="W487" s="146" t="s">
        <v>61</v>
      </c>
      <c r="X487" s="92"/>
      <c r="Y487" s="146" t="s">
        <v>61</v>
      </c>
      <c r="Z487" s="92"/>
      <c r="AA487" s="146" t="s">
        <v>61</v>
      </c>
      <c r="AB487" s="92"/>
      <c r="AC487" s="146" t="s">
        <v>61</v>
      </c>
      <c r="AD487" s="92"/>
      <c r="AE487" s="146" t="s">
        <v>61</v>
      </c>
      <c r="AF487" s="143" t="str">
        <f t="shared" si="31"/>
        <v>NA</v>
      </c>
      <c r="AG487" s="199" t="str">
        <f t="shared" si="30"/>
        <v>NÃO AVALIADO POR FALHA DE SINCRONISMO</v>
      </c>
      <c r="AH487" s="146" t="s">
        <v>204</v>
      </c>
      <c r="AI487" s="154" t="s">
        <v>6</v>
      </c>
      <c r="AJ487" s="151" t="str">
        <f t="shared" si="33"/>
        <v>GUARULHOS</v>
      </c>
      <c r="AK487" s="155" t="s">
        <v>59</v>
      </c>
      <c r="AL487" s="53">
        <v>1.1824271588564916E-2</v>
      </c>
      <c r="AM487" s="53" t="str" cm="1">
        <f t="array" ref="AM487">IF(OR(O487&lt;&gt;"", SUMPRODUCT(($AN$2:$AN$561=AN487)*($AL$2:$AL$561&lt;=AL487)) &lt;= (COUNTIF($AN$2:$AN$561,AN487)*0.5)), "SORTEADO", "-")</f>
        <v>SORTEADO</v>
      </c>
      <c r="AN487" s="53" t="str">
        <f t="shared" si="32"/>
        <v>30/04/2026</v>
      </c>
    </row>
    <row r="488" spans="1:40" ht="30" hidden="1" customHeight="1" x14ac:dyDescent="0.2">
      <c r="A488" s="245" t="s">
        <v>197</v>
      </c>
      <c r="B488" s="245">
        <v>2617944883</v>
      </c>
      <c r="C488" s="245" t="s">
        <v>2701</v>
      </c>
      <c r="D488" s="245" t="s">
        <v>110</v>
      </c>
      <c r="E488" s="245" t="s">
        <v>198</v>
      </c>
      <c r="F488" s="245" t="s">
        <v>2101</v>
      </c>
      <c r="G488" s="245">
        <v>82</v>
      </c>
      <c r="H488" s="245" t="s">
        <v>213</v>
      </c>
      <c r="I488" s="245" t="s">
        <v>356</v>
      </c>
      <c r="J488" s="245" t="s">
        <v>2703</v>
      </c>
      <c r="K488" s="246" t="s">
        <v>3211</v>
      </c>
      <c r="L488" s="245" t="s">
        <v>2516</v>
      </c>
      <c r="M488" s="245" t="s">
        <v>3213</v>
      </c>
      <c r="N488" s="245" t="s">
        <v>2132</v>
      </c>
      <c r="O488" s="158"/>
      <c r="P488" s="92"/>
      <c r="Q488" s="146"/>
      <c r="R488" s="92"/>
      <c r="S488" s="146"/>
      <c r="T488" s="92"/>
      <c r="U488" s="146"/>
      <c r="V488" s="92"/>
      <c r="W488" s="146"/>
      <c r="X488" s="92"/>
      <c r="Y488" s="146"/>
      <c r="Z488" s="92"/>
      <c r="AA488" s="146"/>
      <c r="AB488" s="92"/>
      <c r="AC488" s="146"/>
      <c r="AD488" s="92"/>
      <c r="AE488" s="146"/>
      <c r="AF488" s="143" t="str">
        <f t="shared" si="31"/>
        <v/>
      </c>
      <c r="AG488" s="199" t="b">
        <f t="shared" si="30"/>
        <v>0</v>
      </c>
      <c r="AH488" s="146"/>
      <c r="AI488" s="154" t="s">
        <v>6</v>
      </c>
      <c r="AJ488" s="151" t="str">
        <f t="shared" si="33"/>
        <v>GUARULHOS</v>
      </c>
      <c r="AK488" s="155" t="s">
        <v>59</v>
      </c>
      <c r="AL488" s="53">
        <v>0.83479640655425524</v>
      </c>
      <c r="AM488" s="53" t="str" cm="1">
        <f t="array" ref="AM488">IF(OR(O488&lt;&gt;"", SUMPRODUCT(($AN$2:$AN$561=AN488)*($AL$2:$AL$561&lt;=AL488)) &lt;= (COUNTIF($AN$2:$AN$561,AN488)*0.5)), "SORTEADO", "-")</f>
        <v>-</v>
      </c>
      <c r="AN488" s="53" t="str">
        <f t="shared" si="32"/>
        <v>30/04/2026</v>
      </c>
    </row>
    <row r="489" spans="1:40" ht="30" hidden="1" customHeight="1" x14ac:dyDescent="0.2">
      <c r="A489" s="245" t="s">
        <v>197</v>
      </c>
      <c r="B489" s="245">
        <v>2618091123</v>
      </c>
      <c r="C489" s="245" t="s">
        <v>2701</v>
      </c>
      <c r="D489" s="245" t="s">
        <v>110</v>
      </c>
      <c r="E489" s="245" t="s">
        <v>198</v>
      </c>
      <c r="F489" s="245" t="s">
        <v>2101</v>
      </c>
      <c r="G489" s="245">
        <v>79</v>
      </c>
      <c r="H489" s="245"/>
      <c r="I489" s="245" t="s">
        <v>356</v>
      </c>
      <c r="J489" s="245" t="s">
        <v>2703</v>
      </c>
      <c r="K489" s="246" t="s">
        <v>3211</v>
      </c>
      <c r="L489" s="245" t="s">
        <v>2516</v>
      </c>
      <c r="M489" s="245" t="s">
        <v>3212</v>
      </c>
      <c r="N489" s="245" t="s">
        <v>2132</v>
      </c>
      <c r="O489" s="158" t="s">
        <v>61</v>
      </c>
      <c r="P489" s="92"/>
      <c r="Q489" s="146" t="s">
        <v>61</v>
      </c>
      <c r="R489" s="92"/>
      <c r="S489" s="146" t="s">
        <v>61</v>
      </c>
      <c r="T489" s="92"/>
      <c r="U489" s="146" t="s">
        <v>61</v>
      </c>
      <c r="V489" s="92"/>
      <c r="W489" s="146" t="s">
        <v>61</v>
      </c>
      <c r="X489" s="92"/>
      <c r="Y489" s="146" t="s">
        <v>61</v>
      </c>
      <c r="Z489" s="92"/>
      <c r="AA489" s="146" t="s">
        <v>61</v>
      </c>
      <c r="AB489" s="92"/>
      <c r="AC489" s="146" t="s">
        <v>61</v>
      </c>
      <c r="AD489" s="92"/>
      <c r="AE489" s="146" t="s">
        <v>61</v>
      </c>
      <c r="AF489" s="143" t="str">
        <f t="shared" si="31"/>
        <v>NA</v>
      </c>
      <c r="AG489" s="199" t="str">
        <f t="shared" si="30"/>
        <v>NÃO AVALIADO POR FALHA DE SINCRONISMO</v>
      </c>
      <c r="AH489" s="146" t="s">
        <v>204</v>
      </c>
      <c r="AI489" s="154" t="s">
        <v>6</v>
      </c>
      <c r="AJ489" s="151" t="str">
        <f t="shared" si="33"/>
        <v>GUARULHOS</v>
      </c>
      <c r="AK489" s="155" t="s">
        <v>59</v>
      </c>
      <c r="AL489" s="53">
        <v>8.8020252837940682E-2</v>
      </c>
      <c r="AM489" s="53" t="str" cm="1">
        <f t="array" ref="AM489">IF(OR(O489&lt;&gt;"", SUMPRODUCT(($AN$2:$AN$561=AN489)*($AL$2:$AL$561&lt;=AL489)) &lt;= (COUNTIF($AN$2:$AN$561,AN489)*0.5)), "SORTEADO", "-")</f>
        <v>SORTEADO</v>
      </c>
      <c r="AN489" s="53" t="str">
        <f t="shared" si="32"/>
        <v>30/04/2026</v>
      </c>
    </row>
    <row r="490" spans="1:40" ht="30" hidden="1" customHeight="1" x14ac:dyDescent="0.2">
      <c r="A490" s="245" t="s">
        <v>197</v>
      </c>
      <c r="B490" s="245">
        <v>2617945213</v>
      </c>
      <c r="C490" s="245" t="s">
        <v>2701</v>
      </c>
      <c r="D490" s="245" t="s">
        <v>110</v>
      </c>
      <c r="E490" s="245" t="s">
        <v>198</v>
      </c>
      <c r="F490" s="245" t="s">
        <v>2101</v>
      </c>
      <c r="G490" s="245">
        <v>56</v>
      </c>
      <c r="H490" s="245" t="s">
        <v>213</v>
      </c>
      <c r="I490" s="245" t="s">
        <v>356</v>
      </c>
      <c r="J490" s="245" t="s">
        <v>2703</v>
      </c>
      <c r="K490" s="246" t="s">
        <v>3211</v>
      </c>
      <c r="L490" s="245" t="s">
        <v>2516</v>
      </c>
      <c r="M490" s="245" t="s">
        <v>3213</v>
      </c>
      <c r="N490" s="245" t="s">
        <v>2132</v>
      </c>
      <c r="O490" s="158"/>
      <c r="P490" s="92"/>
      <c r="Q490" s="146"/>
      <c r="R490" s="92"/>
      <c r="S490" s="146"/>
      <c r="T490" s="92"/>
      <c r="U490" s="146"/>
      <c r="V490" s="92"/>
      <c r="W490" s="146"/>
      <c r="X490" s="92"/>
      <c r="Y490" s="146"/>
      <c r="Z490" s="92"/>
      <c r="AA490" s="146"/>
      <c r="AB490" s="92"/>
      <c r="AC490" s="146"/>
      <c r="AD490" s="92"/>
      <c r="AE490" s="146"/>
      <c r="AF490" s="143" t="str">
        <f t="shared" si="31"/>
        <v/>
      </c>
      <c r="AG490" s="199" t="b">
        <f t="shared" si="30"/>
        <v>0</v>
      </c>
      <c r="AH490" s="146"/>
      <c r="AI490" s="154" t="s">
        <v>6</v>
      </c>
      <c r="AJ490" s="151" t="str">
        <f t="shared" si="33"/>
        <v>GUARULHOS</v>
      </c>
      <c r="AK490" s="155" t="s">
        <v>59</v>
      </c>
      <c r="AL490" s="53">
        <v>0.68037570341742803</v>
      </c>
      <c r="AM490" s="53" t="str" cm="1">
        <f t="array" ref="AM490">IF(OR(O490&lt;&gt;"", SUMPRODUCT(($AN$2:$AN$561=AN490)*($AL$2:$AL$561&lt;=AL490)) &lt;= (COUNTIF($AN$2:$AN$561,AN490)*0.5)), "SORTEADO", "-")</f>
        <v>-</v>
      </c>
      <c r="AN490" s="53" t="str">
        <f t="shared" si="32"/>
        <v>30/04/2026</v>
      </c>
    </row>
    <row r="491" spans="1:40" ht="30" hidden="1" customHeight="1" x14ac:dyDescent="0.2">
      <c r="A491" s="245" t="s">
        <v>197</v>
      </c>
      <c r="B491" s="245">
        <v>2617945444</v>
      </c>
      <c r="C491" s="245" t="s">
        <v>2701</v>
      </c>
      <c r="D491" s="245" t="s">
        <v>110</v>
      </c>
      <c r="E491" s="245" t="s">
        <v>198</v>
      </c>
      <c r="F491" s="245" t="s">
        <v>2101</v>
      </c>
      <c r="G491" s="245">
        <v>51</v>
      </c>
      <c r="H491" s="245" t="s">
        <v>3214</v>
      </c>
      <c r="I491" s="245" t="s">
        <v>356</v>
      </c>
      <c r="J491" s="245" t="s">
        <v>2703</v>
      </c>
      <c r="K491" s="246" t="s">
        <v>3211</v>
      </c>
      <c r="L491" s="245" t="s">
        <v>2516</v>
      </c>
      <c r="M491" s="245" t="s">
        <v>3213</v>
      </c>
      <c r="N491" s="245" t="s">
        <v>2132</v>
      </c>
      <c r="O491" s="158" t="s">
        <v>61</v>
      </c>
      <c r="P491" s="92"/>
      <c r="Q491" s="146" t="s">
        <v>61</v>
      </c>
      <c r="R491" s="92"/>
      <c r="S491" s="146" t="s">
        <v>61</v>
      </c>
      <c r="T491" s="92"/>
      <c r="U491" s="146" t="s">
        <v>61</v>
      </c>
      <c r="V491" s="92"/>
      <c r="W491" s="146" t="s">
        <v>61</v>
      </c>
      <c r="X491" s="92"/>
      <c r="Y491" s="146" t="s">
        <v>61</v>
      </c>
      <c r="Z491" s="92"/>
      <c r="AA491" s="146" t="s">
        <v>61</v>
      </c>
      <c r="AB491" s="92"/>
      <c r="AC491" s="146" t="s">
        <v>61</v>
      </c>
      <c r="AD491" s="92"/>
      <c r="AE491" s="146" t="s">
        <v>61</v>
      </c>
      <c r="AF491" s="143" t="str">
        <f t="shared" si="31"/>
        <v>NA</v>
      </c>
      <c r="AG491" s="199" t="str">
        <f t="shared" si="30"/>
        <v>NÃO AVALIADO POR FALHA DE SINCRONISMO</v>
      </c>
      <c r="AH491" s="146" t="s">
        <v>204</v>
      </c>
      <c r="AI491" s="154" t="s">
        <v>6</v>
      </c>
      <c r="AJ491" s="151" t="str">
        <f t="shared" si="33"/>
        <v>GUARULHOS</v>
      </c>
      <c r="AK491" s="155" t="s">
        <v>59</v>
      </c>
      <c r="AL491" s="53">
        <v>0.34856655461324948</v>
      </c>
      <c r="AM491" s="53" t="str" cm="1">
        <f t="array" ref="AM491">IF(OR(O491&lt;&gt;"", SUMPRODUCT(($AN$2:$AN$561=AN491)*($AL$2:$AL$561&lt;=AL491)) &lt;= (COUNTIF($AN$2:$AN$561,AN491)*0.5)), "SORTEADO", "-")</f>
        <v>SORTEADO</v>
      </c>
      <c r="AN491" s="53" t="str">
        <f t="shared" si="32"/>
        <v>30/04/2026</v>
      </c>
    </row>
    <row r="492" spans="1:40" ht="30" hidden="1" customHeight="1" x14ac:dyDescent="0.2">
      <c r="A492" s="245" t="s">
        <v>197</v>
      </c>
      <c r="B492" s="245">
        <v>2617949190</v>
      </c>
      <c r="C492" s="245" t="s">
        <v>2701</v>
      </c>
      <c r="D492" s="245" t="s">
        <v>110</v>
      </c>
      <c r="E492" s="245" t="s">
        <v>198</v>
      </c>
      <c r="F492" s="245" t="s">
        <v>2101</v>
      </c>
      <c r="G492" s="245">
        <v>45</v>
      </c>
      <c r="H492" s="245" t="s">
        <v>3215</v>
      </c>
      <c r="I492" s="245" t="s">
        <v>356</v>
      </c>
      <c r="J492" s="245" t="s">
        <v>2703</v>
      </c>
      <c r="K492" s="246" t="s">
        <v>3211</v>
      </c>
      <c r="L492" s="245" t="s">
        <v>2516</v>
      </c>
      <c r="M492" s="245" t="s">
        <v>3213</v>
      </c>
      <c r="N492" s="245" t="s">
        <v>2132</v>
      </c>
      <c r="O492" s="158"/>
      <c r="P492" s="92"/>
      <c r="Q492" s="146"/>
      <c r="R492" s="92"/>
      <c r="S492" s="146"/>
      <c r="T492" s="92"/>
      <c r="U492" s="146"/>
      <c r="V492" s="92"/>
      <c r="W492" s="146"/>
      <c r="X492" s="92"/>
      <c r="Y492" s="146"/>
      <c r="Z492" s="92"/>
      <c r="AA492" s="146"/>
      <c r="AB492" s="92"/>
      <c r="AC492" s="146"/>
      <c r="AD492" s="92"/>
      <c r="AE492" s="146"/>
      <c r="AF492" s="143" t="str">
        <f t="shared" si="31"/>
        <v/>
      </c>
      <c r="AG492" s="199" t="b">
        <f t="shared" si="30"/>
        <v>0</v>
      </c>
      <c r="AH492" s="146"/>
      <c r="AI492" s="154" t="s">
        <v>6</v>
      </c>
      <c r="AJ492" s="151" t="str">
        <f t="shared" si="33"/>
        <v>GUARULHOS</v>
      </c>
      <c r="AK492" s="155" t="s">
        <v>59</v>
      </c>
      <c r="AL492" s="53">
        <v>0.96071831819473885</v>
      </c>
      <c r="AM492" s="53" t="str" cm="1">
        <f t="array" ref="AM492">IF(OR(O492&lt;&gt;"", SUMPRODUCT(($AN$2:$AN$561=AN492)*($AL$2:$AL$561&lt;=AL492)) &lt;= (COUNTIF($AN$2:$AN$561,AN492)*0.5)), "SORTEADO", "-")</f>
        <v>-</v>
      </c>
      <c r="AN492" s="53" t="str">
        <f t="shared" si="32"/>
        <v>30/04/2026</v>
      </c>
    </row>
    <row r="493" spans="1:40" ht="30" hidden="1" customHeight="1" x14ac:dyDescent="0.2">
      <c r="A493" s="245" t="s">
        <v>197</v>
      </c>
      <c r="B493" s="245">
        <v>2617948578</v>
      </c>
      <c r="C493" s="245" t="s">
        <v>2701</v>
      </c>
      <c r="D493" s="245" t="s">
        <v>110</v>
      </c>
      <c r="E493" s="245" t="s">
        <v>198</v>
      </c>
      <c r="F493" s="245" t="s">
        <v>2101</v>
      </c>
      <c r="G493" s="245">
        <v>42</v>
      </c>
      <c r="H493" s="245" t="s">
        <v>3216</v>
      </c>
      <c r="I493" s="245" t="s">
        <v>356</v>
      </c>
      <c r="J493" s="245" t="s">
        <v>2703</v>
      </c>
      <c r="K493" s="246" t="s">
        <v>3211</v>
      </c>
      <c r="L493" s="245" t="s">
        <v>2516</v>
      </c>
      <c r="M493" s="245" t="s">
        <v>3212</v>
      </c>
      <c r="N493" s="245" t="s">
        <v>2132</v>
      </c>
      <c r="O493" s="158" t="s">
        <v>61</v>
      </c>
      <c r="P493" s="92"/>
      <c r="Q493" s="146" t="s">
        <v>61</v>
      </c>
      <c r="R493" s="92"/>
      <c r="S493" s="146" t="s">
        <v>61</v>
      </c>
      <c r="T493" s="92"/>
      <c r="U493" s="146" t="s">
        <v>61</v>
      </c>
      <c r="V493" s="92"/>
      <c r="W493" s="146" t="s">
        <v>61</v>
      </c>
      <c r="X493" s="92"/>
      <c r="Y493" s="146" t="s">
        <v>61</v>
      </c>
      <c r="Z493" s="92"/>
      <c r="AA493" s="146" t="s">
        <v>61</v>
      </c>
      <c r="AB493" s="92"/>
      <c r="AC493" s="146" t="s">
        <v>61</v>
      </c>
      <c r="AD493" s="92"/>
      <c r="AE493" s="146" t="s">
        <v>61</v>
      </c>
      <c r="AF493" s="143" t="str">
        <f t="shared" si="31"/>
        <v>NA</v>
      </c>
      <c r="AG493" s="199" t="str">
        <f t="shared" si="30"/>
        <v>NÃO AVALIADO POR FALHA DE SINCRONISMO</v>
      </c>
      <c r="AH493" s="146" t="s">
        <v>204</v>
      </c>
      <c r="AI493" s="154" t="s">
        <v>6</v>
      </c>
      <c r="AJ493" s="151" t="str">
        <f t="shared" si="33"/>
        <v>GUARULHOS</v>
      </c>
      <c r="AK493" s="155" t="s">
        <v>59</v>
      </c>
      <c r="AL493" s="53">
        <v>0.42567932926739371</v>
      </c>
      <c r="AM493" s="53" t="str" cm="1">
        <f t="array" ref="AM493">IF(OR(O493&lt;&gt;"", SUMPRODUCT(($AN$2:$AN$561=AN493)*($AL$2:$AL$561&lt;=AL493)) &lt;= (COUNTIF($AN$2:$AN$561,AN493)*0.5)), "SORTEADO", "-")</f>
        <v>SORTEADO</v>
      </c>
      <c r="AN493" s="53" t="str">
        <f t="shared" si="32"/>
        <v>30/04/2026</v>
      </c>
    </row>
    <row r="494" spans="1:40" ht="30" hidden="1" customHeight="1" x14ac:dyDescent="0.2">
      <c r="A494" s="245" t="s">
        <v>197</v>
      </c>
      <c r="B494" s="245">
        <v>2617949756</v>
      </c>
      <c r="C494" s="245" t="s">
        <v>2701</v>
      </c>
      <c r="D494" s="245" t="s">
        <v>110</v>
      </c>
      <c r="E494" s="245" t="s">
        <v>198</v>
      </c>
      <c r="F494" s="245" t="s">
        <v>2101</v>
      </c>
      <c r="G494" s="245">
        <v>35</v>
      </c>
      <c r="H494" s="245" t="s">
        <v>3217</v>
      </c>
      <c r="I494" s="245" t="s">
        <v>356</v>
      </c>
      <c r="J494" s="245" t="s">
        <v>2703</v>
      </c>
      <c r="K494" s="246" t="s">
        <v>3211</v>
      </c>
      <c r="L494" s="245" t="s">
        <v>2516</v>
      </c>
      <c r="M494" s="245" t="s">
        <v>3213</v>
      </c>
      <c r="N494" s="245" t="s">
        <v>2132</v>
      </c>
      <c r="O494" s="158" t="s">
        <v>61</v>
      </c>
      <c r="P494" s="92"/>
      <c r="Q494" s="146" t="s">
        <v>61</v>
      </c>
      <c r="R494" s="92"/>
      <c r="S494" s="146" t="s">
        <v>61</v>
      </c>
      <c r="T494" s="92"/>
      <c r="U494" s="146" t="s">
        <v>61</v>
      </c>
      <c r="V494" s="92"/>
      <c r="W494" s="146" t="s">
        <v>61</v>
      </c>
      <c r="X494" s="92"/>
      <c r="Y494" s="146" t="s">
        <v>61</v>
      </c>
      <c r="Z494" s="92"/>
      <c r="AA494" s="146" t="s">
        <v>61</v>
      </c>
      <c r="AB494" s="92"/>
      <c r="AC494" s="146" t="s">
        <v>61</v>
      </c>
      <c r="AD494" s="92"/>
      <c r="AE494" s="146" t="s">
        <v>61</v>
      </c>
      <c r="AF494" s="143" t="str">
        <f t="shared" si="31"/>
        <v>NA</v>
      </c>
      <c r="AG494" s="199" t="str">
        <f t="shared" si="30"/>
        <v>NÃO AVALIADO POR FALHA DE SINCRONISMO</v>
      </c>
      <c r="AH494" s="146" t="s">
        <v>204</v>
      </c>
      <c r="AI494" s="154" t="s">
        <v>6</v>
      </c>
      <c r="AJ494" s="151" t="str">
        <f t="shared" si="33"/>
        <v>GUARULHOS</v>
      </c>
      <c r="AK494" s="155" t="s">
        <v>59</v>
      </c>
      <c r="AL494" s="53">
        <v>0.2063127049643293</v>
      </c>
      <c r="AM494" s="53" t="str" cm="1">
        <f t="array" ref="AM494">IF(OR(O494&lt;&gt;"", SUMPRODUCT(($AN$2:$AN$561=AN494)*($AL$2:$AL$561&lt;=AL494)) &lt;= (COUNTIF($AN$2:$AN$561,AN494)*0.5)), "SORTEADO", "-")</f>
        <v>SORTEADO</v>
      </c>
      <c r="AN494" s="53" t="str">
        <f t="shared" si="32"/>
        <v>30/04/2026</v>
      </c>
    </row>
    <row r="495" spans="1:40" ht="30" hidden="1" customHeight="1" x14ac:dyDescent="0.2">
      <c r="A495" s="245" t="s">
        <v>197</v>
      </c>
      <c r="B495" s="245">
        <v>2617950099</v>
      </c>
      <c r="C495" s="245" t="s">
        <v>2701</v>
      </c>
      <c r="D495" s="245" t="s">
        <v>110</v>
      </c>
      <c r="E495" s="245" t="s">
        <v>198</v>
      </c>
      <c r="F495" s="245" t="s">
        <v>2101</v>
      </c>
      <c r="G495" s="245">
        <v>34</v>
      </c>
      <c r="H495" s="245" t="s">
        <v>3218</v>
      </c>
      <c r="I495" s="245" t="s">
        <v>356</v>
      </c>
      <c r="J495" s="245" t="s">
        <v>2703</v>
      </c>
      <c r="K495" s="246" t="s">
        <v>3211</v>
      </c>
      <c r="L495" s="245" t="s">
        <v>2516</v>
      </c>
      <c r="M495" s="245" t="s">
        <v>3213</v>
      </c>
      <c r="N495" s="245" t="s">
        <v>2132</v>
      </c>
      <c r="O495" s="158"/>
      <c r="P495" s="92"/>
      <c r="Q495" s="146"/>
      <c r="R495" s="92"/>
      <c r="S495" s="146"/>
      <c r="T495" s="92"/>
      <c r="U495" s="146"/>
      <c r="V495" s="92"/>
      <c r="W495" s="146"/>
      <c r="X495" s="92"/>
      <c r="Y495" s="146"/>
      <c r="Z495" s="92"/>
      <c r="AA495" s="146"/>
      <c r="AB495" s="92"/>
      <c r="AC495" s="146"/>
      <c r="AD495" s="92"/>
      <c r="AE495" s="146"/>
      <c r="AF495" s="143" t="str">
        <f t="shared" si="31"/>
        <v/>
      </c>
      <c r="AG495" s="199" t="b">
        <f t="shared" si="30"/>
        <v>0</v>
      </c>
      <c r="AH495" s="146"/>
      <c r="AI495" s="154" t="s">
        <v>6</v>
      </c>
      <c r="AJ495" s="151" t="str">
        <f t="shared" si="33"/>
        <v>GUARULHOS</v>
      </c>
      <c r="AK495" s="155" t="s">
        <v>59</v>
      </c>
      <c r="AL495" s="53">
        <v>0.60501242775591846</v>
      </c>
      <c r="AM495" s="53" t="str" cm="1">
        <f t="array" ref="AM495">IF(OR(O495&lt;&gt;"", SUMPRODUCT(($AN$2:$AN$561=AN495)*($AL$2:$AL$561&lt;=AL495)) &lt;= (COUNTIF($AN$2:$AN$561,AN495)*0.5)), "SORTEADO", "-")</f>
        <v>-</v>
      </c>
      <c r="AN495" s="53" t="str">
        <f t="shared" si="32"/>
        <v>30/04/2026</v>
      </c>
    </row>
    <row r="496" spans="1:40" ht="30" hidden="1" customHeight="1" x14ac:dyDescent="0.2">
      <c r="A496" s="245" t="s">
        <v>197</v>
      </c>
      <c r="B496" s="245">
        <v>2617949834</v>
      </c>
      <c r="C496" s="245" t="s">
        <v>2701</v>
      </c>
      <c r="D496" s="245" t="s">
        <v>110</v>
      </c>
      <c r="E496" s="245" t="s">
        <v>198</v>
      </c>
      <c r="F496" s="245" t="s">
        <v>2101</v>
      </c>
      <c r="G496" s="245">
        <v>31</v>
      </c>
      <c r="H496" s="245" t="s">
        <v>213</v>
      </c>
      <c r="I496" s="245" t="s">
        <v>356</v>
      </c>
      <c r="J496" s="245" t="s">
        <v>2703</v>
      </c>
      <c r="K496" s="246" t="s">
        <v>3211</v>
      </c>
      <c r="L496" s="245" t="s">
        <v>2516</v>
      </c>
      <c r="M496" s="245" t="s">
        <v>3213</v>
      </c>
      <c r="N496" s="245" t="s">
        <v>2132</v>
      </c>
      <c r="O496" s="158" t="s">
        <v>61</v>
      </c>
      <c r="P496" s="92"/>
      <c r="Q496" s="146" t="s">
        <v>61</v>
      </c>
      <c r="R496" s="92"/>
      <c r="S496" s="146" t="s">
        <v>61</v>
      </c>
      <c r="T496" s="92"/>
      <c r="U496" s="146" t="s">
        <v>61</v>
      </c>
      <c r="V496" s="92"/>
      <c r="W496" s="146" t="s">
        <v>61</v>
      </c>
      <c r="X496" s="92"/>
      <c r="Y496" s="146" t="s">
        <v>61</v>
      </c>
      <c r="Z496" s="92"/>
      <c r="AA496" s="146" t="s">
        <v>61</v>
      </c>
      <c r="AB496" s="92"/>
      <c r="AC496" s="146" t="s">
        <v>61</v>
      </c>
      <c r="AD496" s="92"/>
      <c r="AE496" s="146" t="s">
        <v>61</v>
      </c>
      <c r="AF496" s="143" t="str">
        <f t="shared" si="31"/>
        <v>NA</v>
      </c>
      <c r="AG496" s="199" t="str">
        <f t="shared" si="30"/>
        <v>NÃO AVALIADO POR FALHA DE SINCRONISMO</v>
      </c>
      <c r="AH496" s="146" t="s">
        <v>204</v>
      </c>
      <c r="AI496" s="154" t="s">
        <v>6</v>
      </c>
      <c r="AJ496" s="151" t="str">
        <f t="shared" si="33"/>
        <v>GUARULHOS</v>
      </c>
      <c r="AK496" s="155" t="s">
        <v>59</v>
      </c>
      <c r="AL496" s="53">
        <v>0.20438935811480829</v>
      </c>
      <c r="AM496" s="53" t="str" cm="1">
        <f t="array" ref="AM496">IF(OR(O496&lt;&gt;"", SUMPRODUCT(($AN$2:$AN$561=AN496)*($AL$2:$AL$561&lt;=AL496)) &lt;= (COUNTIF($AN$2:$AN$561,AN496)*0.5)), "SORTEADO", "-")</f>
        <v>SORTEADO</v>
      </c>
      <c r="AN496" s="53" t="str">
        <f t="shared" si="32"/>
        <v>30/04/2026</v>
      </c>
    </row>
    <row r="497" spans="1:40" ht="30" hidden="1" customHeight="1" x14ac:dyDescent="0.2">
      <c r="A497" s="245" t="s">
        <v>197</v>
      </c>
      <c r="B497" s="245">
        <v>2617950700</v>
      </c>
      <c r="C497" s="245" t="s">
        <v>2701</v>
      </c>
      <c r="D497" s="245" t="s">
        <v>110</v>
      </c>
      <c r="E497" s="245" t="s">
        <v>198</v>
      </c>
      <c r="F497" s="245" t="s">
        <v>2101</v>
      </c>
      <c r="G497" s="245">
        <v>26</v>
      </c>
      <c r="H497" s="245" t="s">
        <v>1209</v>
      </c>
      <c r="I497" s="245" t="s">
        <v>356</v>
      </c>
      <c r="J497" s="245" t="s">
        <v>2703</v>
      </c>
      <c r="K497" s="246" t="s">
        <v>3211</v>
      </c>
      <c r="L497" s="245" t="s">
        <v>2516</v>
      </c>
      <c r="M497" s="245" t="s">
        <v>3213</v>
      </c>
      <c r="N497" s="245" t="s">
        <v>2132</v>
      </c>
      <c r="O497" s="158"/>
      <c r="P497" s="92"/>
      <c r="Q497" s="146"/>
      <c r="R497" s="92"/>
      <c r="S497" s="146"/>
      <c r="T497" s="92"/>
      <c r="U497" s="146"/>
      <c r="V497" s="92"/>
      <c r="W497" s="146"/>
      <c r="X497" s="92"/>
      <c r="Y497" s="146"/>
      <c r="Z497" s="92"/>
      <c r="AA497" s="146"/>
      <c r="AB497" s="92"/>
      <c r="AC497" s="146"/>
      <c r="AD497" s="92"/>
      <c r="AE497" s="146"/>
      <c r="AF497" s="143" t="str">
        <f t="shared" si="31"/>
        <v/>
      </c>
      <c r="AG497" s="199" t="b">
        <f t="shared" si="30"/>
        <v>0</v>
      </c>
      <c r="AH497" s="146"/>
      <c r="AI497" s="154" t="s">
        <v>6</v>
      </c>
      <c r="AJ497" s="151" t="str">
        <f t="shared" si="33"/>
        <v>GUARULHOS</v>
      </c>
      <c r="AK497" s="155" t="s">
        <v>59</v>
      </c>
      <c r="AL497" s="53">
        <v>0.55706720017695011</v>
      </c>
      <c r="AM497" s="53" t="str" cm="1">
        <f t="array" ref="AM497">IF(OR(O497&lt;&gt;"", SUMPRODUCT(($AN$2:$AN$561=AN497)*($AL$2:$AL$561&lt;=AL497)) &lt;= (COUNTIF($AN$2:$AN$561,AN497)*0.5)), "SORTEADO", "-")</f>
        <v>-</v>
      </c>
      <c r="AN497" s="53" t="str">
        <f t="shared" si="32"/>
        <v>30/04/2026</v>
      </c>
    </row>
    <row r="498" spans="1:40" ht="30" hidden="1" customHeight="1" x14ac:dyDescent="0.2">
      <c r="A498" s="245" t="s">
        <v>197</v>
      </c>
      <c r="B498" s="245">
        <v>2617950850</v>
      </c>
      <c r="C498" s="245" t="s">
        <v>2701</v>
      </c>
      <c r="D498" s="245" t="s">
        <v>110</v>
      </c>
      <c r="E498" s="245" t="s">
        <v>198</v>
      </c>
      <c r="F498" s="245" t="s">
        <v>2101</v>
      </c>
      <c r="G498" s="245">
        <v>23</v>
      </c>
      <c r="H498" s="245" t="s">
        <v>3219</v>
      </c>
      <c r="I498" s="245" t="s">
        <v>356</v>
      </c>
      <c r="J498" s="245" t="s">
        <v>2703</v>
      </c>
      <c r="K498" s="246" t="s">
        <v>3211</v>
      </c>
      <c r="L498" s="245" t="s">
        <v>2516</v>
      </c>
      <c r="M498" s="245" t="s">
        <v>3213</v>
      </c>
      <c r="N498" s="245" t="s">
        <v>2132</v>
      </c>
      <c r="O498" s="158" t="s">
        <v>61</v>
      </c>
      <c r="P498" s="92"/>
      <c r="Q498" s="146" t="s">
        <v>61</v>
      </c>
      <c r="R498" s="92"/>
      <c r="S498" s="146" t="s">
        <v>61</v>
      </c>
      <c r="T498" s="92"/>
      <c r="U498" s="146" t="s">
        <v>61</v>
      </c>
      <c r="V498" s="92"/>
      <c r="W498" s="146" t="s">
        <v>61</v>
      </c>
      <c r="X498" s="92"/>
      <c r="Y498" s="146" t="s">
        <v>61</v>
      </c>
      <c r="Z498" s="92"/>
      <c r="AA498" s="146" t="s">
        <v>61</v>
      </c>
      <c r="AB498" s="92"/>
      <c r="AC498" s="146" t="s">
        <v>61</v>
      </c>
      <c r="AD498" s="92"/>
      <c r="AE498" s="146" t="s">
        <v>61</v>
      </c>
      <c r="AF498" s="143" t="str">
        <f t="shared" si="31"/>
        <v>NA</v>
      </c>
      <c r="AG498" s="199" t="str">
        <f t="shared" si="30"/>
        <v>NÃO AVALIADO POR FALHA DE SINCRONISMO</v>
      </c>
      <c r="AH498" s="146" t="s">
        <v>204</v>
      </c>
      <c r="AI498" s="154" t="s">
        <v>6</v>
      </c>
      <c r="AJ498" s="151" t="str">
        <f t="shared" si="33"/>
        <v>GUARULHOS</v>
      </c>
      <c r="AK498" s="155" t="s">
        <v>59</v>
      </c>
      <c r="AL498" s="53">
        <v>0.49562313409331071</v>
      </c>
      <c r="AM498" s="53" t="str" cm="1">
        <f t="array" ref="AM498">IF(OR(O498&lt;&gt;"", SUMPRODUCT(($AN$2:$AN$561=AN498)*($AL$2:$AL$561&lt;=AL498)) &lt;= (COUNTIF($AN$2:$AN$561,AN498)*0.5)), "SORTEADO", "-")</f>
        <v>SORTEADO</v>
      </c>
      <c r="AN498" s="53" t="str">
        <f t="shared" si="32"/>
        <v>30/04/2026</v>
      </c>
    </row>
    <row r="499" spans="1:40" ht="30" hidden="1" customHeight="1" x14ac:dyDescent="0.2">
      <c r="A499" s="245" t="s">
        <v>197</v>
      </c>
      <c r="B499" s="245">
        <v>2617951007</v>
      </c>
      <c r="C499" s="245" t="s">
        <v>2701</v>
      </c>
      <c r="D499" s="245" t="s">
        <v>110</v>
      </c>
      <c r="E499" s="245" t="s">
        <v>198</v>
      </c>
      <c r="F499" s="245" t="s">
        <v>2101</v>
      </c>
      <c r="G499" s="245">
        <v>18</v>
      </c>
      <c r="H499" s="245" t="s">
        <v>3220</v>
      </c>
      <c r="I499" s="245" t="s">
        <v>356</v>
      </c>
      <c r="J499" s="245" t="s">
        <v>2703</v>
      </c>
      <c r="K499" s="246" t="s">
        <v>3211</v>
      </c>
      <c r="L499" s="245" t="s">
        <v>2516</v>
      </c>
      <c r="M499" s="245" t="s">
        <v>3213</v>
      </c>
      <c r="N499" s="245" t="s">
        <v>2132</v>
      </c>
      <c r="O499" s="158"/>
      <c r="P499" s="92"/>
      <c r="Q499" s="146"/>
      <c r="R499" s="92"/>
      <c r="S499" s="146"/>
      <c r="T499" s="92"/>
      <c r="U499" s="146"/>
      <c r="V499" s="92"/>
      <c r="W499" s="146"/>
      <c r="X499" s="92"/>
      <c r="Y499" s="146"/>
      <c r="Z499" s="92"/>
      <c r="AA499" s="146"/>
      <c r="AB499" s="92"/>
      <c r="AC499" s="146"/>
      <c r="AD499" s="92"/>
      <c r="AE499" s="146"/>
      <c r="AF499" s="143" t="str">
        <f t="shared" si="31"/>
        <v/>
      </c>
      <c r="AG499" s="199" t="b">
        <f t="shared" si="30"/>
        <v>0</v>
      </c>
      <c r="AH499" s="146"/>
      <c r="AI499" s="154" t="s">
        <v>6</v>
      </c>
      <c r="AJ499" s="151" t="str">
        <f t="shared" si="33"/>
        <v>GUARULHOS</v>
      </c>
      <c r="AK499" s="155" t="s">
        <v>59</v>
      </c>
      <c r="AL499" s="53">
        <v>0.64160074157019042</v>
      </c>
      <c r="AM499" s="53" t="str" cm="1">
        <f t="array" ref="AM499">IF(OR(O499&lt;&gt;"", SUMPRODUCT(($AN$2:$AN$561=AN499)*($AL$2:$AL$561&lt;=AL499)) &lt;= (COUNTIF($AN$2:$AN$561,AN499)*0.5)), "SORTEADO", "-")</f>
        <v>-</v>
      </c>
      <c r="AN499" s="53" t="str">
        <f t="shared" si="32"/>
        <v>30/04/2026</v>
      </c>
    </row>
    <row r="500" spans="1:40" ht="30" hidden="1" customHeight="1" x14ac:dyDescent="0.2">
      <c r="A500" s="245" t="s">
        <v>197</v>
      </c>
      <c r="B500" s="245">
        <v>2617951251</v>
      </c>
      <c r="C500" s="245" t="s">
        <v>2701</v>
      </c>
      <c r="D500" s="245" t="s">
        <v>110</v>
      </c>
      <c r="E500" s="245" t="s">
        <v>198</v>
      </c>
      <c r="F500" s="245" t="s">
        <v>2101</v>
      </c>
      <c r="G500" s="245">
        <v>17</v>
      </c>
      <c r="H500" s="245" t="s">
        <v>213</v>
      </c>
      <c r="I500" s="245" t="s">
        <v>356</v>
      </c>
      <c r="J500" s="245" t="s">
        <v>2703</v>
      </c>
      <c r="K500" s="246" t="s">
        <v>3211</v>
      </c>
      <c r="L500" s="245" t="s">
        <v>2516</v>
      </c>
      <c r="M500" s="245" t="s">
        <v>3213</v>
      </c>
      <c r="N500" s="245" t="s">
        <v>2132</v>
      </c>
      <c r="O500" s="158"/>
      <c r="P500" s="92"/>
      <c r="Q500" s="146"/>
      <c r="R500" s="92"/>
      <c r="S500" s="146"/>
      <c r="T500" s="92"/>
      <c r="U500" s="146"/>
      <c r="V500" s="92"/>
      <c r="W500" s="146"/>
      <c r="X500" s="92"/>
      <c r="Y500" s="146"/>
      <c r="Z500" s="92"/>
      <c r="AA500" s="146"/>
      <c r="AB500" s="92"/>
      <c r="AC500" s="146"/>
      <c r="AD500" s="92"/>
      <c r="AE500" s="146"/>
      <c r="AF500" s="143" t="str">
        <f t="shared" si="31"/>
        <v/>
      </c>
      <c r="AG500" s="199" t="b">
        <f t="shared" si="30"/>
        <v>0</v>
      </c>
      <c r="AH500" s="146"/>
      <c r="AI500" s="154" t="s">
        <v>6</v>
      </c>
      <c r="AJ500" s="151" t="str">
        <f t="shared" si="33"/>
        <v>GUARULHOS</v>
      </c>
      <c r="AK500" s="155" t="s">
        <v>59</v>
      </c>
      <c r="AL500" s="53">
        <v>0.84611435446238625</v>
      </c>
      <c r="AM500" s="53" t="str" cm="1">
        <f t="array" ref="AM500">IF(OR(O500&lt;&gt;"", SUMPRODUCT(($AN$2:$AN$561=AN500)*($AL$2:$AL$561&lt;=AL500)) &lt;= (COUNTIF($AN$2:$AN$561,AN500)*0.5)), "SORTEADO", "-")</f>
        <v>-</v>
      </c>
      <c r="AN500" s="53" t="str">
        <f t="shared" si="32"/>
        <v>30/04/2026</v>
      </c>
    </row>
    <row r="501" spans="1:40" ht="30" hidden="1" customHeight="1" x14ac:dyDescent="0.2">
      <c r="A501" s="245" t="s">
        <v>197</v>
      </c>
      <c r="B501" s="245">
        <v>2618087354</v>
      </c>
      <c r="C501" s="245" t="s">
        <v>2701</v>
      </c>
      <c r="D501" s="245" t="s">
        <v>110</v>
      </c>
      <c r="E501" s="245" t="s">
        <v>198</v>
      </c>
      <c r="F501" s="245" t="s">
        <v>2101</v>
      </c>
      <c r="G501" s="245">
        <v>135</v>
      </c>
      <c r="H501" s="245"/>
      <c r="I501" s="245" t="s">
        <v>356</v>
      </c>
      <c r="J501" s="245" t="s">
        <v>2703</v>
      </c>
      <c r="K501" s="246" t="s">
        <v>3211</v>
      </c>
      <c r="L501" s="245" t="s">
        <v>2516</v>
      </c>
      <c r="M501" s="245" t="s">
        <v>3221</v>
      </c>
      <c r="N501" s="245" t="s">
        <v>2132</v>
      </c>
      <c r="O501" s="158"/>
      <c r="P501" s="92"/>
      <c r="Q501" s="146"/>
      <c r="R501" s="92"/>
      <c r="S501" s="146"/>
      <c r="T501" s="92"/>
      <c r="U501" s="146"/>
      <c r="V501" s="92"/>
      <c r="W501" s="146"/>
      <c r="X501" s="92"/>
      <c r="Y501" s="146"/>
      <c r="Z501" s="92"/>
      <c r="AA501" s="146"/>
      <c r="AB501" s="92"/>
      <c r="AC501" s="146"/>
      <c r="AD501" s="92"/>
      <c r="AE501" s="146"/>
      <c r="AF501" s="143" t="str">
        <f t="shared" si="31"/>
        <v/>
      </c>
      <c r="AG501" s="199" t="b">
        <f t="shared" si="30"/>
        <v>0</v>
      </c>
      <c r="AH501" s="146"/>
      <c r="AI501" s="154" t="s">
        <v>6</v>
      </c>
      <c r="AJ501" s="151" t="str">
        <f t="shared" si="33"/>
        <v>GUARULHOS</v>
      </c>
      <c r="AK501" s="155" t="s">
        <v>59</v>
      </c>
      <c r="AL501" s="53">
        <v>0.98961312421638481</v>
      </c>
      <c r="AM501" s="53" t="str" cm="1">
        <f t="array" ref="AM501">IF(OR(O501&lt;&gt;"", SUMPRODUCT(($AN$2:$AN$561=AN501)*($AL$2:$AL$561&lt;=AL501)) &lt;= (COUNTIF($AN$2:$AN$561,AN501)*0.5)), "SORTEADO", "-")</f>
        <v>-</v>
      </c>
      <c r="AN501" s="53" t="str">
        <f t="shared" si="32"/>
        <v>30/04/2026</v>
      </c>
    </row>
    <row r="502" spans="1:40" ht="30" hidden="1" customHeight="1" x14ac:dyDescent="0.2">
      <c r="A502" s="245" t="s">
        <v>197</v>
      </c>
      <c r="B502" s="245">
        <v>2618088404</v>
      </c>
      <c r="C502" s="245" t="s">
        <v>2701</v>
      </c>
      <c r="D502" s="245" t="s">
        <v>110</v>
      </c>
      <c r="E502" s="245" t="s">
        <v>198</v>
      </c>
      <c r="F502" s="245" t="s">
        <v>2101</v>
      </c>
      <c r="G502" s="245">
        <v>111</v>
      </c>
      <c r="H502" s="245" t="s">
        <v>213</v>
      </c>
      <c r="I502" s="245" t="s">
        <v>356</v>
      </c>
      <c r="J502" s="245" t="s">
        <v>2703</v>
      </c>
      <c r="K502" s="246" t="s">
        <v>3211</v>
      </c>
      <c r="L502" s="245" t="s">
        <v>2516</v>
      </c>
      <c r="M502" s="245" t="s">
        <v>3212</v>
      </c>
      <c r="N502" s="245" t="s">
        <v>2132</v>
      </c>
      <c r="O502" s="158" t="s">
        <v>61</v>
      </c>
      <c r="P502" s="92"/>
      <c r="Q502" s="146" t="s">
        <v>61</v>
      </c>
      <c r="R502" s="92"/>
      <c r="S502" s="146" t="s">
        <v>61</v>
      </c>
      <c r="T502" s="92"/>
      <c r="U502" s="146" t="s">
        <v>61</v>
      </c>
      <c r="V502" s="92"/>
      <c r="W502" s="146" t="s">
        <v>61</v>
      </c>
      <c r="X502" s="92"/>
      <c r="Y502" s="146" t="s">
        <v>61</v>
      </c>
      <c r="Z502" s="92"/>
      <c r="AA502" s="146" t="s">
        <v>61</v>
      </c>
      <c r="AB502" s="92"/>
      <c r="AC502" s="146" t="s">
        <v>61</v>
      </c>
      <c r="AD502" s="92"/>
      <c r="AE502" s="146" t="s">
        <v>61</v>
      </c>
      <c r="AF502" s="143" t="str">
        <f t="shared" si="31"/>
        <v>NA</v>
      </c>
      <c r="AG502" s="199" t="str">
        <f t="shared" si="30"/>
        <v>NÃO AVALIADO POR FALHA DE SINCRONISMO</v>
      </c>
      <c r="AH502" s="146" t="s">
        <v>204</v>
      </c>
      <c r="AI502" s="154" t="s">
        <v>6</v>
      </c>
      <c r="AJ502" s="151" t="str">
        <f t="shared" si="33"/>
        <v>GUARULHOS</v>
      </c>
      <c r="AK502" s="155" t="s">
        <v>59</v>
      </c>
      <c r="AL502" s="53">
        <v>7.6416932437670004E-2</v>
      </c>
      <c r="AM502" s="53" t="str" cm="1">
        <f t="array" ref="AM502">IF(OR(O502&lt;&gt;"", SUMPRODUCT(($AN$2:$AN$561=AN502)*($AL$2:$AL$561&lt;=AL502)) &lt;= (COUNTIF($AN$2:$AN$561,AN502)*0.5)), "SORTEADO", "-")</f>
        <v>SORTEADO</v>
      </c>
      <c r="AN502" s="53" t="str">
        <f t="shared" si="32"/>
        <v>30/04/2026</v>
      </c>
    </row>
    <row r="503" spans="1:40" ht="30" hidden="1" customHeight="1" x14ac:dyDescent="0.2">
      <c r="A503" s="245" t="s">
        <v>197</v>
      </c>
      <c r="B503" s="245">
        <v>2618088859</v>
      </c>
      <c r="C503" s="245" t="s">
        <v>2701</v>
      </c>
      <c r="D503" s="245" t="s">
        <v>110</v>
      </c>
      <c r="E503" s="245" t="s">
        <v>198</v>
      </c>
      <c r="F503" s="245" t="s">
        <v>2101</v>
      </c>
      <c r="G503" s="245">
        <v>110</v>
      </c>
      <c r="H503" s="245" t="s">
        <v>3222</v>
      </c>
      <c r="I503" s="245" t="s">
        <v>356</v>
      </c>
      <c r="J503" s="245" t="s">
        <v>2703</v>
      </c>
      <c r="K503" s="246" t="s">
        <v>3211</v>
      </c>
      <c r="L503" s="245" t="s">
        <v>2516</v>
      </c>
      <c r="M503" s="245" t="s">
        <v>3212</v>
      </c>
      <c r="N503" s="245" t="s">
        <v>2132</v>
      </c>
      <c r="O503" s="158"/>
      <c r="P503" s="92"/>
      <c r="Q503" s="146"/>
      <c r="R503" s="92"/>
      <c r="S503" s="146"/>
      <c r="T503" s="92"/>
      <c r="U503" s="146"/>
      <c r="V503" s="92"/>
      <c r="W503" s="146"/>
      <c r="X503" s="92"/>
      <c r="Y503" s="146"/>
      <c r="Z503" s="92"/>
      <c r="AA503" s="146"/>
      <c r="AB503" s="92"/>
      <c r="AC503" s="146"/>
      <c r="AD503" s="92"/>
      <c r="AE503" s="146"/>
      <c r="AF503" s="143" t="str">
        <f t="shared" si="31"/>
        <v/>
      </c>
      <c r="AG503" s="199" t="b">
        <f t="shared" si="30"/>
        <v>0</v>
      </c>
      <c r="AH503" s="146"/>
      <c r="AI503" s="154" t="s">
        <v>6</v>
      </c>
      <c r="AJ503" s="151" t="str">
        <f t="shared" si="33"/>
        <v>GUARULHOS</v>
      </c>
      <c r="AK503" s="155" t="s">
        <v>59</v>
      </c>
      <c r="AL503" s="53">
        <v>0.64160478221246398</v>
      </c>
      <c r="AM503" s="53" t="str" cm="1">
        <f t="array" ref="AM503">IF(OR(O503&lt;&gt;"", SUMPRODUCT(($AN$2:$AN$561=AN503)*($AL$2:$AL$561&lt;=AL503)) &lt;= (COUNTIF($AN$2:$AN$561,AN503)*0.5)), "SORTEADO", "-")</f>
        <v>-</v>
      </c>
      <c r="AN503" s="53" t="str">
        <f t="shared" si="32"/>
        <v>30/04/2026</v>
      </c>
    </row>
    <row r="504" spans="1:40" ht="30" hidden="1" customHeight="1" x14ac:dyDescent="0.2">
      <c r="A504" s="245" t="s">
        <v>197</v>
      </c>
      <c r="B504" s="245">
        <v>2618089623</v>
      </c>
      <c r="C504" s="245" t="s">
        <v>2701</v>
      </c>
      <c r="D504" s="245" t="s">
        <v>110</v>
      </c>
      <c r="E504" s="245" t="s">
        <v>198</v>
      </c>
      <c r="F504" s="245" t="s">
        <v>2101</v>
      </c>
      <c r="G504" s="245">
        <v>106</v>
      </c>
      <c r="H504" s="245" t="s">
        <v>213</v>
      </c>
      <c r="I504" s="245" t="s">
        <v>356</v>
      </c>
      <c r="J504" s="245" t="s">
        <v>2703</v>
      </c>
      <c r="K504" s="246" t="s">
        <v>3211</v>
      </c>
      <c r="L504" s="245" t="s">
        <v>2516</v>
      </c>
      <c r="M504" s="245" t="s">
        <v>3212</v>
      </c>
      <c r="N504" s="245" t="s">
        <v>2132</v>
      </c>
      <c r="O504" s="158" t="s">
        <v>61</v>
      </c>
      <c r="P504" s="92"/>
      <c r="Q504" s="146" t="s">
        <v>61</v>
      </c>
      <c r="R504" s="92"/>
      <c r="S504" s="146" t="s">
        <v>61</v>
      </c>
      <c r="T504" s="92"/>
      <c r="U504" s="146" t="s">
        <v>61</v>
      </c>
      <c r="V504" s="92"/>
      <c r="W504" s="146" t="s">
        <v>61</v>
      </c>
      <c r="X504" s="92"/>
      <c r="Y504" s="146" t="s">
        <v>61</v>
      </c>
      <c r="Z504" s="92"/>
      <c r="AA504" s="146" t="s">
        <v>61</v>
      </c>
      <c r="AB504" s="92"/>
      <c r="AC504" s="146" t="s">
        <v>61</v>
      </c>
      <c r="AD504" s="92"/>
      <c r="AE504" s="146" t="s">
        <v>61</v>
      </c>
      <c r="AF504" s="143" t="str">
        <f t="shared" si="31"/>
        <v>NA</v>
      </c>
      <c r="AG504" s="199" t="str">
        <f t="shared" si="30"/>
        <v>NÃO AVALIADO POR FALHA DE SINCRONISMO</v>
      </c>
      <c r="AH504" s="146" t="s">
        <v>204</v>
      </c>
      <c r="AI504" s="154" t="s">
        <v>6</v>
      </c>
      <c r="AJ504" s="151" t="str">
        <f t="shared" si="33"/>
        <v>GUARULHOS</v>
      </c>
      <c r="AK504" s="155" t="s">
        <v>59</v>
      </c>
      <c r="AL504" s="53">
        <v>0.379311404381527</v>
      </c>
      <c r="AM504" s="53" t="str" cm="1">
        <f t="array" ref="AM504">IF(OR(O504&lt;&gt;"", SUMPRODUCT(($AN$2:$AN$561=AN504)*($AL$2:$AL$561&lt;=AL504)) &lt;= (COUNTIF($AN$2:$AN$561,AN504)*0.5)), "SORTEADO", "-")</f>
        <v>SORTEADO</v>
      </c>
      <c r="AN504" s="53" t="str">
        <f t="shared" si="32"/>
        <v>30/04/2026</v>
      </c>
    </row>
    <row r="505" spans="1:40" ht="30" hidden="1" customHeight="1" x14ac:dyDescent="0.2">
      <c r="A505" s="245" t="s">
        <v>197</v>
      </c>
      <c r="B505" s="245">
        <v>2618090187</v>
      </c>
      <c r="C505" s="245" t="s">
        <v>2701</v>
      </c>
      <c r="D505" s="245" t="s">
        <v>110</v>
      </c>
      <c r="E505" s="245" t="s">
        <v>198</v>
      </c>
      <c r="F505" s="245" t="s">
        <v>2101</v>
      </c>
      <c r="G505" s="245">
        <v>103</v>
      </c>
      <c r="H505" s="245"/>
      <c r="I505" s="245" t="s">
        <v>356</v>
      </c>
      <c r="J505" s="245" t="s">
        <v>2703</v>
      </c>
      <c r="K505" s="246" t="s">
        <v>3211</v>
      </c>
      <c r="L505" s="245" t="s">
        <v>2516</v>
      </c>
      <c r="M505" s="245" t="s">
        <v>3212</v>
      </c>
      <c r="N505" s="245" t="s">
        <v>2132</v>
      </c>
      <c r="O505" s="158" t="s">
        <v>61</v>
      </c>
      <c r="P505" s="92"/>
      <c r="Q505" s="146" t="s">
        <v>61</v>
      </c>
      <c r="R505" s="92"/>
      <c r="S505" s="146" t="s">
        <v>61</v>
      </c>
      <c r="T505" s="92"/>
      <c r="U505" s="146" t="s">
        <v>61</v>
      </c>
      <c r="V505" s="92"/>
      <c r="W505" s="146" t="s">
        <v>61</v>
      </c>
      <c r="X505" s="92"/>
      <c r="Y505" s="146" t="s">
        <v>61</v>
      </c>
      <c r="Z505" s="92"/>
      <c r="AA505" s="146" t="s">
        <v>61</v>
      </c>
      <c r="AB505" s="92"/>
      <c r="AC505" s="146" t="s">
        <v>61</v>
      </c>
      <c r="AD505" s="92"/>
      <c r="AE505" s="146" t="s">
        <v>61</v>
      </c>
      <c r="AF505" s="143" t="str">
        <f t="shared" si="31"/>
        <v>NA</v>
      </c>
      <c r="AG505" s="199" t="str">
        <f t="shared" si="30"/>
        <v>NÃO AVALIADO POR FALHA DE SINCRONISMO</v>
      </c>
      <c r="AH505" s="146" t="s">
        <v>204</v>
      </c>
      <c r="AI505" s="154" t="s">
        <v>6</v>
      </c>
      <c r="AJ505" s="151" t="str">
        <f t="shared" si="33"/>
        <v>GUARULHOS</v>
      </c>
      <c r="AK505" s="155" t="s">
        <v>59</v>
      </c>
      <c r="AL505" s="53">
        <v>0.22284187219299034</v>
      </c>
      <c r="AM505" s="53" t="str" cm="1">
        <f t="array" ref="AM505">IF(OR(O505&lt;&gt;"", SUMPRODUCT(($AN$2:$AN$561=AN505)*($AL$2:$AL$561&lt;=AL505)) &lt;= (COUNTIF($AN$2:$AN$561,AN505)*0.5)), "SORTEADO", "-")</f>
        <v>SORTEADO</v>
      </c>
      <c r="AN505" s="53" t="str">
        <f t="shared" si="32"/>
        <v>30/04/2026</v>
      </c>
    </row>
    <row r="506" spans="1:40" ht="30" hidden="1" customHeight="1" x14ac:dyDescent="0.2">
      <c r="A506" s="245" t="s">
        <v>197</v>
      </c>
      <c r="B506" s="245">
        <v>2618090421</v>
      </c>
      <c r="C506" s="245" t="s">
        <v>2701</v>
      </c>
      <c r="D506" s="245" t="s">
        <v>110</v>
      </c>
      <c r="E506" s="245" t="s">
        <v>198</v>
      </c>
      <c r="F506" s="245" t="s">
        <v>2101</v>
      </c>
      <c r="G506" s="245">
        <v>100</v>
      </c>
      <c r="H506" s="245" t="s">
        <v>3223</v>
      </c>
      <c r="I506" s="245" t="s">
        <v>356</v>
      </c>
      <c r="J506" s="245" t="s">
        <v>2703</v>
      </c>
      <c r="K506" s="246" t="s">
        <v>3211</v>
      </c>
      <c r="L506" s="245" t="s">
        <v>2516</v>
      </c>
      <c r="M506" s="245" t="s">
        <v>3212</v>
      </c>
      <c r="N506" s="245" t="s">
        <v>2132</v>
      </c>
      <c r="O506" s="158" t="s">
        <v>61</v>
      </c>
      <c r="P506" s="92"/>
      <c r="Q506" s="146" t="s">
        <v>61</v>
      </c>
      <c r="R506" s="92"/>
      <c r="S506" s="146" t="s">
        <v>61</v>
      </c>
      <c r="T506" s="92"/>
      <c r="U506" s="146" t="s">
        <v>61</v>
      </c>
      <c r="V506" s="92"/>
      <c r="W506" s="146" t="s">
        <v>61</v>
      </c>
      <c r="X506" s="92"/>
      <c r="Y506" s="146" t="s">
        <v>61</v>
      </c>
      <c r="Z506" s="92"/>
      <c r="AA506" s="146" t="s">
        <v>61</v>
      </c>
      <c r="AB506" s="92"/>
      <c r="AC506" s="146" t="s">
        <v>61</v>
      </c>
      <c r="AD506" s="92"/>
      <c r="AE506" s="146" t="s">
        <v>61</v>
      </c>
      <c r="AF506" s="143" t="str">
        <f t="shared" si="31"/>
        <v>NA</v>
      </c>
      <c r="AG506" s="199" t="str">
        <f t="shared" si="30"/>
        <v>NÃO AVALIADO POR FALHA DE SINCRONISMO</v>
      </c>
      <c r="AH506" s="146" t="s">
        <v>204</v>
      </c>
      <c r="AI506" s="154" t="s">
        <v>6</v>
      </c>
      <c r="AJ506" s="151" t="str">
        <f t="shared" si="33"/>
        <v>GUARULHOS</v>
      </c>
      <c r="AK506" s="155" t="s">
        <v>59</v>
      </c>
      <c r="AL506" s="53">
        <v>0.35400996354558745</v>
      </c>
      <c r="AM506" s="53" t="str" cm="1">
        <f t="array" ref="AM506">IF(OR(O506&lt;&gt;"", SUMPRODUCT(($AN$2:$AN$561=AN506)*($AL$2:$AL$561&lt;=AL506)) &lt;= (COUNTIF($AN$2:$AN$561,AN506)*0.5)), "SORTEADO", "-")</f>
        <v>SORTEADO</v>
      </c>
      <c r="AN506" s="53" t="str">
        <f t="shared" si="32"/>
        <v>30/04/2026</v>
      </c>
    </row>
    <row r="507" spans="1:40" ht="30" hidden="1" customHeight="1" x14ac:dyDescent="0.2">
      <c r="A507" s="245" t="s">
        <v>197</v>
      </c>
      <c r="B507" s="245">
        <v>2617948163</v>
      </c>
      <c r="C507" s="245" t="s">
        <v>116</v>
      </c>
      <c r="D507" s="245" t="s">
        <v>111</v>
      </c>
      <c r="E507" s="245" t="s">
        <v>198</v>
      </c>
      <c r="F507" s="245" t="s">
        <v>2101</v>
      </c>
      <c r="G507" s="245">
        <v>56</v>
      </c>
      <c r="H507" s="245"/>
      <c r="I507" s="245" t="s">
        <v>356</v>
      </c>
      <c r="J507" s="245" t="s">
        <v>2989</v>
      </c>
      <c r="K507" s="246" t="s">
        <v>3224</v>
      </c>
      <c r="L507" s="245" t="s">
        <v>2516</v>
      </c>
      <c r="M507" s="245" t="s">
        <v>3183</v>
      </c>
      <c r="N507" s="245" t="s">
        <v>2132</v>
      </c>
      <c r="O507" s="158"/>
      <c r="P507" s="92"/>
      <c r="Q507" s="146"/>
      <c r="R507" s="92"/>
      <c r="S507" s="146"/>
      <c r="T507" s="92"/>
      <c r="U507" s="146"/>
      <c r="V507" s="92"/>
      <c r="W507" s="146"/>
      <c r="X507" s="92"/>
      <c r="Y507" s="146"/>
      <c r="Z507" s="92"/>
      <c r="AA507" s="146"/>
      <c r="AB507" s="92"/>
      <c r="AC507" s="146"/>
      <c r="AD507" s="92"/>
      <c r="AE507" s="146"/>
      <c r="AF507" s="143" t="str">
        <f t="shared" si="31"/>
        <v/>
      </c>
      <c r="AG507" s="199" t="b">
        <f t="shared" si="30"/>
        <v>0</v>
      </c>
      <c r="AH507" s="146"/>
      <c r="AI507" s="154" t="s">
        <v>6</v>
      </c>
      <c r="AJ507" s="151" t="str">
        <f t="shared" si="33"/>
        <v>GUARULHOS</v>
      </c>
      <c r="AK507" s="155" t="s">
        <v>59</v>
      </c>
      <c r="AL507" s="53">
        <v>0.72781402738562428</v>
      </c>
      <c r="AM507" s="53" t="str" cm="1">
        <f t="array" ref="AM507">IF(OR(O507&lt;&gt;"", SUMPRODUCT(($AN$2:$AN$561=AN507)*($AL$2:$AL$561&lt;=AL507)) &lt;= (COUNTIF($AN$2:$AN$561,AN507)*0.5)), "SORTEADO", "-")</f>
        <v>-</v>
      </c>
      <c r="AN507" s="53" t="str">
        <f t="shared" si="32"/>
        <v>30/04/2026</v>
      </c>
    </row>
    <row r="508" spans="1:40" ht="30" hidden="1" customHeight="1" x14ac:dyDescent="0.2">
      <c r="A508" s="245" t="s">
        <v>197</v>
      </c>
      <c r="B508" s="245">
        <v>2618033779</v>
      </c>
      <c r="C508" s="245" t="s">
        <v>2819</v>
      </c>
      <c r="D508" s="245" t="s">
        <v>111</v>
      </c>
      <c r="E508" s="245" t="s">
        <v>198</v>
      </c>
      <c r="F508" s="245" t="s">
        <v>2101</v>
      </c>
      <c r="G508" s="245">
        <v>135</v>
      </c>
      <c r="H508" s="245" t="s">
        <v>213</v>
      </c>
      <c r="I508" s="245" t="s">
        <v>356</v>
      </c>
      <c r="J508" s="245" t="s">
        <v>2820</v>
      </c>
      <c r="K508" s="246" t="s">
        <v>3224</v>
      </c>
      <c r="L508" s="245" t="s">
        <v>2516</v>
      </c>
      <c r="M508" s="245" t="s">
        <v>3183</v>
      </c>
      <c r="N508" s="245" t="s">
        <v>2132</v>
      </c>
      <c r="O508" s="158" t="s">
        <v>61</v>
      </c>
      <c r="P508" s="92"/>
      <c r="Q508" s="146" t="s">
        <v>61</v>
      </c>
      <c r="R508" s="92"/>
      <c r="S508" s="146" t="s">
        <v>61</v>
      </c>
      <c r="T508" s="92"/>
      <c r="U508" s="146" t="s">
        <v>61</v>
      </c>
      <c r="V508" s="92"/>
      <c r="W508" s="146" t="s">
        <v>61</v>
      </c>
      <c r="X508" s="92"/>
      <c r="Y508" s="146" t="s">
        <v>61</v>
      </c>
      <c r="Z508" s="92"/>
      <c r="AA508" s="146" t="s">
        <v>61</v>
      </c>
      <c r="AB508" s="92"/>
      <c r="AC508" s="146" t="s">
        <v>61</v>
      </c>
      <c r="AD508" s="92"/>
      <c r="AE508" s="146" t="s">
        <v>61</v>
      </c>
      <c r="AF508" s="143" t="str">
        <f t="shared" si="31"/>
        <v>NA</v>
      </c>
      <c r="AG508" s="199" t="str">
        <f t="shared" si="30"/>
        <v>NÃO AVALIADO POR FALHA DE SINCRONISMO</v>
      </c>
      <c r="AH508" s="146" t="s">
        <v>204</v>
      </c>
      <c r="AI508" s="154" t="s">
        <v>6</v>
      </c>
      <c r="AJ508" s="151" t="str">
        <f t="shared" si="33"/>
        <v>GUARULHOS</v>
      </c>
      <c r="AK508" s="155" t="s">
        <v>59</v>
      </c>
      <c r="AL508" s="53">
        <v>0.43849035128839342</v>
      </c>
      <c r="AM508" s="53" t="str" cm="1">
        <f t="array" ref="AM508">IF(OR(O508&lt;&gt;"", SUMPRODUCT(($AN$2:$AN$561=AN508)*($AL$2:$AL$561&lt;=AL508)) &lt;= (COUNTIF($AN$2:$AN$561,AN508)*0.5)), "SORTEADO", "-")</f>
        <v>SORTEADO</v>
      </c>
      <c r="AN508" s="53" t="str">
        <f t="shared" si="32"/>
        <v>30/04/2026</v>
      </c>
    </row>
    <row r="509" spans="1:40" ht="30" hidden="1" customHeight="1" x14ac:dyDescent="0.2">
      <c r="A509" s="245" t="s">
        <v>197</v>
      </c>
      <c r="B509" s="245">
        <v>2617953215</v>
      </c>
      <c r="C509" s="245" t="s">
        <v>2701</v>
      </c>
      <c r="D509" s="245" t="s">
        <v>110</v>
      </c>
      <c r="E509" s="245" t="s">
        <v>198</v>
      </c>
      <c r="F509" s="245" t="s">
        <v>355</v>
      </c>
      <c r="G509" s="245">
        <v>68</v>
      </c>
      <c r="H509" s="245" t="s">
        <v>3108</v>
      </c>
      <c r="I509" s="245" t="s">
        <v>356</v>
      </c>
      <c r="J509" s="245" t="s">
        <v>2703</v>
      </c>
      <c r="K509" s="246" t="s">
        <v>3079</v>
      </c>
      <c r="L509" s="245" t="s">
        <v>2516</v>
      </c>
      <c r="M509" s="245" t="s">
        <v>3183</v>
      </c>
      <c r="N509" s="245" t="s">
        <v>2759</v>
      </c>
      <c r="O509" s="158"/>
      <c r="P509" s="92"/>
      <c r="Q509" s="146"/>
      <c r="R509" s="92"/>
      <c r="S509" s="146"/>
      <c r="T509" s="92"/>
      <c r="U509" s="146"/>
      <c r="V509" s="92"/>
      <c r="W509" s="146"/>
      <c r="X509" s="92"/>
      <c r="Y509" s="146"/>
      <c r="Z509" s="92"/>
      <c r="AA509" s="146"/>
      <c r="AB509" s="92"/>
      <c r="AC509" s="146"/>
      <c r="AD509" s="92"/>
      <c r="AE509" s="146"/>
      <c r="AF509" s="143" t="str">
        <f t="shared" si="31"/>
        <v/>
      </c>
      <c r="AG509" s="199" t="b">
        <f t="shared" si="30"/>
        <v>0</v>
      </c>
      <c r="AH509" s="146"/>
      <c r="AI509" s="154" t="s">
        <v>6</v>
      </c>
      <c r="AJ509" s="151" t="str">
        <f t="shared" si="33"/>
        <v>GUARULHOS</v>
      </c>
      <c r="AK509" s="155" t="s">
        <v>59</v>
      </c>
      <c r="AL509" s="53">
        <v>0.1629538711071844</v>
      </c>
      <c r="AM509" s="53" t="str" cm="1">
        <f t="array" ref="AM509">IF(OR(O509&lt;&gt;"", SUMPRODUCT(($AN$2:$AN$561=AN509)*($AL$2:$AL$561&lt;=AL509)) &lt;= (COUNTIF($AN$2:$AN$561,AN509)*0.5)), "SORTEADO", "-")</f>
        <v>SORTEADO</v>
      </c>
      <c r="AN509" s="53" t="str">
        <f t="shared" si="32"/>
        <v>30/04/2026</v>
      </c>
    </row>
    <row r="510" spans="1:40" ht="30" hidden="1" customHeight="1" x14ac:dyDescent="0.2">
      <c r="A510" s="245" t="s">
        <v>197</v>
      </c>
      <c r="B510" s="245">
        <v>2617953384</v>
      </c>
      <c r="C510" s="245" t="s">
        <v>2701</v>
      </c>
      <c r="D510" s="245" t="s">
        <v>110</v>
      </c>
      <c r="E510" s="245" t="s">
        <v>198</v>
      </c>
      <c r="F510" s="245" t="s">
        <v>355</v>
      </c>
      <c r="G510" s="245">
        <v>68</v>
      </c>
      <c r="H510" s="245" t="s">
        <v>3225</v>
      </c>
      <c r="I510" s="245" t="s">
        <v>356</v>
      </c>
      <c r="J510" s="245" t="s">
        <v>2703</v>
      </c>
      <c r="K510" s="246" t="s">
        <v>3079</v>
      </c>
      <c r="L510" s="245" t="s">
        <v>2516</v>
      </c>
      <c r="M510" s="245" t="s">
        <v>3183</v>
      </c>
      <c r="N510" s="245" t="s">
        <v>2759</v>
      </c>
      <c r="O510" s="158"/>
      <c r="P510" s="92"/>
      <c r="Q510" s="146"/>
      <c r="R510" s="92"/>
      <c r="S510" s="146"/>
      <c r="T510" s="92"/>
      <c r="U510" s="146"/>
      <c r="V510" s="92"/>
      <c r="W510" s="146"/>
      <c r="X510" s="92"/>
      <c r="Y510" s="146"/>
      <c r="Z510" s="92"/>
      <c r="AA510" s="146"/>
      <c r="AB510" s="92"/>
      <c r="AC510" s="146"/>
      <c r="AD510" s="92"/>
      <c r="AE510" s="146"/>
      <c r="AF510" s="143" t="str">
        <f t="shared" si="31"/>
        <v/>
      </c>
      <c r="AG510" s="199" t="b">
        <f t="shared" ref="AG510:AG561" si="34">IF(AND(AE510="C",AF510="C"),"UTILIZOU O PDA CORRETAMENTE",IF(AND(AE510="C",AF510="NC"),"UTILIZOU O PDA CORRETAMENTE. NÃO HÁ FOTOS DE TODAS AS ETAPAS",IF(AND(AE510="NC",AF510="NC"),"NÃO UTILIZOU O PDA",IF(AND(AE510="NA",AF510="NA"),"NÃO AVALIADO POR FALHA DE SINCRONISMO"))))</f>
        <v>0</v>
      </c>
      <c r="AH510" s="146"/>
      <c r="AI510" s="154" t="s">
        <v>6</v>
      </c>
      <c r="AJ510" s="151" t="str">
        <f t="shared" si="33"/>
        <v>GUARULHOS</v>
      </c>
      <c r="AK510" s="155" t="s">
        <v>59</v>
      </c>
      <c r="AL510" s="53">
        <v>0.86046009912572397</v>
      </c>
      <c r="AM510" s="53" t="str" cm="1">
        <f t="array" ref="AM510">IF(OR(O510&lt;&gt;"", SUMPRODUCT(($AN$2:$AN$561=AN510)*($AL$2:$AL$561&lt;=AL510)) &lt;= (COUNTIF($AN$2:$AN$561,AN510)*0.5)), "SORTEADO", "-")</f>
        <v>-</v>
      </c>
      <c r="AN510" s="53" t="str">
        <f t="shared" si="32"/>
        <v>30/04/2026</v>
      </c>
    </row>
    <row r="511" spans="1:40" ht="30" hidden="1" customHeight="1" x14ac:dyDescent="0.2">
      <c r="A511" s="245" t="s">
        <v>197</v>
      </c>
      <c r="B511" s="245">
        <v>2617944529</v>
      </c>
      <c r="C511" s="245" t="s">
        <v>2701</v>
      </c>
      <c r="D511" s="245" t="s">
        <v>110</v>
      </c>
      <c r="E511" s="245" t="s">
        <v>198</v>
      </c>
      <c r="F511" s="245" t="s">
        <v>355</v>
      </c>
      <c r="G511" s="245">
        <v>366</v>
      </c>
      <c r="H511" s="245" t="s">
        <v>3226</v>
      </c>
      <c r="I511" s="245" t="s">
        <v>356</v>
      </c>
      <c r="J511" s="245" t="s">
        <v>2703</v>
      </c>
      <c r="K511" s="246" t="s">
        <v>3079</v>
      </c>
      <c r="L511" s="245" t="s">
        <v>2516</v>
      </c>
      <c r="M511" s="245" t="s">
        <v>3183</v>
      </c>
      <c r="N511" s="245" t="s">
        <v>2759</v>
      </c>
      <c r="O511" s="158"/>
      <c r="P511" s="92"/>
      <c r="Q511" s="146"/>
      <c r="R511" s="92"/>
      <c r="S511" s="146"/>
      <c r="T511" s="92"/>
      <c r="U511" s="146"/>
      <c r="V511" s="92"/>
      <c r="W511" s="146"/>
      <c r="X511" s="92"/>
      <c r="Y511" s="146"/>
      <c r="Z511" s="92"/>
      <c r="AA511" s="146"/>
      <c r="AB511" s="92"/>
      <c r="AC511" s="146"/>
      <c r="AD511" s="92"/>
      <c r="AE511" s="146"/>
      <c r="AF511" s="143" t="str">
        <f t="shared" ref="AF511:AF561" si="35">IF(AND(O511="",Q511="",S511="",U511="",W511="",Y511="",AA511="",AC511=""),"",IF(OR(AND(O511&lt;&gt;"NA",O511&lt;&gt;"C",O511&lt;&gt;"NC",O511&lt;&gt;"SF",O511&lt;&gt;""),AND(Q511&lt;&gt;"NA",Q511&lt;&gt;"C",Q511&lt;&gt;"NC",Q511&lt;&gt;"SF",Q511&lt;&gt;""),AND(S511&lt;&gt;"NA",S511&lt;&gt;"C",S511&lt;&gt;"NC",S511&lt;&gt;"SF",S511&lt;&gt;""),AND(U511&lt;&gt;"NA",U511&lt;&gt;"C",U511&lt;&gt;"NC",U511&lt;&gt;"SF",U511&lt;&gt;""),AND(W511&lt;&gt;"NA",W511&lt;&gt;"C",W511&lt;&gt;"NC",W511&lt;&gt;"SF",W511&lt;&gt;""),AND(Y511&lt;&gt;"NA",Y511&lt;&gt;"C",Y511&lt;&gt;"NC",Y511&lt;&gt;"SF",Y511&lt;&gt;""),AND(AA511&lt;&gt;"NA",AA511&lt;&gt;"C",AA511&lt;&gt;"NC",AA511&lt;&gt;"SF",AA511&lt;&gt;""),AND(AC511&lt;&gt;"NA",AC511&lt;&gt;"C",AC511&lt;&gt;"NC",AC511&lt;&gt;"SF",AC511&lt;&gt;"")),"FALSO",IF(AND(O511="NA",Q511="NA",S511="NA",U511="NA",W511="NA",Y511="NA",AA511="NA",AC511="NA"),"NA",IF(OR(O511="NC",Q511="NC",S511="NC",U511="NC",W511="NC",Y511="NC",AA511="NC",AC511="NC",O511="SF",Q511="SF",S511="SF",U511="SF",W511="SF",Y511="SF",AA511="SF",AC511="SF"),"NC",IF(OR(O511="C",Q511="C",S511="C",U511="C",W511="C",Y511="C",AA511="C",AC511="C"),"C","")))))</f>
        <v/>
      </c>
      <c r="AG511" s="199" t="b">
        <f t="shared" si="34"/>
        <v>0</v>
      </c>
      <c r="AH511" s="146"/>
      <c r="AI511" s="154" t="s">
        <v>6</v>
      </c>
      <c r="AJ511" s="151" t="str">
        <f t="shared" si="33"/>
        <v>GUARULHOS</v>
      </c>
      <c r="AK511" s="155" t="s">
        <v>59</v>
      </c>
      <c r="AL511" s="53">
        <v>0.20381316262827343</v>
      </c>
      <c r="AM511" s="53" t="str" cm="1">
        <f t="array" ref="AM511">IF(OR(O511&lt;&gt;"", SUMPRODUCT(($AN$2:$AN$561=AN511)*($AL$2:$AL$561&lt;=AL511)) &lt;= (COUNTIF($AN$2:$AN$561,AN511)*0.5)), "SORTEADO", "-")</f>
        <v>SORTEADO</v>
      </c>
      <c r="AN511" s="53" t="str">
        <f t="shared" si="32"/>
        <v>30/04/2026</v>
      </c>
    </row>
    <row r="512" spans="1:40" ht="30" hidden="1" customHeight="1" x14ac:dyDescent="0.2">
      <c r="A512" s="245" t="s">
        <v>197</v>
      </c>
      <c r="B512" s="245">
        <v>2617944925</v>
      </c>
      <c r="C512" s="245" t="s">
        <v>2701</v>
      </c>
      <c r="D512" s="245" t="s">
        <v>110</v>
      </c>
      <c r="E512" s="245" t="s">
        <v>198</v>
      </c>
      <c r="F512" s="245" t="s">
        <v>355</v>
      </c>
      <c r="G512" s="245">
        <v>366</v>
      </c>
      <c r="H512" s="245" t="s">
        <v>3227</v>
      </c>
      <c r="I512" s="245" t="s">
        <v>356</v>
      </c>
      <c r="J512" s="245" t="s">
        <v>2703</v>
      </c>
      <c r="K512" s="246" t="s">
        <v>3079</v>
      </c>
      <c r="L512" s="245" t="s">
        <v>2516</v>
      </c>
      <c r="M512" s="245" t="s">
        <v>3183</v>
      </c>
      <c r="N512" s="245" t="s">
        <v>2759</v>
      </c>
      <c r="O512" s="158"/>
      <c r="P512" s="92"/>
      <c r="Q512" s="146"/>
      <c r="R512" s="92"/>
      <c r="S512" s="146"/>
      <c r="T512" s="92"/>
      <c r="U512" s="146"/>
      <c r="V512" s="92"/>
      <c r="W512" s="146"/>
      <c r="X512" s="92"/>
      <c r="Y512" s="146"/>
      <c r="Z512" s="92"/>
      <c r="AA512" s="146"/>
      <c r="AB512" s="92"/>
      <c r="AC512" s="146"/>
      <c r="AD512" s="92"/>
      <c r="AE512" s="146"/>
      <c r="AF512" s="143" t="str">
        <f t="shared" si="35"/>
        <v/>
      </c>
      <c r="AG512" s="199" t="b">
        <f t="shared" si="34"/>
        <v>0</v>
      </c>
      <c r="AH512" s="146"/>
      <c r="AI512" s="154" t="s">
        <v>6</v>
      </c>
      <c r="AJ512" s="151" t="str">
        <f t="shared" si="33"/>
        <v>GUARULHOS</v>
      </c>
      <c r="AK512" s="155" t="s">
        <v>59</v>
      </c>
      <c r="AL512" s="53">
        <v>0.69839310697910517</v>
      </c>
      <c r="AM512" s="53" t="str" cm="1">
        <f t="array" ref="AM512">IF(OR(O512&lt;&gt;"", SUMPRODUCT(($AN$2:$AN$561=AN512)*($AL$2:$AL$561&lt;=AL512)) &lt;= (COUNTIF($AN$2:$AN$561,AN512)*0.5)), "SORTEADO", "-")</f>
        <v>-</v>
      </c>
      <c r="AN512" s="53" t="str">
        <f t="shared" si="32"/>
        <v>30/04/2026</v>
      </c>
    </row>
    <row r="513" spans="1:40" ht="30" hidden="1" customHeight="1" x14ac:dyDescent="0.2">
      <c r="A513" s="245" t="s">
        <v>197</v>
      </c>
      <c r="B513" s="245">
        <v>2617944703</v>
      </c>
      <c r="C513" s="245" t="s">
        <v>2701</v>
      </c>
      <c r="D513" s="245" t="s">
        <v>110</v>
      </c>
      <c r="E513" s="245" t="s">
        <v>198</v>
      </c>
      <c r="F513" s="245" t="s">
        <v>355</v>
      </c>
      <c r="G513" s="245">
        <v>366</v>
      </c>
      <c r="H513" s="245" t="s">
        <v>3228</v>
      </c>
      <c r="I513" s="245" t="s">
        <v>356</v>
      </c>
      <c r="J513" s="245" t="s">
        <v>2703</v>
      </c>
      <c r="K513" s="246" t="s">
        <v>3079</v>
      </c>
      <c r="L513" s="245" t="s">
        <v>2516</v>
      </c>
      <c r="M513" s="245" t="s">
        <v>3183</v>
      </c>
      <c r="N513" s="245" t="s">
        <v>2759</v>
      </c>
      <c r="O513" s="158"/>
      <c r="P513" s="92"/>
      <c r="Q513" s="146"/>
      <c r="R513" s="92"/>
      <c r="S513" s="146"/>
      <c r="T513" s="92"/>
      <c r="U513" s="146"/>
      <c r="V513" s="92"/>
      <c r="W513" s="146"/>
      <c r="X513" s="92"/>
      <c r="Y513" s="146"/>
      <c r="Z513" s="92"/>
      <c r="AA513" s="146"/>
      <c r="AB513" s="92"/>
      <c r="AC513" s="146"/>
      <c r="AD513" s="92"/>
      <c r="AE513" s="146"/>
      <c r="AF513" s="143" t="str">
        <f t="shared" si="35"/>
        <v/>
      </c>
      <c r="AG513" s="199" t="b">
        <f t="shared" si="34"/>
        <v>0</v>
      </c>
      <c r="AH513" s="146"/>
      <c r="AI513" s="154" t="s">
        <v>6</v>
      </c>
      <c r="AJ513" s="151" t="str">
        <f t="shared" si="33"/>
        <v>GUARULHOS</v>
      </c>
      <c r="AK513" s="155" t="s">
        <v>59</v>
      </c>
      <c r="AL513" s="53">
        <v>0.9383139939894457</v>
      </c>
      <c r="AM513" s="53" t="str" cm="1">
        <f t="array" ref="AM513">IF(OR(O513&lt;&gt;"", SUMPRODUCT(($AN$2:$AN$561=AN513)*($AL$2:$AL$561&lt;=AL513)) &lt;= (COUNTIF($AN$2:$AN$561,AN513)*0.5)), "SORTEADO", "-")</f>
        <v>-</v>
      </c>
      <c r="AN513" s="53" t="str">
        <f t="shared" si="32"/>
        <v>30/04/2026</v>
      </c>
    </row>
    <row r="514" spans="1:40" ht="30" hidden="1" customHeight="1" x14ac:dyDescent="0.2">
      <c r="A514" s="245" t="s">
        <v>197</v>
      </c>
      <c r="B514" s="245">
        <v>2617947163</v>
      </c>
      <c r="C514" s="245" t="s">
        <v>2701</v>
      </c>
      <c r="D514" s="245" t="s">
        <v>110</v>
      </c>
      <c r="E514" s="245" t="s">
        <v>198</v>
      </c>
      <c r="F514" s="245" t="s">
        <v>355</v>
      </c>
      <c r="G514" s="245">
        <v>366</v>
      </c>
      <c r="H514" s="245" t="s">
        <v>3112</v>
      </c>
      <c r="I514" s="245" t="s">
        <v>356</v>
      </c>
      <c r="J514" s="245" t="s">
        <v>2703</v>
      </c>
      <c r="K514" s="246" t="s">
        <v>3079</v>
      </c>
      <c r="L514" s="245" t="s">
        <v>2516</v>
      </c>
      <c r="M514" s="245" t="s">
        <v>3183</v>
      </c>
      <c r="N514" s="245" t="s">
        <v>2759</v>
      </c>
      <c r="O514" s="158"/>
      <c r="P514" s="92"/>
      <c r="Q514" s="146"/>
      <c r="R514" s="92"/>
      <c r="S514" s="146"/>
      <c r="T514" s="92"/>
      <c r="U514" s="146"/>
      <c r="V514" s="92"/>
      <c r="W514" s="146"/>
      <c r="X514" s="92"/>
      <c r="Y514" s="146"/>
      <c r="Z514" s="92"/>
      <c r="AA514" s="146"/>
      <c r="AB514" s="92"/>
      <c r="AC514" s="146"/>
      <c r="AD514" s="92"/>
      <c r="AE514" s="146"/>
      <c r="AF514" s="143" t="str">
        <f t="shared" si="35"/>
        <v/>
      </c>
      <c r="AG514" s="199" t="b">
        <f t="shared" si="34"/>
        <v>0</v>
      </c>
      <c r="AH514" s="146"/>
      <c r="AI514" s="154" t="s">
        <v>6</v>
      </c>
      <c r="AJ514" s="151" t="str">
        <f t="shared" si="33"/>
        <v>GUARULHOS</v>
      </c>
      <c r="AK514" s="155" t="s">
        <v>59</v>
      </c>
      <c r="AL514" s="53">
        <v>0.91863659304256584</v>
      </c>
      <c r="AM514" s="53" t="str" cm="1">
        <f t="array" ref="AM514">IF(OR(O514&lt;&gt;"", SUMPRODUCT(($AN$2:$AN$561=AN514)*($AL$2:$AL$561&lt;=AL514)) &lt;= (COUNTIF($AN$2:$AN$561,AN514)*0.5)), "SORTEADO", "-")</f>
        <v>-</v>
      </c>
      <c r="AN514" s="53" t="str">
        <f t="shared" si="32"/>
        <v>30/04/2026</v>
      </c>
    </row>
    <row r="515" spans="1:40" ht="30" hidden="1" customHeight="1" x14ac:dyDescent="0.2">
      <c r="A515" s="245" t="s">
        <v>197</v>
      </c>
      <c r="B515" s="245">
        <v>2617945902</v>
      </c>
      <c r="C515" s="245" t="s">
        <v>2701</v>
      </c>
      <c r="D515" s="245" t="s">
        <v>110</v>
      </c>
      <c r="E515" s="245" t="s">
        <v>198</v>
      </c>
      <c r="F515" s="245" t="s">
        <v>355</v>
      </c>
      <c r="G515" s="245">
        <v>288</v>
      </c>
      <c r="H515" s="245" t="s">
        <v>252</v>
      </c>
      <c r="I515" s="245" t="s">
        <v>356</v>
      </c>
      <c r="J515" s="245" t="s">
        <v>2703</v>
      </c>
      <c r="K515" s="246" t="s">
        <v>3079</v>
      </c>
      <c r="L515" s="245" t="s">
        <v>2516</v>
      </c>
      <c r="M515" s="245" t="s">
        <v>3183</v>
      </c>
      <c r="N515" s="245" t="s">
        <v>2759</v>
      </c>
      <c r="O515" s="158"/>
      <c r="P515" s="92"/>
      <c r="Q515" s="146"/>
      <c r="R515" s="92"/>
      <c r="S515" s="146"/>
      <c r="T515" s="92"/>
      <c r="U515" s="146"/>
      <c r="V515" s="92"/>
      <c r="W515" s="146"/>
      <c r="X515" s="92"/>
      <c r="Y515" s="146"/>
      <c r="Z515" s="92"/>
      <c r="AA515" s="146"/>
      <c r="AB515" s="92"/>
      <c r="AC515" s="146"/>
      <c r="AD515" s="92"/>
      <c r="AE515" s="146"/>
      <c r="AF515" s="143" t="str">
        <f t="shared" si="35"/>
        <v/>
      </c>
      <c r="AG515" s="199" t="b">
        <f t="shared" si="34"/>
        <v>0</v>
      </c>
      <c r="AH515" s="146"/>
      <c r="AI515" s="154" t="s">
        <v>6</v>
      </c>
      <c r="AJ515" s="151" t="str">
        <f t="shared" si="33"/>
        <v>GUARULHOS</v>
      </c>
      <c r="AK515" s="155" t="s">
        <v>59</v>
      </c>
      <c r="AL515" s="53">
        <v>0.25228905995971496</v>
      </c>
      <c r="AM515" s="53" t="str" cm="1">
        <f t="array" ref="AM515">IF(OR(O515&lt;&gt;"", SUMPRODUCT(($AN$2:$AN$561=AN515)*($AL$2:$AL$561&lt;=AL515)) &lt;= (COUNTIF($AN$2:$AN$561,AN515)*0.5)), "SORTEADO", "-")</f>
        <v>SORTEADO</v>
      </c>
      <c r="AN515" s="53" t="str">
        <f t="shared" si="32"/>
        <v>30/04/2026</v>
      </c>
    </row>
    <row r="516" spans="1:40" ht="30" hidden="1" customHeight="1" x14ac:dyDescent="0.2">
      <c r="A516" s="245" t="s">
        <v>197</v>
      </c>
      <c r="B516" s="245">
        <v>2617945214</v>
      </c>
      <c r="C516" s="245" t="s">
        <v>2701</v>
      </c>
      <c r="D516" s="245" t="s">
        <v>110</v>
      </c>
      <c r="E516" s="245" t="s">
        <v>198</v>
      </c>
      <c r="F516" s="245" t="s">
        <v>355</v>
      </c>
      <c r="G516" s="245">
        <v>288</v>
      </c>
      <c r="H516" s="245" t="s">
        <v>235</v>
      </c>
      <c r="I516" s="245" t="s">
        <v>356</v>
      </c>
      <c r="J516" s="245" t="s">
        <v>2703</v>
      </c>
      <c r="K516" s="246" t="s">
        <v>3079</v>
      </c>
      <c r="L516" s="245" t="s">
        <v>2516</v>
      </c>
      <c r="M516" s="245" t="s">
        <v>3183</v>
      </c>
      <c r="N516" s="245" t="s">
        <v>2759</v>
      </c>
      <c r="O516" s="158"/>
      <c r="P516" s="92"/>
      <c r="Q516" s="146"/>
      <c r="R516" s="92"/>
      <c r="S516" s="146"/>
      <c r="T516" s="92"/>
      <c r="U516" s="146"/>
      <c r="V516" s="92"/>
      <c r="W516" s="146"/>
      <c r="X516" s="92"/>
      <c r="Y516" s="146"/>
      <c r="Z516" s="92"/>
      <c r="AA516" s="146"/>
      <c r="AB516" s="92"/>
      <c r="AC516" s="146"/>
      <c r="AD516" s="92"/>
      <c r="AE516" s="146"/>
      <c r="AF516" s="143" t="str">
        <f t="shared" si="35"/>
        <v/>
      </c>
      <c r="AG516" s="199" t="b">
        <f t="shared" si="34"/>
        <v>0</v>
      </c>
      <c r="AH516" s="146"/>
      <c r="AI516" s="154" t="s">
        <v>6</v>
      </c>
      <c r="AJ516" s="151" t="str">
        <f t="shared" si="33"/>
        <v>GUARULHOS</v>
      </c>
      <c r="AK516" s="155" t="s">
        <v>59</v>
      </c>
      <c r="AL516" s="53">
        <v>0.99751748017279906</v>
      </c>
      <c r="AM516" s="53" t="str" cm="1">
        <f t="array" ref="AM516">IF(OR(O516&lt;&gt;"", SUMPRODUCT(($AN$2:$AN$561=AN516)*($AL$2:$AL$561&lt;=AL516)) &lt;= (COUNTIF($AN$2:$AN$561,AN516)*0.5)), "SORTEADO", "-")</f>
        <v>-</v>
      </c>
      <c r="AN516" s="53" t="str">
        <f t="shared" si="32"/>
        <v>30/04/2026</v>
      </c>
    </row>
    <row r="517" spans="1:40" ht="30" hidden="1" customHeight="1" x14ac:dyDescent="0.2">
      <c r="A517" s="245" t="s">
        <v>197</v>
      </c>
      <c r="B517" s="245">
        <v>2617946433</v>
      </c>
      <c r="C517" s="245" t="s">
        <v>2701</v>
      </c>
      <c r="D517" s="245" t="s">
        <v>110</v>
      </c>
      <c r="E517" s="245" t="s">
        <v>198</v>
      </c>
      <c r="F517" s="245" t="s">
        <v>355</v>
      </c>
      <c r="G517" s="245">
        <v>259</v>
      </c>
      <c r="H517" s="245" t="s">
        <v>3186</v>
      </c>
      <c r="I517" s="245" t="s">
        <v>356</v>
      </c>
      <c r="J517" s="245" t="s">
        <v>2703</v>
      </c>
      <c r="K517" s="246" t="s">
        <v>3081</v>
      </c>
      <c r="L517" s="245" t="s">
        <v>2516</v>
      </c>
      <c r="M517" s="245" t="s">
        <v>3183</v>
      </c>
      <c r="N517" s="245" t="s">
        <v>2759</v>
      </c>
      <c r="O517" s="158"/>
      <c r="P517" s="92"/>
      <c r="Q517" s="146"/>
      <c r="R517" s="92"/>
      <c r="S517" s="146"/>
      <c r="T517" s="92"/>
      <c r="U517" s="146"/>
      <c r="V517" s="92"/>
      <c r="W517" s="146"/>
      <c r="X517" s="92"/>
      <c r="Y517" s="146"/>
      <c r="Z517" s="92"/>
      <c r="AA517" s="146"/>
      <c r="AB517" s="92"/>
      <c r="AC517" s="146"/>
      <c r="AD517" s="92"/>
      <c r="AE517" s="146"/>
      <c r="AF517" s="143" t="str">
        <f t="shared" si="35"/>
        <v/>
      </c>
      <c r="AG517" s="199" t="b">
        <f t="shared" si="34"/>
        <v>0</v>
      </c>
      <c r="AH517" s="146"/>
      <c r="AI517" s="154" t="s">
        <v>6</v>
      </c>
      <c r="AJ517" s="151" t="str">
        <f t="shared" si="33"/>
        <v>GUARULHOS</v>
      </c>
      <c r="AK517" s="155" t="s">
        <v>59</v>
      </c>
      <c r="AL517" s="53">
        <v>0.13909188440549758</v>
      </c>
      <c r="AM517" s="53" t="str" cm="1">
        <f t="array" ref="AM517">IF(OR(O517&lt;&gt;"", SUMPRODUCT(($AN$2:$AN$561=AN517)*($AL$2:$AL$561&lt;=AL517)) &lt;= (COUNTIF($AN$2:$AN$561,AN517)*0.5)), "SORTEADO", "-")</f>
        <v>SORTEADO</v>
      </c>
      <c r="AN517" s="53" t="str">
        <f t="shared" si="32"/>
        <v>30/04/2026</v>
      </c>
    </row>
    <row r="518" spans="1:40" ht="30" hidden="1" customHeight="1" x14ac:dyDescent="0.2">
      <c r="A518" s="245" t="s">
        <v>197</v>
      </c>
      <c r="B518" s="245">
        <v>2617944223</v>
      </c>
      <c r="C518" s="245" t="s">
        <v>2701</v>
      </c>
      <c r="D518" s="245" t="s">
        <v>110</v>
      </c>
      <c r="E518" s="245" t="s">
        <v>198</v>
      </c>
      <c r="F518" s="245" t="s">
        <v>355</v>
      </c>
      <c r="G518" s="245">
        <v>250</v>
      </c>
      <c r="H518" s="245" t="s">
        <v>1565</v>
      </c>
      <c r="I518" s="245" t="s">
        <v>356</v>
      </c>
      <c r="J518" s="245" t="s">
        <v>2703</v>
      </c>
      <c r="K518" s="246" t="s">
        <v>3079</v>
      </c>
      <c r="L518" s="245" t="s">
        <v>2516</v>
      </c>
      <c r="M518" s="245" t="s">
        <v>3183</v>
      </c>
      <c r="N518" s="245" t="s">
        <v>2759</v>
      </c>
      <c r="O518" s="158"/>
      <c r="P518" s="92"/>
      <c r="Q518" s="146"/>
      <c r="R518" s="92"/>
      <c r="S518" s="146"/>
      <c r="T518" s="92"/>
      <c r="U518" s="146"/>
      <c r="V518" s="92"/>
      <c r="W518" s="146"/>
      <c r="X518" s="92"/>
      <c r="Y518" s="146"/>
      <c r="Z518" s="92"/>
      <c r="AA518" s="146"/>
      <c r="AB518" s="92"/>
      <c r="AC518" s="146"/>
      <c r="AD518" s="92"/>
      <c r="AE518" s="146"/>
      <c r="AF518" s="143" t="str">
        <f t="shared" si="35"/>
        <v/>
      </c>
      <c r="AG518" s="199" t="b">
        <f t="shared" si="34"/>
        <v>0</v>
      </c>
      <c r="AH518" s="146"/>
      <c r="AI518" s="154" t="s">
        <v>6</v>
      </c>
      <c r="AJ518" s="151" t="str">
        <f t="shared" si="33"/>
        <v>GUARULHOS</v>
      </c>
      <c r="AK518" s="155" t="s">
        <v>59</v>
      </c>
      <c r="AL518" s="53">
        <v>0.80235140008708583</v>
      </c>
      <c r="AM518" s="53" t="str" cm="1">
        <f t="array" ref="AM518">IF(OR(O518&lt;&gt;"", SUMPRODUCT(($AN$2:$AN$561=AN518)*($AL$2:$AL$561&lt;=AL518)) &lt;= (COUNTIF($AN$2:$AN$561,AN518)*0.5)), "SORTEADO", "-")</f>
        <v>-</v>
      </c>
      <c r="AN518" s="53" t="str">
        <f t="shared" si="32"/>
        <v>30/04/2026</v>
      </c>
    </row>
    <row r="519" spans="1:40" ht="30" hidden="1" customHeight="1" x14ac:dyDescent="0.2">
      <c r="A519" s="245" t="s">
        <v>197</v>
      </c>
      <c r="B519" s="245">
        <v>2617953733</v>
      </c>
      <c r="C519" s="245" t="s">
        <v>2701</v>
      </c>
      <c r="D519" s="245" t="s">
        <v>110</v>
      </c>
      <c r="E519" s="245" t="s">
        <v>198</v>
      </c>
      <c r="F519" s="245" t="s">
        <v>355</v>
      </c>
      <c r="G519" s="245">
        <v>184</v>
      </c>
      <c r="H519" s="245" t="s">
        <v>206</v>
      </c>
      <c r="I519" s="245" t="s">
        <v>356</v>
      </c>
      <c r="J519" s="245" t="s">
        <v>2703</v>
      </c>
      <c r="K519" s="246" t="s">
        <v>3079</v>
      </c>
      <c r="L519" s="245" t="s">
        <v>2516</v>
      </c>
      <c r="M519" s="245" t="s">
        <v>3183</v>
      </c>
      <c r="N519" s="245" t="s">
        <v>2759</v>
      </c>
      <c r="O519" s="158"/>
      <c r="P519" s="92"/>
      <c r="Q519" s="146"/>
      <c r="R519" s="92"/>
      <c r="S519" s="146"/>
      <c r="T519" s="92"/>
      <c r="U519" s="146"/>
      <c r="V519" s="92"/>
      <c r="W519" s="146"/>
      <c r="X519" s="92"/>
      <c r="Y519" s="146"/>
      <c r="Z519" s="92"/>
      <c r="AA519" s="146"/>
      <c r="AB519" s="92"/>
      <c r="AC519" s="146"/>
      <c r="AD519" s="92"/>
      <c r="AE519" s="146"/>
      <c r="AF519" s="143" t="str">
        <f t="shared" si="35"/>
        <v/>
      </c>
      <c r="AG519" s="199" t="b">
        <f t="shared" si="34"/>
        <v>0</v>
      </c>
      <c r="AH519" s="146"/>
      <c r="AI519" s="154" t="s">
        <v>6</v>
      </c>
      <c r="AJ519" s="151" t="str">
        <f t="shared" si="33"/>
        <v>GUARULHOS</v>
      </c>
      <c r="AK519" s="155" t="s">
        <v>59</v>
      </c>
      <c r="AL519" s="53">
        <v>0.41373500088997983</v>
      </c>
      <c r="AM519" s="53" t="str" cm="1">
        <f t="array" ref="AM519">IF(OR(O519&lt;&gt;"", SUMPRODUCT(($AN$2:$AN$561=AN519)*($AL$2:$AL$561&lt;=AL519)) &lt;= (COUNTIF($AN$2:$AN$561,AN519)*0.5)), "SORTEADO", "-")</f>
        <v>SORTEADO</v>
      </c>
      <c r="AN519" s="53" t="str">
        <f t="shared" si="32"/>
        <v>30/04/2026</v>
      </c>
    </row>
    <row r="520" spans="1:40" ht="30" hidden="1" customHeight="1" x14ac:dyDescent="0.2">
      <c r="A520" s="245" t="s">
        <v>197</v>
      </c>
      <c r="B520" s="245">
        <v>2617946616</v>
      </c>
      <c r="C520" s="245" t="s">
        <v>2701</v>
      </c>
      <c r="D520" s="245" t="s">
        <v>110</v>
      </c>
      <c r="E520" s="245" t="s">
        <v>198</v>
      </c>
      <c r="F520" s="245" t="s">
        <v>355</v>
      </c>
      <c r="G520" s="245">
        <v>115</v>
      </c>
      <c r="H520" s="245" t="s">
        <v>213</v>
      </c>
      <c r="I520" s="245" t="s">
        <v>356</v>
      </c>
      <c r="J520" s="245" t="s">
        <v>2703</v>
      </c>
      <c r="K520" s="246" t="s">
        <v>3079</v>
      </c>
      <c r="L520" s="245" t="s">
        <v>2516</v>
      </c>
      <c r="M520" s="245" t="s">
        <v>3183</v>
      </c>
      <c r="N520" s="245" t="s">
        <v>2759</v>
      </c>
      <c r="O520" s="158"/>
      <c r="P520" s="92"/>
      <c r="Q520" s="146"/>
      <c r="R520" s="92"/>
      <c r="S520" s="146"/>
      <c r="T520" s="92"/>
      <c r="U520" s="146"/>
      <c r="V520" s="92"/>
      <c r="W520" s="146"/>
      <c r="X520" s="92"/>
      <c r="Y520" s="146"/>
      <c r="Z520" s="92"/>
      <c r="AA520" s="146"/>
      <c r="AB520" s="92"/>
      <c r="AC520" s="146"/>
      <c r="AD520" s="92"/>
      <c r="AE520" s="146"/>
      <c r="AF520" s="143" t="str">
        <f t="shared" si="35"/>
        <v/>
      </c>
      <c r="AG520" s="199" t="b">
        <f t="shared" si="34"/>
        <v>0</v>
      </c>
      <c r="AH520" s="146"/>
      <c r="AI520" s="154" t="s">
        <v>6</v>
      </c>
      <c r="AJ520" s="151" t="str">
        <f t="shared" si="33"/>
        <v>GUARULHOS</v>
      </c>
      <c r="AK520" s="155" t="s">
        <v>59</v>
      </c>
      <c r="AL520" s="53">
        <v>0.83954498360486551</v>
      </c>
      <c r="AM520" s="53" t="str" cm="1">
        <f t="array" ref="AM520">IF(OR(O520&lt;&gt;"", SUMPRODUCT(($AN$2:$AN$561=AN520)*($AL$2:$AL$561&lt;=AL520)) &lt;= (COUNTIF($AN$2:$AN$561,AN520)*0.5)), "SORTEADO", "-")</f>
        <v>-</v>
      </c>
      <c r="AN520" s="53" t="str">
        <f t="shared" si="32"/>
        <v>30/04/2026</v>
      </c>
    </row>
    <row r="521" spans="1:40" ht="30" hidden="1" customHeight="1" x14ac:dyDescent="0.2">
      <c r="A521" s="245" t="s">
        <v>197</v>
      </c>
      <c r="B521" s="245">
        <v>2617955546</v>
      </c>
      <c r="C521" s="245" t="s">
        <v>2701</v>
      </c>
      <c r="D521" s="245" t="s">
        <v>110</v>
      </c>
      <c r="E521" s="245" t="s">
        <v>198</v>
      </c>
      <c r="F521" s="245" t="s">
        <v>1233</v>
      </c>
      <c r="G521" s="245">
        <v>578</v>
      </c>
      <c r="H521" s="245" t="s">
        <v>217</v>
      </c>
      <c r="I521" s="245" t="s">
        <v>801</v>
      </c>
      <c r="J521" s="245" t="s">
        <v>2703</v>
      </c>
      <c r="K521" s="246" t="s">
        <v>3229</v>
      </c>
      <c r="L521" s="245" t="s">
        <v>2516</v>
      </c>
      <c r="M521" s="245" t="s">
        <v>3199</v>
      </c>
      <c r="N521" s="245" t="s">
        <v>2707</v>
      </c>
      <c r="O521" s="158"/>
      <c r="P521" s="92"/>
      <c r="Q521" s="146"/>
      <c r="R521" s="92"/>
      <c r="S521" s="146"/>
      <c r="T521" s="92"/>
      <c r="U521" s="146"/>
      <c r="V521" s="92"/>
      <c r="W521" s="146"/>
      <c r="X521" s="92"/>
      <c r="Y521" s="146"/>
      <c r="Z521" s="92"/>
      <c r="AA521" s="146"/>
      <c r="AB521" s="92"/>
      <c r="AC521" s="146"/>
      <c r="AD521" s="92"/>
      <c r="AE521" s="146"/>
      <c r="AF521" s="143" t="str">
        <f t="shared" si="35"/>
        <v/>
      </c>
      <c r="AG521" s="199" t="b">
        <f t="shared" si="34"/>
        <v>0</v>
      </c>
      <c r="AH521" s="146"/>
      <c r="AI521" s="154" t="s">
        <v>6</v>
      </c>
      <c r="AJ521" s="151" t="str">
        <f t="shared" si="33"/>
        <v>GUARULHOS</v>
      </c>
      <c r="AK521" s="155" t="s">
        <v>59</v>
      </c>
      <c r="AL521" s="53">
        <v>0.28716704869623921</v>
      </c>
      <c r="AM521" s="53" t="str" cm="1">
        <f t="array" ref="AM521">IF(OR(O521&lt;&gt;"", SUMPRODUCT(($AN$2:$AN$561=AN521)*($AL$2:$AL$561&lt;=AL521)) &lt;= (COUNTIF($AN$2:$AN$561,AN521)*0.5)), "SORTEADO", "-")</f>
        <v>SORTEADO</v>
      </c>
      <c r="AN521" s="53" t="str">
        <f t="shared" si="32"/>
        <v>30/04/2026</v>
      </c>
    </row>
    <row r="522" spans="1:40" ht="30" hidden="1" customHeight="1" x14ac:dyDescent="0.2">
      <c r="A522" s="245" t="s">
        <v>197</v>
      </c>
      <c r="B522" s="245">
        <v>2617955349</v>
      </c>
      <c r="C522" s="245" t="s">
        <v>2701</v>
      </c>
      <c r="D522" s="245" t="s">
        <v>110</v>
      </c>
      <c r="E522" s="245" t="s">
        <v>198</v>
      </c>
      <c r="F522" s="245" t="s">
        <v>1233</v>
      </c>
      <c r="G522" s="245">
        <v>571</v>
      </c>
      <c r="H522" s="245" t="s">
        <v>1661</v>
      </c>
      <c r="I522" s="245" t="s">
        <v>801</v>
      </c>
      <c r="J522" s="245" t="s">
        <v>2703</v>
      </c>
      <c r="K522" s="246" t="s">
        <v>3229</v>
      </c>
      <c r="L522" s="245" t="s">
        <v>2516</v>
      </c>
      <c r="M522" s="245" t="s">
        <v>3199</v>
      </c>
      <c r="N522" s="245" t="s">
        <v>2707</v>
      </c>
      <c r="O522" s="158"/>
      <c r="P522" s="92"/>
      <c r="Q522" s="146"/>
      <c r="R522" s="92"/>
      <c r="S522" s="146"/>
      <c r="T522" s="92"/>
      <c r="U522" s="146"/>
      <c r="V522" s="92"/>
      <c r="W522" s="146"/>
      <c r="X522" s="92"/>
      <c r="Y522" s="146"/>
      <c r="Z522" s="92"/>
      <c r="AA522" s="146"/>
      <c r="AB522" s="92"/>
      <c r="AC522" s="146"/>
      <c r="AD522" s="92"/>
      <c r="AE522" s="146"/>
      <c r="AF522" s="143" t="str">
        <f t="shared" si="35"/>
        <v/>
      </c>
      <c r="AG522" s="199" t="b">
        <f t="shared" si="34"/>
        <v>0</v>
      </c>
      <c r="AH522" s="146"/>
      <c r="AI522" s="154" t="s">
        <v>6</v>
      </c>
      <c r="AJ522" s="151" t="str">
        <f t="shared" si="33"/>
        <v>GUARULHOS</v>
      </c>
      <c r="AK522" s="155" t="s">
        <v>59</v>
      </c>
      <c r="AL522" s="53">
        <v>0.40072459198652122</v>
      </c>
      <c r="AM522" s="53" t="str" cm="1">
        <f t="array" ref="AM522">IF(OR(O522&lt;&gt;"", SUMPRODUCT(($AN$2:$AN$561=AN522)*($AL$2:$AL$561&lt;=AL522)) &lt;= (COUNTIF($AN$2:$AN$561,AN522)*0.5)), "SORTEADO", "-")</f>
        <v>SORTEADO</v>
      </c>
      <c r="AN522" s="53" t="str">
        <f t="shared" si="32"/>
        <v>30/04/2026</v>
      </c>
    </row>
    <row r="523" spans="1:40" ht="30" hidden="1" customHeight="1" x14ac:dyDescent="0.2">
      <c r="A523" s="245" t="s">
        <v>197</v>
      </c>
      <c r="B523" s="245">
        <v>2617955042</v>
      </c>
      <c r="C523" s="245" t="s">
        <v>2701</v>
      </c>
      <c r="D523" s="245" t="s">
        <v>110</v>
      </c>
      <c r="E523" s="245" t="s">
        <v>198</v>
      </c>
      <c r="F523" s="245" t="s">
        <v>1233</v>
      </c>
      <c r="G523" s="245">
        <v>561</v>
      </c>
      <c r="H523" s="245" t="s">
        <v>3230</v>
      </c>
      <c r="I523" s="245" t="s">
        <v>801</v>
      </c>
      <c r="J523" s="245" t="s">
        <v>2703</v>
      </c>
      <c r="K523" s="246" t="s">
        <v>3229</v>
      </c>
      <c r="L523" s="245" t="s">
        <v>2516</v>
      </c>
      <c r="M523" s="245" t="s">
        <v>3221</v>
      </c>
      <c r="N523" s="245" t="s">
        <v>2707</v>
      </c>
      <c r="O523" s="158"/>
      <c r="P523" s="92"/>
      <c r="Q523" s="146"/>
      <c r="R523" s="92"/>
      <c r="S523" s="146"/>
      <c r="T523" s="92"/>
      <c r="U523" s="146"/>
      <c r="V523" s="92"/>
      <c r="W523" s="146"/>
      <c r="X523" s="92"/>
      <c r="Y523" s="146"/>
      <c r="Z523" s="92"/>
      <c r="AA523" s="146"/>
      <c r="AB523" s="92"/>
      <c r="AC523" s="146"/>
      <c r="AD523" s="92"/>
      <c r="AE523" s="146"/>
      <c r="AF523" s="143" t="str">
        <f t="shared" si="35"/>
        <v/>
      </c>
      <c r="AG523" s="199" t="b">
        <f t="shared" si="34"/>
        <v>0</v>
      </c>
      <c r="AH523" s="146"/>
      <c r="AI523" s="154" t="s">
        <v>6</v>
      </c>
      <c r="AJ523" s="151" t="str">
        <f t="shared" si="33"/>
        <v>GUARULHOS</v>
      </c>
      <c r="AK523" s="155" t="s">
        <v>59</v>
      </c>
      <c r="AL523" s="53">
        <v>0.85615006754926193</v>
      </c>
      <c r="AM523" s="53" t="str" cm="1">
        <f t="array" ref="AM523">IF(OR(O523&lt;&gt;"", SUMPRODUCT(($AN$2:$AN$561=AN523)*($AL$2:$AL$561&lt;=AL523)) &lt;= (COUNTIF($AN$2:$AN$561,AN523)*0.5)), "SORTEADO", "-")</f>
        <v>-</v>
      </c>
      <c r="AN523" s="53" t="str">
        <f t="shared" si="32"/>
        <v>30/04/2026</v>
      </c>
    </row>
    <row r="524" spans="1:40" ht="30" hidden="1" customHeight="1" x14ac:dyDescent="0.2">
      <c r="A524" s="245" t="s">
        <v>197</v>
      </c>
      <c r="B524" s="245">
        <v>2617954871</v>
      </c>
      <c r="C524" s="245" t="s">
        <v>2701</v>
      </c>
      <c r="D524" s="245" t="s">
        <v>110</v>
      </c>
      <c r="E524" s="245" t="s">
        <v>198</v>
      </c>
      <c r="F524" s="245" t="s">
        <v>1233</v>
      </c>
      <c r="G524" s="245">
        <v>560</v>
      </c>
      <c r="H524" s="245" t="s">
        <v>508</v>
      </c>
      <c r="I524" s="245" t="s">
        <v>801</v>
      </c>
      <c r="J524" s="245" t="s">
        <v>2703</v>
      </c>
      <c r="K524" s="246" t="s">
        <v>3229</v>
      </c>
      <c r="L524" s="245" t="s">
        <v>2516</v>
      </c>
      <c r="M524" s="245" t="s">
        <v>3199</v>
      </c>
      <c r="N524" s="245" t="s">
        <v>2707</v>
      </c>
      <c r="O524" s="158"/>
      <c r="P524" s="92"/>
      <c r="Q524" s="146"/>
      <c r="R524" s="92"/>
      <c r="S524" s="146"/>
      <c r="T524" s="92"/>
      <c r="U524" s="146"/>
      <c r="V524" s="92"/>
      <c r="W524" s="146"/>
      <c r="X524" s="92"/>
      <c r="Y524" s="146"/>
      <c r="Z524" s="92"/>
      <c r="AA524" s="146"/>
      <c r="AB524" s="92"/>
      <c r="AC524" s="146"/>
      <c r="AD524" s="92"/>
      <c r="AE524" s="146"/>
      <c r="AF524" s="143" t="str">
        <f t="shared" si="35"/>
        <v/>
      </c>
      <c r="AG524" s="199" t="b">
        <f t="shared" si="34"/>
        <v>0</v>
      </c>
      <c r="AH524" s="146"/>
      <c r="AI524" s="154" t="s">
        <v>6</v>
      </c>
      <c r="AJ524" s="151" t="str">
        <f t="shared" si="33"/>
        <v>GUARULHOS</v>
      </c>
      <c r="AK524" s="155" t="s">
        <v>59</v>
      </c>
      <c r="AL524" s="53">
        <v>0.34413391690298312</v>
      </c>
      <c r="AM524" s="53" t="str" cm="1">
        <f t="array" ref="AM524">IF(OR(O524&lt;&gt;"", SUMPRODUCT(($AN$2:$AN$561=AN524)*($AL$2:$AL$561&lt;=AL524)) &lt;= (COUNTIF($AN$2:$AN$561,AN524)*0.5)), "SORTEADO", "-")</f>
        <v>SORTEADO</v>
      </c>
      <c r="AN524" s="53" t="str">
        <f t="shared" si="32"/>
        <v>30/04/2026</v>
      </c>
    </row>
    <row r="525" spans="1:40" ht="30" hidden="1" customHeight="1" x14ac:dyDescent="0.2">
      <c r="A525" s="245" t="s">
        <v>197</v>
      </c>
      <c r="B525" s="245">
        <v>2617583733</v>
      </c>
      <c r="C525" s="245" t="s">
        <v>2701</v>
      </c>
      <c r="D525" s="245" t="s">
        <v>110</v>
      </c>
      <c r="E525" s="245" t="s">
        <v>198</v>
      </c>
      <c r="F525" s="245" t="s">
        <v>1233</v>
      </c>
      <c r="G525" s="245">
        <v>527</v>
      </c>
      <c r="H525" s="245"/>
      <c r="I525" s="245" t="s">
        <v>801</v>
      </c>
      <c r="J525" s="245" t="s">
        <v>2703</v>
      </c>
      <c r="K525" s="246" t="s">
        <v>3231</v>
      </c>
      <c r="L525" s="245" t="s">
        <v>2516</v>
      </c>
      <c r="M525" s="245" t="s">
        <v>3199</v>
      </c>
      <c r="N525" s="245" t="s">
        <v>2707</v>
      </c>
      <c r="O525" s="158"/>
      <c r="P525" s="92"/>
      <c r="Q525" s="146"/>
      <c r="R525" s="92"/>
      <c r="S525" s="146"/>
      <c r="T525" s="92"/>
      <c r="U525" s="146"/>
      <c r="V525" s="92"/>
      <c r="W525" s="146"/>
      <c r="X525" s="92"/>
      <c r="Y525" s="146"/>
      <c r="Z525" s="92"/>
      <c r="AA525" s="146"/>
      <c r="AB525" s="92"/>
      <c r="AC525" s="146"/>
      <c r="AD525" s="92"/>
      <c r="AE525" s="146"/>
      <c r="AF525" s="143" t="str">
        <f t="shared" si="35"/>
        <v/>
      </c>
      <c r="AG525" s="199" t="b">
        <f t="shared" si="34"/>
        <v>0</v>
      </c>
      <c r="AH525" s="146"/>
      <c r="AI525" s="154" t="s">
        <v>6</v>
      </c>
      <c r="AJ525" s="151" t="str">
        <f t="shared" si="33"/>
        <v>GUARULHOS</v>
      </c>
      <c r="AK525" s="155" t="s">
        <v>59</v>
      </c>
      <c r="AL525" s="53">
        <v>0.10638469168355502</v>
      </c>
      <c r="AM525" s="53" t="str" cm="1">
        <f t="array" ref="AM525">IF(OR(O525&lt;&gt;"", SUMPRODUCT(($AN$2:$AN$561=AN525)*($AL$2:$AL$561&lt;=AL525)) &lt;= (COUNTIF($AN$2:$AN$561,AN525)*0.5)), "SORTEADO", "-")</f>
        <v>SORTEADO</v>
      </c>
      <c r="AN525" s="53" t="str">
        <f t="shared" si="32"/>
        <v>30/04/2026</v>
      </c>
    </row>
    <row r="526" spans="1:40" ht="30" hidden="1" customHeight="1" x14ac:dyDescent="0.2">
      <c r="A526" s="245" t="s">
        <v>197</v>
      </c>
      <c r="B526" s="245">
        <v>2617954533</v>
      </c>
      <c r="C526" s="245" t="s">
        <v>2701</v>
      </c>
      <c r="D526" s="245" t="s">
        <v>110</v>
      </c>
      <c r="E526" s="245" t="s">
        <v>198</v>
      </c>
      <c r="F526" s="245" t="s">
        <v>1233</v>
      </c>
      <c r="G526" s="245">
        <v>512</v>
      </c>
      <c r="H526" s="245" t="s">
        <v>2422</v>
      </c>
      <c r="I526" s="245" t="s">
        <v>801</v>
      </c>
      <c r="J526" s="245" t="s">
        <v>2703</v>
      </c>
      <c r="K526" s="246" t="s">
        <v>3229</v>
      </c>
      <c r="L526" s="245" t="s">
        <v>2516</v>
      </c>
      <c r="M526" s="245" t="s">
        <v>3199</v>
      </c>
      <c r="N526" s="245" t="s">
        <v>2707</v>
      </c>
      <c r="O526" s="158"/>
      <c r="P526" s="92"/>
      <c r="Q526" s="146"/>
      <c r="R526" s="92"/>
      <c r="S526" s="146"/>
      <c r="T526" s="92"/>
      <c r="U526" s="146"/>
      <c r="V526" s="92"/>
      <c r="W526" s="146"/>
      <c r="X526" s="92"/>
      <c r="Y526" s="146"/>
      <c r="Z526" s="92"/>
      <c r="AA526" s="146"/>
      <c r="AB526" s="92"/>
      <c r="AC526" s="146"/>
      <c r="AD526" s="92"/>
      <c r="AE526" s="146"/>
      <c r="AF526" s="143" t="str">
        <f t="shared" si="35"/>
        <v/>
      </c>
      <c r="AG526" s="199" t="b">
        <f t="shared" si="34"/>
        <v>0</v>
      </c>
      <c r="AH526" s="146"/>
      <c r="AI526" s="154" t="s">
        <v>6</v>
      </c>
      <c r="AJ526" s="151" t="str">
        <f t="shared" si="33"/>
        <v>GUARULHOS</v>
      </c>
      <c r="AK526" s="155" t="s">
        <v>59</v>
      </c>
      <c r="AL526" s="53">
        <v>0.99473709259447829</v>
      </c>
      <c r="AM526" s="53" t="str" cm="1">
        <f t="array" ref="AM526">IF(OR(O526&lt;&gt;"", SUMPRODUCT(($AN$2:$AN$561=AN526)*($AL$2:$AL$561&lt;=AL526)) &lt;= (COUNTIF($AN$2:$AN$561,AN526)*0.5)), "SORTEADO", "-")</f>
        <v>-</v>
      </c>
      <c r="AN526" s="53" t="str">
        <f t="shared" si="32"/>
        <v>30/04/2026</v>
      </c>
    </row>
    <row r="527" spans="1:40" ht="30" hidden="1" customHeight="1" x14ac:dyDescent="0.2">
      <c r="A527" s="245" t="s">
        <v>197</v>
      </c>
      <c r="B527" s="245">
        <v>2617954339</v>
      </c>
      <c r="C527" s="245" t="s">
        <v>2701</v>
      </c>
      <c r="D527" s="245" t="s">
        <v>110</v>
      </c>
      <c r="E527" s="245" t="s">
        <v>198</v>
      </c>
      <c r="F527" s="245" t="s">
        <v>1233</v>
      </c>
      <c r="G527" s="245">
        <v>503</v>
      </c>
      <c r="H527" s="245" t="s">
        <v>3232</v>
      </c>
      <c r="I527" s="245" t="s">
        <v>801</v>
      </c>
      <c r="J527" s="245" t="s">
        <v>2703</v>
      </c>
      <c r="K527" s="246" t="s">
        <v>3229</v>
      </c>
      <c r="L527" s="245" t="s">
        <v>2516</v>
      </c>
      <c r="M527" s="245" t="s">
        <v>3199</v>
      </c>
      <c r="N527" s="245" t="s">
        <v>2707</v>
      </c>
      <c r="O527" s="158"/>
      <c r="P527" s="92"/>
      <c r="Q527" s="146"/>
      <c r="R527" s="92"/>
      <c r="S527" s="146"/>
      <c r="T527" s="92"/>
      <c r="U527" s="146"/>
      <c r="V527" s="92"/>
      <c r="W527" s="146"/>
      <c r="X527" s="92"/>
      <c r="Y527" s="146"/>
      <c r="Z527" s="92"/>
      <c r="AA527" s="146"/>
      <c r="AB527" s="92"/>
      <c r="AC527" s="146"/>
      <c r="AD527" s="92"/>
      <c r="AE527" s="146"/>
      <c r="AF527" s="143" t="str">
        <f t="shared" si="35"/>
        <v/>
      </c>
      <c r="AG527" s="199" t="b">
        <f t="shared" si="34"/>
        <v>0</v>
      </c>
      <c r="AH527" s="146"/>
      <c r="AI527" s="154" t="s">
        <v>6</v>
      </c>
      <c r="AJ527" s="151" t="str">
        <f t="shared" si="33"/>
        <v>GUARULHOS</v>
      </c>
      <c r="AK527" s="155" t="s">
        <v>59</v>
      </c>
      <c r="AL527" s="53">
        <v>0.63940993133325508</v>
      </c>
      <c r="AM527" s="53" t="str" cm="1">
        <f t="array" ref="AM527">IF(OR(O527&lt;&gt;"", SUMPRODUCT(($AN$2:$AN$561=AN527)*($AL$2:$AL$561&lt;=AL527)) &lt;= (COUNTIF($AN$2:$AN$561,AN527)*0.5)), "SORTEADO", "-")</f>
        <v>-</v>
      </c>
      <c r="AN527" s="53" t="str">
        <f t="shared" si="32"/>
        <v>30/04/2026</v>
      </c>
    </row>
    <row r="528" spans="1:40" ht="30" hidden="1" customHeight="1" x14ac:dyDescent="0.2">
      <c r="A528" s="245" t="s">
        <v>197</v>
      </c>
      <c r="B528" s="245">
        <v>2617953857</v>
      </c>
      <c r="C528" s="245" t="s">
        <v>2701</v>
      </c>
      <c r="D528" s="245" t="s">
        <v>110</v>
      </c>
      <c r="E528" s="245" t="s">
        <v>198</v>
      </c>
      <c r="F528" s="245" t="s">
        <v>1233</v>
      </c>
      <c r="G528" s="245">
        <v>457</v>
      </c>
      <c r="H528" s="245" t="s">
        <v>3233</v>
      </c>
      <c r="I528" s="245" t="s">
        <v>801</v>
      </c>
      <c r="J528" s="245" t="s">
        <v>2703</v>
      </c>
      <c r="K528" s="246" t="s">
        <v>3229</v>
      </c>
      <c r="L528" s="245" t="s">
        <v>2516</v>
      </c>
      <c r="M528" s="245" t="s">
        <v>3199</v>
      </c>
      <c r="N528" s="245" t="s">
        <v>2707</v>
      </c>
      <c r="O528" s="158"/>
      <c r="P528" s="92"/>
      <c r="Q528" s="146"/>
      <c r="R528" s="92"/>
      <c r="S528" s="146"/>
      <c r="T528" s="92"/>
      <c r="U528" s="146"/>
      <c r="V528" s="92"/>
      <c r="W528" s="146"/>
      <c r="X528" s="92"/>
      <c r="Y528" s="146"/>
      <c r="Z528" s="92"/>
      <c r="AA528" s="146"/>
      <c r="AB528" s="92"/>
      <c r="AC528" s="146"/>
      <c r="AD528" s="92"/>
      <c r="AE528" s="146"/>
      <c r="AF528" s="143" t="str">
        <f t="shared" si="35"/>
        <v/>
      </c>
      <c r="AG528" s="199" t="b">
        <f t="shared" si="34"/>
        <v>0</v>
      </c>
      <c r="AH528" s="146"/>
      <c r="AI528" s="154" t="s">
        <v>6</v>
      </c>
      <c r="AJ528" s="151" t="str">
        <f t="shared" si="33"/>
        <v>GUARULHOS</v>
      </c>
      <c r="AK528" s="155" t="s">
        <v>59</v>
      </c>
      <c r="AL528" s="53">
        <v>0.81646323166669632</v>
      </c>
      <c r="AM528" s="53" t="str" cm="1">
        <f t="array" ref="AM528">IF(OR(O528&lt;&gt;"", SUMPRODUCT(($AN$2:$AN$561=AN528)*($AL$2:$AL$561&lt;=AL528)) &lt;= (COUNTIF($AN$2:$AN$561,AN528)*0.5)), "SORTEADO", "-")</f>
        <v>-</v>
      </c>
      <c r="AN528" s="53" t="str">
        <f t="shared" si="32"/>
        <v>30/04/2026</v>
      </c>
    </row>
    <row r="529" spans="1:40" ht="30" hidden="1" customHeight="1" x14ac:dyDescent="0.2">
      <c r="A529" s="245" t="s">
        <v>197</v>
      </c>
      <c r="B529" s="245">
        <v>2617954117</v>
      </c>
      <c r="C529" s="245" t="s">
        <v>2701</v>
      </c>
      <c r="D529" s="245" t="s">
        <v>110</v>
      </c>
      <c r="E529" s="245" t="s">
        <v>198</v>
      </c>
      <c r="F529" s="245" t="s">
        <v>1233</v>
      </c>
      <c r="G529" s="245">
        <v>456</v>
      </c>
      <c r="H529" s="245"/>
      <c r="I529" s="245" t="s">
        <v>801</v>
      </c>
      <c r="J529" s="245" t="s">
        <v>2703</v>
      </c>
      <c r="K529" s="246" t="s">
        <v>3231</v>
      </c>
      <c r="L529" s="245" t="s">
        <v>2516</v>
      </c>
      <c r="M529" s="245" t="s">
        <v>3199</v>
      </c>
      <c r="N529" s="245" t="s">
        <v>2707</v>
      </c>
      <c r="O529" s="158"/>
      <c r="P529" s="92"/>
      <c r="Q529" s="146"/>
      <c r="R529" s="92"/>
      <c r="S529" s="146"/>
      <c r="T529" s="92"/>
      <c r="U529" s="146"/>
      <c r="V529" s="92"/>
      <c r="W529" s="146"/>
      <c r="X529" s="92"/>
      <c r="Y529" s="146"/>
      <c r="Z529" s="92"/>
      <c r="AA529" s="146"/>
      <c r="AB529" s="92"/>
      <c r="AC529" s="146"/>
      <c r="AD529" s="92"/>
      <c r="AE529" s="146"/>
      <c r="AF529" s="143" t="str">
        <f t="shared" si="35"/>
        <v/>
      </c>
      <c r="AG529" s="199" t="b">
        <f t="shared" si="34"/>
        <v>0</v>
      </c>
      <c r="AH529" s="146"/>
      <c r="AI529" s="154" t="s">
        <v>6</v>
      </c>
      <c r="AJ529" s="151" t="str">
        <f t="shared" si="33"/>
        <v>GUARULHOS</v>
      </c>
      <c r="AK529" s="155" t="s">
        <v>59</v>
      </c>
      <c r="AL529" s="53">
        <v>0.64242941405721932</v>
      </c>
      <c r="AM529" s="53" t="str" cm="1">
        <f t="array" ref="AM529">IF(OR(O529&lt;&gt;"", SUMPRODUCT(($AN$2:$AN$561=AN529)*($AL$2:$AL$561&lt;=AL529)) &lt;= (COUNTIF($AN$2:$AN$561,AN529)*0.5)), "SORTEADO", "-")</f>
        <v>-</v>
      </c>
      <c r="AN529" s="53" t="str">
        <f t="shared" si="32"/>
        <v>30/04/2026</v>
      </c>
    </row>
    <row r="530" spans="1:40" ht="30" hidden="1" customHeight="1" x14ac:dyDescent="0.2">
      <c r="A530" s="245" t="s">
        <v>197</v>
      </c>
      <c r="B530" s="245">
        <v>2617953336</v>
      </c>
      <c r="C530" s="245" t="s">
        <v>2701</v>
      </c>
      <c r="D530" s="245" t="s">
        <v>110</v>
      </c>
      <c r="E530" s="245" t="s">
        <v>198</v>
      </c>
      <c r="F530" s="245" t="s">
        <v>1233</v>
      </c>
      <c r="G530" s="245">
        <v>445</v>
      </c>
      <c r="H530" s="245" t="s">
        <v>213</v>
      </c>
      <c r="I530" s="245" t="s">
        <v>801</v>
      </c>
      <c r="J530" s="245" t="s">
        <v>2703</v>
      </c>
      <c r="K530" s="246" t="s">
        <v>3229</v>
      </c>
      <c r="L530" s="245" t="s">
        <v>2516</v>
      </c>
      <c r="M530" s="245" t="s">
        <v>3199</v>
      </c>
      <c r="N530" s="245" t="s">
        <v>2707</v>
      </c>
      <c r="O530" s="158"/>
      <c r="P530" s="92"/>
      <c r="Q530" s="146"/>
      <c r="R530" s="92"/>
      <c r="S530" s="146"/>
      <c r="T530" s="92"/>
      <c r="U530" s="146"/>
      <c r="V530" s="92"/>
      <c r="W530" s="146"/>
      <c r="X530" s="92"/>
      <c r="Y530" s="146"/>
      <c r="Z530" s="92"/>
      <c r="AA530" s="146"/>
      <c r="AB530" s="92"/>
      <c r="AC530" s="146"/>
      <c r="AD530" s="92"/>
      <c r="AE530" s="146"/>
      <c r="AF530" s="143" t="str">
        <f t="shared" si="35"/>
        <v/>
      </c>
      <c r="AG530" s="199" t="b">
        <f t="shared" si="34"/>
        <v>0</v>
      </c>
      <c r="AH530" s="146"/>
      <c r="AI530" s="154" t="s">
        <v>6</v>
      </c>
      <c r="AJ530" s="151" t="str">
        <f t="shared" si="33"/>
        <v>GUARULHOS</v>
      </c>
      <c r="AK530" s="155" t="s">
        <v>59</v>
      </c>
      <c r="AL530" s="53">
        <v>0.18465306688309557</v>
      </c>
      <c r="AM530" s="53" t="str" cm="1">
        <f t="array" ref="AM530">IF(OR(O530&lt;&gt;"", SUMPRODUCT(($AN$2:$AN$561=AN530)*($AL$2:$AL$561&lt;=AL530)) &lt;= (COUNTIF($AN$2:$AN$561,AN530)*0.5)), "SORTEADO", "-")</f>
        <v>SORTEADO</v>
      </c>
      <c r="AN530" s="53" t="str">
        <f t="shared" si="32"/>
        <v>30/04/2026</v>
      </c>
    </row>
    <row r="531" spans="1:40" ht="30" hidden="1" customHeight="1" x14ac:dyDescent="0.2">
      <c r="A531" s="245" t="s">
        <v>197</v>
      </c>
      <c r="B531" s="245">
        <v>2617953038</v>
      </c>
      <c r="C531" s="245" t="s">
        <v>2701</v>
      </c>
      <c r="D531" s="245" t="s">
        <v>110</v>
      </c>
      <c r="E531" s="245" t="s">
        <v>198</v>
      </c>
      <c r="F531" s="245" t="s">
        <v>1233</v>
      </c>
      <c r="G531" s="245">
        <v>402</v>
      </c>
      <c r="H531" s="245" t="s">
        <v>3234</v>
      </c>
      <c r="I531" s="245" t="s">
        <v>801</v>
      </c>
      <c r="J531" s="245" t="s">
        <v>2703</v>
      </c>
      <c r="K531" s="246" t="s">
        <v>3231</v>
      </c>
      <c r="L531" s="245" t="s">
        <v>2516</v>
      </c>
      <c r="M531" s="245" t="s">
        <v>3199</v>
      </c>
      <c r="N531" s="245" t="s">
        <v>2707</v>
      </c>
      <c r="O531" s="158"/>
      <c r="P531" s="92"/>
      <c r="Q531" s="146"/>
      <c r="R531" s="92"/>
      <c r="S531" s="146"/>
      <c r="T531" s="92"/>
      <c r="U531" s="146"/>
      <c r="V531" s="92"/>
      <c r="W531" s="146"/>
      <c r="X531" s="92"/>
      <c r="Y531" s="146"/>
      <c r="Z531" s="92"/>
      <c r="AA531" s="146"/>
      <c r="AB531" s="92"/>
      <c r="AC531" s="146"/>
      <c r="AD531" s="92"/>
      <c r="AE531" s="146"/>
      <c r="AF531" s="143" t="str">
        <f t="shared" si="35"/>
        <v/>
      </c>
      <c r="AG531" s="199" t="b">
        <f t="shared" si="34"/>
        <v>0</v>
      </c>
      <c r="AH531" s="146"/>
      <c r="AI531" s="154" t="s">
        <v>6</v>
      </c>
      <c r="AJ531" s="151" t="str">
        <f t="shared" si="33"/>
        <v>GUARULHOS</v>
      </c>
      <c r="AK531" s="155" t="s">
        <v>59</v>
      </c>
      <c r="AL531" s="53">
        <v>0.87690360167539638</v>
      </c>
      <c r="AM531" s="53" t="str" cm="1">
        <f t="array" ref="AM531">IF(OR(O531&lt;&gt;"", SUMPRODUCT(($AN$2:$AN$561=AN531)*($AL$2:$AL$561&lt;=AL531)) &lt;= (COUNTIF($AN$2:$AN$561,AN531)*0.5)), "SORTEADO", "-")</f>
        <v>-</v>
      </c>
      <c r="AN531" s="53" t="str">
        <f t="shared" si="32"/>
        <v>30/04/2026</v>
      </c>
    </row>
    <row r="532" spans="1:40" ht="30" hidden="1" customHeight="1" x14ac:dyDescent="0.2">
      <c r="A532" s="245" t="s">
        <v>197</v>
      </c>
      <c r="B532" s="245">
        <v>2617951629</v>
      </c>
      <c r="C532" s="245" t="s">
        <v>2701</v>
      </c>
      <c r="D532" s="245" t="s">
        <v>110</v>
      </c>
      <c r="E532" s="245" t="s">
        <v>198</v>
      </c>
      <c r="F532" s="245" t="s">
        <v>3188</v>
      </c>
      <c r="G532" s="245">
        <v>300</v>
      </c>
      <c r="H532" s="245" t="s">
        <v>3235</v>
      </c>
      <c r="I532" s="245" t="s">
        <v>356</v>
      </c>
      <c r="J532" s="245" t="s">
        <v>2703</v>
      </c>
      <c r="K532" s="246" t="s">
        <v>3236</v>
      </c>
      <c r="L532" s="245" t="s">
        <v>2516</v>
      </c>
      <c r="M532" s="245" t="s">
        <v>3183</v>
      </c>
      <c r="N532" s="245" t="s">
        <v>2705</v>
      </c>
      <c r="O532" s="158"/>
      <c r="P532" s="92"/>
      <c r="Q532" s="146"/>
      <c r="R532" s="92"/>
      <c r="S532" s="146"/>
      <c r="T532" s="92"/>
      <c r="U532" s="146"/>
      <c r="V532" s="92"/>
      <c r="W532" s="146"/>
      <c r="X532" s="92"/>
      <c r="Y532" s="146"/>
      <c r="Z532" s="92"/>
      <c r="AA532" s="146"/>
      <c r="AB532" s="92"/>
      <c r="AC532" s="146"/>
      <c r="AD532" s="92"/>
      <c r="AE532" s="146"/>
      <c r="AF532" s="143" t="str">
        <f t="shared" si="35"/>
        <v/>
      </c>
      <c r="AG532" s="199" t="b">
        <f t="shared" si="34"/>
        <v>0</v>
      </c>
      <c r="AH532" s="146"/>
      <c r="AI532" s="154" t="s">
        <v>6</v>
      </c>
      <c r="AJ532" s="151" t="str">
        <f t="shared" si="33"/>
        <v>GUARULHOS</v>
      </c>
      <c r="AK532" s="155" t="s">
        <v>59</v>
      </c>
      <c r="AL532" s="53">
        <v>0.13208008078585887</v>
      </c>
      <c r="AM532" s="53" t="str" cm="1">
        <f t="array" ref="AM532">IF(OR(O532&lt;&gt;"", SUMPRODUCT(($AN$2:$AN$561=AN532)*($AL$2:$AL$561&lt;=AL532)) &lt;= (COUNTIF($AN$2:$AN$561,AN532)*0.5)), "SORTEADO", "-")</f>
        <v>SORTEADO</v>
      </c>
      <c r="AN532" s="53" t="str">
        <f t="shared" si="32"/>
        <v>30/04/2026</v>
      </c>
    </row>
    <row r="533" spans="1:40" ht="30" hidden="1" customHeight="1" x14ac:dyDescent="0.2">
      <c r="A533" s="245" t="s">
        <v>197</v>
      </c>
      <c r="B533" s="245">
        <v>2617951930</v>
      </c>
      <c r="C533" s="245" t="s">
        <v>2701</v>
      </c>
      <c r="D533" s="245" t="s">
        <v>110</v>
      </c>
      <c r="E533" s="245" t="s">
        <v>198</v>
      </c>
      <c r="F533" s="245" t="s">
        <v>3188</v>
      </c>
      <c r="G533" s="245">
        <v>296</v>
      </c>
      <c r="H533" s="245" t="s">
        <v>362</v>
      </c>
      <c r="I533" s="245" t="s">
        <v>356</v>
      </c>
      <c r="J533" s="245" t="s">
        <v>2703</v>
      </c>
      <c r="K533" s="246" t="s">
        <v>3236</v>
      </c>
      <c r="L533" s="245" t="s">
        <v>2516</v>
      </c>
      <c r="M533" s="245" t="s">
        <v>3183</v>
      </c>
      <c r="N533" s="245" t="s">
        <v>2705</v>
      </c>
      <c r="O533" s="158"/>
      <c r="P533" s="92"/>
      <c r="Q533" s="146"/>
      <c r="R533" s="92"/>
      <c r="S533" s="146"/>
      <c r="T533" s="92"/>
      <c r="U533" s="146"/>
      <c r="V533" s="92"/>
      <c r="W533" s="146"/>
      <c r="X533" s="92"/>
      <c r="Y533" s="146"/>
      <c r="Z533" s="92"/>
      <c r="AA533" s="146"/>
      <c r="AB533" s="92"/>
      <c r="AC533" s="146"/>
      <c r="AD533" s="92"/>
      <c r="AE533" s="146"/>
      <c r="AF533" s="143" t="str">
        <f t="shared" si="35"/>
        <v/>
      </c>
      <c r="AG533" s="199" t="b">
        <f t="shared" si="34"/>
        <v>0</v>
      </c>
      <c r="AH533" s="146"/>
      <c r="AI533" s="154" t="s">
        <v>6</v>
      </c>
      <c r="AJ533" s="151" t="str">
        <f t="shared" si="33"/>
        <v>GUARULHOS</v>
      </c>
      <c r="AK533" s="155" t="s">
        <v>59</v>
      </c>
      <c r="AL533" s="53">
        <v>0.99486824408968333</v>
      </c>
      <c r="AM533" s="53" t="str" cm="1">
        <f t="array" ref="AM533">IF(OR(O533&lt;&gt;"", SUMPRODUCT(($AN$2:$AN$561=AN533)*($AL$2:$AL$561&lt;=AL533)) &lt;= (COUNTIF($AN$2:$AN$561,AN533)*0.5)), "SORTEADO", "-")</f>
        <v>-</v>
      </c>
      <c r="AN533" s="53" t="str">
        <f t="shared" ref="AN533:AN561" si="36">TEXT(L533, "dd/mm/aaaa")</f>
        <v>30/04/2026</v>
      </c>
    </row>
    <row r="534" spans="1:40" ht="30" hidden="1" customHeight="1" x14ac:dyDescent="0.2">
      <c r="A534" s="245" t="s">
        <v>197</v>
      </c>
      <c r="B534" s="245">
        <v>2618034125</v>
      </c>
      <c r="C534" s="245" t="s">
        <v>2701</v>
      </c>
      <c r="D534" s="245" t="s">
        <v>110</v>
      </c>
      <c r="E534" s="245" t="s">
        <v>198</v>
      </c>
      <c r="F534" s="245" t="s">
        <v>3188</v>
      </c>
      <c r="G534" s="245">
        <v>295</v>
      </c>
      <c r="H534" s="245" t="s">
        <v>3237</v>
      </c>
      <c r="I534" s="245" t="s">
        <v>356</v>
      </c>
      <c r="J534" s="245" t="s">
        <v>2703</v>
      </c>
      <c r="K534" s="246" t="s">
        <v>3236</v>
      </c>
      <c r="L534" s="245" t="s">
        <v>2516</v>
      </c>
      <c r="M534" s="245" t="s">
        <v>3183</v>
      </c>
      <c r="N534" s="245" t="s">
        <v>2705</v>
      </c>
      <c r="O534" s="158"/>
      <c r="P534" s="92"/>
      <c r="Q534" s="146"/>
      <c r="R534" s="92"/>
      <c r="S534" s="146"/>
      <c r="T534" s="92"/>
      <c r="U534" s="146"/>
      <c r="V534" s="92"/>
      <c r="W534" s="146"/>
      <c r="X534" s="92"/>
      <c r="Y534" s="146"/>
      <c r="Z534" s="92"/>
      <c r="AA534" s="146"/>
      <c r="AB534" s="92"/>
      <c r="AC534" s="146"/>
      <c r="AD534" s="92"/>
      <c r="AE534" s="146"/>
      <c r="AF534" s="143" t="str">
        <f t="shared" si="35"/>
        <v/>
      </c>
      <c r="AG534" s="199" t="b">
        <f t="shared" si="34"/>
        <v>0</v>
      </c>
      <c r="AH534" s="146"/>
      <c r="AI534" s="154" t="s">
        <v>6</v>
      </c>
      <c r="AJ534" s="151" t="str">
        <f t="shared" si="33"/>
        <v>GUARULHOS</v>
      </c>
      <c r="AK534" s="155" t="s">
        <v>59</v>
      </c>
      <c r="AL534" s="53">
        <v>0.67400945445781524</v>
      </c>
      <c r="AM534" s="53" t="str" cm="1">
        <f t="array" ref="AM534">IF(OR(O534&lt;&gt;"", SUMPRODUCT(($AN$2:$AN$561=AN534)*($AL$2:$AL$561&lt;=AL534)) &lt;= (COUNTIF($AN$2:$AN$561,AN534)*0.5)), "SORTEADO", "-")</f>
        <v>-</v>
      </c>
      <c r="AN534" s="53" t="str">
        <f t="shared" si="36"/>
        <v>30/04/2026</v>
      </c>
    </row>
    <row r="535" spans="1:40" ht="30" hidden="1" customHeight="1" x14ac:dyDescent="0.2">
      <c r="A535" s="245" t="s">
        <v>197</v>
      </c>
      <c r="B535" s="245">
        <v>2617952298</v>
      </c>
      <c r="C535" s="245" t="s">
        <v>2701</v>
      </c>
      <c r="D535" s="245" t="s">
        <v>110</v>
      </c>
      <c r="E535" s="245" t="s">
        <v>198</v>
      </c>
      <c r="F535" s="245" t="s">
        <v>3188</v>
      </c>
      <c r="G535" s="245">
        <v>290</v>
      </c>
      <c r="H535" s="245"/>
      <c r="I535" s="245" t="s">
        <v>356</v>
      </c>
      <c r="J535" s="245" t="s">
        <v>2703</v>
      </c>
      <c r="K535" s="246" t="s">
        <v>3236</v>
      </c>
      <c r="L535" s="245" t="s">
        <v>2516</v>
      </c>
      <c r="M535" s="245" t="s">
        <v>3183</v>
      </c>
      <c r="N535" s="245" t="s">
        <v>2705</v>
      </c>
      <c r="O535" s="158"/>
      <c r="P535" s="92"/>
      <c r="Q535" s="146"/>
      <c r="R535" s="92"/>
      <c r="S535" s="146"/>
      <c r="T535" s="92"/>
      <c r="U535" s="146"/>
      <c r="V535" s="92"/>
      <c r="W535" s="146"/>
      <c r="X535" s="92"/>
      <c r="Y535" s="146"/>
      <c r="Z535" s="92"/>
      <c r="AA535" s="146"/>
      <c r="AB535" s="92"/>
      <c r="AC535" s="146"/>
      <c r="AD535" s="92"/>
      <c r="AE535" s="146"/>
      <c r="AF535" s="143" t="str">
        <f t="shared" si="35"/>
        <v/>
      </c>
      <c r="AG535" s="199" t="b">
        <f t="shared" si="34"/>
        <v>0</v>
      </c>
      <c r="AH535" s="146"/>
      <c r="AI535" s="154" t="s">
        <v>6</v>
      </c>
      <c r="AJ535" s="151" t="str">
        <f t="shared" si="33"/>
        <v>GUARULHOS</v>
      </c>
      <c r="AK535" s="155" t="s">
        <v>59</v>
      </c>
      <c r="AL535" s="53">
        <v>0.83486549389526665</v>
      </c>
      <c r="AM535" s="53" t="str" cm="1">
        <f t="array" ref="AM535">IF(OR(O535&lt;&gt;"", SUMPRODUCT(($AN$2:$AN$561=AN535)*($AL$2:$AL$561&lt;=AL535)) &lt;= (COUNTIF($AN$2:$AN$561,AN535)*0.5)), "SORTEADO", "-")</f>
        <v>-</v>
      </c>
      <c r="AN535" s="53" t="str">
        <f t="shared" si="36"/>
        <v>30/04/2026</v>
      </c>
    </row>
    <row r="536" spans="1:40" ht="30" hidden="1" customHeight="1" x14ac:dyDescent="0.2">
      <c r="A536" s="245" t="s">
        <v>197</v>
      </c>
      <c r="B536" s="245">
        <v>2617951323</v>
      </c>
      <c r="C536" s="245" t="s">
        <v>2701</v>
      </c>
      <c r="D536" s="245" t="s">
        <v>110</v>
      </c>
      <c r="E536" s="245" t="s">
        <v>198</v>
      </c>
      <c r="F536" s="245" t="s">
        <v>3188</v>
      </c>
      <c r="G536" s="245">
        <v>282</v>
      </c>
      <c r="H536" s="245" t="s">
        <v>3238</v>
      </c>
      <c r="I536" s="245" t="s">
        <v>356</v>
      </c>
      <c r="J536" s="245" t="s">
        <v>2703</v>
      </c>
      <c r="K536" s="246" t="s">
        <v>3236</v>
      </c>
      <c r="L536" s="245" t="s">
        <v>2516</v>
      </c>
      <c r="M536" s="245" t="s">
        <v>3183</v>
      </c>
      <c r="N536" s="245" t="s">
        <v>2705</v>
      </c>
      <c r="O536" s="158"/>
      <c r="P536" s="92"/>
      <c r="Q536" s="146"/>
      <c r="R536" s="92"/>
      <c r="S536" s="146"/>
      <c r="T536" s="92"/>
      <c r="U536" s="146"/>
      <c r="V536" s="92"/>
      <c r="W536" s="146"/>
      <c r="X536" s="92"/>
      <c r="Y536" s="146"/>
      <c r="Z536" s="92"/>
      <c r="AA536" s="146"/>
      <c r="AB536" s="92"/>
      <c r="AC536" s="146"/>
      <c r="AD536" s="92"/>
      <c r="AE536" s="146"/>
      <c r="AF536" s="143" t="str">
        <f t="shared" si="35"/>
        <v/>
      </c>
      <c r="AG536" s="199" t="b">
        <f t="shared" si="34"/>
        <v>0</v>
      </c>
      <c r="AH536" s="146"/>
      <c r="AI536" s="154" t="s">
        <v>6</v>
      </c>
      <c r="AJ536" s="151" t="str">
        <f t="shared" si="33"/>
        <v>GUARULHOS</v>
      </c>
      <c r="AK536" s="155" t="s">
        <v>59</v>
      </c>
      <c r="AL536" s="53">
        <v>0.29807414653574205</v>
      </c>
      <c r="AM536" s="53" t="str" cm="1">
        <f t="array" ref="AM536">IF(OR(O536&lt;&gt;"", SUMPRODUCT(($AN$2:$AN$561=AN536)*($AL$2:$AL$561&lt;=AL536)) &lt;= (COUNTIF($AN$2:$AN$561,AN536)*0.5)), "SORTEADO", "-")</f>
        <v>SORTEADO</v>
      </c>
      <c r="AN536" s="53" t="str">
        <f t="shared" si="36"/>
        <v>30/04/2026</v>
      </c>
    </row>
    <row r="537" spans="1:40" ht="30" hidden="1" customHeight="1" x14ac:dyDescent="0.2">
      <c r="A537" s="245" t="s">
        <v>197</v>
      </c>
      <c r="B537" s="245">
        <v>2617951538</v>
      </c>
      <c r="C537" s="245" t="s">
        <v>2701</v>
      </c>
      <c r="D537" s="245" t="s">
        <v>110</v>
      </c>
      <c r="E537" s="245" t="s">
        <v>198</v>
      </c>
      <c r="F537" s="245" t="s">
        <v>3188</v>
      </c>
      <c r="G537" s="245">
        <v>271</v>
      </c>
      <c r="H537" s="245" t="s">
        <v>3239</v>
      </c>
      <c r="I537" s="245" t="s">
        <v>356</v>
      </c>
      <c r="J537" s="245" t="s">
        <v>2703</v>
      </c>
      <c r="K537" s="246" t="s">
        <v>3236</v>
      </c>
      <c r="L537" s="245" t="s">
        <v>2516</v>
      </c>
      <c r="M537" s="245" t="s">
        <v>3183</v>
      </c>
      <c r="N537" s="245" t="s">
        <v>2705</v>
      </c>
      <c r="O537" s="158"/>
      <c r="P537" s="92"/>
      <c r="Q537" s="146"/>
      <c r="R537" s="92"/>
      <c r="S537" s="146"/>
      <c r="T537" s="92"/>
      <c r="U537" s="146"/>
      <c r="V537" s="92"/>
      <c r="W537" s="146"/>
      <c r="X537" s="92"/>
      <c r="Y537" s="146"/>
      <c r="Z537" s="92"/>
      <c r="AA537" s="146"/>
      <c r="AB537" s="92"/>
      <c r="AC537" s="146"/>
      <c r="AD537" s="92"/>
      <c r="AE537" s="146"/>
      <c r="AF537" s="143" t="str">
        <f t="shared" si="35"/>
        <v/>
      </c>
      <c r="AG537" s="199" t="b">
        <f t="shared" si="34"/>
        <v>0</v>
      </c>
      <c r="AH537" s="146"/>
      <c r="AI537" s="154" t="s">
        <v>6</v>
      </c>
      <c r="AJ537" s="151" t="str">
        <f t="shared" si="33"/>
        <v>GUARULHOS</v>
      </c>
      <c r="AK537" s="155" t="s">
        <v>59</v>
      </c>
      <c r="AL537" s="53">
        <v>0.46123809316112518</v>
      </c>
      <c r="AM537" s="53" t="str" cm="1">
        <f t="array" ref="AM537">IF(OR(O537&lt;&gt;"", SUMPRODUCT(($AN$2:$AN$561=AN537)*($AL$2:$AL$561&lt;=AL537)) &lt;= (COUNTIF($AN$2:$AN$561,AN537)*0.5)), "SORTEADO", "-")</f>
        <v>SORTEADO</v>
      </c>
      <c r="AN537" s="53" t="str">
        <f t="shared" si="36"/>
        <v>30/04/2026</v>
      </c>
    </row>
    <row r="538" spans="1:40" ht="30" hidden="1" customHeight="1" x14ac:dyDescent="0.2">
      <c r="A538" s="245" t="s">
        <v>197</v>
      </c>
      <c r="B538" s="245">
        <v>2617951724</v>
      </c>
      <c r="C538" s="245" t="s">
        <v>2701</v>
      </c>
      <c r="D538" s="245" t="s">
        <v>110</v>
      </c>
      <c r="E538" s="245" t="s">
        <v>198</v>
      </c>
      <c r="F538" s="245" t="s">
        <v>3188</v>
      </c>
      <c r="G538" s="245">
        <v>270</v>
      </c>
      <c r="H538" s="245" t="s">
        <v>3240</v>
      </c>
      <c r="I538" s="245" t="s">
        <v>356</v>
      </c>
      <c r="J538" s="245" t="s">
        <v>2703</v>
      </c>
      <c r="K538" s="246" t="s">
        <v>3236</v>
      </c>
      <c r="L538" s="245" t="s">
        <v>2516</v>
      </c>
      <c r="M538" s="245" t="s">
        <v>3183</v>
      </c>
      <c r="N538" s="245" t="s">
        <v>2705</v>
      </c>
      <c r="O538" s="158"/>
      <c r="P538" s="92"/>
      <c r="Q538" s="146"/>
      <c r="R538" s="92"/>
      <c r="S538" s="146"/>
      <c r="T538" s="92"/>
      <c r="U538" s="146"/>
      <c r="V538" s="92"/>
      <c r="W538" s="146"/>
      <c r="X538" s="92"/>
      <c r="Y538" s="146"/>
      <c r="Z538" s="92"/>
      <c r="AA538" s="146"/>
      <c r="AB538" s="92"/>
      <c r="AC538" s="146"/>
      <c r="AD538" s="92"/>
      <c r="AE538" s="146"/>
      <c r="AF538" s="143" t="str">
        <f t="shared" si="35"/>
        <v/>
      </c>
      <c r="AG538" s="199" t="b">
        <f t="shared" si="34"/>
        <v>0</v>
      </c>
      <c r="AH538" s="146"/>
      <c r="AI538" s="154" t="s">
        <v>6</v>
      </c>
      <c r="AJ538" s="151" t="str">
        <f t="shared" si="33"/>
        <v>GUARULHOS</v>
      </c>
      <c r="AK538" s="155" t="s">
        <v>59</v>
      </c>
      <c r="AL538" s="53">
        <v>0.84430033174894836</v>
      </c>
      <c r="AM538" s="53" t="str" cm="1">
        <f t="array" ref="AM538">IF(OR(O538&lt;&gt;"", SUMPRODUCT(($AN$2:$AN$561=AN538)*($AL$2:$AL$561&lt;=AL538)) &lt;= (COUNTIF($AN$2:$AN$561,AN538)*0.5)), "SORTEADO", "-")</f>
        <v>-</v>
      </c>
      <c r="AN538" s="53" t="str">
        <f t="shared" si="36"/>
        <v>30/04/2026</v>
      </c>
    </row>
    <row r="539" spans="1:40" ht="30" hidden="1" customHeight="1" x14ac:dyDescent="0.2">
      <c r="A539" s="245" t="s">
        <v>197</v>
      </c>
      <c r="B539" s="245">
        <v>2617952033</v>
      </c>
      <c r="C539" s="245" t="s">
        <v>2701</v>
      </c>
      <c r="D539" s="245" t="s">
        <v>110</v>
      </c>
      <c r="E539" s="245" t="s">
        <v>198</v>
      </c>
      <c r="F539" s="245" t="s">
        <v>3188</v>
      </c>
      <c r="G539" s="245">
        <v>267</v>
      </c>
      <c r="H539" s="245" t="s">
        <v>3241</v>
      </c>
      <c r="I539" s="245" t="s">
        <v>356</v>
      </c>
      <c r="J539" s="245" t="s">
        <v>2703</v>
      </c>
      <c r="K539" s="246" t="s">
        <v>3236</v>
      </c>
      <c r="L539" s="245" t="s">
        <v>2516</v>
      </c>
      <c r="M539" s="245" t="s">
        <v>3183</v>
      </c>
      <c r="N539" s="245" t="s">
        <v>2705</v>
      </c>
      <c r="O539" s="158"/>
      <c r="P539" s="92"/>
      <c r="Q539" s="146"/>
      <c r="R539" s="92"/>
      <c r="S539" s="146"/>
      <c r="T539" s="92"/>
      <c r="U539" s="146"/>
      <c r="V539" s="92"/>
      <c r="W539" s="146"/>
      <c r="X539" s="92"/>
      <c r="Y539" s="146"/>
      <c r="Z539" s="92"/>
      <c r="AA539" s="146"/>
      <c r="AB539" s="92"/>
      <c r="AC539" s="146"/>
      <c r="AD539" s="92"/>
      <c r="AE539" s="146"/>
      <c r="AF539" s="143" t="str">
        <f t="shared" si="35"/>
        <v/>
      </c>
      <c r="AG539" s="199" t="b">
        <f t="shared" si="34"/>
        <v>0</v>
      </c>
      <c r="AH539" s="146"/>
      <c r="AI539" s="154" t="s">
        <v>6</v>
      </c>
      <c r="AJ539" s="151" t="str">
        <f t="shared" si="33"/>
        <v>GUARULHOS</v>
      </c>
      <c r="AK539" s="155" t="s">
        <v>59</v>
      </c>
      <c r="AL539" s="53">
        <v>0.20954503574762195</v>
      </c>
      <c r="AM539" s="53" t="str" cm="1">
        <f t="array" ref="AM539">IF(OR(O539&lt;&gt;"", SUMPRODUCT(($AN$2:$AN$561=AN539)*($AL$2:$AL$561&lt;=AL539)) &lt;= (COUNTIF($AN$2:$AN$561,AN539)*0.5)), "SORTEADO", "-")</f>
        <v>SORTEADO</v>
      </c>
      <c r="AN539" s="53" t="str">
        <f t="shared" si="36"/>
        <v>30/04/2026</v>
      </c>
    </row>
    <row r="540" spans="1:40" ht="30" hidden="1" customHeight="1" x14ac:dyDescent="0.2">
      <c r="A540" s="245" t="s">
        <v>197</v>
      </c>
      <c r="B540" s="245">
        <v>2617952180</v>
      </c>
      <c r="C540" s="245" t="s">
        <v>2701</v>
      </c>
      <c r="D540" s="245" t="s">
        <v>110</v>
      </c>
      <c r="E540" s="245" t="s">
        <v>198</v>
      </c>
      <c r="F540" s="245" t="s">
        <v>3188</v>
      </c>
      <c r="G540" s="245">
        <v>264</v>
      </c>
      <c r="H540" s="245" t="s">
        <v>3242</v>
      </c>
      <c r="I540" s="245" t="s">
        <v>356</v>
      </c>
      <c r="J540" s="245" t="s">
        <v>2703</v>
      </c>
      <c r="K540" s="246" t="s">
        <v>3236</v>
      </c>
      <c r="L540" s="245" t="s">
        <v>2516</v>
      </c>
      <c r="M540" s="245" t="s">
        <v>3183</v>
      </c>
      <c r="N540" s="245" t="s">
        <v>2705</v>
      </c>
      <c r="O540" s="158"/>
      <c r="P540" s="92"/>
      <c r="Q540" s="146"/>
      <c r="R540" s="92"/>
      <c r="S540" s="146"/>
      <c r="T540" s="92"/>
      <c r="U540" s="146"/>
      <c r="V540" s="92"/>
      <c r="W540" s="146"/>
      <c r="X540" s="92"/>
      <c r="Y540" s="146"/>
      <c r="Z540" s="92"/>
      <c r="AA540" s="146"/>
      <c r="AB540" s="92"/>
      <c r="AC540" s="146"/>
      <c r="AD540" s="92"/>
      <c r="AE540" s="146"/>
      <c r="AF540" s="143" t="str">
        <f t="shared" si="35"/>
        <v/>
      </c>
      <c r="AG540" s="199" t="b">
        <f t="shared" si="34"/>
        <v>0</v>
      </c>
      <c r="AH540" s="146"/>
      <c r="AI540" s="154" t="s">
        <v>6</v>
      </c>
      <c r="AJ540" s="151" t="str">
        <f t="shared" si="33"/>
        <v>GUARULHOS</v>
      </c>
      <c r="AK540" s="155" t="s">
        <v>59</v>
      </c>
      <c r="AL540" s="53">
        <v>0.54320231845908484</v>
      </c>
      <c r="AM540" s="53" t="str" cm="1">
        <f t="array" ref="AM540">IF(OR(O540&lt;&gt;"", SUMPRODUCT(($AN$2:$AN$561=AN540)*($AL$2:$AL$561&lt;=AL540)) &lt;= (COUNTIF($AN$2:$AN$561,AN540)*0.5)), "SORTEADO", "-")</f>
        <v>SORTEADO</v>
      </c>
      <c r="AN540" s="53" t="str">
        <f t="shared" si="36"/>
        <v>30/04/2026</v>
      </c>
    </row>
    <row r="541" spans="1:40" ht="30" hidden="1" customHeight="1" x14ac:dyDescent="0.2">
      <c r="A541" s="245" t="s">
        <v>197</v>
      </c>
      <c r="B541" s="245">
        <v>2617952314</v>
      </c>
      <c r="C541" s="245" t="s">
        <v>2701</v>
      </c>
      <c r="D541" s="245" t="s">
        <v>110</v>
      </c>
      <c r="E541" s="245" t="s">
        <v>198</v>
      </c>
      <c r="F541" s="245" t="s">
        <v>3188</v>
      </c>
      <c r="G541" s="245">
        <v>263</v>
      </c>
      <c r="H541" s="245" t="s">
        <v>1637</v>
      </c>
      <c r="I541" s="245" t="s">
        <v>356</v>
      </c>
      <c r="J541" s="245" t="s">
        <v>2703</v>
      </c>
      <c r="K541" s="246" t="s">
        <v>3236</v>
      </c>
      <c r="L541" s="245" t="s">
        <v>2516</v>
      </c>
      <c r="M541" s="245" t="s">
        <v>3183</v>
      </c>
      <c r="N541" s="245" t="s">
        <v>2705</v>
      </c>
      <c r="O541" s="158"/>
      <c r="P541" s="92"/>
      <c r="Q541" s="146"/>
      <c r="R541" s="92"/>
      <c r="S541" s="146"/>
      <c r="T541" s="92"/>
      <c r="U541" s="146"/>
      <c r="V541" s="92"/>
      <c r="W541" s="146"/>
      <c r="X541" s="92"/>
      <c r="Y541" s="146"/>
      <c r="Z541" s="92"/>
      <c r="AA541" s="146"/>
      <c r="AB541" s="92"/>
      <c r="AC541" s="146"/>
      <c r="AD541" s="92"/>
      <c r="AE541" s="146"/>
      <c r="AF541" s="143" t="str">
        <f t="shared" si="35"/>
        <v/>
      </c>
      <c r="AG541" s="199" t="b">
        <f t="shared" si="34"/>
        <v>0</v>
      </c>
      <c r="AH541" s="146"/>
      <c r="AI541" s="154" t="s">
        <v>6</v>
      </c>
      <c r="AJ541" s="151" t="str">
        <f t="shared" si="33"/>
        <v>GUARULHOS</v>
      </c>
      <c r="AK541" s="155" t="s">
        <v>59</v>
      </c>
      <c r="AL541" s="53">
        <v>0.80864371365546195</v>
      </c>
      <c r="AM541" s="53" t="str" cm="1">
        <f t="array" ref="AM541">IF(OR(O541&lt;&gt;"", SUMPRODUCT(($AN$2:$AN$561=AN541)*($AL$2:$AL$561&lt;=AL541)) &lt;= (COUNTIF($AN$2:$AN$561,AN541)*0.5)), "SORTEADO", "-")</f>
        <v>-</v>
      </c>
      <c r="AN541" s="53" t="str">
        <f t="shared" si="36"/>
        <v>30/04/2026</v>
      </c>
    </row>
    <row r="542" spans="1:40" ht="30" hidden="1" customHeight="1" x14ac:dyDescent="0.2">
      <c r="A542" s="245" t="s">
        <v>197</v>
      </c>
      <c r="B542" s="245">
        <v>2617952534</v>
      </c>
      <c r="C542" s="245" t="s">
        <v>2701</v>
      </c>
      <c r="D542" s="245" t="s">
        <v>110</v>
      </c>
      <c r="E542" s="245" t="s">
        <v>198</v>
      </c>
      <c r="F542" s="245" t="s">
        <v>3188</v>
      </c>
      <c r="G542" s="245">
        <v>255</v>
      </c>
      <c r="H542" s="245" t="s">
        <v>213</v>
      </c>
      <c r="I542" s="245" t="s">
        <v>356</v>
      </c>
      <c r="J542" s="245" t="s">
        <v>2703</v>
      </c>
      <c r="K542" s="246" t="s">
        <v>3236</v>
      </c>
      <c r="L542" s="245" t="s">
        <v>2516</v>
      </c>
      <c r="M542" s="245" t="s">
        <v>3183</v>
      </c>
      <c r="N542" s="245" t="s">
        <v>2705</v>
      </c>
      <c r="O542" s="158"/>
      <c r="P542" s="92"/>
      <c r="Q542" s="146"/>
      <c r="R542" s="92"/>
      <c r="S542" s="146"/>
      <c r="T542" s="92"/>
      <c r="U542" s="146"/>
      <c r="V542" s="92"/>
      <c r="W542" s="146"/>
      <c r="X542" s="92"/>
      <c r="Y542" s="146"/>
      <c r="Z542" s="92"/>
      <c r="AA542" s="146"/>
      <c r="AB542" s="92"/>
      <c r="AC542" s="146"/>
      <c r="AD542" s="92"/>
      <c r="AE542" s="146"/>
      <c r="AF542" s="143" t="str">
        <f t="shared" si="35"/>
        <v/>
      </c>
      <c r="AG542" s="199" t="b">
        <f t="shared" si="34"/>
        <v>0</v>
      </c>
      <c r="AH542" s="146"/>
      <c r="AI542" s="154" t="s">
        <v>6</v>
      </c>
      <c r="AJ542" s="151" t="str">
        <f t="shared" ref="AJ542:AJ561" si="37">E542</f>
        <v>GUARULHOS</v>
      </c>
      <c r="AK542" s="155" t="s">
        <v>59</v>
      </c>
      <c r="AL542" s="53">
        <v>0.31364943222737063</v>
      </c>
      <c r="AM542" s="53" t="str" cm="1">
        <f t="array" ref="AM542">IF(OR(O542&lt;&gt;"", SUMPRODUCT(($AN$2:$AN$561=AN542)*($AL$2:$AL$561&lt;=AL542)) &lt;= (COUNTIF($AN$2:$AN$561,AN542)*0.5)), "SORTEADO", "-")</f>
        <v>SORTEADO</v>
      </c>
      <c r="AN542" s="53" t="str">
        <f t="shared" si="36"/>
        <v>30/04/2026</v>
      </c>
    </row>
    <row r="543" spans="1:40" ht="30" hidden="1" customHeight="1" x14ac:dyDescent="0.2">
      <c r="A543" s="245" t="s">
        <v>197</v>
      </c>
      <c r="B543" s="245">
        <v>2617952659</v>
      </c>
      <c r="C543" s="245" t="s">
        <v>2701</v>
      </c>
      <c r="D543" s="245" t="s">
        <v>110</v>
      </c>
      <c r="E543" s="245" t="s">
        <v>198</v>
      </c>
      <c r="F543" s="245" t="s">
        <v>3188</v>
      </c>
      <c r="G543" s="245">
        <v>248</v>
      </c>
      <c r="H543" s="245"/>
      <c r="I543" s="245" t="s">
        <v>356</v>
      </c>
      <c r="J543" s="245" t="s">
        <v>2703</v>
      </c>
      <c r="K543" s="246" t="s">
        <v>3236</v>
      </c>
      <c r="L543" s="245" t="s">
        <v>2516</v>
      </c>
      <c r="M543" s="245" t="s">
        <v>3183</v>
      </c>
      <c r="N543" s="245" t="s">
        <v>2705</v>
      </c>
      <c r="O543" s="158"/>
      <c r="P543" s="92"/>
      <c r="Q543" s="146"/>
      <c r="R543" s="92"/>
      <c r="S543" s="146"/>
      <c r="T543" s="92"/>
      <c r="U543" s="146"/>
      <c r="V543" s="92"/>
      <c r="W543" s="146"/>
      <c r="X543" s="92"/>
      <c r="Y543" s="146"/>
      <c r="Z543" s="92"/>
      <c r="AA543" s="146"/>
      <c r="AB543" s="92"/>
      <c r="AC543" s="146"/>
      <c r="AD543" s="92"/>
      <c r="AE543" s="146"/>
      <c r="AF543" s="143" t="str">
        <f t="shared" si="35"/>
        <v/>
      </c>
      <c r="AG543" s="199" t="b">
        <f t="shared" si="34"/>
        <v>0</v>
      </c>
      <c r="AH543" s="146"/>
      <c r="AI543" s="154" t="s">
        <v>6</v>
      </c>
      <c r="AJ543" s="151" t="str">
        <f t="shared" si="37"/>
        <v>GUARULHOS</v>
      </c>
      <c r="AK543" s="155" t="s">
        <v>59</v>
      </c>
      <c r="AL543" s="53">
        <v>0.72249706390350754</v>
      </c>
      <c r="AM543" s="53" t="str" cm="1">
        <f t="array" ref="AM543">IF(OR(O543&lt;&gt;"", SUMPRODUCT(($AN$2:$AN$561=AN543)*($AL$2:$AL$561&lt;=AL543)) &lt;= (COUNTIF($AN$2:$AN$561,AN543)*0.5)), "SORTEADO", "-")</f>
        <v>-</v>
      </c>
      <c r="AN543" s="53" t="str">
        <f t="shared" si="36"/>
        <v>30/04/2026</v>
      </c>
    </row>
    <row r="544" spans="1:40" ht="30" hidden="1" customHeight="1" x14ac:dyDescent="0.2">
      <c r="A544" s="245" t="s">
        <v>197</v>
      </c>
      <c r="B544" s="245">
        <v>2617952848</v>
      </c>
      <c r="C544" s="245" t="s">
        <v>2701</v>
      </c>
      <c r="D544" s="245" t="s">
        <v>110</v>
      </c>
      <c r="E544" s="245" t="s">
        <v>198</v>
      </c>
      <c r="F544" s="245" t="s">
        <v>3188</v>
      </c>
      <c r="G544" s="245">
        <v>243</v>
      </c>
      <c r="H544" s="245" t="s">
        <v>3243</v>
      </c>
      <c r="I544" s="245" t="s">
        <v>356</v>
      </c>
      <c r="J544" s="245" t="s">
        <v>2703</v>
      </c>
      <c r="K544" s="246" t="s">
        <v>3236</v>
      </c>
      <c r="L544" s="245" t="s">
        <v>2516</v>
      </c>
      <c r="M544" s="245" t="s">
        <v>3183</v>
      </c>
      <c r="N544" s="245" t="s">
        <v>2705</v>
      </c>
      <c r="O544" s="158"/>
      <c r="P544" s="92"/>
      <c r="Q544" s="146"/>
      <c r="R544" s="92"/>
      <c r="S544" s="146"/>
      <c r="T544" s="92"/>
      <c r="U544" s="146"/>
      <c r="V544" s="92"/>
      <c r="W544" s="146"/>
      <c r="X544" s="92"/>
      <c r="Y544" s="146"/>
      <c r="Z544" s="92"/>
      <c r="AA544" s="146"/>
      <c r="AB544" s="92"/>
      <c r="AC544" s="146"/>
      <c r="AD544" s="92"/>
      <c r="AE544" s="146"/>
      <c r="AF544" s="143" t="str">
        <f t="shared" si="35"/>
        <v/>
      </c>
      <c r="AG544" s="199" t="b">
        <f t="shared" si="34"/>
        <v>0</v>
      </c>
      <c r="AH544" s="146"/>
      <c r="AI544" s="154" t="s">
        <v>6</v>
      </c>
      <c r="AJ544" s="151" t="str">
        <f t="shared" si="37"/>
        <v>GUARULHOS</v>
      </c>
      <c r="AK544" s="155" t="s">
        <v>59</v>
      </c>
      <c r="AL544" s="53">
        <v>0.63532519717625469</v>
      </c>
      <c r="AM544" s="53" t="str" cm="1">
        <f t="array" ref="AM544">IF(OR(O544&lt;&gt;"", SUMPRODUCT(($AN$2:$AN$561=AN544)*($AL$2:$AL$561&lt;=AL544)) &lt;= (COUNTIF($AN$2:$AN$561,AN544)*0.5)), "SORTEADO", "-")</f>
        <v>-</v>
      </c>
      <c r="AN544" s="53" t="str">
        <f t="shared" si="36"/>
        <v>30/04/2026</v>
      </c>
    </row>
    <row r="545" spans="1:40" ht="30" hidden="1" customHeight="1" x14ac:dyDescent="0.2">
      <c r="A545" s="245" t="s">
        <v>197</v>
      </c>
      <c r="B545" s="245">
        <v>2617951386</v>
      </c>
      <c r="C545" s="245" t="s">
        <v>2701</v>
      </c>
      <c r="D545" s="245" t="s">
        <v>110</v>
      </c>
      <c r="E545" s="245" t="s">
        <v>198</v>
      </c>
      <c r="F545" s="245" t="s">
        <v>2101</v>
      </c>
      <c r="G545" s="245">
        <v>13</v>
      </c>
      <c r="H545" s="245"/>
      <c r="I545" s="245" t="s">
        <v>356</v>
      </c>
      <c r="J545" s="245" t="s">
        <v>2703</v>
      </c>
      <c r="K545" s="246" t="s">
        <v>3211</v>
      </c>
      <c r="L545" s="245" t="s">
        <v>2516</v>
      </c>
      <c r="M545" s="245" t="s">
        <v>3213</v>
      </c>
      <c r="N545" s="245" t="s">
        <v>2132</v>
      </c>
      <c r="O545" s="158"/>
      <c r="P545" s="92"/>
      <c r="Q545" s="146"/>
      <c r="R545" s="92"/>
      <c r="S545" s="146"/>
      <c r="T545" s="92"/>
      <c r="U545" s="146"/>
      <c r="V545" s="92"/>
      <c r="W545" s="146"/>
      <c r="X545" s="92"/>
      <c r="Y545" s="146"/>
      <c r="Z545" s="92"/>
      <c r="AA545" s="146"/>
      <c r="AB545" s="92"/>
      <c r="AC545" s="146"/>
      <c r="AD545" s="92"/>
      <c r="AE545" s="146"/>
      <c r="AF545" s="143" t="str">
        <f t="shared" si="35"/>
        <v/>
      </c>
      <c r="AG545" s="199" t="b">
        <f t="shared" si="34"/>
        <v>0</v>
      </c>
      <c r="AH545" s="146"/>
      <c r="AI545" s="154" t="s">
        <v>6</v>
      </c>
      <c r="AJ545" s="151" t="str">
        <f t="shared" si="37"/>
        <v>GUARULHOS</v>
      </c>
      <c r="AK545" s="155" t="s">
        <v>59</v>
      </c>
      <c r="AL545" s="53">
        <v>0.99278715745930513</v>
      </c>
      <c r="AM545" s="53" t="str" cm="1">
        <f t="array" ref="AM545">IF(OR(O545&lt;&gt;"", SUMPRODUCT(($AN$2:$AN$561=AN545)*($AL$2:$AL$561&lt;=AL545)) &lt;= (COUNTIF($AN$2:$AN$561,AN545)*0.5)), "SORTEADO", "-")</f>
        <v>-</v>
      </c>
      <c r="AN545" s="53" t="str">
        <f t="shared" si="36"/>
        <v>30/04/2026</v>
      </c>
    </row>
    <row r="546" spans="1:40" ht="30" hidden="1" customHeight="1" x14ac:dyDescent="0.2">
      <c r="A546" s="245" t="s">
        <v>197</v>
      </c>
      <c r="B546" s="245">
        <v>2618087732</v>
      </c>
      <c r="C546" s="245" t="s">
        <v>2701</v>
      </c>
      <c r="D546" s="245" t="s">
        <v>110</v>
      </c>
      <c r="E546" s="245" t="s">
        <v>198</v>
      </c>
      <c r="F546" s="245" t="s">
        <v>2101</v>
      </c>
      <c r="G546" s="245">
        <v>116</v>
      </c>
      <c r="H546" s="245" t="s">
        <v>3244</v>
      </c>
      <c r="I546" s="245" t="s">
        <v>356</v>
      </c>
      <c r="J546" s="245" t="s">
        <v>2703</v>
      </c>
      <c r="K546" s="246" t="s">
        <v>3211</v>
      </c>
      <c r="L546" s="245" t="s">
        <v>2516</v>
      </c>
      <c r="M546" s="245" t="s">
        <v>3212</v>
      </c>
      <c r="N546" s="245" t="s">
        <v>2132</v>
      </c>
      <c r="O546" s="158"/>
      <c r="P546" s="92"/>
      <c r="Q546" s="146"/>
      <c r="R546" s="92"/>
      <c r="S546" s="146"/>
      <c r="T546" s="92"/>
      <c r="U546" s="146"/>
      <c r="V546" s="92"/>
      <c r="W546" s="146"/>
      <c r="X546" s="92"/>
      <c r="Y546" s="146"/>
      <c r="Z546" s="92"/>
      <c r="AA546" s="146"/>
      <c r="AB546" s="92"/>
      <c r="AC546" s="146"/>
      <c r="AD546" s="92"/>
      <c r="AE546" s="146"/>
      <c r="AF546" s="143" t="str">
        <f t="shared" si="35"/>
        <v/>
      </c>
      <c r="AG546" s="199" t="b">
        <f t="shared" si="34"/>
        <v>0</v>
      </c>
      <c r="AH546" s="146"/>
      <c r="AI546" s="154" t="s">
        <v>6</v>
      </c>
      <c r="AJ546" s="151" t="str">
        <f t="shared" si="37"/>
        <v>GUARULHOS</v>
      </c>
      <c r="AK546" s="155" t="s">
        <v>59</v>
      </c>
      <c r="AL546" s="53">
        <v>0.54769069142496574</v>
      </c>
      <c r="AM546" s="53" t="str" cm="1">
        <f t="array" ref="AM546">IF(OR(O546&lt;&gt;"", SUMPRODUCT(($AN$2:$AN$561=AN546)*($AL$2:$AL$561&lt;=AL546)) &lt;= (COUNTIF($AN$2:$AN$561,AN546)*0.5)), "SORTEADO", "-")</f>
        <v>-</v>
      </c>
      <c r="AN546" s="53" t="str">
        <f t="shared" si="36"/>
        <v>30/04/2026</v>
      </c>
    </row>
    <row r="547" spans="1:40" ht="30" hidden="1" customHeight="1" x14ac:dyDescent="0.2">
      <c r="A547" s="245" t="s">
        <v>197</v>
      </c>
      <c r="B547" s="245">
        <v>2614794424</v>
      </c>
      <c r="C547" s="245" t="s">
        <v>3015</v>
      </c>
      <c r="D547" s="245" t="s">
        <v>112</v>
      </c>
      <c r="E547" s="245" t="s">
        <v>198</v>
      </c>
      <c r="F547" s="245" t="s">
        <v>781</v>
      </c>
      <c r="G547" s="245">
        <v>153</v>
      </c>
      <c r="H547" s="245" t="s">
        <v>2985</v>
      </c>
      <c r="I547" s="245" t="s">
        <v>262</v>
      </c>
      <c r="J547" s="245" t="s">
        <v>3016</v>
      </c>
      <c r="K547" s="245" t="s">
        <v>3129</v>
      </c>
      <c r="L547" s="245" t="s">
        <v>2516</v>
      </c>
      <c r="M547" s="245" t="s">
        <v>3183</v>
      </c>
      <c r="N547" s="245" t="s">
        <v>2705</v>
      </c>
      <c r="O547" s="158"/>
      <c r="P547" s="92"/>
      <c r="Q547" s="146"/>
      <c r="R547" s="92"/>
      <c r="S547" s="146"/>
      <c r="T547" s="92"/>
      <c r="U547" s="146"/>
      <c r="V547" s="92"/>
      <c r="W547" s="146"/>
      <c r="X547" s="92"/>
      <c r="Y547" s="146"/>
      <c r="Z547" s="92"/>
      <c r="AA547" s="146"/>
      <c r="AB547" s="92"/>
      <c r="AC547" s="146"/>
      <c r="AD547" s="92"/>
      <c r="AE547" s="146"/>
      <c r="AF547" s="143" t="str">
        <f t="shared" si="35"/>
        <v/>
      </c>
      <c r="AG547" s="199" t="b">
        <f t="shared" si="34"/>
        <v>0</v>
      </c>
      <c r="AH547" s="146"/>
      <c r="AI547" s="154" t="s">
        <v>6</v>
      </c>
      <c r="AJ547" s="151" t="str">
        <f t="shared" si="37"/>
        <v>GUARULHOS</v>
      </c>
      <c r="AK547" s="155" t="s">
        <v>59</v>
      </c>
      <c r="AL547" s="53">
        <v>0.54986647311959613</v>
      </c>
      <c r="AM547" s="53" t="str" cm="1">
        <f t="array" ref="AM547">IF(OR(O547&lt;&gt;"", SUMPRODUCT(($AN$2:$AN$561=AN547)*($AL$2:$AL$561&lt;=AL547)) &lt;= (COUNTIF($AN$2:$AN$561,AN547)*0.5)), "SORTEADO", "-")</f>
        <v>-</v>
      </c>
      <c r="AN547" s="53" t="str">
        <f t="shared" si="36"/>
        <v>30/04/2026</v>
      </c>
    </row>
    <row r="548" spans="1:40" ht="30" hidden="1" customHeight="1" x14ac:dyDescent="0.2">
      <c r="A548" s="245" t="s">
        <v>197</v>
      </c>
      <c r="B548" s="245">
        <v>2618081802</v>
      </c>
      <c r="C548" s="245" t="s">
        <v>119</v>
      </c>
      <c r="D548" s="245" t="s">
        <v>109</v>
      </c>
      <c r="E548" s="245" t="s">
        <v>198</v>
      </c>
      <c r="F548" s="245" t="s">
        <v>3245</v>
      </c>
      <c r="G548" s="245">
        <v>27</v>
      </c>
      <c r="H548" s="245" t="s">
        <v>3246</v>
      </c>
      <c r="I548" s="245" t="s">
        <v>923</v>
      </c>
      <c r="J548" s="245" t="s">
        <v>119</v>
      </c>
      <c r="K548" s="245" t="s">
        <v>3247</v>
      </c>
      <c r="L548" s="245" t="s">
        <v>2516</v>
      </c>
      <c r="M548" s="245" t="s">
        <v>2598</v>
      </c>
      <c r="N548" s="245" t="s">
        <v>2646</v>
      </c>
      <c r="O548" s="158"/>
      <c r="P548" s="92"/>
      <c r="Q548" s="146"/>
      <c r="R548" s="92"/>
      <c r="S548" s="146"/>
      <c r="T548" s="92"/>
      <c r="U548" s="146"/>
      <c r="V548" s="92"/>
      <c r="W548" s="146"/>
      <c r="X548" s="92"/>
      <c r="Y548" s="146"/>
      <c r="Z548" s="92"/>
      <c r="AA548" s="146"/>
      <c r="AB548" s="92"/>
      <c r="AC548" s="146"/>
      <c r="AD548" s="92"/>
      <c r="AE548" s="146"/>
      <c r="AF548" s="143" t="str">
        <f t="shared" si="35"/>
        <v/>
      </c>
      <c r="AG548" s="199" t="b">
        <f t="shared" si="34"/>
        <v>0</v>
      </c>
      <c r="AH548" s="146"/>
      <c r="AI548" s="154" t="s">
        <v>6</v>
      </c>
      <c r="AJ548" s="151" t="str">
        <f t="shared" si="37"/>
        <v>GUARULHOS</v>
      </c>
      <c r="AK548" s="155" t="s">
        <v>59</v>
      </c>
      <c r="AL548" s="53">
        <v>0.54462843719887299</v>
      </c>
      <c r="AM548" s="53" t="str" cm="1">
        <f t="array" ref="AM548">IF(OR(O548&lt;&gt;"", SUMPRODUCT(($AN$2:$AN$561=AN548)*($AL$2:$AL$561&lt;=AL548)) &lt;= (COUNTIF($AN$2:$AN$561,AN548)*0.5)), "SORTEADO", "-")</f>
        <v>SORTEADO</v>
      </c>
      <c r="AN548" s="53" t="str">
        <f t="shared" si="36"/>
        <v>30/04/2026</v>
      </c>
    </row>
    <row r="549" spans="1:40" ht="30" hidden="1" customHeight="1" x14ac:dyDescent="0.2">
      <c r="A549" s="245" t="s">
        <v>197</v>
      </c>
      <c r="B549" s="245">
        <v>2617307420</v>
      </c>
      <c r="C549" s="245" t="s">
        <v>2741</v>
      </c>
      <c r="D549" s="245" t="s">
        <v>111</v>
      </c>
      <c r="E549" s="245" t="s">
        <v>198</v>
      </c>
      <c r="F549" s="245" t="s">
        <v>355</v>
      </c>
      <c r="G549" s="245">
        <v>414</v>
      </c>
      <c r="H549" s="245" t="s">
        <v>3110</v>
      </c>
      <c r="I549" s="245" t="s">
        <v>356</v>
      </c>
      <c r="J549" s="245" t="s">
        <v>2742</v>
      </c>
      <c r="K549" s="246" t="s">
        <v>3248</v>
      </c>
      <c r="L549" s="245" t="s">
        <v>2516</v>
      </c>
      <c r="M549" s="245" t="s">
        <v>3249</v>
      </c>
      <c r="N549" s="245" t="s">
        <v>2759</v>
      </c>
      <c r="O549" s="158"/>
      <c r="P549" s="92"/>
      <c r="Q549" s="146"/>
      <c r="R549" s="92"/>
      <c r="S549" s="146"/>
      <c r="T549" s="92"/>
      <c r="U549" s="146"/>
      <c r="V549" s="92"/>
      <c r="W549" s="146"/>
      <c r="X549" s="92"/>
      <c r="Y549" s="146"/>
      <c r="Z549" s="92"/>
      <c r="AA549" s="146"/>
      <c r="AB549" s="92"/>
      <c r="AC549" s="146"/>
      <c r="AD549" s="92"/>
      <c r="AE549" s="146"/>
      <c r="AF549" s="143" t="str">
        <f t="shared" si="35"/>
        <v/>
      </c>
      <c r="AG549" s="199" t="b">
        <f t="shared" si="34"/>
        <v>0</v>
      </c>
      <c r="AH549" s="146"/>
      <c r="AI549" s="154" t="s">
        <v>6</v>
      </c>
      <c r="AJ549" s="151" t="str">
        <f t="shared" si="37"/>
        <v>GUARULHOS</v>
      </c>
      <c r="AK549" s="155" t="s">
        <v>59</v>
      </c>
      <c r="AL549" s="53">
        <v>0.95316488573205926</v>
      </c>
      <c r="AM549" s="53" t="str" cm="1">
        <f t="array" ref="AM549">IF(OR(O549&lt;&gt;"", SUMPRODUCT(($AN$2:$AN$561=AN549)*($AL$2:$AL$561&lt;=AL549)) &lt;= (COUNTIF($AN$2:$AN$561,AN549)*0.5)), "SORTEADO", "-")</f>
        <v>-</v>
      </c>
      <c r="AN549" s="53" t="str">
        <f t="shared" si="36"/>
        <v>30/04/2026</v>
      </c>
    </row>
    <row r="550" spans="1:40" ht="30" hidden="1" customHeight="1" x14ac:dyDescent="0.2">
      <c r="A550" s="245" t="s">
        <v>197</v>
      </c>
      <c r="B550" s="245">
        <v>2617307661</v>
      </c>
      <c r="C550" s="245" t="s">
        <v>116</v>
      </c>
      <c r="D550" s="245" t="s">
        <v>111</v>
      </c>
      <c r="E550" s="245" t="s">
        <v>198</v>
      </c>
      <c r="F550" s="245" t="s">
        <v>355</v>
      </c>
      <c r="G550" s="245">
        <v>325</v>
      </c>
      <c r="H550" s="245" t="s">
        <v>213</v>
      </c>
      <c r="I550" s="245" t="s">
        <v>356</v>
      </c>
      <c r="J550" s="245" t="s">
        <v>2989</v>
      </c>
      <c r="K550" s="246" t="s">
        <v>3250</v>
      </c>
      <c r="L550" s="245" t="s">
        <v>2516</v>
      </c>
      <c r="M550" s="245" t="s">
        <v>3183</v>
      </c>
      <c r="N550" s="245" t="s">
        <v>2759</v>
      </c>
      <c r="O550" s="158"/>
      <c r="P550" s="92"/>
      <c r="Q550" s="146"/>
      <c r="R550" s="92"/>
      <c r="S550" s="146"/>
      <c r="T550" s="92"/>
      <c r="U550" s="146"/>
      <c r="V550" s="92"/>
      <c r="W550" s="146"/>
      <c r="X550" s="92"/>
      <c r="Y550" s="146"/>
      <c r="Z550" s="92"/>
      <c r="AA550" s="146"/>
      <c r="AB550" s="92"/>
      <c r="AC550" s="146"/>
      <c r="AD550" s="92"/>
      <c r="AE550" s="146"/>
      <c r="AF550" s="143" t="str">
        <f t="shared" si="35"/>
        <v/>
      </c>
      <c r="AG550" s="199" t="b">
        <f t="shared" si="34"/>
        <v>0</v>
      </c>
      <c r="AH550" s="146"/>
      <c r="AI550" s="154" t="s">
        <v>6</v>
      </c>
      <c r="AJ550" s="151" t="str">
        <f t="shared" si="37"/>
        <v>GUARULHOS</v>
      </c>
      <c r="AK550" s="155" t="s">
        <v>59</v>
      </c>
      <c r="AL550" s="53">
        <v>0.65613465146503591</v>
      </c>
      <c r="AM550" s="53" t="str" cm="1">
        <f t="array" ref="AM550">IF(OR(O550&lt;&gt;"", SUMPRODUCT(($AN$2:$AN$561=AN550)*($AL$2:$AL$561&lt;=AL550)) &lt;= (COUNTIF($AN$2:$AN$561,AN550)*0.5)), "SORTEADO", "-")</f>
        <v>-</v>
      </c>
      <c r="AN550" s="53" t="str">
        <f t="shared" si="36"/>
        <v>30/04/2026</v>
      </c>
    </row>
    <row r="551" spans="1:40" ht="30" hidden="1" customHeight="1" x14ac:dyDescent="0.2">
      <c r="A551" s="245" t="s">
        <v>197</v>
      </c>
      <c r="B551" s="245">
        <v>2617634754</v>
      </c>
      <c r="C551" s="245" t="s">
        <v>116</v>
      </c>
      <c r="D551" s="245" t="s">
        <v>111</v>
      </c>
      <c r="E551" s="245" t="s">
        <v>198</v>
      </c>
      <c r="F551" s="245" t="s">
        <v>1727</v>
      </c>
      <c r="G551" s="245">
        <v>190</v>
      </c>
      <c r="H551" s="245"/>
      <c r="I551" s="245" t="s">
        <v>356</v>
      </c>
      <c r="J551" s="245" t="s">
        <v>2989</v>
      </c>
      <c r="K551" s="246" t="s">
        <v>3169</v>
      </c>
      <c r="L551" s="245" t="s">
        <v>2516</v>
      </c>
      <c r="M551" s="245" t="s">
        <v>3183</v>
      </c>
      <c r="N551" s="245" t="s">
        <v>2705</v>
      </c>
      <c r="O551" s="158"/>
      <c r="P551" s="92"/>
      <c r="Q551" s="146"/>
      <c r="R551" s="92"/>
      <c r="S551" s="146"/>
      <c r="T551" s="92"/>
      <c r="U551" s="146"/>
      <c r="V551" s="92"/>
      <c r="W551" s="146"/>
      <c r="X551" s="92"/>
      <c r="Y551" s="146"/>
      <c r="Z551" s="92"/>
      <c r="AA551" s="146"/>
      <c r="AB551" s="92"/>
      <c r="AC551" s="146"/>
      <c r="AD551" s="92"/>
      <c r="AE551" s="146"/>
      <c r="AF551" s="143" t="str">
        <f t="shared" si="35"/>
        <v/>
      </c>
      <c r="AG551" s="199" t="b">
        <f t="shared" si="34"/>
        <v>0</v>
      </c>
      <c r="AH551" s="146"/>
      <c r="AI551" s="154" t="s">
        <v>6</v>
      </c>
      <c r="AJ551" s="151" t="str">
        <f t="shared" si="37"/>
        <v>GUARULHOS</v>
      </c>
      <c r="AK551" s="155" t="s">
        <v>59</v>
      </c>
      <c r="AL551" s="53">
        <v>4.7267864739117371E-2</v>
      </c>
      <c r="AM551" s="53" t="str" cm="1">
        <f t="array" ref="AM551">IF(OR(O551&lt;&gt;"", SUMPRODUCT(($AN$2:$AN$561=AN551)*($AL$2:$AL$561&lt;=AL551)) &lt;= (COUNTIF($AN$2:$AN$561,AN551)*0.5)), "SORTEADO", "-")</f>
        <v>SORTEADO</v>
      </c>
      <c r="AN551" s="53" t="str">
        <f t="shared" si="36"/>
        <v>30/04/2026</v>
      </c>
    </row>
    <row r="552" spans="1:40" ht="30" hidden="1" customHeight="1" x14ac:dyDescent="0.2">
      <c r="A552" s="245" t="s">
        <v>197</v>
      </c>
      <c r="B552" s="245">
        <v>2617316338</v>
      </c>
      <c r="C552" s="245" t="s">
        <v>116</v>
      </c>
      <c r="D552" s="245" t="s">
        <v>111</v>
      </c>
      <c r="E552" s="245" t="s">
        <v>198</v>
      </c>
      <c r="F552" s="245" t="s">
        <v>1233</v>
      </c>
      <c r="G552" s="245">
        <v>599</v>
      </c>
      <c r="H552" s="245" t="s">
        <v>213</v>
      </c>
      <c r="I552" s="245" t="s">
        <v>801</v>
      </c>
      <c r="J552" s="245" t="s">
        <v>2989</v>
      </c>
      <c r="K552" s="246" t="s">
        <v>3251</v>
      </c>
      <c r="L552" s="245" t="s">
        <v>2516</v>
      </c>
      <c r="M552" s="245" t="s">
        <v>3183</v>
      </c>
      <c r="N552" s="245" t="s">
        <v>2707</v>
      </c>
      <c r="O552" s="158"/>
      <c r="P552" s="92"/>
      <c r="Q552" s="146"/>
      <c r="R552" s="92"/>
      <c r="S552" s="146"/>
      <c r="T552" s="92"/>
      <c r="U552" s="146"/>
      <c r="V552" s="92"/>
      <c r="W552" s="146"/>
      <c r="X552" s="92"/>
      <c r="Y552" s="146"/>
      <c r="Z552" s="92"/>
      <c r="AA552" s="146"/>
      <c r="AB552" s="92"/>
      <c r="AC552" s="146"/>
      <c r="AD552" s="92"/>
      <c r="AE552" s="146"/>
      <c r="AF552" s="143" t="str">
        <f t="shared" si="35"/>
        <v/>
      </c>
      <c r="AG552" s="199" t="b">
        <f t="shared" si="34"/>
        <v>0</v>
      </c>
      <c r="AH552" s="146"/>
      <c r="AI552" s="154" t="s">
        <v>6</v>
      </c>
      <c r="AJ552" s="151" t="str">
        <f t="shared" si="37"/>
        <v>GUARULHOS</v>
      </c>
      <c r="AK552" s="155" t="s">
        <v>59</v>
      </c>
      <c r="AL552" s="53">
        <v>0.84943960691272535</v>
      </c>
      <c r="AM552" s="53" t="str" cm="1">
        <f t="array" ref="AM552">IF(OR(O552&lt;&gt;"", SUMPRODUCT(($AN$2:$AN$561=AN552)*($AL$2:$AL$561&lt;=AL552)) &lt;= (COUNTIF($AN$2:$AN$561,AN552)*0.5)), "SORTEADO", "-")</f>
        <v>-</v>
      </c>
      <c r="AN552" s="53" t="str">
        <f t="shared" si="36"/>
        <v>30/04/2026</v>
      </c>
    </row>
    <row r="553" spans="1:40" ht="30" hidden="1" customHeight="1" x14ac:dyDescent="0.2">
      <c r="A553" s="245" t="s">
        <v>197</v>
      </c>
      <c r="B553" s="245">
        <v>2617991361</v>
      </c>
      <c r="C553" s="245" t="s">
        <v>2682</v>
      </c>
      <c r="D553" s="245" t="s">
        <v>108</v>
      </c>
      <c r="E553" s="245" t="s">
        <v>198</v>
      </c>
      <c r="F553" s="245" t="s">
        <v>3252</v>
      </c>
      <c r="G553" s="245">
        <v>61</v>
      </c>
      <c r="H553" s="245" t="s">
        <v>3253</v>
      </c>
      <c r="I553" s="245" t="s">
        <v>3254</v>
      </c>
      <c r="J553" s="245" t="s">
        <v>2649</v>
      </c>
      <c r="K553" s="245" t="s">
        <v>3255</v>
      </c>
      <c r="L553" s="245" t="s">
        <v>2516</v>
      </c>
      <c r="M553" s="245" t="s">
        <v>3256</v>
      </c>
      <c r="N553" s="245" t="s">
        <v>2646</v>
      </c>
      <c r="O553" s="158"/>
      <c r="P553" s="92"/>
      <c r="Q553" s="146"/>
      <c r="R553" s="92"/>
      <c r="S553" s="146"/>
      <c r="T553" s="92"/>
      <c r="U553" s="146"/>
      <c r="V553" s="92"/>
      <c r="W553" s="146"/>
      <c r="X553" s="92"/>
      <c r="Y553" s="146"/>
      <c r="Z553" s="92"/>
      <c r="AA553" s="146"/>
      <c r="AB553" s="92"/>
      <c r="AC553" s="146"/>
      <c r="AD553" s="92"/>
      <c r="AE553" s="146"/>
      <c r="AF553" s="143" t="str">
        <f t="shared" si="35"/>
        <v/>
      </c>
      <c r="AG553" s="199" t="b">
        <f t="shared" si="34"/>
        <v>0</v>
      </c>
      <c r="AH553" s="146"/>
      <c r="AI553" s="154" t="s">
        <v>6</v>
      </c>
      <c r="AJ553" s="151" t="str">
        <f t="shared" si="37"/>
        <v>GUARULHOS</v>
      </c>
      <c r="AK553" s="155" t="s">
        <v>59</v>
      </c>
      <c r="AL553" s="53">
        <v>0.51542143562141751</v>
      </c>
      <c r="AM553" s="53" t="str" cm="1">
        <f t="array" ref="AM553">IF(OR(O553&lt;&gt;"", SUMPRODUCT(($AN$2:$AN$561=AN553)*($AL$2:$AL$561&lt;=AL553)) &lt;= (COUNTIF($AN$2:$AN$561,AN553)*0.5)), "SORTEADO", "-")</f>
        <v>SORTEADO</v>
      </c>
      <c r="AN553" s="53" t="str">
        <f t="shared" si="36"/>
        <v>30/04/2026</v>
      </c>
    </row>
    <row r="554" spans="1:40" ht="30" hidden="1" customHeight="1" x14ac:dyDescent="0.2">
      <c r="A554" s="245" t="s">
        <v>197</v>
      </c>
      <c r="B554" s="245">
        <v>2617324127</v>
      </c>
      <c r="C554" s="245" t="s">
        <v>116</v>
      </c>
      <c r="D554" s="245" t="s">
        <v>111</v>
      </c>
      <c r="E554" s="245" t="s">
        <v>198</v>
      </c>
      <c r="F554" s="245" t="s">
        <v>3041</v>
      </c>
      <c r="G554" s="245">
        <v>177</v>
      </c>
      <c r="H554" s="245" t="s">
        <v>555</v>
      </c>
      <c r="I554" s="245" t="s">
        <v>356</v>
      </c>
      <c r="J554" s="245" t="s">
        <v>2989</v>
      </c>
      <c r="K554" s="246" t="s">
        <v>3184</v>
      </c>
      <c r="L554" s="245" t="s">
        <v>2516</v>
      </c>
      <c r="M554" s="245" t="s">
        <v>3183</v>
      </c>
      <c r="N554" s="245" t="s">
        <v>2757</v>
      </c>
      <c r="O554" s="158"/>
      <c r="P554" s="92"/>
      <c r="Q554" s="146"/>
      <c r="R554" s="92"/>
      <c r="S554" s="146"/>
      <c r="T554" s="92"/>
      <c r="U554" s="146"/>
      <c r="V554" s="92"/>
      <c r="W554" s="146"/>
      <c r="X554" s="92"/>
      <c r="Y554" s="146"/>
      <c r="Z554" s="92"/>
      <c r="AA554" s="146"/>
      <c r="AB554" s="92"/>
      <c r="AC554" s="146"/>
      <c r="AD554" s="92"/>
      <c r="AE554" s="146"/>
      <c r="AF554" s="143" t="str">
        <f t="shared" si="35"/>
        <v/>
      </c>
      <c r="AG554" s="199" t="b">
        <f t="shared" si="34"/>
        <v>0</v>
      </c>
      <c r="AH554" s="146"/>
      <c r="AI554" s="154" t="s">
        <v>6</v>
      </c>
      <c r="AJ554" s="151" t="str">
        <f t="shared" si="37"/>
        <v>GUARULHOS</v>
      </c>
      <c r="AK554" s="155" t="s">
        <v>59</v>
      </c>
      <c r="AL554" s="53">
        <v>0.15681520536026083</v>
      </c>
      <c r="AM554" s="53" t="str" cm="1">
        <f t="array" ref="AM554">IF(OR(O554&lt;&gt;"", SUMPRODUCT(($AN$2:$AN$561=AN554)*($AL$2:$AL$561&lt;=AL554)) &lt;= (COUNTIF($AN$2:$AN$561,AN554)*0.5)), "SORTEADO", "-")</f>
        <v>SORTEADO</v>
      </c>
      <c r="AN554" s="53" t="str">
        <f t="shared" si="36"/>
        <v>30/04/2026</v>
      </c>
    </row>
    <row r="555" spans="1:40" ht="30" hidden="1" customHeight="1" x14ac:dyDescent="0.2">
      <c r="A555" s="245" t="s">
        <v>197</v>
      </c>
      <c r="B555" s="245">
        <v>2615685588</v>
      </c>
      <c r="C555" s="245" t="s">
        <v>3015</v>
      </c>
      <c r="D555" s="245" t="s">
        <v>112</v>
      </c>
      <c r="E555" s="245" t="s">
        <v>198</v>
      </c>
      <c r="F555" s="245" t="s">
        <v>3041</v>
      </c>
      <c r="G555" s="245">
        <v>88</v>
      </c>
      <c r="H555" s="245" t="s">
        <v>1749</v>
      </c>
      <c r="I555" s="245" t="s">
        <v>356</v>
      </c>
      <c r="J555" s="245" t="s">
        <v>3016</v>
      </c>
      <c r="K555" s="246" t="s">
        <v>3257</v>
      </c>
      <c r="L555" s="245" t="s">
        <v>2516</v>
      </c>
      <c r="M555" s="245" t="s">
        <v>3183</v>
      </c>
      <c r="N555" s="245" t="s">
        <v>2757</v>
      </c>
      <c r="O555" s="158"/>
      <c r="P555" s="92"/>
      <c r="Q555" s="146"/>
      <c r="R555" s="92"/>
      <c r="S555" s="146"/>
      <c r="T555" s="92"/>
      <c r="U555" s="146"/>
      <c r="V555" s="92"/>
      <c r="W555" s="146"/>
      <c r="X555" s="92"/>
      <c r="Y555" s="146"/>
      <c r="Z555" s="92"/>
      <c r="AA555" s="146"/>
      <c r="AB555" s="92"/>
      <c r="AC555" s="146"/>
      <c r="AD555" s="92"/>
      <c r="AE555" s="146"/>
      <c r="AF555" s="143" t="str">
        <f t="shared" si="35"/>
        <v/>
      </c>
      <c r="AG555" s="199" t="b">
        <f t="shared" si="34"/>
        <v>0</v>
      </c>
      <c r="AH555" s="146"/>
      <c r="AI555" s="154" t="s">
        <v>6</v>
      </c>
      <c r="AJ555" s="151" t="str">
        <f t="shared" si="37"/>
        <v>GUARULHOS</v>
      </c>
      <c r="AK555" s="155" t="s">
        <v>59</v>
      </c>
      <c r="AL555" s="53">
        <v>0.30079580177640353</v>
      </c>
      <c r="AM555" s="53" t="str" cm="1">
        <f t="array" ref="AM555">IF(OR(O555&lt;&gt;"", SUMPRODUCT(($AN$2:$AN$561=AN555)*($AL$2:$AL$561&lt;=AL555)) &lt;= (COUNTIF($AN$2:$AN$561,AN555)*0.5)), "SORTEADO", "-")</f>
        <v>SORTEADO</v>
      </c>
      <c r="AN555" s="53" t="str">
        <f t="shared" si="36"/>
        <v>30/04/2026</v>
      </c>
    </row>
    <row r="556" spans="1:40" ht="30" hidden="1" customHeight="1" x14ac:dyDescent="0.2">
      <c r="A556" s="245" t="s">
        <v>197</v>
      </c>
      <c r="B556" s="245">
        <v>2618034227</v>
      </c>
      <c r="C556" s="245" t="s">
        <v>116</v>
      </c>
      <c r="D556" s="245" t="s">
        <v>111</v>
      </c>
      <c r="E556" s="245" t="s">
        <v>198</v>
      </c>
      <c r="F556" s="245" t="s">
        <v>3188</v>
      </c>
      <c r="G556" s="245">
        <v>236</v>
      </c>
      <c r="H556" s="245" t="s">
        <v>3258</v>
      </c>
      <c r="I556" s="245" t="s">
        <v>356</v>
      </c>
      <c r="J556" s="245" t="s">
        <v>2989</v>
      </c>
      <c r="K556" s="246" t="s">
        <v>3259</v>
      </c>
      <c r="L556" s="245" t="s">
        <v>2516</v>
      </c>
      <c r="M556" s="245" t="s">
        <v>3183</v>
      </c>
      <c r="N556" s="245" t="s">
        <v>2705</v>
      </c>
      <c r="O556" s="158"/>
      <c r="P556" s="92"/>
      <c r="Q556" s="146"/>
      <c r="R556" s="92"/>
      <c r="S556" s="146"/>
      <c r="T556" s="92"/>
      <c r="U556" s="146"/>
      <c r="V556" s="92"/>
      <c r="W556" s="146"/>
      <c r="X556" s="92"/>
      <c r="Y556" s="146"/>
      <c r="Z556" s="92"/>
      <c r="AA556" s="146"/>
      <c r="AB556" s="92"/>
      <c r="AC556" s="146"/>
      <c r="AD556" s="92"/>
      <c r="AE556" s="146"/>
      <c r="AF556" s="143" t="str">
        <f t="shared" si="35"/>
        <v/>
      </c>
      <c r="AG556" s="199" t="b">
        <f t="shared" si="34"/>
        <v>0</v>
      </c>
      <c r="AH556" s="146"/>
      <c r="AI556" s="154" t="s">
        <v>6</v>
      </c>
      <c r="AJ556" s="151" t="str">
        <f t="shared" si="37"/>
        <v>GUARULHOS</v>
      </c>
      <c r="AK556" s="155" t="s">
        <v>59</v>
      </c>
      <c r="AL556" s="53">
        <v>0.81011771486390094</v>
      </c>
      <c r="AM556" s="53" t="str" cm="1">
        <f t="array" ref="AM556">IF(OR(O556&lt;&gt;"", SUMPRODUCT(($AN$2:$AN$561=AN556)*($AL$2:$AL$561&lt;=AL556)) &lt;= (COUNTIF($AN$2:$AN$561,AN556)*0.5)), "SORTEADO", "-")</f>
        <v>-</v>
      </c>
      <c r="AN556" s="53" t="str">
        <f t="shared" si="36"/>
        <v>30/04/2026</v>
      </c>
    </row>
    <row r="557" spans="1:40" ht="30" hidden="1" customHeight="1" x14ac:dyDescent="0.2">
      <c r="A557" s="245" t="s">
        <v>197</v>
      </c>
      <c r="B557" s="245">
        <v>2617959198</v>
      </c>
      <c r="C557" s="245" t="s">
        <v>122</v>
      </c>
      <c r="D557" s="245" t="s">
        <v>108</v>
      </c>
      <c r="E557" s="245" t="s">
        <v>198</v>
      </c>
      <c r="F557" s="245" t="s">
        <v>3194</v>
      </c>
      <c r="G557" s="245">
        <v>108</v>
      </c>
      <c r="H557" s="245"/>
      <c r="I557" s="245" t="s">
        <v>3195</v>
      </c>
      <c r="J557" s="245" t="s">
        <v>2633</v>
      </c>
      <c r="K557" s="245" t="s">
        <v>2990</v>
      </c>
      <c r="L557" s="245" t="s">
        <v>2516</v>
      </c>
      <c r="M557" s="245" t="s">
        <v>3260</v>
      </c>
      <c r="N557" s="245" t="s">
        <v>2634</v>
      </c>
      <c r="O557" s="158"/>
      <c r="P557" s="92"/>
      <c r="Q557" s="146"/>
      <c r="R557" s="92"/>
      <c r="S557" s="146"/>
      <c r="T557" s="92"/>
      <c r="U557" s="146"/>
      <c r="V557" s="92"/>
      <c r="W557" s="146"/>
      <c r="X557" s="92"/>
      <c r="Y557" s="146"/>
      <c r="Z557" s="92"/>
      <c r="AA557" s="146"/>
      <c r="AB557" s="92"/>
      <c r="AC557" s="146"/>
      <c r="AD557" s="92"/>
      <c r="AE557" s="146"/>
      <c r="AF557" s="143" t="str">
        <f t="shared" si="35"/>
        <v/>
      </c>
      <c r="AG557" s="199" t="b">
        <f t="shared" si="34"/>
        <v>0</v>
      </c>
      <c r="AH557" s="146"/>
      <c r="AI557" s="154" t="s">
        <v>6</v>
      </c>
      <c r="AJ557" s="151" t="str">
        <f t="shared" si="37"/>
        <v>GUARULHOS</v>
      </c>
      <c r="AK557" s="155" t="s">
        <v>59</v>
      </c>
      <c r="AL557" s="53">
        <v>0.30360191507164203</v>
      </c>
      <c r="AM557" s="53" t="str" cm="1">
        <f t="array" ref="AM557">IF(OR(O557&lt;&gt;"", SUMPRODUCT(($AN$2:$AN$561=AN557)*($AL$2:$AL$561&lt;=AL557)) &lt;= (COUNTIF($AN$2:$AN$561,AN557)*0.5)), "SORTEADO", "-")</f>
        <v>SORTEADO</v>
      </c>
      <c r="AN557" s="53" t="str">
        <f t="shared" si="36"/>
        <v>30/04/2026</v>
      </c>
    </row>
    <row r="558" spans="1:40" ht="30" hidden="1" customHeight="1" x14ac:dyDescent="0.2">
      <c r="A558" s="245" t="s">
        <v>197</v>
      </c>
      <c r="B558" s="245">
        <v>2617999807</v>
      </c>
      <c r="C558" s="245" t="s">
        <v>122</v>
      </c>
      <c r="D558" s="245" t="s">
        <v>108</v>
      </c>
      <c r="E558" s="245" t="s">
        <v>198</v>
      </c>
      <c r="F558" s="245" t="s">
        <v>3189</v>
      </c>
      <c r="G558" s="245">
        <v>16</v>
      </c>
      <c r="H558" s="245" t="s">
        <v>3190</v>
      </c>
      <c r="I558" s="245" t="s">
        <v>1753</v>
      </c>
      <c r="J558" s="245" t="s">
        <v>2633</v>
      </c>
      <c r="K558" s="245" t="s">
        <v>2290</v>
      </c>
      <c r="L558" s="245" t="s">
        <v>2516</v>
      </c>
      <c r="M558" s="245" t="s">
        <v>3261</v>
      </c>
      <c r="N558" s="245" t="s">
        <v>2634</v>
      </c>
      <c r="O558" s="158"/>
      <c r="P558" s="92"/>
      <c r="Q558" s="146"/>
      <c r="R558" s="92"/>
      <c r="S558" s="146"/>
      <c r="T558" s="92"/>
      <c r="U558" s="146"/>
      <c r="V558" s="92"/>
      <c r="W558" s="146"/>
      <c r="X558" s="92"/>
      <c r="Y558" s="146"/>
      <c r="Z558" s="92"/>
      <c r="AA558" s="146"/>
      <c r="AB558" s="92"/>
      <c r="AC558" s="146"/>
      <c r="AD558" s="92"/>
      <c r="AE558" s="146"/>
      <c r="AF558" s="143" t="str">
        <f t="shared" si="35"/>
        <v/>
      </c>
      <c r="AG558" s="199" t="b">
        <f t="shared" si="34"/>
        <v>0</v>
      </c>
      <c r="AH558" s="146"/>
      <c r="AI558" s="154" t="s">
        <v>6</v>
      </c>
      <c r="AJ558" s="151" t="str">
        <f t="shared" si="37"/>
        <v>GUARULHOS</v>
      </c>
      <c r="AK558" s="155" t="s">
        <v>59</v>
      </c>
      <c r="AL558" s="53">
        <v>0.90181715933072015</v>
      </c>
      <c r="AM558" s="53" t="str" cm="1">
        <f t="array" ref="AM558">IF(OR(O558&lt;&gt;"", SUMPRODUCT(($AN$2:$AN$561=AN558)*($AL$2:$AL$561&lt;=AL558)) &lt;= (COUNTIF($AN$2:$AN$561,AN558)*0.5)), "SORTEADO", "-")</f>
        <v>-</v>
      </c>
      <c r="AN558" s="53" t="str">
        <f t="shared" si="36"/>
        <v>30/04/2026</v>
      </c>
    </row>
    <row r="559" spans="1:40" ht="30" hidden="1" customHeight="1" x14ac:dyDescent="0.2">
      <c r="A559" s="245" t="s">
        <v>197</v>
      </c>
      <c r="B559" s="245">
        <v>2618034000</v>
      </c>
      <c r="C559" s="245" t="s">
        <v>2701</v>
      </c>
      <c r="D559" s="245" t="s">
        <v>110</v>
      </c>
      <c r="E559" s="245" t="s">
        <v>198</v>
      </c>
      <c r="F559" s="245" t="s">
        <v>1727</v>
      </c>
      <c r="G559" s="245">
        <v>124</v>
      </c>
      <c r="H559" s="245"/>
      <c r="I559" s="245" t="s">
        <v>356</v>
      </c>
      <c r="J559" s="245" t="s">
        <v>2703</v>
      </c>
      <c r="K559" s="246" t="s">
        <v>3008</v>
      </c>
      <c r="L559" s="245" t="s">
        <v>2516</v>
      </c>
      <c r="M559" s="245" t="s">
        <v>3185</v>
      </c>
      <c r="N559" s="245" t="s">
        <v>2705</v>
      </c>
      <c r="O559" s="158"/>
      <c r="P559" s="92"/>
      <c r="Q559" s="146"/>
      <c r="R559" s="92"/>
      <c r="S559" s="146"/>
      <c r="T559" s="92"/>
      <c r="U559" s="146"/>
      <c r="V559" s="92"/>
      <c r="W559" s="146"/>
      <c r="X559" s="92"/>
      <c r="Y559" s="146"/>
      <c r="Z559" s="92"/>
      <c r="AA559" s="146"/>
      <c r="AB559" s="92"/>
      <c r="AC559" s="146"/>
      <c r="AD559" s="92"/>
      <c r="AE559" s="146"/>
      <c r="AF559" s="143" t="str">
        <f t="shared" si="35"/>
        <v/>
      </c>
      <c r="AG559" s="199" t="b">
        <f t="shared" si="34"/>
        <v>0</v>
      </c>
      <c r="AH559" s="146"/>
      <c r="AI559" s="154" t="s">
        <v>6</v>
      </c>
      <c r="AJ559" s="151" t="str">
        <f t="shared" si="37"/>
        <v>GUARULHOS</v>
      </c>
      <c r="AK559" s="155" t="s">
        <v>59</v>
      </c>
      <c r="AL559" s="53">
        <v>0.10352973041051228</v>
      </c>
      <c r="AM559" s="53" t="str" cm="1">
        <f t="array" ref="AM559">IF(OR(O559&lt;&gt;"", SUMPRODUCT(($AN$2:$AN$561=AN559)*($AL$2:$AL$561&lt;=AL559)) &lt;= (COUNTIF($AN$2:$AN$561,AN559)*0.5)), "SORTEADO", "-")</f>
        <v>SORTEADO</v>
      </c>
      <c r="AN559" s="53" t="str">
        <f t="shared" si="36"/>
        <v>30/04/2026</v>
      </c>
    </row>
    <row r="560" spans="1:40" ht="30" hidden="1" customHeight="1" x14ac:dyDescent="0.2">
      <c r="A560" s="245" t="s">
        <v>197</v>
      </c>
      <c r="B560" s="245">
        <v>2617583886</v>
      </c>
      <c r="C560" s="245" t="s">
        <v>2701</v>
      </c>
      <c r="D560" s="245" t="s">
        <v>110</v>
      </c>
      <c r="E560" s="245" t="s">
        <v>198</v>
      </c>
      <c r="F560" s="245" t="s">
        <v>1727</v>
      </c>
      <c r="G560" s="245">
        <v>83</v>
      </c>
      <c r="H560" s="245" t="s">
        <v>1904</v>
      </c>
      <c r="I560" s="245" t="s">
        <v>356</v>
      </c>
      <c r="J560" s="245" t="s">
        <v>2703</v>
      </c>
      <c r="K560" s="246" t="s">
        <v>3008</v>
      </c>
      <c r="L560" s="245" t="s">
        <v>2516</v>
      </c>
      <c r="M560" s="245" t="s">
        <v>3185</v>
      </c>
      <c r="N560" s="245" t="s">
        <v>2705</v>
      </c>
      <c r="O560" s="158"/>
      <c r="P560" s="92"/>
      <c r="Q560" s="146"/>
      <c r="R560" s="92"/>
      <c r="S560" s="146"/>
      <c r="T560" s="92"/>
      <c r="U560" s="146"/>
      <c r="V560" s="92"/>
      <c r="W560" s="146"/>
      <c r="X560" s="92"/>
      <c r="Y560" s="146"/>
      <c r="Z560" s="92"/>
      <c r="AA560" s="146"/>
      <c r="AB560" s="92"/>
      <c r="AC560" s="146"/>
      <c r="AD560" s="92"/>
      <c r="AE560" s="146"/>
      <c r="AF560" s="143" t="str">
        <f t="shared" si="35"/>
        <v/>
      </c>
      <c r="AG560" s="199" t="b">
        <f t="shared" si="34"/>
        <v>0</v>
      </c>
      <c r="AH560" s="146"/>
      <c r="AI560" s="154" t="s">
        <v>6</v>
      </c>
      <c r="AJ560" s="151" t="str">
        <f t="shared" si="37"/>
        <v>GUARULHOS</v>
      </c>
      <c r="AK560" s="155" t="s">
        <v>59</v>
      </c>
      <c r="AL560" s="53">
        <v>0.96624271694591535</v>
      </c>
      <c r="AM560" s="53" t="str" cm="1">
        <f t="array" ref="AM560">IF(OR(O560&lt;&gt;"", SUMPRODUCT(($AN$2:$AN$561=AN560)*($AL$2:$AL$561&lt;=AL560)) &lt;= (COUNTIF($AN$2:$AN$561,AN560)*0.5)), "SORTEADO", "-")</f>
        <v>-</v>
      </c>
      <c r="AN560" s="53" t="str">
        <f t="shared" si="36"/>
        <v>30/04/2026</v>
      </c>
    </row>
    <row r="561" spans="1:40" ht="30" hidden="1" customHeight="1" x14ac:dyDescent="0.2">
      <c r="A561" s="245" t="s">
        <v>197</v>
      </c>
      <c r="B561" s="245">
        <v>2617583568</v>
      </c>
      <c r="C561" s="245" t="s">
        <v>2701</v>
      </c>
      <c r="D561" s="245" t="s">
        <v>110</v>
      </c>
      <c r="E561" s="245" t="s">
        <v>198</v>
      </c>
      <c r="F561" s="245" t="s">
        <v>1727</v>
      </c>
      <c r="G561" s="245">
        <v>78</v>
      </c>
      <c r="H561" s="245" t="s">
        <v>3262</v>
      </c>
      <c r="I561" s="245" t="s">
        <v>356</v>
      </c>
      <c r="J561" s="245" t="s">
        <v>2703</v>
      </c>
      <c r="K561" s="246" t="s">
        <v>3008</v>
      </c>
      <c r="L561" s="245" t="s">
        <v>2516</v>
      </c>
      <c r="M561" s="245" t="s">
        <v>3183</v>
      </c>
      <c r="N561" s="245" t="s">
        <v>2705</v>
      </c>
      <c r="O561" s="158"/>
      <c r="P561" s="92"/>
      <c r="Q561" s="146"/>
      <c r="R561" s="92"/>
      <c r="S561" s="146"/>
      <c r="T561" s="92"/>
      <c r="U561" s="146"/>
      <c r="V561" s="92"/>
      <c r="W561" s="146"/>
      <c r="X561" s="92"/>
      <c r="Y561" s="146"/>
      <c r="Z561" s="92"/>
      <c r="AA561" s="146"/>
      <c r="AB561" s="92"/>
      <c r="AC561" s="146"/>
      <c r="AD561" s="92"/>
      <c r="AE561" s="146"/>
      <c r="AF561" s="143" t="str">
        <f t="shared" si="35"/>
        <v/>
      </c>
      <c r="AG561" s="199" t="b">
        <f t="shared" si="34"/>
        <v>0</v>
      </c>
      <c r="AH561" s="146"/>
      <c r="AI561" s="154" t="s">
        <v>6</v>
      </c>
      <c r="AJ561" s="151" t="str">
        <f t="shared" si="37"/>
        <v>GUARULHOS</v>
      </c>
      <c r="AK561" s="155" t="s">
        <v>59</v>
      </c>
      <c r="AL561" s="53">
        <v>0.22698239676979615</v>
      </c>
      <c r="AM561" s="53" t="str" cm="1">
        <f t="array" ref="AM561">IF(OR(O561&lt;&gt;"", SUMPRODUCT(($AN$2:$AN$561=AN561)*($AL$2:$AL$561&lt;=AL561)) &lt;= (COUNTIF($AN$2:$AN$561,AN561)*0.5)), "SORTEADO", "-")</f>
        <v>SORTEADO</v>
      </c>
      <c r="AN561" s="53" t="str">
        <f t="shared" si="36"/>
        <v>30/04/2026</v>
      </c>
    </row>
  </sheetData>
  <autoFilter ref="A1:AN561" xr:uid="{00000000-0001-0000-0800-000000000000}">
    <filterColumn colId="2">
      <filters>
        <filter val="NIVELAR POÇO DE INSPEÇÃO/VISITA"/>
      </filters>
    </filterColumn>
  </autoFilter>
  <sortState xmlns:xlrd2="http://schemas.microsoft.com/office/spreadsheetml/2017/richdata2" ref="L2:L67">
    <sortCondition ref="L2:L67"/>
  </sortState>
  <conditionalFormatting sqref="A1:E1">
    <cfRule type="duplicateValues" dxfId="59" priority="177"/>
    <cfRule type="duplicateValues" dxfId="58" priority="178"/>
  </conditionalFormatting>
  <conditionalFormatting sqref="O2:O561 AF2:AF561 AE4:AF37 AE38:AE50 AE51:AF92 AE93:AE101 AE102:AF108 AE109:AE115 AE116:AF123 AE124:AE127 AE128:AF150 AE151:AE165 AE166:AF167 AE168:AE184 AE185:AF220 AE221:AE229 AE230:AF231 AE232:AE242 AE243:AF244 AE245:AE252 AE253:AF257 AE258:AE279 AE280:AF294 AE295:AE326 AE327:AF327 AE328:AE331 AE332:AF334 AE335:AE417 AE418:AF486 AE487 AE488:AF488 AE489 AE490:AF490 AE491 AE492:AF492 AE493:AE494 AE495:AF495 AE496 AE497:AF497 AE498 AE499:AF501 AE502 AE503:AF503 AE504:AE506 AE507:AF561">
    <cfRule type="expression" dxfId="57" priority="137">
      <formula>O2=""</formula>
    </cfRule>
    <cfRule type="expression" dxfId="56" priority="138" stopIfTrue="1">
      <formula>NOT(OR(O2="C",O2="NC",O2="SF",O2="NA"))</formula>
    </cfRule>
  </conditionalFormatting>
  <conditionalFormatting sqref="Q2:Q561">
    <cfRule type="expression" dxfId="55" priority="17">
      <formula>Q2=""</formula>
    </cfRule>
    <cfRule type="expression" dxfId="54" priority="18" stopIfTrue="1">
      <formula>NOT(OR(Q2="C",Q2="NC",Q2="SF",Q2="NA"))</formula>
    </cfRule>
  </conditionalFormatting>
  <conditionalFormatting sqref="S2:S561">
    <cfRule type="expression" dxfId="53" priority="15">
      <formula>S2=""</formula>
    </cfRule>
    <cfRule type="expression" dxfId="52" priority="16" stopIfTrue="1">
      <formula>NOT(OR(S2="C",S2="NC",S2="SF",S2="NA"))</formula>
    </cfRule>
  </conditionalFormatting>
  <conditionalFormatting sqref="U2:U561">
    <cfRule type="expression" dxfId="51" priority="13">
      <formula>U2=""</formula>
    </cfRule>
    <cfRule type="expression" dxfId="50" priority="14" stopIfTrue="1">
      <formula>NOT(OR(U2="C",U2="NC",U2="SF",U2="NA"))</formula>
    </cfRule>
  </conditionalFormatting>
  <conditionalFormatting sqref="W2:W561">
    <cfRule type="expression" dxfId="49" priority="123">
      <formula>W2=""</formula>
    </cfRule>
    <cfRule type="expression" dxfId="48" priority="124" stopIfTrue="1">
      <formula>NOT(OR(W2="C",W2="NC",W2="SF",W2="NA"))</formula>
    </cfRule>
  </conditionalFormatting>
  <conditionalFormatting sqref="Y2:Y561">
    <cfRule type="expression" dxfId="47" priority="5">
      <formula>Y2=""</formula>
    </cfRule>
    <cfRule type="expression" dxfId="46" priority="6" stopIfTrue="1">
      <formula>NOT(OR(Y2="C",Y2="NC",Y2="SF",Y2="NA"))</formula>
    </cfRule>
  </conditionalFormatting>
  <conditionalFormatting sqref="AA2:AA561">
    <cfRule type="expression" dxfId="45" priority="1">
      <formula>AA2=""</formula>
    </cfRule>
    <cfRule type="expression" dxfId="44" priority="2" stopIfTrue="1">
      <formula>NOT(OR(AA2="C",AA2="NC",AA2="SF",AA2="NA"))</formula>
    </cfRule>
  </conditionalFormatting>
  <conditionalFormatting sqref="AC2:AC561">
    <cfRule type="expression" dxfId="43" priority="119">
      <formula>AC2=""</formula>
    </cfRule>
    <cfRule type="expression" dxfId="42" priority="120" stopIfTrue="1">
      <formula>NOT(OR(AC2="C",AC2="NC",AC2="SF",AC2="NA"))</formula>
    </cfRule>
  </conditionalFormatting>
  <conditionalFormatting sqref="AE2:AE3">
    <cfRule type="expression" dxfId="41" priority="115">
      <formula>AE2=""</formula>
    </cfRule>
    <cfRule type="expression" dxfId="40" priority="116" stopIfTrue="1">
      <formula>NOT(OR(AE2="C",AE2="NC",AE2="SF",AE2="NA"))</formula>
    </cfRule>
  </conditionalFormatting>
  <conditionalFormatting sqref="AH2:AH561">
    <cfRule type="expression" dxfId="39" priority="107">
      <formula>AH2=""</formula>
    </cfRule>
    <cfRule type="expression" dxfId="38" priority="108" stopIfTrue="1">
      <formula>NOT(OR(AH2="C",AH2="NC",AH2="SF",AH2="NA"))</formula>
    </cfRule>
  </conditionalFormatting>
  <pageMargins left="0.511811024" right="0.511811024" top="0.78740157499999996" bottom="0.78740157499999996" header="0.31496062000000002" footer="0.31496062000000002"/>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tint="0.59999389629810485"/>
    <pageSetUpPr fitToPage="1"/>
  </sheetPr>
  <dimension ref="A1:H47"/>
  <sheetViews>
    <sheetView zoomScale="55" zoomScaleNormal="55" zoomScaleSheetLayoutView="70" workbookViewId="0">
      <selection activeCell="B39" sqref="B39:C39"/>
    </sheetView>
  </sheetViews>
  <sheetFormatPr defaultColWidth="9.140625" defaultRowHeight="21" customHeight="1" x14ac:dyDescent="0.3"/>
  <cols>
    <col min="1" max="1" width="5.7109375" style="100" customWidth="1"/>
    <col min="2" max="7" width="30.7109375" style="100" customWidth="1"/>
    <col min="8" max="8" width="5.7109375" style="100" customWidth="1"/>
    <col min="9" max="16384" width="9.140625" style="100"/>
  </cols>
  <sheetData>
    <row r="1" spans="1:8" s="30" customFormat="1" ht="22.5" x14ac:dyDescent="0.25">
      <c r="A1" s="346" t="s">
        <v>59</v>
      </c>
      <c r="B1" s="346"/>
      <c r="C1" s="346"/>
      <c r="D1" s="346"/>
      <c r="E1" s="346"/>
      <c r="F1" s="346"/>
      <c r="G1" s="346"/>
      <c r="H1" s="346"/>
    </row>
    <row r="2" spans="1:8" s="31" customFormat="1" ht="19.899999999999999" customHeight="1" x14ac:dyDescent="0.25">
      <c r="A2" s="44"/>
      <c r="B2" s="44"/>
      <c r="C2" s="44"/>
      <c r="D2" s="44"/>
      <c r="E2" s="44"/>
      <c r="F2" s="44"/>
      <c r="G2" s="44"/>
      <c r="H2" s="45"/>
    </row>
    <row r="3" spans="1:8" s="29" customFormat="1" ht="22.5" x14ac:dyDescent="0.25">
      <c r="A3" s="346" t="s">
        <v>2623</v>
      </c>
      <c r="B3" s="346"/>
      <c r="C3" s="346"/>
      <c r="D3" s="346"/>
      <c r="E3" s="346"/>
      <c r="F3" s="346"/>
      <c r="G3" s="346"/>
      <c r="H3" s="346"/>
    </row>
    <row r="4" spans="1:8" s="29" customFormat="1" ht="21" customHeight="1" x14ac:dyDescent="0.25">
      <c r="A4" s="18"/>
      <c r="B4" s="18"/>
      <c r="C4" s="18"/>
      <c r="D4" s="18"/>
      <c r="E4" s="18"/>
      <c r="F4" s="18"/>
      <c r="G4" s="18"/>
      <c r="H4" s="18"/>
    </row>
    <row r="5" spans="1:8" ht="21" customHeight="1" x14ac:dyDescent="0.3">
      <c r="B5" s="347" t="str">
        <f>'DADOS - GOPOÚVA'!B153</f>
        <v>ANDRE PEREIRA DE FREITAS</v>
      </c>
      <c r="C5" s="347"/>
      <c r="D5" s="347"/>
      <c r="E5" s="347"/>
      <c r="F5" s="347"/>
      <c r="G5" s="347"/>
    </row>
    <row r="6" spans="1:8" ht="21" customHeight="1" x14ac:dyDescent="0.3">
      <c r="B6" s="348" t="s">
        <v>2624</v>
      </c>
      <c r="C6" s="348"/>
      <c r="D6" s="130" t="s">
        <v>56</v>
      </c>
      <c r="E6" s="131" t="s">
        <v>2625</v>
      </c>
      <c r="F6" s="130" t="s">
        <v>41</v>
      </c>
      <c r="G6" s="130" t="s">
        <v>42</v>
      </c>
    </row>
    <row r="7" spans="1:8" ht="21" customHeight="1" x14ac:dyDescent="0.3">
      <c r="B7" s="344" t="s">
        <v>46</v>
      </c>
      <c r="C7" s="345"/>
      <c r="D7" s="102">
        <f t="shared" ref="D7:D12" si="0">F7+G7+E7</f>
        <v>7</v>
      </c>
      <c r="E7" s="103">
        <f>COUNTIFS(ESGOTO!N:N,'EQUIPES - ESGOTO'!B5,ESGOTO!O:O,"SF")</f>
        <v>3</v>
      </c>
      <c r="F7" s="102">
        <f>COUNTIFS(ESGOTO!N:N,'EQUIPES - ESGOTO'!B5,ESGOTO!O:O,"c")</f>
        <v>4</v>
      </c>
      <c r="G7" s="102">
        <f>COUNTIFS(ESGOTO!N:N,'EQUIPES - ESGOTO'!B5,ESGOTO!O:O,"NC")</f>
        <v>0</v>
      </c>
    </row>
    <row r="8" spans="1:8" ht="21" customHeight="1" x14ac:dyDescent="0.3">
      <c r="B8" s="344" t="s">
        <v>47</v>
      </c>
      <c r="C8" s="345"/>
      <c r="D8" s="102">
        <f t="shared" si="0"/>
        <v>7</v>
      </c>
      <c r="E8" s="103">
        <f>COUNTIFS(ESGOTO!N:N,'EQUIPES - ESGOTO'!B5,ESGOTO!Q:Q,"SF")</f>
        <v>3</v>
      </c>
      <c r="F8" s="102">
        <f>COUNTIFS(ESGOTO!N:N,'EQUIPES - ESGOTO'!B5,ESGOTO!Q:Q,"c")</f>
        <v>4</v>
      </c>
      <c r="G8" s="102">
        <f>COUNTIFS(ESGOTO!N:N,'EQUIPES - ESGOTO'!B5,ESGOTO!Q:Q,"NC")</f>
        <v>0</v>
      </c>
    </row>
    <row r="9" spans="1:8" ht="21" customHeight="1" x14ac:dyDescent="0.3">
      <c r="B9" s="344" t="s">
        <v>48</v>
      </c>
      <c r="C9" s="345"/>
      <c r="D9" s="102">
        <f t="shared" si="0"/>
        <v>4</v>
      </c>
      <c r="E9" s="103">
        <f>COUNTIFS(ESGOTO!N:N,'EQUIPES - ESGOTO'!B5,ESGOTO!S:S,"SF")</f>
        <v>3</v>
      </c>
      <c r="F9" s="102">
        <f>COUNTIFS(ESGOTO!N:N,'EQUIPES - ESGOTO'!B5,ESGOTO!S:S,"c")</f>
        <v>1</v>
      </c>
      <c r="G9" s="102">
        <f>COUNTIFS(ESGOTO!N:N,'EQUIPES - ESGOTO'!B5,ESGOTO!S:S,"NC")</f>
        <v>0</v>
      </c>
    </row>
    <row r="10" spans="1:8" ht="21" customHeight="1" x14ac:dyDescent="0.3">
      <c r="B10" s="344" t="s">
        <v>49</v>
      </c>
      <c r="C10" s="345"/>
      <c r="D10" s="102">
        <f t="shared" si="0"/>
        <v>4</v>
      </c>
      <c r="E10" s="103">
        <f>COUNTIFS(ESGOTO!N:N,'EQUIPES - ESGOTO'!B5,ESGOTO!U:U,"SF")</f>
        <v>3</v>
      </c>
      <c r="F10" s="102">
        <f>COUNTIFS(ESGOTO!N:N,'EQUIPES - ESGOTO'!B5,ESGOTO!U:U,"c")</f>
        <v>1</v>
      </c>
      <c r="G10" s="102">
        <f>COUNTIFS(ESGOTO!N:N,'EQUIPES - ESGOTO'!B5,ESGOTO!U:U,"NC")</f>
        <v>0</v>
      </c>
    </row>
    <row r="11" spans="1:8" ht="21" customHeight="1" x14ac:dyDescent="0.3">
      <c r="B11" s="344" t="s">
        <v>50</v>
      </c>
      <c r="C11" s="345"/>
      <c r="D11" s="102">
        <f t="shared" si="0"/>
        <v>4</v>
      </c>
      <c r="E11" s="103">
        <f>COUNTIFS(ESGOTO!N:N,'EQUIPES - ESGOTO'!B5,ESGOTO!W:W,"SF")</f>
        <v>3</v>
      </c>
      <c r="F11" s="102">
        <f>COUNTIFS(ESGOTO!N:N,'EQUIPES - ESGOTO'!B5,ESGOTO!W:W,"c")</f>
        <v>1</v>
      </c>
      <c r="G11" s="102">
        <f>COUNTIFS(ESGOTO!N:N,'EQUIPES - ESGOTO'!B5,ESGOTO!W:W,"NC")</f>
        <v>0</v>
      </c>
    </row>
    <row r="12" spans="1:8" ht="21" customHeight="1" x14ac:dyDescent="0.3">
      <c r="B12" s="344" t="s">
        <v>62</v>
      </c>
      <c r="C12" s="345"/>
      <c r="D12" s="102">
        <f t="shared" si="0"/>
        <v>4</v>
      </c>
      <c r="E12" s="103">
        <f>COUNTIFS(ESGOTO!N:N,'EQUIPES - ESGOTO'!B5,ESGOTO!Y:Y,"SF")</f>
        <v>3</v>
      </c>
      <c r="F12" s="102">
        <f>COUNTIFS(ESGOTO!N:N,'EQUIPES - ESGOTO'!B5,ESGOTO!Y:Y,"c")</f>
        <v>1</v>
      </c>
      <c r="G12" s="102">
        <f>COUNTIFS(ESGOTO!N:N,'EQUIPES - ESGOTO'!B5,ESGOTO!Y:Y,"NC")</f>
        <v>0</v>
      </c>
    </row>
    <row r="13" spans="1:8" ht="21" customHeight="1" x14ac:dyDescent="0.3">
      <c r="B13" s="344" t="s">
        <v>52</v>
      </c>
      <c r="C13" s="345"/>
      <c r="D13" s="102">
        <f t="shared" ref="D13:D14" si="1">F13+G13+E13</f>
        <v>1</v>
      </c>
      <c r="E13" s="103">
        <f>COUNTIFS(ESGOTO!N:N,'EQUIPES - ESGOTO'!B6,ESGOTO!AA:AA,"SF")</f>
        <v>0</v>
      </c>
      <c r="F13" s="102">
        <f>COUNTIFS(ESGOTO!N:N,'EQUIPES - ESGOTO'!B5,ESGOTO!AA:AA,"c")</f>
        <v>1</v>
      </c>
      <c r="G13" s="102">
        <f>COUNTIFS(ESGOTO!N:N,'EQUIPES - ESGOTO'!B5,ESGOTO!AA:AA,"NC")</f>
        <v>0</v>
      </c>
    </row>
    <row r="14" spans="1:8" ht="21" customHeight="1" x14ac:dyDescent="0.3">
      <c r="B14" s="344" t="s">
        <v>53</v>
      </c>
      <c r="C14" s="345"/>
      <c r="D14" s="102">
        <f t="shared" si="1"/>
        <v>4</v>
      </c>
      <c r="E14" s="103">
        <f>COUNTIFS(ESGOTO!N:N,'EQUIPES - ESGOTO'!B7,ESGOTO!AC:AC,"SF")</f>
        <v>0</v>
      </c>
      <c r="F14" s="102">
        <f>COUNTIFS(ESGOTO!N:N,'EQUIPES - ESGOTO'!B5,ESGOTO!AC:AC,"c")</f>
        <v>2</v>
      </c>
      <c r="G14" s="102">
        <f>COUNTIFS(ESGOTO!N:N,'EQUIPES - ESGOTO'!B5,ESGOTO!AC:AC,"NC")</f>
        <v>2</v>
      </c>
    </row>
    <row r="16" spans="1:8" ht="21" customHeight="1" x14ac:dyDescent="0.3">
      <c r="B16" s="347" t="str">
        <f>'DADOS - GOPOÚVA'!B154</f>
        <v>CICERO BELO DE SANTANA</v>
      </c>
      <c r="C16" s="347"/>
      <c r="D16" s="347"/>
      <c r="E16" s="347"/>
      <c r="F16" s="347"/>
      <c r="G16" s="347"/>
    </row>
    <row r="17" spans="2:7" ht="21" customHeight="1" x14ac:dyDescent="0.3">
      <c r="B17" s="348" t="s">
        <v>2624</v>
      </c>
      <c r="C17" s="348"/>
      <c r="D17" s="130" t="s">
        <v>56</v>
      </c>
      <c r="E17" s="131" t="s">
        <v>2625</v>
      </c>
      <c r="F17" s="130" t="s">
        <v>41</v>
      </c>
      <c r="G17" s="130" t="s">
        <v>42</v>
      </c>
    </row>
    <row r="18" spans="2:7" ht="21" customHeight="1" x14ac:dyDescent="0.3">
      <c r="B18" s="344" t="s">
        <v>46</v>
      </c>
      <c r="C18" s="345"/>
      <c r="D18" s="102">
        <f t="shared" ref="D18:D25" si="2">F18+G18+E18</f>
        <v>2</v>
      </c>
      <c r="E18" s="103">
        <f>COUNTIFS(ESGOTO!N:N,'EQUIPES - ESGOTO'!B16,ESGOTO!O:O,"SF")</f>
        <v>0</v>
      </c>
      <c r="F18" s="102">
        <f>COUNTIFS(ESGOTO!N:N,'EQUIPES - ESGOTO'!B16,ESGOTO!O:O,"c")</f>
        <v>2</v>
      </c>
      <c r="G18" s="102">
        <f>COUNTIFS(ESGOTO!N:N,'EQUIPES - ESGOTO'!B16,ESGOTO!O:O,"NC")</f>
        <v>0</v>
      </c>
    </row>
    <row r="19" spans="2:7" ht="21" customHeight="1" x14ac:dyDescent="0.3">
      <c r="B19" s="344" t="s">
        <v>47</v>
      </c>
      <c r="C19" s="345"/>
      <c r="D19" s="102">
        <f t="shared" si="2"/>
        <v>2</v>
      </c>
      <c r="E19" s="103">
        <f>COUNTIFS(ESGOTO!N:N,'EQUIPES - ESGOTO'!B16,ESGOTO!Q:Q,"SF")</f>
        <v>0</v>
      </c>
      <c r="F19" s="102">
        <f>COUNTIFS(ESGOTO!N:N,'EQUIPES - ESGOTO'!B16,ESGOTO!Q:Q,"c")</f>
        <v>2</v>
      </c>
      <c r="G19" s="102">
        <f>COUNTIFS(ESGOTO!N:N,'EQUIPES - ESGOTO'!B16,ESGOTO!Q:Q,"NC")</f>
        <v>0</v>
      </c>
    </row>
    <row r="20" spans="2:7" ht="21" customHeight="1" x14ac:dyDescent="0.3">
      <c r="B20" s="344" t="s">
        <v>48</v>
      </c>
      <c r="C20" s="345"/>
      <c r="D20" s="102">
        <f t="shared" si="2"/>
        <v>1</v>
      </c>
      <c r="E20" s="103">
        <f>COUNTIFS(ESGOTO!N:N,'EQUIPES - ESGOTO'!B16,ESGOTO!S:S,"SF")</f>
        <v>0</v>
      </c>
      <c r="F20" s="102">
        <f>COUNTIFS(ESGOTO!N:N,'EQUIPES - ESGOTO'!B16,ESGOTO!S:S,"c")</f>
        <v>1</v>
      </c>
      <c r="G20" s="102">
        <f>COUNTIFS(ESGOTO!N:N,'EQUIPES - ESGOTO'!B16,ESGOTO!S:S,"NC")</f>
        <v>0</v>
      </c>
    </row>
    <row r="21" spans="2:7" ht="21" customHeight="1" x14ac:dyDescent="0.3">
      <c r="B21" s="344" t="s">
        <v>49</v>
      </c>
      <c r="C21" s="345"/>
      <c r="D21" s="102">
        <f t="shared" si="2"/>
        <v>1</v>
      </c>
      <c r="E21" s="103">
        <f>COUNTIFS(ESGOTO!N:N,'EQUIPES - ESGOTO'!B16,ESGOTO!U:U,"SF")</f>
        <v>0</v>
      </c>
      <c r="F21" s="102">
        <f>COUNTIFS(ESGOTO!N:N,'EQUIPES - ESGOTO'!B16,ESGOTO!U:U,"c")</f>
        <v>1</v>
      </c>
      <c r="G21" s="102">
        <f>COUNTIFS(ESGOTO!N:N,'EQUIPES - ESGOTO'!B16,ESGOTO!U:U,"NC")</f>
        <v>0</v>
      </c>
    </row>
    <row r="22" spans="2:7" ht="21" customHeight="1" x14ac:dyDescent="0.3">
      <c r="B22" s="344" t="s">
        <v>50</v>
      </c>
      <c r="C22" s="345"/>
      <c r="D22" s="102">
        <f t="shared" si="2"/>
        <v>0</v>
      </c>
      <c r="E22" s="103">
        <f>COUNTIFS(ESGOTO!N:N,'EQUIPES - ESGOTO'!B16,ESGOTO!W:W,"SF")</f>
        <v>0</v>
      </c>
      <c r="F22" s="102">
        <f>COUNTIFS(ESGOTO!N:N,'EQUIPES - ESGOTO'!B16,ESGOTO!W:W,"c")</f>
        <v>0</v>
      </c>
      <c r="G22" s="102">
        <f>COUNTIFS(ESGOTO!N:N,'EQUIPES - ESGOTO'!B16,ESGOTO!W:W,"NC")</f>
        <v>0</v>
      </c>
    </row>
    <row r="23" spans="2:7" ht="21" customHeight="1" x14ac:dyDescent="0.3">
      <c r="B23" s="344" t="s">
        <v>62</v>
      </c>
      <c r="C23" s="345"/>
      <c r="D23" s="102">
        <f t="shared" si="2"/>
        <v>0</v>
      </c>
      <c r="E23" s="103">
        <f>COUNTIFS(ESGOTO!N:N,'EQUIPES - ESGOTO'!B16,ESGOTO!Y:Y,"SF")</f>
        <v>0</v>
      </c>
      <c r="F23" s="102">
        <f>COUNTIFS(ESGOTO!N:N,'EQUIPES - ESGOTO'!B16,ESGOTO!Y:Y,"c")</f>
        <v>0</v>
      </c>
      <c r="G23" s="102">
        <f>COUNTIFS(ESGOTO!N:N,'EQUIPES - ESGOTO'!B16,ESGOTO!Y:Y,"NC")</f>
        <v>0</v>
      </c>
    </row>
    <row r="24" spans="2:7" ht="21" customHeight="1" x14ac:dyDescent="0.3">
      <c r="B24" s="344" t="s">
        <v>52</v>
      </c>
      <c r="C24" s="345"/>
      <c r="D24" s="102">
        <f t="shared" si="2"/>
        <v>1</v>
      </c>
      <c r="E24" s="103">
        <f>COUNTIFS(ESGOTO!N:N,'EQUIPES - ESGOTO'!B17,ESGOTO!AA:AA,"SF")</f>
        <v>0</v>
      </c>
      <c r="F24" s="102">
        <f>COUNTIFS(ESGOTO!N:N,'EQUIPES - ESGOTO'!B16,ESGOTO!AA:AA,"c")</f>
        <v>1</v>
      </c>
      <c r="G24" s="102">
        <f>COUNTIFS(ESGOTO!N:N,'EQUIPES - ESGOTO'!B16,ESGOTO!AA:AA,"NC")</f>
        <v>0</v>
      </c>
    </row>
    <row r="25" spans="2:7" ht="21" customHeight="1" x14ac:dyDescent="0.3">
      <c r="B25" s="344" t="s">
        <v>53</v>
      </c>
      <c r="C25" s="345"/>
      <c r="D25" s="102">
        <f t="shared" si="2"/>
        <v>2</v>
      </c>
      <c r="E25" s="103">
        <f>COUNTIFS(ESGOTO!N:N,'EQUIPES - ESGOTO'!B18,ESGOTO!AC:AC,"SF")</f>
        <v>0</v>
      </c>
      <c r="F25" s="102">
        <f>COUNTIFS(ESGOTO!N:N,'EQUIPES - ESGOTO'!B16,ESGOTO!AC:AC,"c")</f>
        <v>2</v>
      </c>
      <c r="G25" s="102">
        <f>COUNTIFS(ESGOTO!N:N,'EQUIPES - ESGOTO'!B16,ESGOTO!AC:AC,"NC")</f>
        <v>0</v>
      </c>
    </row>
    <row r="27" spans="2:7" ht="21" customHeight="1" x14ac:dyDescent="0.3">
      <c r="B27" s="347" t="str">
        <f>'DADOS - GOPOÚVA'!B155</f>
        <v>GILVAN FERREIRA DOS SANTOS</v>
      </c>
      <c r="C27" s="347"/>
      <c r="D27" s="347"/>
      <c r="E27" s="347"/>
      <c r="F27" s="347"/>
      <c r="G27" s="347"/>
    </row>
    <row r="28" spans="2:7" ht="21" customHeight="1" x14ac:dyDescent="0.3">
      <c r="B28" s="348" t="s">
        <v>2624</v>
      </c>
      <c r="C28" s="348"/>
      <c r="D28" s="130" t="s">
        <v>56</v>
      </c>
      <c r="E28" s="131" t="s">
        <v>2625</v>
      </c>
      <c r="F28" s="130" t="s">
        <v>41</v>
      </c>
      <c r="G28" s="130" t="s">
        <v>42</v>
      </c>
    </row>
    <row r="29" spans="2:7" ht="21" customHeight="1" x14ac:dyDescent="0.3">
      <c r="B29" s="344" t="s">
        <v>46</v>
      </c>
      <c r="C29" s="345"/>
      <c r="D29" s="102">
        <f t="shared" ref="D29:D36" si="3">F29+G29+E29</f>
        <v>12</v>
      </c>
      <c r="E29" s="103">
        <f>COUNTIFS(ESGOTO!N:N,'EQUIPES - ESGOTO'!B27,ESGOTO!O:O,"SF")</f>
        <v>0</v>
      </c>
      <c r="F29" s="102">
        <f>COUNTIFS(ESGOTO!N:N,'EQUIPES - ESGOTO'!B27,ESGOTO!O:O,"c")</f>
        <v>12</v>
      </c>
      <c r="G29" s="102">
        <f>COUNTIFS(ESGOTO!N:N,'EQUIPES - ESGOTO'!B27,ESGOTO!O:O,"NC")</f>
        <v>0</v>
      </c>
    </row>
    <row r="30" spans="2:7" ht="21" customHeight="1" x14ac:dyDescent="0.3">
      <c r="B30" s="344" t="s">
        <v>47</v>
      </c>
      <c r="C30" s="345"/>
      <c r="D30" s="102">
        <f t="shared" si="3"/>
        <v>12</v>
      </c>
      <c r="E30" s="103">
        <f>COUNTIFS(ESGOTO!N:N,'EQUIPES - ESGOTO'!B27,ESGOTO!Q:Q,"SF")</f>
        <v>0</v>
      </c>
      <c r="F30" s="102">
        <f>COUNTIFS(ESGOTO!N:N,'EQUIPES - ESGOTO'!B27,ESGOTO!Q:Q,"c")</f>
        <v>12</v>
      </c>
      <c r="G30" s="102">
        <f>COUNTIFS(ESGOTO!N:N,'EQUIPES - ESGOTO'!B27,ESGOTO!Q:Q,"NC")</f>
        <v>0</v>
      </c>
    </row>
    <row r="31" spans="2:7" ht="21" customHeight="1" x14ac:dyDescent="0.3">
      <c r="B31" s="344" t="s">
        <v>48</v>
      </c>
      <c r="C31" s="345"/>
      <c r="D31" s="102">
        <f t="shared" si="3"/>
        <v>11</v>
      </c>
      <c r="E31" s="103">
        <f>COUNTIFS(ESGOTO!N:N,'EQUIPES - ESGOTO'!B27,ESGOTO!S:S,"SF")</f>
        <v>0</v>
      </c>
      <c r="F31" s="102">
        <f>COUNTIFS(ESGOTO!N:N,'EQUIPES - ESGOTO'!B27,ESGOTO!S:S,"c")</f>
        <v>11</v>
      </c>
      <c r="G31" s="102">
        <f>COUNTIFS(ESGOTO!N:N,'EQUIPES - ESGOTO'!B27,ESGOTO!S:S,"NC")</f>
        <v>0</v>
      </c>
    </row>
    <row r="32" spans="2:7" ht="21" customHeight="1" x14ac:dyDescent="0.3">
      <c r="B32" s="344" t="s">
        <v>49</v>
      </c>
      <c r="C32" s="345"/>
      <c r="D32" s="102">
        <f t="shared" si="3"/>
        <v>11</v>
      </c>
      <c r="E32" s="103">
        <f>COUNTIFS(ESGOTO!N:N,'EQUIPES - ESGOTO'!B27,ESGOTO!U:U,"SF")</f>
        <v>0</v>
      </c>
      <c r="F32" s="102">
        <f>COUNTIFS(ESGOTO!N:N,'EQUIPES - ESGOTO'!B27,ESGOTO!U:U,"c")</f>
        <v>11</v>
      </c>
      <c r="G32" s="102">
        <f>COUNTIFS(ESGOTO!N:N,'EQUIPES - ESGOTO'!B27,ESGOTO!U:U,"NC")</f>
        <v>0</v>
      </c>
    </row>
    <row r="33" spans="2:7" ht="21" customHeight="1" x14ac:dyDescent="0.3">
      <c r="B33" s="344" t="s">
        <v>50</v>
      </c>
      <c r="C33" s="345"/>
      <c r="D33" s="102">
        <f t="shared" si="3"/>
        <v>11</v>
      </c>
      <c r="E33" s="103">
        <f>COUNTIFS(ESGOTO!N:N,'EQUIPES - ESGOTO'!B27,ESGOTO!W:W,"SF")</f>
        <v>0</v>
      </c>
      <c r="F33" s="102">
        <f>COUNTIFS(ESGOTO!N:N,'EQUIPES - ESGOTO'!B27,ESGOTO!W:W,"c")</f>
        <v>11</v>
      </c>
      <c r="G33" s="102">
        <f>COUNTIFS(ESGOTO!N:N,'EQUIPES - ESGOTO'!B27,ESGOTO!W:W,"NC")</f>
        <v>0</v>
      </c>
    </row>
    <row r="34" spans="2:7" ht="21" customHeight="1" x14ac:dyDescent="0.3">
      <c r="B34" s="344" t="s">
        <v>62</v>
      </c>
      <c r="C34" s="345"/>
      <c r="D34" s="102">
        <f t="shared" si="3"/>
        <v>11</v>
      </c>
      <c r="E34" s="103">
        <f>COUNTIFS(ESGOTO!N:N,'EQUIPES - ESGOTO'!B27,ESGOTO!Y:Y,"SF")</f>
        <v>0</v>
      </c>
      <c r="F34" s="102">
        <f>COUNTIFS(ESGOTO!N:N,'EQUIPES - ESGOTO'!B27,ESGOTO!Y:Y,"c")</f>
        <v>11</v>
      </c>
      <c r="G34" s="102">
        <f>COUNTIFS(ESGOTO!N:N,'EQUIPES - ESGOTO'!B27,ESGOTO!Y:Y,"NC")</f>
        <v>0</v>
      </c>
    </row>
    <row r="35" spans="2:7" ht="21" customHeight="1" x14ac:dyDescent="0.3">
      <c r="B35" s="344" t="s">
        <v>52</v>
      </c>
      <c r="C35" s="345"/>
      <c r="D35" s="102">
        <f t="shared" si="3"/>
        <v>11</v>
      </c>
      <c r="E35" s="103">
        <f>COUNTIFS(ESGOTO!N:N,'EQUIPES - ESGOTO'!B28,ESGOTO!AA:AA,"SF")</f>
        <v>0</v>
      </c>
      <c r="F35" s="102">
        <f>COUNTIFS(ESGOTO!N:N,'EQUIPES - ESGOTO'!B27,ESGOTO!AA:AA,"c")</f>
        <v>11</v>
      </c>
      <c r="G35" s="102">
        <f>COUNTIFS(ESGOTO!N:N,'EQUIPES - ESGOTO'!B27,ESGOTO!AA:AA,"NC")</f>
        <v>0</v>
      </c>
    </row>
    <row r="36" spans="2:7" ht="21" customHeight="1" x14ac:dyDescent="0.3">
      <c r="B36" s="344" t="s">
        <v>53</v>
      </c>
      <c r="C36" s="345"/>
      <c r="D36" s="102">
        <f t="shared" si="3"/>
        <v>1</v>
      </c>
      <c r="E36" s="103">
        <f>COUNTIFS(ESGOTO!N:N,'EQUIPES - ESGOTO'!B29,ESGOTO!AC:AC,"SF")</f>
        <v>0</v>
      </c>
      <c r="F36" s="102">
        <f>COUNTIFS(ESGOTO!N:N,'EQUIPES - ESGOTO'!B27,ESGOTO!AC:AC,"c")</f>
        <v>0</v>
      </c>
      <c r="G36" s="102">
        <f>COUNTIFS(ESGOTO!N:N,'EQUIPES - ESGOTO'!B27,ESGOTO!AC:AC,"NC")</f>
        <v>1</v>
      </c>
    </row>
    <row r="38" spans="2:7" ht="21" customHeight="1" x14ac:dyDescent="0.3">
      <c r="B38" s="347" t="str">
        <f>'DADOS - GOPOÚVA'!B156</f>
        <v>JOAO RIBEIRO PEREIRA</v>
      </c>
      <c r="C38" s="347"/>
      <c r="D38" s="347"/>
      <c r="E38" s="347"/>
      <c r="F38" s="347"/>
      <c r="G38" s="347"/>
    </row>
    <row r="39" spans="2:7" ht="21" customHeight="1" x14ac:dyDescent="0.3">
      <c r="B39" s="348" t="s">
        <v>2624</v>
      </c>
      <c r="C39" s="348"/>
      <c r="D39" s="130" t="s">
        <v>56</v>
      </c>
      <c r="E39" s="131" t="s">
        <v>2625</v>
      </c>
      <c r="F39" s="130" t="s">
        <v>41</v>
      </c>
      <c r="G39" s="130" t="s">
        <v>42</v>
      </c>
    </row>
    <row r="40" spans="2:7" ht="21" customHeight="1" x14ac:dyDescent="0.3">
      <c r="B40" s="344" t="s">
        <v>46</v>
      </c>
      <c r="C40" s="345"/>
      <c r="D40" s="102">
        <f t="shared" ref="D40:D47" si="4">F40+G40+E40</f>
        <v>2</v>
      </c>
      <c r="E40" s="103">
        <f>COUNTIFS(ESGOTO!N:N,'EQUIPES - ESGOTO'!B38,ESGOTO!O:O,"SF")</f>
        <v>0</v>
      </c>
      <c r="F40" s="102">
        <f>COUNTIFS(ESGOTO!N:N,'EQUIPES - ESGOTO'!B38,ESGOTO!O:O,"c")</f>
        <v>2</v>
      </c>
      <c r="G40" s="102">
        <f>COUNTIFS(ESGOTO!N:N,'EQUIPES - ESGOTO'!B38,ESGOTO!O:O,"NC")</f>
        <v>0</v>
      </c>
    </row>
    <row r="41" spans="2:7" ht="21" customHeight="1" x14ac:dyDescent="0.3">
      <c r="B41" s="344" t="s">
        <v>47</v>
      </c>
      <c r="C41" s="345"/>
      <c r="D41" s="102">
        <f t="shared" si="4"/>
        <v>2</v>
      </c>
      <c r="E41" s="103">
        <f>COUNTIFS(ESGOTO!N:N,'EQUIPES - ESGOTO'!B38,ESGOTO!Q:Q,"SF")</f>
        <v>0</v>
      </c>
      <c r="F41" s="102">
        <f>COUNTIFS(ESGOTO!N:N,'EQUIPES - ESGOTO'!B38,ESGOTO!Q:Q,"c")</f>
        <v>2</v>
      </c>
      <c r="G41" s="102">
        <f>COUNTIFS(ESGOTO!N:N,'EQUIPES - ESGOTO'!B38,ESGOTO!Q:Q,"NC")</f>
        <v>0</v>
      </c>
    </row>
    <row r="42" spans="2:7" ht="21" customHeight="1" x14ac:dyDescent="0.3">
      <c r="B42" s="344" t="s">
        <v>48</v>
      </c>
      <c r="C42" s="345"/>
      <c r="D42" s="102">
        <f t="shared" si="4"/>
        <v>2</v>
      </c>
      <c r="E42" s="103">
        <f>COUNTIFS(ESGOTO!N:N,'EQUIPES - ESGOTO'!B38,ESGOTO!S:S,"SF")</f>
        <v>0</v>
      </c>
      <c r="F42" s="102">
        <f>COUNTIFS(ESGOTO!N:N,'EQUIPES - ESGOTO'!B38,ESGOTO!S:S,"c")</f>
        <v>2</v>
      </c>
      <c r="G42" s="102">
        <f>COUNTIFS(ESGOTO!N:N,'EQUIPES - ESGOTO'!B38,ESGOTO!S:S,"NC")</f>
        <v>0</v>
      </c>
    </row>
    <row r="43" spans="2:7" ht="21" customHeight="1" x14ac:dyDescent="0.3">
      <c r="B43" s="344" t="s">
        <v>49</v>
      </c>
      <c r="C43" s="345"/>
      <c r="D43" s="102">
        <f t="shared" si="4"/>
        <v>2</v>
      </c>
      <c r="E43" s="103">
        <f>COUNTIFS(ESGOTO!N:N,'EQUIPES - ESGOTO'!B38,ESGOTO!U:U,"SF")</f>
        <v>0</v>
      </c>
      <c r="F43" s="102">
        <f>COUNTIFS(ESGOTO!N:N,'EQUIPES - ESGOTO'!B38,ESGOTO!U:U,"c")</f>
        <v>2</v>
      </c>
      <c r="G43" s="102">
        <f>COUNTIFS(ESGOTO!N:N,'EQUIPES - ESGOTO'!B38,ESGOTO!U:U,"NC")</f>
        <v>0</v>
      </c>
    </row>
    <row r="44" spans="2:7" ht="21" customHeight="1" x14ac:dyDescent="0.3">
      <c r="B44" s="344" t="s">
        <v>50</v>
      </c>
      <c r="C44" s="345"/>
      <c r="D44" s="102">
        <f t="shared" si="4"/>
        <v>2</v>
      </c>
      <c r="E44" s="103">
        <f>COUNTIFS(ESGOTO!N:N,'EQUIPES - ESGOTO'!B38,ESGOTO!W:W,"SF")</f>
        <v>0</v>
      </c>
      <c r="F44" s="102">
        <f>COUNTIFS(ESGOTO!N:N,'EQUIPES - ESGOTO'!B38,ESGOTO!W:W,"c")</f>
        <v>2</v>
      </c>
      <c r="G44" s="102">
        <f>COUNTIFS(ESGOTO!N:N,'EQUIPES - ESGOTO'!B38,ESGOTO!W:W,"NC")</f>
        <v>0</v>
      </c>
    </row>
    <row r="45" spans="2:7" ht="21" customHeight="1" x14ac:dyDescent="0.3">
      <c r="B45" s="344" t="s">
        <v>62</v>
      </c>
      <c r="C45" s="345"/>
      <c r="D45" s="102">
        <f t="shared" si="4"/>
        <v>1</v>
      </c>
      <c r="E45" s="103">
        <f>COUNTIFS(ESGOTO!N:N,'EQUIPES - ESGOTO'!B38,ESGOTO!Y:Y,"SF")</f>
        <v>0</v>
      </c>
      <c r="F45" s="102">
        <f>COUNTIFS(ESGOTO!N:N,'EQUIPES - ESGOTO'!B38,ESGOTO!Y:Y,"c")</f>
        <v>1</v>
      </c>
      <c r="G45" s="102">
        <f>COUNTIFS(ESGOTO!N:N,'EQUIPES - ESGOTO'!B38,ESGOTO!Y:Y,"NC")</f>
        <v>0</v>
      </c>
    </row>
    <row r="46" spans="2:7" ht="21" customHeight="1" x14ac:dyDescent="0.3">
      <c r="B46" s="344" t="s">
        <v>52</v>
      </c>
      <c r="C46" s="345"/>
      <c r="D46" s="102">
        <f t="shared" si="4"/>
        <v>2</v>
      </c>
      <c r="E46" s="103">
        <f>COUNTIFS(ESGOTO!N:N,'EQUIPES - ESGOTO'!B39,ESGOTO!AA:AA,"SF")</f>
        <v>0</v>
      </c>
      <c r="F46" s="102">
        <f>COUNTIFS(ESGOTO!N:N,'EQUIPES - ESGOTO'!B38,ESGOTO!AA:AA,"c")</f>
        <v>2</v>
      </c>
      <c r="G46" s="102">
        <f>COUNTIFS(ESGOTO!N:N,'EQUIPES - ESGOTO'!B38,ESGOTO!AA:AA,"NC")</f>
        <v>0</v>
      </c>
    </row>
    <row r="47" spans="2:7" ht="21" customHeight="1" x14ac:dyDescent="0.3">
      <c r="B47" s="344" t="s">
        <v>53</v>
      </c>
      <c r="C47" s="345"/>
      <c r="D47" s="102">
        <f t="shared" si="4"/>
        <v>2</v>
      </c>
      <c r="E47" s="103">
        <f>COUNTIFS(ESGOTO!N:N,'EQUIPES - ESGOTO'!B40,ESGOTO!AC:AC,"SF")</f>
        <v>0</v>
      </c>
      <c r="F47" s="102">
        <f>COUNTIFS(ESGOTO!N:N,'EQUIPES - ESGOTO'!B38,ESGOTO!AC:AC,"c")</f>
        <v>2</v>
      </c>
      <c r="G47" s="102">
        <f>COUNTIFS(ESGOTO!N:N,'EQUIPES - ESGOTO'!B38,ESGOTO!AC:AC,"NC")</f>
        <v>0</v>
      </c>
    </row>
  </sheetData>
  <mergeCells count="42">
    <mergeCell ref="B43:C43"/>
    <mergeCell ref="B44:C44"/>
    <mergeCell ref="B45:C45"/>
    <mergeCell ref="B46:C46"/>
    <mergeCell ref="B47:C47"/>
    <mergeCell ref="B38:G38"/>
    <mergeCell ref="B39:C39"/>
    <mergeCell ref="B40:C40"/>
    <mergeCell ref="B41:C41"/>
    <mergeCell ref="B42:C42"/>
    <mergeCell ref="B32:C32"/>
    <mergeCell ref="B33:C33"/>
    <mergeCell ref="B34:C34"/>
    <mergeCell ref="B35:C35"/>
    <mergeCell ref="B36:C36"/>
    <mergeCell ref="B27:G27"/>
    <mergeCell ref="B28:C28"/>
    <mergeCell ref="B29:C29"/>
    <mergeCell ref="B30:C30"/>
    <mergeCell ref="B31:C31"/>
    <mergeCell ref="B21:C21"/>
    <mergeCell ref="B22:C22"/>
    <mergeCell ref="B23:C23"/>
    <mergeCell ref="B24:C24"/>
    <mergeCell ref="B25:C25"/>
    <mergeCell ref="B16:G16"/>
    <mergeCell ref="B17:C17"/>
    <mergeCell ref="B18:C18"/>
    <mergeCell ref="B19:C19"/>
    <mergeCell ref="B20:C20"/>
    <mergeCell ref="B12:C12"/>
    <mergeCell ref="B13:C13"/>
    <mergeCell ref="B14:C14"/>
    <mergeCell ref="B11:C11"/>
    <mergeCell ref="A1:H1"/>
    <mergeCell ref="A3:H3"/>
    <mergeCell ref="B5:G5"/>
    <mergeCell ref="B6:C6"/>
    <mergeCell ref="B7:C7"/>
    <mergeCell ref="B8:C8"/>
    <mergeCell ref="B9:C9"/>
    <mergeCell ref="B10:C10"/>
  </mergeCells>
  <pageMargins left="0.511811024" right="0.14000000000000001" top="0.78740157499999996" bottom="0.78740157499999996" header="0.31496062000000002" footer="0.31496062000000002"/>
  <pageSetup paperSize="9" scale="39" fitToHeight="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7" tint="0.59999389629810485"/>
    <pageSetUpPr fitToPage="1"/>
  </sheetPr>
  <dimension ref="A1:N328"/>
  <sheetViews>
    <sheetView topLeftCell="A36" zoomScale="70" zoomScaleNormal="70" zoomScaleSheetLayoutView="70" workbookViewId="0">
      <selection activeCell="A11" sqref="A11:G38"/>
    </sheetView>
  </sheetViews>
  <sheetFormatPr defaultColWidth="30.7109375" defaultRowHeight="19.899999999999999" customHeight="1" x14ac:dyDescent="0.25"/>
  <cols>
    <col min="1" max="7" width="37.7109375" style="18" customWidth="1"/>
    <col min="8" max="282" width="9.140625" style="18" customWidth="1"/>
    <col min="283" max="16384" width="30.7109375" style="18"/>
  </cols>
  <sheetData>
    <row r="1" spans="1:7" s="2" customFormat="1" ht="35.1" customHeight="1" x14ac:dyDescent="0.25">
      <c r="A1" s="340" t="s">
        <v>157</v>
      </c>
      <c r="B1" s="340"/>
      <c r="C1" s="340"/>
      <c r="D1" s="340"/>
      <c r="E1" s="340"/>
      <c r="F1" s="340"/>
    </row>
    <row r="2" spans="1:7" s="26" customFormat="1" ht="30" customHeight="1" thickBot="1" x14ac:dyDescent="0.3"/>
    <row r="3" spans="1:7" s="27" customFormat="1" ht="30" customHeight="1" x14ac:dyDescent="0.25">
      <c r="B3" s="330" t="s">
        <v>158</v>
      </c>
      <c r="C3" s="331"/>
      <c r="D3" s="330" t="s">
        <v>56</v>
      </c>
      <c r="E3" s="331"/>
    </row>
    <row r="4" spans="1:7" s="27" customFormat="1" ht="30" customHeight="1" thickBot="1" x14ac:dyDescent="0.3">
      <c r="B4" s="349">
        <f>COUNTIF(CAVALETE!A:A,"ONMG - DIV MANUT SERV OPE GOPOÚVA")</f>
        <v>729</v>
      </c>
      <c r="C4" s="342"/>
      <c r="D4" s="349">
        <f>'DADOS - GOPOÚVA'!C29</f>
        <v>351</v>
      </c>
      <c r="E4" s="342"/>
    </row>
    <row r="5" spans="1:7" s="27" customFormat="1" ht="35.1" customHeight="1" x14ac:dyDescent="0.25">
      <c r="B5" s="88" t="s">
        <v>159</v>
      </c>
      <c r="C5" s="89" t="s">
        <v>160</v>
      </c>
      <c r="D5" s="88" t="s">
        <v>161</v>
      </c>
      <c r="E5" s="89" t="s">
        <v>160</v>
      </c>
      <c r="F5" s="25"/>
    </row>
    <row r="6" spans="1:7" s="27" customFormat="1" ht="35.1" customHeight="1" thickBot="1" x14ac:dyDescent="0.3">
      <c r="B6" s="87">
        <f>'DADOS - GOPOÚVA'!C29+'GRÁFICOS - CAVALETE'!D8</f>
        <v>370</v>
      </c>
      <c r="C6" s="46">
        <f>IFERROR(B6/B4,"-")</f>
        <v>0.50754458161865568</v>
      </c>
      <c r="D6" s="87">
        <f>COUNTIFS(CAVALETE!O:O,"SF",CAVALETE!Q:Q,"SF",CAVALETE!S:S,"SF",CAVALETE!U:U,"SF",CAVALETE!W:W,"SF")</f>
        <v>11</v>
      </c>
      <c r="E6" s="46">
        <f>IFERROR(D6/B4,"0")</f>
        <v>1.5089163237311385E-2</v>
      </c>
      <c r="F6" s="25"/>
    </row>
    <row r="7" spans="1:7" s="27" customFormat="1" ht="35.1" customHeight="1" x14ac:dyDescent="0.25">
      <c r="B7" s="88" t="s">
        <v>162</v>
      </c>
      <c r="C7" s="89" t="s">
        <v>160</v>
      </c>
      <c r="D7" s="88" t="s">
        <v>163</v>
      </c>
      <c r="E7" s="89" t="s">
        <v>160</v>
      </c>
      <c r="F7" s="25"/>
    </row>
    <row r="8" spans="1:7" s="27" customFormat="1" ht="35.1" customHeight="1" thickBot="1" x14ac:dyDescent="0.3">
      <c r="B8" s="87">
        <f>B4-B6</f>
        <v>359</v>
      </c>
      <c r="C8" s="46">
        <f>IFERROR(B8/B4,"-")</f>
        <v>0.49245541838134432</v>
      </c>
      <c r="D8" s="87">
        <f>COUNTIFS(CAVALETE!O:O,"NA",CAVALETE!Q:Q,"NA",CAVALETE!S:S,"NA",CAVALETE!U:U,"NA",CAVALETE!W:W,"NA")</f>
        <v>19</v>
      </c>
      <c r="E8" s="46">
        <f>IFERROR(D8/B4,"-")</f>
        <v>2.6063100137174212E-2</v>
      </c>
      <c r="F8" s="25"/>
    </row>
    <row r="9" spans="1:7" s="27" customFormat="1" ht="20.100000000000001" customHeight="1" x14ac:dyDescent="0.25">
      <c r="B9" s="24"/>
      <c r="C9" s="24"/>
      <c r="D9" s="25"/>
      <c r="E9" s="24"/>
      <c r="F9" s="25"/>
    </row>
    <row r="10" spans="1:7" s="27" customFormat="1" ht="20.100000000000001" customHeight="1" x14ac:dyDescent="0.25">
      <c r="B10" s="24"/>
      <c r="C10" s="24"/>
      <c r="D10" s="25"/>
      <c r="E10" s="24"/>
      <c r="F10" s="25"/>
    </row>
    <row r="11" spans="1:7" s="27" customFormat="1" ht="35.1" customHeight="1" x14ac:dyDescent="0.25">
      <c r="A11" s="340" t="s">
        <v>164</v>
      </c>
      <c r="B11" s="340"/>
      <c r="C11" s="340"/>
      <c r="D11" s="340"/>
      <c r="E11" s="340"/>
      <c r="F11" s="340"/>
      <c r="G11" s="340"/>
    </row>
    <row r="12" spans="1:7" s="27" customFormat="1" ht="20.100000000000001" customHeight="1" x14ac:dyDescent="0.25">
      <c r="B12" s="24"/>
      <c r="C12" s="24"/>
      <c r="D12" s="25"/>
      <c r="E12" s="24"/>
      <c r="F12" s="25"/>
    </row>
    <row r="13" spans="1:7" s="27" customFormat="1" ht="20.100000000000001" customHeight="1" x14ac:dyDescent="0.25">
      <c r="A13" s="24"/>
      <c r="F13" s="24"/>
    </row>
    <row r="14" spans="1:7" s="27" customFormat="1" ht="20.100000000000001" customHeight="1" x14ac:dyDescent="0.25">
      <c r="A14" s="24"/>
      <c r="F14" s="24"/>
    </row>
    <row r="15" spans="1:7" s="1" customFormat="1" ht="20.100000000000001" customHeight="1" x14ac:dyDescent="0.25">
      <c r="A15" s="38"/>
      <c r="B15" s="38"/>
      <c r="C15" s="38"/>
      <c r="D15" s="38"/>
      <c r="E15" s="38"/>
      <c r="F15" s="38"/>
    </row>
    <row r="16" spans="1:7" s="1" customFormat="1" ht="20.100000000000001" customHeight="1" x14ac:dyDescent="0.25">
      <c r="A16" s="38"/>
      <c r="B16" s="38"/>
      <c r="C16" s="38"/>
      <c r="D16" s="38"/>
      <c r="E16" s="38"/>
      <c r="F16" s="38"/>
    </row>
    <row r="17" spans="1:6" s="1" customFormat="1" ht="20.100000000000001" customHeight="1" x14ac:dyDescent="0.25">
      <c r="A17" s="38"/>
      <c r="B17" s="38"/>
      <c r="C17" s="38"/>
      <c r="D17" s="38"/>
      <c r="E17" s="38"/>
      <c r="F17" s="38"/>
    </row>
    <row r="18" spans="1:6" s="1" customFormat="1" ht="20.100000000000001" customHeight="1" x14ac:dyDescent="0.25">
      <c r="A18" s="38"/>
      <c r="B18" s="38"/>
      <c r="C18" s="38"/>
      <c r="D18" s="38"/>
      <c r="E18" s="38"/>
      <c r="F18" s="38"/>
    </row>
    <row r="19" spans="1:6" s="1" customFormat="1" ht="20.100000000000001" customHeight="1" x14ac:dyDescent="0.25">
      <c r="A19" s="38"/>
      <c r="B19" s="38"/>
      <c r="C19" s="38"/>
      <c r="D19" s="38"/>
      <c r="E19" s="38"/>
      <c r="F19" s="38"/>
    </row>
    <row r="20" spans="1:6" s="1" customFormat="1" ht="20.100000000000001" customHeight="1" x14ac:dyDescent="0.25">
      <c r="A20" s="38"/>
      <c r="B20" s="38"/>
      <c r="C20" s="38"/>
      <c r="D20" s="38"/>
      <c r="E20" s="38"/>
      <c r="F20" s="38"/>
    </row>
    <row r="21" spans="1:6" s="1" customFormat="1" ht="20.100000000000001" customHeight="1" x14ac:dyDescent="0.25">
      <c r="A21" s="38"/>
      <c r="B21" s="38"/>
      <c r="C21" s="38"/>
      <c r="D21" s="38"/>
      <c r="E21" s="38"/>
      <c r="F21" s="38"/>
    </row>
    <row r="22" spans="1:6" s="1" customFormat="1" ht="20.100000000000001" customHeight="1" x14ac:dyDescent="0.25">
      <c r="A22" s="38"/>
      <c r="B22" s="38"/>
      <c r="C22" s="38"/>
      <c r="D22" s="38"/>
      <c r="E22" s="38"/>
      <c r="F22" s="38"/>
    </row>
    <row r="23" spans="1:6" s="1" customFormat="1" ht="20.100000000000001" customHeight="1" x14ac:dyDescent="0.25">
      <c r="A23" s="38"/>
      <c r="B23" s="38"/>
      <c r="C23" s="38"/>
      <c r="D23" s="38"/>
      <c r="E23" s="38"/>
      <c r="F23" s="38"/>
    </row>
    <row r="24" spans="1:6" s="1" customFormat="1" ht="20.100000000000001" customHeight="1" x14ac:dyDescent="0.25">
      <c r="A24" s="38"/>
      <c r="B24" s="38"/>
      <c r="C24" s="38"/>
      <c r="D24" s="38"/>
      <c r="E24" s="38"/>
      <c r="F24" s="38"/>
    </row>
    <row r="25" spans="1:6" s="1" customFormat="1" ht="20.100000000000001" customHeight="1" x14ac:dyDescent="0.25">
      <c r="A25" s="38"/>
      <c r="B25" s="38"/>
      <c r="C25" s="38"/>
      <c r="D25" s="38"/>
      <c r="E25" s="38"/>
      <c r="F25" s="38"/>
    </row>
    <row r="26" spans="1:6" s="1" customFormat="1" ht="20.100000000000001" customHeight="1" x14ac:dyDescent="0.25">
      <c r="A26" s="38"/>
      <c r="B26" s="38"/>
      <c r="C26" s="38"/>
      <c r="D26" s="38"/>
      <c r="E26" s="38"/>
      <c r="F26" s="38"/>
    </row>
    <row r="27" spans="1:6" s="1" customFormat="1" ht="20.100000000000001" customHeight="1" x14ac:dyDescent="0.25">
      <c r="A27" s="38"/>
      <c r="B27" s="38"/>
      <c r="C27" s="38"/>
      <c r="D27" s="38"/>
      <c r="E27" s="38"/>
      <c r="F27" s="38"/>
    </row>
    <row r="28" spans="1:6" s="1" customFormat="1" ht="20.100000000000001" customHeight="1" x14ac:dyDescent="0.25">
      <c r="A28" s="38"/>
      <c r="B28" s="38"/>
      <c r="C28" s="38"/>
      <c r="D28" s="38"/>
      <c r="E28" s="38"/>
      <c r="F28" s="38"/>
    </row>
    <row r="29" spans="1:6" s="1" customFormat="1" ht="20.100000000000001" customHeight="1" x14ac:dyDescent="0.25">
      <c r="A29" s="38"/>
      <c r="B29" s="38"/>
      <c r="C29" s="38"/>
      <c r="D29" s="38"/>
      <c r="E29" s="38"/>
      <c r="F29" s="38"/>
    </row>
    <row r="30" spans="1:6" s="1" customFormat="1" ht="20.100000000000001" customHeight="1" x14ac:dyDescent="0.25">
      <c r="A30" s="38"/>
      <c r="B30" s="38"/>
      <c r="C30" s="38"/>
      <c r="D30" s="38"/>
      <c r="E30" s="38"/>
      <c r="F30" s="38"/>
    </row>
    <row r="31" spans="1:6" s="1" customFormat="1" ht="20.100000000000001" customHeight="1" x14ac:dyDescent="0.25">
      <c r="A31" s="38"/>
      <c r="B31" s="38"/>
      <c r="C31" s="38"/>
      <c r="D31" s="38"/>
      <c r="E31" s="38"/>
      <c r="F31" s="38"/>
    </row>
    <row r="32" spans="1:6" s="1" customFormat="1" ht="20.100000000000001" customHeight="1" x14ac:dyDescent="0.25">
      <c r="A32" s="38"/>
      <c r="B32" s="38"/>
      <c r="C32" s="38"/>
      <c r="D32" s="38"/>
      <c r="E32" s="38"/>
      <c r="F32" s="38"/>
    </row>
    <row r="33" spans="1:7" s="1" customFormat="1" ht="20.100000000000001" customHeight="1" x14ac:dyDescent="0.25">
      <c r="A33" s="38"/>
      <c r="B33" s="38"/>
      <c r="C33" s="38"/>
      <c r="D33" s="38"/>
      <c r="E33" s="38"/>
      <c r="F33" s="38"/>
    </row>
    <row r="34" spans="1:7" s="1" customFormat="1" ht="20.100000000000001" customHeight="1" x14ac:dyDescent="0.25">
      <c r="A34" s="38"/>
      <c r="B34" s="38"/>
      <c r="C34" s="38"/>
      <c r="D34" s="38"/>
      <c r="E34" s="38"/>
      <c r="F34" s="38"/>
    </row>
    <row r="35" spans="1:7" s="1" customFormat="1" ht="20.100000000000001" customHeight="1" x14ac:dyDescent="0.25">
      <c r="A35" s="38"/>
      <c r="B35" s="38"/>
      <c r="C35" s="38"/>
      <c r="D35" s="38"/>
      <c r="E35" s="38"/>
      <c r="F35" s="38"/>
    </row>
    <row r="36" spans="1:7" s="1" customFormat="1" ht="20.100000000000001" customHeight="1" x14ac:dyDescent="0.25">
      <c r="A36" s="38"/>
      <c r="B36" s="38"/>
      <c r="C36" s="38"/>
      <c r="D36" s="38"/>
      <c r="E36" s="38"/>
      <c r="F36" s="38"/>
    </row>
    <row r="37" spans="1:7" s="1" customFormat="1" ht="20.100000000000001" customHeight="1" x14ac:dyDescent="0.25">
      <c r="A37" s="38"/>
      <c r="B37" s="38"/>
      <c r="C37" s="38"/>
      <c r="D37" s="38"/>
      <c r="E37" s="38"/>
      <c r="F37" s="38"/>
    </row>
    <row r="38" spans="1:7" s="1" customFormat="1" ht="20.100000000000001" customHeight="1" x14ac:dyDescent="0.25">
      <c r="A38" s="38"/>
      <c r="B38" s="38"/>
      <c r="C38" s="38"/>
      <c r="D38" s="38"/>
      <c r="E38" s="38"/>
      <c r="F38" s="38"/>
    </row>
    <row r="39" spans="1:7" s="1" customFormat="1" ht="20.100000000000001" customHeight="1" x14ac:dyDescent="0.25">
      <c r="A39" s="38"/>
      <c r="B39" s="38"/>
      <c r="C39" s="38"/>
      <c r="D39" s="38"/>
      <c r="E39" s="38"/>
      <c r="F39" s="38"/>
    </row>
    <row r="40" spans="1:7" s="1" customFormat="1" ht="35.1" customHeight="1" x14ac:dyDescent="0.2">
      <c r="A40" s="340" t="s">
        <v>165</v>
      </c>
      <c r="B40" s="340"/>
      <c r="C40" s="340"/>
      <c r="D40" s="340"/>
      <c r="E40" s="340"/>
      <c r="F40" s="340"/>
      <c r="G40" s="340"/>
    </row>
    <row r="41" spans="1:7" s="1" customFormat="1" ht="20.100000000000001" customHeight="1" x14ac:dyDescent="0.25">
      <c r="A41" s="38"/>
      <c r="B41" s="38"/>
      <c r="C41" s="38"/>
      <c r="D41" s="38"/>
      <c r="E41" s="38"/>
      <c r="F41" s="38"/>
    </row>
    <row r="42" spans="1:7" s="1" customFormat="1" ht="20.100000000000001" customHeight="1" x14ac:dyDescent="0.25">
      <c r="A42" s="38"/>
      <c r="B42" s="38"/>
      <c r="C42" s="38"/>
      <c r="D42" s="38"/>
      <c r="E42" s="38"/>
      <c r="F42" s="38"/>
    </row>
    <row r="43" spans="1:7" s="1" customFormat="1" ht="20.100000000000001" customHeight="1" x14ac:dyDescent="0.25">
      <c r="A43" s="38"/>
      <c r="B43" s="38"/>
      <c r="C43" s="38"/>
      <c r="D43" s="38"/>
      <c r="E43" s="38"/>
      <c r="F43" s="38"/>
    </row>
    <row r="44" spans="1:7" s="1" customFormat="1" ht="20.100000000000001" customHeight="1" x14ac:dyDescent="0.25">
      <c r="A44" s="38"/>
      <c r="B44" s="38"/>
      <c r="C44" s="38"/>
      <c r="D44" s="38"/>
      <c r="E44" s="38"/>
      <c r="F44" s="38"/>
    </row>
    <row r="45" spans="1:7" s="1" customFormat="1" ht="20.100000000000001" customHeight="1" x14ac:dyDescent="0.25">
      <c r="A45" s="38"/>
      <c r="B45" s="38"/>
      <c r="C45" s="38"/>
      <c r="D45" s="38"/>
      <c r="E45" s="38"/>
      <c r="F45" s="38"/>
    </row>
    <row r="46" spans="1:7" s="1" customFormat="1" ht="20.100000000000001" customHeight="1" x14ac:dyDescent="0.25">
      <c r="A46" s="38"/>
      <c r="B46" s="38"/>
      <c r="C46" s="38"/>
      <c r="D46" s="38"/>
      <c r="E46" s="38"/>
      <c r="F46" s="38"/>
    </row>
    <row r="47" spans="1:7" s="1" customFormat="1" ht="20.100000000000001" customHeight="1" x14ac:dyDescent="0.25">
      <c r="A47" s="38"/>
      <c r="B47" s="38"/>
      <c r="C47" s="38"/>
      <c r="D47" s="38"/>
      <c r="E47" s="38"/>
      <c r="F47" s="38"/>
    </row>
    <row r="48" spans="1:7" s="1" customFormat="1" ht="20.100000000000001" customHeight="1" x14ac:dyDescent="0.25">
      <c r="A48" s="38"/>
      <c r="B48" s="38"/>
      <c r="C48" s="38"/>
      <c r="D48" s="38"/>
      <c r="E48" s="38"/>
      <c r="F48" s="38"/>
    </row>
    <row r="49" spans="1:6" s="1" customFormat="1" ht="20.100000000000001" customHeight="1" x14ac:dyDescent="0.25">
      <c r="A49" s="38"/>
      <c r="B49" s="38"/>
      <c r="C49" s="38"/>
      <c r="D49" s="38"/>
      <c r="E49" s="38"/>
      <c r="F49" s="38"/>
    </row>
    <row r="50" spans="1:6" s="1" customFormat="1" ht="20.100000000000001" customHeight="1" x14ac:dyDescent="0.25">
      <c r="A50" s="38"/>
      <c r="B50" s="38"/>
      <c r="C50" s="38"/>
      <c r="D50" s="38"/>
      <c r="E50" s="38"/>
      <c r="F50" s="38"/>
    </row>
    <row r="51" spans="1:6" s="1" customFormat="1" ht="20.100000000000001" customHeight="1" x14ac:dyDescent="0.25">
      <c r="A51" s="38"/>
      <c r="B51" s="38"/>
      <c r="C51" s="38"/>
      <c r="D51" s="38"/>
      <c r="E51" s="38"/>
      <c r="F51" s="38"/>
    </row>
    <row r="52" spans="1:6" s="1" customFormat="1" ht="20.100000000000001" customHeight="1" x14ac:dyDescent="0.25">
      <c r="A52" s="38"/>
      <c r="B52" s="38"/>
      <c r="C52" s="38"/>
      <c r="D52" s="38"/>
      <c r="E52" s="38"/>
      <c r="F52" s="38"/>
    </row>
    <row r="53" spans="1:6" s="1" customFormat="1" ht="20.100000000000001" customHeight="1" x14ac:dyDescent="0.25">
      <c r="A53" s="38"/>
      <c r="B53" s="38"/>
      <c r="C53" s="38"/>
      <c r="D53" s="38"/>
      <c r="E53" s="38"/>
      <c r="F53" s="38"/>
    </row>
    <row r="54" spans="1:6" s="1" customFormat="1" ht="20.100000000000001" customHeight="1" x14ac:dyDescent="0.25">
      <c r="A54" s="38"/>
      <c r="B54" s="38"/>
      <c r="C54" s="38"/>
      <c r="D54" s="38"/>
      <c r="E54" s="38"/>
      <c r="F54" s="38"/>
    </row>
    <row r="55" spans="1:6" s="1" customFormat="1" ht="20.100000000000001" customHeight="1" x14ac:dyDescent="0.25">
      <c r="A55" s="38"/>
      <c r="B55" s="38"/>
      <c r="C55" s="38"/>
      <c r="D55" s="38"/>
      <c r="E55" s="38"/>
      <c r="F55" s="38"/>
    </row>
    <row r="56" spans="1:6" s="1" customFormat="1" ht="20.100000000000001" customHeight="1" x14ac:dyDescent="0.25">
      <c r="A56" s="38"/>
      <c r="B56" s="38"/>
      <c r="C56" s="38"/>
      <c r="D56" s="38"/>
      <c r="E56" s="38"/>
      <c r="F56" s="38"/>
    </row>
    <row r="57" spans="1:6" s="1" customFormat="1" ht="20.100000000000001" customHeight="1" x14ac:dyDescent="0.25">
      <c r="A57" s="38"/>
      <c r="B57" s="38"/>
      <c r="C57" s="38"/>
      <c r="D57" s="38"/>
      <c r="E57" s="38"/>
      <c r="F57" s="38"/>
    </row>
    <row r="58" spans="1:6" s="1" customFormat="1" ht="20.100000000000001" customHeight="1" x14ac:dyDescent="0.25">
      <c r="A58" s="38"/>
      <c r="B58" s="38"/>
      <c r="C58" s="38"/>
      <c r="D58" s="38"/>
      <c r="E58" s="38"/>
      <c r="F58" s="38"/>
    </row>
    <row r="59" spans="1:6" s="1" customFormat="1" ht="20.100000000000001" customHeight="1" x14ac:dyDescent="0.25">
      <c r="A59" s="38"/>
      <c r="B59" s="38"/>
      <c r="C59" s="38"/>
      <c r="D59" s="38"/>
      <c r="E59" s="38"/>
      <c r="F59" s="38"/>
    </row>
    <row r="60" spans="1:6" s="1" customFormat="1" ht="19.5" customHeight="1" x14ac:dyDescent="0.25">
      <c r="A60" s="38"/>
      <c r="B60" s="38"/>
      <c r="C60" s="38"/>
      <c r="D60" s="38"/>
      <c r="E60" s="38"/>
      <c r="F60" s="38"/>
    </row>
    <row r="61" spans="1:6" s="1" customFormat="1" ht="19.5" customHeight="1" x14ac:dyDescent="0.25">
      <c r="A61" s="38"/>
      <c r="B61" s="38"/>
      <c r="C61" s="38"/>
      <c r="D61" s="38"/>
      <c r="E61" s="38"/>
      <c r="F61" s="38"/>
    </row>
    <row r="62" spans="1:6" s="1" customFormat="1" ht="19.5" customHeight="1" x14ac:dyDescent="0.25">
      <c r="A62" s="38"/>
      <c r="B62" s="38"/>
      <c r="C62" s="38"/>
      <c r="D62" s="38"/>
      <c r="E62" s="38"/>
      <c r="F62" s="38"/>
    </row>
    <row r="63" spans="1:6" s="1" customFormat="1" ht="19.5" customHeight="1" x14ac:dyDescent="0.25">
      <c r="A63" s="38"/>
      <c r="B63" s="38"/>
      <c r="C63" s="38"/>
      <c r="D63" s="38"/>
      <c r="E63" s="38"/>
      <c r="F63" s="38"/>
    </row>
    <row r="64" spans="1:6" s="1" customFormat="1" ht="19.5" customHeight="1" x14ac:dyDescent="0.25">
      <c r="A64" s="38"/>
      <c r="B64" s="38"/>
      <c r="C64" s="38"/>
      <c r="D64" s="38"/>
      <c r="E64" s="38"/>
      <c r="F64" s="38"/>
    </row>
    <row r="65" spans="1:7" s="1" customFormat="1" ht="19.5" customHeight="1" x14ac:dyDescent="0.25">
      <c r="A65" s="38"/>
      <c r="B65" s="38"/>
      <c r="C65" s="38"/>
      <c r="D65" s="38"/>
      <c r="E65" s="38"/>
      <c r="F65" s="38"/>
    </row>
    <row r="66" spans="1:7" s="1" customFormat="1" ht="19.5" customHeight="1" x14ac:dyDescent="0.25">
      <c r="A66" s="38"/>
      <c r="B66" s="38"/>
      <c r="C66" s="38"/>
      <c r="D66" s="38"/>
      <c r="E66" s="38"/>
      <c r="F66" s="38"/>
    </row>
    <row r="67" spans="1:7" s="1" customFormat="1" ht="19.5" customHeight="1" x14ac:dyDescent="0.25">
      <c r="A67" s="38"/>
      <c r="B67" s="38"/>
      <c r="C67" s="38"/>
      <c r="D67" s="38"/>
      <c r="E67" s="38"/>
      <c r="F67" s="38"/>
    </row>
    <row r="68" spans="1:7" s="1" customFormat="1" ht="19.5" customHeight="1" x14ac:dyDescent="0.25">
      <c r="A68" s="38"/>
      <c r="B68" s="38"/>
      <c r="C68" s="38"/>
      <c r="D68" s="38"/>
      <c r="E68" s="38"/>
      <c r="F68" s="38"/>
    </row>
    <row r="69" spans="1:7" s="2" customFormat="1" ht="35.1" customHeight="1" x14ac:dyDescent="0.25">
      <c r="A69" s="340" t="s">
        <v>166</v>
      </c>
      <c r="B69" s="340"/>
      <c r="C69" s="340"/>
      <c r="D69" s="340"/>
      <c r="E69" s="340"/>
      <c r="F69" s="340"/>
      <c r="G69" s="340"/>
    </row>
    <row r="70" spans="1:7" s="1" customFormat="1" ht="20.100000000000001" customHeight="1" x14ac:dyDescent="0.25">
      <c r="A70" s="18"/>
      <c r="B70" s="18"/>
      <c r="C70" s="18"/>
      <c r="D70" s="18"/>
      <c r="E70" s="18"/>
      <c r="F70" s="18"/>
    </row>
    <row r="71" spans="1:7" s="1" customFormat="1" ht="20.100000000000001" customHeight="1" x14ac:dyDescent="0.25">
      <c r="A71" s="18"/>
      <c r="B71" s="18"/>
      <c r="C71" s="18"/>
      <c r="D71" s="18"/>
      <c r="E71" s="18"/>
      <c r="F71" s="18"/>
    </row>
    <row r="72" spans="1:7" s="1" customFormat="1" ht="20.100000000000001" customHeight="1" x14ac:dyDescent="0.25">
      <c r="A72" s="18"/>
      <c r="B72" s="18"/>
      <c r="C72" s="18"/>
      <c r="D72" s="18"/>
      <c r="E72" s="18"/>
      <c r="F72" s="18"/>
    </row>
    <row r="73" spans="1:7" s="1" customFormat="1" ht="20.100000000000001" customHeight="1" x14ac:dyDescent="0.25">
      <c r="A73" s="18"/>
      <c r="B73" s="18"/>
      <c r="C73" s="18"/>
      <c r="D73" s="18"/>
      <c r="E73" s="18"/>
      <c r="F73" s="18"/>
    </row>
    <row r="74" spans="1:7" s="1" customFormat="1" ht="20.100000000000001" customHeight="1" x14ac:dyDescent="0.25">
      <c r="A74" s="18"/>
      <c r="B74" s="18"/>
      <c r="C74" s="18"/>
      <c r="D74" s="18"/>
      <c r="E74" s="18"/>
      <c r="F74" s="18"/>
    </row>
    <row r="75" spans="1:7" s="1" customFormat="1" ht="20.100000000000001" customHeight="1" x14ac:dyDescent="0.25">
      <c r="A75" s="18"/>
      <c r="B75" s="18"/>
      <c r="C75" s="18"/>
      <c r="D75" s="18"/>
      <c r="E75" s="18"/>
      <c r="F75" s="18"/>
    </row>
    <row r="76" spans="1:7" s="1" customFormat="1" ht="20.100000000000001" customHeight="1" x14ac:dyDescent="0.25">
      <c r="A76" s="18"/>
      <c r="B76" s="18"/>
      <c r="C76" s="18"/>
      <c r="D76" s="18"/>
      <c r="E76" s="18"/>
      <c r="F76" s="18"/>
    </row>
    <row r="77" spans="1:7" s="1" customFormat="1" ht="20.100000000000001" customHeight="1" x14ac:dyDescent="0.25">
      <c r="A77" s="18"/>
      <c r="B77" s="18"/>
      <c r="C77" s="18"/>
      <c r="D77" s="18"/>
      <c r="E77" s="18"/>
      <c r="F77" s="18"/>
    </row>
    <row r="78" spans="1:7" s="1" customFormat="1" ht="20.100000000000001" customHeight="1" x14ac:dyDescent="0.25">
      <c r="A78" s="18"/>
      <c r="B78" s="18"/>
      <c r="C78" s="18"/>
      <c r="D78" s="18"/>
      <c r="E78" s="18"/>
      <c r="F78" s="18"/>
    </row>
    <row r="79" spans="1:7" s="1" customFormat="1" ht="20.100000000000001" customHeight="1" x14ac:dyDescent="0.25">
      <c r="A79" s="18"/>
      <c r="B79" s="18"/>
      <c r="C79" s="18"/>
      <c r="D79" s="18"/>
      <c r="E79" s="18"/>
      <c r="F79" s="18"/>
    </row>
    <row r="80" spans="1:7" s="1" customFormat="1" ht="20.100000000000001" customHeight="1" x14ac:dyDescent="0.25">
      <c r="A80" s="18"/>
      <c r="B80" s="18"/>
      <c r="C80" s="18"/>
      <c r="D80" s="18"/>
      <c r="E80" s="18"/>
      <c r="F80" s="18"/>
    </row>
    <row r="81" spans="1:6" s="1" customFormat="1" ht="20.100000000000001" customHeight="1" x14ac:dyDescent="0.25">
      <c r="A81" s="18"/>
      <c r="B81" s="18"/>
      <c r="C81" s="18"/>
      <c r="D81" s="18"/>
      <c r="E81" s="18"/>
      <c r="F81" s="18"/>
    </row>
    <row r="82" spans="1:6" s="1" customFormat="1" ht="20.100000000000001" customHeight="1" x14ac:dyDescent="0.25">
      <c r="A82" s="18"/>
      <c r="B82" s="18"/>
      <c r="C82" s="18"/>
      <c r="D82" s="18"/>
      <c r="E82" s="18"/>
      <c r="F82" s="18"/>
    </row>
    <row r="83" spans="1:6" s="1" customFormat="1" ht="20.100000000000001" customHeight="1" x14ac:dyDescent="0.25">
      <c r="A83" s="18"/>
      <c r="B83" s="18"/>
      <c r="C83" s="18"/>
      <c r="D83" s="18"/>
      <c r="E83" s="18"/>
      <c r="F83" s="18"/>
    </row>
    <row r="84" spans="1:6" s="1" customFormat="1" ht="20.100000000000001" customHeight="1" x14ac:dyDescent="0.25">
      <c r="A84" s="18"/>
      <c r="B84" s="18"/>
      <c r="C84" s="18"/>
      <c r="D84" s="18"/>
      <c r="E84" s="18"/>
      <c r="F84" s="18"/>
    </row>
    <row r="85" spans="1:6" s="1" customFormat="1" ht="20.100000000000001" customHeight="1" x14ac:dyDescent="0.25">
      <c r="A85" s="18"/>
      <c r="B85" s="18"/>
      <c r="C85" s="18"/>
      <c r="D85" s="18"/>
      <c r="E85" s="18"/>
      <c r="F85" s="18"/>
    </row>
    <row r="86" spans="1:6" s="1" customFormat="1" ht="20.100000000000001" customHeight="1" x14ac:dyDescent="0.25">
      <c r="A86" s="18"/>
      <c r="B86" s="18"/>
      <c r="C86" s="18"/>
      <c r="D86" s="18"/>
      <c r="E86" s="18"/>
      <c r="F86" s="18"/>
    </row>
    <row r="87" spans="1:6" s="1" customFormat="1" ht="20.100000000000001" customHeight="1" x14ac:dyDescent="0.25">
      <c r="A87" s="18"/>
      <c r="B87" s="18"/>
      <c r="C87" s="18"/>
      <c r="D87" s="18"/>
      <c r="E87" s="18"/>
      <c r="F87" s="18"/>
    </row>
    <row r="88" spans="1:6" s="1" customFormat="1" ht="20.100000000000001" customHeight="1" x14ac:dyDescent="0.25">
      <c r="A88" s="18"/>
      <c r="B88" s="18"/>
      <c r="C88" s="18"/>
      <c r="D88" s="18"/>
      <c r="E88" s="18"/>
      <c r="F88" s="18"/>
    </row>
    <row r="89" spans="1:6" s="1" customFormat="1" ht="20.100000000000001" customHeight="1" x14ac:dyDescent="0.25">
      <c r="A89" s="18"/>
      <c r="B89" s="18"/>
      <c r="C89" s="18"/>
      <c r="D89" s="18"/>
      <c r="E89" s="18"/>
      <c r="F89" s="18"/>
    </row>
    <row r="90" spans="1:6" s="1" customFormat="1" ht="20.100000000000001" customHeight="1" x14ac:dyDescent="0.25">
      <c r="A90" s="18"/>
      <c r="B90" s="18"/>
      <c r="C90" s="18"/>
      <c r="D90" s="18"/>
      <c r="E90" s="18"/>
      <c r="F90" s="18"/>
    </row>
    <row r="91" spans="1:6" s="1" customFormat="1" ht="20.100000000000001" customHeight="1" x14ac:dyDescent="0.25">
      <c r="A91" s="18"/>
      <c r="B91" s="18"/>
      <c r="C91" s="18"/>
      <c r="D91" s="18"/>
      <c r="E91" s="18"/>
      <c r="F91" s="18"/>
    </row>
    <row r="92" spans="1:6" s="1" customFormat="1" ht="20.100000000000001" customHeight="1" x14ac:dyDescent="0.25">
      <c r="A92" s="18"/>
      <c r="B92" s="18"/>
      <c r="C92" s="18"/>
      <c r="D92" s="18"/>
      <c r="E92" s="18"/>
      <c r="F92" s="18"/>
    </row>
    <row r="93" spans="1:6" s="1" customFormat="1" ht="20.100000000000001" customHeight="1" x14ac:dyDescent="0.25">
      <c r="A93" s="18"/>
      <c r="B93" s="18"/>
      <c r="C93" s="18"/>
      <c r="D93" s="18"/>
      <c r="E93" s="18"/>
      <c r="F93" s="18"/>
    </row>
    <row r="94" spans="1:6" s="1" customFormat="1" ht="20.100000000000001" customHeight="1" x14ac:dyDescent="0.25">
      <c r="A94" s="18"/>
      <c r="B94" s="18"/>
      <c r="C94" s="18"/>
      <c r="D94" s="18"/>
      <c r="E94" s="18"/>
      <c r="F94" s="18"/>
    </row>
    <row r="95" spans="1:6" s="1" customFormat="1" ht="20.100000000000001" customHeight="1" x14ac:dyDescent="0.25">
      <c r="A95" s="18"/>
      <c r="B95" s="18"/>
      <c r="C95" s="18"/>
      <c r="D95" s="18"/>
      <c r="E95" s="18"/>
      <c r="F95" s="18"/>
    </row>
    <row r="96" spans="1:6" s="1" customFormat="1" ht="20.100000000000001" customHeight="1" x14ac:dyDescent="0.25">
      <c r="A96" s="18"/>
      <c r="B96" s="18"/>
      <c r="C96" s="18"/>
      <c r="D96" s="18"/>
      <c r="E96" s="18"/>
      <c r="F96" s="18"/>
    </row>
    <row r="97" spans="1:14" s="1" customFormat="1" ht="20.100000000000001" customHeight="1" x14ac:dyDescent="0.25">
      <c r="A97" s="18"/>
      <c r="B97" s="18"/>
      <c r="C97" s="18"/>
      <c r="D97" s="18"/>
      <c r="E97" s="18"/>
      <c r="F97" s="18"/>
    </row>
    <row r="98" spans="1:14" s="1" customFormat="1" ht="20.100000000000001" customHeight="1" x14ac:dyDescent="0.25">
      <c r="A98" s="18"/>
      <c r="B98" s="18"/>
      <c r="C98" s="18"/>
      <c r="D98" s="18"/>
      <c r="E98" s="18"/>
      <c r="F98" s="18"/>
    </row>
    <row r="99" spans="1:14" s="1" customFormat="1" ht="20.100000000000001" customHeight="1" x14ac:dyDescent="0.25">
      <c r="A99" s="18"/>
      <c r="B99" s="18"/>
      <c r="C99" s="18"/>
      <c r="D99" s="18"/>
      <c r="E99" s="18"/>
      <c r="F99" s="18"/>
    </row>
    <row r="100" spans="1:14" s="1" customFormat="1" ht="20.100000000000001" customHeight="1" x14ac:dyDescent="0.25">
      <c r="A100" s="18"/>
      <c r="B100" s="18"/>
      <c r="C100" s="18"/>
      <c r="D100" s="18"/>
      <c r="E100" s="18"/>
      <c r="F100" s="18"/>
    </row>
    <row r="101" spans="1:14" s="1" customFormat="1" ht="20.100000000000001" customHeight="1" x14ac:dyDescent="0.25">
      <c r="A101" s="18"/>
      <c r="B101" s="18"/>
      <c r="C101" s="18"/>
      <c r="D101" s="18"/>
      <c r="E101" s="18"/>
      <c r="F101" s="18"/>
    </row>
    <row r="102" spans="1:14" s="1" customFormat="1" ht="20.100000000000001" customHeight="1" x14ac:dyDescent="0.25">
      <c r="A102" s="18"/>
      <c r="B102" s="18"/>
      <c r="C102" s="18"/>
      <c r="D102" s="18"/>
      <c r="E102" s="18"/>
      <c r="F102" s="18"/>
    </row>
    <row r="103" spans="1:14" s="23" customFormat="1" ht="35.1" customHeight="1" x14ac:dyDescent="0.25">
      <c r="A103" s="340" t="s">
        <v>167</v>
      </c>
      <c r="B103" s="340"/>
      <c r="C103" s="340"/>
      <c r="D103" s="340"/>
      <c r="E103" s="340"/>
      <c r="F103" s="340"/>
      <c r="G103" s="340"/>
      <c r="H103" s="340"/>
      <c r="I103" s="340"/>
      <c r="J103" s="340"/>
      <c r="K103" s="340"/>
      <c r="L103" s="93"/>
      <c r="M103" s="93"/>
      <c r="N103" s="93"/>
    </row>
    <row r="104" spans="1:14" s="1" customFormat="1" ht="20.100000000000001" customHeight="1" x14ac:dyDescent="0.25">
      <c r="A104" s="18"/>
      <c r="B104" s="18"/>
      <c r="C104" s="18"/>
      <c r="D104" s="18"/>
      <c r="E104" s="18"/>
      <c r="F104" s="18"/>
    </row>
    <row r="105" spans="1:14" s="1" customFormat="1" ht="20.100000000000001" customHeight="1" x14ac:dyDescent="0.25">
      <c r="A105" s="18"/>
      <c r="B105" s="18"/>
      <c r="C105" s="18"/>
      <c r="D105" s="18"/>
      <c r="E105" s="18"/>
      <c r="F105" s="18"/>
    </row>
    <row r="106" spans="1:14" s="1" customFormat="1" ht="20.100000000000001" customHeight="1" x14ac:dyDescent="0.25">
      <c r="A106" s="18"/>
      <c r="B106" s="18"/>
      <c r="C106" s="18"/>
      <c r="D106" s="18"/>
      <c r="E106" s="18"/>
      <c r="F106" s="18"/>
    </row>
    <row r="107" spans="1:14" s="1" customFormat="1" ht="20.100000000000001" customHeight="1" x14ac:dyDescent="0.25">
      <c r="A107" s="18"/>
      <c r="B107" s="18"/>
      <c r="C107" s="18"/>
      <c r="D107" s="18"/>
      <c r="E107" s="18"/>
      <c r="F107" s="18"/>
    </row>
    <row r="108" spans="1:14" s="1" customFormat="1" ht="20.100000000000001" customHeight="1" x14ac:dyDescent="0.25">
      <c r="A108" s="18"/>
      <c r="B108" s="18"/>
      <c r="C108" s="18"/>
      <c r="D108" s="18"/>
      <c r="E108" s="18"/>
      <c r="F108" s="18"/>
    </row>
    <row r="109" spans="1:14" s="1" customFormat="1" ht="20.100000000000001" customHeight="1" x14ac:dyDescent="0.25">
      <c r="A109" s="18"/>
      <c r="B109" s="18"/>
      <c r="C109" s="18"/>
      <c r="D109" s="18"/>
      <c r="E109" s="18"/>
      <c r="F109" s="18"/>
    </row>
    <row r="110" spans="1:14" s="1" customFormat="1" ht="20.100000000000001" customHeight="1" x14ac:dyDescent="0.25">
      <c r="A110" s="18"/>
      <c r="B110" s="18"/>
      <c r="C110" s="18"/>
      <c r="D110" s="18"/>
      <c r="E110" s="18"/>
      <c r="F110" s="18"/>
    </row>
    <row r="111" spans="1:14" s="1" customFormat="1" ht="20.100000000000001" customHeight="1" x14ac:dyDescent="0.25">
      <c r="A111" s="18"/>
      <c r="B111" s="18"/>
      <c r="C111" s="18"/>
      <c r="D111" s="18"/>
      <c r="E111" s="18"/>
      <c r="F111" s="18"/>
    </row>
    <row r="112" spans="1:14" s="1" customFormat="1" ht="20.100000000000001" customHeight="1" x14ac:dyDescent="0.25">
      <c r="A112" s="18"/>
      <c r="B112" s="18"/>
      <c r="C112" s="18"/>
      <c r="D112" s="18"/>
      <c r="E112" s="18"/>
      <c r="F112" s="18"/>
    </row>
    <row r="113" spans="1:6" s="1" customFormat="1" ht="20.100000000000001" customHeight="1" x14ac:dyDescent="0.25">
      <c r="A113" s="18"/>
      <c r="B113" s="18"/>
      <c r="C113" s="18"/>
      <c r="D113" s="18"/>
      <c r="E113" s="18"/>
      <c r="F113" s="18"/>
    </row>
    <row r="114" spans="1:6" s="1" customFormat="1" ht="20.100000000000001" customHeight="1" x14ac:dyDescent="0.25">
      <c r="A114" s="18"/>
      <c r="B114" s="18"/>
      <c r="C114" s="18"/>
      <c r="D114" s="18"/>
      <c r="E114" s="18"/>
      <c r="F114" s="18"/>
    </row>
    <row r="115" spans="1:6" s="1" customFormat="1" ht="20.100000000000001" customHeight="1" x14ac:dyDescent="0.25">
      <c r="A115" s="18"/>
      <c r="B115" s="18"/>
      <c r="C115" s="18"/>
      <c r="D115" s="18"/>
      <c r="E115" s="18"/>
      <c r="F115" s="18"/>
    </row>
    <row r="116" spans="1:6" s="1" customFormat="1" ht="20.100000000000001" customHeight="1" x14ac:dyDescent="0.25">
      <c r="A116" s="18"/>
      <c r="B116" s="18"/>
      <c r="C116" s="18"/>
      <c r="D116" s="18"/>
      <c r="E116" s="18"/>
      <c r="F116" s="18"/>
    </row>
    <row r="117" spans="1:6" s="1" customFormat="1" ht="20.100000000000001" customHeight="1" x14ac:dyDescent="0.25">
      <c r="A117" s="18"/>
      <c r="B117" s="18"/>
      <c r="C117" s="18"/>
      <c r="D117" s="18"/>
      <c r="E117" s="18"/>
      <c r="F117" s="18"/>
    </row>
    <row r="118" spans="1:6" s="1" customFormat="1" ht="20.100000000000001" customHeight="1" x14ac:dyDescent="0.25">
      <c r="A118" s="18"/>
      <c r="B118" s="18"/>
      <c r="C118" s="18"/>
      <c r="D118" s="18"/>
      <c r="E118" s="18"/>
      <c r="F118" s="18"/>
    </row>
    <row r="119" spans="1:6" s="1" customFormat="1" ht="20.100000000000001" customHeight="1" x14ac:dyDescent="0.25">
      <c r="A119" s="18"/>
      <c r="B119" s="18"/>
      <c r="C119" s="18"/>
      <c r="D119" s="18"/>
      <c r="E119" s="18"/>
      <c r="F119" s="18"/>
    </row>
    <row r="120" spans="1:6" s="1" customFormat="1" ht="20.100000000000001" customHeight="1" x14ac:dyDescent="0.25">
      <c r="A120" s="18"/>
      <c r="B120" s="18"/>
      <c r="C120" s="18"/>
      <c r="D120" s="18"/>
      <c r="E120" s="18"/>
      <c r="F120" s="18"/>
    </row>
    <row r="121" spans="1:6" s="1" customFormat="1" ht="20.100000000000001" customHeight="1" x14ac:dyDescent="0.25">
      <c r="A121" s="18"/>
      <c r="B121" s="18"/>
      <c r="C121" s="18"/>
      <c r="D121" s="18"/>
      <c r="E121" s="18"/>
      <c r="F121" s="18"/>
    </row>
    <row r="122" spans="1:6" s="1" customFormat="1" ht="20.100000000000001" customHeight="1" x14ac:dyDescent="0.25">
      <c r="A122" s="18"/>
      <c r="B122" s="18"/>
      <c r="C122" s="18"/>
      <c r="D122" s="18"/>
      <c r="E122" s="18"/>
      <c r="F122" s="18"/>
    </row>
    <row r="123" spans="1:6" s="1" customFormat="1" ht="20.100000000000001" customHeight="1" x14ac:dyDescent="0.25">
      <c r="A123" s="18"/>
      <c r="B123" s="18"/>
      <c r="C123" s="18"/>
      <c r="D123" s="18"/>
      <c r="E123" s="18"/>
      <c r="F123" s="18"/>
    </row>
    <row r="124" spans="1:6" s="1" customFormat="1" ht="20.100000000000001" customHeight="1" x14ac:dyDescent="0.25">
      <c r="A124" s="18"/>
      <c r="B124" s="18"/>
      <c r="C124" s="18"/>
      <c r="D124" s="18"/>
      <c r="E124" s="18"/>
      <c r="F124" s="18"/>
    </row>
    <row r="125" spans="1:6" s="1" customFormat="1" ht="20.100000000000001" customHeight="1" x14ac:dyDescent="0.25">
      <c r="A125" s="18"/>
      <c r="B125" s="18"/>
      <c r="C125" s="18"/>
      <c r="D125" s="18"/>
      <c r="E125" s="18"/>
      <c r="F125" s="18"/>
    </row>
    <row r="126" spans="1:6" s="1" customFormat="1" ht="20.100000000000001" customHeight="1" x14ac:dyDescent="0.25">
      <c r="A126" s="18"/>
      <c r="B126" s="18"/>
      <c r="C126" s="18"/>
      <c r="D126" s="18"/>
      <c r="E126" s="18"/>
      <c r="F126" s="18"/>
    </row>
    <row r="127" spans="1:6" s="1" customFormat="1" ht="20.100000000000001" customHeight="1" x14ac:dyDescent="0.25">
      <c r="A127" s="18"/>
      <c r="B127" s="18"/>
      <c r="C127" s="18"/>
      <c r="D127" s="18"/>
      <c r="E127" s="18"/>
      <c r="F127" s="18"/>
    </row>
    <row r="128" spans="1:6" s="1" customFormat="1" ht="20.100000000000001" customHeight="1" x14ac:dyDescent="0.25">
      <c r="A128" s="18"/>
      <c r="B128" s="18"/>
      <c r="C128" s="18"/>
      <c r="D128" s="18"/>
      <c r="E128" s="18"/>
      <c r="F128" s="18"/>
    </row>
    <row r="129" spans="1:6" s="1" customFormat="1" ht="20.100000000000001" customHeight="1" x14ac:dyDescent="0.25">
      <c r="A129" s="18"/>
      <c r="B129" s="18"/>
      <c r="C129" s="18"/>
      <c r="D129" s="18"/>
      <c r="E129" s="18"/>
      <c r="F129" s="18"/>
    </row>
    <row r="130" spans="1:6" s="1" customFormat="1" ht="20.100000000000001" customHeight="1" x14ac:dyDescent="0.25">
      <c r="A130" s="18"/>
      <c r="B130" s="18"/>
      <c r="C130" s="18"/>
      <c r="D130" s="18"/>
      <c r="E130" s="18"/>
      <c r="F130" s="18"/>
    </row>
    <row r="131" spans="1:6" s="1" customFormat="1" ht="20.100000000000001" customHeight="1" x14ac:dyDescent="0.25">
      <c r="A131" s="18"/>
      <c r="B131" s="18"/>
      <c r="C131" s="18"/>
      <c r="D131" s="18"/>
      <c r="E131" s="18"/>
      <c r="F131" s="18"/>
    </row>
    <row r="132" spans="1:6" s="1" customFormat="1" ht="20.100000000000001" customHeight="1" x14ac:dyDescent="0.25">
      <c r="A132" s="18"/>
      <c r="B132" s="18"/>
      <c r="C132" s="18"/>
      <c r="D132" s="18"/>
      <c r="E132" s="18"/>
      <c r="F132" s="18"/>
    </row>
    <row r="133" spans="1:6" s="1" customFormat="1" ht="20.100000000000001" customHeight="1" x14ac:dyDescent="0.25">
      <c r="A133" s="18"/>
      <c r="B133" s="18"/>
      <c r="C133" s="18"/>
      <c r="D133" s="18"/>
      <c r="E133" s="18"/>
      <c r="F133" s="18"/>
    </row>
    <row r="134" spans="1:6" s="1" customFormat="1" ht="20.100000000000001" customHeight="1" x14ac:dyDescent="0.25">
      <c r="A134" s="18"/>
      <c r="B134" s="18"/>
      <c r="C134" s="18"/>
      <c r="D134" s="18"/>
      <c r="E134" s="18"/>
      <c r="F134" s="18"/>
    </row>
    <row r="135" spans="1:6" s="1" customFormat="1" ht="20.100000000000001" customHeight="1" x14ac:dyDescent="0.25">
      <c r="A135" s="18"/>
      <c r="B135" s="18"/>
      <c r="C135" s="18"/>
      <c r="D135" s="18"/>
      <c r="E135" s="18"/>
      <c r="F135" s="18"/>
    </row>
    <row r="136" spans="1:6" s="1" customFormat="1" ht="20.100000000000001" customHeight="1" x14ac:dyDescent="0.25">
      <c r="A136" s="18"/>
      <c r="B136" s="18"/>
      <c r="C136" s="18"/>
      <c r="D136" s="18"/>
      <c r="E136" s="18"/>
      <c r="F136" s="18"/>
    </row>
    <row r="137" spans="1:6" s="1" customFormat="1" ht="20.100000000000001" customHeight="1" x14ac:dyDescent="0.25">
      <c r="A137" s="18"/>
      <c r="B137" s="18"/>
      <c r="C137" s="18"/>
      <c r="D137" s="18"/>
      <c r="E137" s="18"/>
      <c r="F137" s="18"/>
    </row>
    <row r="138" spans="1:6" ht="20.100000000000001" customHeight="1" x14ac:dyDescent="0.25"/>
    <row r="139" spans="1:6" ht="20.100000000000001" customHeight="1" x14ac:dyDescent="0.25"/>
    <row r="140" spans="1:6" ht="20.100000000000001" customHeight="1" x14ac:dyDescent="0.25"/>
    <row r="141" spans="1:6" ht="20.100000000000001" customHeight="1" x14ac:dyDescent="0.25"/>
    <row r="142" spans="1:6" ht="20.100000000000001" customHeight="1" x14ac:dyDescent="0.25"/>
    <row r="143" spans="1:6" ht="20.100000000000001" customHeight="1" x14ac:dyDescent="0.25"/>
    <row r="144" spans="1:6"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272" ht="20.100000000000001" customHeight="1" x14ac:dyDescent="0.25"/>
    <row r="273" ht="20.100000000000001" customHeight="1" x14ac:dyDescent="0.25"/>
    <row r="274" ht="20.100000000000001" customHeight="1" x14ac:dyDescent="0.25"/>
    <row r="275" ht="20.100000000000001" customHeight="1" x14ac:dyDescent="0.25"/>
    <row r="276" ht="20.100000000000001" customHeight="1" x14ac:dyDescent="0.25"/>
    <row r="277" ht="20.100000000000001" customHeight="1" x14ac:dyDescent="0.25"/>
    <row r="278" ht="20.100000000000001" customHeight="1" x14ac:dyDescent="0.25"/>
    <row r="279" ht="20.100000000000001" customHeight="1" x14ac:dyDescent="0.25"/>
    <row r="280" ht="20.100000000000001" customHeight="1" x14ac:dyDescent="0.25"/>
    <row r="281" ht="20.100000000000001" customHeight="1" x14ac:dyDescent="0.25"/>
    <row r="282" ht="20.100000000000001" customHeight="1" x14ac:dyDescent="0.25"/>
    <row r="283" ht="20.100000000000001" customHeight="1" x14ac:dyDescent="0.25"/>
    <row r="284" ht="20.100000000000001" customHeight="1" x14ac:dyDescent="0.25"/>
    <row r="285" ht="20.100000000000001" customHeight="1" x14ac:dyDescent="0.25"/>
    <row r="286" ht="20.100000000000001" customHeight="1" x14ac:dyDescent="0.25"/>
    <row r="287" ht="20.100000000000001" customHeight="1" x14ac:dyDescent="0.25"/>
    <row r="288" ht="20.100000000000001" customHeight="1" x14ac:dyDescent="0.25"/>
    <row r="289" ht="20.100000000000001" customHeight="1" x14ac:dyDescent="0.25"/>
    <row r="290" ht="20.100000000000001" customHeight="1" x14ac:dyDescent="0.25"/>
    <row r="291" ht="20.100000000000001" customHeight="1" x14ac:dyDescent="0.25"/>
    <row r="292" ht="20.100000000000001" customHeight="1" x14ac:dyDescent="0.25"/>
    <row r="293" ht="20.100000000000001" customHeight="1" x14ac:dyDescent="0.25"/>
    <row r="294" ht="20.100000000000001" customHeight="1" x14ac:dyDescent="0.25"/>
    <row r="295" ht="20.100000000000001" customHeight="1" x14ac:dyDescent="0.25"/>
    <row r="296" ht="20.100000000000001" customHeight="1" x14ac:dyDescent="0.25"/>
    <row r="297" ht="20.100000000000001" customHeight="1" x14ac:dyDescent="0.25"/>
    <row r="298" ht="20.100000000000001" customHeight="1" x14ac:dyDescent="0.25"/>
    <row r="299" ht="20.100000000000001" customHeight="1" x14ac:dyDescent="0.25"/>
    <row r="300" ht="20.100000000000001" customHeight="1" x14ac:dyDescent="0.25"/>
    <row r="301" ht="20.100000000000001" customHeight="1" x14ac:dyDescent="0.25"/>
    <row r="302" ht="20.100000000000001" customHeight="1" x14ac:dyDescent="0.25"/>
    <row r="303" ht="20.100000000000001" customHeight="1" x14ac:dyDescent="0.25"/>
    <row r="304" ht="20.100000000000001" customHeight="1" x14ac:dyDescent="0.25"/>
    <row r="305" ht="20.100000000000001" customHeight="1" x14ac:dyDescent="0.25"/>
    <row r="306" ht="20.100000000000001" customHeight="1" x14ac:dyDescent="0.25"/>
    <row r="307" ht="20.100000000000001" customHeight="1" x14ac:dyDescent="0.25"/>
    <row r="308" ht="20.100000000000001" customHeight="1" x14ac:dyDescent="0.25"/>
    <row r="309" ht="20.100000000000001" customHeight="1" x14ac:dyDescent="0.25"/>
    <row r="310" ht="20.100000000000001" customHeight="1" x14ac:dyDescent="0.25"/>
    <row r="311" ht="20.100000000000001" customHeight="1" x14ac:dyDescent="0.25"/>
    <row r="312" ht="20.100000000000001" customHeight="1" x14ac:dyDescent="0.25"/>
    <row r="313" ht="20.100000000000001" customHeight="1" x14ac:dyDescent="0.25"/>
    <row r="314" ht="20.100000000000001" customHeight="1" x14ac:dyDescent="0.25"/>
    <row r="315" ht="20.100000000000001" customHeight="1" x14ac:dyDescent="0.25"/>
    <row r="316" ht="20.100000000000001" customHeight="1" x14ac:dyDescent="0.25"/>
    <row r="317" ht="20.100000000000001" customHeight="1" x14ac:dyDescent="0.25"/>
    <row r="318" ht="20.100000000000001" customHeight="1" x14ac:dyDescent="0.25"/>
    <row r="319" ht="20.100000000000001" customHeight="1" x14ac:dyDescent="0.25"/>
    <row r="320" ht="20.100000000000001" customHeight="1" x14ac:dyDescent="0.25"/>
    <row r="321" ht="20.100000000000001" customHeight="1" x14ac:dyDescent="0.25"/>
    <row r="322" ht="20.100000000000001" customHeight="1" x14ac:dyDescent="0.25"/>
    <row r="323" ht="20.100000000000001" customHeight="1" x14ac:dyDescent="0.25"/>
    <row r="324" ht="20.100000000000001" customHeight="1" x14ac:dyDescent="0.25"/>
    <row r="325" ht="20.100000000000001" customHeight="1" x14ac:dyDescent="0.25"/>
    <row r="326" ht="20.100000000000001" customHeight="1" x14ac:dyDescent="0.25"/>
    <row r="327" ht="20.100000000000001" customHeight="1" x14ac:dyDescent="0.25"/>
    <row r="328" ht="20.100000000000001" customHeight="1" x14ac:dyDescent="0.25"/>
  </sheetData>
  <sheetProtection formatCells="0" formatColumns="0" formatRows="0" insertColumns="0" insertRows="0" insertHyperlinks="0" deleteColumns="0" deleteRows="0" sort="0" autoFilter="0" pivotTables="0"/>
  <mergeCells count="9">
    <mergeCell ref="A11:G11"/>
    <mergeCell ref="A40:G40"/>
    <mergeCell ref="A69:G69"/>
    <mergeCell ref="A103:K103"/>
    <mergeCell ref="A1:F1"/>
    <mergeCell ref="D4:E4"/>
    <mergeCell ref="D3:E3"/>
    <mergeCell ref="B4:C4"/>
    <mergeCell ref="B3:C3"/>
  </mergeCells>
  <pageMargins left="0.511811024" right="0.14000000000000001" top="0.78740157499999996" bottom="0.78740157499999996" header="0.31496062000000002" footer="0.31496062000000002"/>
  <pageSetup paperSize="9" scale="42" fitToHeight="0"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filterMode="1">
    <tabColor theme="7" tint="-0.249977111117893"/>
  </sheetPr>
  <dimension ref="A1:AH774"/>
  <sheetViews>
    <sheetView topLeftCell="E1" zoomScale="55" zoomScaleNormal="55" workbookViewId="0">
      <pane ySplit="1" topLeftCell="A403" activePane="bottomLeft" state="frozen"/>
      <selection pane="bottomLeft" activeCell="N2" sqref="N2:N773"/>
    </sheetView>
  </sheetViews>
  <sheetFormatPr defaultColWidth="9.140625" defaultRowHeight="30" customHeight="1" x14ac:dyDescent="0.2"/>
  <cols>
    <col min="1" max="1" width="61.7109375" style="57" bestFit="1" customWidth="1"/>
    <col min="2" max="2" width="20.7109375" style="57" bestFit="1" customWidth="1"/>
    <col min="3" max="3" width="42.7109375" style="57" bestFit="1" customWidth="1"/>
    <col min="4" max="4" width="20.140625" style="57" bestFit="1" customWidth="1"/>
    <col min="5" max="5" width="23.5703125" style="57" bestFit="1" customWidth="1"/>
    <col min="6" max="6" width="57.5703125" style="57" bestFit="1" customWidth="1"/>
    <col min="7" max="7" width="18.85546875" style="57" bestFit="1" customWidth="1"/>
    <col min="8" max="8" width="20.42578125" style="57" bestFit="1" customWidth="1"/>
    <col min="9" max="9" width="18.85546875" style="57" bestFit="1" customWidth="1"/>
    <col min="10" max="10" width="45" style="57" bestFit="1" customWidth="1"/>
    <col min="11" max="11" width="41.28515625" style="57" bestFit="1" customWidth="1"/>
    <col min="12" max="12" width="24.85546875" style="57" bestFit="1" customWidth="1"/>
    <col min="13" max="13" width="23" style="57" bestFit="1" customWidth="1"/>
    <col min="14" max="14" width="44.7109375" style="57" bestFit="1" customWidth="1"/>
    <col min="15" max="15" width="24.85546875" style="53" bestFit="1" customWidth="1"/>
    <col min="16" max="16" width="38" style="53" bestFit="1" customWidth="1"/>
    <col min="17" max="17" width="20.140625" style="53" bestFit="1" customWidth="1"/>
    <col min="18" max="18" width="34.7109375" style="53" bestFit="1" customWidth="1"/>
    <col min="19" max="19" width="30" style="53" bestFit="1" customWidth="1"/>
    <col min="20" max="20" width="26.42578125" style="57" bestFit="1" customWidth="1"/>
    <col min="21" max="21" width="22.42578125" style="53" bestFit="1" customWidth="1"/>
    <col min="22" max="22" width="26.42578125" style="57" bestFit="1" customWidth="1"/>
    <col min="23" max="23" width="29.42578125" style="53" bestFit="1" customWidth="1"/>
    <col min="24" max="24" width="42" style="53" bestFit="1" customWidth="1"/>
    <col min="25" max="26" width="42.42578125" style="53" bestFit="1" customWidth="1"/>
    <col min="27" max="27" width="53.28515625" style="53" customWidth="1"/>
    <col min="28" max="28" width="41.42578125" style="53" bestFit="1" customWidth="1"/>
    <col min="29" max="29" width="23.5703125" style="57" bestFit="1" customWidth="1"/>
    <col min="30" max="30" width="25.5703125" style="53" bestFit="1" customWidth="1"/>
    <col min="31" max="31" width="55.42578125" style="53" bestFit="1" customWidth="1"/>
    <col min="32" max="32" width="13.5703125" style="55" customWidth="1"/>
    <col min="33" max="33" width="17.140625" style="55" customWidth="1"/>
    <col min="34" max="34" width="21.7109375" style="55" customWidth="1"/>
    <col min="35" max="16384" width="9.140625" style="55"/>
  </cols>
  <sheetData>
    <row r="1" spans="1:34" s="53" customFormat="1" ht="30" customHeight="1" x14ac:dyDescent="0.25">
      <c r="A1" s="225" t="s">
        <v>168</v>
      </c>
      <c r="B1" s="225" t="s">
        <v>169</v>
      </c>
      <c r="C1" s="225" t="s">
        <v>170</v>
      </c>
      <c r="D1" s="225" t="s">
        <v>171</v>
      </c>
      <c r="E1" s="225" t="s">
        <v>172</v>
      </c>
      <c r="F1" s="225" t="s">
        <v>173</v>
      </c>
      <c r="G1" s="225" t="s">
        <v>174</v>
      </c>
      <c r="H1" s="225" t="s">
        <v>175</v>
      </c>
      <c r="I1" s="225" t="s">
        <v>176</v>
      </c>
      <c r="J1" s="225" t="s">
        <v>177</v>
      </c>
      <c r="K1" s="225" t="s">
        <v>178</v>
      </c>
      <c r="L1" s="225" t="s">
        <v>179</v>
      </c>
      <c r="M1" s="225" t="s">
        <v>180</v>
      </c>
      <c r="N1" s="225" t="s">
        <v>2626</v>
      </c>
      <c r="O1" s="226" t="s">
        <v>46</v>
      </c>
      <c r="P1" s="191" t="s">
        <v>3263</v>
      </c>
      <c r="Q1" s="191" t="s">
        <v>64</v>
      </c>
      <c r="R1" s="191" t="s">
        <v>3264</v>
      </c>
      <c r="S1" s="191" t="s">
        <v>65</v>
      </c>
      <c r="T1" s="193" t="s">
        <v>3265</v>
      </c>
      <c r="U1" s="191" t="s">
        <v>66</v>
      </c>
      <c r="V1" s="193" t="s">
        <v>3266</v>
      </c>
      <c r="W1" s="191" t="s">
        <v>53</v>
      </c>
      <c r="X1" s="191" t="s">
        <v>3267</v>
      </c>
      <c r="Y1" s="198" t="s">
        <v>34</v>
      </c>
      <c r="Z1" s="198" t="s">
        <v>2630</v>
      </c>
      <c r="AA1" s="191" t="s">
        <v>192</v>
      </c>
      <c r="AB1" s="191" t="s">
        <v>38</v>
      </c>
      <c r="AC1" s="193" t="s">
        <v>3268</v>
      </c>
      <c r="AD1" s="191" t="s">
        <v>195</v>
      </c>
      <c r="AE1" s="191" t="s">
        <v>196</v>
      </c>
    </row>
    <row r="2" spans="1:34" s="53" customFormat="1" ht="30" customHeight="1" x14ac:dyDescent="0.2">
      <c r="A2" s="230" t="s">
        <v>197</v>
      </c>
      <c r="B2" s="230">
        <v>2689275455</v>
      </c>
      <c r="C2" s="230" t="s">
        <v>127</v>
      </c>
      <c r="D2" s="230" t="s">
        <v>63</v>
      </c>
      <c r="E2" s="230" t="s">
        <v>198</v>
      </c>
      <c r="F2" s="230" t="s">
        <v>3269</v>
      </c>
      <c r="G2" s="230">
        <v>99</v>
      </c>
      <c r="H2" s="230" t="s">
        <v>3270</v>
      </c>
      <c r="I2" s="230" t="s">
        <v>1358</v>
      </c>
      <c r="J2" s="230" t="s">
        <v>3271</v>
      </c>
      <c r="K2" s="230" t="s">
        <v>213</v>
      </c>
      <c r="L2" s="235" t="s">
        <v>202</v>
      </c>
      <c r="M2" s="235">
        <v>46026.480555555558</v>
      </c>
      <c r="N2" s="230" t="s">
        <v>1099</v>
      </c>
      <c r="O2" s="233" t="s">
        <v>204</v>
      </c>
      <c r="P2" s="223"/>
      <c r="Q2" s="166" t="s">
        <v>204</v>
      </c>
      <c r="R2" s="186"/>
      <c r="S2" s="166" t="s">
        <v>204</v>
      </c>
      <c r="T2" s="186"/>
      <c r="U2" s="166" t="s">
        <v>204</v>
      </c>
      <c r="V2" s="186"/>
      <c r="W2" s="166" t="s">
        <v>204</v>
      </c>
      <c r="X2" s="196"/>
      <c r="Y2" s="166" t="s">
        <v>204</v>
      </c>
      <c r="Z2" s="186" t="str">
        <f>IF(AND(O2="",Q2="",S2="",U2="",W2=""),"",IF(OR(AND(O2&lt;&gt;"NA",O2&lt;&gt;"C",O2&lt;&gt;"NC",O2&lt;&gt;"SF",O2&lt;&gt;""),AND(Q2&lt;&gt;"NA",Q2&lt;&gt;"C",Q2&lt;&gt;"NC",Q2&lt;&gt;"SF",Q2&lt;&gt;""),AND(S2&lt;&gt;"NA",S2&lt;&gt;"C",S2&lt;&gt;"NC",S2&lt;&gt;"SF",S2&lt;&gt;""),AND(U2&lt;&gt;"NA",U2&lt;&gt;"C",U2&lt;&gt;"NC",U2&lt;&gt;"SF",U2&lt;&gt;""),AND(W2&lt;&gt;"NA",W2&lt;&gt;"C",W2&lt;&gt;"NC",W2&lt;&gt;"SF",W2&lt;&gt;"")),"FALSO",IF(AND(O2="NA",Q2="NA",S2="NA",U2="NA",W2="NA"),"NA",IF(OR(O2="NC",Q2="NC",S2="NC",U2="NC",W2="NC",O2="SF",Q2="SF",S2="SF",U2="SF",W2="SF"),"NC",IF(OR(O2="C",Q2="C",S2="C",U2="C",W2="C"),"C","")))))</f>
        <v>C</v>
      </c>
      <c r="AA2" s="188" t="str">
        <f t="shared" ref="AA2:AA65" si="0">IF(AND(Y2="C",Z2="C"),"UTILIZOU O PDA CORRETAMENTE",IF(AND(Y2="C",Z2="NC"),"UTILIZOU O PDA CORRETAMENTE. NÃO HÁ FOTOS DE TODAS AS ETAPAS",IF(AND(Y2="NC",Z2="NC"),"NÃO UTILIZOU O PDA",IF(AND(Y2="NA",Z2="NA"),"NÃO AVALIADO POR FALHA DE SINCRONISMO"))))</f>
        <v>UTILIZOU O PDA CORRETAMENTE</v>
      </c>
      <c r="AB2" s="166" t="s">
        <v>204</v>
      </c>
      <c r="AC2" s="197" t="s">
        <v>6</v>
      </c>
      <c r="AD2" s="190" t="str">
        <f>E2</f>
        <v>GUARULHOS</v>
      </c>
      <c r="AE2" s="188" t="s">
        <v>63</v>
      </c>
      <c r="AF2" s="53">
        <v>-2.0000000000000001E-4</v>
      </c>
      <c r="AG2" s="53" t="str" cm="1">
        <f t="array" ref="AG2">IF(OR(O2&lt;&gt;"", SUMPRODUCT(($AH$2:$AH$4999=AH2)*($AF$2:$AF$4999&lt;=AF2)) &lt;= (COUNTIF($AH$2:$AH$4999,AH2)*0.3)), "SORTEADO", "-")</f>
        <v>SORTEADO</v>
      </c>
      <c r="AH2" s="257" t="str">
        <f t="shared" ref="AH2:AH60" si="1">TEXT(L2, "dd/mm/aaaa")</f>
        <v>01/04/2026</v>
      </c>
    </row>
    <row r="3" spans="1:34" ht="30" customHeight="1" x14ac:dyDescent="0.2">
      <c r="A3" s="230" t="s">
        <v>197</v>
      </c>
      <c r="B3" s="230">
        <v>2613736062</v>
      </c>
      <c r="C3" s="230" t="s">
        <v>127</v>
      </c>
      <c r="D3" s="230" t="s">
        <v>63</v>
      </c>
      <c r="E3" s="230" t="s">
        <v>198</v>
      </c>
      <c r="F3" s="230" t="s">
        <v>3272</v>
      </c>
      <c r="G3" s="230">
        <v>86</v>
      </c>
      <c r="H3" s="230" t="s">
        <v>252</v>
      </c>
      <c r="I3" s="230" t="s">
        <v>398</v>
      </c>
      <c r="J3" s="230" t="s">
        <v>3273</v>
      </c>
      <c r="K3" s="230"/>
      <c r="L3" s="235" t="s">
        <v>202</v>
      </c>
      <c r="M3" s="235">
        <v>46026.426388888889</v>
      </c>
      <c r="N3" s="230" t="s">
        <v>1099</v>
      </c>
      <c r="O3" s="233" t="s">
        <v>204</v>
      </c>
      <c r="P3" s="168"/>
      <c r="Q3" s="144" t="s">
        <v>204</v>
      </c>
      <c r="R3" s="143"/>
      <c r="S3" s="144" t="s">
        <v>204</v>
      </c>
      <c r="T3" s="143"/>
      <c r="U3" s="144" t="s">
        <v>204</v>
      </c>
      <c r="V3" s="143"/>
      <c r="W3" s="144" t="s">
        <v>204</v>
      </c>
      <c r="X3" s="59"/>
      <c r="Y3" s="144" t="s">
        <v>204</v>
      </c>
      <c r="Z3" s="186" t="str">
        <f t="shared" ref="Z3:Z66" si="2">IF(AND(O3="",Q3="",S3="",U3="",W3=""),"",IF(OR(AND(O3&lt;&gt;"NA",O3&lt;&gt;"C",O3&lt;&gt;"NC",O3&lt;&gt;"SF",O3&lt;&gt;""),AND(Q3&lt;&gt;"NA",Q3&lt;&gt;"C",Q3&lt;&gt;"NC",Q3&lt;&gt;"SF",Q3&lt;&gt;""),AND(S3&lt;&gt;"NA",S3&lt;&gt;"C",S3&lt;&gt;"NC",S3&lt;&gt;"SF",S3&lt;&gt;""),AND(U3&lt;&gt;"NA",U3&lt;&gt;"C",U3&lt;&gt;"NC",U3&lt;&gt;"SF",U3&lt;&gt;""),AND(W3&lt;&gt;"NA",W3&lt;&gt;"C",W3&lt;&gt;"NC",W3&lt;&gt;"SF",W3&lt;&gt;"")),"FALSO",IF(AND(O3="NA",Q3="NA",S3="NA",U3="NA",W3="NA"),"NA",IF(OR(O3="NC",Q3="NC",S3="NC",U3="NC",W3="NC",O3="SF",Q3="SF",S3="SF",U3="SF",W3="SF"),"NC",IF(OR(O3="C",Q3="C",S3="C",U3="C",W3="C"),"C","")))))</f>
        <v>C</v>
      </c>
      <c r="AA3" s="58" t="str">
        <f t="shared" si="0"/>
        <v>UTILIZOU O PDA CORRETAMENTE</v>
      </c>
      <c r="AB3" s="145" t="s">
        <v>204</v>
      </c>
      <c r="AC3" s="94" t="s">
        <v>6</v>
      </c>
      <c r="AD3" s="151" t="str">
        <f t="shared" ref="AD3:AD66" si="3">E3</f>
        <v>GUARULHOS</v>
      </c>
      <c r="AE3" s="58" t="s">
        <v>63</v>
      </c>
      <c r="AF3" s="53">
        <v>-4.0000000000000002E-4</v>
      </c>
      <c r="AG3" s="53" t="str" cm="1">
        <f t="array" ref="AG3">IF(OR(O3&lt;&gt;"", SUMPRODUCT(($AH$2:$AH$4999=AH3)*($AF$2:$AF$4999&lt;=AF3)) &lt;= (COUNTIF($AH$2:$AH$4999,AH3)*0.3)), "SORTEADO", "-")</f>
        <v>SORTEADO</v>
      </c>
      <c r="AH3" s="257" t="str">
        <f t="shared" si="1"/>
        <v>01/04/2026</v>
      </c>
    </row>
    <row r="4" spans="1:34" ht="30" customHeight="1" x14ac:dyDescent="0.2">
      <c r="A4" s="230" t="s">
        <v>197</v>
      </c>
      <c r="B4" s="230">
        <v>2613737174</v>
      </c>
      <c r="C4" s="230" t="s">
        <v>127</v>
      </c>
      <c r="D4" s="230" t="s">
        <v>63</v>
      </c>
      <c r="E4" s="230" t="s">
        <v>198</v>
      </c>
      <c r="F4" s="230" t="s">
        <v>3274</v>
      </c>
      <c r="G4" s="230">
        <v>66</v>
      </c>
      <c r="H4" s="230" t="s">
        <v>276</v>
      </c>
      <c r="I4" s="230" t="s">
        <v>253</v>
      </c>
      <c r="J4" s="230" t="s">
        <v>3275</v>
      </c>
      <c r="K4" s="230"/>
      <c r="L4" s="235" t="s">
        <v>202</v>
      </c>
      <c r="M4" s="235">
        <v>46026.421527777777</v>
      </c>
      <c r="N4" s="230" t="s">
        <v>3276</v>
      </c>
      <c r="O4" s="233" t="s">
        <v>204</v>
      </c>
      <c r="P4" s="168"/>
      <c r="Q4" s="144" t="s">
        <v>204</v>
      </c>
      <c r="R4" s="143"/>
      <c r="S4" s="144" t="s">
        <v>204</v>
      </c>
      <c r="T4" s="143"/>
      <c r="U4" s="144" t="s">
        <v>204</v>
      </c>
      <c r="V4" s="143"/>
      <c r="W4" s="144" t="s">
        <v>204</v>
      </c>
      <c r="X4" s="59"/>
      <c r="Y4" s="144" t="s">
        <v>204</v>
      </c>
      <c r="Z4" s="186" t="str">
        <f t="shared" si="2"/>
        <v>C</v>
      </c>
      <c r="AA4" s="217" t="str">
        <f t="shared" si="0"/>
        <v>UTILIZOU O PDA CORRETAMENTE</v>
      </c>
      <c r="AB4" s="145" t="s">
        <v>204</v>
      </c>
      <c r="AC4" s="218" t="s">
        <v>6</v>
      </c>
      <c r="AD4" s="151" t="str">
        <f t="shared" si="3"/>
        <v>GUARULHOS</v>
      </c>
      <c r="AE4" s="58" t="s">
        <v>63</v>
      </c>
      <c r="AF4" s="53">
        <v>-5.9999999999999995E-4</v>
      </c>
      <c r="AG4" s="53" t="str" cm="1">
        <f t="array" ref="AG4">IF(OR(O4&lt;&gt;"", SUMPRODUCT(($AH$2:$AH$4999=AH4)*($AF$2:$AF$4999&lt;=AF4)) &lt;= (COUNTIF($AH$2:$AH$4999,AH4)*0.3)), "SORTEADO", "-")</f>
        <v>SORTEADO</v>
      </c>
      <c r="AH4" s="257" t="str">
        <f t="shared" si="1"/>
        <v>01/04/2026</v>
      </c>
    </row>
    <row r="5" spans="1:34" ht="30" customHeight="1" x14ac:dyDescent="0.2">
      <c r="A5" s="230" t="s">
        <v>197</v>
      </c>
      <c r="B5" s="230">
        <v>2613767535</v>
      </c>
      <c r="C5" s="230" t="s">
        <v>127</v>
      </c>
      <c r="D5" s="230" t="s">
        <v>63</v>
      </c>
      <c r="E5" s="230" t="s">
        <v>198</v>
      </c>
      <c r="F5" s="230" t="s">
        <v>251</v>
      </c>
      <c r="G5" s="230">
        <v>27</v>
      </c>
      <c r="H5" s="230" t="s">
        <v>213</v>
      </c>
      <c r="I5" s="230" t="s">
        <v>253</v>
      </c>
      <c r="J5" s="230" t="s">
        <v>3275</v>
      </c>
      <c r="K5" s="230" t="s">
        <v>213</v>
      </c>
      <c r="L5" s="235" t="s">
        <v>202</v>
      </c>
      <c r="M5" s="235">
        <v>46026.427777777775</v>
      </c>
      <c r="N5" s="230" t="s">
        <v>3276</v>
      </c>
      <c r="O5" s="233" t="s">
        <v>204</v>
      </c>
      <c r="P5" s="168"/>
      <c r="Q5" s="144" t="s">
        <v>204</v>
      </c>
      <c r="R5" s="143"/>
      <c r="S5" s="144" t="s">
        <v>204</v>
      </c>
      <c r="T5" s="143"/>
      <c r="U5" s="144" t="s">
        <v>204</v>
      </c>
      <c r="V5" s="143"/>
      <c r="W5" s="144" t="s">
        <v>204</v>
      </c>
      <c r="X5" s="59"/>
      <c r="Y5" s="144" t="s">
        <v>204</v>
      </c>
      <c r="Z5" s="186" t="str">
        <f t="shared" si="2"/>
        <v>C</v>
      </c>
      <c r="AA5" s="217" t="str">
        <f t="shared" si="0"/>
        <v>UTILIZOU O PDA CORRETAMENTE</v>
      </c>
      <c r="AB5" s="145" t="s">
        <v>204</v>
      </c>
      <c r="AC5" s="218" t="s">
        <v>6</v>
      </c>
      <c r="AD5" s="151" t="str">
        <f t="shared" si="3"/>
        <v>GUARULHOS</v>
      </c>
      <c r="AE5" s="58" t="s">
        <v>63</v>
      </c>
      <c r="AF5" s="53">
        <v>-8.0000000000000004E-4</v>
      </c>
      <c r="AG5" s="53" t="str" cm="1">
        <f t="array" ref="AG5">IF(OR(O5&lt;&gt;"", SUMPRODUCT(($AH$2:$AH$4999=AH5)*($AF$2:$AF$4999&lt;=AF5)) &lt;= (COUNTIF($AH$2:$AH$4999,AH5)*0.3)), "SORTEADO", "-")</f>
        <v>SORTEADO</v>
      </c>
      <c r="AH5" s="257" t="str">
        <f t="shared" si="1"/>
        <v>01/04/2026</v>
      </c>
    </row>
    <row r="6" spans="1:34" ht="30" customHeight="1" x14ac:dyDescent="0.2">
      <c r="A6" s="230" t="s">
        <v>197</v>
      </c>
      <c r="B6" s="230">
        <v>2689265090</v>
      </c>
      <c r="C6" s="230" t="s">
        <v>127</v>
      </c>
      <c r="D6" s="230" t="s">
        <v>63</v>
      </c>
      <c r="E6" s="230" t="s">
        <v>198</v>
      </c>
      <c r="F6" s="230" t="s">
        <v>3277</v>
      </c>
      <c r="G6" s="230">
        <v>166</v>
      </c>
      <c r="H6" s="230" t="s">
        <v>3278</v>
      </c>
      <c r="I6" s="230" t="s">
        <v>531</v>
      </c>
      <c r="J6" s="230" t="s">
        <v>3275</v>
      </c>
      <c r="K6" s="230"/>
      <c r="L6" s="235" t="s">
        <v>202</v>
      </c>
      <c r="M6" s="235">
        <v>46026.474305555559</v>
      </c>
      <c r="N6" s="230" t="s">
        <v>819</v>
      </c>
      <c r="O6" s="233" t="s">
        <v>204</v>
      </c>
      <c r="P6" s="168"/>
      <c r="Q6" s="144" t="s">
        <v>204</v>
      </c>
      <c r="R6" s="143"/>
      <c r="S6" s="144" t="s">
        <v>204</v>
      </c>
      <c r="T6" s="143"/>
      <c r="U6" s="144" t="s">
        <v>204</v>
      </c>
      <c r="V6" s="143"/>
      <c r="W6" s="144" t="s">
        <v>204</v>
      </c>
      <c r="X6" s="59"/>
      <c r="Y6" s="144" t="s">
        <v>204</v>
      </c>
      <c r="Z6" s="186" t="str">
        <f t="shared" si="2"/>
        <v>C</v>
      </c>
      <c r="AA6" s="217" t="str">
        <f t="shared" si="0"/>
        <v>UTILIZOU O PDA CORRETAMENTE</v>
      </c>
      <c r="AB6" s="145" t="s">
        <v>204</v>
      </c>
      <c r="AC6" s="218" t="s">
        <v>6</v>
      </c>
      <c r="AD6" s="151" t="str">
        <f t="shared" si="3"/>
        <v>GUARULHOS</v>
      </c>
      <c r="AE6" s="58" t="s">
        <v>63</v>
      </c>
      <c r="AF6" s="53">
        <v>-1E-3</v>
      </c>
      <c r="AG6" s="53" t="str" cm="1">
        <f t="array" ref="AG6">IF(OR(O6&lt;&gt;"", SUMPRODUCT(($AH$2:$AH$4999=AH6)*($AF$2:$AF$4999&lt;=AF6)) &lt;= (COUNTIF($AH$2:$AH$4999,AH6)*0.3)), "SORTEADO", "-")</f>
        <v>SORTEADO</v>
      </c>
      <c r="AH6" s="257" t="str">
        <f t="shared" si="1"/>
        <v>01/04/2026</v>
      </c>
    </row>
    <row r="7" spans="1:34" ht="30" customHeight="1" x14ac:dyDescent="0.2">
      <c r="A7" s="230" t="s">
        <v>197</v>
      </c>
      <c r="B7" s="230">
        <v>2613575584</v>
      </c>
      <c r="C7" s="230" t="s">
        <v>135</v>
      </c>
      <c r="D7" s="230" t="s">
        <v>124</v>
      </c>
      <c r="E7" s="230" t="s">
        <v>198</v>
      </c>
      <c r="F7" s="230" t="s">
        <v>3279</v>
      </c>
      <c r="G7" s="230">
        <v>9</v>
      </c>
      <c r="H7" s="230" t="s">
        <v>362</v>
      </c>
      <c r="I7" s="230" t="s">
        <v>2099</v>
      </c>
      <c r="J7" s="230" t="s">
        <v>3280</v>
      </c>
      <c r="K7" s="230"/>
      <c r="L7" s="235" t="s">
        <v>202</v>
      </c>
      <c r="M7" s="235">
        <v>46026.576388888891</v>
      </c>
      <c r="N7" s="230" t="s">
        <v>3276</v>
      </c>
      <c r="O7" s="233" t="s">
        <v>204</v>
      </c>
      <c r="P7" s="168"/>
      <c r="Q7" s="144" t="s">
        <v>204</v>
      </c>
      <c r="R7" s="143"/>
      <c r="S7" s="144" t="s">
        <v>204</v>
      </c>
      <c r="T7" s="143"/>
      <c r="U7" s="144" t="s">
        <v>204</v>
      </c>
      <c r="V7" s="143"/>
      <c r="W7" s="144" t="s">
        <v>204</v>
      </c>
      <c r="X7" s="59"/>
      <c r="Y7" s="144" t="s">
        <v>204</v>
      </c>
      <c r="Z7" s="186" t="str">
        <f t="shared" si="2"/>
        <v>C</v>
      </c>
      <c r="AA7" s="217" t="str">
        <f t="shared" si="0"/>
        <v>UTILIZOU O PDA CORRETAMENTE</v>
      </c>
      <c r="AB7" s="145" t="s">
        <v>204</v>
      </c>
      <c r="AC7" s="218" t="s">
        <v>6</v>
      </c>
      <c r="AD7" s="151" t="str">
        <f t="shared" si="3"/>
        <v>GUARULHOS</v>
      </c>
      <c r="AE7" s="58" t="s">
        <v>63</v>
      </c>
      <c r="AF7" s="53">
        <v>-1.1999999999999999E-3</v>
      </c>
      <c r="AG7" s="53" t="str" cm="1">
        <f t="array" ref="AG7">IF(OR(O7&lt;&gt;"", SUMPRODUCT(($AH$2:$AH$4999=AH7)*($AF$2:$AF$4999&lt;=AF7)) &lt;= (COUNTIF($AH$2:$AH$4999,AH7)*0.3)), "SORTEADO", "-")</f>
        <v>SORTEADO</v>
      </c>
      <c r="AH7" s="257" t="str">
        <f t="shared" si="1"/>
        <v>01/04/2026</v>
      </c>
    </row>
    <row r="8" spans="1:34" ht="30" customHeight="1" x14ac:dyDescent="0.2">
      <c r="A8" s="230" t="s">
        <v>197</v>
      </c>
      <c r="B8" s="230">
        <v>2689290784</v>
      </c>
      <c r="C8" s="230" t="s">
        <v>127</v>
      </c>
      <c r="D8" s="230" t="s">
        <v>63</v>
      </c>
      <c r="E8" s="230" t="s">
        <v>198</v>
      </c>
      <c r="F8" s="230" t="s">
        <v>867</v>
      </c>
      <c r="G8" s="230">
        <v>3820</v>
      </c>
      <c r="H8" s="230" t="s">
        <v>3281</v>
      </c>
      <c r="I8" s="230" t="s">
        <v>708</v>
      </c>
      <c r="J8" s="230" t="s">
        <v>3275</v>
      </c>
      <c r="K8" s="230" t="s">
        <v>213</v>
      </c>
      <c r="L8" s="235" t="s">
        <v>202</v>
      </c>
      <c r="M8" s="235">
        <v>46026.609722222223</v>
      </c>
      <c r="N8" s="230" t="s">
        <v>3282</v>
      </c>
      <c r="O8" s="233" t="s">
        <v>204</v>
      </c>
      <c r="P8" s="168"/>
      <c r="Q8" s="144" t="s">
        <v>204</v>
      </c>
      <c r="R8" s="143"/>
      <c r="S8" s="144" t="s">
        <v>204</v>
      </c>
      <c r="T8" s="143"/>
      <c r="U8" s="144" t="s">
        <v>204</v>
      </c>
      <c r="V8" s="143"/>
      <c r="W8" s="144" t="s">
        <v>204</v>
      </c>
      <c r="X8" s="59"/>
      <c r="Y8" s="144" t="s">
        <v>204</v>
      </c>
      <c r="Z8" s="186" t="str">
        <f t="shared" si="2"/>
        <v>C</v>
      </c>
      <c r="AA8" s="217" t="str">
        <f t="shared" si="0"/>
        <v>UTILIZOU O PDA CORRETAMENTE</v>
      </c>
      <c r="AB8" s="145" t="s">
        <v>204</v>
      </c>
      <c r="AC8" s="218" t="s">
        <v>6</v>
      </c>
      <c r="AD8" s="151" t="str">
        <f t="shared" si="3"/>
        <v>GUARULHOS</v>
      </c>
      <c r="AE8" s="58" t="s">
        <v>63</v>
      </c>
      <c r="AF8" s="53">
        <v>-1.4E-3</v>
      </c>
      <c r="AG8" s="53" t="str" cm="1">
        <f t="array" ref="AG8">IF(OR(O8&lt;&gt;"", SUMPRODUCT(($AH$2:$AH$4999=AH8)*($AF$2:$AF$4999&lt;=AF8)) &lt;= (COUNTIF($AH$2:$AH$4999,AH8)*0.3)), "SORTEADO", "-")</f>
        <v>SORTEADO</v>
      </c>
      <c r="AH8" s="257" t="str">
        <f t="shared" si="1"/>
        <v>01/04/2026</v>
      </c>
    </row>
    <row r="9" spans="1:34" ht="30" customHeight="1" x14ac:dyDescent="0.2">
      <c r="A9" s="230" t="s">
        <v>197</v>
      </c>
      <c r="B9" s="230">
        <v>2613771953</v>
      </c>
      <c r="C9" s="230" t="s">
        <v>135</v>
      </c>
      <c r="D9" s="230" t="s">
        <v>124</v>
      </c>
      <c r="E9" s="230" t="s">
        <v>198</v>
      </c>
      <c r="F9" s="230" t="s">
        <v>3283</v>
      </c>
      <c r="G9" s="230">
        <v>232</v>
      </c>
      <c r="H9" s="230" t="s">
        <v>2002</v>
      </c>
      <c r="I9" s="230" t="s">
        <v>531</v>
      </c>
      <c r="J9" s="230" t="s">
        <v>3280</v>
      </c>
      <c r="K9" s="230"/>
      <c r="L9" s="235" t="s">
        <v>202</v>
      </c>
      <c r="M9" s="235">
        <v>46026.411111111112</v>
      </c>
      <c r="N9" s="230" t="s">
        <v>215</v>
      </c>
      <c r="O9" s="233" t="s">
        <v>204</v>
      </c>
      <c r="P9" s="168"/>
      <c r="Q9" s="144" t="s">
        <v>204</v>
      </c>
      <c r="R9" s="143"/>
      <c r="S9" s="144" t="s">
        <v>204</v>
      </c>
      <c r="T9" s="143"/>
      <c r="U9" s="144" t="s">
        <v>204</v>
      </c>
      <c r="V9" s="143"/>
      <c r="W9" s="144" t="s">
        <v>204</v>
      </c>
      <c r="X9" s="59"/>
      <c r="Y9" s="144" t="s">
        <v>204</v>
      </c>
      <c r="Z9" s="186" t="str">
        <f t="shared" si="2"/>
        <v>C</v>
      </c>
      <c r="AA9" s="217" t="str">
        <f t="shared" si="0"/>
        <v>UTILIZOU O PDA CORRETAMENTE</v>
      </c>
      <c r="AB9" s="145" t="s">
        <v>204</v>
      </c>
      <c r="AC9" s="218" t="s">
        <v>6</v>
      </c>
      <c r="AD9" s="151" t="str">
        <f t="shared" si="3"/>
        <v>GUARULHOS</v>
      </c>
      <c r="AE9" s="58" t="s">
        <v>63</v>
      </c>
      <c r="AF9" s="53">
        <v>-1.6000000000000001E-3</v>
      </c>
      <c r="AG9" s="53" t="str" cm="1">
        <f t="array" ref="AG9">IF(OR(O9&lt;&gt;"", SUMPRODUCT(($AH$2:$AH$4999=AH9)*($AF$2:$AF$4999&lt;=AF9)) &lt;= (COUNTIF($AH$2:$AH$4999,AH9)*0.3)), "SORTEADO", "-")</f>
        <v>SORTEADO</v>
      </c>
      <c r="AH9" s="257" t="str">
        <f t="shared" si="1"/>
        <v>01/04/2026</v>
      </c>
    </row>
    <row r="10" spans="1:34" ht="30" customHeight="1" x14ac:dyDescent="0.2">
      <c r="A10" s="230" t="s">
        <v>197</v>
      </c>
      <c r="B10" s="230">
        <v>2613564197</v>
      </c>
      <c r="C10" s="230" t="s">
        <v>134</v>
      </c>
      <c r="D10" s="230" t="s">
        <v>124</v>
      </c>
      <c r="E10" s="230" t="s">
        <v>198</v>
      </c>
      <c r="F10" s="230" t="s">
        <v>216</v>
      </c>
      <c r="G10" s="230">
        <v>147</v>
      </c>
      <c r="H10" s="230" t="s">
        <v>3284</v>
      </c>
      <c r="I10" s="230" t="s">
        <v>247</v>
      </c>
      <c r="J10" s="230" t="s">
        <v>3285</v>
      </c>
      <c r="K10" s="230" t="s">
        <v>3286</v>
      </c>
      <c r="L10" s="235" t="s">
        <v>202</v>
      </c>
      <c r="M10" s="235">
        <v>46026.629861111112</v>
      </c>
      <c r="N10" s="230" t="s">
        <v>215</v>
      </c>
      <c r="O10" s="233" t="s">
        <v>204</v>
      </c>
      <c r="P10" s="168"/>
      <c r="Q10" s="144" t="s">
        <v>204</v>
      </c>
      <c r="R10" s="143"/>
      <c r="S10" s="144" t="s">
        <v>204</v>
      </c>
      <c r="T10" s="143"/>
      <c r="U10" s="144" t="s">
        <v>204</v>
      </c>
      <c r="V10" s="143"/>
      <c r="W10" s="144" t="s">
        <v>204</v>
      </c>
      <c r="X10" s="59"/>
      <c r="Y10" s="144" t="s">
        <v>204</v>
      </c>
      <c r="Z10" s="186" t="str">
        <f t="shared" si="2"/>
        <v>C</v>
      </c>
      <c r="AA10" s="217" t="str">
        <f t="shared" si="0"/>
        <v>UTILIZOU O PDA CORRETAMENTE</v>
      </c>
      <c r="AB10" s="145" t="s">
        <v>204</v>
      </c>
      <c r="AC10" s="218" t="s">
        <v>6</v>
      </c>
      <c r="AD10" s="151" t="str">
        <f t="shared" si="3"/>
        <v>GUARULHOS</v>
      </c>
      <c r="AE10" s="58" t="s">
        <v>63</v>
      </c>
      <c r="AF10" s="53">
        <v>-1.8E-3</v>
      </c>
      <c r="AG10" s="53" t="str" cm="1">
        <f t="array" ref="AG10">IF(OR(O10&lt;&gt;"", SUMPRODUCT(($AH$2:$AH$4999=AH10)*($AF$2:$AF$4999&lt;=AF10)) &lt;= (COUNTIF($AH$2:$AH$4999,AH10)*0.3)), "SORTEADO", "-")</f>
        <v>SORTEADO</v>
      </c>
      <c r="AH10" s="257" t="str">
        <f t="shared" si="1"/>
        <v>01/04/2026</v>
      </c>
    </row>
    <row r="11" spans="1:34" ht="30" customHeight="1" x14ac:dyDescent="0.2">
      <c r="A11" s="230" t="s">
        <v>197</v>
      </c>
      <c r="B11" s="230">
        <v>2613564707</v>
      </c>
      <c r="C11" s="230" t="s">
        <v>134</v>
      </c>
      <c r="D11" s="230" t="s">
        <v>124</v>
      </c>
      <c r="E11" s="230" t="s">
        <v>198</v>
      </c>
      <c r="F11" s="230" t="s">
        <v>216</v>
      </c>
      <c r="G11" s="230">
        <v>147</v>
      </c>
      <c r="H11" s="230" t="s">
        <v>3287</v>
      </c>
      <c r="I11" s="230" t="s">
        <v>247</v>
      </c>
      <c r="J11" s="230" t="s">
        <v>3285</v>
      </c>
      <c r="K11" s="230" t="s">
        <v>220</v>
      </c>
      <c r="L11" s="235" t="s">
        <v>202</v>
      </c>
      <c r="M11" s="235">
        <v>46026.626388888886</v>
      </c>
      <c r="N11" s="230" t="s">
        <v>215</v>
      </c>
      <c r="O11" s="233" t="s">
        <v>204</v>
      </c>
      <c r="P11" s="168"/>
      <c r="Q11" s="144" t="s">
        <v>204</v>
      </c>
      <c r="R11" s="143"/>
      <c r="S11" s="144" t="s">
        <v>204</v>
      </c>
      <c r="T11" s="143"/>
      <c r="U11" s="144" t="s">
        <v>204</v>
      </c>
      <c r="V11" s="143"/>
      <c r="W11" s="144" t="s">
        <v>204</v>
      </c>
      <c r="X11" s="59"/>
      <c r="Y11" s="144" t="s">
        <v>204</v>
      </c>
      <c r="Z11" s="186" t="str">
        <f t="shared" si="2"/>
        <v>C</v>
      </c>
      <c r="AA11" s="217" t="str">
        <f t="shared" si="0"/>
        <v>UTILIZOU O PDA CORRETAMENTE</v>
      </c>
      <c r="AB11" s="145" t="s">
        <v>204</v>
      </c>
      <c r="AC11" s="218" t="s">
        <v>6</v>
      </c>
      <c r="AD11" s="151" t="str">
        <f t="shared" si="3"/>
        <v>GUARULHOS</v>
      </c>
      <c r="AE11" s="58" t="s">
        <v>63</v>
      </c>
      <c r="AF11" s="53">
        <v>-2E-3</v>
      </c>
      <c r="AG11" s="53" t="str" cm="1">
        <f t="array" ref="AG11">IF(OR(O11&lt;&gt;"", SUMPRODUCT(($AH$2:$AH$4999=AH11)*($AF$2:$AF$4999&lt;=AF11)) &lt;= (COUNTIF($AH$2:$AH$4999,AH11)*0.3)), "SORTEADO", "-")</f>
        <v>SORTEADO</v>
      </c>
      <c r="AH11" s="257" t="str">
        <f t="shared" si="1"/>
        <v>01/04/2026</v>
      </c>
    </row>
    <row r="12" spans="1:34" ht="30" customHeight="1" x14ac:dyDescent="0.2">
      <c r="A12" s="230" t="s">
        <v>197</v>
      </c>
      <c r="B12" s="230">
        <v>2613759273</v>
      </c>
      <c r="C12" s="230" t="s">
        <v>135</v>
      </c>
      <c r="D12" s="230" t="s">
        <v>124</v>
      </c>
      <c r="E12" s="230" t="s">
        <v>198</v>
      </c>
      <c r="F12" s="230" t="s">
        <v>1930</v>
      </c>
      <c r="G12" s="230">
        <v>293</v>
      </c>
      <c r="H12" s="230" t="s">
        <v>3288</v>
      </c>
      <c r="I12" s="230" t="s">
        <v>650</v>
      </c>
      <c r="J12" s="230" t="s">
        <v>3280</v>
      </c>
      <c r="K12" s="230" t="s">
        <v>213</v>
      </c>
      <c r="L12" s="235" t="s">
        <v>202</v>
      </c>
      <c r="M12" s="235">
        <v>46026.609027777777</v>
      </c>
      <c r="N12" s="230" t="s">
        <v>3289</v>
      </c>
      <c r="O12" s="233" t="s">
        <v>204</v>
      </c>
      <c r="P12" s="168"/>
      <c r="Q12" s="144" t="s">
        <v>204</v>
      </c>
      <c r="R12" s="143"/>
      <c r="S12" s="144" t="s">
        <v>204</v>
      </c>
      <c r="T12" s="143"/>
      <c r="U12" s="144" t="s">
        <v>204</v>
      </c>
      <c r="V12" s="143"/>
      <c r="W12" s="144" t="s">
        <v>204</v>
      </c>
      <c r="X12" s="59"/>
      <c r="Y12" s="144" t="s">
        <v>204</v>
      </c>
      <c r="Z12" s="186" t="str">
        <f t="shared" si="2"/>
        <v>C</v>
      </c>
      <c r="AA12" s="217" t="str">
        <f t="shared" si="0"/>
        <v>UTILIZOU O PDA CORRETAMENTE</v>
      </c>
      <c r="AB12" s="145" t="s">
        <v>204</v>
      </c>
      <c r="AC12" s="218" t="s">
        <v>6</v>
      </c>
      <c r="AD12" s="151" t="str">
        <f t="shared" si="3"/>
        <v>GUARULHOS</v>
      </c>
      <c r="AE12" s="58" t="s">
        <v>63</v>
      </c>
      <c r="AF12" s="53">
        <v>-2.2000000000000001E-3</v>
      </c>
      <c r="AG12" s="53" t="str" cm="1">
        <f t="array" ref="AG12">IF(OR(O12&lt;&gt;"", SUMPRODUCT(($AH$2:$AH$4999=AH12)*($AF$2:$AF$4999&lt;=AF12)) &lt;= (COUNTIF($AH$2:$AH$4999,AH12)*0.3)), "SORTEADO", "-")</f>
        <v>SORTEADO</v>
      </c>
      <c r="AH12" s="257" t="str">
        <f t="shared" si="1"/>
        <v>01/04/2026</v>
      </c>
    </row>
    <row r="13" spans="1:34" ht="30" customHeight="1" x14ac:dyDescent="0.2">
      <c r="A13" s="230" t="s">
        <v>197</v>
      </c>
      <c r="B13" s="230">
        <v>2613721737</v>
      </c>
      <c r="C13" s="230" t="s">
        <v>133</v>
      </c>
      <c r="D13" s="230" t="s">
        <v>124</v>
      </c>
      <c r="E13" s="230" t="s">
        <v>198</v>
      </c>
      <c r="F13" s="230" t="s">
        <v>3290</v>
      </c>
      <c r="G13" s="230">
        <v>41</v>
      </c>
      <c r="H13" s="230" t="s">
        <v>296</v>
      </c>
      <c r="I13" s="230" t="s">
        <v>335</v>
      </c>
      <c r="J13" s="230" t="s">
        <v>3275</v>
      </c>
      <c r="K13" s="230" t="s">
        <v>3291</v>
      </c>
      <c r="L13" s="235" t="s">
        <v>202</v>
      </c>
      <c r="M13" s="235">
        <v>46026.372916666667</v>
      </c>
      <c r="N13" s="230" t="s">
        <v>3276</v>
      </c>
      <c r="O13" s="233" t="s">
        <v>204</v>
      </c>
      <c r="P13" s="168"/>
      <c r="Q13" s="144" t="s">
        <v>204</v>
      </c>
      <c r="R13" s="143"/>
      <c r="S13" s="144" t="s">
        <v>204</v>
      </c>
      <c r="T13" s="143"/>
      <c r="U13" s="144" t="s">
        <v>204</v>
      </c>
      <c r="V13" s="143"/>
      <c r="W13" s="144" t="s">
        <v>204</v>
      </c>
      <c r="X13" s="59"/>
      <c r="Y13" s="144" t="s">
        <v>204</v>
      </c>
      <c r="Z13" s="186" t="str">
        <f t="shared" si="2"/>
        <v>C</v>
      </c>
      <c r="AA13" s="217" t="str">
        <f t="shared" si="0"/>
        <v>UTILIZOU O PDA CORRETAMENTE</v>
      </c>
      <c r="AB13" s="145" t="s">
        <v>204</v>
      </c>
      <c r="AC13" s="218" t="s">
        <v>6</v>
      </c>
      <c r="AD13" s="151" t="str">
        <f t="shared" si="3"/>
        <v>GUARULHOS</v>
      </c>
      <c r="AE13" s="58" t="s">
        <v>63</v>
      </c>
      <c r="AF13" s="53">
        <v>-2.3999999999999998E-3</v>
      </c>
      <c r="AG13" s="53" t="str" cm="1">
        <f t="array" ref="AG13">IF(OR(O13&lt;&gt;"", SUMPRODUCT(($AH$2:$AH$4999=AH13)*($AF$2:$AF$4999&lt;=AF13)) &lt;= (COUNTIF($AH$2:$AH$4999,AH13)*0.3)), "SORTEADO", "-")</f>
        <v>SORTEADO</v>
      </c>
      <c r="AH13" s="257" t="str">
        <f t="shared" si="1"/>
        <v>01/04/2026</v>
      </c>
    </row>
    <row r="14" spans="1:34" ht="30" customHeight="1" x14ac:dyDescent="0.2">
      <c r="A14" s="230" t="s">
        <v>197</v>
      </c>
      <c r="B14" s="230">
        <v>2689390776</v>
      </c>
      <c r="C14" s="230" t="s">
        <v>127</v>
      </c>
      <c r="D14" s="230" t="s">
        <v>63</v>
      </c>
      <c r="E14" s="230" t="s">
        <v>198</v>
      </c>
      <c r="F14" s="230" t="s">
        <v>1743</v>
      </c>
      <c r="G14" s="230">
        <v>237</v>
      </c>
      <c r="H14" s="230" t="s">
        <v>1022</v>
      </c>
      <c r="I14" s="230" t="s">
        <v>1744</v>
      </c>
      <c r="J14" s="230" t="s">
        <v>3273</v>
      </c>
      <c r="K14" s="230" t="s">
        <v>213</v>
      </c>
      <c r="L14" s="235" t="s">
        <v>202</v>
      </c>
      <c r="M14" s="235">
        <v>46026.563194444447</v>
      </c>
      <c r="N14" s="230" t="s">
        <v>1099</v>
      </c>
      <c r="O14" s="233" t="s">
        <v>204</v>
      </c>
      <c r="P14" s="168"/>
      <c r="Q14" s="144" t="s">
        <v>204</v>
      </c>
      <c r="R14" s="143"/>
      <c r="S14" s="144" t="s">
        <v>204</v>
      </c>
      <c r="T14" s="143"/>
      <c r="U14" s="144" t="s">
        <v>204</v>
      </c>
      <c r="V14" s="143"/>
      <c r="W14" s="144" t="s">
        <v>204</v>
      </c>
      <c r="X14" s="59"/>
      <c r="Y14" s="144" t="s">
        <v>204</v>
      </c>
      <c r="Z14" s="186" t="str">
        <f t="shared" si="2"/>
        <v>C</v>
      </c>
      <c r="AA14" s="217" t="str">
        <f t="shared" si="0"/>
        <v>UTILIZOU O PDA CORRETAMENTE</v>
      </c>
      <c r="AB14" s="145" t="s">
        <v>204</v>
      </c>
      <c r="AC14" s="218" t="s">
        <v>6</v>
      </c>
      <c r="AD14" s="151" t="str">
        <f t="shared" si="3"/>
        <v>GUARULHOS</v>
      </c>
      <c r="AE14" s="58" t="s">
        <v>63</v>
      </c>
      <c r="AF14" s="53">
        <v>-2.5999999999999999E-3</v>
      </c>
      <c r="AG14" s="53" t="str" cm="1">
        <f t="array" ref="AG14">IF(OR(O14&lt;&gt;"", SUMPRODUCT(($AH$2:$AH$4999=AH14)*($AF$2:$AF$4999&lt;=AF14)) &lt;= (COUNTIF($AH$2:$AH$4999,AH14)*0.3)), "SORTEADO", "-")</f>
        <v>SORTEADO</v>
      </c>
      <c r="AH14" s="257" t="str">
        <f t="shared" si="1"/>
        <v>01/04/2026</v>
      </c>
    </row>
    <row r="15" spans="1:34" ht="30" customHeight="1" x14ac:dyDescent="0.2">
      <c r="A15" s="230" t="s">
        <v>197</v>
      </c>
      <c r="B15" s="230">
        <v>2689261637</v>
      </c>
      <c r="C15" s="230" t="s">
        <v>133</v>
      </c>
      <c r="D15" s="230" t="s">
        <v>124</v>
      </c>
      <c r="E15" s="230" t="s">
        <v>198</v>
      </c>
      <c r="F15" s="230" t="s">
        <v>3292</v>
      </c>
      <c r="G15" s="230">
        <v>231</v>
      </c>
      <c r="H15" s="230" t="s">
        <v>3293</v>
      </c>
      <c r="I15" s="230" t="s">
        <v>1575</v>
      </c>
      <c r="J15" s="230" t="s">
        <v>3275</v>
      </c>
      <c r="K15" s="230" t="s">
        <v>213</v>
      </c>
      <c r="L15" s="235" t="s">
        <v>202</v>
      </c>
      <c r="M15" s="235">
        <v>46026.429166666669</v>
      </c>
      <c r="N15" s="230" t="s">
        <v>3289</v>
      </c>
      <c r="O15" s="233" t="s">
        <v>204</v>
      </c>
      <c r="P15" s="168"/>
      <c r="Q15" s="144" t="s">
        <v>204</v>
      </c>
      <c r="R15" s="143"/>
      <c r="S15" s="144" t="s">
        <v>204</v>
      </c>
      <c r="T15" s="143"/>
      <c r="U15" s="144" t="s">
        <v>204</v>
      </c>
      <c r="V15" s="143"/>
      <c r="W15" s="144" t="s">
        <v>204</v>
      </c>
      <c r="X15" s="59"/>
      <c r="Y15" s="144" t="s">
        <v>204</v>
      </c>
      <c r="Z15" s="186" t="str">
        <f t="shared" si="2"/>
        <v>C</v>
      </c>
      <c r="AA15" s="217" t="str">
        <f t="shared" si="0"/>
        <v>UTILIZOU O PDA CORRETAMENTE</v>
      </c>
      <c r="AB15" s="145" t="s">
        <v>204</v>
      </c>
      <c r="AC15" s="218" t="s">
        <v>6</v>
      </c>
      <c r="AD15" s="151" t="str">
        <f t="shared" si="3"/>
        <v>GUARULHOS</v>
      </c>
      <c r="AE15" s="58" t="s">
        <v>63</v>
      </c>
      <c r="AF15" s="53">
        <v>-2.8E-3</v>
      </c>
      <c r="AG15" s="53" t="str" cm="1">
        <f t="array" ref="AG15">IF(OR(O15&lt;&gt;"", SUMPRODUCT(($AH$2:$AH$4999=AH15)*($AF$2:$AF$4999&lt;=AF15)) &lt;= (COUNTIF($AH$2:$AH$4999,AH15)*0.3)), "SORTEADO", "-")</f>
        <v>SORTEADO</v>
      </c>
      <c r="AH15" s="257" t="str">
        <f t="shared" si="1"/>
        <v>01/04/2026</v>
      </c>
    </row>
    <row r="16" spans="1:34" ht="30" customHeight="1" x14ac:dyDescent="0.2">
      <c r="A16" s="230" t="s">
        <v>197</v>
      </c>
      <c r="B16" s="230">
        <v>2689396256</v>
      </c>
      <c r="C16" s="230" t="s">
        <v>127</v>
      </c>
      <c r="D16" s="230" t="s">
        <v>63</v>
      </c>
      <c r="E16" s="230" t="s">
        <v>198</v>
      </c>
      <c r="F16" s="230" t="s">
        <v>3294</v>
      </c>
      <c r="G16" s="230">
        <v>155</v>
      </c>
      <c r="H16" s="230"/>
      <c r="I16" s="230" t="s">
        <v>664</v>
      </c>
      <c r="J16" s="230" t="s">
        <v>3275</v>
      </c>
      <c r="K16" s="230"/>
      <c r="L16" s="235" t="s">
        <v>202</v>
      </c>
      <c r="M16" s="235">
        <v>46026.461805555555</v>
      </c>
      <c r="N16" s="230" t="s">
        <v>3276</v>
      </c>
      <c r="O16" s="233" t="s">
        <v>204</v>
      </c>
      <c r="P16" s="168"/>
      <c r="Q16" s="144" t="s">
        <v>204</v>
      </c>
      <c r="R16" s="143"/>
      <c r="S16" s="144" t="s">
        <v>204</v>
      </c>
      <c r="T16" s="143"/>
      <c r="U16" s="144" t="s">
        <v>204</v>
      </c>
      <c r="V16" s="143"/>
      <c r="W16" s="144" t="s">
        <v>204</v>
      </c>
      <c r="X16" s="59"/>
      <c r="Y16" s="144" t="s">
        <v>204</v>
      </c>
      <c r="Z16" s="186" t="str">
        <f t="shared" si="2"/>
        <v>C</v>
      </c>
      <c r="AA16" s="217" t="str">
        <f t="shared" si="0"/>
        <v>UTILIZOU O PDA CORRETAMENTE</v>
      </c>
      <c r="AB16" s="145" t="s">
        <v>204</v>
      </c>
      <c r="AC16" s="218" t="s">
        <v>6</v>
      </c>
      <c r="AD16" s="151" t="str">
        <f t="shared" si="3"/>
        <v>GUARULHOS</v>
      </c>
      <c r="AE16" s="58" t="s">
        <v>63</v>
      </c>
      <c r="AF16" s="53">
        <v>-3.0000000000000001E-3</v>
      </c>
      <c r="AG16" s="53" t="str" cm="1">
        <f t="array" ref="AG16">IF(OR(O16&lt;&gt;"", SUMPRODUCT(($AH$2:$AH$4999=AH16)*($AF$2:$AF$4999&lt;=AF16)) &lt;= (COUNTIF($AH$2:$AH$4999,AH16)*0.3)), "SORTEADO", "-")</f>
        <v>SORTEADO</v>
      </c>
      <c r="AH16" s="257" t="str">
        <f t="shared" si="1"/>
        <v>01/04/2026</v>
      </c>
    </row>
    <row r="17" spans="1:34" ht="30" customHeight="1" x14ac:dyDescent="0.2">
      <c r="A17" s="230" t="s">
        <v>197</v>
      </c>
      <c r="B17" s="230">
        <v>2613768618</v>
      </c>
      <c r="C17" s="230" t="s">
        <v>133</v>
      </c>
      <c r="D17" s="230" t="s">
        <v>124</v>
      </c>
      <c r="E17" s="230" t="s">
        <v>198</v>
      </c>
      <c r="F17" s="230" t="s">
        <v>3295</v>
      </c>
      <c r="G17" s="230">
        <v>55</v>
      </c>
      <c r="H17" s="230" t="s">
        <v>1849</v>
      </c>
      <c r="I17" s="230" t="s">
        <v>791</v>
      </c>
      <c r="J17" s="230" t="s">
        <v>3275</v>
      </c>
      <c r="K17" s="230" t="s">
        <v>213</v>
      </c>
      <c r="L17" s="235" t="s">
        <v>202</v>
      </c>
      <c r="M17" s="235">
        <v>46026.431944444441</v>
      </c>
      <c r="N17" s="230" t="s">
        <v>3296</v>
      </c>
      <c r="O17" s="233" t="s">
        <v>204</v>
      </c>
      <c r="P17" s="168"/>
      <c r="Q17" s="144" t="s">
        <v>204</v>
      </c>
      <c r="R17" s="143"/>
      <c r="S17" s="144" t="s">
        <v>204</v>
      </c>
      <c r="T17" s="143"/>
      <c r="U17" s="144" t="s">
        <v>204</v>
      </c>
      <c r="V17" s="143"/>
      <c r="W17" s="144" t="s">
        <v>204</v>
      </c>
      <c r="X17" s="59"/>
      <c r="Y17" s="144" t="s">
        <v>204</v>
      </c>
      <c r="Z17" s="186" t="str">
        <f t="shared" si="2"/>
        <v>C</v>
      </c>
      <c r="AA17" s="217" t="str">
        <f t="shared" si="0"/>
        <v>UTILIZOU O PDA CORRETAMENTE</v>
      </c>
      <c r="AB17" s="145" t="s">
        <v>204</v>
      </c>
      <c r="AC17" s="218" t="s">
        <v>6</v>
      </c>
      <c r="AD17" s="151" t="str">
        <f t="shared" si="3"/>
        <v>GUARULHOS</v>
      </c>
      <c r="AE17" s="58" t="s">
        <v>63</v>
      </c>
      <c r="AF17" s="53">
        <v>-3.2000000000000002E-3</v>
      </c>
      <c r="AG17" s="53" t="str" cm="1">
        <f t="array" ref="AG17">IF(OR(O17&lt;&gt;"", SUMPRODUCT(($AH$2:$AH$4999=AH17)*($AF$2:$AF$4999&lt;=AF17)) &lt;= (COUNTIF($AH$2:$AH$4999,AH17)*0.3)), "SORTEADO", "-")</f>
        <v>SORTEADO</v>
      </c>
      <c r="AH17" s="257" t="str">
        <f t="shared" si="1"/>
        <v>01/04/2026</v>
      </c>
    </row>
    <row r="18" spans="1:34" ht="30" customHeight="1" x14ac:dyDescent="0.2">
      <c r="A18" s="230" t="s">
        <v>197</v>
      </c>
      <c r="B18" s="230">
        <v>2613792467</v>
      </c>
      <c r="C18" s="230" t="s">
        <v>133</v>
      </c>
      <c r="D18" s="230" t="s">
        <v>124</v>
      </c>
      <c r="E18" s="230" t="s">
        <v>198</v>
      </c>
      <c r="F18" s="230" t="s">
        <v>3297</v>
      </c>
      <c r="G18" s="230">
        <v>52</v>
      </c>
      <c r="H18" s="230" t="s">
        <v>3298</v>
      </c>
      <c r="I18" s="230" t="s">
        <v>3299</v>
      </c>
      <c r="J18" s="230" t="s">
        <v>3275</v>
      </c>
      <c r="K18" s="230" t="s">
        <v>213</v>
      </c>
      <c r="L18" s="235" t="s">
        <v>202</v>
      </c>
      <c r="M18" s="235">
        <v>46026.42291666667</v>
      </c>
      <c r="N18" s="230" t="s">
        <v>294</v>
      </c>
      <c r="O18" s="233" t="s">
        <v>204</v>
      </c>
      <c r="P18" s="168"/>
      <c r="Q18" s="144" t="s">
        <v>204</v>
      </c>
      <c r="R18" s="143"/>
      <c r="S18" s="144" t="s">
        <v>204</v>
      </c>
      <c r="T18" s="143"/>
      <c r="U18" s="144" t="s">
        <v>204</v>
      </c>
      <c r="V18" s="143"/>
      <c r="W18" s="144" t="s">
        <v>204</v>
      </c>
      <c r="X18" s="59"/>
      <c r="Y18" s="144" t="s">
        <v>204</v>
      </c>
      <c r="Z18" s="186" t="str">
        <f t="shared" si="2"/>
        <v>C</v>
      </c>
      <c r="AA18" s="217" t="str">
        <f t="shared" si="0"/>
        <v>UTILIZOU O PDA CORRETAMENTE</v>
      </c>
      <c r="AB18" s="145" t="s">
        <v>204</v>
      </c>
      <c r="AC18" s="218" t="s">
        <v>6</v>
      </c>
      <c r="AD18" s="151" t="str">
        <f t="shared" si="3"/>
        <v>GUARULHOS</v>
      </c>
      <c r="AE18" s="58" t="s">
        <v>63</v>
      </c>
      <c r="AF18" s="53">
        <v>-3.3999999999999998E-3</v>
      </c>
      <c r="AG18" s="53" t="str" cm="1">
        <f t="array" ref="AG18">IF(OR(O18&lt;&gt;"", SUMPRODUCT(($AH$2:$AH$4999=AH18)*($AF$2:$AF$4999&lt;=AF18)) &lt;= (COUNTIF($AH$2:$AH$4999,AH18)*0.3)), "SORTEADO", "-")</f>
        <v>SORTEADO</v>
      </c>
      <c r="AH18" s="257" t="str">
        <f t="shared" si="1"/>
        <v>01/04/2026</v>
      </c>
    </row>
    <row r="19" spans="1:34" ht="30" customHeight="1" x14ac:dyDescent="0.2">
      <c r="A19" s="230" t="s">
        <v>197</v>
      </c>
      <c r="B19" s="230">
        <v>2613864555</v>
      </c>
      <c r="C19" s="230" t="s">
        <v>127</v>
      </c>
      <c r="D19" s="230" t="s">
        <v>63</v>
      </c>
      <c r="E19" s="230" t="s">
        <v>198</v>
      </c>
      <c r="F19" s="230" t="s">
        <v>3300</v>
      </c>
      <c r="G19" s="230">
        <v>252</v>
      </c>
      <c r="H19" s="230" t="s">
        <v>3301</v>
      </c>
      <c r="I19" s="230" t="s">
        <v>281</v>
      </c>
      <c r="J19" s="230" t="s">
        <v>3275</v>
      </c>
      <c r="K19" s="230"/>
      <c r="L19" s="235" t="s">
        <v>202</v>
      </c>
      <c r="M19" s="235">
        <v>46026.498611111114</v>
      </c>
      <c r="N19" s="230" t="s">
        <v>3296</v>
      </c>
      <c r="O19" s="233" t="s">
        <v>204</v>
      </c>
      <c r="P19" s="168"/>
      <c r="Q19" s="144" t="s">
        <v>204</v>
      </c>
      <c r="R19" s="143"/>
      <c r="S19" s="144" t="s">
        <v>204</v>
      </c>
      <c r="T19" s="143"/>
      <c r="U19" s="144" t="s">
        <v>204</v>
      </c>
      <c r="V19" s="143"/>
      <c r="W19" s="144" t="s">
        <v>204</v>
      </c>
      <c r="X19" s="59"/>
      <c r="Y19" s="144" t="s">
        <v>204</v>
      </c>
      <c r="Z19" s="186" t="str">
        <f t="shared" si="2"/>
        <v>C</v>
      </c>
      <c r="AA19" s="217" t="str">
        <f t="shared" si="0"/>
        <v>UTILIZOU O PDA CORRETAMENTE</v>
      </c>
      <c r="AB19" s="145" t="s">
        <v>204</v>
      </c>
      <c r="AC19" s="218" t="s">
        <v>6</v>
      </c>
      <c r="AD19" s="151" t="str">
        <f t="shared" si="3"/>
        <v>GUARULHOS</v>
      </c>
      <c r="AE19" s="58" t="s">
        <v>63</v>
      </c>
      <c r="AF19" s="53">
        <v>-3.5999999999999999E-3</v>
      </c>
      <c r="AG19" s="53" t="str" cm="1">
        <f t="array" ref="AG19">IF(OR(O19&lt;&gt;"", SUMPRODUCT(($AH$2:$AH$4999=AH19)*($AF$2:$AF$4999&lt;=AF19)) &lt;= (COUNTIF($AH$2:$AH$4999,AH19)*0.3)), "SORTEADO", "-")</f>
        <v>SORTEADO</v>
      </c>
      <c r="AH19" s="257" t="str">
        <f t="shared" si="1"/>
        <v>01/04/2026</v>
      </c>
    </row>
    <row r="20" spans="1:34" ht="30" customHeight="1" x14ac:dyDescent="0.2">
      <c r="A20" s="230" t="s">
        <v>197</v>
      </c>
      <c r="B20" s="230">
        <v>2689317160</v>
      </c>
      <c r="C20" s="230" t="s">
        <v>133</v>
      </c>
      <c r="D20" s="230" t="s">
        <v>124</v>
      </c>
      <c r="E20" s="230" t="s">
        <v>198</v>
      </c>
      <c r="F20" s="230" t="s">
        <v>602</v>
      </c>
      <c r="G20" s="230">
        <v>560</v>
      </c>
      <c r="H20" s="230" t="s">
        <v>3302</v>
      </c>
      <c r="I20" s="230" t="s">
        <v>531</v>
      </c>
      <c r="J20" s="230" t="s">
        <v>3275</v>
      </c>
      <c r="K20" s="230" t="s">
        <v>3303</v>
      </c>
      <c r="L20" s="235" t="s">
        <v>202</v>
      </c>
      <c r="M20" s="235">
        <v>46026.494444444441</v>
      </c>
      <c r="N20" s="230" t="s">
        <v>819</v>
      </c>
      <c r="O20" s="233" t="s">
        <v>204</v>
      </c>
      <c r="P20" s="168"/>
      <c r="Q20" s="144" t="s">
        <v>204</v>
      </c>
      <c r="R20" s="143"/>
      <c r="S20" s="144" t="s">
        <v>204</v>
      </c>
      <c r="T20" s="143"/>
      <c r="U20" s="144" t="s">
        <v>204</v>
      </c>
      <c r="V20" s="143"/>
      <c r="W20" s="144" t="s">
        <v>204</v>
      </c>
      <c r="X20" s="59"/>
      <c r="Y20" s="144" t="s">
        <v>204</v>
      </c>
      <c r="Z20" s="186" t="str">
        <f t="shared" si="2"/>
        <v>C</v>
      </c>
      <c r="AA20" s="217" t="str">
        <f t="shared" si="0"/>
        <v>UTILIZOU O PDA CORRETAMENTE</v>
      </c>
      <c r="AB20" s="145" t="s">
        <v>204</v>
      </c>
      <c r="AC20" s="218" t="s">
        <v>6</v>
      </c>
      <c r="AD20" s="151" t="str">
        <f t="shared" si="3"/>
        <v>GUARULHOS</v>
      </c>
      <c r="AE20" s="58" t="s">
        <v>63</v>
      </c>
      <c r="AF20" s="53">
        <v>-3.8E-3</v>
      </c>
      <c r="AG20" s="53" t="str" cm="1">
        <f t="array" ref="AG20">IF(OR(O20&lt;&gt;"", SUMPRODUCT(($AH$2:$AH$4999=AH20)*($AF$2:$AF$4999&lt;=AF20)) &lt;= (COUNTIF($AH$2:$AH$4999,AH20)*0.3)), "SORTEADO", "-")</f>
        <v>SORTEADO</v>
      </c>
      <c r="AH20" s="257" t="str">
        <f t="shared" si="1"/>
        <v>01/04/2026</v>
      </c>
    </row>
    <row r="21" spans="1:34" ht="30" customHeight="1" x14ac:dyDescent="0.2">
      <c r="A21" s="230" t="s">
        <v>197</v>
      </c>
      <c r="B21" s="230">
        <v>2613760689</v>
      </c>
      <c r="C21" s="230" t="s">
        <v>133</v>
      </c>
      <c r="D21" s="230" t="s">
        <v>124</v>
      </c>
      <c r="E21" s="230" t="s">
        <v>198</v>
      </c>
      <c r="F21" s="230" t="s">
        <v>2379</v>
      </c>
      <c r="G21" s="230">
        <v>175</v>
      </c>
      <c r="H21" s="230" t="s">
        <v>3304</v>
      </c>
      <c r="I21" s="230" t="s">
        <v>531</v>
      </c>
      <c r="J21" s="230" t="s">
        <v>3275</v>
      </c>
      <c r="K21" s="230" t="s">
        <v>3303</v>
      </c>
      <c r="L21" s="235" t="s">
        <v>202</v>
      </c>
      <c r="M21" s="235">
        <v>46026.513888888891</v>
      </c>
      <c r="N21" s="230" t="s">
        <v>819</v>
      </c>
      <c r="O21" s="233" t="s">
        <v>204</v>
      </c>
      <c r="P21" s="168"/>
      <c r="Q21" s="144" t="s">
        <v>204</v>
      </c>
      <c r="R21" s="143"/>
      <c r="S21" s="144" t="s">
        <v>204</v>
      </c>
      <c r="T21" s="143"/>
      <c r="U21" s="144" t="s">
        <v>204</v>
      </c>
      <c r="V21" s="143"/>
      <c r="W21" s="144" t="s">
        <v>204</v>
      </c>
      <c r="X21" s="59"/>
      <c r="Y21" s="144" t="s">
        <v>204</v>
      </c>
      <c r="Z21" s="186" t="str">
        <f t="shared" si="2"/>
        <v>C</v>
      </c>
      <c r="AA21" s="217" t="str">
        <f t="shared" si="0"/>
        <v>UTILIZOU O PDA CORRETAMENTE</v>
      </c>
      <c r="AB21" s="145" t="s">
        <v>204</v>
      </c>
      <c r="AC21" s="218" t="s">
        <v>6</v>
      </c>
      <c r="AD21" s="151" t="str">
        <f t="shared" si="3"/>
        <v>GUARULHOS</v>
      </c>
      <c r="AE21" s="58" t="s">
        <v>63</v>
      </c>
      <c r="AF21" s="53">
        <v>-4.0000000000000001E-3</v>
      </c>
      <c r="AG21" s="53" t="str" cm="1">
        <f t="array" ref="AG21">IF(OR(O21&lt;&gt;"", SUMPRODUCT(($AH$2:$AH$4999=AH21)*($AF$2:$AF$4999&lt;=AF21)) &lt;= (COUNTIF($AH$2:$AH$4999,AH21)*0.3)), "SORTEADO", "-")</f>
        <v>SORTEADO</v>
      </c>
      <c r="AH21" s="257" t="str">
        <f t="shared" si="1"/>
        <v>01/04/2026</v>
      </c>
    </row>
    <row r="22" spans="1:34" ht="30" customHeight="1" x14ac:dyDescent="0.2">
      <c r="A22" s="230" t="s">
        <v>197</v>
      </c>
      <c r="B22" s="230">
        <v>2613857026</v>
      </c>
      <c r="C22" s="230" t="s">
        <v>129</v>
      </c>
      <c r="D22" s="230" t="s">
        <v>124</v>
      </c>
      <c r="E22" s="230" t="s">
        <v>198</v>
      </c>
      <c r="F22" s="230" t="s">
        <v>3305</v>
      </c>
      <c r="G22" s="230">
        <v>88</v>
      </c>
      <c r="H22" s="230" t="s">
        <v>3306</v>
      </c>
      <c r="I22" s="230" t="s">
        <v>335</v>
      </c>
      <c r="J22" s="230" t="s">
        <v>3307</v>
      </c>
      <c r="K22" s="230" t="s">
        <v>409</v>
      </c>
      <c r="L22" s="235" t="s">
        <v>202</v>
      </c>
      <c r="M22" s="235">
        <v>46026.590277777781</v>
      </c>
      <c r="N22" s="230" t="s">
        <v>381</v>
      </c>
      <c r="O22" s="233" t="s">
        <v>204</v>
      </c>
      <c r="P22" s="168"/>
      <c r="Q22" s="144" t="s">
        <v>204</v>
      </c>
      <c r="R22" s="143"/>
      <c r="S22" s="144" t="s">
        <v>204</v>
      </c>
      <c r="T22" s="143"/>
      <c r="U22" s="144" t="s">
        <v>204</v>
      </c>
      <c r="V22" s="143"/>
      <c r="W22" s="144" t="s">
        <v>204</v>
      </c>
      <c r="X22" s="59"/>
      <c r="Y22" s="144" t="s">
        <v>204</v>
      </c>
      <c r="Z22" s="186" t="str">
        <f t="shared" si="2"/>
        <v>C</v>
      </c>
      <c r="AA22" s="217" t="str">
        <f t="shared" si="0"/>
        <v>UTILIZOU O PDA CORRETAMENTE</v>
      </c>
      <c r="AB22" s="145" t="s">
        <v>204</v>
      </c>
      <c r="AC22" s="218" t="s">
        <v>6</v>
      </c>
      <c r="AD22" s="151" t="str">
        <f t="shared" si="3"/>
        <v>GUARULHOS</v>
      </c>
      <c r="AE22" s="58" t="s">
        <v>63</v>
      </c>
      <c r="AF22" s="53">
        <v>-4.1999999999999997E-3</v>
      </c>
      <c r="AG22" s="53" t="str" cm="1">
        <f t="array" ref="AG22">IF(OR(O22&lt;&gt;"", SUMPRODUCT(($AH$2:$AH$4999=AH22)*($AF$2:$AF$4999&lt;=AF22)) &lt;= (COUNTIF($AH$2:$AH$4999,AH22)*0.3)), "SORTEADO", "-")</f>
        <v>SORTEADO</v>
      </c>
      <c r="AH22" s="257" t="str">
        <f t="shared" si="1"/>
        <v>01/04/2026</v>
      </c>
    </row>
    <row r="23" spans="1:34" ht="30" customHeight="1" x14ac:dyDescent="0.2">
      <c r="A23" s="230" t="s">
        <v>197</v>
      </c>
      <c r="B23" s="230">
        <v>2689425919</v>
      </c>
      <c r="C23" s="230" t="s">
        <v>133</v>
      </c>
      <c r="D23" s="230" t="s">
        <v>124</v>
      </c>
      <c r="E23" s="230" t="s">
        <v>198</v>
      </c>
      <c r="F23" s="230" t="s">
        <v>3308</v>
      </c>
      <c r="G23" s="230">
        <v>33</v>
      </c>
      <c r="H23" s="230"/>
      <c r="I23" s="230" t="s">
        <v>3309</v>
      </c>
      <c r="J23" s="230" t="s">
        <v>3275</v>
      </c>
      <c r="K23" s="230" t="s">
        <v>3310</v>
      </c>
      <c r="L23" s="235" t="s">
        <v>202</v>
      </c>
      <c r="M23" s="235">
        <v>46026.638194444444</v>
      </c>
      <c r="N23" s="230" t="s">
        <v>3289</v>
      </c>
      <c r="O23" s="233" t="s">
        <v>204</v>
      </c>
      <c r="P23" s="168"/>
      <c r="Q23" s="144" t="s">
        <v>204</v>
      </c>
      <c r="R23" s="143"/>
      <c r="S23" s="144" t="s">
        <v>204</v>
      </c>
      <c r="T23" s="143"/>
      <c r="U23" s="144" t="s">
        <v>204</v>
      </c>
      <c r="V23" s="143"/>
      <c r="W23" s="144" t="s">
        <v>204</v>
      </c>
      <c r="X23" s="59"/>
      <c r="Y23" s="144" t="s">
        <v>204</v>
      </c>
      <c r="Z23" s="186" t="str">
        <f t="shared" si="2"/>
        <v>C</v>
      </c>
      <c r="AA23" s="217" t="str">
        <f t="shared" si="0"/>
        <v>UTILIZOU O PDA CORRETAMENTE</v>
      </c>
      <c r="AB23" s="145" t="s">
        <v>204</v>
      </c>
      <c r="AC23" s="218" t="s">
        <v>6</v>
      </c>
      <c r="AD23" s="151" t="str">
        <f t="shared" si="3"/>
        <v>GUARULHOS</v>
      </c>
      <c r="AE23" s="58" t="s">
        <v>63</v>
      </c>
      <c r="AF23" s="53">
        <v>-4.4000000000000003E-3</v>
      </c>
      <c r="AG23" s="53" t="str" cm="1">
        <f t="array" ref="AG23">IF(OR(O23&lt;&gt;"", SUMPRODUCT(($AH$2:$AH$4999=AH23)*($AF$2:$AF$4999&lt;=AF23)) &lt;= (COUNTIF($AH$2:$AH$4999,AH23)*0.3)), "SORTEADO", "-")</f>
        <v>SORTEADO</v>
      </c>
      <c r="AH23" s="257" t="str">
        <f t="shared" si="1"/>
        <v>01/04/2026</v>
      </c>
    </row>
    <row r="24" spans="1:34" ht="30" customHeight="1" x14ac:dyDescent="0.2">
      <c r="A24" s="230" t="s">
        <v>197</v>
      </c>
      <c r="B24" s="230">
        <v>2689425926</v>
      </c>
      <c r="C24" s="230" t="s">
        <v>129</v>
      </c>
      <c r="D24" s="230" t="s">
        <v>124</v>
      </c>
      <c r="E24" s="230" t="s">
        <v>198</v>
      </c>
      <c r="F24" s="230" t="s">
        <v>319</v>
      </c>
      <c r="G24" s="230">
        <v>60</v>
      </c>
      <c r="H24" s="230" t="s">
        <v>206</v>
      </c>
      <c r="I24" s="230" t="s">
        <v>320</v>
      </c>
      <c r="J24" s="230" t="s">
        <v>3307</v>
      </c>
      <c r="K24" s="230" t="s">
        <v>213</v>
      </c>
      <c r="L24" s="235" t="s">
        <v>202</v>
      </c>
      <c r="M24" s="235">
        <v>46026.684027777781</v>
      </c>
      <c r="N24" s="230" t="s">
        <v>322</v>
      </c>
      <c r="O24" s="233" t="s">
        <v>204</v>
      </c>
      <c r="P24" s="168"/>
      <c r="Q24" s="144" t="s">
        <v>204</v>
      </c>
      <c r="R24" s="143"/>
      <c r="S24" s="144" t="s">
        <v>204</v>
      </c>
      <c r="T24" s="143"/>
      <c r="U24" s="144" t="s">
        <v>204</v>
      </c>
      <c r="V24" s="143"/>
      <c r="W24" s="144" t="s">
        <v>204</v>
      </c>
      <c r="X24" s="59"/>
      <c r="Y24" s="144" t="s">
        <v>204</v>
      </c>
      <c r="Z24" s="186" t="str">
        <f t="shared" si="2"/>
        <v>C</v>
      </c>
      <c r="AA24" s="217" t="str">
        <f t="shared" si="0"/>
        <v>UTILIZOU O PDA CORRETAMENTE</v>
      </c>
      <c r="AB24" s="145" t="s">
        <v>204</v>
      </c>
      <c r="AC24" s="218" t="s">
        <v>6</v>
      </c>
      <c r="AD24" s="151" t="str">
        <f t="shared" si="3"/>
        <v>GUARULHOS</v>
      </c>
      <c r="AE24" s="58" t="s">
        <v>63</v>
      </c>
      <c r="AF24" s="53">
        <v>-4.5999999999999999E-3</v>
      </c>
      <c r="AG24" s="53" t="str" cm="1">
        <f t="array" ref="AG24">IF(OR(O24&lt;&gt;"", SUMPRODUCT(($AH$2:$AH$4999=AH24)*($AF$2:$AF$4999&lt;=AF24)) &lt;= (COUNTIF($AH$2:$AH$4999,AH24)*0.3)), "SORTEADO", "-")</f>
        <v>SORTEADO</v>
      </c>
      <c r="AH24" s="257" t="str">
        <f t="shared" si="1"/>
        <v>01/04/2026</v>
      </c>
    </row>
    <row r="25" spans="1:34" ht="30" customHeight="1" x14ac:dyDescent="0.2">
      <c r="A25" s="230" t="s">
        <v>197</v>
      </c>
      <c r="B25" s="230">
        <v>2613880368</v>
      </c>
      <c r="C25" s="230" t="s">
        <v>129</v>
      </c>
      <c r="D25" s="230" t="s">
        <v>124</v>
      </c>
      <c r="E25" s="230" t="s">
        <v>198</v>
      </c>
      <c r="F25" s="230" t="s">
        <v>3311</v>
      </c>
      <c r="G25" s="230">
        <v>404</v>
      </c>
      <c r="H25" s="230" t="s">
        <v>3312</v>
      </c>
      <c r="I25" s="230" t="s">
        <v>269</v>
      </c>
      <c r="J25" s="230" t="s">
        <v>3307</v>
      </c>
      <c r="K25" s="230" t="s">
        <v>3313</v>
      </c>
      <c r="L25" s="235" t="s">
        <v>202</v>
      </c>
      <c r="M25" s="235">
        <v>46026.650694444441</v>
      </c>
      <c r="N25" s="230" t="s">
        <v>615</v>
      </c>
      <c r="O25" s="233" t="s">
        <v>204</v>
      </c>
      <c r="P25" s="168"/>
      <c r="Q25" s="144" t="s">
        <v>204</v>
      </c>
      <c r="R25" s="143"/>
      <c r="S25" s="144" t="s">
        <v>204</v>
      </c>
      <c r="T25" s="143"/>
      <c r="U25" s="144" t="s">
        <v>204</v>
      </c>
      <c r="V25" s="143"/>
      <c r="W25" s="144" t="s">
        <v>204</v>
      </c>
      <c r="X25" s="59"/>
      <c r="Y25" s="144" t="s">
        <v>204</v>
      </c>
      <c r="Z25" s="186" t="str">
        <f t="shared" si="2"/>
        <v>C</v>
      </c>
      <c r="AA25" s="217" t="str">
        <f t="shared" si="0"/>
        <v>UTILIZOU O PDA CORRETAMENTE</v>
      </c>
      <c r="AB25" s="145" t="s">
        <v>204</v>
      </c>
      <c r="AC25" s="218" t="s">
        <v>6</v>
      </c>
      <c r="AD25" s="151" t="str">
        <f t="shared" si="3"/>
        <v>GUARULHOS</v>
      </c>
      <c r="AE25" s="58" t="s">
        <v>63</v>
      </c>
      <c r="AF25" s="53">
        <v>-4.7999999999999996E-3</v>
      </c>
      <c r="AG25" s="53" t="str" cm="1">
        <f t="array" ref="AG25">IF(OR(O25&lt;&gt;"", SUMPRODUCT(($AH$2:$AH$4999=AH25)*($AF$2:$AF$4999&lt;=AF25)) &lt;= (COUNTIF($AH$2:$AH$4999,AH25)*0.3)), "SORTEADO", "-")</f>
        <v>SORTEADO</v>
      </c>
      <c r="AH25" s="257" t="str">
        <f t="shared" si="1"/>
        <v>01/04/2026</v>
      </c>
    </row>
    <row r="26" spans="1:34" ht="30" customHeight="1" x14ac:dyDescent="0.2">
      <c r="A26" s="230" t="s">
        <v>197</v>
      </c>
      <c r="B26" s="230">
        <v>2689433097</v>
      </c>
      <c r="C26" s="230" t="s">
        <v>127</v>
      </c>
      <c r="D26" s="230" t="s">
        <v>63</v>
      </c>
      <c r="E26" s="230" t="s">
        <v>198</v>
      </c>
      <c r="F26" s="230" t="s">
        <v>3314</v>
      </c>
      <c r="G26" s="230">
        <v>371</v>
      </c>
      <c r="H26" s="230" t="s">
        <v>3315</v>
      </c>
      <c r="I26" s="230" t="s">
        <v>787</v>
      </c>
      <c r="J26" s="230" t="s">
        <v>3275</v>
      </c>
      <c r="K26" s="230" t="s">
        <v>213</v>
      </c>
      <c r="L26" s="235" t="s">
        <v>332</v>
      </c>
      <c r="M26" s="235">
        <v>46057.378472222219</v>
      </c>
      <c r="N26" s="230" t="s">
        <v>3296</v>
      </c>
      <c r="O26" s="233" t="s">
        <v>204</v>
      </c>
      <c r="P26" s="168"/>
      <c r="Q26" s="144" t="s">
        <v>204</v>
      </c>
      <c r="R26" s="143"/>
      <c r="S26" s="144" t="s">
        <v>204</v>
      </c>
      <c r="T26" s="143"/>
      <c r="U26" s="144" t="s">
        <v>204</v>
      </c>
      <c r="V26" s="143"/>
      <c r="W26" s="144" t="s">
        <v>204</v>
      </c>
      <c r="X26" s="59"/>
      <c r="Y26" s="144" t="s">
        <v>204</v>
      </c>
      <c r="Z26" s="186" t="str">
        <f t="shared" si="2"/>
        <v>C</v>
      </c>
      <c r="AA26" s="217" t="str">
        <f t="shared" si="0"/>
        <v>UTILIZOU O PDA CORRETAMENTE</v>
      </c>
      <c r="AB26" s="145" t="s">
        <v>204</v>
      </c>
      <c r="AC26" s="218" t="s">
        <v>6</v>
      </c>
      <c r="AD26" s="151" t="str">
        <f t="shared" si="3"/>
        <v>GUARULHOS</v>
      </c>
      <c r="AE26" s="58" t="s">
        <v>63</v>
      </c>
      <c r="AF26" s="53">
        <v>-5.0000000000000001E-3</v>
      </c>
      <c r="AG26" s="53" t="str" cm="1">
        <f t="array" ref="AG26">IF(OR(O26&lt;&gt;"", SUMPRODUCT(($AH$2:$AH$4999=AH26)*($AF$2:$AF$4999&lt;=AF26)) &lt;= (COUNTIF($AH$2:$AH$4999,AH26)*0.3)), "SORTEADO", "-")</f>
        <v>SORTEADO</v>
      </c>
      <c r="AH26" s="257" t="str">
        <f t="shared" si="1"/>
        <v>02/04/2026</v>
      </c>
    </row>
    <row r="27" spans="1:34" ht="30" customHeight="1" x14ac:dyDescent="0.2">
      <c r="A27" s="230" t="s">
        <v>197</v>
      </c>
      <c r="B27" s="230">
        <v>2689441345</v>
      </c>
      <c r="C27" s="230" t="s">
        <v>127</v>
      </c>
      <c r="D27" s="230" t="s">
        <v>63</v>
      </c>
      <c r="E27" s="230" t="s">
        <v>198</v>
      </c>
      <c r="F27" s="230" t="s">
        <v>2668</v>
      </c>
      <c r="G27" s="230">
        <v>492</v>
      </c>
      <c r="H27" s="230" t="s">
        <v>3316</v>
      </c>
      <c r="I27" s="230" t="s">
        <v>466</v>
      </c>
      <c r="J27" s="230" t="s">
        <v>3275</v>
      </c>
      <c r="K27" s="230"/>
      <c r="L27" s="235" t="s">
        <v>332</v>
      </c>
      <c r="M27" s="235">
        <v>46057.513888888891</v>
      </c>
      <c r="N27" s="230" t="s">
        <v>3296</v>
      </c>
      <c r="O27" s="233" t="s">
        <v>204</v>
      </c>
      <c r="P27" s="168"/>
      <c r="Q27" s="144" t="s">
        <v>204</v>
      </c>
      <c r="R27" s="143"/>
      <c r="S27" s="144" t="s">
        <v>204</v>
      </c>
      <c r="T27" s="143"/>
      <c r="U27" s="144" t="s">
        <v>204</v>
      </c>
      <c r="V27" s="143"/>
      <c r="W27" s="144" t="s">
        <v>204</v>
      </c>
      <c r="X27" s="59"/>
      <c r="Y27" s="144" t="s">
        <v>204</v>
      </c>
      <c r="Z27" s="186" t="str">
        <f t="shared" si="2"/>
        <v>C</v>
      </c>
      <c r="AA27" s="217" t="str">
        <f t="shared" si="0"/>
        <v>UTILIZOU O PDA CORRETAMENTE</v>
      </c>
      <c r="AB27" s="145" t="s">
        <v>204</v>
      </c>
      <c r="AC27" s="218" t="s">
        <v>6</v>
      </c>
      <c r="AD27" s="151" t="str">
        <f t="shared" si="3"/>
        <v>GUARULHOS</v>
      </c>
      <c r="AE27" s="58" t="s">
        <v>63</v>
      </c>
      <c r="AF27" s="53">
        <v>-5.1999999999999998E-3</v>
      </c>
      <c r="AG27" s="53" t="str" cm="1">
        <f t="array" ref="AG27">IF(OR(O27&lt;&gt;"", SUMPRODUCT(($AH$2:$AH$4999=AH27)*($AF$2:$AF$4999&lt;=AF27)) &lt;= (COUNTIF($AH$2:$AH$4999,AH27)*0.3)), "SORTEADO", "-")</f>
        <v>SORTEADO</v>
      </c>
      <c r="AH27" s="257" t="str">
        <f t="shared" si="1"/>
        <v>02/04/2026</v>
      </c>
    </row>
    <row r="28" spans="1:34" ht="30" customHeight="1" x14ac:dyDescent="0.2">
      <c r="A28" s="230" t="s">
        <v>197</v>
      </c>
      <c r="B28" s="230">
        <v>2613880211</v>
      </c>
      <c r="C28" s="230" t="s">
        <v>127</v>
      </c>
      <c r="D28" s="230" t="s">
        <v>63</v>
      </c>
      <c r="E28" s="230" t="s">
        <v>198</v>
      </c>
      <c r="F28" s="230" t="s">
        <v>3317</v>
      </c>
      <c r="G28" s="230">
        <v>181</v>
      </c>
      <c r="H28" s="230" t="s">
        <v>217</v>
      </c>
      <c r="I28" s="230" t="s">
        <v>335</v>
      </c>
      <c r="J28" s="230" t="s">
        <v>3275</v>
      </c>
      <c r="K28" s="230" t="s">
        <v>213</v>
      </c>
      <c r="L28" s="235" t="s">
        <v>332</v>
      </c>
      <c r="M28" s="235">
        <v>46057.500694444447</v>
      </c>
      <c r="N28" s="230" t="s">
        <v>3276</v>
      </c>
      <c r="O28" s="233" t="s">
        <v>204</v>
      </c>
      <c r="P28" s="168"/>
      <c r="Q28" s="144" t="s">
        <v>204</v>
      </c>
      <c r="R28" s="143"/>
      <c r="S28" s="144" t="s">
        <v>204</v>
      </c>
      <c r="T28" s="143"/>
      <c r="U28" s="144" t="s">
        <v>204</v>
      </c>
      <c r="V28" s="143"/>
      <c r="W28" s="144" t="s">
        <v>204</v>
      </c>
      <c r="X28" s="59"/>
      <c r="Y28" s="144" t="s">
        <v>204</v>
      </c>
      <c r="Z28" s="186" t="str">
        <f t="shared" si="2"/>
        <v>C</v>
      </c>
      <c r="AA28" s="217" t="str">
        <f t="shared" si="0"/>
        <v>UTILIZOU O PDA CORRETAMENTE</v>
      </c>
      <c r="AB28" s="145" t="s">
        <v>204</v>
      </c>
      <c r="AC28" s="218" t="s">
        <v>6</v>
      </c>
      <c r="AD28" s="151" t="str">
        <f t="shared" si="3"/>
        <v>GUARULHOS</v>
      </c>
      <c r="AE28" s="58" t="s">
        <v>63</v>
      </c>
      <c r="AF28" s="53">
        <v>-5.4000000000000003E-3</v>
      </c>
      <c r="AG28" s="53" t="str" cm="1">
        <f t="array" ref="AG28">IF(OR(O28&lt;&gt;"", SUMPRODUCT(($AH$2:$AH$4999=AH28)*($AF$2:$AF$4999&lt;=AF28)) &lt;= (COUNTIF($AH$2:$AH$4999,AH28)*0.3)), "SORTEADO", "-")</f>
        <v>SORTEADO</v>
      </c>
      <c r="AH28" s="257" t="str">
        <f t="shared" si="1"/>
        <v>02/04/2026</v>
      </c>
    </row>
    <row r="29" spans="1:34" ht="30" customHeight="1" x14ac:dyDescent="0.2">
      <c r="A29" s="230" t="s">
        <v>197</v>
      </c>
      <c r="B29" s="230">
        <v>2689471373</v>
      </c>
      <c r="C29" s="230" t="s">
        <v>127</v>
      </c>
      <c r="D29" s="230" t="s">
        <v>63</v>
      </c>
      <c r="E29" s="230" t="s">
        <v>198</v>
      </c>
      <c r="F29" s="230" t="s">
        <v>520</v>
      </c>
      <c r="G29" s="230">
        <v>3</v>
      </c>
      <c r="H29" s="230" t="s">
        <v>213</v>
      </c>
      <c r="I29" s="230" t="s">
        <v>521</v>
      </c>
      <c r="J29" s="230" t="s">
        <v>3275</v>
      </c>
      <c r="K29" s="230" t="s">
        <v>213</v>
      </c>
      <c r="L29" s="235" t="s">
        <v>332</v>
      </c>
      <c r="M29" s="235">
        <v>46057.456944444442</v>
      </c>
      <c r="N29" s="230" t="s">
        <v>819</v>
      </c>
      <c r="O29" s="233" t="s">
        <v>204</v>
      </c>
      <c r="P29" s="168"/>
      <c r="Q29" s="144" t="s">
        <v>204</v>
      </c>
      <c r="R29" s="143"/>
      <c r="S29" s="144" t="s">
        <v>204</v>
      </c>
      <c r="T29" s="143"/>
      <c r="U29" s="144" t="s">
        <v>204</v>
      </c>
      <c r="V29" s="143"/>
      <c r="W29" s="144" t="s">
        <v>204</v>
      </c>
      <c r="X29" s="59"/>
      <c r="Y29" s="144" t="s">
        <v>204</v>
      </c>
      <c r="Z29" s="186" t="str">
        <f t="shared" si="2"/>
        <v>C</v>
      </c>
      <c r="AA29" s="217" t="str">
        <f t="shared" si="0"/>
        <v>UTILIZOU O PDA CORRETAMENTE</v>
      </c>
      <c r="AB29" s="145" t="s">
        <v>204</v>
      </c>
      <c r="AC29" s="218" t="s">
        <v>6</v>
      </c>
      <c r="AD29" s="151" t="str">
        <f t="shared" si="3"/>
        <v>GUARULHOS</v>
      </c>
      <c r="AE29" s="58" t="s">
        <v>63</v>
      </c>
      <c r="AF29" s="53">
        <v>-5.5999999999999999E-3</v>
      </c>
      <c r="AG29" s="53" t="str" cm="1">
        <f t="array" ref="AG29">IF(OR(O29&lt;&gt;"", SUMPRODUCT(($AH$2:$AH$4999=AH29)*($AF$2:$AF$4999&lt;=AF29)) &lt;= (COUNTIF($AH$2:$AH$4999,AH29)*0.3)), "SORTEADO", "-")</f>
        <v>SORTEADO</v>
      </c>
      <c r="AH29" s="257" t="str">
        <f t="shared" si="1"/>
        <v>02/04/2026</v>
      </c>
    </row>
    <row r="30" spans="1:34" ht="30" customHeight="1" x14ac:dyDescent="0.2">
      <c r="A30" s="230" t="s">
        <v>197</v>
      </c>
      <c r="B30" s="230">
        <v>2689468067</v>
      </c>
      <c r="C30" s="230" t="s">
        <v>127</v>
      </c>
      <c r="D30" s="230" t="s">
        <v>63</v>
      </c>
      <c r="E30" s="230" t="s">
        <v>198</v>
      </c>
      <c r="F30" s="230" t="s">
        <v>3318</v>
      </c>
      <c r="G30" s="230">
        <v>382</v>
      </c>
      <c r="H30" s="230" t="s">
        <v>3319</v>
      </c>
      <c r="I30" s="230" t="s">
        <v>531</v>
      </c>
      <c r="J30" s="230" t="s">
        <v>3275</v>
      </c>
      <c r="K30" s="230"/>
      <c r="L30" s="235" t="s">
        <v>332</v>
      </c>
      <c r="M30" s="235">
        <v>46057.415277777778</v>
      </c>
      <c r="N30" s="230" t="s">
        <v>819</v>
      </c>
      <c r="O30" s="233" t="s">
        <v>204</v>
      </c>
      <c r="P30" s="168"/>
      <c r="Q30" s="144" t="s">
        <v>204</v>
      </c>
      <c r="R30" s="143"/>
      <c r="S30" s="144" t="s">
        <v>204</v>
      </c>
      <c r="T30" s="143"/>
      <c r="U30" s="144" t="s">
        <v>204</v>
      </c>
      <c r="V30" s="143"/>
      <c r="W30" s="144" t="s">
        <v>204</v>
      </c>
      <c r="X30" s="59"/>
      <c r="Y30" s="144" t="s">
        <v>204</v>
      </c>
      <c r="Z30" s="186" t="str">
        <f t="shared" si="2"/>
        <v>C</v>
      </c>
      <c r="AA30" s="217" t="str">
        <f t="shared" si="0"/>
        <v>UTILIZOU O PDA CORRETAMENTE</v>
      </c>
      <c r="AB30" s="145" t="s">
        <v>204</v>
      </c>
      <c r="AC30" s="218" t="s">
        <v>6</v>
      </c>
      <c r="AD30" s="151" t="str">
        <f t="shared" si="3"/>
        <v>GUARULHOS</v>
      </c>
      <c r="AE30" s="58" t="s">
        <v>63</v>
      </c>
      <c r="AF30" s="53">
        <v>-5.7999999999999996E-3</v>
      </c>
      <c r="AG30" s="53" t="str" cm="1">
        <f t="array" ref="AG30">IF(OR(O30&lt;&gt;"", SUMPRODUCT(($AH$2:$AH$4999=AH30)*($AF$2:$AF$4999&lt;=AF30)) &lt;= (COUNTIF($AH$2:$AH$4999,AH30)*0.3)), "SORTEADO", "-")</f>
        <v>SORTEADO</v>
      </c>
      <c r="AH30" s="257" t="str">
        <f t="shared" si="1"/>
        <v>02/04/2026</v>
      </c>
    </row>
    <row r="31" spans="1:34" ht="30" customHeight="1" x14ac:dyDescent="0.2">
      <c r="A31" s="230" t="s">
        <v>197</v>
      </c>
      <c r="B31" s="230">
        <v>2689468044</v>
      </c>
      <c r="C31" s="230" t="s">
        <v>127</v>
      </c>
      <c r="D31" s="230" t="s">
        <v>63</v>
      </c>
      <c r="E31" s="230" t="s">
        <v>198</v>
      </c>
      <c r="F31" s="230" t="s">
        <v>3320</v>
      </c>
      <c r="G31" s="230">
        <v>90</v>
      </c>
      <c r="H31" s="230" t="s">
        <v>3321</v>
      </c>
      <c r="I31" s="230" t="s">
        <v>531</v>
      </c>
      <c r="J31" s="230" t="s">
        <v>3275</v>
      </c>
      <c r="K31" s="230" t="s">
        <v>213</v>
      </c>
      <c r="L31" s="235" t="s">
        <v>332</v>
      </c>
      <c r="M31" s="235">
        <v>46057.38958333333</v>
      </c>
      <c r="N31" s="230" t="s">
        <v>819</v>
      </c>
      <c r="O31" s="233" t="s">
        <v>204</v>
      </c>
      <c r="P31" s="168"/>
      <c r="Q31" s="144" t="s">
        <v>204</v>
      </c>
      <c r="R31" s="143"/>
      <c r="S31" s="144" t="s">
        <v>204</v>
      </c>
      <c r="T31" s="143"/>
      <c r="U31" s="144" t="s">
        <v>204</v>
      </c>
      <c r="V31" s="143"/>
      <c r="W31" s="144" t="s">
        <v>204</v>
      </c>
      <c r="X31" s="59"/>
      <c r="Y31" s="144" t="s">
        <v>204</v>
      </c>
      <c r="Z31" s="186" t="str">
        <f t="shared" si="2"/>
        <v>C</v>
      </c>
      <c r="AA31" s="217" t="str">
        <f t="shared" si="0"/>
        <v>UTILIZOU O PDA CORRETAMENTE</v>
      </c>
      <c r="AB31" s="145" t="s">
        <v>204</v>
      </c>
      <c r="AC31" s="218" t="s">
        <v>6</v>
      </c>
      <c r="AD31" s="151" t="str">
        <f t="shared" si="3"/>
        <v>GUARULHOS</v>
      </c>
      <c r="AE31" s="58" t="s">
        <v>63</v>
      </c>
      <c r="AF31" s="53">
        <v>-6.0000000000000001E-3</v>
      </c>
      <c r="AG31" s="53" t="str" cm="1">
        <f t="array" ref="AG31">IF(OR(O31&lt;&gt;"", SUMPRODUCT(($AH$2:$AH$4999=AH31)*($AF$2:$AF$4999&lt;=AF31)) &lt;= (COUNTIF($AH$2:$AH$4999,AH31)*0.3)), "SORTEADO", "-")</f>
        <v>SORTEADO</v>
      </c>
      <c r="AH31" s="257" t="str">
        <f t="shared" si="1"/>
        <v>02/04/2026</v>
      </c>
    </row>
    <row r="32" spans="1:34" ht="30" customHeight="1" x14ac:dyDescent="0.2">
      <c r="A32" s="230" t="s">
        <v>197</v>
      </c>
      <c r="B32" s="230">
        <v>2613871820</v>
      </c>
      <c r="C32" s="230" t="s">
        <v>135</v>
      </c>
      <c r="D32" s="230" t="s">
        <v>124</v>
      </c>
      <c r="E32" s="230" t="s">
        <v>198</v>
      </c>
      <c r="F32" s="230" t="s">
        <v>3322</v>
      </c>
      <c r="G32" s="230">
        <v>200</v>
      </c>
      <c r="H32" s="230"/>
      <c r="I32" s="230" t="s">
        <v>3195</v>
      </c>
      <c r="J32" s="230" t="s">
        <v>3280</v>
      </c>
      <c r="K32" s="230" t="s">
        <v>681</v>
      </c>
      <c r="L32" s="235" t="s">
        <v>332</v>
      </c>
      <c r="M32" s="235">
        <v>46057.588194444441</v>
      </c>
      <c r="N32" s="230" t="s">
        <v>215</v>
      </c>
      <c r="O32" s="233" t="s">
        <v>204</v>
      </c>
      <c r="P32" s="168"/>
      <c r="Q32" s="144" t="s">
        <v>204</v>
      </c>
      <c r="R32" s="143"/>
      <c r="S32" s="144" t="s">
        <v>204</v>
      </c>
      <c r="T32" s="143"/>
      <c r="U32" s="144" t="s">
        <v>204</v>
      </c>
      <c r="V32" s="143"/>
      <c r="W32" s="144" t="s">
        <v>204</v>
      </c>
      <c r="X32" s="59"/>
      <c r="Y32" s="144" t="s">
        <v>204</v>
      </c>
      <c r="Z32" s="186" t="str">
        <f t="shared" si="2"/>
        <v>C</v>
      </c>
      <c r="AA32" s="217" t="str">
        <f t="shared" si="0"/>
        <v>UTILIZOU O PDA CORRETAMENTE</v>
      </c>
      <c r="AB32" s="145" t="s">
        <v>204</v>
      </c>
      <c r="AC32" s="218" t="s">
        <v>6</v>
      </c>
      <c r="AD32" s="151" t="str">
        <f t="shared" si="3"/>
        <v>GUARULHOS</v>
      </c>
      <c r="AE32" s="58" t="s">
        <v>63</v>
      </c>
      <c r="AF32" s="53">
        <v>-6.1999999999999998E-3</v>
      </c>
      <c r="AG32" s="53" t="str" cm="1">
        <f t="array" ref="AG32">IF(OR(O32&lt;&gt;"", SUMPRODUCT(($AH$2:$AH$4999=AH32)*($AF$2:$AF$4999&lt;=AF32)) &lt;= (COUNTIF($AH$2:$AH$4999,AH32)*0.3)), "SORTEADO", "-")</f>
        <v>SORTEADO</v>
      </c>
      <c r="AH32" s="257" t="str">
        <f t="shared" si="1"/>
        <v>02/04/2026</v>
      </c>
    </row>
    <row r="33" spans="1:34" ht="30" customHeight="1" x14ac:dyDescent="0.2">
      <c r="A33" s="230" t="s">
        <v>197</v>
      </c>
      <c r="B33" s="230">
        <v>2613890393</v>
      </c>
      <c r="C33" s="230" t="s">
        <v>135</v>
      </c>
      <c r="D33" s="230" t="s">
        <v>124</v>
      </c>
      <c r="E33" s="230" t="s">
        <v>198</v>
      </c>
      <c r="F33" s="230" t="s">
        <v>3323</v>
      </c>
      <c r="G33" s="230">
        <v>6</v>
      </c>
      <c r="H33" s="230" t="s">
        <v>213</v>
      </c>
      <c r="I33" s="230" t="s">
        <v>3324</v>
      </c>
      <c r="J33" s="230" t="s">
        <v>3280</v>
      </c>
      <c r="K33" s="230" t="s">
        <v>213</v>
      </c>
      <c r="L33" s="235" t="s">
        <v>332</v>
      </c>
      <c r="M33" s="235">
        <v>46057.568055555559</v>
      </c>
      <c r="N33" s="230" t="s">
        <v>215</v>
      </c>
      <c r="O33" s="233" t="s">
        <v>204</v>
      </c>
      <c r="P33" s="168"/>
      <c r="Q33" s="144" t="s">
        <v>204</v>
      </c>
      <c r="R33" s="143"/>
      <c r="S33" s="144" t="s">
        <v>204</v>
      </c>
      <c r="T33" s="143"/>
      <c r="U33" s="144" t="s">
        <v>204</v>
      </c>
      <c r="V33" s="143"/>
      <c r="W33" s="144" t="s">
        <v>204</v>
      </c>
      <c r="X33" s="59"/>
      <c r="Y33" s="144" t="s">
        <v>204</v>
      </c>
      <c r="Z33" s="186" t="str">
        <f t="shared" si="2"/>
        <v>C</v>
      </c>
      <c r="AA33" s="217" t="str">
        <f t="shared" si="0"/>
        <v>UTILIZOU O PDA CORRETAMENTE</v>
      </c>
      <c r="AB33" s="145" t="s">
        <v>204</v>
      </c>
      <c r="AC33" s="218" t="s">
        <v>6</v>
      </c>
      <c r="AD33" s="151" t="str">
        <f t="shared" si="3"/>
        <v>GUARULHOS</v>
      </c>
      <c r="AE33" s="58" t="s">
        <v>63</v>
      </c>
      <c r="AF33" s="53">
        <v>-6.4000000000000003E-3</v>
      </c>
      <c r="AG33" s="53" t="str" cm="1">
        <f t="array" ref="AG33">IF(OR(O33&lt;&gt;"", SUMPRODUCT(($AH$2:$AH$4999=AH33)*($AF$2:$AF$4999&lt;=AF33)) &lt;= (COUNTIF($AH$2:$AH$4999,AH33)*0.3)), "SORTEADO", "-")</f>
        <v>SORTEADO</v>
      </c>
      <c r="AH33" s="257" t="str">
        <f t="shared" si="1"/>
        <v>02/04/2026</v>
      </c>
    </row>
    <row r="34" spans="1:34" ht="30" customHeight="1" x14ac:dyDescent="0.2">
      <c r="A34" s="230" t="s">
        <v>197</v>
      </c>
      <c r="B34" s="230">
        <v>2689440365</v>
      </c>
      <c r="C34" s="230" t="s">
        <v>133</v>
      </c>
      <c r="D34" s="230" t="s">
        <v>124</v>
      </c>
      <c r="E34" s="230" t="s">
        <v>198</v>
      </c>
      <c r="F34" s="230" t="s">
        <v>3325</v>
      </c>
      <c r="G34" s="230">
        <v>338</v>
      </c>
      <c r="H34" s="230" t="s">
        <v>3326</v>
      </c>
      <c r="I34" s="230" t="s">
        <v>1744</v>
      </c>
      <c r="J34" s="230" t="s">
        <v>3275</v>
      </c>
      <c r="K34" s="230" t="s">
        <v>2990</v>
      </c>
      <c r="L34" s="235" t="s">
        <v>332</v>
      </c>
      <c r="M34" s="235">
        <v>46057.384722222225</v>
      </c>
      <c r="N34" s="230" t="s">
        <v>3282</v>
      </c>
      <c r="O34" s="233" t="s">
        <v>204</v>
      </c>
      <c r="P34" s="168"/>
      <c r="Q34" s="144" t="s">
        <v>204</v>
      </c>
      <c r="R34" s="143"/>
      <c r="S34" s="144" t="s">
        <v>204</v>
      </c>
      <c r="T34" s="143"/>
      <c r="U34" s="144" t="s">
        <v>204</v>
      </c>
      <c r="V34" s="143"/>
      <c r="W34" s="144" t="s">
        <v>204</v>
      </c>
      <c r="X34" s="59"/>
      <c r="Y34" s="144" t="s">
        <v>204</v>
      </c>
      <c r="Z34" s="186" t="str">
        <f t="shared" si="2"/>
        <v>C</v>
      </c>
      <c r="AA34" s="217" t="str">
        <f t="shared" si="0"/>
        <v>UTILIZOU O PDA CORRETAMENTE</v>
      </c>
      <c r="AB34" s="145" t="s">
        <v>204</v>
      </c>
      <c r="AC34" s="218" t="s">
        <v>6</v>
      </c>
      <c r="AD34" s="151" t="str">
        <f t="shared" si="3"/>
        <v>GUARULHOS</v>
      </c>
      <c r="AE34" s="58" t="s">
        <v>63</v>
      </c>
      <c r="AF34" s="53">
        <v>-6.6E-3</v>
      </c>
      <c r="AG34" s="53" t="str" cm="1">
        <f t="array" ref="AG34">IF(OR(O34&lt;&gt;"", SUMPRODUCT(($AH$2:$AH$4999=AH34)*($AF$2:$AF$4999&lt;=AF34)) &lt;= (COUNTIF($AH$2:$AH$4999,AH34)*0.3)), "SORTEADO", "-")</f>
        <v>SORTEADO</v>
      </c>
      <c r="AH34" s="257" t="str">
        <f t="shared" si="1"/>
        <v>02/04/2026</v>
      </c>
    </row>
    <row r="35" spans="1:34" ht="30" customHeight="1" x14ac:dyDescent="0.2">
      <c r="A35" s="230" t="s">
        <v>197</v>
      </c>
      <c r="B35" s="230">
        <v>2689467383</v>
      </c>
      <c r="C35" s="230" t="s">
        <v>133</v>
      </c>
      <c r="D35" s="230" t="s">
        <v>124</v>
      </c>
      <c r="E35" s="230" t="s">
        <v>198</v>
      </c>
      <c r="F35" s="230" t="s">
        <v>3327</v>
      </c>
      <c r="G35" s="230">
        <v>224</v>
      </c>
      <c r="H35" s="230" t="s">
        <v>1006</v>
      </c>
      <c r="I35" s="230" t="s">
        <v>366</v>
      </c>
      <c r="J35" s="230" t="s">
        <v>3275</v>
      </c>
      <c r="K35" s="230"/>
      <c r="L35" s="235" t="s">
        <v>332</v>
      </c>
      <c r="M35" s="235">
        <v>46057.408333333333</v>
      </c>
      <c r="N35" s="230" t="s">
        <v>3289</v>
      </c>
      <c r="O35" s="233" t="s">
        <v>204</v>
      </c>
      <c r="P35" s="168"/>
      <c r="Q35" s="144" t="s">
        <v>204</v>
      </c>
      <c r="R35" s="143"/>
      <c r="S35" s="144" t="s">
        <v>204</v>
      </c>
      <c r="T35" s="143"/>
      <c r="U35" s="144" t="s">
        <v>204</v>
      </c>
      <c r="V35" s="143"/>
      <c r="W35" s="144" t="s">
        <v>204</v>
      </c>
      <c r="X35" s="59"/>
      <c r="Y35" s="144" t="s">
        <v>204</v>
      </c>
      <c r="Z35" s="186" t="str">
        <f t="shared" si="2"/>
        <v>C</v>
      </c>
      <c r="AA35" s="217" t="str">
        <f t="shared" si="0"/>
        <v>UTILIZOU O PDA CORRETAMENTE</v>
      </c>
      <c r="AB35" s="145" t="s">
        <v>204</v>
      </c>
      <c r="AC35" s="218" t="s">
        <v>6</v>
      </c>
      <c r="AD35" s="151" t="str">
        <f t="shared" si="3"/>
        <v>GUARULHOS</v>
      </c>
      <c r="AE35" s="58" t="s">
        <v>63</v>
      </c>
      <c r="AF35" s="53">
        <v>-6.7999999999999996E-3</v>
      </c>
      <c r="AG35" s="53" t="str" cm="1">
        <f t="array" ref="AG35">IF(OR(O35&lt;&gt;"", SUMPRODUCT(($AH$2:$AH$4999=AH35)*($AF$2:$AF$4999&lt;=AF35)) &lt;= (COUNTIF($AH$2:$AH$4999,AH35)*0.3)), "SORTEADO", "-")</f>
        <v>SORTEADO</v>
      </c>
      <c r="AH35" s="257" t="str">
        <f t="shared" si="1"/>
        <v>02/04/2026</v>
      </c>
    </row>
    <row r="36" spans="1:34" ht="30" customHeight="1" x14ac:dyDescent="0.2">
      <c r="A36" s="230" t="s">
        <v>197</v>
      </c>
      <c r="B36" s="230">
        <v>2689443496</v>
      </c>
      <c r="C36" s="230" t="s">
        <v>133</v>
      </c>
      <c r="D36" s="230" t="s">
        <v>124</v>
      </c>
      <c r="E36" s="230" t="s">
        <v>198</v>
      </c>
      <c r="F36" s="230" t="s">
        <v>2230</v>
      </c>
      <c r="G36" s="230">
        <v>142</v>
      </c>
      <c r="H36" s="230" t="s">
        <v>1182</v>
      </c>
      <c r="I36" s="230" t="s">
        <v>2232</v>
      </c>
      <c r="J36" s="230" t="s">
        <v>3275</v>
      </c>
      <c r="K36" s="230"/>
      <c r="L36" s="235" t="s">
        <v>332</v>
      </c>
      <c r="M36" s="235">
        <v>46057.430555555555</v>
      </c>
      <c r="N36" s="230" t="s">
        <v>294</v>
      </c>
      <c r="O36" s="233" t="s">
        <v>204</v>
      </c>
      <c r="P36" s="168"/>
      <c r="Q36" s="144" t="s">
        <v>204</v>
      </c>
      <c r="R36" s="143"/>
      <c r="S36" s="144" t="s">
        <v>204</v>
      </c>
      <c r="T36" s="143"/>
      <c r="U36" s="144" t="s">
        <v>204</v>
      </c>
      <c r="V36" s="143"/>
      <c r="W36" s="144" t="s">
        <v>204</v>
      </c>
      <c r="X36" s="59"/>
      <c r="Y36" s="144" t="s">
        <v>204</v>
      </c>
      <c r="Z36" s="186" t="str">
        <f t="shared" si="2"/>
        <v>C</v>
      </c>
      <c r="AA36" s="217" t="str">
        <f t="shared" si="0"/>
        <v>UTILIZOU O PDA CORRETAMENTE</v>
      </c>
      <c r="AB36" s="145" t="s">
        <v>204</v>
      </c>
      <c r="AC36" s="218" t="s">
        <v>6</v>
      </c>
      <c r="AD36" s="151" t="str">
        <f t="shared" si="3"/>
        <v>GUARULHOS</v>
      </c>
      <c r="AE36" s="58" t="s">
        <v>63</v>
      </c>
      <c r="AF36" s="53">
        <v>-7.0000000000000001E-3</v>
      </c>
      <c r="AG36" s="53" t="str" cm="1">
        <f t="array" ref="AG36">IF(OR(O36&lt;&gt;"", SUMPRODUCT(($AH$2:$AH$4999=AH36)*($AF$2:$AF$4999&lt;=AF36)) &lt;= (COUNTIF($AH$2:$AH$4999,AH36)*0.3)), "SORTEADO", "-")</f>
        <v>SORTEADO</v>
      </c>
      <c r="AH36" s="257" t="str">
        <f t="shared" si="1"/>
        <v>02/04/2026</v>
      </c>
    </row>
    <row r="37" spans="1:34" ht="30" customHeight="1" x14ac:dyDescent="0.2">
      <c r="A37" s="230" t="s">
        <v>197</v>
      </c>
      <c r="B37" s="230">
        <v>2613907189</v>
      </c>
      <c r="C37" s="230" t="s">
        <v>133</v>
      </c>
      <c r="D37" s="230" t="s">
        <v>124</v>
      </c>
      <c r="E37" s="230" t="s">
        <v>198</v>
      </c>
      <c r="F37" s="230" t="s">
        <v>3328</v>
      </c>
      <c r="G37" s="230">
        <v>382</v>
      </c>
      <c r="H37" s="230" t="s">
        <v>460</v>
      </c>
      <c r="I37" s="230" t="s">
        <v>797</v>
      </c>
      <c r="J37" s="230" t="s">
        <v>3275</v>
      </c>
      <c r="K37" s="230" t="s">
        <v>3329</v>
      </c>
      <c r="L37" s="235" t="s">
        <v>332</v>
      </c>
      <c r="M37" s="235">
        <v>46057.443055555559</v>
      </c>
      <c r="N37" s="230" t="s">
        <v>3289</v>
      </c>
      <c r="O37" s="233" t="s">
        <v>204</v>
      </c>
      <c r="P37" s="168"/>
      <c r="Q37" s="144" t="s">
        <v>204</v>
      </c>
      <c r="R37" s="143"/>
      <c r="S37" s="144" t="s">
        <v>204</v>
      </c>
      <c r="T37" s="143"/>
      <c r="U37" s="144" t="s">
        <v>204</v>
      </c>
      <c r="V37" s="143"/>
      <c r="W37" s="144" t="s">
        <v>204</v>
      </c>
      <c r="X37" s="59"/>
      <c r="Y37" s="144" t="s">
        <v>204</v>
      </c>
      <c r="Z37" s="186" t="str">
        <f t="shared" si="2"/>
        <v>C</v>
      </c>
      <c r="AA37" s="217" t="str">
        <f t="shared" si="0"/>
        <v>UTILIZOU O PDA CORRETAMENTE</v>
      </c>
      <c r="AB37" s="145" t="s">
        <v>204</v>
      </c>
      <c r="AC37" s="218" t="s">
        <v>6</v>
      </c>
      <c r="AD37" s="151" t="str">
        <f t="shared" si="3"/>
        <v>GUARULHOS</v>
      </c>
      <c r="AE37" s="58" t="s">
        <v>63</v>
      </c>
      <c r="AF37" s="53">
        <v>-7.1999999999999998E-3</v>
      </c>
      <c r="AG37" s="53" t="str" cm="1">
        <f t="array" ref="AG37">IF(OR(O37&lt;&gt;"", SUMPRODUCT(($AH$2:$AH$4999=AH37)*($AF$2:$AF$4999&lt;=AF37)) &lt;= (COUNTIF($AH$2:$AH$4999,AH37)*0.3)), "SORTEADO", "-")</f>
        <v>SORTEADO</v>
      </c>
      <c r="AH37" s="257" t="str">
        <f t="shared" si="1"/>
        <v>02/04/2026</v>
      </c>
    </row>
    <row r="38" spans="1:34" ht="30" customHeight="1" x14ac:dyDescent="0.2">
      <c r="A38" s="230" t="s">
        <v>197</v>
      </c>
      <c r="B38" s="230">
        <v>2689499769</v>
      </c>
      <c r="C38" s="230" t="s">
        <v>133</v>
      </c>
      <c r="D38" s="230" t="s">
        <v>124</v>
      </c>
      <c r="E38" s="230" t="s">
        <v>198</v>
      </c>
      <c r="F38" s="230" t="s">
        <v>529</v>
      </c>
      <c r="G38" s="230">
        <v>763</v>
      </c>
      <c r="H38" s="230" t="s">
        <v>3330</v>
      </c>
      <c r="I38" s="230" t="s">
        <v>531</v>
      </c>
      <c r="J38" s="230" t="s">
        <v>3275</v>
      </c>
      <c r="K38" s="230" t="s">
        <v>3303</v>
      </c>
      <c r="L38" s="235" t="s">
        <v>332</v>
      </c>
      <c r="M38" s="235">
        <v>46057.444444444445</v>
      </c>
      <c r="N38" s="230" t="s">
        <v>819</v>
      </c>
      <c r="O38" s="233" t="s">
        <v>204</v>
      </c>
      <c r="P38" s="168"/>
      <c r="Q38" s="144" t="s">
        <v>204</v>
      </c>
      <c r="R38" s="143"/>
      <c r="S38" s="144" t="s">
        <v>204</v>
      </c>
      <c r="T38" s="143"/>
      <c r="U38" s="144" t="s">
        <v>204</v>
      </c>
      <c r="V38" s="143"/>
      <c r="W38" s="144" t="s">
        <v>204</v>
      </c>
      <c r="X38" s="59"/>
      <c r="Y38" s="144" t="s">
        <v>204</v>
      </c>
      <c r="Z38" s="186" t="str">
        <f t="shared" si="2"/>
        <v>C</v>
      </c>
      <c r="AA38" s="217" t="str">
        <f t="shared" si="0"/>
        <v>UTILIZOU O PDA CORRETAMENTE</v>
      </c>
      <c r="AB38" s="145" t="s">
        <v>204</v>
      </c>
      <c r="AC38" s="218" t="s">
        <v>6</v>
      </c>
      <c r="AD38" s="151" t="str">
        <f t="shared" si="3"/>
        <v>GUARULHOS</v>
      </c>
      <c r="AE38" s="58" t="s">
        <v>63</v>
      </c>
      <c r="AF38" s="53">
        <v>-7.4000000000000003E-3</v>
      </c>
      <c r="AG38" s="53" t="str" cm="1">
        <f t="array" ref="AG38">IF(OR(O38&lt;&gt;"", SUMPRODUCT(($AH$2:$AH$4999=AH38)*($AF$2:$AF$4999&lt;=AF38)) &lt;= (COUNTIF($AH$2:$AH$4999,AH38)*0.3)), "SORTEADO", "-")</f>
        <v>SORTEADO</v>
      </c>
      <c r="AH38" s="257" t="str">
        <f t="shared" si="1"/>
        <v>02/04/2026</v>
      </c>
    </row>
    <row r="39" spans="1:34" ht="30" customHeight="1" x14ac:dyDescent="0.2">
      <c r="A39" s="230" t="s">
        <v>197</v>
      </c>
      <c r="B39" s="230">
        <v>2689448656</v>
      </c>
      <c r="C39" s="230" t="s">
        <v>133</v>
      </c>
      <c r="D39" s="230" t="s">
        <v>124</v>
      </c>
      <c r="E39" s="230" t="s">
        <v>198</v>
      </c>
      <c r="F39" s="230" t="s">
        <v>897</v>
      </c>
      <c r="G39" s="230">
        <v>1580</v>
      </c>
      <c r="H39" s="236" t="s">
        <v>3331</v>
      </c>
      <c r="I39" s="230" t="s">
        <v>899</v>
      </c>
      <c r="J39" s="230" t="s">
        <v>3275</v>
      </c>
      <c r="K39" s="230" t="s">
        <v>3332</v>
      </c>
      <c r="L39" s="235" t="s">
        <v>332</v>
      </c>
      <c r="M39" s="235">
        <v>46057.442361111112</v>
      </c>
      <c r="N39" s="230" t="s">
        <v>3282</v>
      </c>
      <c r="O39" s="233" t="s">
        <v>204</v>
      </c>
      <c r="P39" s="168"/>
      <c r="Q39" s="144" t="s">
        <v>204</v>
      </c>
      <c r="R39" s="143"/>
      <c r="S39" s="144" t="s">
        <v>204</v>
      </c>
      <c r="T39" s="143"/>
      <c r="U39" s="144" t="s">
        <v>204</v>
      </c>
      <c r="V39" s="143"/>
      <c r="W39" s="144" t="s">
        <v>204</v>
      </c>
      <c r="X39" s="59"/>
      <c r="Y39" s="144" t="s">
        <v>204</v>
      </c>
      <c r="Z39" s="186" t="str">
        <f t="shared" si="2"/>
        <v>C</v>
      </c>
      <c r="AA39" s="217" t="str">
        <f t="shared" si="0"/>
        <v>UTILIZOU O PDA CORRETAMENTE</v>
      </c>
      <c r="AB39" s="145" t="s">
        <v>204</v>
      </c>
      <c r="AC39" s="218" t="s">
        <v>6</v>
      </c>
      <c r="AD39" s="151" t="str">
        <f t="shared" si="3"/>
        <v>GUARULHOS</v>
      </c>
      <c r="AE39" s="58" t="s">
        <v>63</v>
      </c>
      <c r="AF39" s="53">
        <v>-7.6E-3</v>
      </c>
      <c r="AG39" s="53" t="str" cm="1">
        <f t="array" ref="AG39">IF(OR(O39&lt;&gt;"", SUMPRODUCT(($AH$2:$AH$4999=AH39)*($AF$2:$AF$4999&lt;=AF39)) &lt;= (COUNTIF($AH$2:$AH$4999,AH39)*0.3)), "SORTEADO", "-")</f>
        <v>SORTEADO</v>
      </c>
      <c r="AH39" s="257" t="str">
        <f t="shared" si="1"/>
        <v>02/04/2026</v>
      </c>
    </row>
    <row r="40" spans="1:34" ht="30" customHeight="1" x14ac:dyDescent="0.2">
      <c r="A40" s="230" t="s">
        <v>197</v>
      </c>
      <c r="B40" s="230">
        <v>2689433152</v>
      </c>
      <c r="C40" s="230" t="s">
        <v>133</v>
      </c>
      <c r="D40" s="230" t="s">
        <v>124</v>
      </c>
      <c r="E40" s="230" t="s">
        <v>198</v>
      </c>
      <c r="F40" s="230" t="s">
        <v>861</v>
      </c>
      <c r="G40" s="230">
        <v>404</v>
      </c>
      <c r="H40" s="230" t="s">
        <v>3333</v>
      </c>
      <c r="I40" s="230" t="s">
        <v>411</v>
      </c>
      <c r="J40" s="230" t="s">
        <v>3275</v>
      </c>
      <c r="K40" s="230" t="s">
        <v>3303</v>
      </c>
      <c r="L40" s="235" t="s">
        <v>332</v>
      </c>
      <c r="M40" s="235">
        <v>46057.494444444441</v>
      </c>
      <c r="N40" s="230" t="s">
        <v>819</v>
      </c>
      <c r="O40" s="233" t="s">
        <v>204</v>
      </c>
      <c r="P40" s="168"/>
      <c r="Q40" s="144" t="s">
        <v>204</v>
      </c>
      <c r="R40" s="143"/>
      <c r="S40" s="144" t="s">
        <v>204</v>
      </c>
      <c r="T40" s="143"/>
      <c r="U40" s="144" t="s">
        <v>204</v>
      </c>
      <c r="V40" s="143"/>
      <c r="W40" s="144" t="s">
        <v>204</v>
      </c>
      <c r="X40" s="59"/>
      <c r="Y40" s="144" t="s">
        <v>204</v>
      </c>
      <c r="Z40" s="186" t="str">
        <f t="shared" si="2"/>
        <v>C</v>
      </c>
      <c r="AA40" s="217" t="str">
        <f t="shared" si="0"/>
        <v>UTILIZOU O PDA CORRETAMENTE</v>
      </c>
      <c r="AB40" s="145" t="s">
        <v>204</v>
      </c>
      <c r="AC40" s="218" t="s">
        <v>6</v>
      </c>
      <c r="AD40" s="151" t="str">
        <f t="shared" si="3"/>
        <v>GUARULHOS</v>
      </c>
      <c r="AE40" s="58" t="s">
        <v>63</v>
      </c>
      <c r="AF40" s="53">
        <v>-7.7999999999999996E-3</v>
      </c>
      <c r="AG40" s="53" t="str" cm="1">
        <f t="array" ref="AG40">IF(OR(O40&lt;&gt;"", SUMPRODUCT(($AH$2:$AH$4999=AH40)*($AF$2:$AF$4999&lt;=AF40)) &lt;= (COUNTIF($AH$2:$AH$4999,AH40)*0.3)), "SORTEADO", "-")</f>
        <v>SORTEADO</v>
      </c>
      <c r="AH40" s="257" t="str">
        <f t="shared" si="1"/>
        <v>02/04/2026</v>
      </c>
    </row>
    <row r="41" spans="1:34" ht="30" customHeight="1" x14ac:dyDescent="0.2">
      <c r="A41" s="230" t="s">
        <v>197</v>
      </c>
      <c r="B41" s="230">
        <v>2614063180</v>
      </c>
      <c r="C41" s="230" t="s">
        <v>133</v>
      </c>
      <c r="D41" s="230" t="s">
        <v>124</v>
      </c>
      <c r="E41" s="230" t="s">
        <v>198</v>
      </c>
      <c r="F41" s="230" t="s">
        <v>1804</v>
      </c>
      <c r="G41" s="230">
        <v>74</v>
      </c>
      <c r="H41" s="230" t="s">
        <v>3334</v>
      </c>
      <c r="I41" s="230" t="s">
        <v>3324</v>
      </c>
      <c r="J41" s="230" t="s">
        <v>3275</v>
      </c>
      <c r="K41" s="230" t="s">
        <v>2990</v>
      </c>
      <c r="L41" s="235" t="s">
        <v>332</v>
      </c>
      <c r="M41" s="235">
        <v>46057.631944444445</v>
      </c>
      <c r="N41" s="230" t="s">
        <v>3282</v>
      </c>
      <c r="O41" s="233" t="s">
        <v>204</v>
      </c>
      <c r="P41" s="168"/>
      <c r="Q41" s="144" t="s">
        <v>204</v>
      </c>
      <c r="R41" s="143"/>
      <c r="S41" s="144" t="s">
        <v>204</v>
      </c>
      <c r="T41" s="143"/>
      <c r="U41" s="144" t="s">
        <v>204</v>
      </c>
      <c r="V41" s="143"/>
      <c r="W41" s="144" t="s">
        <v>204</v>
      </c>
      <c r="X41" s="59"/>
      <c r="Y41" s="144" t="s">
        <v>204</v>
      </c>
      <c r="Z41" s="186" t="str">
        <f t="shared" si="2"/>
        <v>C</v>
      </c>
      <c r="AA41" s="217" t="str">
        <f t="shared" si="0"/>
        <v>UTILIZOU O PDA CORRETAMENTE</v>
      </c>
      <c r="AB41" s="145" t="s">
        <v>204</v>
      </c>
      <c r="AC41" s="218" t="s">
        <v>6</v>
      </c>
      <c r="AD41" s="151" t="str">
        <f t="shared" si="3"/>
        <v>GUARULHOS</v>
      </c>
      <c r="AE41" s="58" t="s">
        <v>63</v>
      </c>
      <c r="AF41" s="53">
        <v>-8.0000000000000002E-3</v>
      </c>
      <c r="AG41" s="53" t="str" cm="1">
        <f t="array" ref="AG41">IF(OR(O41&lt;&gt;"", SUMPRODUCT(($AH$2:$AH$4999=AH41)*($AF$2:$AF$4999&lt;=AF41)) &lt;= (COUNTIF($AH$2:$AH$4999,AH41)*0.3)), "SORTEADO", "-")</f>
        <v>SORTEADO</v>
      </c>
      <c r="AH41" s="257" t="str">
        <f t="shared" si="1"/>
        <v>02/04/2026</v>
      </c>
    </row>
    <row r="42" spans="1:34" ht="30" customHeight="1" x14ac:dyDescent="0.2">
      <c r="A42" s="230" t="s">
        <v>197</v>
      </c>
      <c r="B42" s="230">
        <v>2689506208</v>
      </c>
      <c r="C42" s="230" t="s">
        <v>133</v>
      </c>
      <c r="D42" s="230" t="s">
        <v>124</v>
      </c>
      <c r="E42" s="230" t="s">
        <v>198</v>
      </c>
      <c r="F42" s="230" t="s">
        <v>1141</v>
      </c>
      <c r="G42" s="230">
        <v>450</v>
      </c>
      <c r="H42" s="230" t="s">
        <v>276</v>
      </c>
      <c r="I42" s="230" t="s">
        <v>893</v>
      </c>
      <c r="J42" s="230" t="s">
        <v>3275</v>
      </c>
      <c r="K42" s="230" t="s">
        <v>213</v>
      </c>
      <c r="L42" s="235" t="s">
        <v>332</v>
      </c>
      <c r="M42" s="235">
        <v>46057.663888888892</v>
      </c>
      <c r="N42" s="230" t="s">
        <v>3289</v>
      </c>
      <c r="O42" s="233" t="s">
        <v>204</v>
      </c>
      <c r="P42" s="168"/>
      <c r="Q42" s="144" t="s">
        <v>204</v>
      </c>
      <c r="R42" s="143"/>
      <c r="S42" s="144" t="s">
        <v>204</v>
      </c>
      <c r="T42" s="143"/>
      <c r="U42" s="144" t="s">
        <v>204</v>
      </c>
      <c r="V42" s="143"/>
      <c r="W42" s="144" t="s">
        <v>204</v>
      </c>
      <c r="X42" s="59"/>
      <c r="Y42" s="144" t="s">
        <v>204</v>
      </c>
      <c r="Z42" s="186" t="str">
        <f t="shared" si="2"/>
        <v>C</v>
      </c>
      <c r="AA42" s="217" t="str">
        <f t="shared" si="0"/>
        <v>UTILIZOU O PDA CORRETAMENTE</v>
      </c>
      <c r="AB42" s="145" t="s">
        <v>204</v>
      </c>
      <c r="AC42" s="218" t="s">
        <v>6</v>
      </c>
      <c r="AD42" s="151" t="str">
        <f t="shared" si="3"/>
        <v>GUARULHOS</v>
      </c>
      <c r="AE42" s="58" t="s">
        <v>63</v>
      </c>
      <c r="AF42" s="53">
        <v>-8.2000000000000007E-3</v>
      </c>
      <c r="AG42" s="53" t="str" cm="1">
        <f t="array" ref="AG42">IF(OR(O42&lt;&gt;"", SUMPRODUCT(($AH$2:$AH$4999=AH42)*($AF$2:$AF$4999&lt;=AF42)) &lt;= (COUNTIF($AH$2:$AH$4999,AH42)*0.3)), "SORTEADO", "-")</f>
        <v>SORTEADO</v>
      </c>
      <c r="AH42" s="257" t="str">
        <f t="shared" si="1"/>
        <v>02/04/2026</v>
      </c>
    </row>
    <row r="43" spans="1:34" ht="30" customHeight="1" x14ac:dyDescent="0.2">
      <c r="A43" s="230" t="s">
        <v>197</v>
      </c>
      <c r="B43" s="230">
        <v>2689512595</v>
      </c>
      <c r="C43" s="230" t="s">
        <v>133</v>
      </c>
      <c r="D43" s="230" t="s">
        <v>124</v>
      </c>
      <c r="E43" s="230" t="s">
        <v>198</v>
      </c>
      <c r="F43" s="230" t="s">
        <v>1924</v>
      </c>
      <c r="G43" s="230">
        <v>263</v>
      </c>
      <c r="H43" s="230"/>
      <c r="I43" s="230" t="s">
        <v>277</v>
      </c>
      <c r="J43" s="230" t="s">
        <v>3275</v>
      </c>
      <c r="K43" s="230" t="s">
        <v>3303</v>
      </c>
      <c r="L43" s="235" t="s">
        <v>332</v>
      </c>
      <c r="M43" s="235">
        <v>46057.686805555553</v>
      </c>
      <c r="N43" s="230" t="s">
        <v>819</v>
      </c>
      <c r="O43" s="233" t="s">
        <v>204</v>
      </c>
      <c r="P43" s="168"/>
      <c r="Q43" s="144" t="s">
        <v>204</v>
      </c>
      <c r="R43" s="143"/>
      <c r="S43" s="144" t="s">
        <v>204</v>
      </c>
      <c r="T43" s="143"/>
      <c r="U43" s="144" t="s">
        <v>204</v>
      </c>
      <c r="V43" s="143"/>
      <c r="W43" s="144" t="s">
        <v>204</v>
      </c>
      <c r="X43" s="59"/>
      <c r="Y43" s="144" t="s">
        <v>204</v>
      </c>
      <c r="Z43" s="186" t="str">
        <f t="shared" si="2"/>
        <v>C</v>
      </c>
      <c r="AA43" s="217" t="str">
        <f t="shared" si="0"/>
        <v>UTILIZOU O PDA CORRETAMENTE</v>
      </c>
      <c r="AB43" s="145" t="s">
        <v>204</v>
      </c>
      <c r="AC43" s="218" t="s">
        <v>6</v>
      </c>
      <c r="AD43" s="151" t="str">
        <f t="shared" si="3"/>
        <v>GUARULHOS</v>
      </c>
      <c r="AE43" s="58" t="s">
        <v>63</v>
      </c>
      <c r="AF43" s="53">
        <v>-8.3999999999999995E-3</v>
      </c>
      <c r="AG43" s="53" t="str" cm="1">
        <f t="array" ref="AG43">IF(OR(O43&lt;&gt;"", SUMPRODUCT(($AH$2:$AH$4999=AH43)*($AF$2:$AF$4999&lt;=AF43)) &lt;= (COUNTIF($AH$2:$AH$4999,AH43)*0.3)), "SORTEADO", "-")</f>
        <v>SORTEADO</v>
      </c>
      <c r="AH43" s="257" t="str">
        <f t="shared" si="1"/>
        <v>02/04/2026</v>
      </c>
    </row>
    <row r="44" spans="1:34" ht="30" customHeight="1" x14ac:dyDescent="0.2">
      <c r="A44" s="230" t="s">
        <v>197</v>
      </c>
      <c r="B44" s="230">
        <v>2614120224</v>
      </c>
      <c r="C44" s="230" t="s">
        <v>135</v>
      </c>
      <c r="D44" s="230" t="s">
        <v>124</v>
      </c>
      <c r="E44" s="230" t="s">
        <v>198</v>
      </c>
      <c r="F44" s="230" t="s">
        <v>1245</v>
      </c>
      <c r="G44" s="230">
        <v>49</v>
      </c>
      <c r="H44" s="230" t="s">
        <v>362</v>
      </c>
      <c r="I44" s="230" t="s">
        <v>258</v>
      </c>
      <c r="J44" s="230" t="s">
        <v>3280</v>
      </c>
      <c r="K44" s="230" t="s">
        <v>3335</v>
      </c>
      <c r="L44" s="235" t="s">
        <v>407</v>
      </c>
      <c r="M44" s="235">
        <v>46085.570138888892</v>
      </c>
      <c r="N44" s="230" t="s">
        <v>408</v>
      </c>
      <c r="O44" s="233" t="s">
        <v>204</v>
      </c>
      <c r="P44" s="168"/>
      <c r="Q44" s="144" t="s">
        <v>204</v>
      </c>
      <c r="R44" s="143"/>
      <c r="S44" s="144" t="s">
        <v>204</v>
      </c>
      <c r="T44" s="143"/>
      <c r="U44" s="144" t="s">
        <v>204</v>
      </c>
      <c r="V44" s="143"/>
      <c r="W44" s="144" t="s">
        <v>204</v>
      </c>
      <c r="X44" s="59"/>
      <c r="Y44" s="144" t="s">
        <v>204</v>
      </c>
      <c r="Z44" s="186" t="str">
        <f t="shared" si="2"/>
        <v>C</v>
      </c>
      <c r="AA44" s="217" t="str">
        <f t="shared" si="0"/>
        <v>UTILIZOU O PDA CORRETAMENTE</v>
      </c>
      <c r="AB44" s="145" t="s">
        <v>204</v>
      </c>
      <c r="AC44" s="218" t="s">
        <v>6</v>
      </c>
      <c r="AD44" s="151" t="str">
        <f t="shared" si="3"/>
        <v>GUARULHOS</v>
      </c>
      <c r="AE44" s="58" t="s">
        <v>63</v>
      </c>
      <c r="AF44" s="53">
        <v>-8.6E-3</v>
      </c>
      <c r="AG44" s="53" t="str" cm="1">
        <f t="array" ref="AG44">IF(OR(O44&lt;&gt;"", SUMPRODUCT(($AH$2:$AH$4999=AH44)*($AF$2:$AF$4999&lt;=AF44)) &lt;= (COUNTIF($AH$2:$AH$4999,AH44)*0.3)), "SORTEADO", "-")</f>
        <v>SORTEADO</v>
      </c>
      <c r="AH44" s="257" t="str">
        <f t="shared" si="1"/>
        <v>03/04/2026</v>
      </c>
    </row>
    <row r="45" spans="1:34" ht="30" customHeight="1" x14ac:dyDescent="0.2">
      <c r="A45" s="230" t="s">
        <v>197</v>
      </c>
      <c r="B45" s="230">
        <v>2614172872</v>
      </c>
      <c r="C45" s="230" t="s">
        <v>127</v>
      </c>
      <c r="D45" s="230" t="s">
        <v>63</v>
      </c>
      <c r="E45" s="230" t="s">
        <v>198</v>
      </c>
      <c r="F45" s="230" t="s">
        <v>900</v>
      </c>
      <c r="G45" s="230">
        <v>570</v>
      </c>
      <c r="H45" s="230" t="s">
        <v>3336</v>
      </c>
      <c r="I45" s="230" t="s">
        <v>531</v>
      </c>
      <c r="J45" s="230" t="s">
        <v>3275</v>
      </c>
      <c r="K45" s="230" t="s">
        <v>213</v>
      </c>
      <c r="L45" s="235" t="s">
        <v>407</v>
      </c>
      <c r="M45" s="235">
        <v>46085.467361111114</v>
      </c>
      <c r="N45" s="230" t="s">
        <v>819</v>
      </c>
      <c r="O45" s="233" t="s">
        <v>204</v>
      </c>
      <c r="P45" s="168"/>
      <c r="Q45" s="144" t="s">
        <v>204</v>
      </c>
      <c r="R45" s="143"/>
      <c r="S45" s="144" t="s">
        <v>204</v>
      </c>
      <c r="T45" s="143"/>
      <c r="U45" s="144" t="s">
        <v>204</v>
      </c>
      <c r="V45" s="143"/>
      <c r="W45" s="144" t="s">
        <v>204</v>
      </c>
      <c r="X45" s="59"/>
      <c r="Y45" s="144" t="s">
        <v>204</v>
      </c>
      <c r="Z45" s="186" t="str">
        <f t="shared" si="2"/>
        <v>C</v>
      </c>
      <c r="AA45" s="217" t="str">
        <f t="shared" si="0"/>
        <v>UTILIZOU O PDA CORRETAMENTE</v>
      </c>
      <c r="AB45" s="145" t="s">
        <v>204</v>
      </c>
      <c r="AC45" s="218" t="s">
        <v>6</v>
      </c>
      <c r="AD45" s="151" t="str">
        <f t="shared" si="3"/>
        <v>GUARULHOS</v>
      </c>
      <c r="AE45" s="58" t="s">
        <v>63</v>
      </c>
      <c r="AF45" s="53">
        <v>-8.8000000000000005E-3</v>
      </c>
      <c r="AG45" s="53" t="str" cm="1">
        <f t="array" ref="AG45">IF(OR(O45&lt;&gt;"", SUMPRODUCT(($AH$2:$AH$4999=AH45)*($AF$2:$AF$4999&lt;=AF45)) &lt;= (COUNTIF($AH$2:$AH$4999,AH45)*0.3)), "SORTEADO", "-")</f>
        <v>SORTEADO</v>
      </c>
      <c r="AH45" s="257" t="str">
        <f t="shared" si="1"/>
        <v>03/04/2026</v>
      </c>
    </row>
    <row r="46" spans="1:34" ht="30" customHeight="1" x14ac:dyDescent="0.2">
      <c r="A46" s="230" t="s">
        <v>197</v>
      </c>
      <c r="B46" s="230">
        <v>2689524362</v>
      </c>
      <c r="C46" s="230" t="s">
        <v>127</v>
      </c>
      <c r="D46" s="230" t="s">
        <v>63</v>
      </c>
      <c r="E46" s="230" t="s">
        <v>198</v>
      </c>
      <c r="F46" s="230" t="s">
        <v>2109</v>
      </c>
      <c r="G46" s="230">
        <v>517</v>
      </c>
      <c r="H46" s="230" t="s">
        <v>3337</v>
      </c>
      <c r="I46" s="230" t="s">
        <v>509</v>
      </c>
      <c r="J46" s="230" t="s">
        <v>3275</v>
      </c>
      <c r="K46" s="230"/>
      <c r="L46" s="235" t="s">
        <v>407</v>
      </c>
      <c r="M46" s="235">
        <v>46085.415277777778</v>
      </c>
      <c r="N46" s="230" t="s">
        <v>3338</v>
      </c>
      <c r="O46" s="233" t="s">
        <v>204</v>
      </c>
      <c r="P46" s="168"/>
      <c r="Q46" s="144" t="s">
        <v>204</v>
      </c>
      <c r="R46" s="143"/>
      <c r="S46" s="144" t="s">
        <v>204</v>
      </c>
      <c r="T46" s="143"/>
      <c r="U46" s="144" t="s">
        <v>204</v>
      </c>
      <c r="V46" s="143"/>
      <c r="W46" s="144" t="s">
        <v>204</v>
      </c>
      <c r="X46" s="59"/>
      <c r="Y46" s="144" t="s">
        <v>204</v>
      </c>
      <c r="Z46" s="186" t="str">
        <f t="shared" si="2"/>
        <v>C</v>
      </c>
      <c r="AA46" s="217" t="str">
        <f t="shared" si="0"/>
        <v>UTILIZOU O PDA CORRETAMENTE</v>
      </c>
      <c r="AB46" s="145" t="s">
        <v>204</v>
      </c>
      <c r="AC46" s="218" t="s">
        <v>6</v>
      </c>
      <c r="AD46" s="151" t="str">
        <f t="shared" si="3"/>
        <v>GUARULHOS</v>
      </c>
      <c r="AE46" s="58" t="s">
        <v>63</v>
      </c>
      <c r="AF46" s="53">
        <v>-8.9999999999999993E-3</v>
      </c>
      <c r="AG46" s="53" t="str" cm="1">
        <f t="array" ref="AG46">IF(OR(O46&lt;&gt;"", SUMPRODUCT(($AH$2:$AH$4999=AH46)*($AF$2:$AF$4999&lt;=AF46)) &lt;= (COUNTIF($AH$2:$AH$4999,AH46)*0.3)), "SORTEADO", "-")</f>
        <v>SORTEADO</v>
      </c>
      <c r="AH46" s="257" t="str">
        <f t="shared" si="1"/>
        <v>03/04/2026</v>
      </c>
    </row>
    <row r="47" spans="1:34" ht="30" customHeight="1" x14ac:dyDescent="0.2">
      <c r="A47" s="230" t="s">
        <v>197</v>
      </c>
      <c r="B47" s="230">
        <v>2614167690</v>
      </c>
      <c r="C47" s="230" t="s">
        <v>135</v>
      </c>
      <c r="D47" s="230" t="s">
        <v>124</v>
      </c>
      <c r="E47" s="230" t="s">
        <v>198</v>
      </c>
      <c r="F47" s="230" t="s">
        <v>3339</v>
      </c>
      <c r="G47" s="230">
        <v>34</v>
      </c>
      <c r="H47" s="230" t="s">
        <v>874</v>
      </c>
      <c r="I47" s="230" t="s">
        <v>1677</v>
      </c>
      <c r="J47" s="230" t="s">
        <v>3280</v>
      </c>
      <c r="K47" s="230" t="s">
        <v>213</v>
      </c>
      <c r="L47" s="235" t="s">
        <v>407</v>
      </c>
      <c r="M47" s="235">
        <v>46085.524305555555</v>
      </c>
      <c r="N47" s="230" t="s">
        <v>3289</v>
      </c>
      <c r="O47" s="233" t="s">
        <v>204</v>
      </c>
      <c r="P47" s="168"/>
      <c r="Q47" s="144" t="s">
        <v>204</v>
      </c>
      <c r="R47" s="143"/>
      <c r="S47" s="144" t="s">
        <v>204</v>
      </c>
      <c r="T47" s="143"/>
      <c r="U47" s="144" t="s">
        <v>204</v>
      </c>
      <c r="V47" s="143"/>
      <c r="W47" s="144" t="s">
        <v>204</v>
      </c>
      <c r="X47" s="59"/>
      <c r="Y47" s="144" t="s">
        <v>204</v>
      </c>
      <c r="Z47" s="186" t="str">
        <f t="shared" si="2"/>
        <v>C</v>
      </c>
      <c r="AA47" s="217" t="str">
        <f t="shared" si="0"/>
        <v>UTILIZOU O PDA CORRETAMENTE</v>
      </c>
      <c r="AB47" s="145" t="s">
        <v>204</v>
      </c>
      <c r="AC47" s="218" t="s">
        <v>6</v>
      </c>
      <c r="AD47" s="151" t="str">
        <f t="shared" si="3"/>
        <v>GUARULHOS</v>
      </c>
      <c r="AE47" s="58" t="s">
        <v>63</v>
      </c>
      <c r="AF47" s="53">
        <v>-9.1999999999999998E-3</v>
      </c>
      <c r="AG47" s="53" t="str" cm="1">
        <f t="array" ref="AG47">IF(OR(O47&lt;&gt;"", SUMPRODUCT(($AH$2:$AH$4999=AH47)*($AF$2:$AF$4999&lt;=AF47)) &lt;= (COUNTIF($AH$2:$AH$4999,AH47)*0.3)), "SORTEADO", "-")</f>
        <v>SORTEADO</v>
      </c>
      <c r="AH47" s="257" t="str">
        <f t="shared" si="1"/>
        <v>03/04/2026</v>
      </c>
    </row>
    <row r="48" spans="1:34" ht="30" customHeight="1" x14ac:dyDescent="0.2">
      <c r="A48" s="230" t="s">
        <v>197</v>
      </c>
      <c r="B48" s="230">
        <v>2689568376</v>
      </c>
      <c r="C48" s="230" t="s">
        <v>127</v>
      </c>
      <c r="D48" s="230" t="s">
        <v>63</v>
      </c>
      <c r="E48" s="230" t="s">
        <v>198</v>
      </c>
      <c r="F48" s="230" t="s">
        <v>593</v>
      </c>
      <c r="G48" s="230">
        <v>324</v>
      </c>
      <c r="H48" s="230" t="s">
        <v>827</v>
      </c>
      <c r="I48" s="230" t="s">
        <v>253</v>
      </c>
      <c r="J48" s="230" t="s">
        <v>3340</v>
      </c>
      <c r="K48" s="230"/>
      <c r="L48" s="235" t="s">
        <v>407</v>
      </c>
      <c r="M48" s="235">
        <v>46085.415277777778</v>
      </c>
      <c r="N48" s="230" t="s">
        <v>3341</v>
      </c>
      <c r="O48" s="233" t="s">
        <v>204</v>
      </c>
      <c r="P48" s="168"/>
      <c r="Q48" s="144" t="s">
        <v>204</v>
      </c>
      <c r="R48" s="143"/>
      <c r="S48" s="144" t="s">
        <v>204</v>
      </c>
      <c r="T48" s="143"/>
      <c r="U48" s="144" t="s">
        <v>204</v>
      </c>
      <c r="V48" s="143"/>
      <c r="W48" s="144" t="s">
        <v>204</v>
      </c>
      <c r="X48" s="59"/>
      <c r="Y48" s="144" t="s">
        <v>204</v>
      </c>
      <c r="Z48" s="186" t="str">
        <f t="shared" si="2"/>
        <v>C</v>
      </c>
      <c r="AA48" s="217" t="str">
        <f t="shared" si="0"/>
        <v>UTILIZOU O PDA CORRETAMENTE</v>
      </c>
      <c r="AB48" s="145" t="s">
        <v>204</v>
      </c>
      <c r="AC48" s="218" t="s">
        <v>6</v>
      </c>
      <c r="AD48" s="151" t="str">
        <f t="shared" si="3"/>
        <v>GUARULHOS</v>
      </c>
      <c r="AE48" s="58" t="s">
        <v>63</v>
      </c>
      <c r="AF48" s="53">
        <v>-9.4000000000000004E-3</v>
      </c>
      <c r="AG48" s="53" t="str" cm="1">
        <f t="array" ref="AG48">IF(OR(O48&lt;&gt;"", SUMPRODUCT(($AH$2:$AH$4999=AH48)*($AF$2:$AF$4999&lt;=AF48)) &lt;= (COUNTIF($AH$2:$AH$4999,AH48)*0.3)), "SORTEADO", "-")</f>
        <v>SORTEADO</v>
      </c>
      <c r="AH48" s="257" t="str">
        <f t="shared" si="1"/>
        <v>03/04/2026</v>
      </c>
    </row>
    <row r="49" spans="1:34" ht="30" customHeight="1" x14ac:dyDescent="0.2">
      <c r="A49" s="230" t="s">
        <v>197</v>
      </c>
      <c r="B49" s="230">
        <v>2689542343</v>
      </c>
      <c r="C49" s="230" t="s">
        <v>133</v>
      </c>
      <c r="D49" s="230" t="s">
        <v>124</v>
      </c>
      <c r="E49" s="230" t="s">
        <v>198</v>
      </c>
      <c r="F49" s="230" t="s">
        <v>829</v>
      </c>
      <c r="G49" s="230">
        <v>147</v>
      </c>
      <c r="H49" s="230"/>
      <c r="I49" s="230" t="s">
        <v>664</v>
      </c>
      <c r="J49" s="230" t="s">
        <v>3275</v>
      </c>
      <c r="K49" s="230" t="s">
        <v>3342</v>
      </c>
      <c r="L49" s="235" t="s">
        <v>407</v>
      </c>
      <c r="M49" s="235">
        <v>46085.369444444441</v>
      </c>
      <c r="N49" s="230" t="s">
        <v>3341</v>
      </c>
      <c r="O49" s="233" t="s">
        <v>204</v>
      </c>
      <c r="P49" s="168"/>
      <c r="Q49" s="144" t="s">
        <v>204</v>
      </c>
      <c r="R49" s="143"/>
      <c r="S49" s="144" t="s">
        <v>204</v>
      </c>
      <c r="T49" s="143"/>
      <c r="U49" s="144" t="s">
        <v>204</v>
      </c>
      <c r="V49" s="143"/>
      <c r="W49" s="144" t="s">
        <v>204</v>
      </c>
      <c r="X49" s="59"/>
      <c r="Y49" s="144" t="s">
        <v>204</v>
      </c>
      <c r="Z49" s="186" t="str">
        <f t="shared" si="2"/>
        <v>C</v>
      </c>
      <c r="AA49" s="217" t="str">
        <f t="shared" si="0"/>
        <v>UTILIZOU O PDA CORRETAMENTE</v>
      </c>
      <c r="AB49" s="145" t="s">
        <v>204</v>
      </c>
      <c r="AC49" s="218" t="s">
        <v>6</v>
      </c>
      <c r="AD49" s="151" t="str">
        <f t="shared" si="3"/>
        <v>GUARULHOS</v>
      </c>
      <c r="AE49" s="58" t="s">
        <v>63</v>
      </c>
      <c r="AF49" s="53">
        <v>-9.5999999999999992E-3</v>
      </c>
      <c r="AG49" s="53" t="str" cm="1">
        <f t="array" ref="AG49">IF(OR(O49&lt;&gt;"", SUMPRODUCT(($AH$2:$AH$4999=AH49)*($AF$2:$AF$4999&lt;=AF49)) &lt;= (COUNTIF($AH$2:$AH$4999,AH49)*0.3)), "SORTEADO", "-")</f>
        <v>SORTEADO</v>
      </c>
      <c r="AH49" s="257" t="str">
        <f t="shared" si="1"/>
        <v>03/04/2026</v>
      </c>
    </row>
    <row r="50" spans="1:34" ht="30" customHeight="1" x14ac:dyDescent="0.2">
      <c r="A50" s="230" t="s">
        <v>197</v>
      </c>
      <c r="B50" s="230">
        <v>2689556034</v>
      </c>
      <c r="C50" s="230" t="s">
        <v>133</v>
      </c>
      <c r="D50" s="230" t="s">
        <v>124</v>
      </c>
      <c r="E50" s="230" t="s">
        <v>198</v>
      </c>
      <c r="F50" s="230" t="s">
        <v>892</v>
      </c>
      <c r="G50" s="230">
        <v>260</v>
      </c>
      <c r="H50" s="230" t="s">
        <v>3343</v>
      </c>
      <c r="I50" s="230" t="s">
        <v>893</v>
      </c>
      <c r="J50" s="230" t="s">
        <v>3275</v>
      </c>
      <c r="K50" s="230" t="s">
        <v>3344</v>
      </c>
      <c r="L50" s="235" t="s">
        <v>407</v>
      </c>
      <c r="M50" s="235">
        <v>46085.395138888889</v>
      </c>
      <c r="N50" s="230" t="s">
        <v>3289</v>
      </c>
      <c r="O50" s="233" t="s">
        <v>204</v>
      </c>
      <c r="P50" s="168"/>
      <c r="Q50" s="144" t="s">
        <v>204</v>
      </c>
      <c r="R50" s="143"/>
      <c r="S50" s="144" t="s">
        <v>204</v>
      </c>
      <c r="T50" s="143"/>
      <c r="U50" s="144" t="s">
        <v>204</v>
      </c>
      <c r="V50" s="143"/>
      <c r="W50" s="144" t="s">
        <v>204</v>
      </c>
      <c r="X50" s="59"/>
      <c r="Y50" s="144" t="s">
        <v>204</v>
      </c>
      <c r="Z50" s="186" t="str">
        <f t="shared" si="2"/>
        <v>C</v>
      </c>
      <c r="AA50" s="217" t="str">
        <f t="shared" si="0"/>
        <v>UTILIZOU O PDA CORRETAMENTE</v>
      </c>
      <c r="AB50" s="145" t="s">
        <v>204</v>
      </c>
      <c r="AC50" s="218" t="s">
        <v>6</v>
      </c>
      <c r="AD50" s="151" t="str">
        <f t="shared" si="3"/>
        <v>GUARULHOS</v>
      </c>
      <c r="AE50" s="58" t="s">
        <v>63</v>
      </c>
      <c r="AF50" s="53">
        <v>-9.7999999999999997E-3</v>
      </c>
      <c r="AG50" s="53" t="str" cm="1">
        <f t="array" ref="AG50">IF(OR(O50&lt;&gt;"", SUMPRODUCT(($AH$2:$AH$4999=AH50)*($AF$2:$AF$4999&lt;=AF50)) &lt;= (COUNTIF($AH$2:$AH$4999,AH50)*0.3)), "SORTEADO", "-")</f>
        <v>SORTEADO</v>
      </c>
      <c r="AH50" s="257" t="str">
        <f t="shared" si="1"/>
        <v>03/04/2026</v>
      </c>
    </row>
    <row r="51" spans="1:34" ht="30" customHeight="1" x14ac:dyDescent="0.2">
      <c r="A51" s="230" t="s">
        <v>197</v>
      </c>
      <c r="B51" s="230">
        <v>2689568791</v>
      </c>
      <c r="C51" s="230" t="s">
        <v>127</v>
      </c>
      <c r="D51" s="230" t="s">
        <v>63</v>
      </c>
      <c r="E51" s="230" t="s">
        <v>198</v>
      </c>
      <c r="F51" s="230" t="s">
        <v>3318</v>
      </c>
      <c r="G51" s="230">
        <v>291</v>
      </c>
      <c r="H51" s="230"/>
      <c r="I51" s="230" t="s">
        <v>531</v>
      </c>
      <c r="J51" s="230" t="s">
        <v>3275</v>
      </c>
      <c r="K51" s="230"/>
      <c r="L51" s="235" t="s">
        <v>407</v>
      </c>
      <c r="M51" s="235">
        <v>46085.450694444444</v>
      </c>
      <c r="N51" s="230" t="s">
        <v>819</v>
      </c>
      <c r="O51" s="233" t="s">
        <v>204</v>
      </c>
      <c r="P51" s="168"/>
      <c r="Q51" s="144" t="s">
        <v>204</v>
      </c>
      <c r="R51" s="143"/>
      <c r="S51" s="144" t="s">
        <v>204</v>
      </c>
      <c r="T51" s="143"/>
      <c r="U51" s="144" t="s">
        <v>204</v>
      </c>
      <c r="V51" s="143"/>
      <c r="W51" s="144" t="s">
        <v>204</v>
      </c>
      <c r="X51" s="59"/>
      <c r="Y51" s="144" t="s">
        <v>204</v>
      </c>
      <c r="Z51" s="186" t="str">
        <f t="shared" si="2"/>
        <v>C</v>
      </c>
      <c r="AA51" s="217" t="str">
        <f t="shared" si="0"/>
        <v>UTILIZOU O PDA CORRETAMENTE</v>
      </c>
      <c r="AB51" s="145" t="s">
        <v>204</v>
      </c>
      <c r="AC51" s="218" t="s">
        <v>6</v>
      </c>
      <c r="AD51" s="151" t="str">
        <f t="shared" si="3"/>
        <v>GUARULHOS</v>
      </c>
      <c r="AE51" s="58" t="s">
        <v>63</v>
      </c>
      <c r="AF51" s="53">
        <v>-0.01</v>
      </c>
      <c r="AG51" s="53" t="str" cm="1">
        <f t="array" ref="AG51">IF(OR(O51&lt;&gt;"", SUMPRODUCT(($AH$2:$AH$4999=AH51)*($AF$2:$AF$4999&lt;=AF51)) &lt;= (COUNTIF($AH$2:$AH$4999,AH51)*0.3)), "SORTEADO", "-")</f>
        <v>SORTEADO</v>
      </c>
      <c r="AH51" s="257" t="str">
        <f t="shared" si="1"/>
        <v>03/04/2026</v>
      </c>
    </row>
    <row r="52" spans="1:34" ht="30" customHeight="1" x14ac:dyDescent="0.2">
      <c r="A52" s="230" t="s">
        <v>197</v>
      </c>
      <c r="B52" s="230">
        <v>2689565134</v>
      </c>
      <c r="C52" s="230" t="s">
        <v>133</v>
      </c>
      <c r="D52" s="230" t="s">
        <v>124</v>
      </c>
      <c r="E52" s="230" t="s">
        <v>198</v>
      </c>
      <c r="F52" s="230" t="s">
        <v>3345</v>
      </c>
      <c r="G52" s="230">
        <v>130</v>
      </c>
      <c r="H52" s="230" t="s">
        <v>252</v>
      </c>
      <c r="I52" s="230" t="s">
        <v>1753</v>
      </c>
      <c r="J52" s="230" t="s">
        <v>3275</v>
      </c>
      <c r="K52" s="230" t="s">
        <v>213</v>
      </c>
      <c r="L52" s="235" t="s">
        <v>407</v>
      </c>
      <c r="M52" s="235">
        <v>46085.415277777778</v>
      </c>
      <c r="N52" s="230" t="s">
        <v>3289</v>
      </c>
      <c r="O52" s="233" t="s">
        <v>204</v>
      </c>
      <c r="P52" s="168"/>
      <c r="Q52" s="144" t="s">
        <v>204</v>
      </c>
      <c r="R52" s="143"/>
      <c r="S52" s="144" t="s">
        <v>204</v>
      </c>
      <c r="T52" s="143"/>
      <c r="U52" s="144" t="s">
        <v>204</v>
      </c>
      <c r="V52" s="143"/>
      <c r="W52" s="144" t="s">
        <v>204</v>
      </c>
      <c r="X52" s="59"/>
      <c r="Y52" s="144" t="s">
        <v>204</v>
      </c>
      <c r="Z52" s="186" t="str">
        <f t="shared" si="2"/>
        <v>C</v>
      </c>
      <c r="AA52" s="217" t="str">
        <f t="shared" si="0"/>
        <v>UTILIZOU O PDA CORRETAMENTE</v>
      </c>
      <c r="AB52" s="145" t="s">
        <v>204</v>
      </c>
      <c r="AC52" s="218" t="s">
        <v>6</v>
      </c>
      <c r="AD52" s="151" t="str">
        <f t="shared" si="3"/>
        <v>GUARULHOS</v>
      </c>
      <c r="AE52" s="58" t="s">
        <v>63</v>
      </c>
      <c r="AF52" s="53">
        <v>-1.0200000000000001E-2</v>
      </c>
      <c r="AG52" s="53" t="str" cm="1">
        <f t="array" ref="AG52">IF(OR(O52&lt;&gt;"", SUMPRODUCT(($AH$2:$AH$4999=AH52)*($AF$2:$AF$4999&lt;=AF52)) &lt;= (COUNTIF($AH$2:$AH$4999,AH52)*0.3)), "SORTEADO", "-")</f>
        <v>SORTEADO</v>
      </c>
      <c r="AH52" s="257" t="str">
        <f t="shared" si="1"/>
        <v>03/04/2026</v>
      </c>
    </row>
    <row r="53" spans="1:34" ht="30" customHeight="1" x14ac:dyDescent="0.2">
      <c r="A53" s="230" t="s">
        <v>197</v>
      </c>
      <c r="B53" s="230">
        <v>2614166543</v>
      </c>
      <c r="C53" s="230" t="s">
        <v>133</v>
      </c>
      <c r="D53" s="230" t="s">
        <v>124</v>
      </c>
      <c r="E53" s="230" t="s">
        <v>198</v>
      </c>
      <c r="F53" s="230" t="s">
        <v>3346</v>
      </c>
      <c r="G53" s="230">
        <v>225</v>
      </c>
      <c r="H53" s="230" t="s">
        <v>2537</v>
      </c>
      <c r="I53" s="230" t="s">
        <v>301</v>
      </c>
      <c r="J53" s="230" t="s">
        <v>3275</v>
      </c>
      <c r="K53" s="230" t="s">
        <v>213</v>
      </c>
      <c r="L53" s="235" t="s">
        <v>407</v>
      </c>
      <c r="M53" s="235">
        <v>46085.427777777775</v>
      </c>
      <c r="N53" s="230" t="s">
        <v>294</v>
      </c>
      <c r="O53" s="233" t="s">
        <v>204</v>
      </c>
      <c r="P53" s="168"/>
      <c r="Q53" s="144" t="s">
        <v>204</v>
      </c>
      <c r="R53" s="143"/>
      <c r="S53" s="144" t="s">
        <v>204</v>
      </c>
      <c r="T53" s="143"/>
      <c r="U53" s="144" t="s">
        <v>204</v>
      </c>
      <c r="V53" s="143"/>
      <c r="W53" s="144" t="s">
        <v>204</v>
      </c>
      <c r="X53" s="59"/>
      <c r="Y53" s="144" t="s">
        <v>204</v>
      </c>
      <c r="Z53" s="186" t="str">
        <f t="shared" si="2"/>
        <v>C</v>
      </c>
      <c r="AA53" s="217" t="str">
        <f t="shared" si="0"/>
        <v>UTILIZOU O PDA CORRETAMENTE</v>
      </c>
      <c r="AB53" s="145" t="s">
        <v>204</v>
      </c>
      <c r="AC53" s="218" t="s">
        <v>6</v>
      </c>
      <c r="AD53" s="151" t="str">
        <f t="shared" si="3"/>
        <v>GUARULHOS</v>
      </c>
      <c r="AE53" s="58" t="s">
        <v>63</v>
      </c>
      <c r="AF53" s="53">
        <v>-1.04E-2</v>
      </c>
      <c r="AG53" s="53" t="str" cm="1">
        <f t="array" ref="AG53">IF(OR(O53&lt;&gt;"", SUMPRODUCT(($AH$2:$AH$4999=AH53)*($AF$2:$AF$4999&lt;=AF53)) &lt;= (COUNTIF($AH$2:$AH$4999,AH53)*0.3)), "SORTEADO", "-")</f>
        <v>SORTEADO</v>
      </c>
      <c r="AH53" s="257" t="str">
        <f t="shared" si="1"/>
        <v>03/04/2026</v>
      </c>
    </row>
    <row r="54" spans="1:34" ht="30" customHeight="1" x14ac:dyDescent="0.2">
      <c r="A54" s="230" t="s">
        <v>197</v>
      </c>
      <c r="B54" s="230">
        <v>2689571035</v>
      </c>
      <c r="C54" s="230" t="s">
        <v>127</v>
      </c>
      <c r="D54" s="230" t="s">
        <v>63</v>
      </c>
      <c r="E54" s="230" t="s">
        <v>198</v>
      </c>
      <c r="F54" s="230" t="s">
        <v>2725</v>
      </c>
      <c r="G54" s="230">
        <v>399</v>
      </c>
      <c r="H54" s="230" t="s">
        <v>276</v>
      </c>
      <c r="I54" s="230" t="s">
        <v>915</v>
      </c>
      <c r="J54" s="230" t="s">
        <v>3275</v>
      </c>
      <c r="K54" s="230"/>
      <c r="L54" s="235" t="s">
        <v>407</v>
      </c>
      <c r="M54" s="235">
        <v>46085.456944444442</v>
      </c>
      <c r="N54" s="230" t="s">
        <v>294</v>
      </c>
      <c r="O54" s="233" t="s">
        <v>204</v>
      </c>
      <c r="P54" s="168"/>
      <c r="Q54" s="144" t="s">
        <v>204</v>
      </c>
      <c r="R54" s="143"/>
      <c r="S54" s="144" t="s">
        <v>204</v>
      </c>
      <c r="T54" s="143"/>
      <c r="U54" s="144" t="s">
        <v>204</v>
      </c>
      <c r="V54" s="143"/>
      <c r="W54" s="144" t="s">
        <v>204</v>
      </c>
      <c r="X54" s="59"/>
      <c r="Y54" s="144" t="s">
        <v>204</v>
      </c>
      <c r="Z54" s="186" t="str">
        <f t="shared" si="2"/>
        <v>C</v>
      </c>
      <c r="AA54" s="217" t="str">
        <f t="shared" si="0"/>
        <v>UTILIZOU O PDA CORRETAMENTE</v>
      </c>
      <c r="AB54" s="145" t="s">
        <v>204</v>
      </c>
      <c r="AC54" s="218" t="s">
        <v>6</v>
      </c>
      <c r="AD54" s="151" t="str">
        <f t="shared" si="3"/>
        <v>GUARULHOS</v>
      </c>
      <c r="AE54" s="58" t="s">
        <v>63</v>
      </c>
      <c r="AF54" s="53">
        <v>-1.06E-2</v>
      </c>
      <c r="AG54" s="53" t="str" cm="1">
        <f t="array" ref="AG54">IF(OR(O54&lt;&gt;"", SUMPRODUCT(($AH$2:$AH$4999=AH54)*($AF$2:$AF$4999&lt;=AF54)) &lt;= (COUNTIF($AH$2:$AH$4999,AH54)*0.3)), "SORTEADO", "-")</f>
        <v>SORTEADO</v>
      </c>
      <c r="AH54" s="257" t="str">
        <f t="shared" si="1"/>
        <v>03/04/2026</v>
      </c>
    </row>
    <row r="55" spans="1:34" ht="30" customHeight="1" x14ac:dyDescent="0.2">
      <c r="A55" s="230" t="s">
        <v>197</v>
      </c>
      <c r="B55" s="230">
        <v>2689570966</v>
      </c>
      <c r="C55" s="230" t="s">
        <v>133</v>
      </c>
      <c r="D55" s="230" t="s">
        <v>124</v>
      </c>
      <c r="E55" s="230" t="s">
        <v>198</v>
      </c>
      <c r="F55" s="230" t="s">
        <v>2725</v>
      </c>
      <c r="G55" s="230">
        <v>232</v>
      </c>
      <c r="H55" s="230" t="s">
        <v>3347</v>
      </c>
      <c r="I55" s="230" t="s">
        <v>915</v>
      </c>
      <c r="J55" s="230" t="s">
        <v>3275</v>
      </c>
      <c r="K55" s="230" t="s">
        <v>213</v>
      </c>
      <c r="L55" s="235" t="s">
        <v>407</v>
      </c>
      <c r="M55" s="235">
        <v>46085.451388888891</v>
      </c>
      <c r="N55" s="230" t="s">
        <v>294</v>
      </c>
      <c r="O55" s="233" t="s">
        <v>204</v>
      </c>
      <c r="P55" s="168"/>
      <c r="Q55" s="144" t="s">
        <v>204</v>
      </c>
      <c r="R55" s="143"/>
      <c r="S55" s="144" t="s">
        <v>204</v>
      </c>
      <c r="T55" s="143"/>
      <c r="U55" s="144" t="s">
        <v>204</v>
      </c>
      <c r="V55" s="143"/>
      <c r="W55" s="144" t="s">
        <v>204</v>
      </c>
      <c r="X55" s="59"/>
      <c r="Y55" s="144" t="s">
        <v>204</v>
      </c>
      <c r="Z55" s="186" t="str">
        <f t="shared" si="2"/>
        <v>C</v>
      </c>
      <c r="AA55" s="217" t="str">
        <f t="shared" si="0"/>
        <v>UTILIZOU O PDA CORRETAMENTE</v>
      </c>
      <c r="AB55" s="145" t="s">
        <v>204</v>
      </c>
      <c r="AC55" s="218" t="s">
        <v>6</v>
      </c>
      <c r="AD55" s="151" t="str">
        <f t="shared" si="3"/>
        <v>GUARULHOS</v>
      </c>
      <c r="AE55" s="58" t="s">
        <v>63</v>
      </c>
      <c r="AF55" s="53">
        <v>-1.0800000000000001E-2</v>
      </c>
      <c r="AG55" s="53" t="str" cm="1">
        <f t="array" ref="AG55">IF(OR(O55&lt;&gt;"", SUMPRODUCT(($AH$2:$AH$4999=AH55)*($AF$2:$AF$4999&lt;=AF55)) &lt;= (COUNTIF($AH$2:$AH$4999,AH55)*0.3)), "SORTEADO", "-")</f>
        <v>SORTEADO</v>
      </c>
      <c r="AH55" s="257" t="str">
        <f t="shared" si="1"/>
        <v>03/04/2026</v>
      </c>
    </row>
    <row r="56" spans="1:34" ht="30" customHeight="1" x14ac:dyDescent="0.2">
      <c r="A56" s="230" t="s">
        <v>197</v>
      </c>
      <c r="B56" s="230">
        <v>2689569122</v>
      </c>
      <c r="C56" s="230" t="s">
        <v>133</v>
      </c>
      <c r="D56" s="230" t="s">
        <v>124</v>
      </c>
      <c r="E56" s="230" t="s">
        <v>198</v>
      </c>
      <c r="F56" s="230" t="s">
        <v>1673</v>
      </c>
      <c r="G56" s="230">
        <v>87</v>
      </c>
      <c r="H56" s="230"/>
      <c r="I56" s="230" t="s">
        <v>919</v>
      </c>
      <c r="J56" s="230" t="s">
        <v>3275</v>
      </c>
      <c r="K56" s="230"/>
      <c r="L56" s="235" t="s">
        <v>407</v>
      </c>
      <c r="M56" s="235">
        <v>46085.456944444442</v>
      </c>
      <c r="N56" s="230" t="s">
        <v>3289</v>
      </c>
      <c r="O56" s="233" t="s">
        <v>204</v>
      </c>
      <c r="P56" s="168"/>
      <c r="Q56" s="144" t="s">
        <v>204</v>
      </c>
      <c r="R56" s="143"/>
      <c r="S56" s="144" t="s">
        <v>204</v>
      </c>
      <c r="T56" s="143"/>
      <c r="U56" s="144" t="s">
        <v>204</v>
      </c>
      <c r="V56" s="143"/>
      <c r="W56" s="144" t="s">
        <v>204</v>
      </c>
      <c r="X56" s="59"/>
      <c r="Y56" s="144" t="s">
        <v>204</v>
      </c>
      <c r="Z56" s="186" t="str">
        <f t="shared" si="2"/>
        <v>C</v>
      </c>
      <c r="AA56" s="217" t="str">
        <f t="shared" si="0"/>
        <v>UTILIZOU O PDA CORRETAMENTE</v>
      </c>
      <c r="AB56" s="145" t="s">
        <v>204</v>
      </c>
      <c r="AC56" s="218" t="s">
        <v>6</v>
      </c>
      <c r="AD56" s="151" t="str">
        <f t="shared" si="3"/>
        <v>GUARULHOS</v>
      </c>
      <c r="AE56" s="58" t="s">
        <v>63</v>
      </c>
      <c r="AF56" s="53">
        <v>-1.0999999999999999E-2</v>
      </c>
      <c r="AG56" s="53" t="str" cm="1">
        <f t="array" ref="AG56">IF(OR(O56&lt;&gt;"", SUMPRODUCT(($AH$2:$AH$4999=AH56)*($AF$2:$AF$4999&lt;=AF56)) &lt;= (COUNTIF($AH$2:$AH$4999,AH56)*0.3)), "SORTEADO", "-")</f>
        <v>SORTEADO</v>
      </c>
      <c r="AH56" s="257" t="str">
        <f t="shared" si="1"/>
        <v>03/04/2026</v>
      </c>
    </row>
    <row r="57" spans="1:34" ht="30" customHeight="1" x14ac:dyDescent="0.2">
      <c r="A57" s="230" t="s">
        <v>197</v>
      </c>
      <c r="B57" s="230">
        <v>2689550319</v>
      </c>
      <c r="C57" s="230" t="s">
        <v>133</v>
      </c>
      <c r="D57" s="230" t="s">
        <v>124</v>
      </c>
      <c r="E57" s="230" t="s">
        <v>198</v>
      </c>
      <c r="F57" s="230" t="s">
        <v>1208</v>
      </c>
      <c r="G57" s="230">
        <v>180</v>
      </c>
      <c r="H57" s="230" t="s">
        <v>213</v>
      </c>
      <c r="I57" s="230" t="s">
        <v>1210</v>
      </c>
      <c r="J57" s="230" t="s">
        <v>3275</v>
      </c>
      <c r="K57" s="230" t="s">
        <v>213</v>
      </c>
      <c r="L57" s="235" t="s">
        <v>407</v>
      </c>
      <c r="M57" s="235">
        <v>46085.469444444447</v>
      </c>
      <c r="N57" s="230" t="s">
        <v>3289</v>
      </c>
      <c r="O57" s="233" t="s">
        <v>204</v>
      </c>
      <c r="P57" s="168"/>
      <c r="Q57" s="144" t="s">
        <v>204</v>
      </c>
      <c r="R57" s="143"/>
      <c r="S57" s="144" t="s">
        <v>204</v>
      </c>
      <c r="T57" s="143"/>
      <c r="U57" s="144" t="s">
        <v>204</v>
      </c>
      <c r="V57" s="143"/>
      <c r="W57" s="144" t="s">
        <v>204</v>
      </c>
      <c r="X57" s="59"/>
      <c r="Y57" s="144" t="s">
        <v>204</v>
      </c>
      <c r="Z57" s="186" t="str">
        <f t="shared" si="2"/>
        <v>C</v>
      </c>
      <c r="AA57" s="217" t="str">
        <f t="shared" si="0"/>
        <v>UTILIZOU O PDA CORRETAMENTE</v>
      </c>
      <c r="AB57" s="145" t="s">
        <v>204</v>
      </c>
      <c r="AC57" s="218" t="s">
        <v>6</v>
      </c>
      <c r="AD57" s="151" t="str">
        <f t="shared" si="3"/>
        <v>GUARULHOS</v>
      </c>
      <c r="AE57" s="58" t="s">
        <v>63</v>
      </c>
      <c r="AF57" s="53">
        <v>-1.12E-2</v>
      </c>
      <c r="AG57" s="53" t="str" cm="1">
        <f t="array" ref="AG57">IF(OR(O57&lt;&gt;"", SUMPRODUCT(($AH$2:$AH$4999=AH57)*($AF$2:$AF$4999&lt;=AF57)) &lt;= (COUNTIF($AH$2:$AH$4999,AH57)*0.3)), "SORTEADO", "-")</f>
        <v>SORTEADO</v>
      </c>
      <c r="AH57" s="257" t="str">
        <f t="shared" si="1"/>
        <v>03/04/2026</v>
      </c>
    </row>
    <row r="58" spans="1:34" ht="30" customHeight="1" x14ac:dyDescent="0.2">
      <c r="A58" s="230" t="s">
        <v>197</v>
      </c>
      <c r="B58" s="230">
        <v>2614143592</v>
      </c>
      <c r="C58" s="230" t="s">
        <v>133</v>
      </c>
      <c r="D58" s="230" t="s">
        <v>124</v>
      </c>
      <c r="E58" s="230" t="s">
        <v>198</v>
      </c>
      <c r="F58" s="230" t="s">
        <v>464</v>
      </c>
      <c r="G58" s="230">
        <v>364</v>
      </c>
      <c r="H58" s="230" t="s">
        <v>3348</v>
      </c>
      <c r="I58" s="230" t="s">
        <v>466</v>
      </c>
      <c r="J58" s="230" t="s">
        <v>3275</v>
      </c>
      <c r="K58" s="230"/>
      <c r="L58" s="235" t="s">
        <v>407</v>
      </c>
      <c r="M58" s="235">
        <v>46085.429166666669</v>
      </c>
      <c r="N58" s="230" t="s">
        <v>3338</v>
      </c>
      <c r="O58" s="233" t="s">
        <v>204</v>
      </c>
      <c r="P58" s="168"/>
      <c r="Q58" s="144" t="s">
        <v>204</v>
      </c>
      <c r="R58" s="143"/>
      <c r="S58" s="144" t="s">
        <v>204</v>
      </c>
      <c r="T58" s="143"/>
      <c r="U58" s="144" t="s">
        <v>204</v>
      </c>
      <c r="V58" s="143"/>
      <c r="W58" s="144" t="s">
        <v>204</v>
      </c>
      <c r="X58" s="59"/>
      <c r="Y58" s="144" t="s">
        <v>204</v>
      </c>
      <c r="Z58" s="186" t="str">
        <f t="shared" si="2"/>
        <v>C</v>
      </c>
      <c r="AA58" s="217" t="str">
        <f t="shared" si="0"/>
        <v>UTILIZOU O PDA CORRETAMENTE</v>
      </c>
      <c r="AB58" s="145" t="s">
        <v>204</v>
      </c>
      <c r="AC58" s="218" t="s">
        <v>6</v>
      </c>
      <c r="AD58" s="151" t="str">
        <f t="shared" si="3"/>
        <v>GUARULHOS</v>
      </c>
      <c r="AE58" s="58" t="s">
        <v>63</v>
      </c>
      <c r="AF58" s="53">
        <v>-1.14E-2</v>
      </c>
      <c r="AG58" s="53" t="str" cm="1">
        <f t="array" ref="AG58">IF(OR(O58&lt;&gt;"", SUMPRODUCT(($AH$2:$AH$4999=AH58)*($AF$2:$AF$4999&lt;=AF58)) &lt;= (COUNTIF($AH$2:$AH$4999,AH58)*0.3)), "SORTEADO", "-")</f>
        <v>SORTEADO</v>
      </c>
      <c r="AH58" s="257" t="str">
        <f t="shared" si="1"/>
        <v>03/04/2026</v>
      </c>
    </row>
    <row r="59" spans="1:34" ht="30" customHeight="1" x14ac:dyDescent="0.2">
      <c r="A59" s="230" t="s">
        <v>197</v>
      </c>
      <c r="B59" s="230">
        <v>2689536929</v>
      </c>
      <c r="C59" s="230" t="s">
        <v>129</v>
      </c>
      <c r="D59" s="230" t="s">
        <v>124</v>
      </c>
      <c r="E59" s="230" t="s">
        <v>198</v>
      </c>
      <c r="F59" s="230" t="s">
        <v>2897</v>
      </c>
      <c r="G59" s="230">
        <v>990</v>
      </c>
      <c r="H59" s="230" t="s">
        <v>3349</v>
      </c>
      <c r="I59" s="230" t="s">
        <v>3350</v>
      </c>
      <c r="J59" s="230" t="s">
        <v>3307</v>
      </c>
      <c r="K59" s="230" t="s">
        <v>3351</v>
      </c>
      <c r="L59" s="235" t="s">
        <v>407</v>
      </c>
      <c r="M59" s="235">
        <v>46085.381249999999</v>
      </c>
      <c r="N59" s="230" t="s">
        <v>241</v>
      </c>
      <c r="O59" s="233" t="s">
        <v>204</v>
      </c>
      <c r="P59" s="168"/>
      <c r="Q59" s="144" t="s">
        <v>204</v>
      </c>
      <c r="R59" s="143"/>
      <c r="S59" s="144" t="s">
        <v>204</v>
      </c>
      <c r="T59" s="143"/>
      <c r="U59" s="144" t="s">
        <v>204</v>
      </c>
      <c r="V59" s="143"/>
      <c r="W59" s="144" t="s">
        <v>204</v>
      </c>
      <c r="X59" s="59"/>
      <c r="Y59" s="144" t="s">
        <v>204</v>
      </c>
      <c r="Z59" s="186" t="str">
        <f t="shared" si="2"/>
        <v>C</v>
      </c>
      <c r="AA59" s="217" t="str">
        <f t="shared" si="0"/>
        <v>UTILIZOU O PDA CORRETAMENTE</v>
      </c>
      <c r="AB59" s="145" t="s">
        <v>204</v>
      </c>
      <c r="AC59" s="218" t="s">
        <v>6</v>
      </c>
      <c r="AD59" s="151" t="str">
        <f t="shared" si="3"/>
        <v>GUARULHOS</v>
      </c>
      <c r="AE59" s="58" t="s">
        <v>63</v>
      </c>
      <c r="AF59" s="53">
        <v>-1.1599999999999999E-2</v>
      </c>
      <c r="AG59" s="53" t="str" cm="1">
        <f t="array" ref="AG59">IF(OR(O59&lt;&gt;"", SUMPRODUCT(($AH$2:$AH$4999=AH59)*($AF$2:$AF$4999&lt;=AF59)) &lt;= (COUNTIF($AH$2:$AH$4999,AH59)*0.3)), "SORTEADO", "-")</f>
        <v>SORTEADO</v>
      </c>
      <c r="AH59" s="257" t="str">
        <f t="shared" si="1"/>
        <v>03/04/2026</v>
      </c>
    </row>
    <row r="60" spans="1:34" ht="30" customHeight="1" x14ac:dyDescent="0.2">
      <c r="A60" s="230" t="s">
        <v>197</v>
      </c>
      <c r="B60" s="230">
        <v>2689569835</v>
      </c>
      <c r="C60" s="230" t="s">
        <v>130</v>
      </c>
      <c r="D60" s="230" t="s">
        <v>63</v>
      </c>
      <c r="E60" s="230" t="s">
        <v>198</v>
      </c>
      <c r="F60" s="230" t="s">
        <v>3352</v>
      </c>
      <c r="G60" s="230">
        <v>23</v>
      </c>
      <c r="H60" s="230" t="s">
        <v>3353</v>
      </c>
      <c r="I60" s="230" t="s">
        <v>622</v>
      </c>
      <c r="J60" s="230" t="s">
        <v>3273</v>
      </c>
      <c r="K60" s="230"/>
      <c r="L60" s="235" t="s">
        <v>407</v>
      </c>
      <c r="M60" s="235">
        <v>46085.55</v>
      </c>
      <c r="N60" s="230" t="s">
        <v>3341</v>
      </c>
      <c r="O60" s="233" t="s">
        <v>204</v>
      </c>
      <c r="P60" s="168"/>
      <c r="Q60" s="144" t="s">
        <v>204</v>
      </c>
      <c r="R60" s="143"/>
      <c r="S60" s="144" t="s">
        <v>204</v>
      </c>
      <c r="T60" s="143"/>
      <c r="U60" s="144" t="s">
        <v>204</v>
      </c>
      <c r="V60" s="143"/>
      <c r="W60" s="144" t="s">
        <v>204</v>
      </c>
      <c r="X60" s="59"/>
      <c r="Y60" s="144" t="s">
        <v>204</v>
      </c>
      <c r="Z60" s="186" t="str">
        <f t="shared" si="2"/>
        <v>C</v>
      </c>
      <c r="AA60" s="217" t="str">
        <f t="shared" si="0"/>
        <v>UTILIZOU O PDA CORRETAMENTE</v>
      </c>
      <c r="AB60" s="145" t="s">
        <v>204</v>
      </c>
      <c r="AC60" s="218" t="s">
        <v>6</v>
      </c>
      <c r="AD60" s="151" t="str">
        <f t="shared" si="3"/>
        <v>GUARULHOS</v>
      </c>
      <c r="AE60" s="58" t="s">
        <v>63</v>
      </c>
      <c r="AF60" s="53">
        <v>-1.18E-2</v>
      </c>
      <c r="AG60" s="53" t="str" cm="1">
        <f t="array" ref="AG60">IF(OR(O60&lt;&gt;"", SUMPRODUCT(($AH$2:$AH$4999=AH60)*($AF$2:$AF$4999&lt;=AF60)) &lt;= (COUNTIF($AH$2:$AH$4999,AH60)*0.3)), "SORTEADO", "-")</f>
        <v>SORTEADO</v>
      </c>
      <c r="AH60" s="257" t="str">
        <f t="shared" si="1"/>
        <v>03/04/2026</v>
      </c>
    </row>
    <row r="61" spans="1:34" ht="30" customHeight="1" x14ac:dyDescent="0.2">
      <c r="A61" s="230" t="s">
        <v>197</v>
      </c>
      <c r="B61" s="255">
        <v>2689547521</v>
      </c>
      <c r="C61" s="230" t="s">
        <v>133</v>
      </c>
      <c r="D61" s="230" t="s">
        <v>124</v>
      </c>
      <c r="E61" s="230" t="s">
        <v>198</v>
      </c>
      <c r="F61" s="230" t="s">
        <v>3354</v>
      </c>
      <c r="G61" s="230">
        <v>52</v>
      </c>
      <c r="H61" s="230" t="s">
        <v>459</v>
      </c>
      <c r="I61" s="230" t="s">
        <v>3355</v>
      </c>
      <c r="J61" s="230" t="s">
        <v>3275</v>
      </c>
      <c r="K61" s="230" t="s">
        <v>213</v>
      </c>
      <c r="L61" s="235" t="s">
        <v>407</v>
      </c>
      <c r="M61" s="235">
        <v>46085.584722222222</v>
      </c>
      <c r="N61" s="230" t="s">
        <v>3289</v>
      </c>
      <c r="O61" s="233" t="s">
        <v>204</v>
      </c>
      <c r="P61" s="169"/>
      <c r="Q61" s="144" t="s">
        <v>204</v>
      </c>
      <c r="R61" s="56"/>
      <c r="S61" s="144" t="s">
        <v>204</v>
      </c>
      <c r="T61" s="56"/>
      <c r="U61" s="144" t="s">
        <v>204</v>
      </c>
      <c r="V61" s="56"/>
      <c r="W61" s="144" t="s">
        <v>204</v>
      </c>
      <c r="X61" s="56"/>
      <c r="Y61" s="144" t="s">
        <v>204</v>
      </c>
      <c r="Z61" s="186" t="s">
        <v>204</v>
      </c>
      <c r="AA61" s="217" t="str">
        <f t="shared" si="0"/>
        <v>UTILIZOU O PDA CORRETAMENTE</v>
      </c>
      <c r="AB61" s="92" t="s">
        <v>204</v>
      </c>
      <c r="AC61" s="218" t="s">
        <v>6</v>
      </c>
      <c r="AD61" s="151" t="str">
        <f t="shared" si="3"/>
        <v>GUARULHOS</v>
      </c>
      <c r="AE61" s="58" t="s">
        <v>63</v>
      </c>
      <c r="AF61" s="53">
        <v>-1.2E-2</v>
      </c>
      <c r="AG61" s="53" t="str" cm="1">
        <f t="array" ref="AG61">IF(OR(O61&lt;&gt;"", SUMPRODUCT(($AH$2:$AH$4999=AH61)*($AF$2:$AF$4999&lt;=AF61)) &lt;= (COUNTIF($AH$2:$AH$4999,AH61)*0.3)), "SORTEADO", "-")</f>
        <v>SORTEADO</v>
      </c>
      <c r="AH61" s="257" t="str">
        <f t="shared" ref="AH61:AH124" si="4">TEXT(L61, "dd/mm/aaaa")</f>
        <v>03/04/2026</v>
      </c>
    </row>
    <row r="62" spans="1:34" ht="30" customHeight="1" x14ac:dyDescent="0.2">
      <c r="A62" s="230" t="s">
        <v>197</v>
      </c>
      <c r="B62" s="255">
        <v>2614221891</v>
      </c>
      <c r="C62" s="230" t="s">
        <v>133</v>
      </c>
      <c r="D62" s="230" t="s">
        <v>124</v>
      </c>
      <c r="E62" s="230" t="s">
        <v>198</v>
      </c>
      <c r="F62" s="230" t="s">
        <v>3356</v>
      </c>
      <c r="G62" s="230">
        <v>27</v>
      </c>
      <c r="H62" s="230" t="s">
        <v>3357</v>
      </c>
      <c r="I62" s="230" t="s">
        <v>2548</v>
      </c>
      <c r="J62" s="230" t="s">
        <v>3275</v>
      </c>
      <c r="K62" s="230"/>
      <c r="L62" s="235" t="s">
        <v>407</v>
      </c>
      <c r="M62" s="235">
        <v>46085.627083333333</v>
      </c>
      <c r="N62" s="230" t="s">
        <v>3289</v>
      </c>
      <c r="O62" s="233" t="s">
        <v>204</v>
      </c>
      <c r="P62" s="169"/>
      <c r="Q62" s="144" t="s">
        <v>328</v>
      </c>
      <c r="R62" s="56"/>
      <c r="S62" s="144" t="s">
        <v>204</v>
      </c>
      <c r="T62" s="56"/>
      <c r="U62" s="144" t="s">
        <v>204</v>
      </c>
      <c r="V62" s="56"/>
      <c r="W62" s="144" t="s">
        <v>204</v>
      </c>
      <c r="X62" s="56"/>
      <c r="Y62" s="144" t="s">
        <v>204</v>
      </c>
      <c r="Z62" s="186" t="str">
        <f t="shared" si="2"/>
        <v>NC</v>
      </c>
      <c r="AA62" s="217" t="str">
        <f t="shared" si="0"/>
        <v>UTILIZOU O PDA CORRETAMENTE. NÃO HÁ FOTOS DE TODAS AS ETAPAS</v>
      </c>
      <c r="AB62" s="92" t="s">
        <v>204</v>
      </c>
      <c r="AC62" s="218" t="s">
        <v>6</v>
      </c>
      <c r="AD62" s="151" t="str">
        <f t="shared" si="3"/>
        <v>GUARULHOS</v>
      </c>
      <c r="AE62" s="58" t="s">
        <v>63</v>
      </c>
      <c r="AF62" s="53">
        <v>-1.2200000000000001E-2</v>
      </c>
      <c r="AG62" s="53" t="str" cm="1">
        <f t="array" ref="AG62">IF(OR(O62&lt;&gt;"", SUMPRODUCT(($AH$2:$AH$4999=AH62)*($AF$2:$AF$4999&lt;=AF62)) &lt;= (COUNTIF($AH$2:$AH$4999,AH62)*0.3)), "SORTEADO", "-")</f>
        <v>SORTEADO</v>
      </c>
      <c r="AH62" s="257" t="str">
        <f t="shared" si="4"/>
        <v>03/04/2026</v>
      </c>
    </row>
    <row r="63" spans="1:34" ht="30" customHeight="1" x14ac:dyDescent="0.2">
      <c r="A63" s="230" t="s">
        <v>197</v>
      </c>
      <c r="B63" s="255">
        <v>2689555029</v>
      </c>
      <c r="C63" s="230" t="s">
        <v>133</v>
      </c>
      <c r="D63" s="230" t="s">
        <v>124</v>
      </c>
      <c r="E63" s="230" t="s">
        <v>198</v>
      </c>
      <c r="F63" s="230" t="s">
        <v>3358</v>
      </c>
      <c r="G63" s="230">
        <v>304</v>
      </c>
      <c r="H63" s="230" t="s">
        <v>3359</v>
      </c>
      <c r="I63" s="230" t="s">
        <v>1587</v>
      </c>
      <c r="J63" s="230" t="s">
        <v>3275</v>
      </c>
      <c r="K63" s="230" t="s">
        <v>213</v>
      </c>
      <c r="L63" s="235" t="s">
        <v>407</v>
      </c>
      <c r="M63" s="235">
        <v>46085.647916666669</v>
      </c>
      <c r="N63" s="230" t="s">
        <v>3289</v>
      </c>
      <c r="O63" s="233" t="s">
        <v>204</v>
      </c>
      <c r="P63" s="169"/>
      <c r="Q63" s="144" t="s">
        <v>204</v>
      </c>
      <c r="R63" s="56"/>
      <c r="S63" s="144" t="s">
        <v>204</v>
      </c>
      <c r="T63" s="56"/>
      <c r="U63" s="144" t="s">
        <v>204</v>
      </c>
      <c r="V63" s="56"/>
      <c r="W63" s="144" t="s">
        <v>204</v>
      </c>
      <c r="X63" s="56"/>
      <c r="Y63" s="144" t="s">
        <v>204</v>
      </c>
      <c r="Z63" s="186" t="str">
        <f t="shared" si="2"/>
        <v>C</v>
      </c>
      <c r="AA63" s="217" t="str">
        <f t="shared" si="0"/>
        <v>UTILIZOU O PDA CORRETAMENTE</v>
      </c>
      <c r="AB63" s="92" t="s">
        <v>204</v>
      </c>
      <c r="AC63" s="218" t="s">
        <v>6</v>
      </c>
      <c r="AD63" s="151" t="str">
        <f t="shared" si="3"/>
        <v>GUARULHOS</v>
      </c>
      <c r="AE63" s="58" t="s">
        <v>63</v>
      </c>
      <c r="AF63" s="53">
        <v>-1.24E-2</v>
      </c>
      <c r="AG63" s="53" t="str" cm="1">
        <f t="array" ref="AG63">IF(OR(O63&lt;&gt;"", SUMPRODUCT(($AH$2:$AH$4999=AH63)*($AF$2:$AF$4999&lt;=AF63)) &lt;= (COUNTIF($AH$2:$AH$4999,AH63)*0.3)), "SORTEADO", "-")</f>
        <v>SORTEADO</v>
      </c>
      <c r="AH63" s="257" t="str">
        <f t="shared" si="4"/>
        <v>03/04/2026</v>
      </c>
    </row>
    <row r="64" spans="1:34" ht="30" customHeight="1" x14ac:dyDescent="0.2">
      <c r="A64" s="230" t="s">
        <v>197</v>
      </c>
      <c r="B64" s="255">
        <v>2689581720</v>
      </c>
      <c r="C64" s="230" t="s">
        <v>127</v>
      </c>
      <c r="D64" s="230" t="s">
        <v>63</v>
      </c>
      <c r="E64" s="230" t="s">
        <v>198</v>
      </c>
      <c r="F64" s="230" t="s">
        <v>3360</v>
      </c>
      <c r="G64" s="230">
        <v>123</v>
      </c>
      <c r="H64" s="230" t="s">
        <v>1063</v>
      </c>
      <c r="I64" s="230" t="s">
        <v>315</v>
      </c>
      <c r="J64" s="230" t="s">
        <v>3275</v>
      </c>
      <c r="K64" s="230" t="s">
        <v>213</v>
      </c>
      <c r="L64" s="235" t="s">
        <v>449</v>
      </c>
      <c r="M64" s="235">
        <v>46116.363194444442</v>
      </c>
      <c r="N64" s="230" t="s">
        <v>3276</v>
      </c>
      <c r="O64" s="233" t="s">
        <v>204</v>
      </c>
      <c r="P64" s="169"/>
      <c r="Q64" s="144" t="s">
        <v>204</v>
      </c>
      <c r="R64" s="56"/>
      <c r="S64" s="144" t="s">
        <v>204</v>
      </c>
      <c r="T64" s="56"/>
      <c r="U64" s="144" t="s">
        <v>204</v>
      </c>
      <c r="V64" s="56"/>
      <c r="W64" s="144" t="s">
        <v>204</v>
      </c>
      <c r="X64" s="56"/>
      <c r="Y64" s="144" t="s">
        <v>204</v>
      </c>
      <c r="Z64" s="186" t="str">
        <f t="shared" si="2"/>
        <v>C</v>
      </c>
      <c r="AA64" s="217" t="str">
        <f t="shared" si="0"/>
        <v>UTILIZOU O PDA CORRETAMENTE</v>
      </c>
      <c r="AB64" s="92" t="s">
        <v>204</v>
      </c>
      <c r="AC64" s="218" t="s">
        <v>6</v>
      </c>
      <c r="AD64" s="151" t="str">
        <f t="shared" si="3"/>
        <v>GUARULHOS</v>
      </c>
      <c r="AE64" s="58" t="s">
        <v>63</v>
      </c>
      <c r="AF64" s="53">
        <v>-1.26E-2</v>
      </c>
      <c r="AG64" s="53" t="str" cm="1">
        <f t="array" ref="AG64">IF(OR(O64&lt;&gt;"", SUMPRODUCT(($AH$2:$AH$4999=AH64)*($AF$2:$AF$4999&lt;=AF64)) &lt;= (COUNTIF($AH$2:$AH$4999,AH64)*0.3)), "SORTEADO", "-")</f>
        <v>SORTEADO</v>
      </c>
      <c r="AH64" s="257" t="str">
        <f t="shared" si="4"/>
        <v>04/04/2026</v>
      </c>
    </row>
    <row r="65" spans="1:34" ht="30" customHeight="1" x14ac:dyDescent="0.2">
      <c r="A65" s="230" t="s">
        <v>197</v>
      </c>
      <c r="B65" s="255">
        <v>2689596017</v>
      </c>
      <c r="C65" s="230" t="s">
        <v>127</v>
      </c>
      <c r="D65" s="230" t="s">
        <v>63</v>
      </c>
      <c r="E65" s="230" t="s">
        <v>198</v>
      </c>
      <c r="F65" s="230" t="s">
        <v>3361</v>
      </c>
      <c r="G65" s="230">
        <v>60</v>
      </c>
      <c r="H65" s="230"/>
      <c r="I65" s="230" t="s">
        <v>730</v>
      </c>
      <c r="J65" s="230" t="s">
        <v>3275</v>
      </c>
      <c r="K65" s="230"/>
      <c r="L65" s="235" t="s">
        <v>449</v>
      </c>
      <c r="M65" s="235">
        <v>46116.415972222225</v>
      </c>
      <c r="N65" s="230" t="s">
        <v>294</v>
      </c>
      <c r="O65" s="233" t="s">
        <v>204</v>
      </c>
      <c r="P65" s="169"/>
      <c r="Q65" s="144" t="s">
        <v>204</v>
      </c>
      <c r="R65" s="56"/>
      <c r="S65" s="144" t="s">
        <v>204</v>
      </c>
      <c r="T65" s="56"/>
      <c r="U65" s="144" t="s">
        <v>204</v>
      </c>
      <c r="V65" s="56"/>
      <c r="W65" s="144" t="s">
        <v>204</v>
      </c>
      <c r="X65" s="56"/>
      <c r="Y65" s="144" t="s">
        <v>204</v>
      </c>
      <c r="Z65" s="186" t="str">
        <f t="shared" si="2"/>
        <v>C</v>
      </c>
      <c r="AA65" s="217" t="str">
        <f t="shared" si="0"/>
        <v>UTILIZOU O PDA CORRETAMENTE</v>
      </c>
      <c r="AB65" s="92" t="s">
        <v>204</v>
      </c>
      <c r="AC65" s="218" t="s">
        <v>6</v>
      </c>
      <c r="AD65" s="151" t="str">
        <f t="shared" si="3"/>
        <v>GUARULHOS</v>
      </c>
      <c r="AE65" s="58" t="s">
        <v>63</v>
      </c>
      <c r="AF65" s="53">
        <v>-1.2800000000000001E-2</v>
      </c>
      <c r="AG65" s="53" t="str" cm="1">
        <f t="array" ref="AG65">IF(OR(O65&lt;&gt;"", SUMPRODUCT(($AH$2:$AH$4999=AH65)*($AF$2:$AF$4999&lt;=AF65)) &lt;= (COUNTIF($AH$2:$AH$4999,AH65)*0.3)), "SORTEADO", "-")</f>
        <v>SORTEADO</v>
      </c>
      <c r="AH65" s="257" t="str">
        <f t="shared" si="4"/>
        <v>04/04/2026</v>
      </c>
    </row>
    <row r="66" spans="1:34" ht="30" customHeight="1" x14ac:dyDescent="0.2">
      <c r="A66" s="244" t="s">
        <v>197</v>
      </c>
      <c r="B66" s="255">
        <v>2689586209</v>
      </c>
      <c r="C66" s="230" t="s">
        <v>133</v>
      </c>
      <c r="D66" s="230" t="s">
        <v>124</v>
      </c>
      <c r="E66" s="230" t="s">
        <v>198</v>
      </c>
      <c r="F66" s="230" t="s">
        <v>3362</v>
      </c>
      <c r="G66" s="230">
        <v>87</v>
      </c>
      <c r="H66" s="230" t="s">
        <v>3102</v>
      </c>
      <c r="I66" s="230" t="s">
        <v>335</v>
      </c>
      <c r="J66" s="230" t="s">
        <v>3275</v>
      </c>
      <c r="K66" s="230" t="s">
        <v>3363</v>
      </c>
      <c r="L66" s="235" t="s">
        <v>449</v>
      </c>
      <c r="M66" s="235">
        <v>46116.347222222219</v>
      </c>
      <c r="N66" s="230" t="s">
        <v>3276</v>
      </c>
      <c r="O66" s="233" t="s">
        <v>204</v>
      </c>
      <c r="P66" s="169"/>
      <c r="Q66" s="144" t="s">
        <v>204</v>
      </c>
      <c r="R66" s="56"/>
      <c r="S66" s="144" t="s">
        <v>204</v>
      </c>
      <c r="T66" s="56"/>
      <c r="U66" s="144" t="s">
        <v>204</v>
      </c>
      <c r="V66" s="56"/>
      <c r="W66" s="144" t="s">
        <v>204</v>
      </c>
      <c r="X66" s="56"/>
      <c r="Y66" s="144" t="s">
        <v>204</v>
      </c>
      <c r="Z66" s="186" t="str">
        <f t="shared" si="2"/>
        <v>C</v>
      </c>
      <c r="AA66" s="217" t="str">
        <f t="shared" ref="AA66:AA128" si="5">IF(AND(Y66="C",Z66="C"),"UTILIZOU O PDA CORRETAMENTE",IF(AND(Y66="C",Z66="NC"),"UTILIZOU O PDA CORRETAMENTE. NÃO HÁ FOTOS DE TODAS AS ETAPAS",IF(AND(Y66="NC",Z66="NC"),"NÃO UTILIZOU O PDA",IF(AND(Y66="NA",Z66="NA"),"NÃO AVALIADO POR FALHA DE SINCRONISMO"))))</f>
        <v>UTILIZOU O PDA CORRETAMENTE</v>
      </c>
      <c r="AB66" s="92" t="s">
        <v>204</v>
      </c>
      <c r="AC66" s="218" t="s">
        <v>6</v>
      </c>
      <c r="AD66" s="151" t="str">
        <f t="shared" si="3"/>
        <v>GUARULHOS</v>
      </c>
      <c r="AE66" s="58" t="s">
        <v>63</v>
      </c>
      <c r="AF66" s="53">
        <v>-1.2999999999999999E-2</v>
      </c>
      <c r="AG66" s="53" t="str" cm="1">
        <f t="array" ref="AG66">IF(OR(O66&lt;&gt;"", SUMPRODUCT(($AH$2:$AH$4999=AH66)*($AF$2:$AF$4999&lt;=AF66)) &lt;= (COUNTIF($AH$2:$AH$4999,AH66)*0.3)), "SORTEADO", "-")</f>
        <v>SORTEADO</v>
      </c>
      <c r="AH66" s="257" t="str">
        <f t="shared" si="4"/>
        <v>04/04/2026</v>
      </c>
    </row>
    <row r="67" spans="1:34" ht="30" customHeight="1" x14ac:dyDescent="0.2">
      <c r="A67" s="230" t="s">
        <v>197</v>
      </c>
      <c r="B67" s="255">
        <v>2689599939</v>
      </c>
      <c r="C67" s="230" t="s">
        <v>127</v>
      </c>
      <c r="D67" s="230" t="s">
        <v>63</v>
      </c>
      <c r="E67" s="230" t="s">
        <v>198</v>
      </c>
      <c r="F67" s="230" t="s">
        <v>900</v>
      </c>
      <c r="G67" s="230">
        <v>263</v>
      </c>
      <c r="H67" s="230" t="s">
        <v>3364</v>
      </c>
      <c r="I67" s="230" t="s">
        <v>531</v>
      </c>
      <c r="J67" s="230" t="s">
        <v>3275</v>
      </c>
      <c r="K67" s="230" t="s">
        <v>213</v>
      </c>
      <c r="L67" s="235" t="s">
        <v>449</v>
      </c>
      <c r="M67" s="235">
        <v>46116.523611111108</v>
      </c>
      <c r="N67" s="230" t="s">
        <v>819</v>
      </c>
      <c r="O67" s="233" t="s">
        <v>204</v>
      </c>
      <c r="P67" s="169"/>
      <c r="Q67" s="144" t="s">
        <v>204</v>
      </c>
      <c r="R67" s="56"/>
      <c r="S67" s="144" t="s">
        <v>204</v>
      </c>
      <c r="T67" s="56"/>
      <c r="U67" s="144" t="s">
        <v>204</v>
      </c>
      <c r="V67" s="56"/>
      <c r="W67" s="144" t="s">
        <v>204</v>
      </c>
      <c r="X67" s="56"/>
      <c r="Y67" s="144" t="s">
        <v>204</v>
      </c>
      <c r="Z67" s="186" t="str">
        <f t="shared" ref="Z67:Z129" si="6">IF(AND(O67="",Q67="",S67="",U67="",W67=""),"",IF(OR(AND(O67&lt;&gt;"NA",O67&lt;&gt;"C",O67&lt;&gt;"NC",O67&lt;&gt;"SF",O67&lt;&gt;""),AND(Q67&lt;&gt;"NA",Q67&lt;&gt;"C",Q67&lt;&gt;"NC",Q67&lt;&gt;"SF",Q67&lt;&gt;""),AND(S67&lt;&gt;"NA",S67&lt;&gt;"C",S67&lt;&gt;"NC",S67&lt;&gt;"SF",S67&lt;&gt;""),AND(U67&lt;&gt;"NA",U67&lt;&gt;"C",U67&lt;&gt;"NC",U67&lt;&gt;"SF",U67&lt;&gt;""),AND(W67&lt;&gt;"NA",W67&lt;&gt;"C",W67&lt;&gt;"NC",W67&lt;&gt;"SF",W67&lt;&gt;"")),"FALSO",IF(AND(O67="NA",Q67="NA",S67="NA",U67="NA",W67="NA"),"NA",IF(OR(O67="NC",Q67="NC",S67="NC",U67="NC",W67="NC",O67="SF",Q67="SF",S67="SF",U67="SF",W67="SF"),"NC",IF(OR(O67="C",Q67="C",S67="C",U67="C",W67="C"),"C","")))))</f>
        <v>C</v>
      </c>
      <c r="AA67" s="217" t="str">
        <f t="shared" si="5"/>
        <v>UTILIZOU O PDA CORRETAMENTE</v>
      </c>
      <c r="AB67" s="92" t="s">
        <v>204</v>
      </c>
      <c r="AC67" s="218" t="s">
        <v>6</v>
      </c>
      <c r="AD67" s="151" t="str">
        <f t="shared" ref="AD67:AD129" si="7">E67</f>
        <v>GUARULHOS</v>
      </c>
      <c r="AE67" s="58" t="s">
        <v>63</v>
      </c>
      <c r="AF67" s="53">
        <v>-1.32E-2</v>
      </c>
      <c r="AG67" s="53" t="str" cm="1">
        <f t="array" ref="AG67">IF(OR(O67&lt;&gt;"", SUMPRODUCT(($AH$2:$AH$4999=AH67)*($AF$2:$AF$4999&lt;=AF67)) &lt;= (COUNTIF($AH$2:$AH$4999,AH67)*0.3)), "SORTEADO", "-")</f>
        <v>SORTEADO</v>
      </c>
      <c r="AH67" s="257" t="str">
        <f t="shared" si="4"/>
        <v>04/04/2026</v>
      </c>
    </row>
    <row r="68" spans="1:34" ht="30" customHeight="1" x14ac:dyDescent="0.2">
      <c r="A68" s="230" t="s">
        <v>197</v>
      </c>
      <c r="B68" s="255">
        <v>2689605019</v>
      </c>
      <c r="C68" s="230" t="s">
        <v>127</v>
      </c>
      <c r="D68" s="230" t="s">
        <v>63</v>
      </c>
      <c r="E68" s="230" t="s">
        <v>198</v>
      </c>
      <c r="F68" s="230" t="s">
        <v>3365</v>
      </c>
      <c r="G68" s="230">
        <v>1</v>
      </c>
      <c r="H68" s="230"/>
      <c r="I68" s="230" t="s">
        <v>1671</v>
      </c>
      <c r="J68" s="230" t="s">
        <v>3275</v>
      </c>
      <c r="K68" s="230"/>
      <c r="L68" s="235" t="s">
        <v>449</v>
      </c>
      <c r="M68" s="235">
        <v>46116.526388888888</v>
      </c>
      <c r="N68" s="230" t="s">
        <v>294</v>
      </c>
      <c r="O68" s="233" t="s">
        <v>204</v>
      </c>
      <c r="P68" s="169"/>
      <c r="Q68" s="144" t="s">
        <v>204</v>
      </c>
      <c r="R68" s="56"/>
      <c r="S68" s="144" t="s">
        <v>204</v>
      </c>
      <c r="T68" s="56"/>
      <c r="U68" s="144" t="s">
        <v>204</v>
      </c>
      <c r="V68" s="56"/>
      <c r="W68" s="144" t="s">
        <v>204</v>
      </c>
      <c r="X68" s="56"/>
      <c r="Y68" s="144" t="s">
        <v>204</v>
      </c>
      <c r="Z68" s="186" t="str">
        <f t="shared" si="6"/>
        <v>C</v>
      </c>
      <c r="AA68" s="217" t="str">
        <f t="shared" si="5"/>
        <v>UTILIZOU O PDA CORRETAMENTE</v>
      </c>
      <c r="AB68" s="92" t="s">
        <v>204</v>
      </c>
      <c r="AC68" s="218" t="s">
        <v>6</v>
      </c>
      <c r="AD68" s="151" t="str">
        <f t="shared" si="7"/>
        <v>GUARULHOS</v>
      </c>
      <c r="AE68" s="58" t="s">
        <v>63</v>
      </c>
      <c r="AF68" s="53">
        <v>-1.34E-2</v>
      </c>
      <c r="AG68" s="53" t="str" cm="1">
        <f t="array" ref="AG68">IF(OR(O68&lt;&gt;"", SUMPRODUCT(($AH$2:$AH$4999=AH68)*($AF$2:$AF$4999&lt;=AF68)) &lt;= (COUNTIF($AH$2:$AH$4999,AH68)*0.3)), "SORTEADO", "-")</f>
        <v>SORTEADO</v>
      </c>
      <c r="AH68" s="257" t="str">
        <f t="shared" si="4"/>
        <v>04/04/2026</v>
      </c>
    </row>
    <row r="69" spans="1:34" ht="30" customHeight="1" x14ac:dyDescent="0.2">
      <c r="A69" s="230" t="s">
        <v>197</v>
      </c>
      <c r="B69" s="255">
        <v>2689605080</v>
      </c>
      <c r="C69" s="230" t="s">
        <v>127</v>
      </c>
      <c r="D69" s="230" t="s">
        <v>63</v>
      </c>
      <c r="E69" s="230" t="s">
        <v>198</v>
      </c>
      <c r="F69" s="230" t="s">
        <v>3366</v>
      </c>
      <c r="G69" s="230">
        <v>749</v>
      </c>
      <c r="H69" s="230" t="s">
        <v>3367</v>
      </c>
      <c r="I69" s="230" t="s">
        <v>611</v>
      </c>
      <c r="J69" s="230" t="s">
        <v>3275</v>
      </c>
      <c r="K69" s="230" t="s">
        <v>213</v>
      </c>
      <c r="L69" s="235" t="s">
        <v>449</v>
      </c>
      <c r="M69" s="235">
        <v>46116.552083333336</v>
      </c>
      <c r="N69" s="230" t="s">
        <v>3289</v>
      </c>
      <c r="O69" s="233" t="s">
        <v>204</v>
      </c>
      <c r="P69" s="169"/>
      <c r="Q69" s="144" t="s">
        <v>204</v>
      </c>
      <c r="R69" s="56"/>
      <c r="S69" s="144" t="s">
        <v>204</v>
      </c>
      <c r="T69" s="56"/>
      <c r="U69" s="144" t="s">
        <v>204</v>
      </c>
      <c r="V69" s="56"/>
      <c r="W69" s="144" t="s">
        <v>204</v>
      </c>
      <c r="X69" s="56"/>
      <c r="Y69" s="144" t="s">
        <v>204</v>
      </c>
      <c r="Z69" s="186" t="str">
        <f t="shared" si="6"/>
        <v>C</v>
      </c>
      <c r="AA69" s="217" t="str">
        <f t="shared" si="5"/>
        <v>UTILIZOU O PDA CORRETAMENTE</v>
      </c>
      <c r="AB69" s="92" t="s">
        <v>204</v>
      </c>
      <c r="AC69" s="218" t="s">
        <v>6</v>
      </c>
      <c r="AD69" s="151" t="str">
        <f t="shared" si="7"/>
        <v>GUARULHOS</v>
      </c>
      <c r="AE69" s="58" t="s">
        <v>63</v>
      </c>
      <c r="AF69" s="53">
        <v>-1.3599999999999999E-2</v>
      </c>
      <c r="AG69" s="53" t="str" cm="1">
        <f t="array" ref="AG69">IF(OR(O69&lt;&gt;"", SUMPRODUCT(($AH$2:$AH$4999=AH69)*($AF$2:$AF$4999&lt;=AF69)) &lt;= (COUNTIF($AH$2:$AH$4999,AH69)*0.3)), "SORTEADO", "-")</f>
        <v>SORTEADO</v>
      </c>
      <c r="AH69" s="257" t="str">
        <f t="shared" si="4"/>
        <v>04/04/2026</v>
      </c>
    </row>
    <row r="70" spans="1:34" ht="30" customHeight="1" x14ac:dyDescent="0.2">
      <c r="A70" s="230" t="s">
        <v>197</v>
      </c>
      <c r="B70" s="255">
        <v>2689604456</v>
      </c>
      <c r="C70" s="230" t="s">
        <v>127</v>
      </c>
      <c r="D70" s="230" t="s">
        <v>63</v>
      </c>
      <c r="E70" s="230" t="s">
        <v>198</v>
      </c>
      <c r="F70" s="230" t="s">
        <v>3368</v>
      </c>
      <c r="G70" s="230">
        <v>60</v>
      </c>
      <c r="H70" s="230"/>
      <c r="I70" s="230" t="s">
        <v>253</v>
      </c>
      <c r="J70" s="230" t="s">
        <v>3275</v>
      </c>
      <c r="K70" s="230"/>
      <c r="L70" s="235" t="s">
        <v>449</v>
      </c>
      <c r="M70" s="235">
        <v>46116.552777777775</v>
      </c>
      <c r="N70" s="230" t="s">
        <v>3276</v>
      </c>
      <c r="O70" s="233" t="s">
        <v>204</v>
      </c>
      <c r="P70" s="169"/>
      <c r="Q70" s="144" t="s">
        <v>204</v>
      </c>
      <c r="R70" s="56"/>
      <c r="S70" s="144" t="s">
        <v>204</v>
      </c>
      <c r="T70" s="56"/>
      <c r="U70" s="144" t="s">
        <v>204</v>
      </c>
      <c r="V70" s="56"/>
      <c r="W70" s="144" t="s">
        <v>204</v>
      </c>
      <c r="X70" s="56"/>
      <c r="Y70" s="144" t="s">
        <v>204</v>
      </c>
      <c r="Z70" s="186" t="str">
        <f t="shared" si="6"/>
        <v>C</v>
      </c>
      <c r="AA70" s="217" t="str">
        <f t="shared" si="5"/>
        <v>UTILIZOU O PDA CORRETAMENTE</v>
      </c>
      <c r="AB70" s="92" t="s">
        <v>204</v>
      </c>
      <c r="AC70" s="218" t="s">
        <v>6</v>
      </c>
      <c r="AD70" s="151" t="str">
        <f t="shared" si="7"/>
        <v>GUARULHOS</v>
      </c>
      <c r="AE70" s="58" t="s">
        <v>63</v>
      </c>
      <c r="AF70" s="53">
        <v>-1.38E-2</v>
      </c>
      <c r="AG70" s="53" t="str" cm="1">
        <f t="array" ref="AG70">IF(OR(O70&lt;&gt;"", SUMPRODUCT(($AH$2:$AH$4999=AH70)*($AF$2:$AF$4999&lt;=AF70)) &lt;= (COUNTIF($AH$2:$AH$4999,AH70)*0.3)), "SORTEADO", "-")</f>
        <v>SORTEADO</v>
      </c>
      <c r="AH70" s="257" t="str">
        <f t="shared" si="4"/>
        <v>04/04/2026</v>
      </c>
    </row>
    <row r="71" spans="1:34" ht="30" customHeight="1" x14ac:dyDescent="0.2">
      <c r="A71" s="230" t="s">
        <v>197</v>
      </c>
      <c r="B71" s="255">
        <v>2689603741</v>
      </c>
      <c r="C71" s="230" t="s">
        <v>131</v>
      </c>
      <c r="D71" s="230" t="s">
        <v>63</v>
      </c>
      <c r="E71" s="230" t="s">
        <v>198</v>
      </c>
      <c r="F71" s="230" t="s">
        <v>3369</v>
      </c>
      <c r="G71" s="230">
        <v>11</v>
      </c>
      <c r="H71" s="230" t="s">
        <v>3370</v>
      </c>
      <c r="I71" s="230" t="s">
        <v>1905</v>
      </c>
      <c r="J71" s="230" t="s">
        <v>3271</v>
      </c>
      <c r="K71" s="230"/>
      <c r="L71" s="235" t="s">
        <v>449</v>
      </c>
      <c r="M71" s="235">
        <v>46116.626388888886</v>
      </c>
      <c r="N71" s="230" t="s">
        <v>1099</v>
      </c>
      <c r="O71" s="233" t="s">
        <v>204</v>
      </c>
      <c r="P71" s="169"/>
      <c r="Q71" s="144" t="s">
        <v>204</v>
      </c>
      <c r="R71" s="56"/>
      <c r="S71" s="144" t="s">
        <v>204</v>
      </c>
      <c r="T71" s="56"/>
      <c r="U71" s="144" t="s">
        <v>204</v>
      </c>
      <c r="V71" s="56"/>
      <c r="W71" s="144" t="s">
        <v>204</v>
      </c>
      <c r="X71" s="56"/>
      <c r="Y71" s="144" t="s">
        <v>204</v>
      </c>
      <c r="Z71" s="186" t="str">
        <f t="shared" si="6"/>
        <v>C</v>
      </c>
      <c r="AA71" s="217" t="str">
        <f t="shared" si="5"/>
        <v>UTILIZOU O PDA CORRETAMENTE</v>
      </c>
      <c r="AB71" s="92" t="s">
        <v>204</v>
      </c>
      <c r="AC71" s="218" t="s">
        <v>6</v>
      </c>
      <c r="AD71" s="151" t="str">
        <f t="shared" si="7"/>
        <v>GUARULHOS</v>
      </c>
      <c r="AE71" s="58" t="s">
        <v>63</v>
      </c>
      <c r="AF71" s="53">
        <v>-1.4E-2</v>
      </c>
      <c r="AG71" s="53" t="str" cm="1">
        <f t="array" ref="AG71">IF(OR(O71&lt;&gt;"", SUMPRODUCT(($AH$2:$AH$4999=AH71)*($AF$2:$AF$4999&lt;=AF71)) &lt;= (COUNTIF($AH$2:$AH$4999,AH71)*0.3)), "SORTEADO", "-")</f>
        <v>SORTEADO</v>
      </c>
      <c r="AH71" s="257" t="str">
        <f t="shared" si="4"/>
        <v>04/04/2026</v>
      </c>
    </row>
    <row r="72" spans="1:34" ht="30" customHeight="1" x14ac:dyDescent="0.2">
      <c r="A72" s="230" t="s">
        <v>197</v>
      </c>
      <c r="B72" s="255">
        <v>2689598567</v>
      </c>
      <c r="C72" s="230" t="s">
        <v>133</v>
      </c>
      <c r="D72" s="230" t="s">
        <v>124</v>
      </c>
      <c r="E72" s="230" t="s">
        <v>198</v>
      </c>
      <c r="F72" s="230" t="s">
        <v>3371</v>
      </c>
      <c r="G72" s="230">
        <v>56</v>
      </c>
      <c r="H72" s="230" t="s">
        <v>3372</v>
      </c>
      <c r="I72" s="230" t="s">
        <v>3373</v>
      </c>
      <c r="J72" s="230" t="s">
        <v>3275</v>
      </c>
      <c r="K72" s="230" t="s">
        <v>213</v>
      </c>
      <c r="L72" s="235" t="s">
        <v>449</v>
      </c>
      <c r="M72" s="235">
        <v>46116.40347222222</v>
      </c>
      <c r="N72" s="230" t="s">
        <v>294</v>
      </c>
      <c r="O72" s="233" t="s">
        <v>204</v>
      </c>
      <c r="P72" s="169"/>
      <c r="Q72" s="144" t="s">
        <v>204</v>
      </c>
      <c r="R72" s="56"/>
      <c r="S72" s="144" t="s">
        <v>204</v>
      </c>
      <c r="T72" s="56"/>
      <c r="U72" s="144" t="s">
        <v>204</v>
      </c>
      <c r="V72" s="56"/>
      <c r="W72" s="144" t="s">
        <v>204</v>
      </c>
      <c r="X72" s="56"/>
      <c r="Y72" s="144" t="s">
        <v>204</v>
      </c>
      <c r="Z72" s="186" t="str">
        <f t="shared" si="6"/>
        <v>C</v>
      </c>
      <c r="AA72" s="217" t="str">
        <f t="shared" si="5"/>
        <v>UTILIZOU O PDA CORRETAMENTE</v>
      </c>
      <c r="AB72" s="92" t="s">
        <v>204</v>
      </c>
      <c r="AC72" s="218" t="s">
        <v>6</v>
      </c>
      <c r="AD72" s="151" t="str">
        <f t="shared" si="7"/>
        <v>GUARULHOS</v>
      </c>
      <c r="AE72" s="58" t="s">
        <v>63</v>
      </c>
      <c r="AF72" s="53">
        <v>-1.4200000000000001E-2</v>
      </c>
      <c r="AG72" s="53" t="str" cm="1">
        <f t="array" ref="AG72">IF(OR(O72&lt;&gt;"", SUMPRODUCT(($AH$2:$AH$4999=AH72)*($AF$2:$AF$4999&lt;=AF72)) &lt;= (COUNTIF($AH$2:$AH$4999,AH72)*0.3)), "SORTEADO", "-")</f>
        <v>SORTEADO</v>
      </c>
      <c r="AH72" s="257" t="str">
        <f t="shared" si="4"/>
        <v>04/04/2026</v>
      </c>
    </row>
    <row r="73" spans="1:34" ht="30" customHeight="1" x14ac:dyDescent="0.2">
      <c r="A73" s="230" t="s">
        <v>197</v>
      </c>
      <c r="B73" s="255">
        <v>2689601491</v>
      </c>
      <c r="C73" s="230" t="s">
        <v>133</v>
      </c>
      <c r="D73" s="230" t="s">
        <v>124</v>
      </c>
      <c r="E73" s="230" t="s">
        <v>198</v>
      </c>
      <c r="F73" s="230" t="s">
        <v>3374</v>
      </c>
      <c r="G73" s="230">
        <v>399</v>
      </c>
      <c r="H73" s="230" t="s">
        <v>3375</v>
      </c>
      <c r="I73" s="230" t="s">
        <v>3376</v>
      </c>
      <c r="J73" s="230" t="s">
        <v>3275</v>
      </c>
      <c r="K73" s="230"/>
      <c r="L73" s="235" t="s">
        <v>449</v>
      </c>
      <c r="M73" s="235">
        <v>46116.495833333334</v>
      </c>
      <c r="N73" s="230" t="s">
        <v>3289</v>
      </c>
      <c r="O73" s="233" t="s">
        <v>204</v>
      </c>
      <c r="P73" s="169"/>
      <c r="Q73" s="144" t="s">
        <v>204</v>
      </c>
      <c r="R73" s="56"/>
      <c r="S73" s="144" t="s">
        <v>204</v>
      </c>
      <c r="T73" s="56"/>
      <c r="U73" s="144" t="s">
        <v>204</v>
      </c>
      <c r="V73" s="56"/>
      <c r="W73" s="144" t="s">
        <v>204</v>
      </c>
      <c r="X73" s="56"/>
      <c r="Y73" s="144" t="s">
        <v>204</v>
      </c>
      <c r="Z73" s="186" t="str">
        <f t="shared" si="6"/>
        <v>C</v>
      </c>
      <c r="AA73" s="217" t="str">
        <f t="shared" si="5"/>
        <v>UTILIZOU O PDA CORRETAMENTE</v>
      </c>
      <c r="AB73" s="92" t="s">
        <v>204</v>
      </c>
      <c r="AC73" s="218" t="s">
        <v>6</v>
      </c>
      <c r="AD73" s="151" t="str">
        <f t="shared" si="7"/>
        <v>GUARULHOS</v>
      </c>
      <c r="AE73" s="58" t="s">
        <v>63</v>
      </c>
      <c r="AF73" s="53">
        <v>-1.44E-2</v>
      </c>
      <c r="AG73" s="53" t="str" cm="1">
        <f t="array" ref="AG73">IF(OR(O73&lt;&gt;"", SUMPRODUCT(($AH$2:$AH$4999=AH73)*($AF$2:$AF$4999&lt;=AF73)) &lt;= (COUNTIF($AH$2:$AH$4999,AH73)*0.3)), "SORTEADO", "-")</f>
        <v>SORTEADO</v>
      </c>
      <c r="AH73" s="257" t="str">
        <f t="shared" si="4"/>
        <v>04/04/2026</v>
      </c>
    </row>
    <row r="74" spans="1:34" ht="30" customHeight="1" x14ac:dyDescent="0.2">
      <c r="A74" s="230" t="s">
        <v>197</v>
      </c>
      <c r="B74" s="255">
        <v>2614311408</v>
      </c>
      <c r="C74" s="230" t="s">
        <v>133</v>
      </c>
      <c r="D74" s="230" t="s">
        <v>124</v>
      </c>
      <c r="E74" s="230" t="s">
        <v>198</v>
      </c>
      <c r="F74" s="230" t="s">
        <v>3377</v>
      </c>
      <c r="G74" s="230">
        <v>174</v>
      </c>
      <c r="H74" s="230" t="s">
        <v>3378</v>
      </c>
      <c r="I74" s="230" t="s">
        <v>258</v>
      </c>
      <c r="J74" s="230" t="s">
        <v>3275</v>
      </c>
      <c r="K74" s="230" t="s">
        <v>213</v>
      </c>
      <c r="L74" s="235" t="s">
        <v>449</v>
      </c>
      <c r="M74" s="235">
        <v>46116.53125</v>
      </c>
      <c r="N74" s="230" t="s">
        <v>3338</v>
      </c>
      <c r="O74" s="233" t="s">
        <v>204</v>
      </c>
      <c r="P74" s="169"/>
      <c r="Q74" s="144" t="s">
        <v>204</v>
      </c>
      <c r="R74" s="56"/>
      <c r="S74" s="144" t="s">
        <v>204</v>
      </c>
      <c r="T74" s="56"/>
      <c r="U74" s="144" t="s">
        <v>204</v>
      </c>
      <c r="V74" s="56"/>
      <c r="W74" s="144" t="s">
        <v>204</v>
      </c>
      <c r="X74" s="56"/>
      <c r="Y74" s="144" t="s">
        <v>204</v>
      </c>
      <c r="Z74" s="186" t="str">
        <f t="shared" si="6"/>
        <v>C</v>
      </c>
      <c r="AA74" s="217" t="str">
        <f t="shared" si="5"/>
        <v>UTILIZOU O PDA CORRETAMENTE</v>
      </c>
      <c r="AB74" s="92" t="s">
        <v>204</v>
      </c>
      <c r="AC74" s="218" t="s">
        <v>6</v>
      </c>
      <c r="AD74" s="151" t="str">
        <f t="shared" si="7"/>
        <v>GUARULHOS</v>
      </c>
      <c r="AE74" s="58" t="s">
        <v>63</v>
      </c>
      <c r="AF74" s="53">
        <v>-1.46E-2</v>
      </c>
      <c r="AG74" s="53" t="str" cm="1">
        <f t="array" ref="AG74">IF(OR(O74&lt;&gt;"", SUMPRODUCT(($AH$2:$AH$4999=AH74)*($AF$2:$AF$4999&lt;=AF74)) &lt;= (COUNTIF($AH$2:$AH$4999,AH74)*0.3)), "SORTEADO", "-")</f>
        <v>SORTEADO</v>
      </c>
      <c r="AH74" s="257" t="str">
        <f t="shared" si="4"/>
        <v>04/04/2026</v>
      </c>
    </row>
    <row r="75" spans="1:34" ht="30" customHeight="1" x14ac:dyDescent="0.2">
      <c r="A75" s="230" t="s">
        <v>197</v>
      </c>
      <c r="B75" s="255">
        <v>2689600028</v>
      </c>
      <c r="C75" s="230" t="s">
        <v>133</v>
      </c>
      <c r="D75" s="230" t="s">
        <v>124</v>
      </c>
      <c r="E75" s="230" t="s">
        <v>198</v>
      </c>
      <c r="F75" s="230" t="s">
        <v>1355</v>
      </c>
      <c r="G75" s="230">
        <v>92</v>
      </c>
      <c r="H75" s="230" t="s">
        <v>353</v>
      </c>
      <c r="I75" s="230" t="s">
        <v>588</v>
      </c>
      <c r="J75" s="230" t="s">
        <v>3275</v>
      </c>
      <c r="K75" s="230" t="s">
        <v>3363</v>
      </c>
      <c r="L75" s="235" t="s">
        <v>449</v>
      </c>
      <c r="M75" s="235">
        <v>46116.540972222225</v>
      </c>
      <c r="N75" s="230" t="s">
        <v>3276</v>
      </c>
      <c r="O75" s="233" t="s">
        <v>204</v>
      </c>
      <c r="P75" s="169"/>
      <c r="Q75" s="144" t="s">
        <v>204</v>
      </c>
      <c r="R75" s="56"/>
      <c r="S75" s="144" t="s">
        <v>204</v>
      </c>
      <c r="T75" s="56"/>
      <c r="U75" s="144" t="s">
        <v>204</v>
      </c>
      <c r="V75" s="56"/>
      <c r="W75" s="144" t="s">
        <v>204</v>
      </c>
      <c r="X75" s="56"/>
      <c r="Y75" s="144" t="s">
        <v>204</v>
      </c>
      <c r="Z75" s="186" t="str">
        <f t="shared" si="6"/>
        <v>C</v>
      </c>
      <c r="AA75" s="217" t="str">
        <f t="shared" si="5"/>
        <v>UTILIZOU O PDA CORRETAMENTE</v>
      </c>
      <c r="AB75" s="92" t="s">
        <v>204</v>
      </c>
      <c r="AC75" s="218" t="s">
        <v>6</v>
      </c>
      <c r="AD75" s="151" t="str">
        <f t="shared" si="7"/>
        <v>GUARULHOS</v>
      </c>
      <c r="AE75" s="58" t="s">
        <v>63</v>
      </c>
      <c r="AF75" s="53">
        <v>-1.4800000000000001E-2</v>
      </c>
      <c r="AG75" s="53" t="str" cm="1">
        <f t="array" ref="AG75">IF(OR(O75&lt;&gt;"", SUMPRODUCT(($AH$2:$AH$4999=AH75)*($AF$2:$AF$4999&lt;=AF75)) &lt;= (COUNTIF($AH$2:$AH$4999,AH75)*0.3)), "SORTEADO", "-")</f>
        <v>SORTEADO</v>
      </c>
      <c r="AH75" s="257" t="str">
        <f t="shared" si="4"/>
        <v>04/04/2026</v>
      </c>
    </row>
    <row r="76" spans="1:34" ht="30" customHeight="1" x14ac:dyDescent="0.2">
      <c r="A76" s="230" t="s">
        <v>197</v>
      </c>
      <c r="B76" s="255">
        <v>2689602961</v>
      </c>
      <c r="C76" s="230" t="s">
        <v>133</v>
      </c>
      <c r="D76" s="230" t="s">
        <v>124</v>
      </c>
      <c r="E76" s="230" t="s">
        <v>198</v>
      </c>
      <c r="F76" s="230" t="s">
        <v>343</v>
      </c>
      <c r="G76" s="230">
        <v>559</v>
      </c>
      <c r="H76" s="230" t="s">
        <v>350</v>
      </c>
      <c r="I76" s="230" t="s">
        <v>345</v>
      </c>
      <c r="J76" s="230" t="s">
        <v>3275</v>
      </c>
      <c r="K76" s="230" t="s">
        <v>213</v>
      </c>
      <c r="L76" s="235" t="s">
        <v>449</v>
      </c>
      <c r="M76" s="235">
        <v>46116.588888888888</v>
      </c>
      <c r="N76" s="230" t="s">
        <v>3289</v>
      </c>
      <c r="O76" s="233" t="s">
        <v>204</v>
      </c>
      <c r="P76" s="169"/>
      <c r="Q76" s="144" t="s">
        <v>204</v>
      </c>
      <c r="R76" s="56"/>
      <c r="S76" s="144" t="s">
        <v>204</v>
      </c>
      <c r="T76" s="56"/>
      <c r="U76" s="144" t="s">
        <v>204</v>
      </c>
      <c r="V76" s="56"/>
      <c r="W76" s="144" t="s">
        <v>204</v>
      </c>
      <c r="X76" s="56"/>
      <c r="Y76" s="144" t="s">
        <v>204</v>
      </c>
      <c r="Z76" s="186" t="str">
        <f t="shared" si="6"/>
        <v>C</v>
      </c>
      <c r="AA76" s="217" t="str">
        <f t="shared" si="5"/>
        <v>UTILIZOU O PDA CORRETAMENTE</v>
      </c>
      <c r="AB76" s="92" t="s">
        <v>204</v>
      </c>
      <c r="AC76" s="218" t="s">
        <v>6</v>
      </c>
      <c r="AD76" s="151" t="str">
        <f t="shared" si="7"/>
        <v>GUARULHOS</v>
      </c>
      <c r="AE76" s="58" t="s">
        <v>63</v>
      </c>
      <c r="AF76" s="53">
        <v>-1.4999999999999999E-2</v>
      </c>
      <c r="AG76" s="53" t="str" cm="1">
        <f t="array" ref="AG76">IF(OR(O76&lt;&gt;"", SUMPRODUCT(($AH$2:$AH$4999=AH76)*($AF$2:$AF$4999&lt;=AF76)) &lt;= (COUNTIF($AH$2:$AH$4999,AH76)*0.3)), "SORTEADO", "-")</f>
        <v>SORTEADO</v>
      </c>
      <c r="AH76" s="257" t="str">
        <f t="shared" si="4"/>
        <v>04/04/2026</v>
      </c>
    </row>
    <row r="77" spans="1:34" ht="30" customHeight="1" x14ac:dyDescent="0.2">
      <c r="A77" s="230" t="s">
        <v>197</v>
      </c>
      <c r="B77" s="255">
        <v>2689602471</v>
      </c>
      <c r="C77" s="230" t="s">
        <v>133</v>
      </c>
      <c r="D77" s="230" t="s">
        <v>124</v>
      </c>
      <c r="E77" s="230" t="s">
        <v>198</v>
      </c>
      <c r="F77" s="230" t="s">
        <v>3379</v>
      </c>
      <c r="G77" s="230">
        <v>379</v>
      </c>
      <c r="H77" s="230" t="s">
        <v>3380</v>
      </c>
      <c r="I77" s="230" t="s">
        <v>1150</v>
      </c>
      <c r="J77" s="230" t="s">
        <v>3275</v>
      </c>
      <c r="K77" s="230"/>
      <c r="L77" s="235" t="s">
        <v>449</v>
      </c>
      <c r="M77" s="235">
        <v>46116.543749999997</v>
      </c>
      <c r="N77" s="230" t="s">
        <v>3338</v>
      </c>
      <c r="O77" s="233" t="s">
        <v>204</v>
      </c>
      <c r="P77" s="169"/>
      <c r="Q77" s="144" t="s">
        <v>204</v>
      </c>
      <c r="R77" s="56"/>
      <c r="S77" s="144" t="s">
        <v>204</v>
      </c>
      <c r="T77" s="56"/>
      <c r="U77" s="144" t="s">
        <v>204</v>
      </c>
      <c r="V77" s="56"/>
      <c r="W77" s="144" t="s">
        <v>204</v>
      </c>
      <c r="X77" s="56"/>
      <c r="Y77" s="144" t="s">
        <v>204</v>
      </c>
      <c r="Z77" s="186" t="str">
        <f t="shared" si="6"/>
        <v>C</v>
      </c>
      <c r="AA77" s="217" t="str">
        <f t="shared" si="5"/>
        <v>UTILIZOU O PDA CORRETAMENTE</v>
      </c>
      <c r="AB77" s="92" t="s">
        <v>204</v>
      </c>
      <c r="AC77" s="218" t="s">
        <v>6</v>
      </c>
      <c r="AD77" s="151" t="str">
        <f t="shared" si="7"/>
        <v>GUARULHOS</v>
      </c>
      <c r="AE77" s="58" t="s">
        <v>63</v>
      </c>
      <c r="AF77" s="53">
        <v>-1.52E-2</v>
      </c>
      <c r="AG77" s="53" t="str" cm="1">
        <f t="array" ref="AG77">IF(OR(O77&lt;&gt;"", SUMPRODUCT(($AH$2:$AH$4999=AH77)*($AF$2:$AF$4999&lt;=AF77)) &lt;= (COUNTIF($AH$2:$AH$4999,AH77)*0.3)), "SORTEADO", "-")</f>
        <v>SORTEADO</v>
      </c>
      <c r="AH77" s="257" t="str">
        <f t="shared" si="4"/>
        <v>04/04/2026</v>
      </c>
    </row>
    <row r="78" spans="1:34" ht="30" customHeight="1" x14ac:dyDescent="0.2">
      <c r="A78" s="230" t="s">
        <v>197</v>
      </c>
      <c r="B78" s="255">
        <v>2689605448</v>
      </c>
      <c r="C78" s="230" t="s">
        <v>133</v>
      </c>
      <c r="D78" s="230" t="s">
        <v>124</v>
      </c>
      <c r="E78" s="230" t="s">
        <v>198</v>
      </c>
      <c r="F78" s="230" t="s">
        <v>3381</v>
      </c>
      <c r="G78" s="230">
        <v>90</v>
      </c>
      <c r="H78" s="230" t="s">
        <v>217</v>
      </c>
      <c r="I78" s="230" t="s">
        <v>214</v>
      </c>
      <c r="J78" s="230" t="s">
        <v>3275</v>
      </c>
      <c r="K78" s="230" t="s">
        <v>3363</v>
      </c>
      <c r="L78" s="235" t="s">
        <v>449</v>
      </c>
      <c r="M78" s="235">
        <v>46116.620138888888</v>
      </c>
      <c r="N78" s="230" t="s">
        <v>3276</v>
      </c>
      <c r="O78" s="233" t="s">
        <v>204</v>
      </c>
      <c r="P78" s="169"/>
      <c r="Q78" s="144" t="s">
        <v>204</v>
      </c>
      <c r="R78" s="56"/>
      <c r="S78" s="144" t="s">
        <v>204</v>
      </c>
      <c r="T78" s="56"/>
      <c r="U78" s="144" t="s">
        <v>204</v>
      </c>
      <c r="V78" s="56"/>
      <c r="W78" s="144" t="s">
        <v>204</v>
      </c>
      <c r="X78" s="56"/>
      <c r="Y78" s="144" t="s">
        <v>204</v>
      </c>
      <c r="Z78" s="186" t="str">
        <f t="shared" si="6"/>
        <v>C</v>
      </c>
      <c r="AA78" s="217" t="str">
        <f t="shared" si="5"/>
        <v>UTILIZOU O PDA CORRETAMENTE</v>
      </c>
      <c r="AB78" s="92" t="s">
        <v>204</v>
      </c>
      <c r="AC78" s="218" t="s">
        <v>6</v>
      </c>
      <c r="AD78" s="151" t="str">
        <f t="shared" si="7"/>
        <v>GUARULHOS</v>
      </c>
      <c r="AE78" s="58" t="s">
        <v>63</v>
      </c>
      <c r="AF78" s="53">
        <v>-1.54E-2</v>
      </c>
      <c r="AG78" s="53" t="str" cm="1">
        <f t="array" ref="AG78">IF(OR(O78&lt;&gt;"", SUMPRODUCT(($AH$2:$AH$4999=AH78)*($AF$2:$AF$4999&lt;=AF78)) &lt;= (COUNTIF($AH$2:$AH$4999,AH78)*0.3)), "SORTEADO", "-")</f>
        <v>SORTEADO</v>
      </c>
      <c r="AH78" s="257" t="str">
        <f t="shared" si="4"/>
        <v>04/04/2026</v>
      </c>
    </row>
    <row r="79" spans="1:34" ht="30" customHeight="1" x14ac:dyDescent="0.2">
      <c r="A79" s="230" t="s">
        <v>197</v>
      </c>
      <c r="B79" s="255">
        <v>2689603558</v>
      </c>
      <c r="C79" s="230" t="s">
        <v>133</v>
      </c>
      <c r="D79" s="230" t="s">
        <v>124</v>
      </c>
      <c r="E79" s="230" t="s">
        <v>198</v>
      </c>
      <c r="F79" s="230" t="s">
        <v>3382</v>
      </c>
      <c r="G79" s="230">
        <v>123</v>
      </c>
      <c r="H79" s="230"/>
      <c r="I79" s="230" t="s">
        <v>345</v>
      </c>
      <c r="J79" s="230" t="s">
        <v>3275</v>
      </c>
      <c r="K79" s="230"/>
      <c r="L79" s="235" t="s">
        <v>449</v>
      </c>
      <c r="M79" s="235">
        <v>46116.628472222219</v>
      </c>
      <c r="N79" s="230" t="s">
        <v>3289</v>
      </c>
      <c r="O79" s="233" t="s">
        <v>204</v>
      </c>
      <c r="P79" s="169"/>
      <c r="Q79" s="144" t="s">
        <v>204</v>
      </c>
      <c r="R79" s="56"/>
      <c r="S79" s="144" t="s">
        <v>204</v>
      </c>
      <c r="T79" s="56"/>
      <c r="U79" s="144" t="s">
        <v>204</v>
      </c>
      <c r="V79" s="56"/>
      <c r="W79" s="144" t="s">
        <v>204</v>
      </c>
      <c r="X79" s="56"/>
      <c r="Y79" s="144" t="s">
        <v>204</v>
      </c>
      <c r="Z79" s="186" t="str">
        <f t="shared" si="6"/>
        <v>C</v>
      </c>
      <c r="AA79" s="217" t="str">
        <f t="shared" si="5"/>
        <v>UTILIZOU O PDA CORRETAMENTE</v>
      </c>
      <c r="AB79" s="92" t="s">
        <v>204</v>
      </c>
      <c r="AC79" s="218" t="s">
        <v>6</v>
      </c>
      <c r="AD79" s="151" t="str">
        <f t="shared" si="7"/>
        <v>GUARULHOS</v>
      </c>
      <c r="AE79" s="58" t="s">
        <v>63</v>
      </c>
      <c r="AF79" s="53">
        <v>-1.5599999999999999E-2</v>
      </c>
      <c r="AG79" s="53" t="str" cm="1">
        <f t="array" ref="AG79">IF(OR(O79&lt;&gt;"", SUMPRODUCT(($AH$2:$AH$4999=AH79)*($AF$2:$AF$4999&lt;=AF79)) &lt;= (COUNTIF($AH$2:$AH$4999,AH79)*0.3)), "SORTEADO", "-")</f>
        <v>SORTEADO</v>
      </c>
      <c r="AH79" s="257" t="str">
        <f t="shared" si="4"/>
        <v>04/04/2026</v>
      </c>
    </row>
    <row r="80" spans="1:34" ht="30" hidden="1" customHeight="1" x14ac:dyDescent="0.2">
      <c r="A80" s="230" t="s">
        <v>197</v>
      </c>
      <c r="B80" s="230">
        <v>2614318460</v>
      </c>
      <c r="C80" s="230" t="s">
        <v>135</v>
      </c>
      <c r="D80" s="230" t="s">
        <v>124</v>
      </c>
      <c r="E80" s="230" t="s">
        <v>198</v>
      </c>
      <c r="F80" s="230" t="s">
        <v>3382</v>
      </c>
      <c r="G80" s="230">
        <v>123</v>
      </c>
      <c r="H80" s="230" t="s">
        <v>213</v>
      </c>
      <c r="I80" s="230" t="s">
        <v>345</v>
      </c>
      <c r="J80" s="230" t="s">
        <v>3280</v>
      </c>
      <c r="K80" s="230" t="s">
        <v>3383</v>
      </c>
      <c r="L80" s="235" t="s">
        <v>449</v>
      </c>
      <c r="M80" s="235">
        <v>46116.651388888888</v>
      </c>
      <c r="N80" s="230" t="s">
        <v>3289</v>
      </c>
      <c r="O80" s="233" t="s">
        <v>61</v>
      </c>
      <c r="P80" s="169"/>
      <c r="Q80" s="144" t="s">
        <v>61</v>
      </c>
      <c r="R80" s="56"/>
      <c r="S80" s="144" t="s">
        <v>61</v>
      </c>
      <c r="T80" s="56"/>
      <c r="U80" s="144" t="s">
        <v>61</v>
      </c>
      <c r="V80" s="56"/>
      <c r="W80" s="144" t="s">
        <v>61</v>
      </c>
      <c r="X80" s="56"/>
      <c r="Y80" s="144" t="s">
        <v>61</v>
      </c>
      <c r="Z80" s="186" t="str">
        <f t="shared" si="6"/>
        <v>NA</v>
      </c>
      <c r="AA80" s="217" t="str">
        <f t="shared" si="5"/>
        <v>NÃO AVALIADO POR FALHA DE SINCRONISMO</v>
      </c>
      <c r="AB80" s="92" t="s">
        <v>204</v>
      </c>
      <c r="AC80" s="218" t="s">
        <v>6</v>
      </c>
      <c r="AD80" s="151" t="str">
        <f t="shared" si="7"/>
        <v>GUARULHOS</v>
      </c>
      <c r="AE80" s="58" t="s">
        <v>63</v>
      </c>
      <c r="AF80" s="53">
        <v>-1.5800000000000002E-2</v>
      </c>
      <c r="AG80" s="53" t="str" cm="1">
        <f t="array" ref="AG80">IF(OR(O80&lt;&gt;"", SUMPRODUCT(($AH$2:$AH$4999=AH80)*($AF$2:$AF$4999&lt;=AF80)) &lt;= (COUNTIF($AH$2:$AH$4999,AH80)*0.3)), "SORTEADO", "-")</f>
        <v>SORTEADO</v>
      </c>
      <c r="AH80" s="257" t="str">
        <f t="shared" si="4"/>
        <v>04/04/2026</v>
      </c>
    </row>
    <row r="81" spans="1:34" ht="30" customHeight="1" x14ac:dyDescent="0.2">
      <c r="A81" s="230" t="s">
        <v>197</v>
      </c>
      <c r="B81" s="255">
        <v>2689589855</v>
      </c>
      <c r="C81" s="230" t="s">
        <v>126</v>
      </c>
      <c r="D81" s="230" t="s">
        <v>63</v>
      </c>
      <c r="E81" s="230" t="s">
        <v>198</v>
      </c>
      <c r="F81" s="230" t="s">
        <v>2767</v>
      </c>
      <c r="G81" s="230">
        <v>158</v>
      </c>
      <c r="H81" s="230"/>
      <c r="I81" s="230" t="s">
        <v>485</v>
      </c>
      <c r="J81" s="230" t="s">
        <v>3271</v>
      </c>
      <c r="K81" s="230"/>
      <c r="L81" s="235" t="s">
        <v>449</v>
      </c>
      <c r="M81" s="235">
        <v>46116.601388888892</v>
      </c>
      <c r="N81" s="230" t="s">
        <v>317</v>
      </c>
      <c r="O81" s="233" t="s">
        <v>204</v>
      </c>
      <c r="P81" s="169"/>
      <c r="Q81" s="144" t="s">
        <v>204</v>
      </c>
      <c r="R81" s="56"/>
      <c r="S81" s="144" t="s">
        <v>204</v>
      </c>
      <c r="T81" s="56"/>
      <c r="U81" s="144" t="s">
        <v>204</v>
      </c>
      <c r="V81" s="56"/>
      <c r="W81" s="144" t="s">
        <v>204</v>
      </c>
      <c r="X81" s="56"/>
      <c r="Y81" s="144" t="s">
        <v>204</v>
      </c>
      <c r="Z81" s="186" t="str">
        <f t="shared" si="6"/>
        <v>C</v>
      </c>
      <c r="AA81" s="217" t="str">
        <f t="shared" si="5"/>
        <v>UTILIZOU O PDA CORRETAMENTE</v>
      </c>
      <c r="AB81" s="92" t="s">
        <v>204</v>
      </c>
      <c r="AC81" s="218" t="s">
        <v>6</v>
      </c>
      <c r="AD81" s="151" t="str">
        <f t="shared" si="7"/>
        <v>GUARULHOS</v>
      </c>
      <c r="AE81" s="58" t="s">
        <v>63</v>
      </c>
      <c r="AF81" s="53">
        <v>-1.6E-2</v>
      </c>
      <c r="AG81" s="53" t="str" cm="1">
        <f t="array" ref="AG81">IF(OR(O81&lt;&gt;"", SUMPRODUCT(($AH$2:$AH$4999=AH81)*($AF$2:$AF$4999&lt;=AF81)) &lt;= (COUNTIF($AH$2:$AH$4999,AH81)*0.3)), "SORTEADO", "-")</f>
        <v>SORTEADO</v>
      </c>
      <c r="AH81" s="257" t="str">
        <f t="shared" si="4"/>
        <v>04/04/2026</v>
      </c>
    </row>
    <row r="82" spans="1:34" ht="30" customHeight="1" x14ac:dyDescent="0.2">
      <c r="A82" s="230" t="s">
        <v>197</v>
      </c>
      <c r="B82" s="255">
        <v>2614303233</v>
      </c>
      <c r="C82" s="230" t="s">
        <v>126</v>
      </c>
      <c r="D82" s="230" t="s">
        <v>63</v>
      </c>
      <c r="E82" s="230" t="s">
        <v>198</v>
      </c>
      <c r="F82" s="230" t="s">
        <v>2767</v>
      </c>
      <c r="G82" s="230">
        <v>178</v>
      </c>
      <c r="H82" s="230" t="s">
        <v>213</v>
      </c>
      <c r="I82" s="230" t="s">
        <v>485</v>
      </c>
      <c r="J82" s="230" t="s">
        <v>3271</v>
      </c>
      <c r="K82" s="230" t="s">
        <v>213</v>
      </c>
      <c r="L82" s="235" t="s">
        <v>449</v>
      </c>
      <c r="M82" s="235">
        <v>46116.65347222222</v>
      </c>
      <c r="N82" s="230" t="s">
        <v>317</v>
      </c>
      <c r="O82" s="233" t="s">
        <v>204</v>
      </c>
      <c r="P82" s="169"/>
      <c r="Q82" s="144" t="s">
        <v>204</v>
      </c>
      <c r="R82" s="56"/>
      <c r="S82" s="144" t="s">
        <v>204</v>
      </c>
      <c r="T82" s="56"/>
      <c r="U82" s="144" t="s">
        <v>204</v>
      </c>
      <c r="V82" s="56"/>
      <c r="W82" s="144" t="s">
        <v>328</v>
      </c>
      <c r="X82" s="56"/>
      <c r="Y82" s="144" t="s">
        <v>204</v>
      </c>
      <c r="Z82" s="186" t="str">
        <f t="shared" si="6"/>
        <v>NC</v>
      </c>
      <c r="AA82" s="217" t="str">
        <f t="shared" si="5"/>
        <v>UTILIZOU O PDA CORRETAMENTE. NÃO HÁ FOTOS DE TODAS AS ETAPAS</v>
      </c>
      <c r="AB82" s="92" t="s">
        <v>204</v>
      </c>
      <c r="AC82" s="218" t="s">
        <v>6</v>
      </c>
      <c r="AD82" s="151" t="str">
        <f t="shared" si="7"/>
        <v>GUARULHOS</v>
      </c>
      <c r="AE82" s="58" t="s">
        <v>63</v>
      </c>
      <c r="AF82" s="53">
        <v>-1.6199999999999999E-2</v>
      </c>
      <c r="AG82" s="53" t="str" cm="1">
        <f t="array" ref="AG82">IF(OR(O82&lt;&gt;"", SUMPRODUCT(($AH$2:$AH$4999=AH82)*($AF$2:$AF$4999&lt;=AF82)) &lt;= (COUNTIF($AH$2:$AH$4999,AH82)*0.3)), "SORTEADO", "-")</f>
        <v>SORTEADO</v>
      </c>
      <c r="AH82" s="257" t="str">
        <f t="shared" si="4"/>
        <v>04/04/2026</v>
      </c>
    </row>
    <row r="83" spans="1:34" ht="30" customHeight="1" x14ac:dyDescent="0.2">
      <c r="A83" s="230" t="s">
        <v>197</v>
      </c>
      <c r="B83" s="255">
        <v>2614319156</v>
      </c>
      <c r="C83" s="230" t="s">
        <v>127</v>
      </c>
      <c r="D83" s="230" t="s">
        <v>63</v>
      </c>
      <c r="E83" s="230" t="s">
        <v>198</v>
      </c>
      <c r="F83" s="230" t="s">
        <v>329</v>
      </c>
      <c r="G83" s="230">
        <v>696</v>
      </c>
      <c r="H83" s="230" t="s">
        <v>252</v>
      </c>
      <c r="I83" s="230" t="s">
        <v>331</v>
      </c>
      <c r="J83" s="230" t="s">
        <v>3275</v>
      </c>
      <c r="K83" s="230" t="s">
        <v>213</v>
      </c>
      <c r="L83" s="235" t="s">
        <v>455</v>
      </c>
      <c r="M83" s="235">
        <v>46146.417361111111</v>
      </c>
      <c r="N83" s="230" t="s">
        <v>294</v>
      </c>
      <c r="O83" s="233" t="s">
        <v>204</v>
      </c>
      <c r="P83" s="169"/>
      <c r="Q83" s="144" t="s">
        <v>204</v>
      </c>
      <c r="R83" s="56"/>
      <c r="S83" s="144" t="s">
        <v>204</v>
      </c>
      <c r="T83" s="56"/>
      <c r="U83" s="144" t="s">
        <v>204</v>
      </c>
      <c r="V83" s="56"/>
      <c r="W83" s="144" t="s">
        <v>204</v>
      </c>
      <c r="X83" s="56"/>
      <c r="Y83" s="144" t="s">
        <v>204</v>
      </c>
      <c r="Z83" s="186" t="str">
        <f t="shared" si="6"/>
        <v>C</v>
      </c>
      <c r="AA83" s="217" t="str">
        <f t="shared" si="5"/>
        <v>UTILIZOU O PDA CORRETAMENTE</v>
      </c>
      <c r="AB83" s="92" t="s">
        <v>204</v>
      </c>
      <c r="AC83" s="218" t="s">
        <v>6</v>
      </c>
      <c r="AD83" s="151" t="str">
        <f t="shared" si="7"/>
        <v>GUARULHOS</v>
      </c>
      <c r="AE83" s="58" t="s">
        <v>63</v>
      </c>
      <c r="AF83" s="53">
        <v>-1.6400000000000001E-2</v>
      </c>
      <c r="AG83" s="53" t="str" cm="1">
        <f t="array" ref="AG83">IF(OR(O83&lt;&gt;"", SUMPRODUCT(($AH$2:$AH$4999=AH83)*($AF$2:$AF$4999&lt;=AF83)) &lt;= (COUNTIF($AH$2:$AH$4999,AH83)*0.3)), "SORTEADO", "-")</f>
        <v>SORTEADO</v>
      </c>
      <c r="AH83" s="257" t="str">
        <f t="shared" si="4"/>
        <v>05/04/2026</v>
      </c>
    </row>
    <row r="84" spans="1:34" ht="30" customHeight="1" x14ac:dyDescent="0.2">
      <c r="A84" s="230" t="s">
        <v>197</v>
      </c>
      <c r="B84" s="255">
        <v>2689624927</v>
      </c>
      <c r="C84" s="230" t="s">
        <v>128</v>
      </c>
      <c r="D84" s="230" t="s">
        <v>124</v>
      </c>
      <c r="E84" s="230" t="s">
        <v>198</v>
      </c>
      <c r="F84" s="230" t="s">
        <v>3384</v>
      </c>
      <c r="G84" s="230">
        <v>40</v>
      </c>
      <c r="H84" s="230" t="s">
        <v>213</v>
      </c>
      <c r="I84" s="230" t="s">
        <v>368</v>
      </c>
      <c r="J84" s="230" t="s">
        <v>3385</v>
      </c>
      <c r="K84" s="230" t="s">
        <v>213</v>
      </c>
      <c r="L84" s="235" t="s">
        <v>455</v>
      </c>
      <c r="M84" s="235">
        <v>46146.473611111112</v>
      </c>
      <c r="N84" s="230" t="s">
        <v>294</v>
      </c>
      <c r="O84" s="233" t="s">
        <v>204</v>
      </c>
      <c r="P84" s="169"/>
      <c r="Q84" s="144" t="s">
        <v>204</v>
      </c>
      <c r="R84" s="56"/>
      <c r="S84" s="144" t="s">
        <v>204</v>
      </c>
      <c r="T84" s="56"/>
      <c r="U84" s="144" t="s">
        <v>204</v>
      </c>
      <c r="V84" s="56"/>
      <c r="W84" s="144" t="s">
        <v>204</v>
      </c>
      <c r="X84" s="56"/>
      <c r="Y84" s="144" t="s">
        <v>204</v>
      </c>
      <c r="Z84" s="186" t="str">
        <f t="shared" si="6"/>
        <v>C</v>
      </c>
      <c r="AA84" s="217" t="str">
        <f t="shared" si="5"/>
        <v>UTILIZOU O PDA CORRETAMENTE</v>
      </c>
      <c r="AB84" s="92" t="s">
        <v>204</v>
      </c>
      <c r="AC84" s="218" t="s">
        <v>6</v>
      </c>
      <c r="AD84" s="151" t="str">
        <f t="shared" si="7"/>
        <v>GUARULHOS</v>
      </c>
      <c r="AE84" s="58" t="s">
        <v>63</v>
      </c>
      <c r="AF84" s="53">
        <v>-1.66E-2</v>
      </c>
      <c r="AG84" s="53" t="str" cm="1">
        <f t="array" ref="AG84">IF(OR(O84&lt;&gt;"", SUMPRODUCT(($AH$2:$AH$4999=AH84)*($AF$2:$AF$4999&lt;=AF84)) &lt;= (COUNTIF($AH$2:$AH$4999,AH84)*0.3)), "SORTEADO", "-")</f>
        <v>SORTEADO</v>
      </c>
      <c r="AH84" s="257" t="str">
        <f t="shared" si="4"/>
        <v>05/04/2026</v>
      </c>
    </row>
    <row r="85" spans="1:34" ht="30" customHeight="1" x14ac:dyDescent="0.2">
      <c r="A85" s="230" t="s">
        <v>197</v>
      </c>
      <c r="B85" s="255">
        <v>2689627491</v>
      </c>
      <c r="C85" s="230" t="s">
        <v>127</v>
      </c>
      <c r="D85" s="230" t="s">
        <v>63</v>
      </c>
      <c r="E85" s="230" t="s">
        <v>198</v>
      </c>
      <c r="F85" s="230" t="s">
        <v>3386</v>
      </c>
      <c r="G85" s="230">
        <v>35</v>
      </c>
      <c r="H85" s="230"/>
      <c r="I85" s="230" t="s">
        <v>997</v>
      </c>
      <c r="J85" s="230" t="s">
        <v>3275</v>
      </c>
      <c r="K85" s="230"/>
      <c r="L85" s="235" t="s">
        <v>455</v>
      </c>
      <c r="M85" s="235">
        <v>46146.446527777778</v>
      </c>
      <c r="N85" s="230" t="s">
        <v>294</v>
      </c>
      <c r="O85" s="233" t="s">
        <v>204</v>
      </c>
      <c r="P85" s="169"/>
      <c r="Q85" s="144" t="s">
        <v>204</v>
      </c>
      <c r="R85" s="56"/>
      <c r="S85" s="144" t="s">
        <v>204</v>
      </c>
      <c r="T85" s="56"/>
      <c r="U85" s="144" t="s">
        <v>204</v>
      </c>
      <c r="V85" s="56"/>
      <c r="W85" s="144" t="s">
        <v>204</v>
      </c>
      <c r="X85" s="56"/>
      <c r="Y85" s="144" t="s">
        <v>204</v>
      </c>
      <c r="Z85" s="186" t="str">
        <f t="shared" si="6"/>
        <v>C</v>
      </c>
      <c r="AA85" s="217" t="str">
        <f t="shared" si="5"/>
        <v>UTILIZOU O PDA CORRETAMENTE</v>
      </c>
      <c r="AB85" s="92" t="s">
        <v>204</v>
      </c>
      <c r="AC85" s="218" t="s">
        <v>6</v>
      </c>
      <c r="AD85" s="151" t="str">
        <f t="shared" si="7"/>
        <v>GUARULHOS</v>
      </c>
      <c r="AE85" s="58" t="s">
        <v>63</v>
      </c>
      <c r="AF85" s="53">
        <v>-1.6799999999999999E-2</v>
      </c>
      <c r="AG85" s="53" t="str" cm="1">
        <f t="array" ref="AG85">IF(OR(O85&lt;&gt;"", SUMPRODUCT(($AH$2:$AH$4999=AH85)*($AF$2:$AF$4999&lt;=AF85)) &lt;= (COUNTIF($AH$2:$AH$4999,AH85)*0.3)), "SORTEADO", "-")</f>
        <v>SORTEADO</v>
      </c>
      <c r="AH85" s="257" t="str">
        <f t="shared" si="4"/>
        <v>05/04/2026</v>
      </c>
    </row>
    <row r="86" spans="1:34" ht="30" customHeight="1" x14ac:dyDescent="0.2">
      <c r="A86" s="230" t="s">
        <v>197</v>
      </c>
      <c r="B86" s="255">
        <v>2614318277</v>
      </c>
      <c r="C86" s="230" t="s">
        <v>133</v>
      </c>
      <c r="D86" s="230" t="s">
        <v>124</v>
      </c>
      <c r="E86" s="230" t="s">
        <v>198</v>
      </c>
      <c r="F86" s="230" t="s">
        <v>3387</v>
      </c>
      <c r="G86" s="230">
        <v>73</v>
      </c>
      <c r="H86" s="230" t="s">
        <v>213</v>
      </c>
      <c r="I86" s="230" t="s">
        <v>247</v>
      </c>
      <c r="J86" s="230" t="s">
        <v>3275</v>
      </c>
      <c r="K86" s="230" t="s">
        <v>213</v>
      </c>
      <c r="L86" s="235" t="s">
        <v>455</v>
      </c>
      <c r="M86" s="235">
        <v>46146.373611111114</v>
      </c>
      <c r="N86" s="230" t="s">
        <v>3289</v>
      </c>
      <c r="O86" s="233" t="s">
        <v>204</v>
      </c>
      <c r="P86" s="169"/>
      <c r="Q86" s="144" t="s">
        <v>204</v>
      </c>
      <c r="R86" s="56"/>
      <c r="S86" s="144" t="s">
        <v>204</v>
      </c>
      <c r="T86" s="56"/>
      <c r="U86" s="144" t="s">
        <v>204</v>
      </c>
      <c r="V86" s="56"/>
      <c r="W86" s="144" t="s">
        <v>204</v>
      </c>
      <c r="X86" s="56"/>
      <c r="Y86" s="144" t="s">
        <v>204</v>
      </c>
      <c r="Z86" s="186" t="str">
        <f t="shared" si="6"/>
        <v>C</v>
      </c>
      <c r="AA86" s="217" t="str">
        <f t="shared" si="5"/>
        <v>UTILIZOU O PDA CORRETAMENTE</v>
      </c>
      <c r="AB86" s="92" t="s">
        <v>204</v>
      </c>
      <c r="AC86" s="218" t="s">
        <v>6</v>
      </c>
      <c r="AD86" s="151" t="str">
        <f t="shared" si="7"/>
        <v>GUARULHOS</v>
      </c>
      <c r="AE86" s="58" t="s">
        <v>63</v>
      </c>
      <c r="AF86" s="53">
        <v>-1.7000000000000001E-2</v>
      </c>
      <c r="AG86" s="53" t="str" cm="1">
        <f t="array" ref="AG86">IF(OR(O86&lt;&gt;"", SUMPRODUCT(($AH$2:$AH$4999=AH86)*($AF$2:$AF$4999&lt;=AF86)) &lt;= (COUNTIF($AH$2:$AH$4999,AH86)*0.3)), "SORTEADO", "-")</f>
        <v>SORTEADO</v>
      </c>
      <c r="AH86" s="257" t="str">
        <f t="shared" si="4"/>
        <v>05/04/2026</v>
      </c>
    </row>
    <row r="87" spans="1:34" ht="30" customHeight="1" x14ac:dyDescent="0.2">
      <c r="A87" s="230" t="s">
        <v>197</v>
      </c>
      <c r="B87" s="255">
        <v>2689628747</v>
      </c>
      <c r="C87" s="230" t="s">
        <v>127</v>
      </c>
      <c r="D87" s="230" t="s">
        <v>63</v>
      </c>
      <c r="E87" s="230" t="s">
        <v>198</v>
      </c>
      <c r="F87" s="230" t="s">
        <v>3388</v>
      </c>
      <c r="G87" s="230">
        <v>937</v>
      </c>
      <c r="H87" s="230" t="s">
        <v>3389</v>
      </c>
      <c r="I87" s="230" t="s">
        <v>997</v>
      </c>
      <c r="J87" s="230" t="s">
        <v>3275</v>
      </c>
      <c r="K87" s="230"/>
      <c r="L87" s="235" t="s">
        <v>455</v>
      </c>
      <c r="M87" s="235">
        <v>46146.456944444442</v>
      </c>
      <c r="N87" s="230" t="s">
        <v>294</v>
      </c>
      <c r="O87" s="233" t="s">
        <v>204</v>
      </c>
      <c r="P87" s="169"/>
      <c r="Q87" s="144" t="s">
        <v>204</v>
      </c>
      <c r="R87" s="56"/>
      <c r="S87" s="144" t="s">
        <v>204</v>
      </c>
      <c r="T87" s="56"/>
      <c r="U87" s="144" t="s">
        <v>204</v>
      </c>
      <c r="V87" s="56"/>
      <c r="W87" s="144" t="s">
        <v>204</v>
      </c>
      <c r="X87" s="56"/>
      <c r="Y87" s="144" t="s">
        <v>204</v>
      </c>
      <c r="Z87" s="186" t="str">
        <f t="shared" si="6"/>
        <v>C</v>
      </c>
      <c r="AA87" s="217" t="str">
        <f t="shared" si="5"/>
        <v>UTILIZOU O PDA CORRETAMENTE</v>
      </c>
      <c r="AB87" s="92" t="s">
        <v>204</v>
      </c>
      <c r="AC87" s="218" t="s">
        <v>6</v>
      </c>
      <c r="AD87" s="151" t="str">
        <f t="shared" si="7"/>
        <v>GUARULHOS</v>
      </c>
      <c r="AE87" s="58" t="s">
        <v>63</v>
      </c>
      <c r="AF87" s="53">
        <v>-1.72E-2</v>
      </c>
      <c r="AG87" s="53" t="str" cm="1">
        <f t="array" ref="AG87">IF(OR(O87&lt;&gt;"", SUMPRODUCT(($AH$2:$AH$4999=AH87)*($AF$2:$AF$4999&lt;=AF87)) &lt;= (COUNTIF($AH$2:$AH$4999,AH87)*0.3)), "SORTEADO", "-")</f>
        <v>SORTEADO</v>
      </c>
      <c r="AH87" s="257" t="str">
        <f t="shared" si="4"/>
        <v>05/04/2026</v>
      </c>
    </row>
    <row r="88" spans="1:34" ht="30" customHeight="1" x14ac:dyDescent="0.2">
      <c r="A88" s="230" t="s">
        <v>197</v>
      </c>
      <c r="B88" s="255">
        <v>2689624062</v>
      </c>
      <c r="C88" s="230" t="s">
        <v>127</v>
      </c>
      <c r="D88" s="230" t="s">
        <v>63</v>
      </c>
      <c r="E88" s="230" t="s">
        <v>198</v>
      </c>
      <c r="F88" s="230" t="s">
        <v>3390</v>
      </c>
      <c r="G88" s="230">
        <v>100</v>
      </c>
      <c r="H88" s="230" t="s">
        <v>3391</v>
      </c>
      <c r="I88" s="230" t="s">
        <v>667</v>
      </c>
      <c r="J88" s="230" t="s">
        <v>3271</v>
      </c>
      <c r="K88" s="230" t="s">
        <v>3392</v>
      </c>
      <c r="L88" s="235" t="s">
        <v>455</v>
      </c>
      <c r="M88" s="235">
        <v>46146.401388888888</v>
      </c>
      <c r="N88" s="230" t="s">
        <v>348</v>
      </c>
      <c r="O88" s="233" t="s">
        <v>204</v>
      </c>
      <c r="P88" s="169"/>
      <c r="Q88" s="144" t="s">
        <v>204</v>
      </c>
      <c r="R88" s="56"/>
      <c r="S88" s="144" t="s">
        <v>204</v>
      </c>
      <c r="T88" s="56"/>
      <c r="U88" s="144" t="s">
        <v>204</v>
      </c>
      <c r="V88" s="56"/>
      <c r="W88" s="144" t="s">
        <v>328</v>
      </c>
      <c r="X88" s="56"/>
      <c r="Y88" s="144" t="s">
        <v>204</v>
      </c>
      <c r="Z88" s="186" t="str">
        <f t="shared" si="6"/>
        <v>NC</v>
      </c>
      <c r="AA88" s="217" t="str">
        <f t="shared" si="5"/>
        <v>UTILIZOU O PDA CORRETAMENTE. NÃO HÁ FOTOS DE TODAS AS ETAPAS</v>
      </c>
      <c r="AB88" s="92" t="s">
        <v>204</v>
      </c>
      <c r="AC88" s="218" t="s">
        <v>6</v>
      </c>
      <c r="AD88" s="151" t="str">
        <f t="shared" si="7"/>
        <v>GUARULHOS</v>
      </c>
      <c r="AE88" s="58" t="s">
        <v>63</v>
      </c>
      <c r="AF88" s="53">
        <v>-1.7399999999999999E-2</v>
      </c>
      <c r="AG88" s="53" t="str" cm="1">
        <f t="array" ref="AG88">IF(OR(O88&lt;&gt;"", SUMPRODUCT(($AH$2:$AH$4999=AH88)*($AF$2:$AF$4999&lt;=AF88)) &lt;= (COUNTIF($AH$2:$AH$4999,AH88)*0.3)), "SORTEADO", "-")</f>
        <v>SORTEADO</v>
      </c>
      <c r="AH88" s="257" t="str">
        <f t="shared" si="4"/>
        <v>05/04/2026</v>
      </c>
    </row>
    <row r="89" spans="1:34" ht="30" customHeight="1" x14ac:dyDescent="0.2">
      <c r="A89" s="230" t="s">
        <v>197</v>
      </c>
      <c r="B89" s="255">
        <v>2689629856</v>
      </c>
      <c r="C89" s="230" t="s">
        <v>127</v>
      </c>
      <c r="D89" s="230" t="s">
        <v>63</v>
      </c>
      <c r="E89" s="230" t="s">
        <v>198</v>
      </c>
      <c r="F89" s="230" t="s">
        <v>1851</v>
      </c>
      <c r="G89" s="230">
        <v>351</v>
      </c>
      <c r="H89" s="230" t="s">
        <v>3393</v>
      </c>
      <c r="I89" s="230" t="s">
        <v>411</v>
      </c>
      <c r="J89" s="230" t="s">
        <v>3275</v>
      </c>
      <c r="K89" s="230"/>
      <c r="L89" s="235" t="s">
        <v>455</v>
      </c>
      <c r="M89" s="235">
        <v>46146.509722222225</v>
      </c>
      <c r="N89" s="230" t="s">
        <v>819</v>
      </c>
      <c r="O89" s="233" t="s">
        <v>204</v>
      </c>
      <c r="P89" s="169"/>
      <c r="Q89" s="144" t="s">
        <v>204</v>
      </c>
      <c r="R89" s="56"/>
      <c r="S89" s="144" t="s">
        <v>204</v>
      </c>
      <c r="T89" s="56"/>
      <c r="U89" s="144" t="s">
        <v>204</v>
      </c>
      <c r="V89" s="56"/>
      <c r="W89" s="144" t="s">
        <v>204</v>
      </c>
      <c r="X89" s="56"/>
      <c r="Y89" s="144" t="s">
        <v>204</v>
      </c>
      <c r="Z89" s="186" t="str">
        <f t="shared" si="6"/>
        <v>C</v>
      </c>
      <c r="AA89" s="217" t="str">
        <f t="shared" si="5"/>
        <v>UTILIZOU O PDA CORRETAMENTE</v>
      </c>
      <c r="AB89" s="92" t="s">
        <v>204</v>
      </c>
      <c r="AC89" s="218" t="s">
        <v>6</v>
      </c>
      <c r="AD89" s="151" t="str">
        <f t="shared" si="7"/>
        <v>GUARULHOS</v>
      </c>
      <c r="AE89" s="58" t="s">
        <v>63</v>
      </c>
      <c r="AF89" s="53">
        <v>-1.7600000000000001E-2</v>
      </c>
      <c r="AG89" s="53" t="str" cm="1">
        <f t="array" ref="AG89">IF(OR(O89&lt;&gt;"", SUMPRODUCT(($AH$2:$AH$4999=AH89)*($AF$2:$AF$4999&lt;=AF89)) &lt;= (COUNTIF($AH$2:$AH$4999,AH89)*0.3)), "SORTEADO", "-")</f>
        <v>SORTEADO</v>
      </c>
      <c r="AH89" s="257" t="str">
        <f t="shared" si="4"/>
        <v>05/04/2026</v>
      </c>
    </row>
    <row r="90" spans="1:34" ht="30" customHeight="1" x14ac:dyDescent="0.2">
      <c r="A90" s="230" t="s">
        <v>197</v>
      </c>
      <c r="B90" s="255">
        <v>2689630377</v>
      </c>
      <c r="C90" s="230" t="s">
        <v>127</v>
      </c>
      <c r="D90" s="230" t="s">
        <v>63</v>
      </c>
      <c r="E90" s="230" t="s">
        <v>198</v>
      </c>
      <c r="F90" s="230" t="s">
        <v>900</v>
      </c>
      <c r="G90" s="230">
        <v>570</v>
      </c>
      <c r="H90" s="230" t="s">
        <v>3394</v>
      </c>
      <c r="I90" s="230" t="s">
        <v>531</v>
      </c>
      <c r="J90" s="230" t="s">
        <v>3275</v>
      </c>
      <c r="K90" s="230" t="s">
        <v>213</v>
      </c>
      <c r="L90" s="235" t="s">
        <v>455</v>
      </c>
      <c r="M90" s="235">
        <v>46146.494444444441</v>
      </c>
      <c r="N90" s="230" t="s">
        <v>819</v>
      </c>
      <c r="O90" s="233" t="s">
        <v>204</v>
      </c>
      <c r="P90" s="169"/>
      <c r="Q90" s="144" t="s">
        <v>328</v>
      </c>
      <c r="R90" s="56"/>
      <c r="S90" s="144" t="s">
        <v>204</v>
      </c>
      <c r="T90" s="56"/>
      <c r="U90" s="144" t="s">
        <v>204</v>
      </c>
      <c r="V90" s="56"/>
      <c r="W90" s="144" t="s">
        <v>204</v>
      </c>
      <c r="X90" s="56"/>
      <c r="Y90" s="144" t="s">
        <v>204</v>
      </c>
      <c r="Z90" s="186" t="str">
        <f t="shared" si="6"/>
        <v>NC</v>
      </c>
      <c r="AA90" s="217" t="str">
        <f t="shared" si="5"/>
        <v>UTILIZOU O PDA CORRETAMENTE. NÃO HÁ FOTOS DE TODAS AS ETAPAS</v>
      </c>
      <c r="AB90" s="92" t="s">
        <v>204</v>
      </c>
      <c r="AC90" s="218" t="s">
        <v>6</v>
      </c>
      <c r="AD90" s="151" t="str">
        <f t="shared" si="7"/>
        <v>GUARULHOS</v>
      </c>
      <c r="AE90" s="58" t="s">
        <v>63</v>
      </c>
      <c r="AF90" s="53">
        <v>-1.78E-2</v>
      </c>
      <c r="AG90" s="53" t="str" cm="1">
        <f t="array" ref="AG90">IF(OR(O90&lt;&gt;"", SUMPRODUCT(($AH$2:$AH$4999=AH90)*($AF$2:$AF$4999&lt;=AF90)) &lt;= (COUNTIF($AH$2:$AH$4999,AH90)*0.3)), "SORTEADO", "-")</f>
        <v>SORTEADO</v>
      </c>
      <c r="AH90" s="257" t="str">
        <f t="shared" si="4"/>
        <v>05/04/2026</v>
      </c>
    </row>
    <row r="91" spans="1:34" ht="30" hidden="1" customHeight="1" x14ac:dyDescent="0.2">
      <c r="A91" s="230" t="s">
        <v>197</v>
      </c>
      <c r="B91" s="230">
        <v>2614387717</v>
      </c>
      <c r="C91" s="230" t="s">
        <v>129</v>
      </c>
      <c r="D91" s="230" t="s">
        <v>124</v>
      </c>
      <c r="E91" s="230" t="s">
        <v>198</v>
      </c>
      <c r="F91" s="230" t="s">
        <v>3395</v>
      </c>
      <c r="G91" s="230">
        <v>23</v>
      </c>
      <c r="H91" s="230"/>
      <c r="I91" s="230" t="s">
        <v>1677</v>
      </c>
      <c r="J91" s="230" t="s">
        <v>3307</v>
      </c>
      <c r="K91" s="230" t="s">
        <v>3396</v>
      </c>
      <c r="L91" s="235" t="s">
        <v>455</v>
      </c>
      <c r="M91" s="235">
        <v>46146.469444444447</v>
      </c>
      <c r="N91" s="230" t="s">
        <v>322</v>
      </c>
      <c r="O91" s="233" t="s">
        <v>61</v>
      </c>
      <c r="P91" s="169"/>
      <c r="Q91" s="144" t="s">
        <v>61</v>
      </c>
      <c r="R91" s="56"/>
      <c r="S91" s="144" t="s">
        <v>61</v>
      </c>
      <c r="T91" s="56"/>
      <c r="U91" s="144" t="s">
        <v>61</v>
      </c>
      <c r="V91" s="56"/>
      <c r="W91" s="144" t="s">
        <v>61</v>
      </c>
      <c r="X91" s="56"/>
      <c r="Y91" s="144" t="s">
        <v>61</v>
      </c>
      <c r="Z91" s="186" t="str">
        <f t="shared" si="6"/>
        <v>NA</v>
      </c>
      <c r="AA91" s="217" t="str">
        <f t="shared" si="5"/>
        <v>NÃO AVALIADO POR FALHA DE SINCRONISMO</v>
      </c>
      <c r="AB91" s="92" t="s">
        <v>204</v>
      </c>
      <c r="AC91" s="218" t="s">
        <v>6</v>
      </c>
      <c r="AD91" s="151" t="str">
        <f t="shared" si="7"/>
        <v>GUARULHOS</v>
      </c>
      <c r="AE91" s="58" t="s">
        <v>63</v>
      </c>
      <c r="AF91" s="53">
        <v>-1.7999999999999999E-2</v>
      </c>
      <c r="AG91" s="53" t="str" cm="1">
        <f t="array" ref="AG91">IF(OR(O91&lt;&gt;"", SUMPRODUCT(($AH$2:$AH$4999=AH91)*($AF$2:$AF$4999&lt;=AF91)) &lt;= (COUNTIF($AH$2:$AH$4999,AH91)*0.3)), "SORTEADO", "-")</f>
        <v>SORTEADO</v>
      </c>
      <c r="AH91" s="257" t="str">
        <f t="shared" si="4"/>
        <v>05/04/2026</v>
      </c>
    </row>
    <row r="92" spans="1:34" ht="30" customHeight="1" x14ac:dyDescent="0.2">
      <c r="A92" s="230" t="s">
        <v>197</v>
      </c>
      <c r="B92" s="255">
        <v>2614350577</v>
      </c>
      <c r="C92" s="230" t="s">
        <v>133</v>
      </c>
      <c r="D92" s="230" t="s">
        <v>124</v>
      </c>
      <c r="E92" s="230" t="s">
        <v>198</v>
      </c>
      <c r="F92" s="230" t="s">
        <v>3397</v>
      </c>
      <c r="G92" s="230">
        <v>211</v>
      </c>
      <c r="H92" s="230" t="s">
        <v>3398</v>
      </c>
      <c r="I92" s="230" t="s">
        <v>3399</v>
      </c>
      <c r="J92" s="230" t="s">
        <v>3275</v>
      </c>
      <c r="K92" s="230" t="s">
        <v>3303</v>
      </c>
      <c r="L92" s="235" t="s">
        <v>455</v>
      </c>
      <c r="M92" s="235">
        <v>46146.52847222222</v>
      </c>
      <c r="N92" s="230" t="s">
        <v>819</v>
      </c>
      <c r="O92" s="233" t="s">
        <v>204</v>
      </c>
      <c r="P92" s="169"/>
      <c r="Q92" s="144" t="s">
        <v>204</v>
      </c>
      <c r="R92" s="56"/>
      <c r="S92" s="144" t="s">
        <v>204</v>
      </c>
      <c r="T92" s="56"/>
      <c r="U92" s="144" t="s">
        <v>204</v>
      </c>
      <c r="V92" s="56"/>
      <c r="W92" s="144" t="s">
        <v>204</v>
      </c>
      <c r="X92" s="56"/>
      <c r="Y92" s="144" t="s">
        <v>204</v>
      </c>
      <c r="Z92" s="186" t="s">
        <v>204</v>
      </c>
      <c r="AA92" s="217" t="str">
        <f t="shared" si="5"/>
        <v>UTILIZOU O PDA CORRETAMENTE</v>
      </c>
      <c r="AB92" s="92" t="s">
        <v>204</v>
      </c>
      <c r="AC92" s="218" t="s">
        <v>6</v>
      </c>
      <c r="AD92" s="151" t="str">
        <f t="shared" si="7"/>
        <v>GUARULHOS</v>
      </c>
      <c r="AE92" s="58" t="s">
        <v>63</v>
      </c>
      <c r="AF92" s="53">
        <v>-1.8200000000000001E-2</v>
      </c>
      <c r="AG92" s="53" t="str" cm="1">
        <f t="array" ref="AG92">IF(OR(O92&lt;&gt;"", SUMPRODUCT(($AH$2:$AH$4999=AH92)*($AF$2:$AF$4999&lt;=AF92)) &lt;= (COUNTIF($AH$2:$AH$4999,AH92)*0.3)), "SORTEADO", "-")</f>
        <v>SORTEADO</v>
      </c>
      <c r="AH92" s="257" t="str">
        <f t="shared" si="4"/>
        <v>05/04/2026</v>
      </c>
    </row>
    <row r="93" spans="1:34" ht="30" customHeight="1" x14ac:dyDescent="0.2">
      <c r="A93" s="230" t="s">
        <v>197</v>
      </c>
      <c r="B93" s="255">
        <v>2689616133</v>
      </c>
      <c r="C93" s="230" t="s">
        <v>133</v>
      </c>
      <c r="D93" s="230" t="s">
        <v>124</v>
      </c>
      <c r="E93" s="230" t="s">
        <v>198</v>
      </c>
      <c r="F93" s="230" t="s">
        <v>520</v>
      </c>
      <c r="G93" s="230">
        <v>204</v>
      </c>
      <c r="H93" s="230" t="s">
        <v>3400</v>
      </c>
      <c r="I93" s="230" t="s">
        <v>521</v>
      </c>
      <c r="J93" s="230" t="s">
        <v>3275</v>
      </c>
      <c r="K93" s="230" t="s">
        <v>3303</v>
      </c>
      <c r="L93" s="235" t="s">
        <v>455</v>
      </c>
      <c r="M93" s="235">
        <v>46146.470138888886</v>
      </c>
      <c r="N93" s="230" t="s">
        <v>819</v>
      </c>
      <c r="O93" s="233" t="s">
        <v>204</v>
      </c>
      <c r="P93" s="169"/>
      <c r="Q93" s="144" t="s">
        <v>204</v>
      </c>
      <c r="R93" s="56"/>
      <c r="S93" s="144" t="s">
        <v>204</v>
      </c>
      <c r="T93" s="56"/>
      <c r="U93" s="144" t="s">
        <v>204</v>
      </c>
      <c r="V93" s="56"/>
      <c r="W93" s="144" t="s">
        <v>204</v>
      </c>
      <c r="X93" s="56"/>
      <c r="Y93" s="144" t="s">
        <v>204</v>
      </c>
      <c r="Z93" s="186" t="str">
        <f t="shared" si="6"/>
        <v>C</v>
      </c>
      <c r="AA93" s="217" t="str">
        <f t="shared" si="5"/>
        <v>UTILIZOU O PDA CORRETAMENTE</v>
      </c>
      <c r="AB93" s="92" t="s">
        <v>204</v>
      </c>
      <c r="AC93" s="218" t="s">
        <v>6</v>
      </c>
      <c r="AD93" s="151" t="str">
        <f t="shared" si="7"/>
        <v>GUARULHOS</v>
      </c>
      <c r="AE93" s="58" t="s">
        <v>63</v>
      </c>
      <c r="AF93" s="53">
        <v>-1.84E-2</v>
      </c>
      <c r="AG93" s="53" t="str" cm="1">
        <f t="array" ref="AG93">IF(OR(O93&lt;&gt;"", SUMPRODUCT(($AH$2:$AH$4999=AH93)*($AF$2:$AF$4999&lt;=AF93)) &lt;= (COUNTIF($AH$2:$AH$4999,AH93)*0.3)), "SORTEADO", "-")</f>
        <v>SORTEADO</v>
      </c>
      <c r="AH93" s="257" t="str">
        <f t="shared" si="4"/>
        <v>05/04/2026</v>
      </c>
    </row>
    <row r="94" spans="1:34" ht="30" hidden="1" customHeight="1" x14ac:dyDescent="0.2">
      <c r="A94" s="230" t="s">
        <v>197</v>
      </c>
      <c r="B94" s="230">
        <v>2689609651</v>
      </c>
      <c r="C94" s="230" t="s">
        <v>127</v>
      </c>
      <c r="D94" s="230" t="s">
        <v>63</v>
      </c>
      <c r="E94" s="230" t="s">
        <v>198</v>
      </c>
      <c r="F94" s="230" t="s">
        <v>3401</v>
      </c>
      <c r="G94" s="230">
        <v>216</v>
      </c>
      <c r="H94" s="230" t="s">
        <v>3402</v>
      </c>
      <c r="I94" s="230" t="s">
        <v>200</v>
      </c>
      <c r="J94" s="230" t="s">
        <v>3271</v>
      </c>
      <c r="K94" s="230" t="s">
        <v>3403</v>
      </c>
      <c r="L94" s="235" t="s">
        <v>455</v>
      </c>
      <c r="M94" s="235">
        <v>46146.478472222225</v>
      </c>
      <c r="N94" s="230" t="s">
        <v>348</v>
      </c>
      <c r="O94" s="233" t="s">
        <v>61</v>
      </c>
      <c r="P94" s="169"/>
      <c r="Q94" s="144" t="s">
        <v>61</v>
      </c>
      <c r="R94" s="56"/>
      <c r="S94" s="144" t="s">
        <v>61</v>
      </c>
      <c r="T94" s="56"/>
      <c r="U94" s="144" t="s">
        <v>61</v>
      </c>
      <c r="V94" s="56"/>
      <c r="W94" s="144" t="s">
        <v>61</v>
      </c>
      <c r="X94" s="56"/>
      <c r="Y94" s="144" t="s">
        <v>61</v>
      </c>
      <c r="Z94" s="186" t="str">
        <f t="shared" si="6"/>
        <v>NA</v>
      </c>
      <c r="AA94" s="217" t="str">
        <f t="shared" si="5"/>
        <v>NÃO AVALIADO POR FALHA DE SINCRONISMO</v>
      </c>
      <c r="AB94" s="92" t="s">
        <v>204</v>
      </c>
      <c r="AC94" s="218" t="s">
        <v>6</v>
      </c>
      <c r="AD94" s="151" t="str">
        <f t="shared" si="7"/>
        <v>GUARULHOS</v>
      </c>
      <c r="AE94" s="58" t="s">
        <v>63</v>
      </c>
      <c r="AF94" s="53">
        <v>-1.8599999999999998E-2</v>
      </c>
      <c r="AG94" s="53" t="str" cm="1">
        <f t="array" ref="AG94">IF(OR(O94&lt;&gt;"", SUMPRODUCT(($AH$2:$AH$4999=AH94)*($AF$2:$AF$4999&lt;=AF94)) &lt;= (COUNTIF($AH$2:$AH$4999,AH94)*0.3)), "SORTEADO", "-")</f>
        <v>SORTEADO</v>
      </c>
      <c r="AH94" s="257" t="str">
        <f t="shared" si="4"/>
        <v>05/04/2026</v>
      </c>
    </row>
    <row r="95" spans="1:34" ht="30" hidden="1" customHeight="1" x14ac:dyDescent="0.2">
      <c r="A95" s="230" t="s">
        <v>197</v>
      </c>
      <c r="B95" s="255">
        <v>2614316501</v>
      </c>
      <c r="C95" s="230" t="s">
        <v>133</v>
      </c>
      <c r="D95" s="230" t="s">
        <v>124</v>
      </c>
      <c r="E95" s="230" t="s">
        <v>198</v>
      </c>
      <c r="F95" s="230" t="s">
        <v>490</v>
      </c>
      <c r="G95" s="230">
        <v>1203</v>
      </c>
      <c r="H95" s="230" t="s">
        <v>491</v>
      </c>
      <c r="I95" s="230" t="s">
        <v>492</v>
      </c>
      <c r="J95" s="230" t="s">
        <v>3275</v>
      </c>
      <c r="K95" s="230" t="s">
        <v>3404</v>
      </c>
      <c r="L95" s="235" t="s">
        <v>455</v>
      </c>
      <c r="M95" s="235">
        <v>46146.55</v>
      </c>
      <c r="N95" s="230" t="s">
        <v>287</v>
      </c>
      <c r="O95" s="233" t="s">
        <v>61</v>
      </c>
      <c r="P95" s="169" t="s">
        <v>3405</v>
      </c>
      <c r="Q95" s="144" t="s">
        <v>61</v>
      </c>
      <c r="R95" s="169" t="s">
        <v>3405</v>
      </c>
      <c r="S95" s="144" t="s">
        <v>61</v>
      </c>
      <c r="T95" s="169" t="s">
        <v>3405</v>
      </c>
      <c r="U95" s="144" t="s">
        <v>61</v>
      </c>
      <c r="V95" s="169" t="s">
        <v>3405</v>
      </c>
      <c r="W95" s="144" t="s">
        <v>61</v>
      </c>
      <c r="X95" s="169" t="s">
        <v>3405</v>
      </c>
      <c r="Y95" s="144" t="s">
        <v>61</v>
      </c>
      <c r="Z95" s="186" t="str">
        <f t="shared" si="6"/>
        <v>NA</v>
      </c>
      <c r="AA95" s="217" t="str">
        <f t="shared" si="5"/>
        <v>NÃO AVALIADO POR FALHA DE SINCRONISMO</v>
      </c>
      <c r="AB95" s="92" t="s">
        <v>61</v>
      </c>
      <c r="AC95" s="218" t="s">
        <v>6</v>
      </c>
      <c r="AD95" s="151" t="str">
        <f t="shared" si="7"/>
        <v>GUARULHOS</v>
      </c>
      <c r="AE95" s="58" t="s">
        <v>63</v>
      </c>
      <c r="AF95" s="53">
        <v>-1.8800000000000001E-2</v>
      </c>
      <c r="AG95" s="53" t="str" cm="1">
        <f t="array" ref="AG95">IF(OR(O95&lt;&gt;"", SUMPRODUCT(($AH$2:$AH$4999=AH95)*($AF$2:$AF$4999&lt;=AF95)) &lt;= (COUNTIF($AH$2:$AH$4999,AH95)*0.3)), "SORTEADO", "-")</f>
        <v>SORTEADO</v>
      </c>
      <c r="AH95" s="257" t="str">
        <f t="shared" si="4"/>
        <v>05/04/2026</v>
      </c>
    </row>
    <row r="96" spans="1:34" ht="30" customHeight="1" x14ac:dyDescent="0.2">
      <c r="A96" s="230" t="s">
        <v>197</v>
      </c>
      <c r="B96" s="255">
        <v>2689630457</v>
      </c>
      <c r="C96" s="230" t="s">
        <v>129</v>
      </c>
      <c r="D96" s="230" t="s">
        <v>124</v>
      </c>
      <c r="E96" s="230" t="s">
        <v>198</v>
      </c>
      <c r="F96" s="230" t="s">
        <v>520</v>
      </c>
      <c r="G96" s="230">
        <v>176</v>
      </c>
      <c r="H96" s="230" t="s">
        <v>235</v>
      </c>
      <c r="I96" s="230" t="s">
        <v>521</v>
      </c>
      <c r="J96" s="230" t="s">
        <v>3307</v>
      </c>
      <c r="K96" s="230" t="s">
        <v>213</v>
      </c>
      <c r="L96" s="235" t="s">
        <v>455</v>
      </c>
      <c r="M96" s="235">
        <v>46146.628472222219</v>
      </c>
      <c r="N96" s="230" t="s">
        <v>241</v>
      </c>
      <c r="O96" s="233" t="s">
        <v>328</v>
      </c>
      <c r="P96" s="169"/>
      <c r="Q96" s="144" t="s">
        <v>328</v>
      </c>
      <c r="R96" s="56"/>
      <c r="S96" s="144" t="s">
        <v>328</v>
      </c>
      <c r="T96" s="56"/>
      <c r="U96" s="144" t="s">
        <v>328</v>
      </c>
      <c r="V96" s="56"/>
      <c r="W96" s="144" t="s">
        <v>328</v>
      </c>
      <c r="X96" s="56"/>
      <c r="Y96" s="144" t="s">
        <v>210</v>
      </c>
      <c r="Z96" s="186" t="str">
        <f t="shared" si="6"/>
        <v>NC</v>
      </c>
      <c r="AA96" s="217" t="str">
        <f t="shared" si="5"/>
        <v>NÃO UTILIZOU O PDA</v>
      </c>
      <c r="AB96" s="92" t="s">
        <v>204</v>
      </c>
      <c r="AC96" s="218" t="s">
        <v>6</v>
      </c>
      <c r="AD96" s="151" t="str">
        <f t="shared" si="7"/>
        <v>GUARULHOS</v>
      </c>
      <c r="AE96" s="58" t="s">
        <v>63</v>
      </c>
      <c r="AF96" s="53">
        <v>-1.9E-2</v>
      </c>
      <c r="AG96" s="53" t="str" cm="1">
        <f t="array" ref="AG96">IF(OR(O96&lt;&gt;"", SUMPRODUCT(($AH$2:$AH$4999=AH96)*($AF$2:$AF$4999&lt;=AF96)) &lt;= (COUNTIF($AH$2:$AH$4999,AH96)*0.3)), "SORTEADO", "-")</f>
        <v>SORTEADO</v>
      </c>
      <c r="AH96" s="257" t="str">
        <f t="shared" si="4"/>
        <v>05/04/2026</v>
      </c>
    </row>
    <row r="97" spans="1:34" ht="30" hidden="1" customHeight="1" x14ac:dyDescent="0.2">
      <c r="A97" s="230" t="s">
        <v>197</v>
      </c>
      <c r="B97" s="255">
        <v>2613753689</v>
      </c>
      <c r="C97" s="230" t="s">
        <v>134</v>
      </c>
      <c r="D97" s="230" t="s">
        <v>124</v>
      </c>
      <c r="E97" s="230" t="s">
        <v>198</v>
      </c>
      <c r="F97" s="230" t="s">
        <v>533</v>
      </c>
      <c r="G97" s="230">
        <v>298</v>
      </c>
      <c r="H97" s="230" t="s">
        <v>3406</v>
      </c>
      <c r="I97" s="230" t="s">
        <v>214</v>
      </c>
      <c r="J97" s="230" t="s">
        <v>3285</v>
      </c>
      <c r="K97" s="237" t="s">
        <v>535</v>
      </c>
      <c r="L97" s="235" t="s">
        <v>525</v>
      </c>
      <c r="M97" s="235">
        <v>46177.292361111111</v>
      </c>
      <c r="N97" s="230" t="s">
        <v>215</v>
      </c>
      <c r="O97" s="233" t="s">
        <v>61</v>
      </c>
      <c r="P97" s="169"/>
      <c r="Q97" s="144" t="s">
        <v>61</v>
      </c>
      <c r="R97" s="56"/>
      <c r="S97" s="144" t="s">
        <v>61</v>
      </c>
      <c r="T97" s="56"/>
      <c r="U97" s="144" t="s">
        <v>61</v>
      </c>
      <c r="V97" s="56"/>
      <c r="W97" s="144" t="s">
        <v>61</v>
      </c>
      <c r="X97" s="56"/>
      <c r="Y97" s="144" t="s">
        <v>61</v>
      </c>
      <c r="Z97" s="186" t="str">
        <f t="shared" si="6"/>
        <v>NA</v>
      </c>
      <c r="AA97" s="217" t="str">
        <f t="shared" si="5"/>
        <v>NÃO AVALIADO POR FALHA DE SINCRONISMO</v>
      </c>
      <c r="AB97" s="92" t="s">
        <v>204</v>
      </c>
      <c r="AC97" s="218" t="s">
        <v>6</v>
      </c>
      <c r="AD97" s="151" t="str">
        <f t="shared" si="7"/>
        <v>GUARULHOS</v>
      </c>
      <c r="AE97" s="58" t="s">
        <v>63</v>
      </c>
      <c r="AF97" s="53">
        <v>-1.9199999999999998E-2</v>
      </c>
      <c r="AG97" s="53" t="str" cm="1">
        <f t="array" ref="AG97">IF(OR(O97&lt;&gt;"", SUMPRODUCT(($AH$2:$AH$4999=AH97)*($AF$2:$AF$4999&lt;=AF97)) &lt;= (COUNTIF($AH$2:$AH$4999,AH97)*0.3)), "SORTEADO", "-")</f>
        <v>SORTEADO</v>
      </c>
      <c r="AH97" s="257" t="str">
        <f t="shared" si="4"/>
        <v>06/04/2026</v>
      </c>
    </row>
    <row r="98" spans="1:34" ht="30" hidden="1" customHeight="1" x14ac:dyDescent="0.2">
      <c r="A98" s="230" t="s">
        <v>197</v>
      </c>
      <c r="B98" s="255">
        <v>2613753024</v>
      </c>
      <c r="C98" s="230" t="s">
        <v>134</v>
      </c>
      <c r="D98" s="230" t="s">
        <v>124</v>
      </c>
      <c r="E98" s="230" t="s">
        <v>198</v>
      </c>
      <c r="F98" s="230" t="s">
        <v>533</v>
      </c>
      <c r="G98" s="230">
        <v>298</v>
      </c>
      <c r="H98" s="230" t="s">
        <v>578</v>
      </c>
      <c r="I98" s="230" t="s">
        <v>214</v>
      </c>
      <c r="J98" s="230" t="s">
        <v>3285</v>
      </c>
      <c r="K98" s="237" t="s">
        <v>535</v>
      </c>
      <c r="L98" s="235" t="s">
        <v>525</v>
      </c>
      <c r="M98" s="235">
        <v>46177.292361111111</v>
      </c>
      <c r="N98" s="230" t="s">
        <v>215</v>
      </c>
      <c r="O98" s="233" t="s">
        <v>61</v>
      </c>
      <c r="P98" s="169"/>
      <c r="Q98" s="144" t="s">
        <v>61</v>
      </c>
      <c r="R98" s="56"/>
      <c r="S98" s="144" t="s">
        <v>61</v>
      </c>
      <c r="T98" s="56"/>
      <c r="U98" s="144" t="s">
        <v>61</v>
      </c>
      <c r="V98" s="56"/>
      <c r="W98" s="144" t="s">
        <v>61</v>
      </c>
      <c r="X98" s="56"/>
      <c r="Y98" s="144" t="s">
        <v>61</v>
      </c>
      <c r="Z98" s="186" t="str">
        <f t="shared" si="6"/>
        <v>NA</v>
      </c>
      <c r="AA98" s="217" t="str">
        <f t="shared" si="5"/>
        <v>NÃO AVALIADO POR FALHA DE SINCRONISMO</v>
      </c>
      <c r="AB98" s="92" t="s">
        <v>204</v>
      </c>
      <c r="AC98" s="218" t="s">
        <v>6</v>
      </c>
      <c r="AD98" s="151" t="str">
        <f t="shared" si="7"/>
        <v>GUARULHOS</v>
      </c>
      <c r="AE98" s="58" t="s">
        <v>63</v>
      </c>
      <c r="AF98" s="53">
        <v>-1.9400000000000001E-2</v>
      </c>
      <c r="AG98" s="53" t="str" cm="1">
        <f t="array" ref="AG98">IF(OR(O98&lt;&gt;"", SUMPRODUCT(($AH$2:$AH$4999=AH98)*($AF$2:$AF$4999&lt;=AF98)) &lt;= (COUNTIF($AH$2:$AH$4999,AH98)*0.3)), "SORTEADO", "-")</f>
        <v>SORTEADO</v>
      </c>
      <c r="AH98" s="257" t="str">
        <f t="shared" si="4"/>
        <v>06/04/2026</v>
      </c>
    </row>
    <row r="99" spans="1:34" ht="30" hidden="1" customHeight="1" x14ac:dyDescent="0.2">
      <c r="A99" s="230" t="s">
        <v>197</v>
      </c>
      <c r="B99" s="255">
        <v>2612561652</v>
      </c>
      <c r="C99" s="230" t="s">
        <v>134</v>
      </c>
      <c r="D99" s="230" t="s">
        <v>124</v>
      </c>
      <c r="E99" s="230" t="s">
        <v>198</v>
      </c>
      <c r="F99" s="230" t="s">
        <v>1574</v>
      </c>
      <c r="G99" s="230">
        <v>154</v>
      </c>
      <c r="H99" s="230" t="s">
        <v>390</v>
      </c>
      <c r="I99" s="230" t="s">
        <v>1575</v>
      </c>
      <c r="J99" s="230" t="s">
        <v>3285</v>
      </c>
      <c r="K99" s="230" t="s">
        <v>3407</v>
      </c>
      <c r="L99" s="235" t="s">
        <v>525</v>
      </c>
      <c r="M99" s="235">
        <v>46177.292361111111</v>
      </c>
      <c r="N99" s="230" t="s">
        <v>215</v>
      </c>
      <c r="O99" s="233" t="s">
        <v>61</v>
      </c>
      <c r="P99" s="9"/>
      <c r="Q99" s="146" t="s">
        <v>61</v>
      </c>
      <c r="R99" s="92"/>
      <c r="S99" s="146" t="s">
        <v>61</v>
      </c>
      <c r="T99" s="92"/>
      <c r="U99" s="146" t="s">
        <v>61</v>
      </c>
      <c r="V99" s="92"/>
      <c r="W99" s="146" t="s">
        <v>61</v>
      </c>
      <c r="X99" s="92"/>
      <c r="Y99" s="146" t="s">
        <v>61</v>
      </c>
      <c r="Z99" s="186" t="str">
        <f t="shared" si="6"/>
        <v>NA</v>
      </c>
      <c r="AA99" s="217" t="str">
        <f t="shared" si="5"/>
        <v>NÃO AVALIADO POR FALHA DE SINCRONISMO</v>
      </c>
      <c r="AB99" s="92" t="s">
        <v>204</v>
      </c>
      <c r="AC99" s="164" t="s">
        <v>6</v>
      </c>
      <c r="AD99" s="151" t="str">
        <f t="shared" si="7"/>
        <v>GUARULHOS</v>
      </c>
      <c r="AE99" s="96" t="s">
        <v>63</v>
      </c>
      <c r="AF99" s="53">
        <v>-1.9599999999999999E-2</v>
      </c>
      <c r="AG99" s="53" t="str" cm="1">
        <f t="array" ref="AG99">IF(OR(O99&lt;&gt;"", SUMPRODUCT(($AH$2:$AH$4999=AH99)*($AF$2:$AF$4999&lt;=AF99)) &lt;= (COUNTIF($AH$2:$AH$4999,AH99)*0.3)), "SORTEADO", "-")</f>
        <v>SORTEADO</v>
      </c>
      <c r="AH99" s="257" t="str">
        <f t="shared" si="4"/>
        <v>06/04/2026</v>
      </c>
    </row>
    <row r="100" spans="1:34" ht="30" hidden="1" customHeight="1" x14ac:dyDescent="0.2">
      <c r="A100" s="230" t="s">
        <v>197</v>
      </c>
      <c r="B100" s="255">
        <v>2612278679</v>
      </c>
      <c r="C100" s="230" t="s">
        <v>134</v>
      </c>
      <c r="D100" s="230" t="s">
        <v>124</v>
      </c>
      <c r="E100" s="230" t="s">
        <v>198</v>
      </c>
      <c r="F100" s="230" t="s">
        <v>1574</v>
      </c>
      <c r="G100" s="230">
        <v>154</v>
      </c>
      <c r="H100" s="230" t="s">
        <v>276</v>
      </c>
      <c r="I100" s="230" t="s">
        <v>1575</v>
      </c>
      <c r="J100" s="230" t="s">
        <v>3285</v>
      </c>
      <c r="K100" s="230" t="s">
        <v>3408</v>
      </c>
      <c r="L100" s="235" t="s">
        <v>525</v>
      </c>
      <c r="M100" s="235">
        <v>46177.292361111111</v>
      </c>
      <c r="N100" s="230" t="s">
        <v>215</v>
      </c>
      <c r="O100" s="233" t="s">
        <v>61</v>
      </c>
      <c r="P100" s="9"/>
      <c r="Q100" s="146" t="s">
        <v>61</v>
      </c>
      <c r="R100" s="92"/>
      <c r="S100" s="146" t="s">
        <v>61</v>
      </c>
      <c r="T100" s="92"/>
      <c r="U100" s="146" t="s">
        <v>61</v>
      </c>
      <c r="V100" s="92"/>
      <c r="W100" s="146" t="s">
        <v>61</v>
      </c>
      <c r="X100" s="92"/>
      <c r="Y100" s="146" t="s">
        <v>61</v>
      </c>
      <c r="Z100" s="186" t="str">
        <f t="shared" si="6"/>
        <v>NA</v>
      </c>
      <c r="AA100" s="217" t="str">
        <f t="shared" si="5"/>
        <v>NÃO AVALIADO POR FALHA DE SINCRONISMO</v>
      </c>
      <c r="AB100" s="92" t="s">
        <v>204</v>
      </c>
      <c r="AC100" s="164" t="s">
        <v>6</v>
      </c>
      <c r="AD100" s="151" t="str">
        <f t="shared" si="7"/>
        <v>GUARULHOS</v>
      </c>
      <c r="AE100" s="96" t="s">
        <v>63</v>
      </c>
      <c r="AF100" s="53">
        <v>-1.9800000000000002E-2</v>
      </c>
      <c r="AG100" s="53" t="str" cm="1">
        <f t="array" ref="AG100">IF(OR(O100&lt;&gt;"", SUMPRODUCT(($AH$2:$AH$4999=AH100)*($AF$2:$AF$4999&lt;=AF100)) &lt;= (COUNTIF($AH$2:$AH$4999,AH100)*0.3)), "SORTEADO", "-")</f>
        <v>SORTEADO</v>
      </c>
      <c r="AH100" s="257" t="str">
        <f t="shared" si="4"/>
        <v>06/04/2026</v>
      </c>
    </row>
    <row r="101" spans="1:34" ht="30" hidden="1" customHeight="1" x14ac:dyDescent="0.2">
      <c r="A101" s="230" t="s">
        <v>197</v>
      </c>
      <c r="B101" s="255">
        <v>2612563303</v>
      </c>
      <c r="C101" s="230" t="s">
        <v>134</v>
      </c>
      <c r="D101" s="230" t="s">
        <v>124</v>
      </c>
      <c r="E101" s="230" t="s">
        <v>198</v>
      </c>
      <c r="F101" s="230" t="s">
        <v>1574</v>
      </c>
      <c r="G101" s="230">
        <v>154</v>
      </c>
      <c r="H101" s="230" t="s">
        <v>235</v>
      </c>
      <c r="I101" s="230" t="s">
        <v>1575</v>
      </c>
      <c r="J101" s="230" t="s">
        <v>3285</v>
      </c>
      <c r="K101" s="230" t="s">
        <v>3409</v>
      </c>
      <c r="L101" s="235" t="s">
        <v>525</v>
      </c>
      <c r="M101" s="235">
        <v>46177.292361111111</v>
      </c>
      <c r="N101" s="230" t="s">
        <v>215</v>
      </c>
      <c r="O101" s="233" t="s">
        <v>61</v>
      </c>
      <c r="P101" s="9"/>
      <c r="Q101" s="146" t="s">
        <v>61</v>
      </c>
      <c r="R101" s="92"/>
      <c r="S101" s="146" t="s">
        <v>61</v>
      </c>
      <c r="T101" s="92"/>
      <c r="U101" s="146" t="s">
        <v>61</v>
      </c>
      <c r="V101" s="92"/>
      <c r="W101" s="146" t="s">
        <v>61</v>
      </c>
      <c r="X101" s="92"/>
      <c r="Y101" s="146" t="s">
        <v>61</v>
      </c>
      <c r="Z101" s="186" t="str">
        <f t="shared" si="6"/>
        <v>NA</v>
      </c>
      <c r="AA101" s="217" t="str">
        <f t="shared" si="5"/>
        <v>NÃO AVALIADO POR FALHA DE SINCRONISMO</v>
      </c>
      <c r="AB101" s="92" t="s">
        <v>204</v>
      </c>
      <c r="AC101" s="164" t="s">
        <v>6</v>
      </c>
      <c r="AD101" s="151" t="str">
        <f t="shared" si="7"/>
        <v>GUARULHOS</v>
      </c>
      <c r="AE101" s="96" t="s">
        <v>63</v>
      </c>
      <c r="AF101" s="53">
        <v>-0.02</v>
      </c>
      <c r="AG101" s="53" t="str" cm="1">
        <f t="array" ref="AG101">IF(OR(O101&lt;&gt;"", SUMPRODUCT(($AH$2:$AH$4999=AH101)*($AF$2:$AF$4999&lt;=AF101)) &lt;= (COUNTIF($AH$2:$AH$4999,AH101)*0.3)), "SORTEADO", "-")</f>
        <v>SORTEADO</v>
      </c>
      <c r="AH101" s="257" t="str">
        <f t="shared" si="4"/>
        <v>06/04/2026</v>
      </c>
    </row>
    <row r="102" spans="1:34" ht="30" customHeight="1" x14ac:dyDescent="0.2">
      <c r="A102" s="230" t="s">
        <v>197</v>
      </c>
      <c r="B102" s="255">
        <v>2689639940</v>
      </c>
      <c r="C102" s="230" t="s">
        <v>127</v>
      </c>
      <c r="D102" s="230" t="s">
        <v>63</v>
      </c>
      <c r="E102" s="230" t="s">
        <v>198</v>
      </c>
      <c r="F102" s="230" t="s">
        <v>3410</v>
      </c>
      <c r="G102" s="230">
        <v>37</v>
      </c>
      <c r="H102" s="230" t="s">
        <v>1577</v>
      </c>
      <c r="I102" s="230" t="s">
        <v>1671</v>
      </c>
      <c r="J102" s="230" t="s">
        <v>3275</v>
      </c>
      <c r="K102" s="230"/>
      <c r="L102" s="235" t="s">
        <v>525</v>
      </c>
      <c r="M102" s="235">
        <v>46177.479861111111</v>
      </c>
      <c r="N102" s="230" t="s">
        <v>3338</v>
      </c>
      <c r="O102" s="233" t="s">
        <v>204</v>
      </c>
      <c r="P102" s="9"/>
      <c r="Q102" s="146" t="s">
        <v>204</v>
      </c>
      <c r="R102" s="92"/>
      <c r="S102" s="146" t="s">
        <v>204</v>
      </c>
      <c r="T102" s="92"/>
      <c r="U102" s="146" t="s">
        <v>204</v>
      </c>
      <c r="V102" s="92"/>
      <c r="W102" s="146" t="s">
        <v>204</v>
      </c>
      <c r="X102" s="92"/>
      <c r="Y102" s="146" t="s">
        <v>204</v>
      </c>
      <c r="Z102" s="186" t="str">
        <f t="shared" si="6"/>
        <v>C</v>
      </c>
      <c r="AA102" s="217" t="str">
        <f t="shared" si="5"/>
        <v>UTILIZOU O PDA CORRETAMENTE</v>
      </c>
      <c r="AB102" s="92" t="s">
        <v>204</v>
      </c>
      <c r="AC102" s="164" t="s">
        <v>6</v>
      </c>
      <c r="AD102" s="151" t="str">
        <f t="shared" si="7"/>
        <v>GUARULHOS</v>
      </c>
      <c r="AE102" s="96" t="s">
        <v>63</v>
      </c>
      <c r="AF102" s="53">
        <v>-2.0199999999999999E-2</v>
      </c>
      <c r="AG102" s="53" t="str" cm="1">
        <f t="array" ref="AG102">IF(OR(O102&lt;&gt;"", SUMPRODUCT(($AH$2:$AH$4999=AH102)*($AF$2:$AF$4999&lt;=AF102)) &lt;= (COUNTIF($AH$2:$AH$4999,AH102)*0.3)), "SORTEADO", "-")</f>
        <v>SORTEADO</v>
      </c>
      <c r="AH102" s="257" t="str">
        <f t="shared" si="4"/>
        <v>06/04/2026</v>
      </c>
    </row>
    <row r="103" spans="1:34" ht="30" customHeight="1" x14ac:dyDescent="0.2">
      <c r="A103" s="230" t="s">
        <v>197</v>
      </c>
      <c r="B103" s="255">
        <v>2689636488</v>
      </c>
      <c r="C103" s="230" t="s">
        <v>127</v>
      </c>
      <c r="D103" s="230" t="s">
        <v>63</v>
      </c>
      <c r="E103" s="230" t="s">
        <v>198</v>
      </c>
      <c r="F103" s="230" t="s">
        <v>3411</v>
      </c>
      <c r="G103" s="230">
        <v>84</v>
      </c>
      <c r="H103" s="230" t="s">
        <v>3412</v>
      </c>
      <c r="I103" s="230" t="s">
        <v>331</v>
      </c>
      <c r="J103" s="230" t="s">
        <v>3275</v>
      </c>
      <c r="K103" s="230" t="s">
        <v>213</v>
      </c>
      <c r="L103" s="235" t="s">
        <v>525</v>
      </c>
      <c r="M103" s="235">
        <v>46177.441666666666</v>
      </c>
      <c r="N103" s="230" t="s">
        <v>3338</v>
      </c>
      <c r="O103" s="233" t="s">
        <v>204</v>
      </c>
      <c r="P103" s="9"/>
      <c r="Q103" s="146" t="s">
        <v>204</v>
      </c>
      <c r="R103" s="92"/>
      <c r="S103" s="146" t="s">
        <v>204</v>
      </c>
      <c r="T103" s="92"/>
      <c r="U103" s="146" t="s">
        <v>204</v>
      </c>
      <c r="V103" s="92"/>
      <c r="W103" s="146" t="s">
        <v>204</v>
      </c>
      <c r="X103" s="92"/>
      <c r="Y103" s="146" t="s">
        <v>204</v>
      </c>
      <c r="Z103" s="186" t="str">
        <f t="shared" si="6"/>
        <v>C</v>
      </c>
      <c r="AA103" s="217" t="str">
        <f t="shared" si="5"/>
        <v>UTILIZOU O PDA CORRETAMENTE</v>
      </c>
      <c r="AB103" s="92" t="s">
        <v>204</v>
      </c>
      <c r="AC103" s="164" t="s">
        <v>6</v>
      </c>
      <c r="AD103" s="151" t="str">
        <f t="shared" si="7"/>
        <v>GUARULHOS</v>
      </c>
      <c r="AE103" s="96" t="s">
        <v>63</v>
      </c>
      <c r="AF103" s="53">
        <v>-2.0400000000000001E-2</v>
      </c>
      <c r="AG103" s="53" t="str" cm="1">
        <f t="array" ref="AG103">IF(OR(O103&lt;&gt;"", SUMPRODUCT(($AH$2:$AH$4999=AH103)*($AF$2:$AF$4999&lt;=AF103)) &lt;= (COUNTIF($AH$2:$AH$4999,AH103)*0.3)), "SORTEADO", "-")</f>
        <v>SORTEADO</v>
      </c>
      <c r="AH103" s="257" t="str">
        <f t="shared" si="4"/>
        <v>06/04/2026</v>
      </c>
    </row>
    <row r="104" spans="1:34" ht="30" customHeight="1" x14ac:dyDescent="0.2">
      <c r="A104" s="230" t="s">
        <v>197</v>
      </c>
      <c r="B104" s="255">
        <v>2689644728</v>
      </c>
      <c r="C104" s="230" t="s">
        <v>127</v>
      </c>
      <c r="D104" s="230" t="s">
        <v>63</v>
      </c>
      <c r="E104" s="230" t="s">
        <v>198</v>
      </c>
      <c r="F104" s="230" t="s">
        <v>3413</v>
      </c>
      <c r="G104" s="230">
        <v>393</v>
      </c>
      <c r="H104" s="230" t="s">
        <v>3414</v>
      </c>
      <c r="I104" s="230" t="s">
        <v>1445</v>
      </c>
      <c r="J104" s="230" t="s">
        <v>3275</v>
      </c>
      <c r="K104" s="230"/>
      <c r="L104" s="235" t="s">
        <v>525</v>
      </c>
      <c r="M104" s="235">
        <v>46177.574305555558</v>
      </c>
      <c r="N104" s="230" t="s">
        <v>3338</v>
      </c>
      <c r="O104" s="233" t="s">
        <v>204</v>
      </c>
      <c r="P104" s="9"/>
      <c r="Q104" s="146" t="s">
        <v>204</v>
      </c>
      <c r="R104" s="92"/>
      <c r="S104" s="146" t="s">
        <v>204</v>
      </c>
      <c r="T104" s="92"/>
      <c r="U104" s="146" t="s">
        <v>204</v>
      </c>
      <c r="V104" s="92"/>
      <c r="W104" s="146" t="s">
        <v>204</v>
      </c>
      <c r="X104" s="92"/>
      <c r="Y104" s="146" t="s">
        <v>204</v>
      </c>
      <c r="Z104" s="186" t="str">
        <f t="shared" si="6"/>
        <v>C</v>
      </c>
      <c r="AA104" s="217" t="str">
        <f t="shared" si="5"/>
        <v>UTILIZOU O PDA CORRETAMENTE</v>
      </c>
      <c r="AB104" s="92" t="s">
        <v>204</v>
      </c>
      <c r="AC104" s="164" t="s">
        <v>6</v>
      </c>
      <c r="AD104" s="151" t="str">
        <f t="shared" si="7"/>
        <v>GUARULHOS</v>
      </c>
      <c r="AE104" s="96" t="s">
        <v>63</v>
      </c>
      <c r="AF104" s="53">
        <v>-2.06E-2</v>
      </c>
      <c r="AG104" s="53" t="str" cm="1">
        <f t="array" ref="AG104">IF(OR(O104&lt;&gt;"", SUMPRODUCT(($AH$2:$AH$4999=AH104)*($AF$2:$AF$4999&lt;=AF104)) &lt;= (COUNTIF($AH$2:$AH$4999,AH104)*0.3)), "SORTEADO", "-")</f>
        <v>SORTEADO</v>
      </c>
      <c r="AH104" s="257" t="str">
        <f t="shared" si="4"/>
        <v>06/04/2026</v>
      </c>
    </row>
    <row r="105" spans="1:34" ht="30" customHeight="1" x14ac:dyDescent="0.2">
      <c r="A105" s="230" t="s">
        <v>197</v>
      </c>
      <c r="B105" s="255">
        <v>2614402823</v>
      </c>
      <c r="C105" s="230" t="s">
        <v>127</v>
      </c>
      <c r="D105" s="230" t="s">
        <v>63</v>
      </c>
      <c r="E105" s="230" t="s">
        <v>198</v>
      </c>
      <c r="F105" s="230" t="s">
        <v>3413</v>
      </c>
      <c r="G105" s="230">
        <v>16</v>
      </c>
      <c r="H105" s="230" t="s">
        <v>3415</v>
      </c>
      <c r="I105" s="230" t="s">
        <v>1445</v>
      </c>
      <c r="J105" s="230" t="s">
        <v>3275</v>
      </c>
      <c r="K105" s="230"/>
      <c r="L105" s="235" t="s">
        <v>525</v>
      </c>
      <c r="M105" s="235">
        <v>46177.554861111108</v>
      </c>
      <c r="N105" s="230" t="s">
        <v>3338</v>
      </c>
      <c r="O105" s="233" t="s">
        <v>204</v>
      </c>
      <c r="P105" s="9"/>
      <c r="Q105" s="146" t="s">
        <v>204</v>
      </c>
      <c r="R105" s="92"/>
      <c r="S105" s="146" t="s">
        <v>328</v>
      </c>
      <c r="T105" s="92"/>
      <c r="U105" s="146" t="s">
        <v>204</v>
      </c>
      <c r="V105" s="92"/>
      <c r="W105" s="146" t="s">
        <v>204</v>
      </c>
      <c r="X105" s="92"/>
      <c r="Y105" s="146" t="s">
        <v>204</v>
      </c>
      <c r="Z105" s="186" t="str">
        <f t="shared" si="6"/>
        <v>NC</v>
      </c>
      <c r="AA105" s="217" t="str">
        <f t="shared" si="5"/>
        <v>UTILIZOU O PDA CORRETAMENTE. NÃO HÁ FOTOS DE TODAS AS ETAPAS</v>
      </c>
      <c r="AB105" s="92" t="s">
        <v>204</v>
      </c>
      <c r="AC105" s="164" t="s">
        <v>6</v>
      </c>
      <c r="AD105" s="151" t="str">
        <f t="shared" si="7"/>
        <v>GUARULHOS</v>
      </c>
      <c r="AE105" s="96" t="s">
        <v>63</v>
      </c>
      <c r="AF105" s="53">
        <v>-2.0799999999999999E-2</v>
      </c>
      <c r="AG105" s="53" t="str" cm="1">
        <f t="array" ref="AG105">IF(OR(O105&lt;&gt;"", SUMPRODUCT(($AH$2:$AH$4999=AH105)*($AF$2:$AF$4999&lt;=AF105)) &lt;= (COUNTIF($AH$2:$AH$4999,AH105)*0.3)), "SORTEADO", "-")</f>
        <v>SORTEADO</v>
      </c>
      <c r="AH105" s="257" t="str">
        <f t="shared" si="4"/>
        <v>06/04/2026</v>
      </c>
    </row>
    <row r="106" spans="1:34" ht="30" customHeight="1" x14ac:dyDescent="0.2">
      <c r="A106" s="230" t="s">
        <v>197</v>
      </c>
      <c r="B106" s="255">
        <v>2689657723</v>
      </c>
      <c r="C106" s="230" t="s">
        <v>127</v>
      </c>
      <c r="D106" s="230" t="s">
        <v>63</v>
      </c>
      <c r="E106" s="230" t="s">
        <v>198</v>
      </c>
      <c r="F106" s="230" t="s">
        <v>1842</v>
      </c>
      <c r="G106" s="230">
        <v>278</v>
      </c>
      <c r="H106" s="230" t="s">
        <v>3416</v>
      </c>
      <c r="I106" s="230" t="s">
        <v>1445</v>
      </c>
      <c r="J106" s="230" t="s">
        <v>3275</v>
      </c>
      <c r="K106" s="230" t="s">
        <v>213</v>
      </c>
      <c r="L106" s="235" t="s">
        <v>525</v>
      </c>
      <c r="M106" s="235">
        <v>46177.561111111114</v>
      </c>
      <c r="N106" s="230" t="s">
        <v>3338</v>
      </c>
      <c r="O106" s="233" t="s">
        <v>204</v>
      </c>
      <c r="P106" s="9"/>
      <c r="Q106" s="146" t="s">
        <v>204</v>
      </c>
      <c r="R106" s="92"/>
      <c r="S106" s="146" t="s">
        <v>204</v>
      </c>
      <c r="T106" s="92"/>
      <c r="U106" s="146" t="s">
        <v>204</v>
      </c>
      <c r="V106" s="92"/>
      <c r="W106" s="146" t="s">
        <v>204</v>
      </c>
      <c r="X106" s="92"/>
      <c r="Y106" s="146" t="s">
        <v>204</v>
      </c>
      <c r="Z106" s="186" t="str">
        <f t="shared" si="6"/>
        <v>C</v>
      </c>
      <c r="AA106" s="217" t="str">
        <f t="shared" si="5"/>
        <v>UTILIZOU O PDA CORRETAMENTE</v>
      </c>
      <c r="AB106" s="92" t="s">
        <v>204</v>
      </c>
      <c r="AC106" s="164" t="s">
        <v>6</v>
      </c>
      <c r="AD106" s="151" t="str">
        <f t="shared" si="7"/>
        <v>GUARULHOS</v>
      </c>
      <c r="AE106" s="96" t="s">
        <v>63</v>
      </c>
      <c r="AF106" s="53">
        <v>-2.1000000000000001E-2</v>
      </c>
      <c r="AG106" s="53" t="str" cm="1">
        <f t="array" ref="AG106">IF(OR(O106&lt;&gt;"", SUMPRODUCT(($AH$2:$AH$4999=AH106)*($AF$2:$AF$4999&lt;=AF106)) &lt;= (COUNTIF($AH$2:$AH$4999,AH106)*0.3)), "SORTEADO", "-")</f>
        <v>SORTEADO</v>
      </c>
      <c r="AH106" s="257" t="str">
        <f t="shared" si="4"/>
        <v>06/04/2026</v>
      </c>
    </row>
    <row r="107" spans="1:34" ht="30" customHeight="1" x14ac:dyDescent="0.2">
      <c r="A107" s="230" t="s">
        <v>197</v>
      </c>
      <c r="B107" s="255">
        <v>2614438108</v>
      </c>
      <c r="C107" s="230" t="s">
        <v>128</v>
      </c>
      <c r="D107" s="230" t="s">
        <v>124</v>
      </c>
      <c r="E107" s="230" t="s">
        <v>198</v>
      </c>
      <c r="F107" s="230" t="s">
        <v>2643</v>
      </c>
      <c r="G107" s="230">
        <v>112</v>
      </c>
      <c r="H107" s="230" t="s">
        <v>206</v>
      </c>
      <c r="I107" s="230" t="s">
        <v>2455</v>
      </c>
      <c r="J107" s="230" t="s">
        <v>3385</v>
      </c>
      <c r="K107" s="230"/>
      <c r="L107" s="235" t="s">
        <v>525</v>
      </c>
      <c r="M107" s="235">
        <v>46177.557638888888</v>
      </c>
      <c r="N107" s="230" t="s">
        <v>3276</v>
      </c>
      <c r="O107" s="233" t="s">
        <v>204</v>
      </c>
      <c r="P107" s="9"/>
      <c r="Q107" s="146" t="s">
        <v>204</v>
      </c>
      <c r="R107" s="92"/>
      <c r="S107" s="146" t="s">
        <v>204</v>
      </c>
      <c r="T107" s="92"/>
      <c r="U107" s="146" t="s">
        <v>204</v>
      </c>
      <c r="V107" s="92"/>
      <c r="W107" s="146" t="s">
        <v>204</v>
      </c>
      <c r="X107" s="92"/>
      <c r="Y107" s="146" t="s">
        <v>204</v>
      </c>
      <c r="Z107" s="186" t="str">
        <f t="shared" si="6"/>
        <v>C</v>
      </c>
      <c r="AA107" s="217" t="str">
        <f t="shared" si="5"/>
        <v>UTILIZOU O PDA CORRETAMENTE</v>
      </c>
      <c r="AB107" s="92" t="s">
        <v>204</v>
      </c>
      <c r="AC107" s="164" t="s">
        <v>6</v>
      </c>
      <c r="AD107" s="151" t="str">
        <f t="shared" si="7"/>
        <v>GUARULHOS</v>
      </c>
      <c r="AE107" s="96" t="s">
        <v>63</v>
      </c>
      <c r="AF107" s="53">
        <v>-2.12E-2</v>
      </c>
      <c r="AG107" s="53" t="str" cm="1">
        <f t="array" ref="AG107">IF(OR(O107&lt;&gt;"", SUMPRODUCT(($AH$2:$AH$4999=AH107)*($AF$2:$AF$4999&lt;=AF107)) &lt;= (COUNTIF($AH$2:$AH$4999,AH107)*0.3)), "SORTEADO", "-")</f>
        <v>SORTEADO</v>
      </c>
      <c r="AH107" s="257" t="str">
        <f t="shared" si="4"/>
        <v>06/04/2026</v>
      </c>
    </row>
    <row r="108" spans="1:34" ht="30" customHeight="1" x14ac:dyDescent="0.2">
      <c r="A108" s="230" t="s">
        <v>197</v>
      </c>
      <c r="B108" s="230">
        <v>2689662280</v>
      </c>
      <c r="C108" s="230" t="s">
        <v>127</v>
      </c>
      <c r="D108" s="230" t="s">
        <v>63</v>
      </c>
      <c r="E108" s="230" t="s">
        <v>198</v>
      </c>
      <c r="F108" s="230" t="s">
        <v>3417</v>
      </c>
      <c r="G108" s="230">
        <v>244</v>
      </c>
      <c r="H108" s="230" t="s">
        <v>3418</v>
      </c>
      <c r="I108" s="230" t="s">
        <v>315</v>
      </c>
      <c r="J108" s="230" t="s">
        <v>3275</v>
      </c>
      <c r="K108" s="230" t="s">
        <v>3419</v>
      </c>
      <c r="L108" s="235" t="s">
        <v>525</v>
      </c>
      <c r="M108" s="235">
        <v>46177.547222222223</v>
      </c>
      <c r="N108" s="230" t="s">
        <v>3276</v>
      </c>
      <c r="O108" s="233" t="s">
        <v>328</v>
      </c>
      <c r="P108" s="169"/>
      <c r="Q108" s="144" t="s">
        <v>328</v>
      </c>
      <c r="R108" s="56"/>
      <c r="S108" s="144" t="s">
        <v>328</v>
      </c>
      <c r="T108" s="56"/>
      <c r="U108" s="144" t="s">
        <v>328</v>
      </c>
      <c r="V108" s="56"/>
      <c r="W108" s="144" t="s">
        <v>328</v>
      </c>
      <c r="X108" s="56"/>
      <c r="Y108" s="144" t="s">
        <v>210</v>
      </c>
      <c r="Z108" s="186" t="str">
        <f t="shared" si="6"/>
        <v>NC</v>
      </c>
      <c r="AA108" s="217" t="str">
        <f t="shared" si="5"/>
        <v>NÃO UTILIZOU O PDA</v>
      </c>
      <c r="AB108" s="92" t="s">
        <v>204</v>
      </c>
      <c r="AC108" s="164" t="s">
        <v>6</v>
      </c>
      <c r="AD108" s="151" t="str">
        <f t="shared" si="7"/>
        <v>GUARULHOS</v>
      </c>
      <c r="AE108" s="96" t="s">
        <v>63</v>
      </c>
      <c r="AF108" s="53">
        <v>-2.1399999999999999E-2</v>
      </c>
      <c r="AG108" s="53" t="str" cm="1">
        <f t="array" ref="AG108">IF(OR(O108&lt;&gt;"", SUMPRODUCT(($AH$2:$AH$4999=AH108)*($AF$2:$AF$4999&lt;=AF108)) &lt;= (COUNTIF($AH$2:$AH$4999,AH108)*0.3)), "SORTEADO", "-")</f>
        <v>SORTEADO</v>
      </c>
      <c r="AH108" s="257" t="str">
        <f t="shared" si="4"/>
        <v>06/04/2026</v>
      </c>
    </row>
    <row r="109" spans="1:34" ht="30" customHeight="1" x14ac:dyDescent="0.2">
      <c r="A109" s="230" t="s">
        <v>197</v>
      </c>
      <c r="B109" s="255">
        <v>2689636113</v>
      </c>
      <c r="C109" s="230" t="s">
        <v>133</v>
      </c>
      <c r="D109" s="230" t="s">
        <v>124</v>
      </c>
      <c r="E109" s="230" t="s">
        <v>198</v>
      </c>
      <c r="F109" s="230" t="s">
        <v>3420</v>
      </c>
      <c r="G109" s="230">
        <v>300</v>
      </c>
      <c r="H109" s="230" t="s">
        <v>3421</v>
      </c>
      <c r="I109" s="230" t="s">
        <v>2528</v>
      </c>
      <c r="J109" s="230" t="s">
        <v>3275</v>
      </c>
      <c r="K109" s="230"/>
      <c r="L109" s="235" t="s">
        <v>525</v>
      </c>
      <c r="M109" s="235">
        <v>46177.402777777781</v>
      </c>
      <c r="N109" s="230" t="s">
        <v>3289</v>
      </c>
      <c r="O109" s="233" t="s">
        <v>204</v>
      </c>
      <c r="P109" s="9"/>
      <c r="Q109" s="146" t="s">
        <v>204</v>
      </c>
      <c r="R109" s="92"/>
      <c r="S109" s="146" t="s">
        <v>204</v>
      </c>
      <c r="T109" s="92"/>
      <c r="U109" s="146" t="s">
        <v>204</v>
      </c>
      <c r="V109" s="92"/>
      <c r="W109" s="146" t="s">
        <v>204</v>
      </c>
      <c r="X109" s="92"/>
      <c r="Y109" s="146" t="s">
        <v>204</v>
      </c>
      <c r="Z109" s="186" t="str">
        <f t="shared" si="6"/>
        <v>C</v>
      </c>
      <c r="AA109" s="217" t="str">
        <f t="shared" si="5"/>
        <v>UTILIZOU O PDA CORRETAMENTE</v>
      </c>
      <c r="AB109" s="92" t="s">
        <v>204</v>
      </c>
      <c r="AC109" s="164" t="s">
        <v>6</v>
      </c>
      <c r="AD109" s="151" t="str">
        <f t="shared" si="7"/>
        <v>GUARULHOS</v>
      </c>
      <c r="AE109" s="96" t="s">
        <v>63</v>
      </c>
      <c r="AF109" s="53">
        <v>-2.1600000000000001E-2</v>
      </c>
      <c r="AG109" s="53" t="str" cm="1">
        <f t="array" ref="AG109">IF(OR(O109&lt;&gt;"", SUMPRODUCT(($AH$2:$AH$4999=AH109)*($AF$2:$AF$4999&lt;=AF109)) &lt;= (COUNTIF($AH$2:$AH$4999,AH109)*0.3)), "SORTEADO", "-")</f>
        <v>SORTEADO</v>
      </c>
      <c r="AH109" s="257" t="str">
        <f t="shared" si="4"/>
        <v>06/04/2026</v>
      </c>
    </row>
    <row r="110" spans="1:34" ht="30" customHeight="1" x14ac:dyDescent="0.2">
      <c r="A110" s="230" t="s">
        <v>197</v>
      </c>
      <c r="B110" s="255">
        <v>2614440772</v>
      </c>
      <c r="C110" s="230" t="s">
        <v>135</v>
      </c>
      <c r="D110" s="230" t="s">
        <v>124</v>
      </c>
      <c r="E110" s="230" t="s">
        <v>198</v>
      </c>
      <c r="F110" s="230" t="s">
        <v>3422</v>
      </c>
      <c r="G110" s="230">
        <v>31</v>
      </c>
      <c r="H110" s="230" t="s">
        <v>217</v>
      </c>
      <c r="I110" s="230" t="s">
        <v>1768</v>
      </c>
      <c r="J110" s="230" t="s">
        <v>3280</v>
      </c>
      <c r="K110" s="230" t="s">
        <v>213</v>
      </c>
      <c r="L110" s="235" t="s">
        <v>525</v>
      </c>
      <c r="M110" s="235">
        <v>46177.462500000001</v>
      </c>
      <c r="N110" s="230" t="s">
        <v>819</v>
      </c>
      <c r="O110" s="233" t="s">
        <v>204</v>
      </c>
      <c r="P110" s="9"/>
      <c r="Q110" s="146" t="s">
        <v>204</v>
      </c>
      <c r="R110" s="92"/>
      <c r="S110" s="146" t="s">
        <v>204</v>
      </c>
      <c r="T110" s="92"/>
      <c r="U110" s="146" t="s">
        <v>204</v>
      </c>
      <c r="V110" s="92"/>
      <c r="W110" s="146" t="s">
        <v>204</v>
      </c>
      <c r="X110" s="92"/>
      <c r="Y110" s="146" t="s">
        <v>204</v>
      </c>
      <c r="Z110" s="186" t="str">
        <f t="shared" si="6"/>
        <v>C</v>
      </c>
      <c r="AA110" s="217" t="str">
        <f t="shared" si="5"/>
        <v>UTILIZOU O PDA CORRETAMENTE</v>
      </c>
      <c r="AB110" s="92" t="s">
        <v>204</v>
      </c>
      <c r="AC110" s="164" t="s">
        <v>6</v>
      </c>
      <c r="AD110" s="151" t="str">
        <f t="shared" si="7"/>
        <v>GUARULHOS</v>
      </c>
      <c r="AE110" s="96" t="s">
        <v>63</v>
      </c>
      <c r="AF110" s="53">
        <v>-2.18E-2</v>
      </c>
      <c r="AG110" s="53" t="str" cm="1">
        <f t="array" ref="AG110">IF(OR(O110&lt;&gt;"", SUMPRODUCT(($AH$2:$AH$4999=AH110)*($AF$2:$AF$4999&lt;=AF110)) &lt;= (COUNTIF($AH$2:$AH$4999,AH110)*0.3)), "SORTEADO", "-")</f>
        <v>SORTEADO</v>
      </c>
      <c r="AH110" s="257" t="str">
        <f t="shared" si="4"/>
        <v>06/04/2026</v>
      </c>
    </row>
    <row r="111" spans="1:34" ht="30" customHeight="1" x14ac:dyDescent="0.2">
      <c r="A111" s="230" t="s">
        <v>197</v>
      </c>
      <c r="B111" s="255">
        <v>2689649432</v>
      </c>
      <c r="C111" s="230" t="s">
        <v>133</v>
      </c>
      <c r="D111" s="230" t="s">
        <v>124</v>
      </c>
      <c r="E111" s="230" t="s">
        <v>198</v>
      </c>
      <c r="F111" s="230" t="s">
        <v>3423</v>
      </c>
      <c r="G111" s="230">
        <v>80</v>
      </c>
      <c r="H111" s="230" t="s">
        <v>1775</v>
      </c>
      <c r="I111" s="230" t="s">
        <v>231</v>
      </c>
      <c r="J111" s="230" t="s">
        <v>3275</v>
      </c>
      <c r="K111" s="230"/>
      <c r="L111" s="235" t="s">
        <v>525</v>
      </c>
      <c r="M111" s="235">
        <v>46177.42083333333</v>
      </c>
      <c r="N111" s="230" t="s">
        <v>3289</v>
      </c>
      <c r="O111" s="233" t="s">
        <v>204</v>
      </c>
      <c r="P111" s="9"/>
      <c r="Q111" s="146" t="s">
        <v>204</v>
      </c>
      <c r="R111" s="92"/>
      <c r="S111" s="146" t="s">
        <v>204</v>
      </c>
      <c r="T111" s="92"/>
      <c r="U111" s="146" t="s">
        <v>204</v>
      </c>
      <c r="V111" s="92"/>
      <c r="W111" s="146" t="s">
        <v>204</v>
      </c>
      <c r="X111" s="92"/>
      <c r="Y111" s="146" t="s">
        <v>204</v>
      </c>
      <c r="Z111" s="186" t="str">
        <f t="shared" si="6"/>
        <v>C</v>
      </c>
      <c r="AA111" s="217" t="s">
        <v>3424</v>
      </c>
      <c r="AB111" s="92" t="s">
        <v>204</v>
      </c>
      <c r="AC111" s="164" t="s">
        <v>6</v>
      </c>
      <c r="AD111" s="151" t="str">
        <f t="shared" si="7"/>
        <v>GUARULHOS</v>
      </c>
      <c r="AE111" s="96" t="s">
        <v>63</v>
      </c>
      <c r="AF111" s="53">
        <v>-2.1999999999999999E-2</v>
      </c>
      <c r="AG111" s="53" t="str" cm="1">
        <f t="array" ref="AG111">IF(OR(O111&lt;&gt;"", SUMPRODUCT(($AH$2:$AH$4999=AH111)*($AF$2:$AF$4999&lt;=AF111)) &lt;= (COUNTIF($AH$2:$AH$4999,AH111)*0.3)), "SORTEADO", "-")</f>
        <v>SORTEADO</v>
      </c>
      <c r="AH111" s="257" t="str">
        <f t="shared" si="4"/>
        <v>06/04/2026</v>
      </c>
    </row>
    <row r="112" spans="1:34" ht="30" customHeight="1" x14ac:dyDescent="0.2">
      <c r="A112" s="230" t="s">
        <v>197</v>
      </c>
      <c r="B112" s="255">
        <v>2614439160</v>
      </c>
      <c r="C112" s="230" t="s">
        <v>133</v>
      </c>
      <c r="D112" s="230" t="s">
        <v>124</v>
      </c>
      <c r="E112" s="230" t="s">
        <v>198</v>
      </c>
      <c r="F112" s="230" t="s">
        <v>1910</v>
      </c>
      <c r="G112" s="230">
        <v>128</v>
      </c>
      <c r="H112" s="230" t="s">
        <v>820</v>
      </c>
      <c r="I112" s="230" t="s">
        <v>231</v>
      </c>
      <c r="J112" s="230" t="s">
        <v>3275</v>
      </c>
      <c r="K112" s="230" t="s">
        <v>213</v>
      </c>
      <c r="L112" s="235" t="s">
        <v>525</v>
      </c>
      <c r="M112" s="235">
        <v>46177.435416666667</v>
      </c>
      <c r="N112" s="230" t="s">
        <v>3289</v>
      </c>
      <c r="O112" s="233" t="s">
        <v>204</v>
      </c>
      <c r="P112" s="9"/>
      <c r="Q112" s="146" t="s">
        <v>204</v>
      </c>
      <c r="R112" s="92"/>
      <c r="S112" s="146" t="s">
        <v>204</v>
      </c>
      <c r="T112" s="92"/>
      <c r="U112" s="146" t="s">
        <v>204</v>
      </c>
      <c r="V112" s="92"/>
      <c r="W112" s="146" t="s">
        <v>204</v>
      </c>
      <c r="X112" s="92"/>
      <c r="Y112" s="146" t="s">
        <v>204</v>
      </c>
      <c r="Z112" s="186" t="str">
        <f t="shared" si="6"/>
        <v>C</v>
      </c>
      <c r="AA112" s="217" t="str">
        <f t="shared" si="5"/>
        <v>UTILIZOU O PDA CORRETAMENTE</v>
      </c>
      <c r="AB112" s="92" t="s">
        <v>204</v>
      </c>
      <c r="AC112" s="164" t="s">
        <v>6</v>
      </c>
      <c r="AD112" s="151" t="str">
        <f t="shared" si="7"/>
        <v>GUARULHOS</v>
      </c>
      <c r="AE112" s="96" t="s">
        <v>63</v>
      </c>
      <c r="AF112" s="53">
        <v>-2.2200000000000001E-2</v>
      </c>
      <c r="AG112" s="53" t="str" cm="1">
        <f t="array" ref="AG112">IF(OR(O112&lt;&gt;"", SUMPRODUCT(($AH$2:$AH$4999=AH112)*($AF$2:$AF$4999&lt;=AF112)) &lt;= (COUNTIF($AH$2:$AH$4999,AH112)*0.3)), "SORTEADO", "-")</f>
        <v>SORTEADO</v>
      </c>
      <c r="AH112" s="257" t="str">
        <f t="shared" si="4"/>
        <v>06/04/2026</v>
      </c>
    </row>
    <row r="113" spans="1:34" ht="30" customHeight="1" x14ac:dyDescent="0.2">
      <c r="A113" s="230" t="s">
        <v>197</v>
      </c>
      <c r="B113" s="255">
        <v>2614458416</v>
      </c>
      <c r="C113" s="230" t="s">
        <v>127</v>
      </c>
      <c r="D113" s="230" t="s">
        <v>63</v>
      </c>
      <c r="E113" s="230" t="s">
        <v>198</v>
      </c>
      <c r="F113" s="230" t="s">
        <v>3425</v>
      </c>
      <c r="G113" s="230">
        <v>57</v>
      </c>
      <c r="H113" s="230" t="s">
        <v>3011</v>
      </c>
      <c r="I113" s="230" t="s">
        <v>660</v>
      </c>
      <c r="J113" s="230" t="s">
        <v>3275</v>
      </c>
      <c r="K113" s="230"/>
      <c r="L113" s="235" t="s">
        <v>525</v>
      </c>
      <c r="M113" s="235">
        <v>46177.652083333334</v>
      </c>
      <c r="N113" s="230" t="s">
        <v>819</v>
      </c>
      <c r="O113" s="233" t="s">
        <v>204</v>
      </c>
      <c r="P113" s="9"/>
      <c r="Q113" s="146" t="s">
        <v>204</v>
      </c>
      <c r="R113" s="92"/>
      <c r="S113" s="146" t="s">
        <v>328</v>
      </c>
      <c r="T113" s="92"/>
      <c r="U113" s="146" t="s">
        <v>204</v>
      </c>
      <c r="V113" s="92"/>
      <c r="W113" s="146" t="s">
        <v>204</v>
      </c>
      <c r="X113" s="92"/>
      <c r="Y113" s="146" t="s">
        <v>204</v>
      </c>
      <c r="Z113" s="186" t="str">
        <f t="shared" si="6"/>
        <v>NC</v>
      </c>
      <c r="AA113" s="217" t="str">
        <f t="shared" si="5"/>
        <v>UTILIZOU O PDA CORRETAMENTE. NÃO HÁ FOTOS DE TODAS AS ETAPAS</v>
      </c>
      <c r="AB113" s="92" t="s">
        <v>204</v>
      </c>
      <c r="AC113" s="164" t="s">
        <v>6</v>
      </c>
      <c r="AD113" s="151" t="str">
        <f t="shared" si="7"/>
        <v>GUARULHOS</v>
      </c>
      <c r="AE113" s="96" t="s">
        <v>63</v>
      </c>
      <c r="AF113" s="53">
        <v>-2.24E-2</v>
      </c>
      <c r="AG113" s="53" t="str" cm="1">
        <f t="array" ref="AG113">IF(OR(O113&lt;&gt;"", SUMPRODUCT(($AH$2:$AH$4999=AH113)*($AF$2:$AF$4999&lt;=AF113)) &lt;= (COUNTIF($AH$2:$AH$4999,AH113)*0.3)), "SORTEADO", "-")</f>
        <v>SORTEADO</v>
      </c>
      <c r="AH113" s="257" t="str">
        <f t="shared" si="4"/>
        <v>06/04/2026</v>
      </c>
    </row>
    <row r="114" spans="1:34" ht="30" customHeight="1" x14ac:dyDescent="0.2">
      <c r="A114" s="230" t="s">
        <v>197</v>
      </c>
      <c r="B114" s="255">
        <v>2614468854</v>
      </c>
      <c r="C114" s="230" t="s">
        <v>135</v>
      </c>
      <c r="D114" s="230" t="s">
        <v>124</v>
      </c>
      <c r="E114" s="230" t="s">
        <v>198</v>
      </c>
      <c r="F114" s="230" t="s">
        <v>261</v>
      </c>
      <c r="G114" s="230">
        <v>339</v>
      </c>
      <c r="H114" s="230" t="s">
        <v>3426</v>
      </c>
      <c r="I114" s="230" t="s">
        <v>262</v>
      </c>
      <c r="J114" s="230" t="s">
        <v>3280</v>
      </c>
      <c r="K114" s="237" t="s">
        <v>3427</v>
      </c>
      <c r="L114" s="235" t="s">
        <v>525</v>
      </c>
      <c r="M114" s="235">
        <v>46177.542361111111</v>
      </c>
      <c r="N114" s="230" t="s">
        <v>215</v>
      </c>
      <c r="O114" s="233" t="s">
        <v>204</v>
      </c>
      <c r="P114" s="9"/>
      <c r="Q114" s="146" t="s">
        <v>204</v>
      </c>
      <c r="R114" s="92"/>
      <c r="S114" s="146" t="s">
        <v>204</v>
      </c>
      <c r="T114" s="92"/>
      <c r="U114" s="146" t="s">
        <v>204</v>
      </c>
      <c r="V114" s="92"/>
      <c r="W114" s="146" t="s">
        <v>204</v>
      </c>
      <c r="X114" s="92"/>
      <c r="Y114" s="146" t="s">
        <v>204</v>
      </c>
      <c r="Z114" s="186" t="str">
        <f t="shared" si="6"/>
        <v>C</v>
      </c>
      <c r="AA114" s="217" t="str">
        <f t="shared" si="5"/>
        <v>UTILIZOU O PDA CORRETAMENTE</v>
      </c>
      <c r="AB114" s="92" t="s">
        <v>204</v>
      </c>
      <c r="AC114" s="164" t="s">
        <v>6</v>
      </c>
      <c r="AD114" s="151" t="str">
        <f t="shared" si="7"/>
        <v>GUARULHOS</v>
      </c>
      <c r="AE114" s="96" t="s">
        <v>63</v>
      </c>
      <c r="AF114" s="53">
        <v>-2.2599999999999999E-2</v>
      </c>
      <c r="AG114" s="53" t="str" cm="1">
        <f t="array" ref="AG114">IF(OR(O114&lt;&gt;"", SUMPRODUCT(($AH$2:$AH$4999=AH114)*($AF$2:$AF$4999&lt;=AF114)) &lt;= (COUNTIF($AH$2:$AH$4999,AH114)*0.3)), "SORTEADO", "-")</f>
        <v>SORTEADO</v>
      </c>
      <c r="AH114" s="257" t="str">
        <f t="shared" si="4"/>
        <v>06/04/2026</v>
      </c>
    </row>
    <row r="115" spans="1:34" ht="30" customHeight="1" x14ac:dyDescent="0.2">
      <c r="A115" s="230" t="s">
        <v>197</v>
      </c>
      <c r="B115" s="255">
        <v>2614466247</v>
      </c>
      <c r="C115" s="230" t="s">
        <v>127</v>
      </c>
      <c r="D115" s="230" t="s">
        <v>63</v>
      </c>
      <c r="E115" s="230" t="s">
        <v>198</v>
      </c>
      <c r="F115" s="230" t="s">
        <v>3428</v>
      </c>
      <c r="G115" s="230">
        <v>105</v>
      </c>
      <c r="H115" s="230"/>
      <c r="I115" s="230" t="s">
        <v>531</v>
      </c>
      <c r="J115" s="230" t="s">
        <v>3275</v>
      </c>
      <c r="K115" s="230"/>
      <c r="L115" s="235" t="s">
        <v>525</v>
      </c>
      <c r="M115" s="235">
        <v>46177.636111111111</v>
      </c>
      <c r="N115" s="230" t="s">
        <v>819</v>
      </c>
      <c r="O115" s="233" t="s">
        <v>204</v>
      </c>
      <c r="P115" s="9"/>
      <c r="Q115" s="146" t="s">
        <v>204</v>
      </c>
      <c r="R115" s="92"/>
      <c r="S115" s="146" t="s">
        <v>204</v>
      </c>
      <c r="T115" s="92"/>
      <c r="U115" s="146" t="s">
        <v>204</v>
      </c>
      <c r="V115" s="92"/>
      <c r="W115" s="146" t="s">
        <v>204</v>
      </c>
      <c r="X115" s="92"/>
      <c r="Y115" s="146" t="s">
        <v>204</v>
      </c>
      <c r="Z115" s="186" t="str">
        <f t="shared" si="6"/>
        <v>C</v>
      </c>
      <c r="AA115" s="217" t="str">
        <f t="shared" si="5"/>
        <v>UTILIZOU O PDA CORRETAMENTE</v>
      </c>
      <c r="AB115" s="92" t="s">
        <v>204</v>
      </c>
      <c r="AC115" s="164" t="s">
        <v>6</v>
      </c>
      <c r="AD115" s="151" t="str">
        <f t="shared" si="7"/>
        <v>GUARULHOS</v>
      </c>
      <c r="AE115" s="96" t="s">
        <v>63</v>
      </c>
      <c r="AF115" s="53">
        <v>-2.2800000000000001E-2</v>
      </c>
      <c r="AG115" s="53" t="str" cm="1">
        <f t="array" ref="AG115">IF(OR(O115&lt;&gt;"", SUMPRODUCT(($AH$2:$AH$4999=AH115)*($AF$2:$AF$4999&lt;=AF115)) &lt;= (COUNTIF($AH$2:$AH$4999,AH115)*0.3)), "SORTEADO", "-")</f>
        <v>SORTEADO</v>
      </c>
      <c r="AH115" s="257" t="str">
        <f t="shared" si="4"/>
        <v>06/04/2026</v>
      </c>
    </row>
    <row r="116" spans="1:34" ht="30" customHeight="1" x14ac:dyDescent="0.2">
      <c r="A116" s="230" t="s">
        <v>197</v>
      </c>
      <c r="B116" s="255">
        <v>2689690120</v>
      </c>
      <c r="C116" s="230" t="s">
        <v>127</v>
      </c>
      <c r="D116" s="230" t="s">
        <v>63</v>
      </c>
      <c r="E116" s="230" t="s">
        <v>198</v>
      </c>
      <c r="F116" s="230" t="s">
        <v>3429</v>
      </c>
      <c r="G116" s="230">
        <v>89</v>
      </c>
      <c r="H116" s="230" t="s">
        <v>3430</v>
      </c>
      <c r="I116" s="230" t="s">
        <v>1445</v>
      </c>
      <c r="J116" s="230" t="s">
        <v>3275</v>
      </c>
      <c r="K116" s="230" t="s">
        <v>213</v>
      </c>
      <c r="L116" s="235" t="s">
        <v>525</v>
      </c>
      <c r="M116" s="235">
        <v>46177.581944444442</v>
      </c>
      <c r="N116" s="230" t="s">
        <v>3338</v>
      </c>
      <c r="O116" s="233" t="s">
        <v>204</v>
      </c>
      <c r="P116" s="9"/>
      <c r="Q116" s="146" t="s">
        <v>204</v>
      </c>
      <c r="R116" s="92"/>
      <c r="S116" s="146" t="s">
        <v>204</v>
      </c>
      <c r="T116" s="92"/>
      <c r="U116" s="146" t="s">
        <v>204</v>
      </c>
      <c r="V116" s="92"/>
      <c r="W116" s="146" t="s">
        <v>204</v>
      </c>
      <c r="X116" s="92"/>
      <c r="Y116" s="146" t="s">
        <v>204</v>
      </c>
      <c r="Z116" s="186" t="str">
        <f t="shared" si="6"/>
        <v>C</v>
      </c>
      <c r="AA116" s="217" t="str">
        <f t="shared" si="5"/>
        <v>UTILIZOU O PDA CORRETAMENTE</v>
      </c>
      <c r="AB116" s="92" t="s">
        <v>204</v>
      </c>
      <c r="AC116" s="164" t="s">
        <v>6</v>
      </c>
      <c r="AD116" s="151" t="str">
        <f t="shared" si="7"/>
        <v>GUARULHOS</v>
      </c>
      <c r="AE116" s="96" t="s">
        <v>63</v>
      </c>
      <c r="AF116" s="53">
        <v>-2.3E-2</v>
      </c>
      <c r="AG116" s="53" t="str" cm="1">
        <f t="array" ref="AG116">IF(OR(O116&lt;&gt;"", SUMPRODUCT(($AH$2:$AH$4999=AH116)*($AF$2:$AF$4999&lt;=AF116)) &lt;= (COUNTIF($AH$2:$AH$4999,AH116)*0.3)), "SORTEADO", "-")</f>
        <v>SORTEADO</v>
      </c>
      <c r="AH116" s="257" t="str">
        <f t="shared" si="4"/>
        <v>06/04/2026</v>
      </c>
    </row>
    <row r="117" spans="1:34" ht="30" customHeight="1" x14ac:dyDescent="0.2">
      <c r="A117" s="230" t="s">
        <v>197</v>
      </c>
      <c r="B117" s="255">
        <v>2614473563</v>
      </c>
      <c r="C117" s="230" t="s">
        <v>130</v>
      </c>
      <c r="D117" s="230" t="s">
        <v>63</v>
      </c>
      <c r="E117" s="230" t="s">
        <v>198</v>
      </c>
      <c r="F117" s="230" t="s">
        <v>3431</v>
      </c>
      <c r="G117" s="230">
        <v>61</v>
      </c>
      <c r="H117" s="230"/>
      <c r="I117" s="230" t="s">
        <v>368</v>
      </c>
      <c r="J117" s="230" t="s">
        <v>3340</v>
      </c>
      <c r="K117" s="230" t="s">
        <v>3432</v>
      </c>
      <c r="L117" s="235" t="s">
        <v>525</v>
      </c>
      <c r="M117" s="235">
        <v>46177.584027777775</v>
      </c>
      <c r="N117" s="230" t="s">
        <v>3433</v>
      </c>
      <c r="O117" s="233" t="s">
        <v>204</v>
      </c>
      <c r="P117" s="9"/>
      <c r="Q117" s="146" t="s">
        <v>204</v>
      </c>
      <c r="R117" s="92"/>
      <c r="S117" s="146" t="s">
        <v>204</v>
      </c>
      <c r="T117" s="92"/>
      <c r="U117" s="146" t="s">
        <v>204</v>
      </c>
      <c r="V117" s="92"/>
      <c r="W117" s="146" t="s">
        <v>204</v>
      </c>
      <c r="X117" s="92"/>
      <c r="Y117" s="146" t="s">
        <v>204</v>
      </c>
      <c r="Z117" s="186" t="str">
        <f t="shared" si="6"/>
        <v>C</v>
      </c>
      <c r="AA117" s="217" t="str">
        <f t="shared" si="5"/>
        <v>UTILIZOU O PDA CORRETAMENTE</v>
      </c>
      <c r="AB117" s="92" t="s">
        <v>204</v>
      </c>
      <c r="AC117" s="164" t="s">
        <v>6</v>
      </c>
      <c r="AD117" s="151" t="str">
        <f t="shared" si="7"/>
        <v>GUARULHOS</v>
      </c>
      <c r="AE117" s="96" t="s">
        <v>63</v>
      </c>
      <c r="AF117" s="53">
        <v>-2.3199999999999998E-2</v>
      </c>
      <c r="AG117" s="53" t="str" cm="1">
        <f t="array" ref="AG117">IF(OR(O117&lt;&gt;"", SUMPRODUCT(($AH$2:$AH$4999=AH117)*($AF$2:$AF$4999&lt;=AF117)) &lt;= (COUNTIF($AH$2:$AH$4999,AH117)*0.3)), "SORTEADO", "-")</f>
        <v>SORTEADO</v>
      </c>
      <c r="AH117" s="257" t="str">
        <f t="shared" si="4"/>
        <v>06/04/2026</v>
      </c>
    </row>
    <row r="118" spans="1:34" ht="30" customHeight="1" x14ac:dyDescent="0.2">
      <c r="A118" s="230" t="s">
        <v>197</v>
      </c>
      <c r="B118" s="255">
        <v>2689688165</v>
      </c>
      <c r="C118" s="230" t="s">
        <v>127</v>
      </c>
      <c r="D118" s="230" t="s">
        <v>63</v>
      </c>
      <c r="E118" s="230" t="s">
        <v>198</v>
      </c>
      <c r="F118" s="230" t="s">
        <v>3434</v>
      </c>
      <c r="G118" s="230">
        <v>539</v>
      </c>
      <c r="H118" s="230" t="s">
        <v>3435</v>
      </c>
      <c r="I118" s="230" t="s">
        <v>398</v>
      </c>
      <c r="J118" s="230" t="s">
        <v>3275</v>
      </c>
      <c r="K118" s="230"/>
      <c r="L118" s="235" t="s">
        <v>525</v>
      </c>
      <c r="M118" s="235">
        <v>46177.661805555559</v>
      </c>
      <c r="N118" s="230" t="s">
        <v>3436</v>
      </c>
      <c r="O118" s="233" t="s">
        <v>204</v>
      </c>
      <c r="P118" s="9"/>
      <c r="Q118" s="146" t="s">
        <v>204</v>
      </c>
      <c r="R118" s="92"/>
      <c r="S118" s="146" t="s">
        <v>204</v>
      </c>
      <c r="T118" s="92"/>
      <c r="U118" s="146" t="s">
        <v>204</v>
      </c>
      <c r="V118" s="92"/>
      <c r="W118" s="146" t="s">
        <v>204</v>
      </c>
      <c r="X118" s="92"/>
      <c r="Y118" s="146" t="s">
        <v>204</v>
      </c>
      <c r="Z118" s="186" t="str">
        <f t="shared" si="6"/>
        <v>C</v>
      </c>
      <c r="AA118" s="217" t="str">
        <f t="shared" si="5"/>
        <v>UTILIZOU O PDA CORRETAMENTE</v>
      </c>
      <c r="AB118" s="92" t="s">
        <v>204</v>
      </c>
      <c r="AC118" s="164" t="s">
        <v>6</v>
      </c>
      <c r="AD118" s="151" t="str">
        <f t="shared" si="7"/>
        <v>GUARULHOS</v>
      </c>
      <c r="AE118" s="96" t="s">
        <v>63</v>
      </c>
      <c r="AF118" s="53">
        <v>-2.3400000000000001E-2</v>
      </c>
      <c r="AG118" s="53" t="str" cm="1">
        <f t="array" ref="AG118">IF(OR(O118&lt;&gt;"", SUMPRODUCT(($AH$2:$AH$4999=AH118)*($AF$2:$AF$4999&lt;=AF118)) &lt;= (COUNTIF($AH$2:$AH$4999,AH118)*0.3)), "SORTEADO", "-")</f>
        <v>SORTEADO</v>
      </c>
      <c r="AH118" s="257" t="str">
        <f t="shared" si="4"/>
        <v>06/04/2026</v>
      </c>
    </row>
    <row r="119" spans="1:34" ht="30" customHeight="1" x14ac:dyDescent="0.2">
      <c r="A119" s="230" t="s">
        <v>197</v>
      </c>
      <c r="B119" s="255">
        <v>2614472465</v>
      </c>
      <c r="C119" s="230" t="s">
        <v>3437</v>
      </c>
      <c r="D119" s="230" t="s">
        <v>63</v>
      </c>
      <c r="E119" s="230" t="s">
        <v>198</v>
      </c>
      <c r="F119" s="230" t="s">
        <v>656</v>
      </c>
      <c r="G119" s="230">
        <v>521</v>
      </c>
      <c r="H119" s="230" t="s">
        <v>235</v>
      </c>
      <c r="I119" s="230" t="s">
        <v>3438</v>
      </c>
      <c r="J119" s="230" t="s">
        <v>3271</v>
      </c>
      <c r="K119" s="230" t="s">
        <v>213</v>
      </c>
      <c r="L119" s="235" t="s">
        <v>525</v>
      </c>
      <c r="M119" s="235">
        <v>46177.633333333331</v>
      </c>
      <c r="N119" s="230" t="s">
        <v>3436</v>
      </c>
      <c r="O119" s="233" t="s">
        <v>204</v>
      </c>
      <c r="P119" s="9"/>
      <c r="Q119" s="146" t="s">
        <v>204</v>
      </c>
      <c r="R119" s="92"/>
      <c r="S119" s="146" t="s">
        <v>204</v>
      </c>
      <c r="T119" s="92"/>
      <c r="U119" s="146" t="s">
        <v>204</v>
      </c>
      <c r="V119" s="92"/>
      <c r="W119" s="146" t="s">
        <v>204</v>
      </c>
      <c r="X119" s="92"/>
      <c r="Y119" s="146" t="s">
        <v>204</v>
      </c>
      <c r="Z119" s="186" t="str">
        <f t="shared" si="6"/>
        <v>C</v>
      </c>
      <c r="AA119" s="217" t="str">
        <f t="shared" si="5"/>
        <v>UTILIZOU O PDA CORRETAMENTE</v>
      </c>
      <c r="AB119" s="92" t="s">
        <v>204</v>
      </c>
      <c r="AC119" s="164" t="s">
        <v>6</v>
      </c>
      <c r="AD119" s="151" t="str">
        <f t="shared" si="7"/>
        <v>GUARULHOS</v>
      </c>
      <c r="AE119" s="96" t="s">
        <v>63</v>
      </c>
      <c r="AF119" s="53">
        <v>-2.3599999999999999E-2</v>
      </c>
      <c r="AG119" s="53" t="str" cm="1">
        <f t="array" ref="AG119">IF(OR(O119&lt;&gt;"", SUMPRODUCT(($AH$2:$AH$4999=AH119)*($AF$2:$AF$4999&lt;=AF119)) &lt;= (COUNTIF($AH$2:$AH$4999,AH119)*0.3)), "SORTEADO", "-")</f>
        <v>SORTEADO</v>
      </c>
      <c r="AH119" s="257" t="str">
        <f t="shared" si="4"/>
        <v>06/04/2026</v>
      </c>
    </row>
    <row r="120" spans="1:34" ht="30" customHeight="1" x14ac:dyDescent="0.2">
      <c r="A120" s="230" t="s">
        <v>197</v>
      </c>
      <c r="B120" s="230">
        <v>2689681439</v>
      </c>
      <c r="C120" s="230" t="s">
        <v>133</v>
      </c>
      <c r="D120" s="230" t="s">
        <v>124</v>
      </c>
      <c r="E120" s="230" t="s">
        <v>198</v>
      </c>
      <c r="F120" s="230" t="s">
        <v>3439</v>
      </c>
      <c r="G120" s="230">
        <v>110</v>
      </c>
      <c r="H120" s="230" t="s">
        <v>534</v>
      </c>
      <c r="I120" s="230" t="s">
        <v>253</v>
      </c>
      <c r="J120" s="230" t="s">
        <v>3275</v>
      </c>
      <c r="K120" s="230" t="s">
        <v>3440</v>
      </c>
      <c r="L120" s="235" t="s">
        <v>525</v>
      </c>
      <c r="M120" s="235">
        <v>46177.542361111111</v>
      </c>
      <c r="N120" s="230" t="s">
        <v>3276</v>
      </c>
      <c r="O120" s="233" t="s">
        <v>328</v>
      </c>
      <c r="P120" s="169"/>
      <c r="Q120" s="144" t="s">
        <v>328</v>
      </c>
      <c r="R120" s="56"/>
      <c r="S120" s="144" t="s">
        <v>328</v>
      </c>
      <c r="T120" s="56"/>
      <c r="U120" s="144" t="s">
        <v>328</v>
      </c>
      <c r="V120" s="56"/>
      <c r="W120" s="144" t="s">
        <v>328</v>
      </c>
      <c r="X120" s="56"/>
      <c r="Y120" s="144" t="s">
        <v>210</v>
      </c>
      <c r="Z120" s="186" t="str">
        <f t="shared" si="6"/>
        <v>NC</v>
      </c>
      <c r="AA120" s="217" t="str">
        <f t="shared" si="5"/>
        <v>NÃO UTILIZOU O PDA</v>
      </c>
      <c r="AB120" s="92" t="s">
        <v>204</v>
      </c>
      <c r="AC120" s="164" t="s">
        <v>6</v>
      </c>
      <c r="AD120" s="151" t="str">
        <f t="shared" si="7"/>
        <v>GUARULHOS</v>
      </c>
      <c r="AE120" s="96" t="s">
        <v>63</v>
      </c>
      <c r="AF120" s="53">
        <v>-2.3800000000000002E-2</v>
      </c>
      <c r="AG120" s="53" t="str" cm="1">
        <f t="array" ref="AG120">IF(OR(O120&lt;&gt;"", SUMPRODUCT(($AH$2:$AH$4999=AH120)*($AF$2:$AF$4999&lt;=AF120)) &lt;= (COUNTIF($AH$2:$AH$4999,AH120)*0.3)), "SORTEADO", "-")</f>
        <v>SORTEADO</v>
      </c>
      <c r="AH120" s="257" t="str">
        <f t="shared" si="4"/>
        <v>06/04/2026</v>
      </c>
    </row>
    <row r="121" spans="1:34" ht="30" customHeight="1" x14ac:dyDescent="0.2">
      <c r="A121" s="230" t="s">
        <v>197</v>
      </c>
      <c r="B121" s="230">
        <v>2689676404</v>
      </c>
      <c r="C121" s="230" t="s">
        <v>133</v>
      </c>
      <c r="D121" s="230" t="s">
        <v>124</v>
      </c>
      <c r="E121" s="230" t="s">
        <v>198</v>
      </c>
      <c r="F121" s="230" t="s">
        <v>3290</v>
      </c>
      <c r="G121" s="230">
        <v>218</v>
      </c>
      <c r="H121" s="230" t="s">
        <v>1712</v>
      </c>
      <c r="I121" s="230" t="s">
        <v>335</v>
      </c>
      <c r="J121" s="230" t="s">
        <v>3275</v>
      </c>
      <c r="K121" s="230" t="s">
        <v>3441</v>
      </c>
      <c r="L121" s="235" t="s">
        <v>525</v>
      </c>
      <c r="M121" s="235">
        <v>46177.544444444444</v>
      </c>
      <c r="N121" s="230" t="s">
        <v>3276</v>
      </c>
      <c r="O121" s="233" t="s">
        <v>328</v>
      </c>
      <c r="P121" s="169"/>
      <c r="Q121" s="144" t="s">
        <v>328</v>
      </c>
      <c r="R121" s="56"/>
      <c r="S121" s="144" t="s">
        <v>328</v>
      </c>
      <c r="T121" s="56"/>
      <c r="U121" s="144" t="s">
        <v>328</v>
      </c>
      <c r="V121" s="56"/>
      <c r="W121" s="144" t="s">
        <v>328</v>
      </c>
      <c r="X121" s="56"/>
      <c r="Y121" s="144" t="s">
        <v>210</v>
      </c>
      <c r="Z121" s="186" t="str">
        <f t="shared" si="6"/>
        <v>NC</v>
      </c>
      <c r="AA121" s="217" t="str">
        <f t="shared" si="5"/>
        <v>NÃO UTILIZOU O PDA</v>
      </c>
      <c r="AB121" s="92" t="s">
        <v>204</v>
      </c>
      <c r="AC121" s="164" t="s">
        <v>6</v>
      </c>
      <c r="AD121" s="151" t="str">
        <f t="shared" si="7"/>
        <v>GUARULHOS</v>
      </c>
      <c r="AE121" s="96" t="s">
        <v>63</v>
      </c>
      <c r="AF121" s="53">
        <v>-2.4E-2</v>
      </c>
      <c r="AG121" s="53" t="str" cm="1">
        <f t="array" ref="AG121">IF(OR(O121&lt;&gt;"", SUMPRODUCT(($AH$2:$AH$4999=AH121)*($AF$2:$AF$4999&lt;=AF121)) &lt;= (COUNTIF($AH$2:$AH$4999,AH121)*0.3)), "SORTEADO", "-")</f>
        <v>SORTEADO</v>
      </c>
      <c r="AH121" s="257" t="str">
        <f t="shared" si="4"/>
        <v>06/04/2026</v>
      </c>
    </row>
    <row r="122" spans="1:34" ht="30" customHeight="1" x14ac:dyDescent="0.2">
      <c r="A122" s="230" t="s">
        <v>197</v>
      </c>
      <c r="B122" s="255">
        <v>2614438185</v>
      </c>
      <c r="C122" s="230" t="s">
        <v>133</v>
      </c>
      <c r="D122" s="230" t="s">
        <v>124</v>
      </c>
      <c r="E122" s="230" t="s">
        <v>198</v>
      </c>
      <c r="F122" s="230" t="s">
        <v>221</v>
      </c>
      <c r="G122" s="230">
        <v>191</v>
      </c>
      <c r="H122" s="230" t="s">
        <v>3442</v>
      </c>
      <c r="I122" s="230" t="s">
        <v>223</v>
      </c>
      <c r="J122" s="230" t="s">
        <v>3275</v>
      </c>
      <c r="K122" s="230"/>
      <c r="L122" s="235" t="s">
        <v>525</v>
      </c>
      <c r="M122" s="235">
        <v>46177.524305555555</v>
      </c>
      <c r="N122" s="230" t="s">
        <v>3289</v>
      </c>
      <c r="O122" s="233" t="s">
        <v>204</v>
      </c>
      <c r="P122" s="9"/>
      <c r="Q122" s="146" t="s">
        <v>328</v>
      </c>
      <c r="R122" s="92"/>
      <c r="S122" s="146" t="s">
        <v>204</v>
      </c>
      <c r="T122" s="92"/>
      <c r="U122" s="146" t="s">
        <v>204</v>
      </c>
      <c r="V122" s="92"/>
      <c r="W122" s="146" t="s">
        <v>204</v>
      </c>
      <c r="X122" s="92"/>
      <c r="Y122" s="146" t="s">
        <v>204</v>
      </c>
      <c r="Z122" s="186" t="str">
        <f t="shared" si="6"/>
        <v>NC</v>
      </c>
      <c r="AA122" s="217" t="str">
        <f t="shared" si="5"/>
        <v>UTILIZOU O PDA CORRETAMENTE. NÃO HÁ FOTOS DE TODAS AS ETAPAS</v>
      </c>
      <c r="AB122" s="92" t="s">
        <v>204</v>
      </c>
      <c r="AC122" s="164" t="s">
        <v>6</v>
      </c>
      <c r="AD122" s="151" t="str">
        <f t="shared" si="7"/>
        <v>GUARULHOS</v>
      </c>
      <c r="AE122" s="96" t="s">
        <v>63</v>
      </c>
      <c r="AF122" s="53">
        <v>-2.4199999999999999E-2</v>
      </c>
      <c r="AG122" s="53" t="str" cm="1">
        <f t="array" ref="AG122">IF(OR(O122&lt;&gt;"", SUMPRODUCT(($AH$2:$AH$4999=AH122)*($AF$2:$AF$4999&lt;=AF122)) &lt;= (COUNTIF($AH$2:$AH$4999,AH122)*0.3)), "SORTEADO", "-")</f>
        <v>SORTEADO</v>
      </c>
      <c r="AH122" s="257" t="str">
        <f t="shared" si="4"/>
        <v>06/04/2026</v>
      </c>
    </row>
    <row r="123" spans="1:34" ht="30" hidden="1" customHeight="1" x14ac:dyDescent="0.2">
      <c r="A123" s="230" t="s">
        <v>197</v>
      </c>
      <c r="B123" s="230">
        <v>2614442035</v>
      </c>
      <c r="C123" s="230" t="s">
        <v>133</v>
      </c>
      <c r="D123" s="230" t="s">
        <v>124</v>
      </c>
      <c r="E123" s="230" t="s">
        <v>198</v>
      </c>
      <c r="F123" s="230" t="s">
        <v>3443</v>
      </c>
      <c r="G123" s="230">
        <v>456</v>
      </c>
      <c r="H123" s="230" t="s">
        <v>213</v>
      </c>
      <c r="I123" s="230" t="s">
        <v>3444</v>
      </c>
      <c r="J123" s="230" t="s">
        <v>3275</v>
      </c>
      <c r="K123" s="230" t="s">
        <v>3445</v>
      </c>
      <c r="L123" s="235" t="s">
        <v>525</v>
      </c>
      <c r="M123" s="235">
        <v>46177.579861111109</v>
      </c>
      <c r="N123" s="230" t="s">
        <v>3289</v>
      </c>
      <c r="O123" s="233" t="s">
        <v>61</v>
      </c>
      <c r="P123" s="169"/>
      <c r="Q123" s="144" t="s">
        <v>61</v>
      </c>
      <c r="R123" s="56"/>
      <c r="S123" s="144" t="s">
        <v>61</v>
      </c>
      <c r="T123" s="56"/>
      <c r="U123" s="144" t="s">
        <v>61</v>
      </c>
      <c r="V123" s="56"/>
      <c r="W123" s="144" t="s">
        <v>61</v>
      </c>
      <c r="X123" s="56"/>
      <c r="Y123" s="144" t="s">
        <v>61</v>
      </c>
      <c r="Z123" s="186" t="str">
        <f t="shared" si="6"/>
        <v>NA</v>
      </c>
      <c r="AA123" s="217" t="str">
        <f t="shared" si="5"/>
        <v>NÃO AVALIADO POR FALHA DE SINCRONISMO</v>
      </c>
      <c r="AB123" s="92" t="s">
        <v>204</v>
      </c>
      <c r="AC123" s="164" t="s">
        <v>6</v>
      </c>
      <c r="AD123" s="151" t="str">
        <f t="shared" si="7"/>
        <v>GUARULHOS</v>
      </c>
      <c r="AE123" s="96" t="s">
        <v>63</v>
      </c>
      <c r="AF123" s="53">
        <v>-2.4400000000000002E-2</v>
      </c>
      <c r="AG123" s="53" t="str" cm="1">
        <f t="array" ref="AG123">IF(OR(O123&lt;&gt;"", SUMPRODUCT(($AH$2:$AH$4999=AH123)*($AF$2:$AF$4999&lt;=AF123)) &lt;= (COUNTIF($AH$2:$AH$4999,AH123)*0.3)), "SORTEADO", "-")</f>
        <v>SORTEADO</v>
      </c>
      <c r="AH123" s="257" t="str">
        <f t="shared" si="4"/>
        <v>06/04/2026</v>
      </c>
    </row>
    <row r="124" spans="1:34" ht="30" customHeight="1" x14ac:dyDescent="0.2">
      <c r="A124" s="230" t="s">
        <v>197</v>
      </c>
      <c r="B124" s="255">
        <v>2689654155</v>
      </c>
      <c r="C124" s="230" t="s">
        <v>127</v>
      </c>
      <c r="D124" s="230" t="s">
        <v>63</v>
      </c>
      <c r="E124" s="230" t="s">
        <v>198</v>
      </c>
      <c r="F124" s="230" t="s">
        <v>3446</v>
      </c>
      <c r="G124" s="230">
        <v>72</v>
      </c>
      <c r="H124" s="230">
        <v>62</v>
      </c>
      <c r="I124" s="230" t="s">
        <v>200</v>
      </c>
      <c r="J124" s="230" t="s">
        <v>3275</v>
      </c>
      <c r="K124" s="230"/>
      <c r="L124" s="235" t="s">
        <v>525</v>
      </c>
      <c r="M124" s="235">
        <v>46177.43472222222</v>
      </c>
      <c r="N124" s="230" t="s">
        <v>244</v>
      </c>
      <c r="O124" s="233" t="s">
        <v>204</v>
      </c>
      <c r="P124" s="9"/>
      <c r="Q124" s="146" t="s">
        <v>204</v>
      </c>
      <c r="R124" s="92"/>
      <c r="S124" s="146" t="s">
        <v>204</v>
      </c>
      <c r="T124" s="92"/>
      <c r="U124" s="146" t="s">
        <v>204</v>
      </c>
      <c r="V124" s="92"/>
      <c r="W124" s="146" t="s">
        <v>204</v>
      </c>
      <c r="X124" s="92"/>
      <c r="Y124" s="146" t="s">
        <v>204</v>
      </c>
      <c r="Z124" s="186" t="str">
        <f t="shared" si="6"/>
        <v>C</v>
      </c>
      <c r="AA124" s="217" t="str">
        <f t="shared" si="5"/>
        <v>UTILIZOU O PDA CORRETAMENTE</v>
      </c>
      <c r="AB124" s="92" t="s">
        <v>204</v>
      </c>
      <c r="AC124" s="164" t="s">
        <v>6</v>
      </c>
      <c r="AD124" s="151" t="str">
        <f t="shared" si="7"/>
        <v>GUARULHOS</v>
      </c>
      <c r="AE124" s="96" t="s">
        <v>63</v>
      </c>
      <c r="AF124" s="53">
        <v>-2.46E-2</v>
      </c>
      <c r="AG124" s="53" t="str" cm="1">
        <f t="array" ref="AG124">IF(OR(O124&lt;&gt;"", SUMPRODUCT(($AH$2:$AH$4999=AH124)*($AF$2:$AF$4999&lt;=AF124)) &lt;= (COUNTIF($AH$2:$AH$4999,AH124)*0.3)), "SORTEADO", "-")</f>
        <v>SORTEADO</v>
      </c>
      <c r="AH124" s="257" t="str">
        <f t="shared" si="4"/>
        <v>06/04/2026</v>
      </c>
    </row>
    <row r="125" spans="1:34" ht="30" customHeight="1" x14ac:dyDescent="0.2">
      <c r="A125" s="230" t="s">
        <v>197</v>
      </c>
      <c r="B125" s="255">
        <v>2614471325</v>
      </c>
      <c r="C125" s="230" t="s">
        <v>131</v>
      </c>
      <c r="D125" s="230" t="s">
        <v>63</v>
      </c>
      <c r="E125" s="230" t="s">
        <v>198</v>
      </c>
      <c r="F125" s="230" t="s">
        <v>3447</v>
      </c>
      <c r="G125" s="230">
        <v>149</v>
      </c>
      <c r="H125" s="230" t="s">
        <v>1127</v>
      </c>
      <c r="I125" s="230" t="s">
        <v>1445</v>
      </c>
      <c r="J125" s="230" t="s">
        <v>3273</v>
      </c>
      <c r="K125" s="230" t="s">
        <v>213</v>
      </c>
      <c r="L125" s="235" t="s">
        <v>525</v>
      </c>
      <c r="M125" s="235">
        <v>46177.661111111112</v>
      </c>
      <c r="N125" s="230" t="s">
        <v>287</v>
      </c>
      <c r="O125" s="233" t="s">
        <v>204</v>
      </c>
      <c r="P125" s="9"/>
      <c r="Q125" s="146" t="s">
        <v>204</v>
      </c>
      <c r="R125" s="92"/>
      <c r="S125" s="146" t="s">
        <v>204</v>
      </c>
      <c r="T125" s="92"/>
      <c r="U125" s="146" t="s">
        <v>204</v>
      </c>
      <c r="V125" s="92"/>
      <c r="W125" s="146" t="s">
        <v>204</v>
      </c>
      <c r="X125" s="92"/>
      <c r="Y125" s="146" t="s">
        <v>204</v>
      </c>
      <c r="Z125" s="186" t="str">
        <f t="shared" si="6"/>
        <v>C</v>
      </c>
      <c r="AA125" s="217" t="str">
        <f t="shared" si="5"/>
        <v>UTILIZOU O PDA CORRETAMENTE</v>
      </c>
      <c r="AB125" s="92" t="s">
        <v>204</v>
      </c>
      <c r="AC125" s="164" t="s">
        <v>6</v>
      </c>
      <c r="AD125" s="151" t="str">
        <f t="shared" si="7"/>
        <v>GUARULHOS</v>
      </c>
      <c r="AE125" s="96" t="s">
        <v>63</v>
      </c>
      <c r="AF125" s="53">
        <v>-2.4799999999999999E-2</v>
      </c>
      <c r="AG125" s="53" t="str" cm="1">
        <f t="array" ref="AG125">IF(OR(O125&lt;&gt;"", SUMPRODUCT(($AH$2:$AH$4999=AH125)*($AF$2:$AF$4999&lt;=AF125)) &lt;= (COUNTIF($AH$2:$AH$4999,AH125)*0.3)), "SORTEADO", "-")</f>
        <v>SORTEADO</v>
      </c>
      <c r="AH125" s="257" t="str">
        <f t="shared" ref="AH125:AH166" si="8">TEXT(L125, "dd/mm/aaaa")</f>
        <v>06/04/2026</v>
      </c>
    </row>
    <row r="126" spans="1:34" ht="30" customHeight="1" x14ac:dyDescent="0.2">
      <c r="A126" s="230" t="s">
        <v>197</v>
      </c>
      <c r="B126" s="255">
        <v>2614451472</v>
      </c>
      <c r="C126" s="230" t="s">
        <v>135</v>
      </c>
      <c r="D126" s="230" t="s">
        <v>124</v>
      </c>
      <c r="E126" s="230" t="s">
        <v>198</v>
      </c>
      <c r="F126" s="230" t="s">
        <v>308</v>
      </c>
      <c r="G126" s="230">
        <v>544</v>
      </c>
      <c r="H126" s="230"/>
      <c r="I126" s="230" t="s">
        <v>262</v>
      </c>
      <c r="J126" s="230" t="s">
        <v>3280</v>
      </c>
      <c r="K126" s="230"/>
      <c r="L126" s="235" t="s">
        <v>525</v>
      </c>
      <c r="M126" s="235">
        <v>46177.661111111112</v>
      </c>
      <c r="N126" s="230" t="s">
        <v>260</v>
      </c>
      <c r="O126" s="233" t="s">
        <v>204</v>
      </c>
      <c r="P126" s="9"/>
      <c r="Q126" s="146" t="s">
        <v>204</v>
      </c>
      <c r="R126" s="92"/>
      <c r="S126" s="146" t="s">
        <v>204</v>
      </c>
      <c r="T126" s="92"/>
      <c r="U126" s="146" t="s">
        <v>204</v>
      </c>
      <c r="V126" s="92"/>
      <c r="W126" s="146" t="s">
        <v>204</v>
      </c>
      <c r="X126" s="92"/>
      <c r="Y126" s="146" t="s">
        <v>204</v>
      </c>
      <c r="Z126" s="186" t="str">
        <f t="shared" si="6"/>
        <v>C</v>
      </c>
      <c r="AA126" s="217" t="str">
        <f t="shared" si="5"/>
        <v>UTILIZOU O PDA CORRETAMENTE</v>
      </c>
      <c r="AB126" s="92" t="s">
        <v>204</v>
      </c>
      <c r="AC126" s="164" t="s">
        <v>6</v>
      </c>
      <c r="AD126" s="151" t="str">
        <f t="shared" si="7"/>
        <v>GUARULHOS</v>
      </c>
      <c r="AE126" s="96" t="s">
        <v>63</v>
      </c>
      <c r="AF126" s="53">
        <v>0.52959126526338196</v>
      </c>
      <c r="AG126" s="53" t="str" cm="1">
        <f t="array" ref="AG126">IF(OR(O126&lt;&gt;"", SUMPRODUCT(($AH$2:$AH$4999=AH126)*($AF$2:$AF$4999&lt;=AF126)) &lt;= (COUNTIF($AH$2:$AH$4999,AH126)*0.3)), "SORTEADO", "-")</f>
        <v>SORTEADO</v>
      </c>
      <c r="AH126" s="257" t="str">
        <f t="shared" si="8"/>
        <v>06/04/2026</v>
      </c>
    </row>
    <row r="127" spans="1:34" ht="30" customHeight="1" x14ac:dyDescent="0.2">
      <c r="A127" s="230" t="s">
        <v>197</v>
      </c>
      <c r="B127" s="255">
        <v>2614451014</v>
      </c>
      <c r="C127" s="230" t="s">
        <v>135</v>
      </c>
      <c r="D127" s="230" t="s">
        <v>124</v>
      </c>
      <c r="E127" s="230" t="s">
        <v>198</v>
      </c>
      <c r="F127" s="230" t="s">
        <v>308</v>
      </c>
      <c r="G127" s="230">
        <v>540</v>
      </c>
      <c r="H127" s="230" t="s">
        <v>213</v>
      </c>
      <c r="I127" s="230" t="s">
        <v>262</v>
      </c>
      <c r="J127" s="230" t="s">
        <v>3280</v>
      </c>
      <c r="K127" s="230" t="s">
        <v>213</v>
      </c>
      <c r="L127" s="235" t="s">
        <v>525</v>
      </c>
      <c r="M127" s="235">
        <v>46177.665972222225</v>
      </c>
      <c r="N127" s="230" t="s">
        <v>260</v>
      </c>
      <c r="O127" s="233" t="s">
        <v>204</v>
      </c>
      <c r="P127" s="9"/>
      <c r="Q127" s="146" t="s">
        <v>204</v>
      </c>
      <c r="R127" s="92"/>
      <c r="S127" s="146" t="s">
        <v>204</v>
      </c>
      <c r="T127" s="92"/>
      <c r="U127" s="146" t="s">
        <v>204</v>
      </c>
      <c r="V127" s="92"/>
      <c r="W127" s="146" t="s">
        <v>204</v>
      </c>
      <c r="X127" s="92"/>
      <c r="Y127" s="146" t="s">
        <v>204</v>
      </c>
      <c r="Z127" s="186" t="str">
        <f t="shared" si="6"/>
        <v>C</v>
      </c>
      <c r="AA127" s="217" t="str">
        <f t="shared" si="5"/>
        <v>UTILIZOU O PDA CORRETAMENTE</v>
      </c>
      <c r="AB127" s="92"/>
      <c r="AC127" s="164" t="s">
        <v>6</v>
      </c>
      <c r="AD127" s="151" t="str">
        <f t="shared" si="7"/>
        <v>GUARULHOS</v>
      </c>
      <c r="AE127" s="96" t="s">
        <v>63</v>
      </c>
      <c r="AF127" s="53">
        <v>0.98001859097073107</v>
      </c>
      <c r="AG127" s="53" t="str" cm="1">
        <f t="array" ref="AG127">IF(OR(O127&lt;&gt;"", SUMPRODUCT(($AH$2:$AH$4999=AH127)*($AF$2:$AF$4999&lt;=AF127)) &lt;= (COUNTIF($AH$2:$AH$4999,AH127)*0.3)), "SORTEADO", "-")</f>
        <v>SORTEADO</v>
      </c>
      <c r="AH127" s="257" t="str">
        <f t="shared" si="8"/>
        <v>06/04/2026</v>
      </c>
    </row>
    <row r="128" spans="1:34" ht="30" customHeight="1" x14ac:dyDescent="0.2">
      <c r="A128" s="230" t="s">
        <v>197</v>
      </c>
      <c r="B128" s="255">
        <v>2614495548</v>
      </c>
      <c r="C128" s="230" t="s">
        <v>127</v>
      </c>
      <c r="D128" s="230" t="s">
        <v>63</v>
      </c>
      <c r="E128" s="230" t="s">
        <v>198</v>
      </c>
      <c r="F128" s="230" t="s">
        <v>3448</v>
      </c>
      <c r="G128" s="230">
        <v>276</v>
      </c>
      <c r="H128" s="230" t="s">
        <v>3449</v>
      </c>
      <c r="I128" s="230" t="s">
        <v>411</v>
      </c>
      <c r="J128" s="230" t="s">
        <v>3275</v>
      </c>
      <c r="K128" s="230" t="s">
        <v>213</v>
      </c>
      <c r="L128" s="235" t="s">
        <v>580</v>
      </c>
      <c r="M128" s="235">
        <v>46207.442361111112</v>
      </c>
      <c r="N128" s="230" t="s">
        <v>3436</v>
      </c>
      <c r="O128" s="233" t="s">
        <v>204</v>
      </c>
      <c r="P128" s="9"/>
      <c r="Q128" s="146" t="s">
        <v>204</v>
      </c>
      <c r="R128" s="92"/>
      <c r="S128" s="146" t="s">
        <v>204</v>
      </c>
      <c r="T128" s="92"/>
      <c r="U128" s="146" t="s">
        <v>204</v>
      </c>
      <c r="V128" s="92"/>
      <c r="W128" s="146" t="s">
        <v>204</v>
      </c>
      <c r="X128" s="92"/>
      <c r="Y128" s="146" t="s">
        <v>204</v>
      </c>
      <c r="Z128" s="186" t="str">
        <f t="shared" si="6"/>
        <v>C</v>
      </c>
      <c r="AA128" s="217" t="str">
        <f t="shared" si="5"/>
        <v>UTILIZOU O PDA CORRETAMENTE</v>
      </c>
      <c r="AB128" s="92" t="s">
        <v>204</v>
      </c>
      <c r="AC128" s="164" t="s">
        <v>6</v>
      </c>
      <c r="AD128" s="151" t="str">
        <f t="shared" si="7"/>
        <v>GUARULHOS</v>
      </c>
      <c r="AE128" s="96" t="s">
        <v>63</v>
      </c>
      <c r="AF128" s="53">
        <v>4.5917323984795963E-2</v>
      </c>
      <c r="AG128" s="53" t="str" cm="1">
        <f t="array" ref="AG128">IF(OR(O128&lt;&gt;"", SUMPRODUCT(($AH$2:$AH$4999=AH128)*($AF$2:$AF$4999&lt;=AF128)) &lt;= (COUNTIF($AH$2:$AH$4999,AH128)*0.3)), "SORTEADO", "-")</f>
        <v>SORTEADO</v>
      </c>
      <c r="AH128" s="257" t="str">
        <f t="shared" si="8"/>
        <v>07/04/2026</v>
      </c>
    </row>
    <row r="129" spans="1:34" ht="30" customHeight="1" x14ac:dyDescent="0.2">
      <c r="A129" s="230" t="s">
        <v>197</v>
      </c>
      <c r="B129" s="255">
        <v>2689741344</v>
      </c>
      <c r="C129" s="230" t="s">
        <v>131</v>
      </c>
      <c r="D129" s="230" t="s">
        <v>63</v>
      </c>
      <c r="E129" s="230" t="s">
        <v>198</v>
      </c>
      <c r="F129" s="230" t="s">
        <v>3450</v>
      </c>
      <c r="G129" s="230">
        <v>34</v>
      </c>
      <c r="H129" s="230" t="s">
        <v>2220</v>
      </c>
      <c r="I129" s="230" t="s">
        <v>667</v>
      </c>
      <c r="J129" s="230" t="s">
        <v>3271</v>
      </c>
      <c r="K129" s="230"/>
      <c r="L129" s="235" t="s">
        <v>580</v>
      </c>
      <c r="M129" s="235">
        <v>46207.379166666666</v>
      </c>
      <c r="N129" s="230" t="s">
        <v>3436</v>
      </c>
      <c r="O129" s="233" t="s">
        <v>204</v>
      </c>
      <c r="P129" s="9"/>
      <c r="Q129" s="146" t="s">
        <v>204</v>
      </c>
      <c r="R129" s="92"/>
      <c r="S129" s="146" t="s">
        <v>204</v>
      </c>
      <c r="T129" s="92"/>
      <c r="U129" s="146" t="s">
        <v>204</v>
      </c>
      <c r="V129" s="92"/>
      <c r="W129" s="146" t="s">
        <v>204</v>
      </c>
      <c r="X129" s="92"/>
      <c r="Y129" s="146" t="s">
        <v>204</v>
      </c>
      <c r="Z129" s="186" t="str">
        <f t="shared" si="6"/>
        <v>C</v>
      </c>
      <c r="AA129" s="217" t="str">
        <f t="shared" ref="AA129:AA192" si="9">IF(AND(Y129="C",Z129="C"),"UTILIZOU O PDA CORRETAMENTE",IF(AND(Y129="C",Z129="NC"),"UTILIZOU O PDA CORRETAMENTE. NÃO HÁ FOTOS DE TODAS AS ETAPAS",IF(AND(Y129="NC",Z129="NC"),"NÃO UTILIZOU O PDA",IF(AND(Y129="NA",Z129="NA"),"NÃO AVALIADO POR FALHA DE SINCRONISMO"))))</f>
        <v>UTILIZOU O PDA CORRETAMENTE</v>
      </c>
      <c r="AB129" s="92" t="s">
        <v>204</v>
      </c>
      <c r="AC129" s="164" t="s">
        <v>6</v>
      </c>
      <c r="AD129" s="151" t="str">
        <f t="shared" si="7"/>
        <v>GUARULHOS</v>
      </c>
      <c r="AE129" s="96" t="s">
        <v>63</v>
      </c>
      <c r="AF129" s="53">
        <v>0.18386810525646918</v>
      </c>
      <c r="AG129" s="53" t="str" cm="1">
        <f t="array" ref="AG129">IF(OR(O129&lt;&gt;"", SUMPRODUCT(($AH$2:$AH$4999=AH129)*($AF$2:$AF$4999&lt;=AF129)) &lt;= (COUNTIF($AH$2:$AH$4999,AH129)*0.3)), "SORTEADO", "-")</f>
        <v>SORTEADO</v>
      </c>
      <c r="AH129" s="257" t="str">
        <f t="shared" si="8"/>
        <v>07/04/2026</v>
      </c>
    </row>
    <row r="130" spans="1:34" ht="30" customHeight="1" x14ac:dyDescent="0.2">
      <c r="A130" s="230" t="s">
        <v>197</v>
      </c>
      <c r="B130" s="255">
        <v>2614503588</v>
      </c>
      <c r="C130" s="230" t="s">
        <v>127</v>
      </c>
      <c r="D130" s="230" t="s">
        <v>63</v>
      </c>
      <c r="E130" s="230" t="s">
        <v>198</v>
      </c>
      <c r="F130" s="230" t="s">
        <v>900</v>
      </c>
      <c r="G130" s="230">
        <v>570</v>
      </c>
      <c r="H130" s="230" t="s">
        <v>3336</v>
      </c>
      <c r="I130" s="230" t="s">
        <v>531</v>
      </c>
      <c r="J130" s="230" t="s">
        <v>3275</v>
      </c>
      <c r="K130" s="230" t="s">
        <v>213</v>
      </c>
      <c r="L130" s="235" t="s">
        <v>580</v>
      </c>
      <c r="M130" s="235">
        <v>46207.384722222225</v>
      </c>
      <c r="N130" s="230" t="s">
        <v>3436</v>
      </c>
      <c r="O130" s="233" t="s">
        <v>204</v>
      </c>
      <c r="P130" s="9"/>
      <c r="Q130" s="146" t="s">
        <v>204</v>
      </c>
      <c r="R130" s="92"/>
      <c r="S130" s="146" t="s">
        <v>204</v>
      </c>
      <c r="T130" s="92"/>
      <c r="U130" s="146" t="s">
        <v>204</v>
      </c>
      <c r="V130" s="92"/>
      <c r="W130" s="146" t="s">
        <v>204</v>
      </c>
      <c r="X130" s="92"/>
      <c r="Y130" s="146" t="s">
        <v>204</v>
      </c>
      <c r="Z130" s="186" t="str">
        <f t="shared" ref="Z130:Z193" si="10">IF(AND(O130="",Q130="",S130="",U130="",W130=""),"",IF(OR(AND(O130&lt;&gt;"NA",O130&lt;&gt;"C",O130&lt;&gt;"NC",O130&lt;&gt;"SF",O130&lt;&gt;""),AND(Q130&lt;&gt;"NA",Q130&lt;&gt;"C",Q130&lt;&gt;"NC",Q130&lt;&gt;"SF",Q130&lt;&gt;""),AND(S130&lt;&gt;"NA",S130&lt;&gt;"C",S130&lt;&gt;"NC",S130&lt;&gt;"SF",S130&lt;&gt;""),AND(U130&lt;&gt;"NA",U130&lt;&gt;"C",U130&lt;&gt;"NC",U130&lt;&gt;"SF",U130&lt;&gt;""),AND(W130&lt;&gt;"NA",W130&lt;&gt;"C",W130&lt;&gt;"NC",W130&lt;&gt;"SF",W130&lt;&gt;"")),"FALSO",IF(AND(O130="NA",Q130="NA",S130="NA",U130="NA",W130="NA"),"NA",IF(OR(O130="NC",Q130="NC",S130="NC",U130="NC",W130="NC",O130="SF",Q130="SF",S130="SF",U130="SF",W130="SF"),"NC",IF(OR(O130="C",Q130="C",S130="C",U130="C",W130="C"),"C","")))))</f>
        <v>C</v>
      </c>
      <c r="AA130" s="217" t="str">
        <f t="shared" si="9"/>
        <v>UTILIZOU O PDA CORRETAMENTE</v>
      </c>
      <c r="AB130" s="92" t="s">
        <v>204</v>
      </c>
      <c r="AC130" s="164" t="s">
        <v>6</v>
      </c>
      <c r="AD130" s="151" t="str">
        <f t="shared" ref="AD130:AD193" si="11">E130</f>
        <v>GUARULHOS</v>
      </c>
      <c r="AE130" s="96" t="s">
        <v>63</v>
      </c>
      <c r="AF130" s="53">
        <v>0.15827802098183255</v>
      </c>
      <c r="AG130" s="53" t="str" cm="1">
        <f t="array" ref="AG130">IF(OR(O130&lt;&gt;"", SUMPRODUCT(($AH$2:$AH$4999=AH130)*($AF$2:$AF$4999&lt;=AF130)) &lt;= (COUNTIF($AH$2:$AH$4999,AH130)*0.3)), "SORTEADO", "-")</f>
        <v>SORTEADO</v>
      </c>
      <c r="AH130" s="257" t="str">
        <f t="shared" si="8"/>
        <v>07/04/2026</v>
      </c>
    </row>
    <row r="131" spans="1:34" ht="30" customHeight="1" x14ac:dyDescent="0.2">
      <c r="A131" s="230" t="s">
        <v>197</v>
      </c>
      <c r="B131" s="255">
        <v>2614477593</v>
      </c>
      <c r="C131" s="230" t="s">
        <v>127</v>
      </c>
      <c r="D131" s="230" t="s">
        <v>63</v>
      </c>
      <c r="E131" s="230" t="s">
        <v>198</v>
      </c>
      <c r="F131" s="230" t="s">
        <v>2732</v>
      </c>
      <c r="G131" s="230">
        <v>209</v>
      </c>
      <c r="H131" s="230" t="s">
        <v>3451</v>
      </c>
      <c r="I131" s="230" t="s">
        <v>281</v>
      </c>
      <c r="J131" s="230" t="s">
        <v>3275</v>
      </c>
      <c r="K131" s="230"/>
      <c r="L131" s="235" t="s">
        <v>580</v>
      </c>
      <c r="M131" s="235">
        <v>46207.38958333333</v>
      </c>
      <c r="N131" s="230" t="s">
        <v>3296</v>
      </c>
      <c r="O131" s="233" t="s">
        <v>204</v>
      </c>
      <c r="P131" s="9"/>
      <c r="Q131" s="146" t="s">
        <v>204</v>
      </c>
      <c r="R131" s="92"/>
      <c r="S131" s="146" t="s">
        <v>204</v>
      </c>
      <c r="T131" s="92"/>
      <c r="U131" s="146" t="s">
        <v>204</v>
      </c>
      <c r="V131" s="92"/>
      <c r="W131" s="146" t="s">
        <v>204</v>
      </c>
      <c r="X131" s="92"/>
      <c r="Y131" s="146" t="s">
        <v>204</v>
      </c>
      <c r="Z131" s="186" t="str">
        <f t="shared" si="10"/>
        <v>C</v>
      </c>
      <c r="AA131" s="217" t="str">
        <f t="shared" si="9"/>
        <v>UTILIZOU O PDA CORRETAMENTE</v>
      </c>
      <c r="AB131" s="92"/>
      <c r="AC131" s="164" t="s">
        <v>6</v>
      </c>
      <c r="AD131" s="151" t="str">
        <f t="shared" si="11"/>
        <v>GUARULHOS</v>
      </c>
      <c r="AE131" s="96" t="s">
        <v>63</v>
      </c>
      <c r="AF131" s="53">
        <v>0.83076515918386773</v>
      </c>
      <c r="AG131" s="53" t="str" cm="1">
        <f t="array" ref="AG131">IF(OR(O131&lt;&gt;"", SUMPRODUCT(($AH$2:$AH$4999=AH131)*($AF$2:$AF$4999&lt;=AF131)) &lt;= (COUNTIF($AH$2:$AH$4999,AH131)*0.3)), "SORTEADO", "-")</f>
        <v>SORTEADO</v>
      </c>
      <c r="AH131" s="257" t="str">
        <f t="shared" si="8"/>
        <v>07/04/2026</v>
      </c>
    </row>
    <row r="132" spans="1:34" ht="30" customHeight="1" x14ac:dyDescent="0.2">
      <c r="A132" s="230" t="s">
        <v>197</v>
      </c>
      <c r="B132" s="255">
        <v>2614488487</v>
      </c>
      <c r="C132" s="230" t="s">
        <v>127</v>
      </c>
      <c r="D132" s="230" t="s">
        <v>63</v>
      </c>
      <c r="E132" s="230" t="s">
        <v>198</v>
      </c>
      <c r="F132" s="230" t="s">
        <v>3452</v>
      </c>
      <c r="G132" s="230">
        <v>32</v>
      </c>
      <c r="H132" s="230" t="s">
        <v>213</v>
      </c>
      <c r="I132" s="230" t="s">
        <v>538</v>
      </c>
      <c r="J132" s="230" t="s">
        <v>3271</v>
      </c>
      <c r="K132" s="230" t="s">
        <v>213</v>
      </c>
      <c r="L132" s="235" t="s">
        <v>580</v>
      </c>
      <c r="M132" s="235">
        <v>46207.425694444442</v>
      </c>
      <c r="N132" s="230" t="s">
        <v>1099</v>
      </c>
      <c r="O132" s="233" t="s">
        <v>204</v>
      </c>
      <c r="P132" s="9"/>
      <c r="Q132" s="146" t="s">
        <v>204</v>
      </c>
      <c r="R132" s="92"/>
      <c r="S132" s="146" t="s">
        <v>204</v>
      </c>
      <c r="T132" s="92"/>
      <c r="U132" s="146" t="s">
        <v>204</v>
      </c>
      <c r="V132" s="92"/>
      <c r="W132" s="146" t="s">
        <v>204</v>
      </c>
      <c r="X132" s="92"/>
      <c r="Y132" s="146" t="s">
        <v>204</v>
      </c>
      <c r="Z132" s="186" t="str">
        <f t="shared" si="10"/>
        <v>C</v>
      </c>
      <c r="AA132" s="217" t="str">
        <f t="shared" si="9"/>
        <v>UTILIZOU O PDA CORRETAMENTE</v>
      </c>
      <c r="AB132" s="92"/>
      <c r="AC132" s="164" t="s">
        <v>6</v>
      </c>
      <c r="AD132" s="151" t="str">
        <f t="shared" si="11"/>
        <v>GUARULHOS</v>
      </c>
      <c r="AE132" s="96" t="s">
        <v>63</v>
      </c>
      <c r="AF132" s="53">
        <v>0.95088477415952122</v>
      </c>
      <c r="AG132" s="53" t="str" cm="1">
        <f t="array" ref="AG132">IF(OR(O132&lt;&gt;"", SUMPRODUCT(($AH$2:$AH$4999=AH132)*($AF$2:$AF$4999&lt;=AF132)) &lt;= (COUNTIF($AH$2:$AH$4999,AH132)*0.3)), "SORTEADO", "-")</f>
        <v>SORTEADO</v>
      </c>
      <c r="AH132" s="257" t="str">
        <f t="shared" si="8"/>
        <v>07/04/2026</v>
      </c>
    </row>
    <row r="133" spans="1:34" ht="30" customHeight="1" x14ac:dyDescent="0.2">
      <c r="A133" s="230" t="s">
        <v>197</v>
      </c>
      <c r="B133" s="255">
        <v>2614485463</v>
      </c>
      <c r="C133" s="230" t="s">
        <v>127</v>
      </c>
      <c r="D133" s="230" t="s">
        <v>63</v>
      </c>
      <c r="E133" s="230" t="s">
        <v>198</v>
      </c>
      <c r="F133" s="230" t="s">
        <v>3453</v>
      </c>
      <c r="G133" s="230">
        <v>173</v>
      </c>
      <c r="H133" s="230" t="s">
        <v>3454</v>
      </c>
      <c r="I133" s="230" t="s">
        <v>559</v>
      </c>
      <c r="J133" s="230" t="s">
        <v>3275</v>
      </c>
      <c r="K133" s="230"/>
      <c r="L133" s="235" t="s">
        <v>580</v>
      </c>
      <c r="M133" s="235">
        <v>46207.397916666669</v>
      </c>
      <c r="N133" s="230" t="s">
        <v>3296</v>
      </c>
      <c r="O133" s="233" t="s">
        <v>204</v>
      </c>
      <c r="P133" s="9"/>
      <c r="Q133" s="146" t="s">
        <v>204</v>
      </c>
      <c r="R133" s="92"/>
      <c r="S133" s="146" t="s">
        <v>204</v>
      </c>
      <c r="T133" s="92"/>
      <c r="U133" s="146" t="s">
        <v>204</v>
      </c>
      <c r="V133" s="92"/>
      <c r="W133" s="146" t="s">
        <v>204</v>
      </c>
      <c r="X133" s="92"/>
      <c r="Y133" s="146" t="s">
        <v>204</v>
      </c>
      <c r="Z133" s="186" t="str">
        <f t="shared" si="10"/>
        <v>C</v>
      </c>
      <c r="AA133" s="217" t="str">
        <f t="shared" si="9"/>
        <v>UTILIZOU O PDA CORRETAMENTE</v>
      </c>
      <c r="AB133" s="92" t="s">
        <v>204</v>
      </c>
      <c r="AC133" s="164" t="s">
        <v>6</v>
      </c>
      <c r="AD133" s="151" t="str">
        <f t="shared" si="11"/>
        <v>GUARULHOS</v>
      </c>
      <c r="AE133" s="96" t="s">
        <v>63</v>
      </c>
      <c r="AF133" s="53">
        <v>0.16580395915206675</v>
      </c>
      <c r="AG133" s="53" t="str" cm="1">
        <f t="array" ref="AG133">IF(OR(O133&lt;&gt;"", SUMPRODUCT(($AH$2:$AH$4999=AH133)*($AF$2:$AF$4999&lt;=AF133)) &lt;= (COUNTIF($AH$2:$AH$4999,AH133)*0.3)), "SORTEADO", "-")</f>
        <v>SORTEADO</v>
      </c>
      <c r="AH133" s="257" t="str">
        <f t="shared" si="8"/>
        <v>07/04/2026</v>
      </c>
    </row>
    <row r="134" spans="1:34" ht="30" customHeight="1" x14ac:dyDescent="0.2">
      <c r="A134" s="230" t="s">
        <v>197</v>
      </c>
      <c r="B134" s="255">
        <v>2614476415</v>
      </c>
      <c r="C134" s="230" t="s">
        <v>127</v>
      </c>
      <c r="D134" s="230" t="s">
        <v>63</v>
      </c>
      <c r="E134" s="230" t="s">
        <v>198</v>
      </c>
      <c r="F134" s="230" t="s">
        <v>3455</v>
      </c>
      <c r="G134" s="230">
        <v>143</v>
      </c>
      <c r="H134" s="230" t="s">
        <v>3456</v>
      </c>
      <c r="I134" s="230" t="s">
        <v>331</v>
      </c>
      <c r="J134" s="230" t="s">
        <v>3275</v>
      </c>
      <c r="K134" s="230"/>
      <c r="L134" s="235" t="s">
        <v>580</v>
      </c>
      <c r="M134" s="235">
        <v>46207.415972222225</v>
      </c>
      <c r="N134" s="230" t="s">
        <v>294</v>
      </c>
      <c r="O134" s="233" t="s">
        <v>204</v>
      </c>
      <c r="P134" s="9"/>
      <c r="Q134" s="146" t="s">
        <v>204</v>
      </c>
      <c r="R134" s="92"/>
      <c r="S134" s="146" t="s">
        <v>204</v>
      </c>
      <c r="T134" s="92"/>
      <c r="U134" s="146" t="s">
        <v>204</v>
      </c>
      <c r="V134" s="92"/>
      <c r="W134" s="146" t="s">
        <v>204</v>
      </c>
      <c r="X134" s="92"/>
      <c r="Y134" s="146" t="s">
        <v>204</v>
      </c>
      <c r="Z134" s="186" t="str">
        <f t="shared" si="10"/>
        <v>C</v>
      </c>
      <c r="AA134" s="217" t="str">
        <f t="shared" si="9"/>
        <v>UTILIZOU O PDA CORRETAMENTE</v>
      </c>
      <c r="AB134" s="92"/>
      <c r="AC134" s="164" t="s">
        <v>6</v>
      </c>
      <c r="AD134" s="151" t="str">
        <f t="shared" si="11"/>
        <v>GUARULHOS</v>
      </c>
      <c r="AE134" s="96" t="s">
        <v>63</v>
      </c>
      <c r="AF134" s="53">
        <v>0.76479892903715729</v>
      </c>
      <c r="AG134" s="53" t="str" cm="1">
        <f t="array" ref="AG134">IF(OR(O134&lt;&gt;"", SUMPRODUCT(($AH$2:$AH$4999=AH134)*($AF$2:$AF$4999&lt;=AF134)) &lt;= (COUNTIF($AH$2:$AH$4999,AH134)*0.3)), "SORTEADO", "-")</f>
        <v>SORTEADO</v>
      </c>
      <c r="AH134" s="257" t="str">
        <f t="shared" si="8"/>
        <v>07/04/2026</v>
      </c>
    </row>
    <row r="135" spans="1:34" ht="30" customHeight="1" x14ac:dyDescent="0.2">
      <c r="A135" s="230" t="s">
        <v>197</v>
      </c>
      <c r="B135" s="255">
        <v>2689701612</v>
      </c>
      <c r="C135" s="230" t="s">
        <v>127</v>
      </c>
      <c r="D135" s="230" t="s">
        <v>63</v>
      </c>
      <c r="E135" s="230" t="s">
        <v>198</v>
      </c>
      <c r="F135" s="230" t="s">
        <v>3457</v>
      </c>
      <c r="G135" s="230">
        <v>66</v>
      </c>
      <c r="H135" s="230" t="s">
        <v>213</v>
      </c>
      <c r="I135" s="230" t="s">
        <v>379</v>
      </c>
      <c r="J135" s="230" t="s">
        <v>3275</v>
      </c>
      <c r="K135" s="230" t="s">
        <v>213</v>
      </c>
      <c r="L135" s="235" t="s">
        <v>580</v>
      </c>
      <c r="M135" s="235">
        <v>46207.407638888886</v>
      </c>
      <c r="N135" s="230" t="s">
        <v>294</v>
      </c>
      <c r="O135" s="233" t="s">
        <v>204</v>
      </c>
      <c r="P135" s="9"/>
      <c r="Q135" s="146" t="s">
        <v>204</v>
      </c>
      <c r="R135" s="92"/>
      <c r="S135" s="146" t="s">
        <v>204</v>
      </c>
      <c r="T135" s="92"/>
      <c r="U135" s="146" t="s">
        <v>204</v>
      </c>
      <c r="V135" s="92"/>
      <c r="W135" s="146" t="s">
        <v>204</v>
      </c>
      <c r="X135" s="92"/>
      <c r="Y135" s="146" t="s">
        <v>204</v>
      </c>
      <c r="Z135" s="186" t="str">
        <f t="shared" si="10"/>
        <v>C</v>
      </c>
      <c r="AA135" s="217" t="str">
        <f t="shared" si="9"/>
        <v>UTILIZOU O PDA CORRETAMENTE</v>
      </c>
      <c r="AB135" s="92"/>
      <c r="AC135" s="164" t="s">
        <v>6</v>
      </c>
      <c r="AD135" s="151" t="str">
        <f t="shared" si="11"/>
        <v>GUARULHOS</v>
      </c>
      <c r="AE135" s="96" t="s">
        <v>63</v>
      </c>
      <c r="AF135" s="53">
        <v>0.57490190078551451</v>
      </c>
      <c r="AG135" s="53" t="str" cm="1">
        <f t="array" ref="AG135">IF(OR(O135&lt;&gt;"", SUMPRODUCT(($AH$2:$AH$4999=AH135)*($AF$2:$AF$4999&lt;=AF135)) &lt;= (COUNTIF($AH$2:$AH$4999,AH135)*0.3)), "SORTEADO", "-")</f>
        <v>SORTEADO</v>
      </c>
      <c r="AH135" s="257" t="str">
        <f t="shared" si="8"/>
        <v>07/04/2026</v>
      </c>
    </row>
    <row r="136" spans="1:34" ht="30" customHeight="1" x14ac:dyDescent="0.2">
      <c r="A136" s="230" t="s">
        <v>197</v>
      </c>
      <c r="B136" s="255">
        <v>2614492286</v>
      </c>
      <c r="C136" s="230" t="s">
        <v>127</v>
      </c>
      <c r="D136" s="230" t="s">
        <v>63</v>
      </c>
      <c r="E136" s="230" t="s">
        <v>198</v>
      </c>
      <c r="F136" s="230" t="s">
        <v>3458</v>
      </c>
      <c r="G136" s="230">
        <v>180</v>
      </c>
      <c r="H136" s="230"/>
      <c r="I136" s="230" t="s">
        <v>315</v>
      </c>
      <c r="J136" s="230" t="s">
        <v>3275</v>
      </c>
      <c r="K136" s="230"/>
      <c r="L136" s="235" t="s">
        <v>580</v>
      </c>
      <c r="M136" s="235">
        <v>46207.413888888892</v>
      </c>
      <c r="N136" s="230" t="s">
        <v>3276</v>
      </c>
      <c r="O136" s="233" t="s">
        <v>204</v>
      </c>
      <c r="P136" s="9"/>
      <c r="Q136" s="146" t="s">
        <v>204</v>
      </c>
      <c r="R136" s="92"/>
      <c r="S136" s="146" t="s">
        <v>204</v>
      </c>
      <c r="T136" s="92"/>
      <c r="U136" s="146" t="s">
        <v>204</v>
      </c>
      <c r="V136" s="92"/>
      <c r="W136" s="146" t="s">
        <v>204</v>
      </c>
      <c r="X136" s="92"/>
      <c r="Y136" s="146" t="s">
        <v>204</v>
      </c>
      <c r="Z136" s="186" t="str">
        <f t="shared" si="10"/>
        <v>C</v>
      </c>
      <c r="AA136" s="217" t="str">
        <f t="shared" si="9"/>
        <v>UTILIZOU O PDA CORRETAMENTE</v>
      </c>
      <c r="AB136" s="92"/>
      <c r="AC136" s="164" t="s">
        <v>6</v>
      </c>
      <c r="AD136" s="151" t="str">
        <f t="shared" si="11"/>
        <v>GUARULHOS</v>
      </c>
      <c r="AE136" s="96" t="s">
        <v>63</v>
      </c>
      <c r="AF136" s="53">
        <v>0.86223291235380817</v>
      </c>
      <c r="AG136" s="53" t="str" cm="1">
        <f t="array" ref="AG136">IF(OR(O136&lt;&gt;"", SUMPRODUCT(($AH$2:$AH$4999=AH136)*($AF$2:$AF$4999&lt;=AF136)) &lt;= (COUNTIF($AH$2:$AH$4999,AH136)*0.3)), "SORTEADO", "-")</f>
        <v>SORTEADO</v>
      </c>
      <c r="AH136" s="257" t="str">
        <f t="shared" si="8"/>
        <v>07/04/2026</v>
      </c>
    </row>
    <row r="137" spans="1:34" ht="30" customHeight="1" x14ac:dyDescent="0.2">
      <c r="A137" s="230" t="s">
        <v>197</v>
      </c>
      <c r="B137" s="255">
        <v>2689730253</v>
      </c>
      <c r="C137" s="230" t="s">
        <v>127</v>
      </c>
      <c r="D137" s="230" t="s">
        <v>63</v>
      </c>
      <c r="E137" s="230" t="s">
        <v>198</v>
      </c>
      <c r="F137" s="230" t="s">
        <v>3311</v>
      </c>
      <c r="G137" s="230">
        <v>326</v>
      </c>
      <c r="H137" s="230" t="s">
        <v>3459</v>
      </c>
      <c r="I137" s="230" t="s">
        <v>269</v>
      </c>
      <c r="J137" s="230" t="s">
        <v>3275</v>
      </c>
      <c r="K137" s="230" t="s">
        <v>213</v>
      </c>
      <c r="L137" s="235" t="s">
        <v>580</v>
      </c>
      <c r="M137" s="235">
        <v>46207.504166666666</v>
      </c>
      <c r="N137" s="230" t="s">
        <v>819</v>
      </c>
      <c r="O137" s="233" t="s">
        <v>204</v>
      </c>
      <c r="P137" s="9"/>
      <c r="Q137" s="146" t="s">
        <v>204</v>
      </c>
      <c r="R137" s="92"/>
      <c r="S137" s="146" t="s">
        <v>204</v>
      </c>
      <c r="T137" s="92"/>
      <c r="U137" s="146" t="s">
        <v>204</v>
      </c>
      <c r="V137" s="92"/>
      <c r="W137" s="146" t="s">
        <v>204</v>
      </c>
      <c r="X137" s="92"/>
      <c r="Y137" s="146" t="s">
        <v>204</v>
      </c>
      <c r="Z137" s="186" t="str">
        <f t="shared" si="10"/>
        <v>C</v>
      </c>
      <c r="AA137" s="217" t="str">
        <f t="shared" si="9"/>
        <v>UTILIZOU O PDA CORRETAMENTE</v>
      </c>
      <c r="AB137" s="92" t="s">
        <v>204</v>
      </c>
      <c r="AC137" s="164" t="s">
        <v>6</v>
      </c>
      <c r="AD137" s="151" t="str">
        <f t="shared" si="11"/>
        <v>GUARULHOS</v>
      </c>
      <c r="AE137" s="96" t="s">
        <v>63</v>
      </c>
      <c r="AF137" s="53">
        <v>0.18093441454764753</v>
      </c>
      <c r="AG137" s="53" t="str" cm="1">
        <f t="array" ref="AG137">IF(OR(O137&lt;&gt;"", SUMPRODUCT(($AH$2:$AH$4999=AH137)*($AF$2:$AF$4999&lt;=AF137)) &lt;= (COUNTIF($AH$2:$AH$4999,AH137)*0.3)), "SORTEADO", "-")</f>
        <v>SORTEADO</v>
      </c>
      <c r="AH137" s="257" t="str">
        <f t="shared" si="8"/>
        <v>07/04/2026</v>
      </c>
    </row>
    <row r="138" spans="1:34" ht="30" customHeight="1" x14ac:dyDescent="0.2">
      <c r="A138" s="230" t="s">
        <v>197</v>
      </c>
      <c r="B138" s="255">
        <v>2614525709</v>
      </c>
      <c r="C138" s="230" t="s">
        <v>128</v>
      </c>
      <c r="D138" s="230" t="s">
        <v>124</v>
      </c>
      <c r="E138" s="230" t="s">
        <v>198</v>
      </c>
      <c r="F138" s="230" t="s">
        <v>3460</v>
      </c>
      <c r="G138" s="230">
        <v>143</v>
      </c>
      <c r="H138" s="230" t="s">
        <v>235</v>
      </c>
      <c r="I138" s="230" t="s">
        <v>326</v>
      </c>
      <c r="J138" s="230" t="s">
        <v>3385</v>
      </c>
      <c r="K138" s="230" t="s">
        <v>3461</v>
      </c>
      <c r="L138" s="235" t="s">
        <v>580</v>
      </c>
      <c r="M138" s="235">
        <v>46207.393055555556</v>
      </c>
      <c r="N138" s="230" t="s">
        <v>819</v>
      </c>
      <c r="O138" s="233" t="s">
        <v>204</v>
      </c>
      <c r="P138" s="9"/>
      <c r="Q138" s="146" t="s">
        <v>204</v>
      </c>
      <c r="R138" s="92"/>
      <c r="S138" s="146" t="s">
        <v>204</v>
      </c>
      <c r="T138" s="92"/>
      <c r="U138" s="146" t="s">
        <v>204</v>
      </c>
      <c r="V138" s="92"/>
      <c r="W138" s="146" t="s">
        <v>204</v>
      </c>
      <c r="X138" s="92"/>
      <c r="Y138" s="146" t="s">
        <v>204</v>
      </c>
      <c r="Z138" s="186" t="str">
        <f t="shared" si="10"/>
        <v>C</v>
      </c>
      <c r="AA138" s="217" t="str">
        <f t="shared" si="9"/>
        <v>UTILIZOU O PDA CORRETAMENTE</v>
      </c>
      <c r="AB138" s="92"/>
      <c r="AC138" s="164" t="s">
        <v>6</v>
      </c>
      <c r="AD138" s="151" t="str">
        <f t="shared" si="11"/>
        <v>GUARULHOS</v>
      </c>
      <c r="AE138" s="96" t="s">
        <v>63</v>
      </c>
      <c r="AF138" s="53">
        <v>0.51462518879082908</v>
      </c>
      <c r="AG138" s="53" t="str" cm="1">
        <f t="array" ref="AG138">IF(OR(O138&lt;&gt;"", SUMPRODUCT(($AH$2:$AH$4999=AH138)*($AF$2:$AF$4999&lt;=AF138)) &lt;= (COUNTIF($AH$2:$AH$4999,AH138)*0.3)), "SORTEADO", "-")</f>
        <v>SORTEADO</v>
      </c>
      <c r="AH138" s="257" t="str">
        <f t="shared" si="8"/>
        <v>07/04/2026</v>
      </c>
    </row>
    <row r="139" spans="1:34" ht="30" customHeight="1" x14ac:dyDescent="0.2">
      <c r="A139" s="230" t="s">
        <v>197</v>
      </c>
      <c r="B139" s="255">
        <v>2614525739</v>
      </c>
      <c r="C139" s="230" t="s">
        <v>128</v>
      </c>
      <c r="D139" s="230" t="s">
        <v>124</v>
      </c>
      <c r="E139" s="230" t="s">
        <v>198</v>
      </c>
      <c r="F139" s="230" t="s">
        <v>3460</v>
      </c>
      <c r="G139" s="230">
        <v>143</v>
      </c>
      <c r="H139" s="230" t="s">
        <v>276</v>
      </c>
      <c r="I139" s="230" t="s">
        <v>326</v>
      </c>
      <c r="J139" s="230" t="s">
        <v>3385</v>
      </c>
      <c r="K139" s="230" t="s">
        <v>213</v>
      </c>
      <c r="L139" s="235" t="s">
        <v>580</v>
      </c>
      <c r="M139" s="235">
        <v>46207.390972222223</v>
      </c>
      <c r="N139" s="230" t="s">
        <v>819</v>
      </c>
      <c r="O139" s="233" t="s">
        <v>204</v>
      </c>
      <c r="P139" s="9"/>
      <c r="Q139" s="146" t="s">
        <v>204</v>
      </c>
      <c r="R139" s="92"/>
      <c r="S139" s="146" t="s">
        <v>204</v>
      </c>
      <c r="T139" s="92"/>
      <c r="U139" s="146" t="s">
        <v>204</v>
      </c>
      <c r="V139" s="92"/>
      <c r="W139" s="146" t="s">
        <v>204</v>
      </c>
      <c r="X139" s="92"/>
      <c r="Y139" s="146" t="s">
        <v>204</v>
      </c>
      <c r="Z139" s="186" t="str">
        <f t="shared" si="10"/>
        <v>C</v>
      </c>
      <c r="AA139" s="217" t="str">
        <f t="shared" si="9"/>
        <v>UTILIZOU O PDA CORRETAMENTE</v>
      </c>
      <c r="AB139" s="92"/>
      <c r="AC139" s="164" t="s">
        <v>6</v>
      </c>
      <c r="AD139" s="151" t="str">
        <f t="shared" si="11"/>
        <v>GUARULHOS</v>
      </c>
      <c r="AE139" s="96" t="s">
        <v>63</v>
      </c>
      <c r="AF139" s="53">
        <v>0.73948449622305346</v>
      </c>
      <c r="AG139" s="53" t="str" cm="1">
        <f t="array" ref="AG139">IF(OR(O139&lt;&gt;"", SUMPRODUCT(($AH$2:$AH$4999=AH139)*($AF$2:$AF$4999&lt;=AF139)) &lt;= (COUNTIF($AH$2:$AH$4999,AH139)*0.3)), "SORTEADO", "-")</f>
        <v>SORTEADO</v>
      </c>
      <c r="AH139" s="257" t="str">
        <f t="shared" si="8"/>
        <v>07/04/2026</v>
      </c>
    </row>
    <row r="140" spans="1:34" ht="30" customHeight="1" x14ac:dyDescent="0.2">
      <c r="A140" s="230" t="s">
        <v>197</v>
      </c>
      <c r="B140" s="255">
        <v>2689769022</v>
      </c>
      <c r="C140" s="230" t="s">
        <v>130</v>
      </c>
      <c r="D140" s="230" t="s">
        <v>63</v>
      </c>
      <c r="E140" s="230" t="s">
        <v>198</v>
      </c>
      <c r="F140" s="230" t="s">
        <v>3462</v>
      </c>
      <c r="G140" s="230">
        <v>230</v>
      </c>
      <c r="H140" s="230" t="s">
        <v>362</v>
      </c>
      <c r="I140" s="230" t="s">
        <v>1358</v>
      </c>
      <c r="J140" s="230" t="s">
        <v>3271</v>
      </c>
      <c r="K140" s="230" t="s">
        <v>213</v>
      </c>
      <c r="L140" s="235" t="s">
        <v>580</v>
      </c>
      <c r="M140" s="235">
        <v>46207.484027777777</v>
      </c>
      <c r="N140" s="230" t="s">
        <v>1099</v>
      </c>
      <c r="O140" s="233" t="s">
        <v>204</v>
      </c>
      <c r="P140" s="9"/>
      <c r="Q140" s="146" t="s">
        <v>204</v>
      </c>
      <c r="R140" s="92"/>
      <c r="S140" s="146" t="s">
        <v>204</v>
      </c>
      <c r="T140" s="92"/>
      <c r="U140" s="146" t="s">
        <v>204</v>
      </c>
      <c r="V140" s="92"/>
      <c r="W140" s="146" t="s">
        <v>204</v>
      </c>
      <c r="X140" s="92"/>
      <c r="Y140" s="146" t="s">
        <v>204</v>
      </c>
      <c r="Z140" s="186" t="str">
        <f t="shared" si="10"/>
        <v>C</v>
      </c>
      <c r="AA140" s="217" t="str">
        <f t="shared" si="9"/>
        <v>UTILIZOU O PDA CORRETAMENTE</v>
      </c>
      <c r="AB140" s="92"/>
      <c r="AC140" s="164" t="s">
        <v>6</v>
      </c>
      <c r="AD140" s="151" t="str">
        <f t="shared" si="11"/>
        <v>GUARULHOS</v>
      </c>
      <c r="AE140" s="96" t="s">
        <v>63</v>
      </c>
      <c r="AF140" s="53">
        <v>0.84753189690215414</v>
      </c>
      <c r="AG140" s="53" t="str" cm="1">
        <f t="array" ref="AG140">IF(OR(O140&lt;&gt;"", SUMPRODUCT(($AH$2:$AH$4999=AH140)*($AF$2:$AF$4999&lt;=AF140)) &lt;= (COUNTIF($AH$2:$AH$4999,AH140)*0.3)), "SORTEADO", "-")</f>
        <v>SORTEADO</v>
      </c>
      <c r="AH140" s="257" t="str">
        <f t="shared" si="8"/>
        <v>07/04/2026</v>
      </c>
    </row>
    <row r="141" spans="1:34" ht="30" customHeight="1" x14ac:dyDescent="0.2">
      <c r="A141" s="230" t="s">
        <v>197</v>
      </c>
      <c r="B141" s="255">
        <v>2689771602</v>
      </c>
      <c r="C141" s="230" t="s">
        <v>127</v>
      </c>
      <c r="D141" s="230" t="s">
        <v>63</v>
      </c>
      <c r="E141" s="230" t="s">
        <v>198</v>
      </c>
      <c r="F141" s="230" t="s">
        <v>290</v>
      </c>
      <c r="G141" s="230">
        <v>155</v>
      </c>
      <c r="H141" s="230" t="s">
        <v>3463</v>
      </c>
      <c r="I141" s="230" t="s">
        <v>291</v>
      </c>
      <c r="J141" s="230" t="s">
        <v>3275</v>
      </c>
      <c r="K141" s="230"/>
      <c r="L141" s="235" t="s">
        <v>580</v>
      </c>
      <c r="M141" s="235">
        <v>46207.467361111114</v>
      </c>
      <c r="N141" s="230" t="s">
        <v>294</v>
      </c>
      <c r="O141" s="233" t="s">
        <v>204</v>
      </c>
      <c r="P141" s="9"/>
      <c r="Q141" s="146" t="s">
        <v>204</v>
      </c>
      <c r="R141" s="92"/>
      <c r="S141" s="146" t="s">
        <v>204</v>
      </c>
      <c r="T141" s="92"/>
      <c r="U141" s="146" t="s">
        <v>204</v>
      </c>
      <c r="V141" s="92"/>
      <c r="W141" s="146" t="s">
        <v>204</v>
      </c>
      <c r="X141" s="92"/>
      <c r="Y141" s="146" t="s">
        <v>204</v>
      </c>
      <c r="Z141" s="186" t="str">
        <f t="shared" si="10"/>
        <v>C</v>
      </c>
      <c r="AA141" s="217" t="str">
        <f t="shared" si="9"/>
        <v>UTILIZOU O PDA CORRETAMENTE</v>
      </c>
      <c r="AB141" s="92"/>
      <c r="AC141" s="164" t="s">
        <v>6</v>
      </c>
      <c r="AD141" s="151" t="str">
        <f t="shared" si="11"/>
        <v>GUARULHOS</v>
      </c>
      <c r="AE141" s="96" t="s">
        <v>63</v>
      </c>
      <c r="AF141" s="53">
        <v>0.91711021798545045</v>
      </c>
      <c r="AG141" s="53" t="str" cm="1">
        <f t="array" ref="AG141">IF(OR(O141&lt;&gt;"", SUMPRODUCT(($AH$2:$AH$4999=AH141)*($AF$2:$AF$4999&lt;=AF141)) &lt;= (COUNTIF($AH$2:$AH$4999,AH141)*0.3)), "SORTEADO", "-")</f>
        <v>SORTEADO</v>
      </c>
      <c r="AH141" s="257" t="str">
        <f t="shared" si="8"/>
        <v>07/04/2026</v>
      </c>
    </row>
    <row r="142" spans="1:34" ht="30" customHeight="1" x14ac:dyDescent="0.2">
      <c r="A142" s="230" t="s">
        <v>197</v>
      </c>
      <c r="B142" s="255">
        <v>2689776381</v>
      </c>
      <c r="C142" s="230" t="s">
        <v>127</v>
      </c>
      <c r="D142" s="230" t="s">
        <v>63</v>
      </c>
      <c r="E142" s="230" t="s">
        <v>198</v>
      </c>
      <c r="F142" s="230" t="s">
        <v>838</v>
      </c>
      <c r="G142" s="230">
        <v>193</v>
      </c>
      <c r="H142" s="230" t="s">
        <v>3464</v>
      </c>
      <c r="I142" s="230" t="s">
        <v>277</v>
      </c>
      <c r="J142" s="230" t="s">
        <v>3275</v>
      </c>
      <c r="K142" s="230"/>
      <c r="L142" s="235" t="s">
        <v>580</v>
      </c>
      <c r="M142" s="235">
        <v>46207.409722222219</v>
      </c>
      <c r="N142" s="230" t="s">
        <v>819</v>
      </c>
      <c r="O142" s="233" t="s">
        <v>204</v>
      </c>
      <c r="P142" s="9"/>
      <c r="Q142" s="146" t="s">
        <v>204</v>
      </c>
      <c r="R142" s="92"/>
      <c r="S142" s="146" t="s">
        <v>204</v>
      </c>
      <c r="T142" s="92"/>
      <c r="U142" s="146" t="s">
        <v>204</v>
      </c>
      <c r="V142" s="92"/>
      <c r="W142" s="146" t="s">
        <v>204</v>
      </c>
      <c r="X142" s="92"/>
      <c r="Y142" s="146" t="s">
        <v>204</v>
      </c>
      <c r="Z142" s="186" t="str">
        <f t="shared" si="10"/>
        <v>C</v>
      </c>
      <c r="AA142" s="217" t="str">
        <f t="shared" si="9"/>
        <v>UTILIZOU O PDA CORRETAMENTE</v>
      </c>
      <c r="AB142" s="92"/>
      <c r="AC142" s="164" t="s">
        <v>6</v>
      </c>
      <c r="AD142" s="151" t="str">
        <f t="shared" si="11"/>
        <v>GUARULHOS</v>
      </c>
      <c r="AE142" s="96" t="s">
        <v>63</v>
      </c>
      <c r="AF142" s="53">
        <v>0.31718113191343023</v>
      </c>
      <c r="AG142" s="53" t="str" cm="1">
        <f t="array" ref="AG142">IF(OR(O142&lt;&gt;"", SUMPRODUCT(($AH$2:$AH$4999=AH142)*($AF$2:$AF$4999&lt;=AF142)) &lt;= (COUNTIF($AH$2:$AH$4999,AH142)*0.3)), "SORTEADO", "-")</f>
        <v>SORTEADO</v>
      </c>
      <c r="AH142" s="257" t="str">
        <f t="shared" si="8"/>
        <v>07/04/2026</v>
      </c>
    </row>
    <row r="143" spans="1:34" ht="30" customHeight="1" x14ac:dyDescent="0.2">
      <c r="A143" s="230" t="s">
        <v>197</v>
      </c>
      <c r="B143" s="255">
        <v>2689752076</v>
      </c>
      <c r="C143" s="230" t="s">
        <v>133</v>
      </c>
      <c r="D143" s="230" t="s">
        <v>124</v>
      </c>
      <c r="E143" s="230" t="s">
        <v>198</v>
      </c>
      <c r="F143" s="230" t="s">
        <v>3465</v>
      </c>
      <c r="G143" s="230">
        <v>34</v>
      </c>
      <c r="H143" s="230" t="s">
        <v>213</v>
      </c>
      <c r="I143" s="230" t="s">
        <v>207</v>
      </c>
      <c r="J143" s="230" t="s">
        <v>3275</v>
      </c>
      <c r="K143" s="230" t="s">
        <v>3466</v>
      </c>
      <c r="L143" s="235" t="s">
        <v>580</v>
      </c>
      <c r="M143" s="235">
        <v>46207.409722222219</v>
      </c>
      <c r="N143" s="230" t="s">
        <v>3282</v>
      </c>
      <c r="O143" s="233" t="s">
        <v>204</v>
      </c>
      <c r="P143" s="9"/>
      <c r="Q143" s="146" t="s">
        <v>204</v>
      </c>
      <c r="R143" s="92"/>
      <c r="S143" s="146" t="s">
        <v>204</v>
      </c>
      <c r="T143" s="92"/>
      <c r="U143" s="146" t="s">
        <v>204</v>
      </c>
      <c r="V143" s="92"/>
      <c r="W143" s="146" t="s">
        <v>204</v>
      </c>
      <c r="X143" s="92"/>
      <c r="Y143" s="146" t="s">
        <v>204</v>
      </c>
      <c r="Z143" s="186" t="str">
        <f t="shared" si="10"/>
        <v>C</v>
      </c>
      <c r="AA143" s="217" t="str">
        <f t="shared" si="9"/>
        <v>UTILIZOU O PDA CORRETAMENTE</v>
      </c>
      <c r="AB143" s="92"/>
      <c r="AC143" s="164" t="s">
        <v>6</v>
      </c>
      <c r="AD143" s="151" t="str">
        <f t="shared" si="11"/>
        <v>GUARULHOS</v>
      </c>
      <c r="AE143" s="96" t="s">
        <v>63</v>
      </c>
      <c r="AF143" s="53">
        <v>0.75427869527169766</v>
      </c>
      <c r="AG143" s="53" t="str" cm="1">
        <f t="array" ref="AG143">IF(OR(O143&lt;&gt;"", SUMPRODUCT(($AH$2:$AH$4999=AH143)*($AF$2:$AF$4999&lt;=AF143)) &lt;= (COUNTIF($AH$2:$AH$4999,AH143)*0.3)), "SORTEADO", "-")</f>
        <v>SORTEADO</v>
      </c>
      <c r="AH143" s="257" t="str">
        <f t="shared" si="8"/>
        <v>07/04/2026</v>
      </c>
    </row>
    <row r="144" spans="1:34" ht="30" customHeight="1" x14ac:dyDescent="0.2">
      <c r="A144" s="230" t="s">
        <v>197</v>
      </c>
      <c r="B144" s="255">
        <v>2689709232</v>
      </c>
      <c r="C144" s="230" t="s">
        <v>133</v>
      </c>
      <c r="D144" s="230" t="s">
        <v>124</v>
      </c>
      <c r="E144" s="230" t="s">
        <v>198</v>
      </c>
      <c r="F144" s="230" t="s">
        <v>3467</v>
      </c>
      <c r="G144" s="230">
        <v>48</v>
      </c>
      <c r="H144" s="230" t="s">
        <v>3220</v>
      </c>
      <c r="I144" s="230" t="s">
        <v>736</v>
      </c>
      <c r="J144" s="230" t="s">
        <v>3275</v>
      </c>
      <c r="K144" s="230"/>
      <c r="L144" s="235" t="s">
        <v>580</v>
      </c>
      <c r="M144" s="235">
        <v>46207.404861111114</v>
      </c>
      <c r="N144" s="230" t="s">
        <v>228</v>
      </c>
      <c r="O144" s="233" t="s">
        <v>204</v>
      </c>
      <c r="P144" s="9"/>
      <c r="Q144" s="146" t="s">
        <v>204</v>
      </c>
      <c r="R144" s="92"/>
      <c r="S144" s="146" t="s">
        <v>204</v>
      </c>
      <c r="T144" s="92"/>
      <c r="U144" s="146" t="s">
        <v>204</v>
      </c>
      <c r="V144" s="92"/>
      <c r="W144" s="146" t="s">
        <v>204</v>
      </c>
      <c r="X144" s="92"/>
      <c r="Y144" s="146" t="s">
        <v>204</v>
      </c>
      <c r="Z144" s="186" t="str">
        <f t="shared" si="10"/>
        <v>C</v>
      </c>
      <c r="AA144" s="217" t="str">
        <f t="shared" si="9"/>
        <v>UTILIZOU O PDA CORRETAMENTE</v>
      </c>
      <c r="AB144" s="92"/>
      <c r="AC144" s="164" t="s">
        <v>6</v>
      </c>
      <c r="AD144" s="151" t="str">
        <f t="shared" si="11"/>
        <v>GUARULHOS</v>
      </c>
      <c r="AE144" s="96" t="s">
        <v>63</v>
      </c>
      <c r="AF144" s="53">
        <v>0.73955772725852764</v>
      </c>
      <c r="AG144" s="53" t="str" cm="1">
        <f t="array" ref="AG144">IF(OR(O144&lt;&gt;"", SUMPRODUCT(($AH$2:$AH$4999=AH144)*($AF$2:$AF$4999&lt;=AF144)) &lt;= (COUNTIF($AH$2:$AH$4999,AH144)*0.3)), "SORTEADO", "-")</f>
        <v>SORTEADO</v>
      </c>
      <c r="AH144" s="257" t="str">
        <f t="shared" si="8"/>
        <v>07/04/2026</v>
      </c>
    </row>
    <row r="145" spans="1:34" ht="30" customHeight="1" x14ac:dyDescent="0.2">
      <c r="A145" s="230" t="s">
        <v>197</v>
      </c>
      <c r="B145" s="255">
        <v>2689771975</v>
      </c>
      <c r="C145" s="230" t="s">
        <v>133</v>
      </c>
      <c r="D145" s="230" t="s">
        <v>124</v>
      </c>
      <c r="E145" s="230" t="s">
        <v>198</v>
      </c>
      <c r="F145" s="230" t="s">
        <v>3468</v>
      </c>
      <c r="G145" s="230">
        <v>138</v>
      </c>
      <c r="H145" s="230" t="s">
        <v>3469</v>
      </c>
      <c r="I145" s="230" t="s">
        <v>253</v>
      </c>
      <c r="J145" s="230" t="s">
        <v>3275</v>
      </c>
      <c r="K145" s="230" t="s">
        <v>3363</v>
      </c>
      <c r="L145" s="235" t="s">
        <v>580</v>
      </c>
      <c r="M145" s="235">
        <v>46207.427083333336</v>
      </c>
      <c r="N145" s="230" t="s">
        <v>3276</v>
      </c>
      <c r="O145" s="233" t="s">
        <v>204</v>
      </c>
      <c r="P145" s="9"/>
      <c r="Q145" s="146" t="s">
        <v>204</v>
      </c>
      <c r="R145" s="92"/>
      <c r="S145" s="146" t="s">
        <v>204</v>
      </c>
      <c r="T145" s="92"/>
      <c r="U145" s="146" t="s">
        <v>204</v>
      </c>
      <c r="V145" s="92"/>
      <c r="W145" s="146" t="s">
        <v>204</v>
      </c>
      <c r="X145" s="92"/>
      <c r="Y145" s="146" t="s">
        <v>204</v>
      </c>
      <c r="Z145" s="186" t="str">
        <f t="shared" si="10"/>
        <v>C</v>
      </c>
      <c r="AA145" s="217" t="str">
        <f t="shared" si="9"/>
        <v>UTILIZOU O PDA CORRETAMENTE</v>
      </c>
      <c r="AB145" s="92"/>
      <c r="AC145" s="164" t="s">
        <v>6</v>
      </c>
      <c r="AD145" s="151" t="str">
        <f t="shared" si="11"/>
        <v>GUARULHOS</v>
      </c>
      <c r="AE145" s="96" t="s">
        <v>63</v>
      </c>
      <c r="AF145" s="53">
        <v>0.72475905785556483</v>
      </c>
      <c r="AG145" s="53" t="str" cm="1">
        <f t="array" ref="AG145">IF(OR(O145&lt;&gt;"", SUMPRODUCT(($AH$2:$AH$4999=AH145)*($AF$2:$AF$4999&lt;=AF145)) &lt;= (COUNTIF($AH$2:$AH$4999,AH145)*0.3)), "SORTEADO", "-")</f>
        <v>SORTEADO</v>
      </c>
      <c r="AH145" s="257" t="str">
        <f t="shared" si="8"/>
        <v>07/04/2026</v>
      </c>
    </row>
    <row r="146" spans="1:34" ht="30" customHeight="1" x14ac:dyDescent="0.2">
      <c r="A146" s="230" t="s">
        <v>197</v>
      </c>
      <c r="B146" s="255">
        <v>2614624275</v>
      </c>
      <c r="C146" s="230" t="s">
        <v>127</v>
      </c>
      <c r="D146" s="230" t="s">
        <v>63</v>
      </c>
      <c r="E146" s="230" t="s">
        <v>198</v>
      </c>
      <c r="F146" s="230" t="s">
        <v>3470</v>
      </c>
      <c r="G146" s="230">
        <v>237</v>
      </c>
      <c r="H146" s="230" t="s">
        <v>3471</v>
      </c>
      <c r="I146" s="230" t="s">
        <v>394</v>
      </c>
      <c r="J146" s="230" t="s">
        <v>3275</v>
      </c>
      <c r="K146" s="230"/>
      <c r="L146" s="235" t="s">
        <v>580</v>
      </c>
      <c r="M146" s="235">
        <v>46207.484027777777</v>
      </c>
      <c r="N146" s="230" t="s">
        <v>294</v>
      </c>
      <c r="O146" s="233" t="s">
        <v>204</v>
      </c>
      <c r="P146" s="9"/>
      <c r="Q146" s="146" t="s">
        <v>204</v>
      </c>
      <c r="R146" s="92"/>
      <c r="S146" s="146" t="s">
        <v>204</v>
      </c>
      <c r="T146" s="92"/>
      <c r="U146" s="146" t="s">
        <v>204</v>
      </c>
      <c r="V146" s="92"/>
      <c r="W146" s="146" t="s">
        <v>204</v>
      </c>
      <c r="X146" s="92"/>
      <c r="Y146" s="146" t="s">
        <v>204</v>
      </c>
      <c r="Z146" s="186" t="str">
        <f t="shared" si="10"/>
        <v>C</v>
      </c>
      <c r="AA146" s="217" t="str">
        <f t="shared" si="9"/>
        <v>UTILIZOU O PDA CORRETAMENTE</v>
      </c>
      <c r="AB146" s="92" t="s">
        <v>204</v>
      </c>
      <c r="AC146" s="164" t="s">
        <v>6</v>
      </c>
      <c r="AD146" s="151" t="str">
        <f t="shared" si="11"/>
        <v>GUARULHOS</v>
      </c>
      <c r="AE146" s="96" t="s">
        <v>63</v>
      </c>
      <c r="AF146" s="53">
        <v>7.9363894536584226E-2</v>
      </c>
      <c r="AG146" s="53" t="str" cm="1">
        <f t="array" ref="AG146">IF(OR(O146&lt;&gt;"", SUMPRODUCT(($AH$2:$AH$4999=AH146)*($AF$2:$AF$4999&lt;=AF146)) &lt;= (COUNTIF($AH$2:$AH$4999,AH146)*0.3)), "SORTEADO", "-")</f>
        <v>SORTEADO</v>
      </c>
      <c r="AH146" s="257" t="str">
        <f t="shared" si="8"/>
        <v>07/04/2026</v>
      </c>
    </row>
    <row r="147" spans="1:34" ht="30" customHeight="1" x14ac:dyDescent="0.2">
      <c r="A147" s="230" t="s">
        <v>197</v>
      </c>
      <c r="B147" s="255">
        <v>2614477636</v>
      </c>
      <c r="C147" s="230" t="s">
        <v>133</v>
      </c>
      <c r="D147" s="230" t="s">
        <v>124</v>
      </c>
      <c r="E147" s="230" t="s">
        <v>198</v>
      </c>
      <c r="F147" s="230" t="s">
        <v>684</v>
      </c>
      <c r="G147" s="230">
        <v>118</v>
      </c>
      <c r="H147" s="230" t="s">
        <v>213</v>
      </c>
      <c r="I147" s="230" t="s">
        <v>685</v>
      </c>
      <c r="J147" s="230" t="s">
        <v>3275</v>
      </c>
      <c r="K147" s="230" t="s">
        <v>213</v>
      </c>
      <c r="L147" s="235" t="s">
        <v>580</v>
      </c>
      <c r="M147" s="235">
        <v>46207.422222222223</v>
      </c>
      <c r="N147" s="230" t="s">
        <v>3289</v>
      </c>
      <c r="O147" s="233" t="s">
        <v>204</v>
      </c>
      <c r="P147" s="9"/>
      <c r="Q147" s="146" t="s">
        <v>204</v>
      </c>
      <c r="R147" s="92"/>
      <c r="S147" s="146" t="s">
        <v>204</v>
      </c>
      <c r="T147" s="92"/>
      <c r="U147" s="146" t="s">
        <v>204</v>
      </c>
      <c r="V147" s="92"/>
      <c r="W147" s="146" t="s">
        <v>204</v>
      </c>
      <c r="X147" s="92"/>
      <c r="Y147" s="146" t="s">
        <v>204</v>
      </c>
      <c r="Z147" s="186" t="str">
        <f t="shared" si="10"/>
        <v>C</v>
      </c>
      <c r="AA147" s="217" t="str">
        <f t="shared" si="9"/>
        <v>UTILIZOU O PDA CORRETAMENTE</v>
      </c>
      <c r="AB147" s="92"/>
      <c r="AC147" s="164" t="s">
        <v>6</v>
      </c>
      <c r="AD147" s="151" t="str">
        <f t="shared" si="11"/>
        <v>GUARULHOS</v>
      </c>
      <c r="AE147" s="96" t="s">
        <v>63</v>
      </c>
      <c r="AF147" s="53">
        <v>0.95789266717008292</v>
      </c>
      <c r="AG147" s="53" t="str" cm="1">
        <f t="array" ref="AG147">IF(OR(O147&lt;&gt;"", SUMPRODUCT(($AH$2:$AH$4999=AH147)*($AF$2:$AF$4999&lt;=AF147)) &lt;= (COUNTIF($AH$2:$AH$4999,AH147)*0.3)), "SORTEADO", "-")</f>
        <v>SORTEADO</v>
      </c>
      <c r="AH147" s="257" t="str">
        <f t="shared" si="8"/>
        <v>07/04/2026</v>
      </c>
    </row>
    <row r="148" spans="1:34" ht="30" customHeight="1" x14ac:dyDescent="0.2">
      <c r="A148" s="230" t="s">
        <v>197</v>
      </c>
      <c r="B148" s="255">
        <v>2614486887</v>
      </c>
      <c r="C148" s="230" t="s">
        <v>133</v>
      </c>
      <c r="D148" s="230" t="s">
        <v>124</v>
      </c>
      <c r="E148" s="230" t="s">
        <v>198</v>
      </c>
      <c r="F148" s="230" t="s">
        <v>3472</v>
      </c>
      <c r="G148" s="230">
        <v>23</v>
      </c>
      <c r="H148" s="230" t="s">
        <v>508</v>
      </c>
      <c r="I148" s="230" t="s">
        <v>476</v>
      </c>
      <c r="J148" s="230" t="s">
        <v>3275</v>
      </c>
      <c r="K148" s="230"/>
      <c r="L148" s="235" t="s">
        <v>580</v>
      </c>
      <c r="M148" s="235">
        <v>46207.448611111111</v>
      </c>
      <c r="N148" s="230" t="s">
        <v>3289</v>
      </c>
      <c r="O148" s="233" t="s">
        <v>204</v>
      </c>
      <c r="P148" s="9"/>
      <c r="Q148" s="146" t="s">
        <v>204</v>
      </c>
      <c r="R148" s="92"/>
      <c r="S148" s="146" t="s">
        <v>204</v>
      </c>
      <c r="T148" s="92"/>
      <c r="U148" s="146" t="s">
        <v>204</v>
      </c>
      <c r="V148" s="92"/>
      <c r="W148" s="146" t="s">
        <v>204</v>
      </c>
      <c r="X148" s="92"/>
      <c r="Y148" s="146" t="s">
        <v>204</v>
      </c>
      <c r="Z148" s="186" t="str">
        <f t="shared" si="10"/>
        <v>C</v>
      </c>
      <c r="AA148" s="217" t="str">
        <f t="shared" si="9"/>
        <v>UTILIZOU O PDA CORRETAMENTE</v>
      </c>
      <c r="AB148" s="92"/>
      <c r="AC148" s="164" t="s">
        <v>6</v>
      </c>
      <c r="AD148" s="151" t="str">
        <f t="shared" si="11"/>
        <v>GUARULHOS</v>
      </c>
      <c r="AE148" s="96" t="s">
        <v>63</v>
      </c>
      <c r="AF148" s="53">
        <v>0.40894067650952787</v>
      </c>
      <c r="AG148" s="53" t="str" cm="1">
        <f t="array" ref="AG148">IF(OR(O148&lt;&gt;"", SUMPRODUCT(($AH$2:$AH$4999=AH148)*($AF$2:$AF$4999&lt;=AF148)) &lt;= (COUNTIF($AH$2:$AH$4999,AH148)*0.3)), "SORTEADO", "-")</f>
        <v>SORTEADO</v>
      </c>
      <c r="AH148" s="257" t="str">
        <f t="shared" si="8"/>
        <v>07/04/2026</v>
      </c>
    </row>
    <row r="149" spans="1:34" ht="30" customHeight="1" x14ac:dyDescent="0.2">
      <c r="A149" s="230" t="s">
        <v>197</v>
      </c>
      <c r="B149" s="255">
        <v>2689716138</v>
      </c>
      <c r="C149" s="230" t="s">
        <v>133</v>
      </c>
      <c r="D149" s="230" t="s">
        <v>124</v>
      </c>
      <c r="E149" s="230" t="s">
        <v>198</v>
      </c>
      <c r="F149" s="230" t="s">
        <v>1924</v>
      </c>
      <c r="G149" s="230">
        <v>236</v>
      </c>
      <c r="H149" s="230" t="s">
        <v>206</v>
      </c>
      <c r="I149" s="230" t="s">
        <v>277</v>
      </c>
      <c r="J149" s="230" t="s">
        <v>3275</v>
      </c>
      <c r="K149" s="230" t="s">
        <v>852</v>
      </c>
      <c r="L149" s="235" t="s">
        <v>580</v>
      </c>
      <c r="M149" s="235">
        <v>46207.581944444442</v>
      </c>
      <c r="N149" s="230" t="s">
        <v>432</v>
      </c>
      <c r="O149" s="233" t="s">
        <v>204</v>
      </c>
      <c r="P149" s="9"/>
      <c r="Q149" s="146" t="s">
        <v>204</v>
      </c>
      <c r="R149" s="92"/>
      <c r="S149" s="146" t="s">
        <v>204</v>
      </c>
      <c r="T149" s="92"/>
      <c r="U149" s="146" t="s">
        <v>204</v>
      </c>
      <c r="V149" s="92"/>
      <c r="W149" s="146" t="s">
        <v>204</v>
      </c>
      <c r="X149" s="92"/>
      <c r="Y149" s="146" t="s">
        <v>204</v>
      </c>
      <c r="Z149" s="186" t="str">
        <f t="shared" si="10"/>
        <v>C</v>
      </c>
      <c r="AA149" s="217" t="str">
        <f t="shared" si="9"/>
        <v>UTILIZOU O PDA CORRETAMENTE</v>
      </c>
      <c r="AB149" s="92"/>
      <c r="AC149" s="164" t="s">
        <v>6</v>
      </c>
      <c r="AD149" s="151" t="str">
        <f t="shared" si="11"/>
        <v>GUARULHOS</v>
      </c>
      <c r="AE149" s="96" t="s">
        <v>63</v>
      </c>
      <c r="AF149" s="53">
        <v>0.94526952359812644</v>
      </c>
      <c r="AG149" s="53" t="str" cm="1">
        <f t="array" ref="AG149">IF(OR(O149&lt;&gt;"", SUMPRODUCT(($AH$2:$AH$4999=AH149)*($AF$2:$AF$4999&lt;=AF149)) &lt;= (COUNTIF($AH$2:$AH$4999,AH149)*0.3)), "SORTEADO", "-")</f>
        <v>SORTEADO</v>
      </c>
      <c r="AH149" s="257" t="str">
        <f t="shared" si="8"/>
        <v>07/04/2026</v>
      </c>
    </row>
    <row r="150" spans="1:34" ht="30" customHeight="1" x14ac:dyDescent="0.2">
      <c r="A150" s="230" t="s">
        <v>197</v>
      </c>
      <c r="B150" s="255">
        <v>2689752306</v>
      </c>
      <c r="C150" s="230" t="s">
        <v>133</v>
      </c>
      <c r="D150" s="230" t="s">
        <v>124</v>
      </c>
      <c r="E150" s="230" t="s">
        <v>198</v>
      </c>
      <c r="F150" s="230" t="s">
        <v>3473</v>
      </c>
      <c r="G150" s="230">
        <v>43</v>
      </c>
      <c r="H150" s="230" t="s">
        <v>206</v>
      </c>
      <c r="I150" s="230" t="s">
        <v>664</v>
      </c>
      <c r="J150" s="230" t="s">
        <v>3275</v>
      </c>
      <c r="K150" s="230" t="s">
        <v>3363</v>
      </c>
      <c r="L150" s="235" t="s">
        <v>580</v>
      </c>
      <c r="M150" s="235">
        <v>46207.460416666669</v>
      </c>
      <c r="N150" s="230" t="s">
        <v>3276</v>
      </c>
      <c r="O150" s="233" t="s">
        <v>204</v>
      </c>
      <c r="P150" s="9"/>
      <c r="Q150" s="146" t="s">
        <v>204</v>
      </c>
      <c r="R150" s="92"/>
      <c r="S150" s="146" t="s">
        <v>204</v>
      </c>
      <c r="T150" s="92"/>
      <c r="U150" s="146" t="s">
        <v>204</v>
      </c>
      <c r="V150" s="92"/>
      <c r="W150" s="146" t="s">
        <v>204</v>
      </c>
      <c r="X150" s="92"/>
      <c r="Y150" s="146" t="s">
        <v>204</v>
      </c>
      <c r="Z150" s="186" t="str">
        <f t="shared" si="10"/>
        <v>C</v>
      </c>
      <c r="AA150" s="217" t="str">
        <f t="shared" si="9"/>
        <v>UTILIZOU O PDA CORRETAMENTE</v>
      </c>
      <c r="AB150" s="92"/>
      <c r="AC150" s="164" t="s">
        <v>6</v>
      </c>
      <c r="AD150" s="151" t="str">
        <f t="shared" si="11"/>
        <v>GUARULHOS</v>
      </c>
      <c r="AE150" s="96" t="s">
        <v>63</v>
      </c>
      <c r="AF150" s="53">
        <v>0.5832869477845799</v>
      </c>
      <c r="AG150" s="53" t="str" cm="1">
        <f t="array" ref="AG150">IF(OR(O150&lt;&gt;"", SUMPRODUCT(($AH$2:$AH$4999=AH150)*($AF$2:$AF$4999&lt;=AF150)) &lt;= (COUNTIF($AH$2:$AH$4999,AH150)*0.3)), "SORTEADO", "-")</f>
        <v>SORTEADO</v>
      </c>
      <c r="AH150" s="257" t="str">
        <f t="shared" si="8"/>
        <v>07/04/2026</v>
      </c>
    </row>
    <row r="151" spans="1:34" ht="30" customHeight="1" x14ac:dyDescent="0.2">
      <c r="A151" s="230" t="s">
        <v>197</v>
      </c>
      <c r="B151" s="255">
        <v>2614632726</v>
      </c>
      <c r="C151" s="230" t="s">
        <v>128</v>
      </c>
      <c r="D151" s="230" t="s">
        <v>124</v>
      </c>
      <c r="E151" s="230" t="s">
        <v>198</v>
      </c>
      <c r="F151" s="230" t="s">
        <v>515</v>
      </c>
      <c r="G151" s="230">
        <v>179</v>
      </c>
      <c r="H151" s="230" t="s">
        <v>206</v>
      </c>
      <c r="I151" s="230" t="s">
        <v>269</v>
      </c>
      <c r="J151" s="230" t="s">
        <v>3385</v>
      </c>
      <c r="K151" s="230"/>
      <c r="L151" s="235" t="s">
        <v>580</v>
      </c>
      <c r="M151" s="235">
        <v>46207.646527777775</v>
      </c>
      <c r="N151" s="230" t="s">
        <v>819</v>
      </c>
      <c r="O151" s="233" t="s">
        <v>204</v>
      </c>
      <c r="P151" s="9"/>
      <c r="Q151" s="146" t="s">
        <v>204</v>
      </c>
      <c r="R151" s="92"/>
      <c r="S151" s="146" t="s">
        <v>204</v>
      </c>
      <c r="T151" s="92"/>
      <c r="U151" s="146" t="s">
        <v>204</v>
      </c>
      <c r="V151" s="92"/>
      <c r="W151" s="146" t="s">
        <v>204</v>
      </c>
      <c r="X151" s="92"/>
      <c r="Y151" s="146" t="s">
        <v>204</v>
      </c>
      <c r="Z151" s="186" t="str">
        <f t="shared" si="10"/>
        <v>C</v>
      </c>
      <c r="AA151" s="217" t="str">
        <f t="shared" si="9"/>
        <v>UTILIZOU O PDA CORRETAMENTE</v>
      </c>
      <c r="AB151" s="92"/>
      <c r="AC151" s="164" t="s">
        <v>6</v>
      </c>
      <c r="AD151" s="151" t="str">
        <f t="shared" si="11"/>
        <v>GUARULHOS</v>
      </c>
      <c r="AE151" s="96" t="s">
        <v>63</v>
      </c>
      <c r="AF151" s="53">
        <v>0.21319772126212611</v>
      </c>
      <c r="AG151" s="53" t="str" cm="1">
        <f t="array" ref="AG151">IF(OR(O151&lt;&gt;"", SUMPRODUCT(($AH$2:$AH$4999=AH151)*($AF$2:$AF$4999&lt;=AF151)) &lt;= (COUNTIF($AH$2:$AH$4999,AH151)*0.3)), "SORTEADO", "-")</f>
        <v>SORTEADO</v>
      </c>
      <c r="AH151" s="257" t="str">
        <f t="shared" si="8"/>
        <v>07/04/2026</v>
      </c>
    </row>
    <row r="152" spans="1:34" ht="30" customHeight="1" x14ac:dyDescent="0.2">
      <c r="A152" s="230" t="s">
        <v>197</v>
      </c>
      <c r="B152" s="255">
        <v>2689796040</v>
      </c>
      <c r="C152" s="230" t="s">
        <v>127</v>
      </c>
      <c r="D152" s="230" t="s">
        <v>63</v>
      </c>
      <c r="E152" s="230" t="s">
        <v>198</v>
      </c>
      <c r="F152" s="230" t="s">
        <v>484</v>
      </c>
      <c r="G152" s="230">
        <v>133</v>
      </c>
      <c r="H152" s="230" t="s">
        <v>2717</v>
      </c>
      <c r="I152" s="230" t="s">
        <v>485</v>
      </c>
      <c r="J152" s="230" t="s">
        <v>3275</v>
      </c>
      <c r="K152" s="230" t="s">
        <v>213</v>
      </c>
      <c r="L152" s="235" t="s">
        <v>580</v>
      </c>
      <c r="M152" s="235">
        <v>46207.643750000003</v>
      </c>
      <c r="N152" s="230" t="s">
        <v>3282</v>
      </c>
      <c r="O152" s="233" t="s">
        <v>204</v>
      </c>
      <c r="P152" s="9"/>
      <c r="Q152" s="146" t="s">
        <v>204</v>
      </c>
      <c r="R152" s="92"/>
      <c r="S152" s="146" t="s">
        <v>204</v>
      </c>
      <c r="T152" s="92"/>
      <c r="U152" s="146" t="s">
        <v>204</v>
      </c>
      <c r="V152" s="92"/>
      <c r="W152" s="146" t="s">
        <v>204</v>
      </c>
      <c r="X152" s="92"/>
      <c r="Y152" s="146" t="s">
        <v>204</v>
      </c>
      <c r="Z152" s="186" t="str">
        <f t="shared" si="10"/>
        <v>C</v>
      </c>
      <c r="AA152" s="217" t="str">
        <f t="shared" si="9"/>
        <v>UTILIZOU O PDA CORRETAMENTE</v>
      </c>
      <c r="AB152" s="92" t="s">
        <v>204</v>
      </c>
      <c r="AC152" s="164" t="s">
        <v>6</v>
      </c>
      <c r="AD152" s="151" t="str">
        <f t="shared" si="11"/>
        <v>GUARULHOS</v>
      </c>
      <c r="AE152" s="96" t="s">
        <v>63</v>
      </c>
      <c r="AF152" s="53">
        <v>2.1378762773439711E-2</v>
      </c>
      <c r="AG152" s="53" t="str" cm="1">
        <f t="array" ref="AG152">IF(OR(O152&lt;&gt;"", SUMPRODUCT(($AH$2:$AH$4999=AH152)*($AF$2:$AF$4999&lt;=AF152)) &lt;= (COUNTIF($AH$2:$AH$4999,AH152)*0.3)), "SORTEADO", "-")</f>
        <v>SORTEADO</v>
      </c>
      <c r="AH152" s="257" t="str">
        <f t="shared" si="8"/>
        <v>07/04/2026</v>
      </c>
    </row>
    <row r="153" spans="1:34" ht="30" customHeight="1" x14ac:dyDescent="0.2">
      <c r="A153" s="230" t="s">
        <v>197</v>
      </c>
      <c r="B153" s="255">
        <v>2614634100</v>
      </c>
      <c r="C153" s="230" t="s">
        <v>127</v>
      </c>
      <c r="D153" s="230" t="s">
        <v>63</v>
      </c>
      <c r="E153" s="230" t="s">
        <v>198</v>
      </c>
      <c r="F153" s="230" t="s">
        <v>3472</v>
      </c>
      <c r="G153" s="230">
        <v>55</v>
      </c>
      <c r="H153" s="230"/>
      <c r="I153" s="230" t="s">
        <v>476</v>
      </c>
      <c r="J153" s="230" t="s">
        <v>3275</v>
      </c>
      <c r="K153" s="230"/>
      <c r="L153" s="235" t="s">
        <v>580</v>
      </c>
      <c r="M153" s="235">
        <v>46207.651388888888</v>
      </c>
      <c r="N153" s="230" t="s">
        <v>3282</v>
      </c>
      <c r="O153" s="233" t="s">
        <v>204</v>
      </c>
      <c r="P153" s="9"/>
      <c r="Q153" s="146" t="s">
        <v>204</v>
      </c>
      <c r="R153" s="92"/>
      <c r="S153" s="146" t="s">
        <v>204</v>
      </c>
      <c r="T153" s="92"/>
      <c r="U153" s="146" t="s">
        <v>204</v>
      </c>
      <c r="V153" s="92"/>
      <c r="W153" s="146" t="s">
        <v>204</v>
      </c>
      <c r="X153" s="92"/>
      <c r="Y153" s="146" t="s">
        <v>204</v>
      </c>
      <c r="Z153" s="186" t="str">
        <f t="shared" si="10"/>
        <v>C</v>
      </c>
      <c r="AA153" s="217" t="str">
        <f t="shared" si="9"/>
        <v>UTILIZOU O PDA CORRETAMENTE</v>
      </c>
      <c r="AB153" s="92" t="s">
        <v>204</v>
      </c>
      <c r="AC153" s="164" t="s">
        <v>6</v>
      </c>
      <c r="AD153" s="151" t="str">
        <f t="shared" si="11"/>
        <v>GUARULHOS</v>
      </c>
      <c r="AE153" s="96" t="s">
        <v>63</v>
      </c>
      <c r="AF153" s="53">
        <v>9.6409121592964483E-2</v>
      </c>
      <c r="AG153" s="53" t="str" cm="1">
        <f t="array" ref="AG153">IF(OR(O153&lt;&gt;"", SUMPRODUCT(($AH$2:$AH$4999=AH153)*($AF$2:$AF$4999&lt;=AF153)) &lt;= (COUNTIF($AH$2:$AH$4999,AH153)*0.3)), "SORTEADO", "-")</f>
        <v>SORTEADO</v>
      </c>
      <c r="AH153" s="257" t="str">
        <f t="shared" si="8"/>
        <v>07/04/2026</v>
      </c>
    </row>
    <row r="154" spans="1:34" ht="30" customHeight="1" x14ac:dyDescent="0.2">
      <c r="A154" s="230" t="s">
        <v>197</v>
      </c>
      <c r="B154" s="255">
        <v>2614616674</v>
      </c>
      <c r="C154" s="230" t="s">
        <v>128</v>
      </c>
      <c r="D154" s="230" t="s">
        <v>124</v>
      </c>
      <c r="E154" s="230" t="s">
        <v>198</v>
      </c>
      <c r="F154" s="230" t="s">
        <v>577</v>
      </c>
      <c r="G154" s="230">
        <v>197</v>
      </c>
      <c r="H154" s="230" t="s">
        <v>206</v>
      </c>
      <c r="I154" s="230" t="s">
        <v>379</v>
      </c>
      <c r="J154" s="230" t="s">
        <v>3385</v>
      </c>
      <c r="K154" s="230"/>
      <c r="L154" s="235" t="s">
        <v>580</v>
      </c>
      <c r="M154" s="235">
        <v>46207.549305555556</v>
      </c>
      <c r="N154" s="230" t="s">
        <v>3433</v>
      </c>
      <c r="O154" s="233" t="s">
        <v>204</v>
      </c>
      <c r="P154" s="9"/>
      <c r="Q154" s="146" t="s">
        <v>204</v>
      </c>
      <c r="R154" s="92"/>
      <c r="S154" s="146" t="s">
        <v>204</v>
      </c>
      <c r="T154" s="92"/>
      <c r="U154" s="146" t="s">
        <v>204</v>
      </c>
      <c r="V154" s="92"/>
      <c r="W154" s="146" t="s">
        <v>204</v>
      </c>
      <c r="X154" s="92"/>
      <c r="Y154" s="146" t="s">
        <v>204</v>
      </c>
      <c r="Z154" s="186" t="str">
        <f t="shared" si="10"/>
        <v>C</v>
      </c>
      <c r="AA154" s="217" t="str">
        <f t="shared" si="9"/>
        <v>UTILIZOU O PDA CORRETAMENTE</v>
      </c>
      <c r="AB154" s="92"/>
      <c r="AC154" s="164" t="s">
        <v>6</v>
      </c>
      <c r="AD154" s="151" t="str">
        <f t="shared" si="11"/>
        <v>GUARULHOS</v>
      </c>
      <c r="AE154" s="96" t="s">
        <v>63</v>
      </c>
      <c r="AF154" s="53">
        <v>0.65730279745140296</v>
      </c>
      <c r="AG154" s="53" t="str" cm="1">
        <f t="array" ref="AG154">IF(OR(O154&lt;&gt;"", SUMPRODUCT(($AH$2:$AH$4999=AH154)*($AF$2:$AF$4999&lt;=AF154)) &lt;= (COUNTIF($AH$2:$AH$4999,AH154)*0.3)), "SORTEADO", "-")</f>
        <v>SORTEADO</v>
      </c>
      <c r="AH154" s="257" t="str">
        <f t="shared" si="8"/>
        <v>07/04/2026</v>
      </c>
    </row>
    <row r="155" spans="1:34" ht="30" customHeight="1" x14ac:dyDescent="0.2">
      <c r="A155" s="230" t="s">
        <v>197</v>
      </c>
      <c r="B155" s="255">
        <v>2689717518</v>
      </c>
      <c r="C155" s="230" t="s">
        <v>133</v>
      </c>
      <c r="D155" s="230" t="s">
        <v>124</v>
      </c>
      <c r="E155" s="230" t="s">
        <v>198</v>
      </c>
      <c r="F155" s="230" t="s">
        <v>3474</v>
      </c>
      <c r="G155" s="230">
        <v>142</v>
      </c>
      <c r="H155" s="230" t="s">
        <v>3475</v>
      </c>
      <c r="I155" s="230" t="s">
        <v>521</v>
      </c>
      <c r="J155" s="230" t="s">
        <v>3275</v>
      </c>
      <c r="K155" s="230" t="s">
        <v>3476</v>
      </c>
      <c r="L155" s="235" t="s">
        <v>580</v>
      </c>
      <c r="M155" s="235">
        <v>46207.449305555558</v>
      </c>
      <c r="N155" s="230" t="s">
        <v>819</v>
      </c>
      <c r="O155" s="233" t="s">
        <v>204</v>
      </c>
      <c r="P155" s="9"/>
      <c r="Q155" s="146" t="s">
        <v>204</v>
      </c>
      <c r="R155" s="92"/>
      <c r="S155" s="146" t="s">
        <v>204</v>
      </c>
      <c r="T155" s="92"/>
      <c r="U155" s="146" t="s">
        <v>204</v>
      </c>
      <c r="V155" s="92"/>
      <c r="W155" s="146" t="s">
        <v>204</v>
      </c>
      <c r="X155" s="92"/>
      <c r="Y155" s="146" t="s">
        <v>204</v>
      </c>
      <c r="Z155" s="186" t="str">
        <f t="shared" si="10"/>
        <v>C</v>
      </c>
      <c r="AA155" s="217" t="str">
        <f t="shared" si="9"/>
        <v>UTILIZOU O PDA CORRETAMENTE</v>
      </c>
      <c r="AB155" s="92"/>
      <c r="AC155" s="164" t="s">
        <v>6</v>
      </c>
      <c r="AD155" s="151" t="str">
        <f t="shared" si="11"/>
        <v>GUARULHOS</v>
      </c>
      <c r="AE155" s="96" t="s">
        <v>63</v>
      </c>
      <c r="AF155" s="53">
        <v>0.66410241584720031</v>
      </c>
      <c r="AG155" s="53" t="str" cm="1">
        <f t="array" ref="AG155">IF(OR(O155&lt;&gt;"", SUMPRODUCT(($AH$2:$AH$4999=AH155)*($AF$2:$AF$4999&lt;=AF155)) &lt;= (COUNTIF($AH$2:$AH$4999,AH155)*0.3)), "SORTEADO", "-")</f>
        <v>SORTEADO</v>
      </c>
      <c r="AH155" s="257" t="str">
        <f t="shared" si="8"/>
        <v>07/04/2026</v>
      </c>
    </row>
    <row r="156" spans="1:34" ht="30" customHeight="1" x14ac:dyDescent="0.2">
      <c r="A156" s="230" t="s">
        <v>197</v>
      </c>
      <c r="B156" s="255">
        <v>2689711796</v>
      </c>
      <c r="C156" s="230" t="s">
        <v>133</v>
      </c>
      <c r="D156" s="230" t="s">
        <v>124</v>
      </c>
      <c r="E156" s="230" t="s">
        <v>198</v>
      </c>
      <c r="F156" s="230" t="s">
        <v>1177</v>
      </c>
      <c r="G156" s="230">
        <v>29</v>
      </c>
      <c r="H156" s="230" t="s">
        <v>3477</v>
      </c>
      <c r="I156" s="230" t="s">
        <v>557</v>
      </c>
      <c r="J156" s="230" t="s">
        <v>3275</v>
      </c>
      <c r="K156" s="230"/>
      <c r="L156" s="235" t="s">
        <v>580</v>
      </c>
      <c r="M156" s="235">
        <v>46207.46597222222</v>
      </c>
      <c r="N156" s="230" t="s">
        <v>3289</v>
      </c>
      <c r="O156" s="233" t="s">
        <v>204</v>
      </c>
      <c r="P156" s="9"/>
      <c r="Q156" s="146" t="s">
        <v>204</v>
      </c>
      <c r="R156" s="92"/>
      <c r="S156" s="146" t="s">
        <v>204</v>
      </c>
      <c r="T156" s="92"/>
      <c r="U156" s="146" t="s">
        <v>204</v>
      </c>
      <c r="V156" s="92"/>
      <c r="W156" s="146" t="s">
        <v>204</v>
      </c>
      <c r="X156" s="92"/>
      <c r="Y156" s="146" t="s">
        <v>204</v>
      </c>
      <c r="Z156" s="186" t="str">
        <f t="shared" si="10"/>
        <v>C</v>
      </c>
      <c r="AA156" s="217" t="str">
        <f t="shared" si="9"/>
        <v>UTILIZOU O PDA CORRETAMENTE</v>
      </c>
      <c r="AB156" s="92"/>
      <c r="AC156" s="164" t="s">
        <v>6</v>
      </c>
      <c r="AD156" s="151" t="str">
        <f t="shared" si="11"/>
        <v>GUARULHOS</v>
      </c>
      <c r="AE156" s="96" t="s">
        <v>63</v>
      </c>
      <c r="AF156" s="53">
        <v>0.42112440811614654</v>
      </c>
      <c r="AG156" s="53" t="str" cm="1">
        <f t="array" ref="AG156">IF(OR(O156&lt;&gt;"", SUMPRODUCT(($AH$2:$AH$4999=AH156)*($AF$2:$AF$4999&lt;=AF156)) &lt;= (COUNTIF($AH$2:$AH$4999,AH156)*0.3)), "SORTEADO", "-")</f>
        <v>SORTEADO</v>
      </c>
      <c r="AH156" s="257" t="str">
        <f t="shared" si="8"/>
        <v>07/04/2026</v>
      </c>
    </row>
    <row r="157" spans="1:34" ht="30" customHeight="1" x14ac:dyDescent="0.2">
      <c r="A157" s="230" t="s">
        <v>197</v>
      </c>
      <c r="B157" s="255">
        <v>2689727532</v>
      </c>
      <c r="C157" s="230" t="s">
        <v>133</v>
      </c>
      <c r="D157" s="230" t="s">
        <v>124</v>
      </c>
      <c r="E157" s="230" t="s">
        <v>198</v>
      </c>
      <c r="F157" s="230" t="s">
        <v>3478</v>
      </c>
      <c r="G157" s="230">
        <v>28</v>
      </c>
      <c r="H157" s="230" t="s">
        <v>206</v>
      </c>
      <c r="I157" s="230" t="s">
        <v>3479</v>
      </c>
      <c r="J157" s="230" t="s">
        <v>3275</v>
      </c>
      <c r="K157" s="230" t="s">
        <v>213</v>
      </c>
      <c r="L157" s="235" t="s">
        <v>580</v>
      </c>
      <c r="M157" s="235">
        <v>46207.484722222223</v>
      </c>
      <c r="N157" s="230" t="s">
        <v>3289</v>
      </c>
      <c r="O157" s="233" t="s">
        <v>204</v>
      </c>
      <c r="P157" s="9"/>
      <c r="Q157" s="146" t="s">
        <v>204</v>
      </c>
      <c r="R157" s="92"/>
      <c r="S157" s="146" t="s">
        <v>204</v>
      </c>
      <c r="T157" s="92"/>
      <c r="U157" s="146" t="s">
        <v>204</v>
      </c>
      <c r="V157" s="92"/>
      <c r="W157" s="146" t="s">
        <v>204</v>
      </c>
      <c r="X157" s="92"/>
      <c r="Y157" s="146" t="s">
        <v>204</v>
      </c>
      <c r="Z157" s="186" t="str">
        <f t="shared" si="10"/>
        <v>C</v>
      </c>
      <c r="AA157" s="217" t="str">
        <f t="shared" si="9"/>
        <v>UTILIZOU O PDA CORRETAMENTE</v>
      </c>
      <c r="AB157" s="92"/>
      <c r="AC157" s="164" t="s">
        <v>6</v>
      </c>
      <c r="AD157" s="151" t="str">
        <f t="shared" si="11"/>
        <v>GUARULHOS</v>
      </c>
      <c r="AE157" s="96" t="s">
        <v>63</v>
      </c>
      <c r="AF157" s="53">
        <v>0.83345814867203249</v>
      </c>
      <c r="AG157" s="53" t="str" cm="1">
        <f t="array" ref="AG157">IF(OR(O157&lt;&gt;"", SUMPRODUCT(($AH$2:$AH$4999=AH157)*($AF$2:$AF$4999&lt;=AF157)) &lt;= (COUNTIF($AH$2:$AH$4999,AH157)*0.3)), "SORTEADO", "-")</f>
        <v>SORTEADO</v>
      </c>
      <c r="AH157" s="257" t="str">
        <f t="shared" si="8"/>
        <v>07/04/2026</v>
      </c>
    </row>
    <row r="158" spans="1:34" ht="30" customHeight="1" x14ac:dyDescent="0.2">
      <c r="A158" s="230" t="s">
        <v>197</v>
      </c>
      <c r="B158" s="255">
        <v>2689696272</v>
      </c>
      <c r="C158" s="230" t="s">
        <v>133</v>
      </c>
      <c r="D158" s="230" t="s">
        <v>124</v>
      </c>
      <c r="E158" s="230" t="s">
        <v>198</v>
      </c>
      <c r="F158" s="230" t="s">
        <v>3480</v>
      </c>
      <c r="G158" s="230">
        <v>206</v>
      </c>
      <c r="H158" s="230" t="s">
        <v>3481</v>
      </c>
      <c r="I158" s="230" t="s">
        <v>622</v>
      </c>
      <c r="J158" s="230" t="s">
        <v>3275</v>
      </c>
      <c r="K158" s="230" t="s">
        <v>3482</v>
      </c>
      <c r="L158" s="235" t="s">
        <v>580</v>
      </c>
      <c r="M158" s="235">
        <v>46207.506249999999</v>
      </c>
      <c r="N158" s="230" t="s">
        <v>3289</v>
      </c>
      <c r="O158" s="233" t="s">
        <v>204</v>
      </c>
      <c r="P158" s="9"/>
      <c r="Q158" s="146" t="s">
        <v>204</v>
      </c>
      <c r="R158" s="92"/>
      <c r="S158" s="146" t="s">
        <v>204</v>
      </c>
      <c r="T158" s="92"/>
      <c r="U158" s="146" t="s">
        <v>204</v>
      </c>
      <c r="V158" s="92"/>
      <c r="W158" s="146" t="s">
        <v>204</v>
      </c>
      <c r="X158" s="92"/>
      <c r="Y158" s="146" t="s">
        <v>204</v>
      </c>
      <c r="Z158" s="186" t="str">
        <f t="shared" si="10"/>
        <v>C</v>
      </c>
      <c r="AA158" s="217" t="str">
        <f t="shared" si="9"/>
        <v>UTILIZOU O PDA CORRETAMENTE</v>
      </c>
      <c r="AB158" s="92"/>
      <c r="AC158" s="164" t="s">
        <v>6</v>
      </c>
      <c r="AD158" s="151" t="str">
        <f t="shared" si="11"/>
        <v>GUARULHOS</v>
      </c>
      <c r="AE158" s="96" t="s">
        <v>63</v>
      </c>
      <c r="AF158" s="53">
        <v>0.37369618110807856</v>
      </c>
      <c r="AG158" s="53" t="str" cm="1">
        <f t="array" ref="AG158">IF(OR(O158&lt;&gt;"", SUMPRODUCT(($AH$2:$AH$4999=AH158)*($AF$2:$AF$4999&lt;=AF158)) &lt;= (COUNTIF($AH$2:$AH$4999,AH158)*0.3)), "SORTEADO", "-")</f>
        <v>SORTEADO</v>
      </c>
      <c r="AH158" s="257" t="str">
        <f t="shared" si="8"/>
        <v>07/04/2026</v>
      </c>
    </row>
    <row r="159" spans="1:34" ht="30" customHeight="1" x14ac:dyDescent="0.2">
      <c r="A159" s="230" t="s">
        <v>197</v>
      </c>
      <c r="B159" s="255">
        <v>2689774500</v>
      </c>
      <c r="C159" s="230" t="s">
        <v>133</v>
      </c>
      <c r="D159" s="230" t="s">
        <v>124</v>
      </c>
      <c r="E159" s="230" t="s">
        <v>198</v>
      </c>
      <c r="F159" s="230" t="s">
        <v>3483</v>
      </c>
      <c r="G159" s="230">
        <v>37</v>
      </c>
      <c r="H159" s="230" t="s">
        <v>276</v>
      </c>
      <c r="I159" s="230" t="s">
        <v>893</v>
      </c>
      <c r="J159" s="230" t="s">
        <v>3275</v>
      </c>
      <c r="K159" s="230" t="s">
        <v>2990</v>
      </c>
      <c r="L159" s="235" t="s">
        <v>580</v>
      </c>
      <c r="M159" s="235">
        <v>46207.472222222219</v>
      </c>
      <c r="N159" s="230" t="s">
        <v>3282</v>
      </c>
      <c r="O159" s="233" t="s">
        <v>204</v>
      </c>
      <c r="P159" s="9"/>
      <c r="Q159" s="146" t="s">
        <v>204</v>
      </c>
      <c r="R159" s="92"/>
      <c r="S159" s="146" t="s">
        <v>204</v>
      </c>
      <c r="T159" s="92"/>
      <c r="U159" s="146" t="s">
        <v>204</v>
      </c>
      <c r="V159" s="92"/>
      <c r="W159" s="146" t="s">
        <v>204</v>
      </c>
      <c r="X159" s="92"/>
      <c r="Y159" s="146" t="s">
        <v>204</v>
      </c>
      <c r="Z159" s="186" t="str">
        <f t="shared" si="10"/>
        <v>C</v>
      </c>
      <c r="AA159" s="217" t="str">
        <f t="shared" si="9"/>
        <v>UTILIZOU O PDA CORRETAMENTE</v>
      </c>
      <c r="AB159" s="92"/>
      <c r="AC159" s="164" t="s">
        <v>6</v>
      </c>
      <c r="AD159" s="151" t="str">
        <f t="shared" si="11"/>
        <v>GUARULHOS</v>
      </c>
      <c r="AE159" s="96" t="s">
        <v>63</v>
      </c>
      <c r="AF159" s="53">
        <v>0.44715103313027693</v>
      </c>
      <c r="AG159" s="53" t="str" cm="1">
        <f t="array" ref="AG159">IF(OR(O159&lt;&gt;"", SUMPRODUCT(($AH$2:$AH$4999=AH159)*($AF$2:$AF$4999&lt;=AF159)) &lt;= (COUNTIF($AH$2:$AH$4999,AH159)*0.3)), "SORTEADO", "-")</f>
        <v>SORTEADO</v>
      </c>
      <c r="AH159" s="257" t="str">
        <f t="shared" si="8"/>
        <v>07/04/2026</v>
      </c>
    </row>
    <row r="160" spans="1:34" ht="30" customHeight="1" x14ac:dyDescent="0.2">
      <c r="A160" s="230" t="s">
        <v>197</v>
      </c>
      <c r="B160" s="255">
        <v>2689741888</v>
      </c>
      <c r="C160" s="230" t="s">
        <v>133</v>
      </c>
      <c r="D160" s="230" t="s">
        <v>124</v>
      </c>
      <c r="E160" s="230" t="s">
        <v>198</v>
      </c>
      <c r="F160" s="230" t="s">
        <v>3484</v>
      </c>
      <c r="G160" s="230">
        <v>39</v>
      </c>
      <c r="H160" s="230" t="s">
        <v>3485</v>
      </c>
      <c r="I160" s="230" t="s">
        <v>436</v>
      </c>
      <c r="J160" s="230" t="s">
        <v>3275</v>
      </c>
      <c r="K160" s="230" t="s">
        <v>2990</v>
      </c>
      <c r="L160" s="235" t="s">
        <v>580</v>
      </c>
      <c r="M160" s="235">
        <v>46207.488888888889</v>
      </c>
      <c r="N160" s="230" t="s">
        <v>3282</v>
      </c>
      <c r="O160" s="233" t="s">
        <v>204</v>
      </c>
      <c r="P160" s="9"/>
      <c r="Q160" s="146" t="s">
        <v>204</v>
      </c>
      <c r="R160" s="92"/>
      <c r="S160" s="146" t="s">
        <v>204</v>
      </c>
      <c r="T160" s="92"/>
      <c r="U160" s="146" t="s">
        <v>204</v>
      </c>
      <c r="V160" s="92"/>
      <c r="W160" s="146" t="s">
        <v>204</v>
      </c>
      <c r="X160" s="92"/>
      <c r="Y160" s="146" t="s">
        <v>204</v>
      </c>
      <c r="Z160" s="186" t="str">
        <f t="shared" si="10"/>
        <v>C</v>
      </c>
      <c r="AA160" s="217" t="str">
        <f t="shared" si="9"/>
        <v>UTILIZOU O PDA CORRETAMENTE</v>
      </c>
      <c r="AB160" s="92"/>
      <c r="AC160" s="164" t="s">
        <v>6</v>
      </c>
      <c r="AD160" s="151" t="str">
        <f t="shared" si="11"/>
        <v>GUARULHOS</v>
      </c>
      <c r="AE160" s="96" t="s">
        <v>63</v>
      </c>
      <c r="AF160" s="53">
        <v>0.32024238105944575</v>
      </c>
      <c r="AG160" s="53" t="str" cm="1">
        <f t="array" ref="AG160">IF(OR(O160&lt;&gt;"", SUMPRODUCT(($AH$2:$AH$4999=AH160)*($AF$2:$AF$4999&lt;=AF160)) &lt;= (COUNTIF($AH$2:$AH$4999,AH160)*0.3)), "SORTEADO", "-")</f>
        <v>SORTEADO</v>
      </c>
      <c r="AH160" s="257" t="str">
        <f t="shared" si="8"/>
        <v>07/04/2026</v>
      </c>
    </row>
    <row r="161" spans="1:34" ht="30" customHeight="1" x14ac:dyDescent="0.2">
      <c r="A161" s="230" t="s">
        <v>197</v>
      </c>
      <c r="B161" s="255">
        <v>2689796061</v>
      </c>
      <c r="C161" s="230" t="s">
        <v>133</v>
      </c>
      <c r="D161" s="230" t="s">
        <v>124</v>
      </c>
      <c r="E161" s="230" t="s">
        <v>198</v>
      </c>
      <c r="F161" s="230" t="s">
        <v>890</v>
      </c>
      <c r="G161" s="230">
        <v>378</v>
      </c>
      <c r="H161" s="230" t="s">
        <v>1565</v>
      </c>
      <c r="I161" s="230" t="s">
        <v>368</v>
      </c>
      <c r="J161" s="230" t="s">
        <v>3275</v>
      </c>
      <c r="K161" s="230" t="s">
        <v>213</v>
      </c>
      <c r="L161" s="235" t="s">
        <v>580</v>
      </c>
      <c r="M161" s="235">
        <v>46207.527083333334</v>
      </c>
      <c r="N161" s="230" t="s">
        <v>294</v>
      </c>
      <c r="O161" s="233" t="s">
        <v>204</v>
      </c>
      <c r="P161" s="9"/>
      <c r="Q161" s="146" t="s">
        <v>204</v>
      </c>
      <c r="R161" s="92"/>
      <c r="S161" s="146" t="s">
        <v>204</v>
      </c>
      <c r="T161" s="92"/>
      <c r="U161" s="146" t="s">
        <v>204</v>
      </c>
      <c r="V161" s="92"/>
      <c r="W161" s="146" t="s">
        <v>204</v>
      </c>
      <c r="X161" s="92"/>
      <c r="Y161" s="146" t="s">
        <v>204</v>
      </c>
      <c r="Z161" s="186" t="str">
        <f t="shared" si="10"/>
        <v>C</v>
      </c>
      <c r="AA161" s="217" t="str">
        <f t="shared" si="9"/>
        <v>UTILIZOU O PDA CORRETAMENTE</v>
      </c>
      <c r="AB161" s="92" t="s">
        <v>204</v>
      </c>
      <c r="AC161" s="164" t="s">
        <v>6</v>
      </c>
      <c r="AD161" s="151" t="str">
        <f t="shared" si="11"/>
        <v>GUARULHOS</v>
      </c>
      <c r="AE161" s="96" t="s">
        <v>63</v>
      </c>
      <c r="AF161" s="53">
        <v>1.4021460803666208E-2</v>
      </c>
      <c r="AG161" s="53" t="str" cm="1">
        <f t="array" ref="AG161">IF(OR(O161&lt;&gt;"", SUMPRODUCT(($AH$2:$AH$4999=AH161)*($AF$2:$AF$4999&lt;=AF161)) &lt;= (COUNTIF($AH$2:$AH$4999,AH161)*0.3)), "SORTEADO", "-")</f>
        <v>SORTEADO</v>
      </c>
      <c r="AH161" s="257" t="str">
        <f t="shared" si="8"/>
        <v>07/04/2026</v>
      </c>
    </row>
    <row r="162" spans="1:34" ht="30" customHeight="1" x14ac:dyDescent="0.2">
      <c r="A162" s="230" t="s">
        <v>197</v>
      </c>
      <c r="B162" s="255">
        <v>2689734342</v>
      </c>
      <c r="C162" s="230" t="s">
        <v>133</v>
      </c>
      <c r="D162" s="230" t="s">
        <v>124</v>
      </c>
      <c r="E162" s="230" t="s">
        <v>198</v>
      </c>
      <c r="F162" s="230" t="s">
        <v>3486</v>
      </c>
      <c r="G162" s="230">
        <v>379</v>
      </c>
      <c r="H162" s="230"/>
      <c r="I162" s="230" t="s">
        <v>200</v>
      </c>
      <c r="J162" s="230" t="s">
        <v>3275</v>
      </c>
      <c r="K162" s="230" t="s">
        <v>3363</v>
      </c>
      <c r="L162" s="235" t="s">
        <v>580</v>
      </c>
      <c r="M162" s="235">
        <v>46207.60833333333</v>
      </c>
      <c r="N162" s="230" t="s">
        <v>3276</v>
      </c>
      <c r="O162" s="233" t="s">
        <v>204</v>
      </c>
      <c r="P162" s="9"/>
      <c r="Q162" s="146" t="s">
        <v>204</v>
      </c>
      <c r="R162" s="92"/>
      <c r="S162" s="146" t="s">
        <v>204</v>
      </c>
      <c r="T162" s="92"/>
      <c r="U162" s="146" t="s">
        <v>204</v>
      </c>
      <c r="V162" s="92"/>
      <c r="W162" s="146" t="s">
        <v>204</v>
      </c>
      <c r="X162" s="92"/>
      <c r="Y162" s="146" t="s">
        <v>204</v>
      </c>
      <c r="Z162" s="186" t="str">
        <f t="shared" si="10"/>
        <v>C</v>
      </c>
      <c r="AA162" s="217" t="str">
        <f t="shared" si="9"/>
        <v>UTILIZOU O PDA CORRETAMENTE</v>
      </c>
      <c r="AB162" s="92" t="s">
        <v>204</v>
      </c>
      <c r="AC162" s="164" t="s">
        <v>6</v>
      </c>
      <c r="AD162" s="151" t="str">
        <f t="shared" si="11"/>
        <v>GUARULHOS</v>
      </c>
      <c r="AE162" s="96" t="s">
        <v>63</v>
      </c>
      <c r="AF162" s="53">
        <v>0.10438645507479949</v>
      </c>
      <c r="AG162" s="53" t="str" cm="1">
        <f t="array" ref="AG162">IF(OR(O162&lt;&gt;"", SUMPRODUCT(($AH$2:$AH$4999=AH162)*($AF$2:$AF$4999&lt;=AF162)) &lt;= (COUNTIF($AH$2:$AH$4999,AH162)*0.3)), "SORTEADO", "-")</f>
        <v>SORTEADO</v>
      </c>
      <c r="AH162" s="257" t="str">
        <f t="shared" si="8"/>
        <v>07/04/2026</v>
      </c>
    </row>
    <row r="163" spans="1:34" ht="30" customHeight="1" x14ac:dyDescent="0.2">
      <c r="A163" s="230" t="s">
        <v>197</v>
      </c>
      <c r="B163" s="255">
        <v>2614486068</v>
      </c>
      <c r="C163" s="230" t="s">
        <v>133</v>
      </c>
      <c r="D163" s="230" t="s">
        <v>124</v>
      </c>
      <c r="E163" s="230" t="s">
        <v>198</v>
      </c>
      <c r="F163" s="230" t="s">
        <v>1562</v>
      </c>
      <c r="G163" s="230">
        <v>3921</v>
      </c>
      <c r="H163" s="230" t="s">
        <v>3487</v>
      </c>
      <c r="I163" s="230" t="s">
        <v>1397</v>
      </c>
      <c r="J163" s="230" t="s">
        <v>3275</v>
      </c>
      <c r="K163" s="230" t="s">
        <v>213</v>
      </c>
      <c r="L163" s="235" t="s">
        <v>580</v>
      </c>
      <c r="M163" s="235">
        <v>46207.604166666664</v>
      </c>
      <c r="N163" s="230" t="s">
        <v>3289</v>
      </c>
      <c r="O163" s="233" t="s">
        <v>204</v>
      </c>
      <c r="P163" s="9"/>
      <c r="Q163" s="146" t="s">
        <v>204</v>
      </c>
      <c r="R163" s="92"/>
      <c r="S163" s="146" t="s">
        <v>204</v>
      </c>
      <c r="T163" s="92"/>
      <c r="U163" s="146" t="s">
        <v>204</v>
      </c>
      <c r="V163" s="92"/>
      <c r="W163" s="146" t="s">
        <v>204</v>
      </c>
      <c r="X163" s="92"/>
      <c r="Y163" s="146" t="s">
        <v>204</v>
      </c>
      <c r="Z163" s="186" t="str">
        <f t="shared" si="10"/>
        <v>C</v>
      </c>
      <c r="AA163" s="217" t="str">
        <f t="shared" si="9"/>
        <v>UTILIZOU O PDA CORRETAMENTE</v>
      </c>
      <c r="AB163" s="92"/>
      <c r="AC163" s="164" t="s">
        <v>6</v>
      </c>
      <c r="AD163" s="151" t="str">
        <f t="shared" si="11"/>
        <v>GUARULHOS</v>
      </c>
      <c r="AE163" s="96" t="s">
        <v>63</v>
      </c>
      <c r="AF163" s="53">
        <v>0.60267618659536082</v>
      </c>
      <c r="AG163" s="53" t="str" cm="1">
        <f t="array" ref="AG163">IF(OR(O163&lt;&gt;"", SUMPRODUCT(($AH$2:$AH$4999=AH163)*($AF$2:$AF$4999&lt;=AF163)) &lt;= (COUNTIF($AH$2:$AH$4999,AH163)*0.3)), "SORTEADO", "-")</f>
        <v>SORTEADO</v>
      </c>
      <c r="AH163" s="257" t="str">
        <f t="shared" si="8"/>
        <v>07/04/2026</v>
      </c>
    </row>
    <row r="164" spans="1:34" ht="30" customHeight="1" x14ac:dyDescent="0.2">
      <c r="A164" s="230" t="s">
        <v>197</v>
      </c>
      <c r="B164" s="255">
        <v>2689789842</v>
      </c>
      <c r="C164" s="230" t="s">
        <v>133</v>
      </c>
      <c r="D164" s="230" t="s">
        <v>124</v>
      </c>
      <c r="E164" s="230" t="s">
        <v>198</v>
      </c>
      <c r="F164" s="230" t="s">
        <v>679</v>
      </c>
      <c r="G164" s="230">
        <v>503</v>
      </c>
      <c r="H164" s="230" t="s">
        <v>3488</v>
      </c>
      <c r="I164" s="230" t="s">
        <v>801</v>
      </c>
      <c r="J164" s="230" t="s">
        <v>3275</v>
      </c>
      <c r="K164" s="230"/>
      <c r="L164" s="235" t="s">
        <v>580</v>
      </c>
      <c r="M164" s="235">
        <v>46207.599305555559</v>
      </c>
      <c r="N164" s="230" t="s">
        <v>1099</v>
      </c>
      <c r="O164" s="233" t="s">
        <v>204</v>
      </c>
      <c r="P164" s="9"/>
      <c r="Q164" s="146" t="s">
        <v>204</v>
      </c>
      <c r="R164" s="92"/>
      <c r="S164" s="146" t="s">
        <v>204</v>
      </c>
      <c r="T164" s="92"/>
      <c r="U164" s="146" t="s">
        <v>204</v>
      </c>
      <c r="V164" s="92"/>
      <c r="W164" s="146" t="s">
        <v>204</v>
      </c>
      <c r="X164" s="92"/>
      <c r="Y164" s="146" t="s">
        <v>204</v>
      </c>
      <c r="Z164" s="186" t="str">
        <f t="shared" si="10"/>
        <v>C</v>
      </c>
      <c r="AA164" s="217" t="str">
        <f t="shared" si="9"/>
        <v>UTILIZOU O PDA CORRETAMENTE</v>
      </c>
      <c r="AB164" s="92" t="s">
        <v>204</v>
      </c>
      <c r="AC164" s="164" t="s">
        <v>6</v>
      </c>
      <c r="AD164" s="151" t="str">
        <f t="shared" si="11"/>
        <v>GUARULHOS</v>
      </c>
      <c r="AE164" s="96" t="s">
        <v>63</v>
      </c>
      <c r="AF164" s="53">
        <v>0.13183639267047681</v>
      </c>
      <c r="AG164" s="53" t="str" cm="1">
        <f t="array" ref="AG164">IF(OR(O164&lt;&gt;"", SUMPRODUCT(($AH$2:$AH$4999=AH164)*($AF$2:$AF$4999&lt;=AF164)) &lt;= (COUNTIF($AH$2:$AH$4999,AH164)*0.3)), "SORTEADO", "-")</f>
        <v>SORTEADO</v>
      </c>
      <c r="AH164" s="257" t="str">
        <f t="shared" si="8"/>
        <v>07/04/2026</v>
      </c>
    </row>
    <row r="165" spans="1:34" ht="30" customHeight="1" x14ac:dyDescent="0.2">
      <c r="A165" s="230" t="s">
        <v>197</v>
      </c>
      <c r="B165" s="255">
        <v>2614660031</v>
      </c>
      <c r="C165" s="230" t="s">
        <v>127</v>
      </c>
      <c r="D165" s="230" t="s">
        <v>63</v>
      </c>
      <c r="E165" s="230" t="s">
        <v>198</v>
      </c>
      <c r="F165" s="230" t="s">
        <v>3489</v>
      </c>
      <c r="G165" s="230">
        <v>357</v>
      </c>
      <c r="H165" s="230" t="s">
        <v>3490</v>
      </c>
      <c r="I165" s="230" t="s">
        <v>509</v>
      </c>
      <c r="J165" s="230" t="s">
        <v>3275</v>
      </c>
      <c r="K165" s="230" t="s">
        <v>213</v>
      </c>
      <c r="L165" s="235" t="s">
        <v>661</v>
      </c>
      <c r="M165" s="235">
        <v>46238.487500000003</v>
      </c>
      <c r="N165" s="230" t="s">
        <v>3296</v>
      </c>
      <c r="O165" s="233" t="s">
        <v>204</v>
      </c>
      <c r="P165" s="9"/>
      <c r="Q165" s="146" t="s">
        <v>204</v>
      </c>
      <c r="R165" s="92"/>
      <c r="S165" s="146" t="s">
        <v>204</v>
      </c>
      <c r="T165" s="92"/>
      <c r="U165" s="146" t="s">
        <v>204</v>
      </c>
      <c r="V165" s="92"/>
      <c r="W165" s="146" t="s">
        <v>204</v>
      </c>
      <c r="X165" s="92"/>
      <c r="Y165" s="146" t="s">
        <v>204</v>
      </c>
      <c r="Z165" s="186" t="str">
        <f t="shared" si="10"/>
        <v>C</v>
      </c>
      <c r="AA165" s="217" t="str">
        <f t="shared" si="9"/>
        <v>UTILIZOU O PDA CORRETAMENTE</v>
      </c>
      <c r="AB165" s="92"/>
      <c r="AC165" s="164" t="s">
        <v>6</v>
      </c>
      <c r="AD165" s="151" t="str">
        <f t="shared" si="11"/>
        <v>GUARULHOS</v>
      </c>
      <c r="AE165" s="96" t="s">
        <v>63</v>
      </c>
      <c r="AF165" s="53">
        <v>0.22832777960206244</v>
      </c>
      <c r="AG165" s="53" t="str" cm="1">
        <f t="array" ref="AG165">IF(OR(O165&lt;&gt;"", SUMPRODUCT(($AH$2:$AH$4999=AH165)*($AF$2:$AF$4999&lt;=AF165)) &lt;= (COUNTIF($AH$2:$AH$4999,AH165)*0.3)), "SORTEADO", "-")</f>
        <v>SORTEADO</v>
      </c>
      <c r="AH165" s="257" t="str">
        <f t="shared" si="8"/>
        <v>08/04/2026</v>
      </c>
    </row>
    <row r="166" spans="1:34" ht="30" customHeight="1" x14ac:dyDescent="0.2">
      <c r="A166" s="230" t="s">
        <v>197</v>
      </c>
      <c r="B166" s="255">
        <v>2614677826</v>
      </c>
      <c r="C166" s="230" t="s">
        <v>128</v>
      </c>
      <c r="D166" s="230" t="s">
        <v>124</v>
      </c>
      <c r="E166" s="230" t="s">
        <v>198</v>
      </c>
      <c r="F166" s="230" t="s">
        <v>567</v>
      </c>
      <c r="G166" s="230">
        <v>292</v>
      </c>
      <c r="H166" s="230" t="s">
        <v>3491</v>
      </c>
      <c r="I166" s="230" t="s">
        <v>281</v>
      </c>
      <c r="J166" s="230" t="s">
        <v>3385</v>
      </c>
      <c r="K166" s="230"/>
      <c r="L166" s="235" t="s">
        <v>661</v>
      </c>
      <c r="M166" s="235">
        <v>46238.484027777777</v>
      </c>
      <c r="N166" s="230" t="s">
        <v>1099</v>
      </c>
      <c r="O166" s="233" t="s">
        <v>204</v>
      </c>
      <c r="P166" s="9"/>
      <c r="Q166" s="146" t="s">
        <v>204</v>
      </c>
      <c r="R166" s="92"/>
      <c r="S166" s="146" t="s">
        <v>204</v>
      </c>
      <c r="T166" s="92"/>
      <c r="U166" s="146" t="s">
        <v>204</v>
      </c>
      <c r="V166" s="92"/>
      <c r="W166" s="146" t="s">
        <v>204</v>
      </c>
      <c r="X166" s="92"/>
      <c r="Y166" s="146" t="s">
        <v>204</v>
      </c>
      <c r="Z166" s="186" t="str">
        <f t="shared" si="10"/>
        <v>C</v>
      </c>
      <c r="AA166" s="217" t="str">
        <f t="shared" si="9"/>
        <v>UTILIZOU O PDA CORRETAMENTE</v>
      </c>
      <c r="AB166" s="92"/>
      <c r="AC166" s="164" t="s">
        <v>6</v>
      </c>
      <c r="AD166" s="151" t="str">
        <f t="shared" si="11"/>
        <v>GUARULHOS</v>
      </c>
      <c r="AE166" s="96" t="s">
        <v>63</v>
      </c>
      <c r="AF166" s="53">
        <v>0.54761016072946567</v>
      </c>
      <c r="AG166" s="53" t="str" cm="1">
        <f t="array" ref="AG166">IF(OR(O166&lt;&gt;"", SUMPRODUCT(($AH$2:$AH$4999=AH166)*($AF$2:$AF$4999&lt;=AF166)) &lt;= (COUNTIF($AH$2:$AH$4999,AH166)*0.3)), "SORTEADO", "-")</f>
        <v>SORTEADO</v>
      </c>
      <c r="AH166" s="257" t="str">
        <f t="shared" si="8"/>
        <v>08/04/2026</v>
      </c>
    </row>
    <row r="167" spans="1:34" ht="30" customHeight="1" x14ac:dyDescent="0.2">
      <c r="A167" s="230" t="s">
        <v>197</v>
      </c>
      <c r="B167" s="255">
        <v>2614655643</v>
      </c>
      <c r="C167" s="230" t="s">
        <v>127</v>
      </c>
      <c r="D167" s="230" t="s">
        <v>63</v>
      </c>
      <c r="E167" s="230" t="s">
        <v>198</v>
      </c>
      <c r="F167" s="230" t="s">
        <v>3492</v>
      </c>
      <c r="G167" s="230">
        <v>235</v>
      </c>
      <c r="H167" s="230" t="s">
        <v>2982</v>
      </c>
      <c r="I167" s="230" t="s">
        <v>1750</v>
      </c>
      <c r="J167" s="230" t="s">
        <v>3275</v>
      </c>
      <c r="K167" s="230"/>
      <c r="L167" s="235" t="s">
        <v>661</v>
      </c>
      <c r="M167" s="235">
        <v>46238.442361111112</v>
      </c>
      <c r="N167" s="230" t="s">
        <v>3282</v>
      </c>
      <c r="O167" s="233" t="s">
        <v>204</v>
      </c>
      <c r="P167" s="9"/>
      <c r="Q167" s="146" t="s">
        <v>204</v>
      </c>
      <c r="R167" s="92"/>
      <c r="S167" s="146" t="s">
        <v>204</v>
      </c>
      <c r="T167" s="92"/>
      <c r="U167" s="146" t="s">
        <v>204</v>
      </c>
      <c r="V167" s="92"/>
      <c r="W167" s="146" t="s">
        <v>204</v>
      </c>
      <c r="X167" s="92"/>
      <c r="Y167" s="146" t="s">
        <v>204</v>
      </c>
      <c r="Z167" s="186" t="str">
        <f t="shared" si="10"/>
        <v>C</v>
      </c>
      <c r="AA167" s="217" t="str">
        <f t="shared" si="9"/>
        <v>UTILIZOU O PDA CORRETAMENTE</v>
      </c>
      <c r="AB167" s="92" t="s">
        <v>204</v>
      </c>
      <c r="AC167" s="164" t="s">
        <v>6</v>
      </c>
      <c r="AD167" s="151" t="str">
        <f t="shared" si="11"/>
        <v>GUARULHOS</v>
      </c>
      <c r="AE167" s="96" t="s">
        <v>63</v>
      </c>
      <c r="AF167" s="53">
        <v>-3.32E-2</v>
      </c>
      <c r="AG167" s="53" t="str" cm="1">
        <f t="array" ref="AG167">IF(OR(O167&lt;&gt;"", SUMPRODUCT(($AH$2:$AH$4999=AH167)*($AF$2:$AF$4999&lt;=AF167)) &lt;= (COUNTIF($AH$2:$AH$4999,AH167)*0.3)), "SORTEADO", "-")</f>
        <v>SORTEADO</v>
      </c>
      <c r="AH167" s="257" t="str">
        <f>TEXT(L167, "dd/mm/aaaa")</f>
        <v>08/04/2026</v>
      </c>
    </row>
    <row r="168" spans="1:34" ht="30" customHeight="1" x14ac:dyDescent="0.2">
      <c r="A168" s="230" t="s">
        <v>197</v>
      </c>
      <c r="B168" s="255">
        <v>2689821589</v>
      </c>
      <c r="C168" s="230" t="s">
        <v>127</v>
      </c>
      <c r="D168" s="230" t="s">
        <v>63</v>
      </c>
      <c r="E168" s="230" t="s">
        <v>198</v>
      </c>
      <c r="F168" s="230" t="s">
        <v>882</v>
      </c>
      <c r="G168" s="230">
        <v>450</v>
      </c>
      <c r="H168" s="230" t="s">
        <v>3493</v>
      </c>
      <c r="I168" s="230" t="s">
        <v>997</v>
      </c>
      <c r="J168" s="230" t="s">
        <v>3275</v>
      </c>
      <c r="K168" s="230" t="s">
        <v>213</v>
      </c>
      <c r="L168" s="235" t="s">
        <v>661</v>
      </c>
      <c r="M168" s="235">
        <v>46238.476388888892</v>
      </c>
      <c r="N168" s="230" t="s">
        <v>294</v>
      </c>
      <c r="O168" s="233" t="s">
        <v>204</v>
      </c>
      <c r="P168" s="9"/>
      <c r="Q168" s="146" t="s">
        <v>204</v>
      </c>
      <c r="R168" s="92"/>
      <c r="S168" s="146" t="s">
        <v>204</v>
      </c>
      <c r="T168" s="92"/>
      <c r="U168" s="146" t="s">
        <v>204</v>
      </c>
      <c r="V168" s="92"/>
      <c r="W168" s="146" t="s">
        <v>204</v>
      </c>
      <c r="X168" s="92"/>
      <c r="Y168" s="146" t="s">
        <v>204</v>
      </c>
      <c r="Z168" s="186" t="str">
        <f t="shared" si="10"/>
        <v>C</v>
      </c>
      <c r="AA168" s="217" t="str">
        <f t="shared" si="9"/>
        <v>UTILIZOU O PDA CORRETAMENTE</v>
      </c>
      <c r="AB168" s="92" t="s">
        <v>204</v>
      </c>
      <c r="AC168" s="164" t="s">
        <v>6</v>
      </c>
      <c r="AD168" s="151" t="str">
        <f t="shared" si="11"/>
        <v>GUARULHOS</v>
      </c>
      <c r="AE168" s="96" t="s">
        <v>63</v>
      </c>
      <c r="AF168" s="53">
        <v>-3.3399999999999999E-2</v>
      </c>
      <c r="AG168" s="53" t="str" cm="1">
        <f t="array" ref="AG168">IF(OR(O168&lt;&gt;"", SUMPRODUCT(($AH$2:$AH$4999=AH168)*($AF$2:$AF$4999&lt;=AF168)) &lt;= (COUNTIF($AH$2:$AH$4999,AH168)*0.3)), "SORTEADO", "-")</f>
        <v>SORTEADO</v>
      </c>
      <c r="AH168" s="257" t="str">
        <f t="shared" ref="AH168:AH231" si="12">TEXT(L168, "dd/mm/aaaa")</f>
        <v>08/04/2026</v>
      </c>
    </row>
    <row r="169" spans="1:34" ht="30" customHeight="1" x14ac:dyDescent="0.2">
      <c r="A169" s="230" t="s">
        <v>197</v>
      </c>
      <c r="B169" s="255">
        <v>2614512305</v>
      </c>
      <c r="C169" s="230" t="s">
        <v>135</v>
      </c>
      <c r="D169" s="230" t="s">
        <v>124</v>
      </c>
      <c r="E169" s="230" t="s">
        <v>198</v>
      </c>
      <c r="F169" s="230" t="s">
        <v>3494</v>
      </c>
      <c r="G169" s="230">
        <v>138</v>
      </c>
      <c r="H169" s="230" t="s">
        <v>3135</v>
      </c>
      <c r="I169" s="230" t="s">
        <v>521</v>
      </c>
      <c r="J169" s="230" t="s">
        <v>3280</v>
      </c>
      <c r="K169" s="230"/>
      <c r="L169" s="235" t="s">
        <v>661</v>
      </c>
      <c r="M169" s="235">
        <v>46238.647916666669</v>
      </c>
      <c r="N169" s="230" t="s">
        <v>215</v>
      </c>
      <c r="O169" s="233" t="s">
        <v>204</v>
      </c>
      <c r="P169" s="9"/>
      <c r="Q169" s="146" t="s">
        <v>204</v>
      </c>
      <c r="R169" s="92"/>
      <c r="S169" s="146" t="s">
        <v>204</v>
      </c>
      <c r="T169" s="92"/>
      <c r="U169" s="146" t="s">
        <v>204</v>
      </c>
      <c r="V169" s="92"/>
      <c r="W169" s="146" t="s">
        <v>204</v>
      </c>
      <c r="X169" s="92"/>
      <c r="Y169" s="146" t="s">
        <v>204</v>
      </c>
      <c r="Z169" s="186" t="str">
        <f t="shared" si="10"/>
        <v>C</v>
      </c>
      <c r="AA169" s="217" t="str">
        <f t="shared" si="9"/>
        <v>UTILIZOU O PDA CORRETAMENTE</v>
      </c>
      <c r="AB169" s="92" t="s">
        <v>204</v>
      </c>
      <c r="AC169" s="164" t="s">
        <v>6</v>
      </c>
      <c r="AD169" s="151" t="str">
        <f t="shared" si="11"/>
        <v>GUARULHOS</v>
      </c>
      <c r="AE169" s="96" t="s">
        <v>63</v>
      </c>
      <c r="AF169" s="53">
        <v>-3.3599999999999998E-2</v>
      </c>
      <c r="AG169" s="53" t="str" cm="1">
        <f t="array" ref="AG169">IF(OR(O169&lt;&gt;"", SUMPRODUCT(($AH$2:$AH$4999=AH169)*($AF$2:$AF$4999&lt;=AF169)) &lt;= (COUNTIF($AH$2:$AH$4999,AH169)*0.3)), "SORTEADO", "-")</f>
        <v>SORTEADO</v>
      </c>
      <c r="AH169" s="257" t="str">
        <f t="shared" si="12"/>
        <v>08/04/2026</v>
      </c>
    </row>
    <row r="170" spans="1:34" ht="30" customHeight="1" x14ac:dyDescent="0.2">
      <c r="A170" s="230" t="s">
        <v>197</v>
      </c>
      <c r="B170" s="255">
        <v>2689894437</v>
      </c>
      <c r="C170" s="230" t="s">
        <v>127</v>
      </c>
      <c r="D170" s="230" t="s">
        <v>63</v>
      </c>
      <c r="E170" s="230" t="s">
        <v>198</v>
      </c>
      <c r="F170" s="230" t="s">
        <v>261</v>
      </c>
      <c r="G170" s="230">
        <v>140</v>
      </c>
      <c r="H170" s="230" t="s">
        <v>213</v>
      </c>
      <c r="I170" s="230" t="s">
        <v>262</v>
      </c>
      <c r="J170" s="230" t="s">
        <v>3271</v>
      </c>
      <c r="K170" s="230" t="s">
        <v>213</v>
      </c>
      <c r="L170" s="235" t="s">
        <v>661</v>
      </c>
      <c r="M170" s="235">
        <v>46238.442361111112</v>
      </c>
      <c r="N170" s="230" t="s">
        <v>1099</v>
      </c>
      <c r="O170" s="233" t="s">
        <v>204</v>
      </c>
      <c r="P170" s="9"/>
      <c r="Q170" s="146" t="s">
        <v>204</v>
      </c>
      <c r="R170" s="92"/>
      <c r="S170" s="146" t="s">
        <v>204</v>
      </c>
      <c r="T170" s="92"/>
      <c r="U170" s="146" t="s">
        <v>204</v>
      </c>
      <c r="V170" s="92"/>
      <c r="W170" s="146" t="s">
        <v>204</v>
      </c>
      <c r="X170" s="92"/>
      <c r="Y170" s="146" t="s">
        <v>204</v>
      </c>
      <c r="Z170" s="186" t="str">
        <f t="shared" si="10"/>
        <v>C</v>
      </c>
      <c r="AA170" s="217" t="str">
        <f t="shared" si="9"/>
        <v>UTILIZOU O PDA CORRETAMENTE</v>
      </c>
      <c r="AB170" s="92" t="s">
        <v>204</v>
      </c>
      <c r="AC170" s="164" t="s">
        <v>6</v>
      </c>
      <c r="AD170" s="151" t="str">
        <f t="shared" si="11"/>
        <v>GUARULHOS</v>
      </c>
      <c r="AE170" s="96" t="s">
        <v>63</v>
      </c>
      <c r="AF170" s="53">
        <v>-3.3799999999999997E-2</v>
      </c>
      <c r="AG170" s="53" t="str" cm="1">
        <f t="array" ref="AG170">IF(OR(O170&lt;&gt;"", SUMPRODUCT(($AH$2:$AH$4999=AH170)*($AF$2:$AF$4999&lt;=AF170)) &lt;= (COUNTIF($AH$2:$AH$4999,AH170)*0.3)), "SORTEADO", "-")</f>
        <v>SORTEADO</v>
      </c>
      <c r="AH170" s="257" t="str">
        <f t="shared" si="12"/>
        <v>08/04/2026</v>
      </c>
    </row>
    <row r="171" spans="1:34" ht="30" customHeight="1" x14ac:dyDescent="0.2">
      <c r="A171" s="230" t="s">
        <v>197</v>
      </c>
      <c r="B171" s="255">
        <v>2689854165</v>
      </c>
      <c r="C171" s="230" t="s">
        <v>133</v>
      </c>
      <c r="D171" s="230" t="s">
        <v>124</v>
      </c>
      <c r="E171" s="230" t="s">
        <v>198</v>
      </c>
      <c r="F171" s="230" t="s">
        <v>3495</v>
      </c>
      <c r="G171" s="230">
        <v>171</v>
      </c>
      <c r="H171" s="230"/>
      <c r="I171" s="230" t="s">
        <v>2105</v>
      </c>
      <c r="J171" s="230" t="s">
        <v>3275</v>
      </c>
      <c r="K171" s="230" t="s">
        <v>3496</v>
      </c>
      <c r="L171" s="235" t="s">
        <v>661</v>
      </c>
      <c r="M171" s="235">
        <v>46238.386111111111</v>
      </c>
      <c r="N171" s="230" t="s">
        <v>3289</v>
      </c>
      <c r="O171" s="233" t="s">
        <v>204</v>
      </c>
      <c r="P171" s="9"/>
      <c r="Q171" s="146" t="s">
        <v>204</v>
      </c>
      <c r="R171" s="92"/>
      <c r="S171" s="146" t="s">
        <v>204</v>
      </c>
      <c r="T171" s="92"/>
      <c r="U171" s="146" t="s">
        <v>204</v>
      </c>
      <c r="V171" s="92"/>
      <c r="W171" s="146" t="s">
        <v>328</v>
      </c>
      <c r="X171" s="92"/>
      <c r="Y171" s="146" t="s">
        <v>204</v>
      </c>
      <c r="Z171" s="186" t="str">
        <f t="shared" si="10"/>
        <v>NC</v>
      </c>
      <c r="AA171" s="217" t="str">
        <f t="shared" si="9"/>
        <v>UTILIZOU O PDA CORRETAMENTE. NÃO HÁ FOTOS DE TODAS AS ETAPAS</v>
      </c>
      <c r="AB171" s="92" t="s">
        <v>204</v>
      </c>
      <c r="AC171" s="164" t="s">
        <v>6</v>
      </c>
      <c r="AD171" s="151" t="str">
        <f t="shared" si="11"/>
        <v>GUARULHOS</v>
      </c>
      <c r="AE171" s="96" t="s">
        <v>63</v>
      </c>
      <c r="AF171" s="53">
        <v>-3.4000000000000002E-2</v>
      </c>
      <c r="AG171" s="53" t="str" cm="1">
        <f t="array" ref="AG171">IF(OR(O171&lt;&gt;"", SUMPRODUCT(($AH$2:$AH$4999=AH171)*($AF$2:$AF$4999&lt;=AF171)) &lt;= (COUNTIF($AH$2:$AH$4999,AH171)*0.3)), "SORTEADO", "-")</f>
        <v>SORTEADO</v>
      </c>
      <c r="AH171" s="257" t="str">
        <f t="shared" si="12"/>
        <v>08/04/2026</v>
      </c>
    </row>
    <row r="172" spans="1:34" ht="30" customHeight="1" x14ac:dyDescent="0.2">
      <c r="A172" s="230" t="s">
        <v>197</v>
      </c>
      <c r="B172" s="255">
        <v>2614677168</v>
      </c>
      <c r="C172" s="230" t="s">
        <v>135</v>
      </c>
      <c r="D172" s="230" t="s">
        <v>124</v>
      </c>
      <c r="E172" s="230" t="s">
        <v>198</v>
      </c>
      <c r="F172" s="230" t="s">
        <v>3497</v>
      </c>
      <c r="G172" s="230">
        <v>69</v>
      </c>
      <c r="H172" s="230" t="s">
        <v>3498</v>
      </c>
      <c r="I172" s="230" t="s">
        <v>489</v>
      </c>
      <c r="J172" s="230" t="s">
        <v>3280</v>
      </c>
      <c r="K172" s="230" t="s">
        <v>213</v>
      </c>
      <c r="L172" s="235" t="s">
        <v>661</v>
      </c>
      <c r="M172" s="235">
        <v>46238.436111111114</v>
      </c>
      <c r="N172" s="230" t="s">
        <v>294</v>
      </c>
      <c r="O172" s="233" t="s">
        <v>204</v>
      </c>
      <c r="P172" s="9"/>
      <c r="Q172" s="146" t="s">
        <v>204</v>
      </c>
      <c r="R172" s="92"/>
      <c r="S172" s="146" t="s">
        <v>204</v>
      </c>
      <c r="T172" s="92"/>
      <c r="U172" s="146" t="s">
        <v>204</v>
      </c>
      <c r="V172" s="92"/>
      <c r="W172" s="146" t="s">
        <v>204</v>
      </c>
      <c r="X172" s="92"/>
      <c r="Y172" s="146" t="s">
        <v>204</v>
      </c>
      <c r="Z172" s="186" t="str">
        <f t="shared" si="10"/>
        <v>C</v>
      </c>
      <c r="AA172" s="217" t="str">
        <f t="shared" si="9"/>
        <v>UTILIZOU O PDA CORRETAMENTE</v>
      </c>
      <c r="AB172" s="92" t="s">
        <v>204</v>
      </c>
      <c r="AC172" s="164" t="s">
        <v>6</v>
      </c>
      <c r="AD172" s="151" t="str">
        <f t="shared" si="11"/>
        <v>GUARULHOS</v>
      </c>
      <c r="AE172" s="96" t="s">
        <v>63</v>
      </c>
      <c r="AF172" s="53">
        <v>-3.4200000000000001E-2</v>
      </c>
      <c r="AG172" s="53" t="str" cm="1">
        <f t="array" ref="AG172">IF(OR(O172&lt;&gt;"", SUMPRODUCT(($AH$2:$AH$4999=AH172)*($AF$2:$AF$4999&lt;=AF172)) &lt;= (COUNTIF($AH$2:$AH$4999,AH172)*0.3)), "SORTEADO", "-")</f>
        <v>SORTEADO</v>
      </c>
      <c r="AH172" s="257" t="str">
        <f t="shared" si="12"/>
        <v>08/04/2026</v>
      </c>
    </row>
    <row r="173" spans="1:34" ht="30" customHeight="1" x14ac:dyDescent="0.2">
      <c r="A173" s="230" t="s">
        <v>197</v>
      </c>
      <c r="B173" s="255">
        <v>2614646022</v>
      </c>
      <c r="C173" s="230" t="s">
        <v>133</v>
      </c>
      <c r="D173" s="230" t="s">
        <v>124</v>
      </c>
      <c r="E173" s="230" t="s">
        <v>198</v>
      </c>
      <c r="F173" s="230" t="s">
        <v>1441</v>
      </c>
      <c r="G173" s="230">
        <v>929</v>
      </c>
      <c r="H173" s="230"/>
      <c r="I173" s="230" t="s">
        <v>368</v>
      </c>
      <c r="J173" s="230" t="s">
        <v>3275</v>
      </c>
      <c r="K173" s="230" t="s">
        <v>3499</v>
      </c>
      <c r="L173" s="235" t="s">
        <v>661</v>
      </c>
      <c r="M173" s="235">
        <v>46238.424305555556</v>
      </c>
      <c r="N173" s="230" t="s">
        <v>3296</v>
      </c>
      <c r="O173" s="233" t="s">
        <v>204</v>
      </c>
      <c r="P173" s="9"/>
      <c r="Q173" s="146" t="s">
        <v>204</v>
      </c>
      <c r="R173" s="92"/>
      <c r="S173" s="146" t="s">
        <v>204</v>
      </c>
      <c r="T173" s="92"/>
      <c r="U173" s="146" t="s">
        <v>204</v>
      </c>
      <c r="V173" s="92"/>
      <c r="W173" s="146" t="s">
        <v>204</v>
      </c>
      <c r="X173" s="92"/>
      <c r="Y173" s="146" t="s">
        <v>204</v>
      </c>
      <c r="Z173" s="186" t="str">
        <f t="shared" si="10"/>
        <v>C</v>
      </c>
      <c r="AA173" s="217" t="str">
        <f t="shared" si="9"/>
        <v>UTILIZOU O PDA CORRETAMENTE</v>
      </c>
      <c r="AB173" s="92" t="s">
        <v>204</v>
      </c>
      <c r="AC173" s="164" t="s">
        <v>6</v>
      </c>
      <c r="AD173" s="151" t="str">
        <f t="shared" si="11"/>
        <v>GUARULHOS</v>
      </c>
      <c r="AE173" s="96" t="s">
        <v>63</v>
      </c>
      <c r="AF173" s="53">
        <v>-3.44E-2</v>
      </c>
      <c r="AG173" s="53" t="str" cm="1">
        <f t="array" ref="AG173">IF(OR(O173&lt;&gt;"", SUMPRODUCT(($AH$2:$AH$4999=AH173)*($AF$2:$AF$4999&lt;=AF173)) &lt;= (COUNTIF($AH$2:$AH$4999,AH173)*0.3)), "SORTEADO", "-")</f>
        <v>SORTEADO</v>
      </c>
      <c r="AH173" s="257" t="str">
        <f t="shared" si="12"/>
        <v>08/04/2026</v>
      </c>
    </row>
    <row r="174" spans="1:34" ht="30" customHeight="1" x14ac:dyDescent="0.2">
      <c r="A174" s="230" t="s">
        <v>197</v>
      </c>
      <c r="B174" s="255">
        <v>2689911705</v>
      </c>
      <c r="C174" s="230" t="s">
        <v>127</v>
      </c>
      <c r="D174" s="230" t="s">
        <v>63</v>
      </c>
      <c r="E174" s="230" t="s">
        <v>198</v>
      </c>
      <c r="F174" s="230" t="s">
        <v>3500</v>
      </c>
      <c r="G174" s="230">
        <v>35</v>
      </c>
      <c r="H174" s="230" t="s">
        <v>633</v>
      </c>
      <c r="I174" s="230" t="s">
        <v>335</v>
      </c>
      <c r="J174" s="230" t="s">
        <v>3275</v>
      </c>
      <c r="K174" s="230" t="s">
        <v>213</v>
      </c>
      <c r="L174" s="235" t="s">
        <v>661</v>
      </c>
      <c r="M174" s="235">
        <v>46238.488194444442</v>
      </c>
      <c r="N174" s="230" t="s">
        <v>3276</v>
      </c>
      <c r="O174" s="233" t="s">
        <v>204</v>
      </c>
      <c r="P174" s="9"/>
      <c r="Q174" s="146" t="s">
        <v>204</v>
      </c>
      <c r="R174" s="92"/>
      <c r="S174" s="146" t="s">
        <v>204</v>
      </c>
      <c r="T174" s="92"/>
      <c r="U174" s="146" t="s">
        <v>204</v>
      </c>
      <c r="V174" s="92"/>
      <c r="W174" s="146" t="s">
        <v>204</v>
      </c>
      <c r="X174" s="92"/>
      <c r="Y174" s="146" t="s">
        <v>204</v>
      </c>
      <c r="Z174" s="186" t="str">
        <f t="shared" si="10"/>
        <v>C</v>
      </c>
      <c r="AA174" s="217" t="str">
        <f t="shared" si="9"/>
        <v>UTILIZOU O PDA CORRETAMENTE</v>
      </c>
      <c r="AB174" s="92" t="s">
        <v>204</v>
      </c>
      <c r="AC174" s="164" t="s">
        <v>6</v>
      </c>
      <c r="AD174" s="151" t="str">
        <f t="shared" si="11"/>
        <v>GUARULHOS</v>
      </c>
      <c r="AE174" s="96" t="s">
        <v>63</v>
      </c>
      <c r="AF174" s="53">
        <v>-3.4599999999999999E-2</v>
      </c>
      <c r="AG174" s="53" t="str" cm="1">
        <f t="array" ref="AG174">IF(OR(O174&lt;&gt;"", SUMPRODUCT(($AH$2:$AH$4999=AH174)*($AF$2:$AF$4999&lt;=AF174)) &lt;= (COUNTIF($AH$2:$AH$4999,AH174)*0.3)), "SORTEADO", "-")</f>
        <v>SORTEADO</v>
      </c>
      <c r="AH174" s="257" t="str">
        <f t="shared" si="12"/>
        <v>08/04/2026</v>
      </c>
    </row>
    <row r="175" spans="1:34" ht="30" customHeight="1" x14ac:dyDescent="0.2">
      <c r="A175" s="230" t="s">
        <v>197</v>
      </c>
      <c r="B175" s="255">
        <v>2689919253</v>
      </c>
      <c r="C175" s="230" t="s">
        <v>127</v>
      </c>
      <c r="D175" s="230" t="s">
        <v>63</v>
      </c>
      <c r="E175" s="230" t="s">
        <v>198</v>
      </c>
      <c r="F175" s="230" t="s">
        <v>1538</v>
      </c>
      <c r="G175" s="230">
        <v>555</v>
      </c>
      <c r="H175" s="230" t="s">
        <v>3501</v>
      </c>
      <c r="I175" s="230" t="s">
        <v>791</v>
      </c>
      <c r="J175" s="230" t="s">
        <v>3271</v>
      </c>
      <c r="K175" s="230" t="s">
        <v>3502</v>
      </c>
      <c r="L175" s="235" t="s">
        <v>661</v>
      </c>
      <c r="M175" s="235">
        <v>46238.517361111109</v>
      </c>
      <c r="N175" s="230" t="s">
        <v>3433</v>
      </c>
      <c r="O175" s="233" t="s">
        <v>204</v>
      </c>
      <c r="P175" s="9"/>
      <c r="Q175" s="146" t="s">
        <v>204</v>
      </c>
      <c r="R175" s="92"/>
      <c r="S175" s="146" t="s">
        <v>204</v>
      </c>
      <c r="T175" s="92"/>
      <c r="U175" s="146" t="s">
        <v>204</v>
      </c>
      <c r="V175" s="92"/>
      <c r="W175" s="146" t="s">
        <v>204</v>
      </c>
      <c r="X175" s="92"/>
      <c r="Y175" s="146" t="s">
        <v>204</v>
      </c>
      <c r="Z175" s="186" t="str">
        <f t="shared" si="10"/>
        <v>C</v>
      </c>
      <c r="AA175" s="217" t="str">
        <f t="shared" si="9"/>
        <v>UTILIZOU O PDA CORRETAMENTE</v>
      </c>
      <c r="AB175" s="92" t="s">
        <v>204</v>
      </c>
      <c r="AC175" s="164" t="s">
        <v>6</v>
      </c>
      <c r="AD175" s="151" t="str">
        <f t="shared" si="11"/>
        <v>GUARULHOS</v>
      </c>
      <c r="AE175" s="96" t="s">
        <v>63</v>
      </c>
      <c r="AF175" s="53">
        <v>-3.4799999999999998E-2</v>
      </c>
      <c r="AG175" s="53" t="str" cm="1">
        <f t="array" ref="AG175">IF(OR(O175&lt;&gt;"", SUMPRODUCT(($AH$2:$AH$4999=AH175)*($AF$2:$AF$4999&lt;=AF175)) &lt;= (COUNTIF($AH$2:$AH$4999,AH175)*0.3)), "SORTEADO", "-")</f>
        <v>SORTEADO</v>
      </c>
      <c r="AH175" s="257" t="str">
        <f t="shared" si="12"/>
        <v>08/04/2026</v>
      </c>
    </row>
    <row r="176" spans="1:34" ht="30" customHeight="1" x14ac:dyDescent="0.2">
      <c r="A176" s="230" t="s">
        <v>197</v>
      </c>
      <c r="B176" s="255">
        <v>2614794000</v>
      </c>
      <c r="C176" s="230" t="s">
        <v>128</v>
      </c>
      <c r="D176" s="230" t="s">
        <v>124</v>
      </c>
      <c r="E176" s="230" t="s">
        <v>198</v>
      </c>
      <c r="F176" s="230" t="s">
        <v>609</v>
      </c>
      <c r="G176" s="230">
        <v>227</v>
      </c>
      <c r="H176" s="230" t="s">
        <v>610</v>
      </c>
      <c r="I176" s="230" t="s">
        <v>611</v>
      </c>
      <c r="J176" s="230" t="s">
        <v>3385</v>
      </c>
      <c r="K176" s="230"/>
      <c r="L176" s="235" t="s">
        <v>661</v>
      </c>
      <c r="M176" s="235">
        <v>46238.65625</v>
      </c>
      <c r="N176" s="230" t="s">
        <v>3289</v>
      </c>
      <c r="O176" s="233" t="s">
        <v>204</v>
      </c>
      <c r="P176" s="9"/>
      <c r="Q176" s="146" t="s">
        <v>204</v>
      </c>
      <c r="R176" s="92"/>
      <c r="S176" s="146" t="s">
        <v>204</v>
      </c>
      <c r="T176" s="92"/>
      <c r="U176" s="146" t="s">
        <v>204</v>
      </c>
      <c r="V176" s="92"/>
      <c r="W176" s="146" t="s">
        <v>204</v>
      </c>
      <c r="X176" s="92"/>
      <c r="Y176" s="146" t="s">
        <v>204</v>
      </c>
      <c r="Z176" s="186" t="str">
        <f t="shared" si="10"/>
        <v>C</v>
      </c>
      <c r="AA176" s="217" t="str">
        <f t="shared" si="9"/>
        <v>UTILIZOU O PDA CORRETAMENTE</v>
      </c>
      <c r="AB176" s="92" t="s">
        <v>204</v>
      </c>
      <c r="AC176" s="164" t="s">
        <v>6</v>
      </c>
      <c r="AD176" s="151" t="str">
        <f t="shared" si="11"/>
        <v>GUARULHOS</v>
      </c>
      <c r="AE176" s="96" t="s">
        <v>63</v>
      </c>
      <c r="AF176" s="53">
        <v>-3.5000000000000003E-2</v>
      </c>
      <c r="AG176" s="53" t="str" cm="1">
        <f t="array" ref="AG176">IF(OR(O176&lt;&gt;"", SUMPRODUCT(($AH$2:$AH$4999=AH176)*($AF$2:$AF$4999&lt;=AF176)) &lt;= (COUNTIF($AH$2:$AH$4999,AH176)*0.3)), "SORTEADO", "-")</f>
        <v>SORTEADO</v>
      </c>
      <c r="AH176" s="257" t="str">
        <f t="shared" si="12"/>
        <v>08/04/2026</v>
      </c>
    </row>
    <row r="177" spans="1:34" ht="30" customHeight="1" x14ac:dyDescent="0.2">
      <c r="A177" s="230" t="s">
        <v>197</v>
      </c>
      <c r="B177" s="255">
        <v>2614641282</v>
      </c>
      <c r="C177" s="230" t="s">
        <v>133</v>
      </c>
      <c r="D177" s="230" t="s">
        <v>124</v>
      </c>
      <c r="E177" s="230" t="s">
        <v>198</v>
      </c>
      <c r="F177" s="230" t="s">
        <v>1673</v>
      </c>
      <c r="G177" s="230">
        <v>152</v>
      </c>
      <c r="H177" s="230" t="s">
        <v>213</v>
      </c>
      <c r="I177" s="230" t="s">
        <v>919</v>
      </c>
      <c r="J177" s="230" t="s">
        <v>3275</v>
      </c>
      <c r="K177" s="230" t="s">
        <v>213</v>
      </c>
      <c r="L177" s="235" t="s">
        <v>661</v>
      </c>
      <c r="M177" s="235">
        <v>46238.466666666667</v>
      </c>
      <c r="N177" s="230" t="s">
        <v>3289</v>
      </c>
      <c r="O177" s="233" t="s">
        <v>204</v>
      </c>
      <c r="P177" s="9"/>
      <c r="Q177" s="146" t="s">
        <v>204</v>
      </c>
      <c r="R177" s="92"/>
      <c r="S177" s="146" t="s">
        <v>204</v>
      </c>
      <c r="T177" s="92"/>
      <c r="U177" s="146" t="s">
        <v>204</v>
      </c>
      <c r="V177" s="92"/>
      <c r="W177" s="146" t="s">
        <v>204</v>
      </c>
      <c r="X177" s="92"/>
      <c r="Y177" s="146" t="s">
        <v>204</v>
      </c>
      <c r="Z177" s="186" t="str">
        <f t="shared" si="10"/>
        <v>C</v>
      </c>
      <c r="AA177" s="217" t="str">
        <f t="shared" si="9"/>
        <v>UTILIZOU O PDA CORRETAMENTE</v>
      </c>
      <c r="AB177" s="92" t="s">
        <v>204</v>
      </c>
      <c r="AC177" s="164" t="s">
        <v>6</v>
      </c>
      <c r="AD177" s="151" t="str">
        <f t="shared" si="11"/>
        <v>GUARULHOS</v>
      </c>
      <c r="AE177" s="96" t="s">
        <v>63</v>
      </c>
      <c r="AF177" s="53">
        <v>-3.5200000000000002E-2</v>
      </c>
      <c r="AG177" s="53" t="str" cm="1">
        <f t="array" ref="AG177">IF(OR(O177&lt;&gt;"", SUMPRODUCT(($AH$2:$AH$4999=AH177)*($AF$2:$AF$4999&lt;=AF177)) &lt;= (COUNTIF($AH$2:$AH$4999,AH177)*0.3)), "SORTEADO", "-")</f>
        <v>SORTEADO</v>
      </c>
      <c r="AH177" s="257" t="str">
        <f t="shared" si="12"/>
        <v>08/04/2026</v>
      </c>
    </row>
    <row r="178" spans="1:34" ht="30" customHeight="1" x14ac:dyDescent="0.2">
      <c r="A178" s="230" t="s">
        <v>197</v>
      </c>
      <c r="B178" s="255">
        <v>2689919074</v>
      </c>
      <c r="C178" s="230" t="s">
        <v>127</v>
      </c>
      <c r="D178" s="230" t="s">
        <v>63</v>
      </c>
      <c r="E178" s="230" t="s">
        <v>198</v>
      </c>
      <c r="F178" s="230" t="s">
        <v>3503</v>
      </c>
      <c r="G178" s="230">
        <v>32</v>
      </c>
      <c r="H178" s="230" t="s">
        <v>3128</v>
      </c>
      <c r="I178" s="230" t="s">
        <v>881</v>
      </c>
      <c r="J178" s="230" t="s">
        <v>3275</v>
      </c>
      <c r="K178" s="230" t="s">
        <v>213</v>
      </c>
      <c r="L178" s="235" t="s">
        <v>661</v>
      </c>
      <c r="M178" s="235">
        <v>46238.57708333333</v>
      </c>
      <c r="N178" s="230" t="s">
        <v>3276</v>
      </c>
      <c r="O178" s="233" t="s">
        <v>204</v>
      </c>
      <c r="P178" s="9"/>
      <c r="Q178" s="146" t="s">
        <v>204</v>
      </c>
      <c r="R178" s="92"/>
      <c r="S178" s="146" t="s">
        <v>204</v>
      </c>
      <c r="T178" s="92"/>
      <c r="U178" s="146" t="s">
        <v>204</v>
      </c>
      <c r="V178" s="92"/>
      <c r="W178" s="146" t="s">
        <v>204</v>
      </c>
      <c r="X178" s="92"/>
      <c r="Y178" s="146" t="s">
        <v>204</v>
      </c>
      <c r="Z178" s="186" t="str">
        <f t="shared" si="10"/>
        <v>C</v>
      </c>
      <c r="AA178" s="217" t="str">
        <f t="shared" si="9"/>
        <v>UTILIZOU O PDA CORRETAMENTE</v>
      </c>
      <c r="AB178" s="92" t="s">
        <v>204</v>
      </c>
      <c r="AC178" s="164" t="s">
        <v>6</v>
      </c>
      <c r="AD178" s="151" t="str">
        <f t="shared" si="11"/>
        <v>GUARULHOS</v>
      </c>
      <c r="AE178" s="96" t="s">
        <v>63</v>
      </c>
      <c r="AF178" s="53">
        <v>-3.5400000000000001E-2</v>
      </c>
      <c r="AG178" s="53" t="str" cm="1">
        <f t="array" ref="AG178">IF(OR(O178&lt;&gt;"", SUMPRODUCT(($AH$2:$AH$4999=AH178)*($AF$2:$AF$4999&lt;=AF178)) &lt;= (COUNTIF($AH$2:$AH$4999,AH178)*0.3)), "SORTEADO", "-")</f>
        <v>SORTEADO</v>
      </c>
      <c r="AH178" s="257" t="str">
        <f t="shared" si="12"/>
        <v>08/04/2026</v>
      </c>
    </row>
    <row r="179" spans="1:34" ht="30" customHeight="1" x14ac:dyDescent="0.2">
      <c r="A179" s="230" t="s">
        <v>197</v>
      </c>
      <c r="B179" s="255">
        <v>2689834939</v>
      </c>
      <c r="C179" s="230" t="s">
        <v>133</v>
      </c>
      <c r="D179" s="230" t="s">
        <v>124</v>
      </c>
      <c r="E179" s="230" t="s">
        <v>198</v>
      </c>
      <c r="F179" s="230" t="s">
        <v>3504</v>
      </c>
      <c r="G179" s="230">
        <v>45</v>
      </c>
      <c r="H179" s="230" t="s">
        <v>3412</v>
      </c>
      <c r="I179" s="230" t="s">
        <v>301</v>
      </c>
      <c r="J179" s="230" t="s">
        <v>3275</v>
      </c>
      <c r="K179" s="230"/>
      <c r="L179" s="235" t="s">
        <v>661</v>
      </c>
      <c r="M179" s="235">
        <v>46238.487500000003</v>
      </c>
      <c r="N179" s="230" t="s">
        <v>294</v>
      </c>
      <c r="O179" s="233" t="s">
        <v>204</v>
      </c>
      <c r="P179" s="9"/>
      <c r="Q179" s="146" t="s">
        <v>204</v>
      </c>
      <c r="R179" s="92"/>
      <c r="S179" s="146" t="s">
        <v>204</v>
      </c>
      <c r="T179" s="92"/>
      <c r="U179" s="146" t="s">
        <v>204</v>
      </c>
      <c r="V179" s="92"/>
      <c r="W179" s="146" t="s">
        <v>204</v>
      </c>
      <c r="X179" s="92"/>
      <c r="Y179" s="146" t="s">
        <v>204</v>
      </c>
      <c r="Z179" s="186" t="str">
        <f t="shared" si="10"/>
        <v>C</v>
      </c>
      <c r="AA179" s="217" t="str">
        <f t="shared" si="9"/>
        <v>UTILIZOU O PDA CORRETAMENTE</v>
      </c>
      <c r="AB179" s="92" t="s">
        <v>204</v>
      </c>
      <c r="AC179" s="164" t="s">
        <v>6</v>
      </c>
      <c r="AD179" s="151" t="str">
        <f t="shared" si="11"/>
        <v>GUARULHOS</v>
      </c>
      <c r="AE179" s="96" t="s">
        <v>63</v>
      </c>
      <c r="AF179" s="53">
        <v>-3.56E-2</v>
      </c>
      <c r="AG179" s="53" t="str" cm="1">
        <f t="array" ref="AG179">IF(OR(O179&lt;&gt;"", SUMPRODUCT(($AH$2:$AH$4999=AH179)*($AF$2:$AF$4999&lt;=AF179)) &lt;= (COUNTIF($AH$2:$AH$4999,AH179)*0.3)), "SORTEADO", "-")</f>
        <v>SORTEADO</v>
      </c>
      <c r="AH179" s="257" t="str">
        <f t="shared" si="12"/>
        <v>08/04/2026</v>
      </c>
    </row>
    <row r="180" spans="1:34" ht="30" customHeight="1" x14ac:dyDescent="0.2">
      <c r="A180" s="230" t="s">
        <v>197</v>
      </c>
      <c r="B180" s="255">
        <v>2614649550</v>
      </c>
      <c r="C180" s="230" t="s">
        <v>127</v>
      </c>
      <c r="D180" s="230" t="s">
        <v>63</v>
      </c>
      <c r="E180" s="230" t="s">
        <v>198</v>
      </c>
      <c r="F180" s="230" t="s">
        <v>3505</v>
      </c>
      <c r="G180" s="230">
        <v>984</v>
      </c>
      <c r="H180" s="230" t="s">
        <v>213</v>
      </c>
      <c r="I180" s="230" t="s">
        <v>538</v>
      </c>
      <c r="J180" s="230" t="s">
        <v>3271</v>
      </c>
      <c r="K180" s="230" t="s">
        <v>213</v>
      </c>
      <c r="L180" s="235" t="s">
        <v>661</v>
      </c>
      <c r="M180" s="235">
        <v>46238.497916666667</v>
      </c>
      <c r="N180" s="230" t="s">
        <v>237</v>
      </c>
      <c r="O180" s="233" t="s">
        <v>204</v>
      </c>
      <c r="P180" s="9"/>
      <c r="Q180" s="146" t="s">
        <v>204</v>
      </c>
      <c r="R180" s="92"/>
      <c r="S180" s="146" t="s">
        <v>204</v>
      </c>
      <c r="T180" s="92"/>
      <c r="U180" s="146" t="s">
        <v>204</v>
      </c>
      <c r="V180" s="92"/>
      <c r="W180" s="146" t="s">
        <v>204</v>
      </c>
      <c r="X180" s="92"/>
      <c r="Y180" s="146" t="s">
        <v>204</v>
      </c>
      <c r="Z180" s="186" t="str">
        <f t="shared" si="10"/>
        <v>C</v>
      </c>
      <c r="AA180" s="217" t="str">
        <f t="shared" si="9"/>
        <v>UTILIZOU O PDA CORRETAMENTE</v>
      </c>
      <c r="AB180" s="92" t="s">
        <v>204</v>
      </c>
      <c r="AC180" s="164" t="s">
        <v>6</v>
      </c>
      <c r="AD180" s="151" t="str">
        <f t="shared" si="11"/>
        <v>GUARULHOS</v>
      </c>
      <c r="AE180" s="96" t="s">
        <v>63</v>
      </c>
      <c r="AF180" s="53">
        <v>-3.5799999999999998E-2</v>
      </c>
      <c r="AG180" s="53" t="str" cm="1">
        <f t="array" ref="AG180">IF(OR(O180&lt;&gt;"", SUMPRODUCT(($AH$2:$AH$4999=AH180)*($AF$2:$AF$4999&lt;=AF180)) &lt;= (COUNTIF($AH$2:$AH$4999,AH180)*0.3)), "SORTEADO", "-")</f>
        <v>SORTEADO</v>
      </c>
      <c r="AH180" s="257" t="str">
        <f t="shared" si="12"/>
        <v>08/04/2026</v>
      </c>
    </row>
    <row r="181" spans="1:34" ht="30" customHeight="1" x14ac:dyDescent="0.2">
      <c r="A181" s="230" t="s">
        <v>197</v>
      </c>
      <c r="B181" s="255">
        <v>2614808475</v>
      </c>
      <c r="C181" s="230" t="s">
        <v>127</v>
      </c>
      <c r="D181" s="230" t="s">
        <v>63</v>
      </c>
      <c r="E181" s="230" t="s">
        <v>198</v>
      </c>
      <c r="F181" s="230" t="s">
        <v>3506</v>
      </c>
      <c r="G181" s="230">
        <v>22</v>
      </c>
      <c r="H181" s="230"/>
      <c r="I181" s="230" t="s">
        <v>708</v>
      </c>
      <c r="J181" s="230" t="s">
        <v>3273</v>
      </c>
      <c r="K181" s="230"/>
      <c r="L181" s="235" t="s">
        <v>661</v>
      </c>
      <c r="M181" s="235">
        <v>46238.673611111109</v>
      </c>
      <c r="N181" s="230" t="s">
        <v>1099</v>
      </c>
      <c r="O181" s="233" t="s">
        <v>204</v>
      </c>
      <c r="P181" s="9"/>
      <c r="Q181" s="146" t="s">
        <v>204</v>
      </c>
      <c r="R181" s="92"/>
      <c r="S181" s="146" t="s">
        <v>204</v>
      </c>
      <c r="T181" s="92"/>
      <c r="U181" s="146" t="s">
        <v>204</v>
      </c>
      <c r="V181" s="92"/>
      <c r="W181" s="146" t="s">
        <v>204</v>
      </c>
      <c r="X181" s="92"/>
      <c r="Y181" s="146" t="s">
        <v>204</v>
      </c>
      <c r="Z181" s="186" t="str">
        <f t="shared" si="10"/>
        <v>C</v>
      </c>
      <c r="AA181" s="217" t="str">
        <f t="shared" si="9"/>
        <v>UTILIZOU O PDA CORRETAMENTE</v>
      </c>
      <c r="AB181" s="92" t="s">
        <v>204</v>
      </c>
      <c r="AC181" s="164" t="s">
        <v>6</v>
      </c>
      <c r="AD181" s="151" t="str">
        <f t="shared" si="11"/>
        <v>GUARULHOS</v>
      </c>
      <c r="AE181" s="96" t="s">
        <v>63</v>
      </c>
      <c r="AF181" s="53">
        <v>-3.5999999999999997E-2</v>
      </c>
      <c r="AG181" s="53" t="str" cm="1">
        <f t="array" ref="AG181">IF(OR(O181&lt;&gt;"", SUMPRODUCT(($AH$2:$AH$4999=AH181)*($AF$2:$AF$4999&lt;=AF181)) &lt;= (COUNTIF($AH$2:$AH$4999,AH181)*0.3)), "SORTEADO", "-")</f>
        <v>SORTEADO</v>
      </c>
      <c r="AH181" s="257" t="str">
        <f t="shared" si="12"/>
        <v>08/04/2026</v>
      </c>
    </row>
    <row r="182" spans="1:34" ht="30" customHeight="1" x14ac:dyDescent="0.2">
      <c r="A182" s="230" t="s">
        <v>197</v>
      </c>
      <c r="B182" s="255">
        <v>2689857141</v>
      </c>
      <c r="C182" s="230" t="s">
        <v>133</v>
      </c>
      <c r="D182" s="230" t="s">
        <v>124</v>
      </c>
      <c r="E182" s="230" t="s">
        <v>198</v>
      </c>
      <c r="F182" s="230" t="s">
        <v>602</v>
      </c>
      <c r="G182" s="230">
        <v>752</v>
      </c>
      <c r="H182" s="230" t="s">
        <v>603</v>
      </c>
      <c r="I182" s="230" t="s">
        <v>531</v>
      </c>
      <c r="J182" s="230" t="s">
        <v>3275</v>
      </c>
      <c r="K182" s="230" t="s">
        <v>3507</v>
      </c>
      <c r="L182" s="235" t="s">
        <v>661</v>
      </c>
      <c r="M182" s="235">
        <v>46238.505555555559</v>
      </c>
      <c r="N182" s="230" t="s">
        <v>819</v>
      </c>
      <c r="O182" s="233" t="s">
        <v>204</v>
      </c>
      <c r="P182" s="9"/>
      <c r="Q182" s="146" t="s">
        <v>204</v>
      </c>
      <c r="R182" s="92"/>
      <c r="S182" s="146" t="s">
        <v>204</v>
      </c>
      <c r="T182" s="92"/>
      <c r="U182" s="146" t="s">
        <v>204</v>
      </c>
      <c r="V182" s="92"/>
      <c r="W182" s="146" t="s">
        <v>204</v>
      </c>
      <c r="X182" s="92"/>
      <c r="Y182" s="146" t="s">
        <v>204</v>
      </c>
      <c r="Z182" s="186" t="str">
        <f t="shared" si="10"/>
        <v>C</v>
      </c>
      <c r="AA182" s="217" t="str">
        <f t="shared" si="9"/>
        <v>UTILIZOU O PDA CORRETAMENTE</v>
      </c>
      <c r="AB182" s="92" t="s">
        <v>204</v>
      </c>
      <c r="AC182" s="164" t="s">
        <v>6</v>
      </c>
      <c r="AD182" s="151" t="str">
        <f t="shared" si="11"/>
        <v>GUARULHOS</v>
      </c>
      <c r="AE182" s="96" t="s">
        <v>63</v>
      </c>
      <c r="AF182" s="53">
        <v>-3.6200000000000003E-2</v>
      </c>
      <c r="AG182" s="53" t="str" cm="1">
        <f t="array" ref="AG182">IF(OR(O182&lt;&gt;"", SUMPRODUCT(($AH$2:$AH$4999=AH182)*($AF$2:$AF$4999&lt;=AF182)) &lt;= (COUNTIF($AH$2:$AH$4999,AH182)*0.3)), "SORTEADO", "-")</f>
        <v>SORTEADO</v>
      </c>
      <c r="AH182" s="257" t="str">
        <f t="shared" si="12"/>
        <v>08/04/2026</v>
      </c>
    </row>
    <row r="183" spans="1:34" ht="30" customHeight="1" x14ac:dyDescent="0.2">
      <c r="A183" s="230" t="s">
        <v>197</v>
      </c>
      <c r="B183" s="255">
        <v>2689903174</v>
      </c>
      <c r="C183" s="230" t="s">
        <v>133</v>
      </c>
      <c r="D183" s="230" t="s">
        <v>124</v>
      </c>
      <c r="E183" s="230" t="s">
        <v>198</v>
      </c>
      <c r="F183" s="230" t="s">
        <v>1208</v>
      </c>
      <c r="G183" s="230">
        <v>489</v>
      </c>
      <c r="H183" s="230" t="s">
        <v>3508</v>
      </c>
      <c r="I183" s="230" t="s">
        <v>1210</v>
      </c>
      <c r="J183" s="230" t="s">
        <v>3275</v>
      </c>
      <c r="K183" s="230"/>
      <c r="L183" s="235" t="s">
        <v>661</v>
      </c>
      <c r="M183" s="235">
        <v>46238.563888888886</v>
      </c>
      <c r="N183" s="230" t="s">
        <v>3289</v>
      </c>
      <c r="O183" s="233" t="s">
        <v>204</v>
      </c>
      <c r="P183" s="9"/>
      <c r="Q183" s="146" t="s">
        <v>204</v>
      </c>
      <c r="R183" s="92"/>
      <c r="S183" s="146" t="s">
        <v>204</v>
      </c>
      <c r="T183" s="92"/>
      <c r="U183" s="146" t="s">
        <v>204</v>
      </c>
      <c r="V183" s="92"/>
      <c r="W183" s="146" t="s">
        <v>204</v>
      </c>
      <c r="X183" s="92"/>
      <c r="Y183" s="146" t="s">
        <v>204</v>
      </c>
      <c r="Z183" s="186" t="str">
        <f t="shared" si="10"/>
        <v>C</v>
      </c>
      <c r="AA183" s="217" t="str">
        <f t="shared" si="9"/>
        <v>UTILIZOU O PDA CORRETAMENTE</v>
      </c>
      <c r="AB183" s="92" t="s">
        <v>204</v>
      </c>
      <c r="AC183" s="164" t="s">
        <v>6</v>
      </c>
      <c r="AD183" s="151" t="str">
        <f t="shared" si="11"/>
        <v>GUARULHOS</v>
      </c>
      <c r="AE183" s="96" t="s">
        <v>63</v>
      </c>
      <c r="AF183" s="53">
        <v>-3.6400000000000002E-2</v>
      </c>
      <c r="AG183" s="53" t="str" cm="1">
        <f t="array" ref="AG183">IF(OR(O183&lt;&gt;"", SUMPRODUCT(($AH$2:$AH$4999=AH183)*($AF$2:$AF$4999&lt;=AF183)) &lt;= (COUNTIF($AH$2:$AH$4999,AH183)*0.3)), "SORTEADO", "-")</f>
        <v>SORTEADO</v>
      </c>
      <c r="AH183" s="257" t="str">
        <f t="shared" si="12"/>
        <v>08/04/2026</v>
      </c>
    </row>
    <row r="184" spans="1:34" ht="30" customHeight="1" x14ac:dyDescent="0.2">
      <c r="A184" s="230" t="s">
        <v>197</v>
      </c>
      <c r="B184" s="255">
        <v>2689920738</v>
      </c>
      <c r="C184" s="230" t="s">
        <v>133</v>
      </c>
      <c r="D184" s="230" t="s">
        <v>124</v>
      </c>
      <c r="E184" s="230" t="s">
        <v>198</v>
      </c>
      <c r="F184" s="230" t="s">
        <v>2767</v>
      </c>
      <c r="G184" s="230">
        <v>115</v>
      </c>
      <c r="H184" s="230" t="s">
        <v>3509</v>
      </c>
      <c r="I184" s="230" t="s">
        <v>485</v>
      </c>
      <c r="J184" s="230" t="s">
        <v>3275</v>
      </c>
      <c r="K184" s="230" t="s">
        <v>213</v>
      </c>
      <c r="L184" s="235" t="s">
        <v>661</v>
      </c>
      <c r="M184" s="235">
        <v>46238.57916666667</v>
      </c>
      <c r="N184" s="230" t="s">
        <v>3289</v>
      </c>
      <c r="O184" s="233" t="s">
        <v>204</v>
      </c>
      <c r="P184" s="9"/>
      <c r="Q184" s="146" t="s">
        <v>204</v>
      </c>
      <c r="R184" s="92"/>
      <c r="S184" s="146" t="s">
        <v>204</v>
      </c>
      <c r="T184" s="92"/>
      <c r="U184" s="146" t="s">
        <v>204</v>
      </c>
      <c r="V184" s="92"/>
      <c r="W184" s="146" t="s">
        <v>204</v>
      </c>
      <c r="X184" s="92"/>
      <c r="Y184" s="146" t="s">
        <v>204</v>
      </c>
      <c r="Z184" s="186" t="str">
        <f t="shared" si="10"/>
        <v>C</v>
      </c>
      <c r="AA184" s="217" t="str">
        <f t="shared" si="9"/>
        <v>UTILIZOU O PDA CORRETAMENTE</v>
      </c>
      <c r="AB184" s="92" t="s">
        <v>204</v>
      </c>
      <c r="AC184" s="164" t="s">
        <v>6</v>
      </c>
      <c r="AD184" s="151" t="str">
        <f t="shared" si="11"/>
        <v>GUARULHOS</v>
      </c>
      <c r="AE184" s="96" t="s">
        <v>63</v>
      </c>
      <c r="AF184" s="53">
        <v>-3.6600000000000001E-2</v>
      </c>
      <c r="AG184" s="53" t="str" cm="1">
        <f t="array" ref="AG184">IF(OR(O184&lt;&gt;"", SUMPRODUCT(($AH$2:$AH$4999=AH184)*($AF$2:$AF$4999&lt;=AF184)) &lt;= (COUNTIF($AH$2:$AH$4999,AH184)*0.3)), "SORTEADO", "-")</f>
        <v>SORTEADO</v>
      </c>
      <c r="AH184" s="257" t="str">
        <f t="shared" si="12"/>
        <v>08/04/2026</v>
      </c>
    </row>
    <row r="185" spans="1:34" ht="30" customHeight="1" x14ac:dyDescent="0.2">
      <c r="A185" s="230" t="s">
        <v>197</v>
      </c>
      <c r="B185" s="255">
        <v>2689921458</v>
      </c>
      <c r="C185" s="230" t="s">
        <v>133</v>
      </c>
      <c r="D185" s="230" t="s">
        <v>124</v>
      </c>
      <c r="E185" s="230" t="s">
        <v>198</v>
      </c>
      <c r="F185" s="230" t="s">
        <v>3510</v>
      </c>
      <c r="G185" s="230">
        <v>56</v>
      </c>
      <c r="H185" s="230" t="s">
        <v>3511</v>
      </c>
      <c r="I185" s="230" t="s">
        <v>1671</v>
      </c>
      <c r="J185" s="230" t="s">
        <v>3275</v>
      </c>
      <c r="K185" s="230"/>
      <c r="L185" s="235" t="s">
        <v>661</v>
      </c>
      <c r="M185" s="235">
        <v>46238.602083333331</v>
      </c>
      <c r="N185" s="230" t="s">
        <v>294</v>
      </c>
      <c r="O185" s="233" t="s">
        <v>204</v>
      </c>
      <c r="P185" s="9"/>
      <c r="Q185" s="146" t="s">
        <v>204</v>
      </c>
      <c r="R185" s="92"/>
      <c r="S185" s="146" t="s">
        <v>204</v>
      </c>
      <c r="T185" s="92"/>
      <c r="U185" s="146" t="s">
        <v>204</v>
      </c>
      <c r="V185" s="92"/>
      <c r="W185" s="146" t="s">
        <v>204</v>
      </c>
      <c r="X185" s="92"/>
      <c r="Y185" s="146" t="s">
        <v>204</v>
      </c>
      <c r="Z185" s="186" t="str">
        <f t="shared" si="10"/>
        <v>C</v>
      </c>
      <c r="AA185" s="217" t="str">
        <f t="shared" si="9"/>
        <v>UTILIZOU O PDA CORRETAMENTE</v>
      </c>
      <c r="AB185" s="92" t="s">
        <v>204</v>
      </c>
      <c r="AC185" s="164" t="s">
        <v>6</v>
      </c>
      <c r="AD185" s="151" t="str">
        <f t="shared" si="11"/>
        <v>GUARULHOS</v>
      </c>
      <c r="AE185" s="96" t="s">
        <v>63</v>
      </c>
      <c r="AF185" s="53">
        <v>-3.6799999999999999E-2</v>
      </c>
      <c r="AG185" s="53" t="str" cm="1">
        <f t="array" ref="AG185">IF(OR(O185&lt;&gt;"", SUMPRODUCT(($AH$2:$AH$4999=AH185)*($AF$2:$AF$4999&lt;=AF185)) &lt;= (COUNTIF($AH$2:$AH$4999,AH185)*0.3)), "SORTEADO", "-")</f>
        <v>SORTEADO</v>
      </c>
      <c r="AH185" s="257" t="str">
        <f t="shared" si="12"/>
        <v>08/04/2026</v>
      </c>
    </row>
    <row r="186" spans="1:34" ht="30" hidden="1" customHeight="1" x14ac:dyDescent="0.2">
      <c r="A186" s="230" t="s">
        <v>197</v>
      </c>
      <c r="B186" s="230">
        <v>2614468659</v>
      </c>
      <c r="C186" s="230" t="s">
        <v>135</v>
      </c>
      <c r="D186" s="230" t="s">
        <v>124</v>
      </c>
      <c r="E186" s="230" t="s">
        <v>198</v>
      </c>
      <c r="F186" s="230" t="s">
        <v>3512</v>
      </c>
      <c r="G186" s="230">
        <v>101</v>
      </c>
      <c r="H186" s="230" t="s">
        <v>213</v>
      </c>
      <c r="I186" s="230" t="s">
        <v>3513</v>
      </c>
      <c r="J186" s="230" t="s">
        <v>3280</v>
      </c>
      <c r="K186" s="230" t="s">
        <v>3514</v>
      </c>
      <c r="L186" s="235" t="s">
        <v>661</v>
      </c>
      <c r="M186" s="235">
        <v>46238.704861111109</v>
      </c>
      <c r="N186" s="230" t="s">
        <v>408</v>
      </c>
      <c r="O186" s="233" t="s">
        <v>61</v>
      </c>
      <c r="P186" s="169"/>
      <c r="Q186" s="144" t="s">
        <v>61</v>
      </c>
      <c r="R186" s="56"/>
      <c r="S186" s="144" t="s">
        <v>61</v>
      </c>
      <c r="T186" s="56"/>
      <c r="U186" s="144" t="s">
        <v>61</v>
      </c>
      <c r="V186" s="56"/>
      <c r="W186" s="144" t="s">
        <v>61</v>
      </c>
      <c r="X186" s="56"/>
      <c r="Y186" s="144" t="s">
        <v>61</v>
      </c>
      <c r="Z186" s="186" t="str">
        <f t="shared" si="10"/>
        <v>NA</v>
      </c>
      <c r="AA186" s="217" t="str">
        <f t="shared" si="9"/>
        <v>NÃO AVALIADO POR FALHA DE SINCRONISMO</v>
      </c>
      <c r="AB186" s="92" t="s">
        <v>204</v>
      </c>
      <c r="AC186" s="164" t="s">
        <v>6</v>
      </c>
      <c r="AD186" s="151" t="str">
        <f t="shared" si="11"/>
        <v>GUARULHOS</v>
      </c>
      <c r="AE186" s="96" t="s">
        <v>63</v>
      </c>
      <c r="AF186" s="53">
        <v>-3.6999999999999998E-2</v>
      </c>
      <c r="AG186" s="53" t="str" cm="1">
        <f t="array" ref="AG186">IF(OR(O186&lt;&gt;"", SUMPRODUCT(($AH$2:$AH$4999=AH186)*($AF$2:$AF$4999&lt;=AF186)) &lt;= (COUNTIF($AH$2:$AH$4999,AH186)*0.3)), "SORTEADO", "-")</f>
        <v>SORTEADO</v>
      </c>
      <c r="AH186" s="257" t="str">
        <f t="shared" si="12"/>
        <v>08/04/2026</v>
      </c>
    </row>
    <row r="187" spans="1:34" ht="30" customHeight="1" x14ac:dyDescent="0.2">
      <c r="A187" s="230" t="s">
        <v>197</v>
      </c>
      <c r="B187" s="255">
        <v>2689904231</v>
      </c>
      <c r="C187" s="230" t="s">
        <v>133</v>
      </c>
      <c r="D187" s="230" t="s">
        <v>124</v>
      </c>
      <c r="E187" s="230" t="s">
        <v>198</v>
      </c>
      <c r="F187" s="230" t="s">
        <v>1851</v>
      </c>
      <c r="G187" s="230">
        <v>376</v>
      </c>
      <c r="H187" s="230" t="s">
        <v>3515</v>
      </c>
      <c r="I187" s="230" t="s">
        <v>411</v>
      </c>
      <c r="J187" s="230" t="s">
        <v>3275</v>
      </c>
      <c r="K187" s="230" t="s">
        <v>3303</v>
      </c>
      <c r="L187" s="235" t="s">
        <v>661</v>
      </c>
      <c r="M187" s="235">
        <v>46238.630555555559</v>
      </c>
      <c r="N187" s="230" t="s">
        <v>819</v>
      </c>
      <c r="O187" s="233" t="s">
        <v>204</v>
      </c>
      <c r="P187" s="9"/>
      <c r="Q187" s="146" t="s">
        <v>204</v>
      </c>
      <c r="R187" s="92"/>
      <c r="S187" s="146" t="s">
        <v>204</v>
      </c>
      <c r="T187" s="92"/>
      <c r="U187" s="146" t="s">
        <v>204</v>
      </c>
      <c r="V187" s="92"/>
      <c r="W187" s="146" t="s">
        <v>204</v>
      </c>
      <c r="X187" s="92"/>
      <c r="Y187" s="146" t="s">
        <v>204</v>
      </c>
      <c r="Z187" s="186" t="str">
        <f t="shared" si="10"/>
        <v>C</v>
      </c>
      <c r="AA187" s="217" t="str">
        <f t="shared" si="9"/>
        <v>UTILIZOU O PDA CORRETAMENTE</v>
      </c>
      <c r="AB187" s="92" t="s">
        <v>204</v>
      </c>
      <c r="AC187" s="164" t="s">
        <v>6</v>
      </c>
      <c r="AD187" s="151" t="str">
        <f t="shared" si="11"/>
        <v>GUARULHOS</v>
      </c>
      <c r="AE187" s="96" t="s">
        <v>63</v>
      </c>
      <c r="AF187" s="53">
        <v>-3.7199999999999997E-2</v>
      </c>
      <c r="AG187" s="53" t="str" cm="1">
        <f t="array" ref="AG187">IF(OR(O187&lt;&gt;"", SUMPRODUCT(($AH$2:$AH$4999=AH187)*($AF$2:$AF$4999&lt;=AF187)) &lt;= (COUNTIF($AH$2:$AH$4999,AH187)*0.3)), "SORTEADO", "-")</f>
        <v>SORTEADO</v>
      </c>
      <c r="AH187" s="257" t="str">
        <f t="shared" si="12"/>
        <v>08/04/2026</v>
      </c>
    </row>
    <row r="188" spans="1:34" ht="30" customHeight="1" x14ac:dyDescent="0.2">
      <c r="A188" s="230" t="s">
        <v>197</v>
      </c>
      <c r="B188" s="255">
        <v>2689934601</v>
      </c>
      <c r="C188" s="230" t="s">
        <v>133</v>
      </c>
      <c r="D188" s="230" t="s">
        <v>124</v>
      </c>
      <c r="E188" s="230" t="s">
        <v>198</v>
      </c>
      <c r="F188" s="230" t="s">
        <v>433</v>
      </c>
      <c r="G188" s="230">
        <v>229</v>
      </c>
      <c r="H188" s="230" t="s">
        <v>213</v>
      </c>
      <c r="I188" s="230" t="s">
        <v>315</v>
      </c>
      <c r="J188" s="230" t="s">
        <v>3275</v>
      </c>
      <c r="K188" s="230" t="s">
        <v>3363</v>
      </c>
      <c r="L188" s="235" t="s">
        <v>661</v>
      </c>
      <c r="M188" s="235">
        <v>46238.671527777777</v>
      </c>
      <c r="N188" s="230" t="s">
        <v>3276</v>
      </c>
      <c r="O188" s="233" t="s">
        <v>204</v>
      </c>
      <c r="P188" s="9"/>
      <c r="Q188" s="146" t="s">
        <v>204</v>
      </c>
      <c r="R188" s="92"/>
      <c r="S188" s="146" t="s">
        <v>204</v>
      </c>
      <c r="T188" s="92"/>
      <c r="U188" s="146" t="s">
        <v>204</v>
      </c>
      <c r="V188" s="92"/>
      <c r="W188" s="146" t="s">
        <v>204</v>
      </c>
      <c r="X188" s="92"/>
      <c r="Y188" s="146" t="s">
        <v>204</v>
      </c>
      <c r="Z188" s="186" t="str">
        <f t="shared" si="10"/>
        <v>C</v>
      </c>
      <c r="AA188" s="217" t="str">
        <f t="shared" si="9"/>
        <v>UTILIZOU O PDA CORRETAMENTE</v>
      </c>
      <c r="AB188" s="92" t="s">
        <v>204</v>
      </c>
      <c r="AC188" s="164" t="s">
        <v>6</v>
      </c>
      <c r="AD188" s="151" t="str">
        <f t="shared" si="11"/>
        <v>GUARULHOS</v>
      </c>
      <c r="AE188" s="96" t="s">
        <v>63</v>
      </c>
      <c r="AF188" s="53">
        <v>-3.7400000000000003E-2</v>
      </c>
      <c r="AG188" s="53" t="str" cm="1">
        <f t="array" ref="AG188">IF(OR(O188&lt;&gt;"", SUMPRODUCT(($AH$2:$AH$4999=AH188)*($AF$2:$AF$4999&lt;=AF188)) &lt;= (COUNTIF($AH$2:$AH$4999,AH188)*0.3)), "SORTEADO", "-")</f>
        <v>SORTEADO</v>
      </c>
      <c r="AH188" s="257" t="str">
        <f t="shared" si="12"/>
        <v>08/04/2026</v>
      </c>
    </row>
    <row r="189" spans="1:34" ht="30" customHeight="1" x14ac:dyDescent="0.2">
      <c r="A189" s="230" t="s">
        <v>197</v>
      </c>
      <c r="B189" s="255">
        <v>2689958692</v>
      </c>
      <c r="C189" s="230" t="s">
        <v>129</v>
      </c>
      <c r="D189" s="230" t="s">
        <v>124</v>
      </c>
      <c r="E189" s="230" t="s">
        <v>198</v>
      </c>
      <c r="F189" s="230" t="s">
        <v>1752</v>
      </c>
      <c r="G189" s="230">
        <v>10</v>
      </c>
      <c r="H189" s="230" t="s">
        <v>246</v>
      </c>
      <c r="I189" s="230" t="s">
        <v>1753</v>
      </c>
      <c r="J189" s="230" t="s">
        <v>3307</v>
      </c>
      <c r="K189" s="230" t="s">
        <v>3516</v>
      </c>
      <c r="L189" s="235" t="s">
        <v>661</v>
      </c>
      <c r="M189" s="235">
        <v>46238.672222222223</v>
      </c>
      <c r="N189" s="230" t="s">
        <v>615</v>
      </c>
      <c r="O189" s="233" t="s">
        <v>204</v>
      </c>
      <c r="P189" s="9"/>
      <c r="Q189" s="146" t="s">
        <v>204</v>
      </c>
      <c r="R189" s="92"/>
      <c r="S189" s="146" t="s">
        <v>204</v>
      </c>
      <c r="T189" s="92"/>
      <c r="U189" s="146" t="s">
        <v>204</v>
      </c>
      <c r="V189" s="92"/>
      <c r="W189" s="146" t="s">
        <v>328</v>
      </c>
      <c r="X189" s="92"/>
      <c r="Y189" s="146" t="s">
        <v>204</v>
      </c>
      <c r="Z189" s="186" t="str">
        <f t="shared" si="10"/>
        <v>NC</v>
      </c>
      <c r="AA189" s="217" t="str">
        <f t="shared" si="9"/>
        <v>UTILIZOU O PDA CORRETAMENTE. NÃO HÁ FOTOS DE TODAS AS ETAPAS</v>
      </c>
      <c r="AB189" s="92" t="s">
        <v>204</v>
      </c>
      <c r="AC189" s="164" t="s">
        <v>6</v>
      </c>
      <c r="AD189" s="151" t="str">
        <f t="shared" si="11"/>
        <v>GUARULHOS</v>
      </c>
      <c r="AE189" s="96" t="s">
        <v>63</v>
      </c>
      <c r="AF189" s="53">
        <v>-3.7600000000000001E-2</v>
      </c>
      <c r="AG189" s="53" t="str" cm="1">
        <f t="array" ref="AG189">IF(OR(O189&lt;&gt;"", SUMPRODUCT(($AH$2:$AH$4999=AH189)*($AF$2:$AF$4999&lt;=AF189)) &lt;= (COUNTIF($AH$2:$AH$4999,AH189)*0.3)), "SORTEADO", "-")</f>
        <v>SORTEADO</v>
      </c>
      <c r="AH189" s="257" t="str">
        <f t="shared" si="12"/>
        <v>08/04/2026</v>
      </c>
    </row>
    <row r="190" spans="1:34" ht="30" customHeight="1" x14ac:dyDescent="0.2">
      <c r="A190" s="230" t="s">
        <v>197</v>
      </c>
      <c r="B190" s="255">
        <v>2689978650</v>
      </c>
      <c r="C190" s="230" t="s">
        <v>127</v>
      </c>
      <c r="D190" s="230" t="s">
        <v>63</v>
      </c>
      <c r="E190" s="230" t="s">
        <v>198</v>
      </c>
      <c r="F190" s="230" t="s">
        <v>2230</v>
      </c>
      <c r="G190" s="230">
        <v>60</v>
      </c>
      <c r="H190" s="230" t="s">
        <v>3517</v>
      </c>
      <c r="I190" s="230" t="s">
        <v>2232</v>
      </c>
      <c r="J190" s="230" t="s">
        <v>3275</v>
      </c>
      <c r="K190" s="230"/>
      <c r="L190" s="235" t="s">
        <v>726</v>
      </c>
      <c r="M190" s="235">
        <v>46269.463194444441</v>
      </c>
      <c r="N190" s="230" t="s">
        <v>294</v>
      </c>
      <c r="O190" s="233" t="s">
        <v>204</v>
      </c>
      <c r="P190" s="9"/>
      <c r="Q190" s="146" t="s">
        <v>204</v>
      </c>
      <c r="R190" s="92"/>
      <c r="S190" s="146" t="s">
        <v>204</v>
      </c>
      <c r="T190" s="92"/>
      <c r="U190" s="146" t="s">
        <v>204</v>
      </c>
      <c r="V190" s="92"/>
      <c r="W190" s="146" t="s">
        <v>204</v>
      </c>
      <c r="X190" s="92"/>
      <c r="Y190" s="146" t="s">
        <v>204</v>
      </c>
      <c r="Z190" s="186" t="str">
        <f t="shared" si="10"/>
        <v>C</v>
      </c>
      <c r="AA190" s="217" t="str">
        <f t="shared" si="9"/>
        <v>UTILIZOU O PDA CORRETAMENTE</v>
      </c>
      <c r="AB190" s="92" t="s">
        <v>204</v>
      </c>
      <c r="AC190" s="164" t="s">
        <v>6</v>
      </c>
      <c r="AD190" s="151" t="str">
        <f t="shared" si="11"/>
        <v>GUARULHOS</v>
      </c>
      <c r="AE190" s="96" t="s">
        <v>63</v>
      </c>
      <c r="AF190" s="53">
        <v>-3.78E-2</v>
      </c>
      <c r="AG190" s="53" t="str" cm="1">
        <f t="array" ref="AG190">IF(OR(O190&lt;&gt;"", SUMPRODUCT(($AH$2:$AH$4999=AH190)*($AF$2:$AF$4999&lt;=AF190)) &lt;= (COUNTIF($AH$2:$AH$4999,AH190)*0.3)), "SORTEADO", "-")</f>
        <v>SORTEADO</v>
      </c>
      <c r="AH190" s="257" t="str">
        <f t="shared" si="12"/>
        <v>09/04/2026</v>
      </c>
    </row>
    <row r="191" spans="1:34" ht="30" customHeight="1" x14ac:dyDescent="0.2">
      <c r="A191" s="230" t="s">
        <v>197</v>
      </c>
      <c r="B191" s="255">
        <v>2689977551</v>
      </c>
      <c r="C191" s="230" t="s">
        <v>127</v>
      </c>
      <c r="D191" s="230" t="s">
        <v>63</v>
      </c>
      <c r="E191" s="230" t="s">
        <v>198</v>
      </c>
      <c r="F191" s="230" t="s">
        <v>3518</v>
      </c>
      <c r="G191" s="230">
        <v>58</v>
      </c>
      <c r="H191" s="230" t="s">
        <v>3519</v>
      </c>
      <c r="I191" s="230" t="s">
        <v>236</v>
      </c>
      <c r="J191" s="230" t="s">
        <v>3275</v>
      </c>
      <c r="K191" s="230" t="s">
        <v>213</v>
      </c>
      <c r="L191" s="235" t="s">
        <v>726</v>
      </c>
      <c r="M191" s="235">
        <v>46269.429861111108</v>
      </c>
      <c r="N191" s="230" t="s">
        <v>294</v>
      </c>
      <c r="O191" s="233" t="s">
        <v>204</v>
      </c>
      <c r="P191" s="9"/>
      <c r="Q191" s="146" t="s">
        <v>204</v>
      </c>
      <c r="R191" s="92"/>
      <c r="S191" s="146" t="s">
        <v>204</v>
      </c>
      <c r="T191" s="92"/>
      <c r="U191" s="146" t="s">
        <v>204</v>
      </c>
      <c r="V191" s="92"/>
      <c r="W191" s="146" t="s">
        <v>204</v>
      </c>
      <c r="X191" s="92"/>
      <c r="Y191" s="146" t="s">
        <v>204</v>
      </c>
      <c r="Z191" s="186" t="str">
        <f t="shared" si="10"/>
        <v>C</v>
      </c>
      <c r="AA191" s="217" t="str">
        <f t="shared" si="9"/>
        <v>UTILIZOU O PDA CORRETAMENTE</v>
      </c>
      <c r="AB191" s="92" t="s">
        <v>204</v>
      </c>
      <c r="AC191" s="164" t="s">
        <v>6</v>
      </c>
      <c r="AD191" s="151" t="str">
        <f t="shared" si="11"/>
        <v>GUARULHOS</v>
      </c>
      <c r="AE191" s="96" t="s">
        <v>63</v>
      </c>
      <c r="AF191" s="53">
        <v>-3.7999999999999999E-2</v>
      </c>
      <c r="AG191" s="53" t="str" cm="1">
        <f t="array" ref="AG191">IF(OR(O191&lt;&gt;"", SUMPRODUCT(($AH$2:$AH$4999=AH191)*($AF$2:$AF$4999&lt;=AF191)) &lt;= (COUNTIF($AH$2:$AH$4999,AH191)*0.3)), "SORTEADO", "-")</f>
        <v>SORTEADO</v>
      </c>
      <c r="AH191" s="257" t="str">
        <f t="shared" si="12"/>
        <v>09/04/2026</v>
      </c>
    </row>
    <row r="192" spans="1:34" ht="30" customHeight="1" x14ac:dyDescent="0.2">
      <c r="A192" s="230" t="s">
        <v>197</v>
      </c>
      <c r="B192" s="255">
        <v>2614849099</v>
      </c>
      <c r="C192" s="230" t="s">
        <v>127</v>
      </c>
      <c r="D192" s="230" t="s">
        <v>63</v>
      </c>
      <c r="E192" s="230" t="s">
        <v>198</v>
      </c>
      <c r="F192" s="230" t="s">
        <v>3520</v>
      </c>
      <c r="G192" s="230">
        <v>73</v>
      </c>
      <c r="H192" s="230"/>
      <c r="I192" s="230" t="s">
        <v>2548</v>
      </c>
      <c r="J192" s="230" t="s">
        <v>3271</v>
      </c>
      <c r="K192" s="230"/>
      <c r="L192" s="235" t="s">
        <v>726</v>
      </c>
      <c r="M192" s="235">
        <v>46269.420138888891</v>
      </c>
      <c r="N192" s="230" t="s">
        <v>1099</v>
      </c>
      <c r="O192" s="233" t="s">
        <v>204</v>
      </c>
      <c r="P192" s="9"/>
      <c r="Q192" s="146" t="s">
        <v>204</v>
      </c>
      <c r="R192" s="92"/>
      <c r="S192" s="146" t="s">
        <v>204</v>
      </c>
      <c r="T192" s="92"/>
      <c r="U192" s="146" t="s">
        <v>204</v>
      </c>
      <c r="V192" s="92"/>
      <c r="W192" s="146" t="s">
        <v>204</v>
      </c>
      <c r="X192" s="92"/>
      <c r="Y192" s="146" t="s">
        <v>204</v>
      </c>
      <c r="Z192" s="186" t="str">
        <f t="shared" si="10"/>
        <v>C</v>
      </c>
      <c r="AA192" s="217" t="str">
        <f t="shared" si="9"/>
        <v>UTILIZOU O PDA CORRETAMENTE</v>
      </c>
      <c r="AB192" s="92" t="s">
        <v>204</v>
      </c>
      <c r="AC192" s="164" t="s">
        <v>6</v>
      </c>
      <c r="AD192" s="151" t="str">
        <f t="shared" si="11"/>
        <v>GUARULHOS</v>
      </c>
      <c r="AE192" s="96" t="s">
        <v>63</v>
      </c>
      <c r="AF192" s="53">
        <v>-3.8199999999999998E-2</v>
      </c>
      <c r="AG192" s="53" t="str" cm="1">
        <f t="array" ref="AG192">IF(OR(O192&lt;&gt;"", SUMPRODUCT(($AH$2:$AH$4999=AH192)*($AF$2:$AF$4999&lt;=AF192)) &lt;= (COUNTIF($AH$2:$AH$4999,AH192)*0.3)), "SORTEADO", "-")</f>
        <v>SORTEADO</v>
      </c>
      <c r="AH192" s="257" t="str">
        <f t="shared" si="12"/>
        <v>09/04/2026</v>
      </c>
    </row>
    <row r="193" spans="1:34" ht="30" customHeight="1" x14ac:dyDescent="0.2">
      <c r="A193" s="230" t="s">
        <v>197</v>
      </c>
      <c r="B193" s="255">
        <v>2689981863</v>
      </c>
      <c r="C193" s="230" t="s">
        <v>127</v>
      </c>
      <c r="D193" s="230" t="s">
        <v>63</v>
      </c>
      <c r="E193" s="230" t="s">
        <v>198</v>
      </c>
      <c r="F193" s="230" t="s">
        <v>784</v>
      </c>
      <c r="G193" s="230">
        <v>368</v>
      </c>
      <c r="H193" s="230" t="s">
        <v>3521</v>
      </c>
      <c r="I193" s="230" t="s">
        <v>368</v>
      </c>
      <c r="J193" s="230" t="s">
        <v>3275</v>
      </c>
      <c r="K193" s="230" t="s">
        <v>213</v>
      </c>
      <c r="L193" s="235" t="s">
        <v>726</v>
      </c>
      <c r="M193" s="235">
        <v>46269.472222222219</v>
      </c>
      <c r="N193" s="230" t="s">
        <v>3296</v>
      </c>
      <c r="O193" s="233" t="s">
        <v>204</v>
      </c>
      <c r="P193" s="9"/>
      <c r="Q193" s="146" t="s">
        <v>204</v>
      </c>
      <c r="R193" s="92"/>
      <c r="S193" s="146" t="s">
        <v>204</v>
      </c>
      <c r="T193" s="92"/>
      <c r="U193" s="146" t="s">
        <v>204</v>
      </c>
      <c r="V193" s="92"/>
      <c r="W193" s="146" t="s">
        <v>204</v>
      </c>
      <c r="X193" s="92"/>
      <c r="Y193" s="146" t="s">
        <v>204</v>
      </c>
      <c r="Z193" s="186" t="str">
        <f t="shared" si="10"/>
        <v>C</v>
      </c>
      <c r="AA193" s="217" t="str">
        <f t="shared" ref="AA193:AA256" si="13">IF(AND(Y193="C",Z193="C"),"UTILIZOU O PDA CORRETAMENTE",IF(AND(Y193="C",Z193="NC"),"UTILIZOU O PDA CORRETAMENTE. NÃO HÁ FOTOS DE TODAS AS ETAPAS",IF(AND(Y193="NC",Z193="NC"),"NÃO UTILIZOU O PDA",IF(AND(Y193="NA",Z193="NA"),"NÃO AVALIADO POR FALHA DE SINCRONISMO"))))</f>
        <v>UTILIZOU O PDA CORRETAMENTE</v>
      </c>
      <c r="AB193" s="92" t="s">
        <v>204</v>
      </c>
      <c r="AC193" s="164" t="s">
        <v>6</v>
      </c>
      <c r="AD193" s="151" t="str">
        <f t="shared" si="11"/>
        <v>GUARULHOS</v>
      </c>
      <c r="AE193" s="96" t="s">
        <v>63</v>
      </c>
      <c r="AF193" s="53">
        <v>-3.8399999999999997E-2</v>
      </c>
      <c r="AG193" s="53" t="str" cm="1">
        <f t="array" ref="AG193">IF(OR(O193&lt;&gt;"", SUMPRODUCT(($AH$2:$AH$4999=AH193)*($AF$2:$AF$4999&lt;=AF193)) &lt;= (COUNTIF($AH$2:$AH$4999,AH193)*0.3)), "SORTEADO", "-")</f>
        <v>SORTEADO</v>
      </c>
      <c r="AH193" s="257" t="str">
        <f t="shared" si="12"/>
        <v>09/04/2026</v>
      </c>
    </row>
    <row r="194" spans="1:34" ht="30" customHeight="1" x14ac:dyDescent="0.2">
      <c r="A194" s="230" t="s">
        <v>197</v>
      </c>
      <c r="B194" s="255">
        <v>2614836650</v>
      </c>
      <c r="C194" s="230" t="s">
        <v>126</v>
      </c>
      <c r="D194" s="230" t="s">
        <v>63</v>
      </c>
      <c r="E194" s="230" t="s">
        <v>198</v>
      </c>
      <c r="F194" s="230" t="s">
        <v>2635</v>
      </c>
      <c r="G194" s="230">
        <v>74</v>
      </c>
      <c r="H194" s="230" t="s">
        <v>3135</v>
      </c>
      <c r="I194" s="230" t="s">
        <v>281</v>
      </c>
      <c r="J194" s="230" t="s">
        <v>3275</v>
      </c>
      <c r="K194" s="230"/>
      <c r="L194" s="235" t="s">
        <v>726</v>
      </c>
      <c r="M194" s="235">
        <v>46269.37222222222</v>
      </c>
      <c r="N194" s="230" t="s">
        <v>3296</v>
      </c>
      <c r="O194" s="233" t="s">
        <v>204</v>
      </c>
      <c r="P194" s="9"/>
      <c r="Q194" s="146" t="s">
        <v>328</v>
      </c>
      <c r="R194" s="92"/>
      <c r="S194" s="146" t="s">
        <v>204</v>
      </c>
      <c r="T194" s="92"/>
      <c r="U194" s="146" t="s">
        <v>204</v>
      </c>
      <c r="V194" s="92"/>
      <c r="W194" s="146" t="s">
        <v>204</v>
      </c>
      <c r="X194" s="92"/>
      <c r="Y194" s="146" t="s">
        <v>204</v>
      </c>
      <c r="Z194" s="186" t="str">
        <f t="shared" ref="Z194:Z257" si="14">IF(AND(O194="",Q194="",S194="",U194="",W194=""),"",IF(OR(AND(O194&lt;&gt;"NA",O194&lt;&gt;"C",O194&lt;&gt;"NC",O194&lt;&gt;"SF",O194&lt;&gt;""),AND(Q194&lt;&gt;"NA",Q194&lt;&gt;"C",Q194&lt;&gt;"NC",Q194&lt;&gt;"SF",Q194&lt;&gt;""),AND(S194&lt;&gt;"NA",S194&lt;&gt;"C",S194&lt;&gt;"NC",S194&lt;&gt;"SF",S194&lt;&gt;""),AND(U194&lt;&gt;"NA",U194&lt;&gt;"C",U194&lt;&gt;"NC",U194&lt;&gt;"SF",U194&lt;&gt;""),AND(W194&lt;&gt;"NA",W194&lt;&gt;"C",W194&lt;&gt;"NC",W194&lt;&gt;"SF",W194&lt;&gt;"")),"FALSO",IF(AND(O194="NA",Q194="NA",S194="NA",U194="NA",W194="NA"),"NA",IF(OR(O194="NC",Q194="NC",S194="NC",U194="NC",W194="NC",O194="SF",Q194="SF",S194="SF",U194="SF",W194="SF"),"NC",IF(OR(O194="C",Q194="C",S194="C",U194="C",W194="C"),"C","")))))</f>
        <v>NC</v>
      </c>
      <c r="AA194" s="217" t="str">
        <f t="shared" si="13"/>
        <v>UTILIZOU O PDA CORRETAMENTE. NÃO HÁ FOTOS DE TODAS AS ETAPAS</v>
      </c>
      <c r="AB194" s="92" t="s">
        <v>204</v>
      </c>
      <c r="AC194" s="164" t="s">
        <v>6</v>
      </c>
      <c r="AD194" s="151" t="str">
        <f t="shared" ref="AD194:AD257" si="15">E194</f>
        <v>GUARULHOS</v>
      </c>
      <c r="AE194" s="96" t="s">
        <v>63</v>
      </c>
      <c r="AF194" s="53">
        <v>-3.8600000000000002E-2</v>
      </c>
      <c r="AG194" s="53" t="str" cm="1">
        <f t="array" ref="AG194">IF(OR(O194&lt;&gt;"", SUMPRODUCT(($AH$2:$AH$4999=AH194)*($AF$2:$AF$4999&lt;=AF194)) &lt;= (COUNTIF($AH$2:$AH$4999,AH194)*0.3)), "SORTEADO", "-")</f>
        <v>SORTEADO</v>
      </c>
      <c r="AH194" s="257" t="str">
        <f t="shared" si="12"/>
        <v>09/04/2026</v>
      </c>
    </row>
    <row r="195" spans="1:34" ht="30" customHeight="1" x14ac:dyDescent="0.2">
      <c r="A195" s="230" t="s">
        <v>197</v>
      </c>
      <c r="B195" s="255">
        <v>2689948394</v>
      </c>
      <c r="C195" s="230" t="s">
        <v>127</v>
      </c>
      <c r="D195" s="230" t="s">
        <v>63</v>
      </c>
      <c r="E195" s="230" t="s">
        <v>198</v>
      </c>
      <c r="F195" s="230" t="s">
        <v>1318</v>
      </c>
      <c r="G195" s="230">
        <v>1261</v>
      </c>
      <c r="H195" s="230" t="s">
        <v>3522</v>
      </c>
      <c r="I195" s="230" t="s">
        <v>200</v>
      </c>
      <c r="J195" s="230" t="s">
        <v>3275</v>
      </c>
      <c r="K195" s="230" t="s">
        <v>213</v>
      </c>
      <c r="L195" s="235" t="s">
        <v>726</v>
      </c>
      <c r="M195" s="235">
        <v>46269.491666666669</v>
      </c>
      <c r="N195" s="230" t="s">
        <v>3276</v>
      </c>
      <c r="O195" s="233" t="s">
        <v>204</v>
      </c>
      <c r="P195" s="9"/>
      <c r="Q195" s="146" t="s">
        <v>204</v>
      </c>
      <c r="R195" s="92"/>
      <c r="S195" s="146" t="s">
        <v>204</v>
      </c>
      <c r="T195" s="92"/>
      <c r="U195" s="146" t="s">
        <v>204</v>
      </c>
      <c r="V195" s="92"/>
      <c r="W195" s="146" t="s">
        <v>204</v>
      </c>
      <c r="X195" s="92"/>
      <c r="Y195" s="146" t="s">
        <v>204</v>
      </c>
      <c r="Z195" s="186" t="str">
        <f t="shared" si="14"/>
        <v>C</v>
      </c>
      <c r="AA195" s="217" t="str">
        <f t="shared" si="13"/>
        <v>UTILIZOU O PDA CORRETAMENTE</v>
      </c>
      <c r="AB195" s="92" t="s">
        <v>204</v>
      </c>
      <c r="AC195" s="164" t="s">
        <v>6</v>
      </c>
      <c r="AD195" s="151" t="str">
        <f t="shared" si="15"/>
        <v>GUARULHOS</v>
      </c>
      <c r="AE195" s="96" t="s">
        <v>63</v>
      </c>
      <c r="AF195" s="53">
        <v>-3.8800000000000001E-2</v>
      </c>
      <c r="AG195" s="53" t="str" cm="1">
        <f t="array" ref="AG195">IF(OR(O195&lt;&gt;"", SUMPRODUCT(($AH$2:$AH$4999=AH195)*($AF$2:$AF$4999&lt;=AF195)) &lt;= (COUNTIF($AH$2:$AH$4999,AH195)*0.3)), "SORTEADO", "-")</f>
        <v>SORTEADO</v>
      </c>
      <c r="AH195" s="257" t="str">
        <f t="shared" si="12"/>
        <v>09/04/2026</v>
      </c>
    </row>
    <row r="196" spans="1:34" ht="30" customHeight="1" x14ac:dyDescent="0.2">
      <c r="A196" s="230" t="s">
        <v>197</v>
      </c>
      <c r="B196" s="255">
        <v>2614821979</v>
      </c>
      <c r="C196" s="230" t="s">
        <v>127</v>
      </c>
      <c r="D196" s="230" t="s">
        <v>63</v>
      </c>
      <c r="E196" s="230" t="s">
        <v>198</v>
      </c>
      <c r="F196" s="230" t="s">
        <v>1478</v>
      </c>
      <c r="G196" s="230">
        <v>799</v>
      </c>
      <c r="H196" s="230" t="s">
        <v>235</v>
      </c>
      <c r="I196" s="230" t="s">
        <v>253</v>
      </c>
      <c r="J196" s="230" t="s">
        <v>3275</v>
      </c>
      <c r="K196" s="230"/>
      <c r="L196" s="235" t="s">
        <v>726</v>
      </c>
      <c r="M196" s="235">
        <v>46269.450694444444</v>
      </c>
      <c r="N196" s="230" t="s">
        <v>3276</v>
      </c>
      <c r="O196" s="233" t="s">
        <v>204</v>
      </c>
      <c r="P196" s="9"/>
      <c r="Q196" s="146" t="s">
        <v>204</v>
      </c>
      <c r="R196" s="92"/>
      <c r="S196" s="146" t="s">
        <v>204</v>
      </c>
      <c r="T196" s="92"/>
      <c r="U196" s="146" t="s">
        <v>204</v>
      </c>
      <c r="V196" s="92"/>
      <c r="W196" s="146" t="s">
        <v>204</v>
      </c>
      <c r="X196" s="92"/>
      <c r="Y196" s="146" t="s">
        <v>204</v>
      </c>
      <c r="Z196" s="186" t="str">
        <f t="shared" si="14"/>
        <v>C</v>
      </c>
      <c r="AA196" s="217" t="str">
        <f t="shared" si="13"/>
        <v>UTILIZOU O PDA CORRETAMENTE</v>
      </c>
      <c r="AB196" s="92" t="s">
        <v>204</v>
      </c>
      <c r="AC196" s="164" t="s">
        <v>6</v>
      </c>
      <c r="AD196" s="151" t="str">
        <f t="shared" si="15"/>
        <v>GUARULHOS</v>
      </c>
      <c r="AE196" s="96" t="s">
        <v>63</v>
      </c>
      <c r="AF196" s="53">
        <v>-3.9E-2</v>
      </c>
      <c r="AG196" s="53" t="str" cm="1">
        <f t="array" ref="AG196">IF(OR(O196&lt;&gt;"", SUMPRODUCT(($AH$2:$AH$4999=AH196)*($AF$2:$AF$4999&lt;=AF196)) &lt;= (COUNTIF($AH$2:$AH$4999,AH196)*0.3)), "SORTEADO", "-")</f>
        <v>SORTEADO</v>
      </c>
      <c r="AH196" s="257" t="str">
        <f t="shared" si="12"/>
        <v>09/04/2026</v>
      </c>
    </row>
    <row r="197" spans="1:34" ht="30" customHeight="1" x14ac:dyDescent="0.2">
      <c r="A197" s="230" t="s">
        <v>197</v>
      </c>
      <c r="B197" s="255">
        <v>2689975154</v>
      </c>
      <c r="C197" s="230" t="s">
        <v>127</v>
      </c>
      <c r="D197" s="230" t="s">
        <v>63</v>
      </c>
      <c r="E197" s="230" t="s">
        <v>198</v>
      </c>
      <c r="F197" s="230" t="s">
        <v>3523</v>
      </c>
      <c r="G197" s="230">
        <v>319</v>
      </c>
      <c r="H197" s="230" t="s">
        <v>213</v>
      </c>
      <c r="I197" s="230" t="s">
        <v>411</v>
      </c>
      <c r="J197" s="230" t="s">
        <v>3275</v>
      </c>
      <c r="K197" s="230" t="s">
        <v>213</v>
      </c>
      <c r="L197" s="235" t="s">
        <v>726</v>
      </c>
      <c r="M197" s="235">
        <v>46269.491666666669</v>
      </c>
      <c r="N197" s="230" t="s">
        <v>819</v>
      </c>
      <c r="O197" s="233" t="s">
        <v>204</v>
      </c>
      <c r="P197" s="9"/>
      <c r="Q197" s="146" t="s">
        <v>204</v>
      </c>
      <c r="R197" s="92"/>
      <c r="S197" s="146" t="s">
        <v>204</v>
      </c>
      <c r="T197" s="92"/>
      <c r="U197" s="146" t="s">
        <v>204</v>
      </c>
      <c r="V197" s="92"/>
      <c r="W197" s="146" t="s">
        <v>204</v>
      </c>
      <c r="X197" s="92"/>
      <c r="Y197" s="146" t="s">
        <v>204</v>
      </c>
      <c r="Z197" s="186" t="str">
        <f t="shared" si="14"/>
        <v>C</v>
      </c>
      <c r="AA197" s="217" t="str">
        <f t="shared" si="13"/>
        <v>UTILIZOU O PDA CORRETAMENTE</v>
      </c>
      <c r="AB197" s="92" t="s">
        <v>204</v>
      </c>
      <c r="AC197" s="164" t="s">
        <v>6</v>
      </c>
      <c r="AD197" s="151" t="str">
        <f t="shared" si="15"/>
        <v>GUARULHOS</v>
      </c>
      <c r="AE197" s="96" t="s">
        <v>63</v>
      </c>
      <c r="AF197" s="53">
        <v>-3.9199999999999999E-2</v>
      </c>
      <c r="AG197" s="53" t="str" cm="1">
        <f t="array" ref="AG197">IF(OR(O197&lt;&gt;"", SUMPRODUCT(($AH$2:$AH$4999=AH197)*($AF$2:$AF$4999&lt;=AF197)) &lt;= (COUNTIF($AH$2:$AH$4999,AH197)*0.3)), "SORTEADO", "-")</f>
        <v>SORTEADO</v>
      </c>
      <c r="AH197" s="257" t="str">
        <f t="shared" si="12"/>
        <v>09/04/2026</v>
      </c>
    </row>
    <row r="198" spans="1:34" ht="30" customHeight="1" x14ac:dyDescent="0.2">
      <c r="A198" s="230" t="s">
        <v>197</v>
      </c>
      <c r="B198" s="255">
        <v>2689961247</v>
      </c>
      <c r="C198" s="230" t="s">
        <v>127</v>
      </c>
      <c r="D198" s="230" t="s">
        <v>63</v>
      </c>
      <c r="E198" s="230" t="s">
        <v>198</v>
      </c>
      <c r="F198" s="230" t="s">
        <v>3524</v>
      </c>
      <c r="G198" s="230">
        <v>149</v>
      </c>
      <c r="H198" s="230" t="s">
        <v>3525</v>
      </c>
      <c r="I198" s="230" t="s">
        <v>207</v>
      </c>
      <c r="J198" s="230" t="s">
        <v>3275</v>
      </c>
      <c r="K198" s="230"/>
      <c r="L198" s="235" t="s">
        <v>726</v>
      </c>
      <c r="M198" s="235">
        <v>46269.427777777775</v>
      </c>
      <c r="N198" s="230" t="s">
        <v>3282</v>
      </c>
      <c r="O198" s="233" t="s">
        <v>204</v>
      </c>
      <c r="P198" s="9"/>
      <c r="Q198" s="146" t="s">
        <v>204</v>
      </c>
      <c r="R198" s="92"/>
      <c r="S198" s="146" t="s">
        <v>204</v>
      </c>
      <c r="T198" s="92"/>
      <c r="U198" s="146" t="s">
        <v>204</v>
      </c>
      <c r="V198" s="92"/>
      <c r="W198" s="146" t="s">
        <v>204</v>
      </c>
      <c r="X198" s="92"/>
      <c r="Y198" s="146" t="s">
        <v>204</v>
      </c>
      <c r="Z198" s="186" t="str">
        <f t="shared" si="14"/>
        <v>C</v>
      </c>
      <c r="AA198" s="217" t="str">
        <f t="shared" si="13"/>
        <v>UTILIZOU O PDA CORRETAMENTE</v>
      </c>
      <c r="AB198" s="92" t="s">
        <v>204</v>
      </c>
      <c r="AC198" s="164" t="s">
        <v>6</v>
      </c>
      <c r="AD198" s="151" t="str">
        <f t="shared" si="15"/>
        <v>GUARULHOS</v>
      </c>
      <c r="AE198" s="96" t="s">
        <v>63</v>
      </c>
      <c r="AF198" s="53">
        <v>-3.9399999999999998E-2</v>
      </c>
      <c r="AG198" s="53" t="str" cm="1">
        <f t="array" ref="AG198">IF(OR(O198&lt;&gt;"", SUMPRODUCT(($AH$2:$AH$4999=AH198)*($AF$2:$AF$4999&lt;=AF198)) &lt;= (COUNTIF($AH$2:$AH$4999,AH198)*0.3)), "SORTEADO", "-")</f>
        <v>SORTEADO</v>
      </c>
      <c r="AH198" s="257" t="str">
        <f t="shared" si="12"/>
        <v>09/04/2026</v>
      </c>
    </row>
    <row r="199" spans="1:34" ht="30" customHeight="1" x14ac:dyDescent="0.2">
      <c r="A199" s="230" t="s">
        <v>197</v>
      </c>
      <c r="B199" s="255">
        <v>2690007657</v>
      </c>
      <c r="C199" s="230" t="s">
        <v>127</v>
      </c>
      <c r="D199" s="230" t="s">
        <v>63</v>
      </c>
      <c r="E199" s="230" t="s">
        <v>198</v>
      </c>
      <c r="F199" s="230" t="s">
        <v>3512</v>
      </c>
      <c r="G199" s="230">
        <v>134</v>
      </c>
      <c r="H199" s="230" t="s">
        <v>3526</v>
      </c>
      <c r="I199" s="230" t="s">
        <v>3513</v>
      </c>
      <c r="J199" s="230" t="s">
        <v>3275</v>
      </c>
      <c r="K199" s="230"/>
      <c r="L199" s="235" t="s">
        <v>726</v>
      </c>
      <c r="M199" s="235">
        <v>46269.400694444441</v>
      </c>
      <c r="N199" s="230" t="s">
        <v>294</v>
      </c>
      <c r="O199" s="233" t="s">
        <v>204</v>
      </c>
      <c r="P199" s="9"/>
      <c r="Q199" s="146" t="s">
        <v>204</v>
      </c>
      <c r="R199" s="92"/>
      <c r="S199" s="146" t="s">
        <v>204</v>
      </c>
      <c r="T199" s="92"/>
      <c r="U199" s="146" t="s">
        <v>204</v>
      </c>
      <c r="V199" s="92"/>
      <c r="W199" s="146" t="s">
        <v>204</v>
      </c>
      <c r="X199" s="92"/>
      <c r="Y199" s="146" t="s">
        <v>204</v>
      </c>
      <c r="Z199" s="186" t="str">
        <f t="shared" si="14"/>
        <v>C</v>
      </c>
      <c r="AA199" s="217" t="str">
        <f t="shared" si="13"/>
        <v>UTILIZOU O PDA CORRETAMENTE</v>
      </c>
      <c r="AB199" s="92" t="s">
        <v>204</v>
      </c>
      <c r="AC199" s="164" t="s">
        <v>6</v>
      </c>
      <c r="AD199" s="151" t="str">
        <f t="shared" si="15"/>
        <v>GUARULHOS</v>
      </c>
      <c r="AE199" s="96" t="s">
        <v>63</v>
      </c>
      <c r="AF199" s="53">
        <v>-3.9600000000000003E-2</v>
      </c>
      <c r="AG199" s="53" t="str" cm="1">
        <f t="array" ref="AG199">IF(OR(O199&lt;&gt;"", SUMPRODUCT(($AH$2:$AH$4999=AH199)*($AF$2:$AF$4999&lt;=AF199)) &lt;= (COUNTIF($AH$2:$AH$4999,AH199)*0.3)), "SORTEADO", "-")</f>
        <v>SORTEADO</v>
      </c>
      <c r="AH199" s="257" t="str">
        <f t="shared" si="12"/>
        <v>09/04/2026</v>
      </c>
    </row>
    <row r="200" spans="1:34" ht="30" customHeight="1" x14ac:dyDescent="0.2">
      <c r="A200" s="230" t="s">
        <v>197</v>
      </c>
      <c r="B200" s="255">
        <v>2690033851</v>
      </c>
      <c r="C200" s="230" t="s">
        <v>127</v>
      </c>
      <c r="D200" s="230" t="s">
        <v>63</v>
      </c>
      <c r="E200" s="230" t="s">
        <v>198</v>
      </c>
      <c r="F200" s="230" t="s">
        <v>3527</v>
      </c>
      <c r="G200" s="230">
        <v>53</v>
      </c>
      <c r="H200" s="230"/>
      <c r="I200" s="230" t="s">
        <v>416</v>
      </c>
      <c r="J200" s="230" t="s">
        <v>3275</v>
      </c>
      <c r="K200" s="230"/>
      <c r="L200" s="235" t="s">
        <v>726</v>
      </c>
      <c r="M200" s="235">
        <v>46269.427777777775</v>
      </c>
      <c r="N200" s="230" t="s">
        <v>3276</v>
      </c>
      <c r="O200" s="233" t="s">
        <v>204</v>
      </c>
      <c r="P200" s="9"/>
      <c r="Q200" s="146" t="s">
        <v>204</v>
      </c>
      <c r="R200" s="92"/>
      <c r="S200" s="146" t="s">
        <v>204</v>
      </c>
      <c r="T200" s="92"/>
      <c r="U200" s="146" t="s">
        <v>204</v>
      </c>
      <c r="V200" s="92"/>
      <c r="W200" s="146" t="s">
        <v>204</v>
      </c>
      <c r="X200" s="92"/>
      <c r="Y200" s="146" t="s">
        <v>204</v>
      </c>
      <c r="Z200" s="186" t="str">
        <f t="shared" si="14"/>
        <v>C</v>
      </c>
      <c r="AA200" s="217" t="str">
        <f t="shared" si="13"/>
        <v>UTILIZOU O PDA CORRETAMENTE</v>
      </c>
      <c r="AB200" s="92" t="s">
        <v>204</v>
      </c>
      <c r="AC200" s="164" t="s">
        <v>6</v>
      </c>
      <c r="AD200" s="151" t="str">
        <f t="shared" si="15"/>
        <v>GUARULHOS</v>
      </c>
      <c r="AE200" s="96" t="s">
        <v>63</v>
      </c>
      <c r="AF200" s="53">
        <v>-3.9800000000000002E-2</v>
      </c>
      <c r="AG200" s="53" t="str" cm="1">
        <f t="array" ref="AG200">IF(OR(O200&lt;&gt;"", SUMPRODUCT(($AH$2:$AH$4999=AH200)*($AF$2:$AF$4999&lt;=AF200)) &lt;= (COUNTIF($AH$2:$AH$4999,AH200)*0.3)), "SORTEADO", "-")</f>
        <v>SORTEADO</v>
      </c>
      <c r="AH200" s="257" t="str">
        <f t="shared" si="12"/>
        <v>09/04/2026</v>
      </c>
    </row>
    <row r="201" spans="1:34" ht="30" customHeight="1" x14ac:dyDescent="0.2">
      <c r="A201" s="230" t="s">
        <v>197</v>
      </c>
      <c r="B201" s="255">
        <v>2615070950</v>
      </c>
      <c r="C201" s="230" t="s">
        <v>127</v>
      </c>
      <c r="D201" s="230" t="s">
        <v>63</v>
      </c>
      <c r="E201" s="230" t="s">
        <v>198</v>
      </c>
      <c r="F201" s="230" t="s">
        <v>3528</v>
      </c>
      <c r="G201" s="230">
        <v>174</v>
      </c>
      <c r="H201" s="230"/>
      <c r="I201" s="230" t="s">
        <v>236</v>
      </c>
      <c r="J201" s="230" t="s">
        <v>3275</v>
      </c>
      <c r="K201" s="230"/>
      <c r="L201" s="235" t="s">
        <v>726</v>
      </c>
      <c r="M201" s="235">
        <v>46269.478472222225</v>
      </c>
      <c r="N201" s="230" t="s">
        <v>819</v>
      </c>
      <c r="O201" s="233" t="s">
        <v>204</v>
      </c>
      <c r="P201" s="9"/>
      <c r="Q201" s="146" t="s">
        <v>204</v>
      </c>
      <c r="R201" s="92"/>
      <c r="S201" s="146" t="s">
        <v>204</v>
      </c>
      <c r="T201" s="92"/>
      <c r="U201" s="146" t="s">
        <v>204</v>
      </c>
      <c r="V201" s="92"/>
      <c r="W201" s="146" t="s">
        <v>204</v>
      </c>
      <c r="X201" s="92"/>
      <c r="Y201" s="146" t="s">
        <v>204</v>
      </c>
      <c r="Z201" s="186" t="str">
        <f t="shared" si="14"/>
        <v>C</v>
      </c>
      <c r="AA201" s="217" t="str">
        <f t="shared" si="13"/>
        <v>UTILIZOU O PDA CORRETAMENTE</v>
      </c>
      <c r="AB201" s="92" t="s">
        <v>204</v>
      </c>
      <c r="AC201" s="164" t="s">
        <v>6</v>
      </c>
      <c r="AD201" s="151" t="str">
        <f t="shared" si="15"/>
        <v>GUARULHOS</v>
      </c>
      <c r="AE201" s="96" t="s">
        <v>63</v>
      </c>
      <c r="AF201" s="53">
        <v>-0.04</v>
      </c>
      <c r="AG201" s="53" t="str" cm="1">
        <f t="array" ref="AG201">IF(OR(O201&lt;&gt;"", SUMPRODUCT(($AH$2:$AH$4999=AH201)*($AF$2:$AF$4999&lt;=AF201)) &lt;= (COUNTIF($AH$2:$AH$4999,AH201)*0.3)), "SORTEADO", "-")</f>
        <v>SORTEADO</v>
      </c>
      <c r="AH201" s="257" t="str">
        <f t="shared" si="12"/>
        <v>09/04/2026</v>
      </c>
    </row>
    <row r="202" spans="1:34" ht="30" customHeight="1" x14ac:dyDescent="0.2">
      <c r="A202" s="230" t="s">
        <v>197</v>
      </c>
      <c r="B202" s="255">
        <v>2690042020</v>
      </c>
      <c r="C202" s="230" t="s">
        <v>127</v>
      </c>
      <c r="D202" s="230" t="s">
        <v>63</v>
      </c>
      <c r="E202" s="230" t="s">
        <v>198</v>
      </c>
      <c r="F202" s="230" t="s">
        <v>612</v>
      </c>
      <c r="G202" s="230">
        <v>501</v>
      </c>
      <c r="H202" s="230" t="s">
        <v>213</v>
      </c>
      <c r="I202" s="230" t="s">
        <v>394</v>
      </c>
      <c r="J202" s="230" t="s">
        <v>3275</v>
      </c>
      <c r="K202" s="230" t="s">
        <v>213</v>
      </c>
      <c r="L202" s="235" t="s">
        <v>726</v>
      </c>
      <c r="M202" s="235">
        <v>46269.518055555556</v>
      </c>
      <c r="N202" s="230" t="s">
        <v>294</v>
      </c>
      <c r="O202" s="233" t="s">
        <v>204</v>
      </c>
      <c r="P202" s="9"/>
      <c r="Q202" s="146" t="s">
        <v>204</v>
      </c>
      <c r="R202" s="92"/>
      <c r="S202" s="146" t="s">
        <v>204</v>
      </c>
      <c r="T202" s="92"/>
      <c r="U202" s="146" t="s">
        <v>204</v>
      </c>
      <c r="V202" s="92"/>
      <c r="W202" s="146" t="s">
        <v>204</v>
      </c>
      <c r="X202" s="92"/>
      <c r="Y202" s="146" t="s">
        <v>204</v>
      </c>
      <c r="Z202" s="186" t="str">
        <f t="shared" si="14"/>
        <v>C</v>
      </c>
      <c r="AA202" s="217" t="str">
        <f t="shared" si="13"/>
        <v>UTILIZOU O PDA CORRETAMENTE</v>
      </c>
      <c r="AB202" s="92"/>
      <c r="AC202" s="164" t="s">
        <v>6</v>
      </c>
      <c r="AD202" s="151" t="str">
        <f t="shared" si="15"/>
        <v>GUARULHOS</v>
      </c>
      <c r="AE202" s="96" t="s">
        <v>63</v>
      </c>
      <c r="AF202" s="53">
        <v>0.95692734440598648</v>
      </c>
      <c r="AG202" s="53" t="str" cm="1">
        <f t="array" ref="AG202">IF(OR(O202&lt;&gt;"", SUMPRODUCT(($AH$2:$AH$4999=AH202)*($AF$2:$AF$4999&lt;=AF202)) &lt;= (COUNTIF($AH$2:$AH$4999,AH202)*0.3)), "SORTEADO", "-")</f>
        <v>SORTEADO</v>
      </c>
      <c r="AH202" s="257" t="str">
        <f t="shared" si="12"/>
        <v>09/04/2026</v>
      </c>
    </row>
    <row r="203" spans="1:34" ht="30" customHeight="1" x14ac:dyDescent="0.2">
      <c r="A203" s="230" t="s">
        <v>197</v>
      </c>
      <c r="B203" s="255">
        <v>2689980717</v>
      </c>
      <c r="C203" s="230" t="s">
        <v>133</v>
      </c>
      <c r="D203" s="230" t="s">
        <v>124</v>
      </c>
      <c r="E203" s="230" t="s">
        <v>198</v>
      </c>
      <c r="F203" s="230" t="s">
        <v>3529</v>
      </c>
      <c r="G203" s="230">
        <v>157</v>
      </c>
      <c r="H203" s="230" t="s">
        <v>3530</v>
      </c>
      <c r="I203" s="230" t="s">
        <v>253</v>
      </c>
      <c r="J203" s="230" t="s">
        <v>3275</v>
      </c>
      <c r="K203" s="230" t="s">
        <v>3363</v>
      </c>
      <c r="L203" s="235" t="s">
        <v>726</v>
      </c>
      <c r="M203" s="235">
        <v>46269.411805555559</v>
      </c>
      <c r="N203" s="230" t="s">
        <v>3276</v>
      </c>
      <c r="O203" s="233" t="s">
        <v>204</v>
      </c>
      <c r="P203" s="9"/>
      <c r="Q203" s="146" t="s">
        <v>204</v>
      </c>
      <c r="R203" s="92"/>
      <c r="S203" s="146" t="s">
        <v>204</v>
      </c>
      <c r="T203" s="92"/>
      <c r="U203" s="146" t="s">
        <v>204</v>
      </c>
      <c r="V203" s="92"/>
      <c r="W203" s="146" t="s">
        <v>204</v>
      </c>
      <c r="X203" s="92"/>
      <c r="Y203" s="146" t="s">
        <v>204</v>
      </c>
      <c r="Z203" s="186" t="str">
        <f t="shared" si="14"/>
        <v>C</v>
      </c>
      <c r="AA203" s="217" t="str">
        <f t="shared" si="13"/>
        <v>UTILIZOU O PDA CORRETAMENTE</v>
      </c>
      <c r="AB203" s="92"/>
      <c r="AC203" s="164" t="s">
        <v>6</v>
      </c>
      <c r="AD203" s="151" t="str">
        <f t="shared" si="15"/>
        <v>GUARULHOS</v>
      </c>
      <c r="AE203" s="96" t="s">
        <v>63</v>
      </c>
      <c r="AF203" s="53">
        <v>0.93099334474711426</v>
      </c>
      <c r="AG203" s="53" t="str" cm="1">
        <f t="array" ref="AG203">IF(OR(O203&lt;&gt;"", SUMPRODUCT(($AH$2:$AH$4999=AH203)*($AF$2:$AF$4999&lt;=AF203)) &lt;= (COUNTIF($AH$2:$AH$4999,AH203)*0.3)), "SORTEADO", "-")</f>
        <v>SORTEADO</v>
      </c>
      <c r="AH203" s="257" t="str">
        <f t="shared" si="12"/>
        <v>09/04/2026</v>
      </c>
    </row>
    <row r="204" spans="1:34" ht="30" customHeight="1" x14ac:dyDescent="0.2">
      <c r="A204" s="230" t="s">
        <v>197</v>
      </c>
      <c r="B204" s="255">
        <v>2690060437</v>
      </c>
      <c r="C204" s="230" t="s">
        <v>127</v>
      </c>
      <c r="D204" s="230" t="s">
        <v>63</v>
      </c>
      <c r="E204" s="230" t="s">
        <v>198</v>
      </c>
      <c r="F204" s="230" t="s">
        <v>1632</v>
      </c>
      <c r="G204" s="230">
        <v>275</v>
      </c>
      <c r="H204" s="230" t="s">
        <v>276</v>
      </c>
      <c r="I204" s="230" t="s">
        <v>1587</v>
      </c>
      <c r="J204" s="230" t="s">
        <v>3271</v>
      </c>
      <c r="K204" s="230"/>
      <c r="L204" s="235" t="s">
        <v>726</v>
      </c>
      <c r="M204" s="235">
        <v>46269.598611111112</v>
      </c>
      <c r="N204" s="230" t="s">
        <v>1099</v>
      </c>
      <c r="O204" s="233" t="s">
        <v>204</v>
      </c>
      <c r="P204" s="9"/>
      <c r="Q204" s="146" t="s">
        <v>204</v>
      </c>
      <c r="R204" s="92"/>
      <c r="S204" s="146" t="s">
        <v>204</v>
      </c>
      <c r="T204" s="92"/>
      <c r="U204" s="146" t="s">
        <v>204</v>
      </c>
      <c r="V204" s="92"/>
      <c r="W204" s="146" t="s">
        <v>204</v>
      </c>
      <c r="X204" s="92"/>
      <c r="Y204" s="146" t="s">
        <v>204</v>
      </c>
      <c r="Z204" s="186" t="str">
        <f t="shared" si="14"/>
        <v>C</v>
      </c>
      <c r="AA204" s="217" t="str">
        <f t="shared" si="13"/>
        <v>UTILIZOU O PDA CORRETAMENTE</v>
      </c>
      <c r="AB204" s="92"/>
      <c r="AC204" s="164" t="s">
        <v>6</v>
      </c>
      <c r="AD204" s="151" t="str">
        <f t="shared" si="15"/>
        <v>GUARULHOS</v>
      </c>
      <c r="AE204" s="96" t="s">
        <v>63</v>
      </c>
      <c r="AF204" s="53">
        <v>0.76836577686797836</v>
      </c>
      <c r="AG204" s="53" t="str" cm="1">
        <f t="array" ref="AG204">IF(OR(O204&lt;&gt;"", SUMPRODUCT(($AH$2:$AH$4999=AH204)*($AF$2:$AF$4999&lt;=AF204)) &lt;= (COUNTIF($AH$2:$AH$4999,AH204)*0.3)), "SORTEADO", "-")</f>
        <v>SORTEADO</v>
      </c>
      <c r="AH204" s="257" t="str">
        <f t="shared" si="12"/>
        <v>09/04/2026</v>
      </c>
    </row>
    <row r="205" spans="1:34" ht="30" customHeight="1" x14ac:dyDescent="0.2">
      <c r="A205" s="230" t="s">
        <v>197</v>
      </c>
      <c r="B205" s="255">
        <v>2614992869</v>
      </c>
      <c r="C205" s="230" t="s">
        <v>133</v>
      </c>
      <c r="D205" s="230" t="s">
        <v>124</v>
      </c>
      <c r="E205" s="230" t="s">
        <v>198</v>
      </c>
      <c r="F205" s="230" t="s">
        <v>3531</v>
      </c>
      <c r="G205" s="230">
        <v>70</v>
      </c>
      <c r="H205" s="230" t="s">
        <v>1565</v>
      </c>
      <c r="I205" s="230" t="s">
        <v>791</v>
      </c>
      <c r="J205" s="230" t="s">
        <v>3275</v>
      </c>
      <c r="K205" s="230" t="s">
        <v>213</v>
      </c>
      <c r="L205" s="235" t="s">
        <v>726</v>
      </c>
      <c r="M205" s="235">
        <v>46269.445833333331</v>
      </c>
      <c r="N205" s="230" t="s">
        <v>3296</v>
      </c>
      <c r="O205" s="233" t="s">
        <v>204</v>
      </c>
      <c r="P205" s="9"/>
      <c r="Q205" s="146" t="s">
        <v>204</v>
      </c>
      <c r="R205" s="92"/>
      <c r="S205" s="146" t="s">
        <v>204</v>
      </c>
      <c r="T205" s="92"/>
      <c r="U205" s="146" t="s">
        <v>204</v>
      </c>
      <c r="V205" s="92"/>
      <c r="W205" s="146" t="s">
        <v>204</v>
      </c>
      <c r="X205" s="92"/>
      <c r="Y205" s="146" t="s">
        <v>204</v>
      </c>
      <c r="Z205" s="186" t="str">
        <f t="shared" si="14"/>
        <v>C</v>
      </c>
      <c r="AA205" s="217" t="str">
        <f t="shared" si="13"/>
        <v>UTILIZOU O PDA CORRETAMENTE</v>
      </c>
      <c r="AB205" s="92"/>
      <c r="AC205" s="164" t="s">
        <v>6</v>
      </c>
      <c r="AD205" s="151" t="str">
        <f t="shared" si="15"/>
        <v>GUARULHOS</v>
      </c>
      <c r="AE205" s="96" t="s">
        <v>63</v>
      </c>
      <c r="AF205" s="53">
        <v>0.23368356053344763</v>
      </c>
      <c r="AG205" s="53" t="str" cm="1">
        <f t="array" ref="AG205">IF(OR(O205&lt;&gt;"", SUMPRODUCT(($AH$2:$AH$4999=AH205)*($AF$2:$AF$4999&lt;=AF205)) &lt;= (COUNTIF($AH$2:$AH$4999,AH205)*0.3)), "SORTEADO", "-")</f>
        <v>SORTEADO</v>
      </c>
      <c r="AH205" s="257" t="str">
        <f t="shared" si="12"/>
        <v>09/04/2026</v>
      </c>
    </row>
    <row r="206" spans="1:34" ht="30" customHeight="1" x14ac:dyDescent="0.2">
      <c r="A206" s="230" t="s">
        <v>197</v>
      </c>
      <c r="B206" s="255">
        <v>2614827054</v>
      </c>
      <c r="C206" s="230" t="s">
        <v>126</v>
      </c>
      <c r="D206" s="230" t="s">
        <v>63</v>
      </c>
      <c r="E206" s="230" t="s">
        <v>198</v>
      </c>
      <c r="F206" s="230" t="s">
        <v>1797</v>
      </c>
      <c r="G206" s="230">
        <v>208</v>
      </c>
      <c r="H206" s="230" t="s">
        <v>3393</v>
      </c>
      <c r="I206" s="230" t="s">
        <v>730</v>
      </c>
      <c r="J206" s="230" t="s">
        <v>3271</v>
      </c>
      <c r="K206" s="230"/>
      <c r="L206" s="235" t="s">
        <v>726</v>
      </c>
      <c r="M206" s="235">
        <v>46269.446527777778</v>
      </c>
      <c r="N206" s="230" t="s">
        <v>260</v>
      </c>
      <c r="O206" s="233" t="s">
        <v>204</v>
      </c>
      <c r="P206" s="9"/>
      <c r="Q206" s="146" t="s">
        <v>204</v>
      </c>
      <c r="R206" s="92"/>
      <c r="S206" s="146" t="s">
        <v>204</v>
      </c>
      <c r="T206" s="92"/>
      <c r="U206" s="146" t="s">
        <v>204</v>
      </c>
      <c r="V206" s="92"/>
      <c r="W206" s="146" t="s">
        <v>204</v>
      </c>
      <c r="X206" s="92"/>
      <c r="Y206" s="146" t="s">
        <v>204</v>
      </c>
      <c r="Z206" s="186" t="str">
        <f t="shared" si="14"/>
        <v>C</v>
      </c>
      <c r="AA206" s="217" t="str">
        <f t="shared" si="13"/>
        <v>UTILIZOU O PDA CORRETAMENTE</v>
      </c>
      <c r="AB206" s="92"/>
      <c r="AC206" s="164" t="s">
        <v>6</v>
      </c>
      <c r="AD206" s="151" t="str">
        <f t="shared" si="15"/>
        <v>GUARULHOS</v>
      </c>
      <c r="AE206" s="96" t="s">
        <v>63</v>
      </c>
      <c r="AF206" s="53">
        <v>0.20414064066655688</v>
      </c>
      <c r="AG206" s="53" t="str" cm="1">
        <f t="array" ref="AG206">IF(OR(O206&lt;&gt;"", SUMPRODUCT(($AH$2:$AH$4999=AH206)*($AF$2:$AF$4999&lt;=AF206)) &lt;= (COUNTIF($AH$2:$AH$4999,AH206)*0.3)), "SORTEADO", "-")</f>
        <v>SORTEADO</v>
      </c>
      <c r="AH206" s="257" t="str">
        <f t="shared" si="12"/>
        <v>09/04/2026</v>
      </c>
    </row>
    <row r="207" spans="1:34" ht="30" customHeight="1" x14ac:dyDescent="0.2">
      <c r="A207" s="230" t="s">
        <v>197</v>
      </c>
      <c r="B207" s="255">
        <v>2614821636</v>
      </c>
      <c r="C207" s="230" t="s">
        <v>133</v>
      </c>
      <c r="D207" s="230" t="s">
        <v>124</v>
      </c>
      <c r="E207" s="230" t="s">
        <v>198</v>
      </c>
      <c r="F207" s="230" t="s">
        <v>2767</v>
      </c>
      <c r="G207" s="230">
        <v>228</v>
      </c>
      <c r="H207" s="230" t="s">
        <v>213</v>
      </c>
      <c r="I207" s="230" t="s">
        <v>485</v>
      </c>
      <c r="J207" s="230" t="s">
        <v>3275</v>
      </c>
      <c r="K207" s="230" t="s">
        <v>3532</v>
      </c>
      <c r="L207" s="235" t="s">
        <v>726</v>
      </c>
      <c r="M207" s="235">
        <v>46269.430555555555</v>
      </c>
      <c r="N207" s="230" t="s">
        <v>3289</v>
      </c>
      <c r="O207" s="233" t="s">
        <v>204</v>
      </c>
      <c r="P207" s="9"/>
      <c r="Q207" s="146" t="s">
        <v>204</v>
      </c>
      <c r="R207" s="92"/>
      <c r="S207" s="146" t="s">
        <v>204</v>
      </c>
      <c r="T207" s="92"/>
      <c r="U207" s="146" t="s">
        <v>204</v>
      </c>
      <c r="V207" s="92"/>
      <c r="W207" s="146" t="s">
        <v>204</v>
      </c>
      <c r="X207" s="92"/>
      <c r="Y207" s="146" t="s">
        <v>204</v>
      </c>
      <c r="Z207" s="186" t="str">
        <f t="shared" si="14"/>
        <v>C</v>
      </c>
      <c r="AA207" s="217" t="str">
        <f t="shared" si="13"/>
        <v>UTILIZOU O PDA CORRETAMENTE</v>
      </c>
      <c r="AB207" s="92"/>
      <c r="AC207" s="164" t="s">
        <v>6</v>
      </c>
      <c r="AD207" s="151" t="str">
        <f t="shared" si="15"/>
        <v>GUARULHOS</v>
      </c>
      <c r="AE207" s="96" t="s">
        <v>63</v>
      </c>
      <c r="AF207" s="53">
        <v>0.13936477518693519</v>
      </c>
      <c r="AG207" s="53" t="str" cm="1">
        <f t="array" ref="AG207">IF(OR(O207&lt;&gt;"", SUMPRODUCT(($AH$2:$AH$4999=AH207)*($AF$2:$AF$4999&lt;=AF207)) &lt;= (COUNTIF($AH$2:$AH$4999,AH207)*0.3)), "SORTEADO", "-")</f>
        <v>SORTEADO</v>
      </c>
      <c r="AH207" s="257" t="str">
        <f t="shared" si="12"/>
        <v>09/04/2026</v>
      </c>
    </row>
    <row r="208" spans="1:34" ht="30" customHeight="1" x14ac:dyDescent="0.2">
      <c r="A208" s="230" t="s">
        <v>197</v>
      </c>
      <c r="B208" s="255">
        <v>2615085122</v>
      </c>
      <c r="C208" s="230" t="s">
        <v>127</v>
      </c>
      <c r="D208" s="230" t="s">
        <v>63</v>
      </c>
      <c r="E208" s="230" t="s">
        <v>198</v>
      </c>
      <c r="F208" s="230" t="s">
        <v>3290</v>
      </c>
      <c r="G208" s="230">
        <v>41</v>
      </c>
      <c r="H208" s="230" t="s">
        <v>296</v>
      </c>
      <c r="I208" s="230" t="s">
        <v>335</v>
      </c>
      <c r="J208" s="230" t="s">
        <v>3275</v>
      </c>
      <c r="K208" s="230"/>
      <c r="L208" s="235" t="s">
        <v>726</v>
      </c>
      <c r="M208" s="235">
        <v>46269.649305555555</v>
      </c>
      <c r="N208" s="230" t="s">
        <v>3276</v>
      </c>
      <c r="O208" s="233" t="s">
        <v>204</v>
      </c>
      <c r="P208" s="9"/>
      <c r="Q208" s="146" t="s">
        <v>204</v>
      </c>
      <c r="R208" s="92"/>
      <c r="S208" s="146" t="s">
        <v>204</v>
      </c>
      <c r="T208" s="92"/>
      <c r="U208" s="146" t="s">
        <v>204</v>
      </c>
      <c r="V208" s="92"/>
      <c r="W208" s="146" t="s">
        <v>204</v>
      </c>
      <c r="X208" s="92"/>
      <c r="Y208" s="146" t="s">
        <v>204</v>
      </c>
      <c r="Z208" s="186" t="str">
        <f t="shared" si="14"/>
        <v>C</v>
      </c>
      <c r="AA208" s="217" t="str">
        <f t="shared" si="13"/>
        <v>UTILIZOU O PDA CORRETAMENTE</v>
      </c>
      <c r="AB208" s="92"/>
      <c r="AC208" s="164" t="s">
        <v>6</v>
      </c>
      <c r="AD208" s="151" t="str">
        <f t="shared" si="15"/>
        <v>GUARULHOS</v>
      </c>
      <c r="AE208" s="96" t="s">
        <v>63</v>
      </c>
      <c r="AF208" s="53">
        <v>0.28932854643861317</v>
      </c>
      <c r="AG208" s="53" t="str" cm="1">
        <f t="array" ref="AG208">IF(OR(O208&lt;&gt;"", SUMPRODUCT(($AH$2:$AH$4999=AH208)*($AF$2:$AF$4999&lt;=AF208)) &lt;= (COUNTIF($AH$2:$AH$4999,AH208)*0.3)), "SORTEADO", "-")</f>
        <v>SORTEADO</v>
      </c>
      <c r="AH208" s="257" t="str">
        <f t="shared" si="12"/>
        <v>09/04/2026</v>
      </c>
    </row>
    <row r="209" spans="1:34" ht="30" customHeight="1" x14ac:dyDescent="0.2">
      <c r="A209" s="230" t="s">
        <v>197</v>
      </c>
      <c r="B209" s="255">
        <v>2690072273</v>
      </c>
      <c r="C209" s="230" t="s">
        <v>127</v>
      </c>
      <c r="D209" s="230" t="s">
        <v>63</v>
      </c>
      <c r="E209" s="230" t="s">
        <v>198</v>
      </c>
      <c r="F209" s="230" t="s">
        <v>3533</v>
      </c>
      <c r="G209" s="230">
        <v>80</v>
      </c>
      <c r="H209" s="230" t="s">
        <v>3534</v>
      </c>
      <c r="I209" s="230" t="s">
        <v>315</v>
      </c>
      <c r="J209" s="230" t="s">
        <v>3275</v>
      </c>
      <c r="K209" s="230" t="s">
        <v>213</v>
      </c>
      <c r="L209" s="235" t="s">
        <v>726</v>
      </c>
      <c r="M209" s="235">
        <v>46269.603472222225</v>
      </c>
      <c r="N209" s="230" t="s">
        <v>3276</v>
      </c>
      <c r="O209" s="233" t="s">
        <v>204</v>
      </c>
      <c r="P209" s="9"/>
      <c r="Q209" s="146" t="s">
        <v>204</v>
      </c>
      <c r="R209" s="92"/>
      <c r="S209" s="146" t="s">
        <v>204</v>
      </c>
      <c r="T209" s="92"/>
      <c r="U209" s="146" t="s">
        <v>204</v>
      </c>
      <c r="V209" s="92"/>
      <c r="W209" s="146" t="s">
        <v>204</v>
      </c>
      <c r="X209" s="92"/>
      <c r="Y209" s="146" t="s">
        <v>204</v>
      </c>
      <c r="Z209" s="186" t="str">
        <f t="shared" si="14"/>
        <v>C</v>
      </c>
      <c r="AA209" s="217" t="str">
        <f t="shared" si="13"/>
        <v>UTILIZOU O PDA CORRETAMENTE</v>
      </c>
      <c r="AB209" s="92"/>
      <c r="AC209" s="164" t="s">
        <v>6</v>
      </c>
      <c r="AD209" s="151" t="str">
        <f t="shared" si="15"/>
        <v>GUARULHOS</v>
      </c>
      <c r="AE209" s="96" t="s">
        <v>63</v>
      </c>
      <c r="AF209" s="53">
        <v>2.1149552482105136E-2</v>
      </c>
      <c r="AG209" s="53" t="str" cm="1">
        <f t="array" ref="AG209">IF(OR(O209&lt;&gt;"", SUMPRODUCT(($AH$2:$AH$4999=AH209)*($AF$2:$AF$4999&lt;=AF209)) &lt;= (COUNTIF($AH$2:$AH$4999,AH209)*0.3)), "SORTEADO", "-")</f>
        <v>SORTEADO</v>
      </c>
      <c r="AH209" s="257" t="str">
        <f t="shared" si="12"/>
        <v>09/04/2026</v>
      </c>
    </row>
    <row r="210" spans="1:34" ht="30" customHeight="1" x14ac:dyDescent="0.2">
      <c r="A210" s="230" t="s">
        <v>197</v>
      </c>
      <c r="B210" s="255">
        <v>2690072363</v>
      </c>
      <c r="C210" s="230" t="s">
        <v>127</v>
      </c>
      <c r="D210" s="230" t="s">
        <v>63</v>
      </c>
      <c r="E210" s="230" t="s">
        <v>198</v>
      </c>
      <c r="F210" s="230" t="s">
        <v>3535</v>
      </c>
      <c r="G210" s="230">
        <v>112</v>
      </c>
      <c r="H210" s="230" t="s">
        <v>276</v>
      </c>
      <c r="I210" s="230" t="s">
        <v>200</v>
      </c>
      <c r="J210" s="230" t="s">
        <v>3275</v>
      </c>
      <c r="K210" s="230"/>
      <c r="L210" s="235" t="s">
        <v>726</v>
      </c>
      <c r="M210" s="235">
        <v>46269.564583333333</v>
      </c>
      <c r="N210" s="230" t="s">
        <v>3276</v>
      </c>
      <c r="O210" s="233" t="s">
        <v>204</v>
      </c>
      <c r="P210" s="9"/>
      <c r="Q210" s="146" t="s">
        <v>204</v>
      </c>
      <c r="R210" s="92"/>
      <c r="S210" s="146" t="s">
        <v>204</v>
      </c>
      <c r="T210" s="92"/>
      <c r="U210" s="146" t="s">
        <v>204</v>
      </c>
      <c r="V210" s="92"/>
      <c r="W210" s="146" t="s">
        <v>204</v>
      </c>
      <c r="X210" s="92"/>
      <c r="Y210" s="146" t="s">
        <v>204</v>
      </c>
      <c r="Z210" s="186" t="str">
        <f t="shared" si="14"/>
        <v>C</v>
      </c>
      <c r="AA210" s="217" t="str">
        <f t="shared" si="13"/>
        <v>UTILIZOU O PDA CORRETAMENTE</v>
      </c>
      <c r="AB210" s="92"/>
      <c r="AC210" s="164" t="s">
        <v>6</v>
      </c>
      <c r="AD210" s="151" t="str">
        <f t="shared" si="15"/>
        <v>GUARULHOS</v>
      </c>
      <c r="AE210" s="96" t="s">
        <v>63</v>
      </c>
      <c r="AF210" s="53">
        <v>0.30245308454881098</v>
      </c>
      <c r="AG210" s="53" t="str" cm="1">
        <f t="array" ref="AG210">IF(OR(O210&lt;&gt;"", SUMPRODUCT(($AH$2:$AH$4999=AH210)*($AF$2:$AF$4999&lt;=AF210)) &lt;= (COUNTIF($AH$2:$AH$4999,AH210)*0.3)), "SORTEADO", "-")</f>
        <v>SORTEADO</v>
      </c>
      <c r="AH210" s="257" t="str">
        <f t="shared" si="12"/>
        <v>09/04/2026</v>
      </c>
    </row>
    <row r="211" spans="1:34" ht="30" hidden="1" customHeight="1" x14ac:dyDescent="0.2">
      <c r="A211" s="230" t="s">
        <v>197</v>
      </c>
      <c r="B211" s="255">
        <v>2689996099</v>
      </c>
      <c r="C211" s="230" t="s">
        <v>133</v>
      </c>
      <c r="D211" s="230" t="s">
        <v>124</v>
      </c>
      <c r="E211" s="230" t="s">
        <v>198</v>
      </c>
      <c r="F211" s="230" t="s">
        <v>3536</v>
      </c>
      <c r="G211" s="230">
        <v>20</v>
      </c>
      <c r="H211" s="230"/>
      <c r="I211" s="230" t="s">
        <v>3537</v>
      </c>
      <c r="J211" s="230" t="s">
        <v>3275</v>
      </c>
      <c r="K211" s="230" t="s">
        <v>852</v>
      </c>
      <c r="L211" s="235" t="s">
        <v>726</v>
      </c>
      <c r="M211" s="235">
        <v>46269.504166666666</v>
      </c>
      <c r="N211" s="230" t="s">
        <v>432</v>
      </c>
      <c r="O211" s="233"/>
      <c r="P211" s="9"/>
      <c r="Q211" s="146"/>
      <c r="R211" s="92"/>
      <c r="S211" s="146"/>
      <c r="T211" s="92"/>
      <c r="U211" s="146"/>
      <c r="V211" s="92"/>
      <c r="W211" s="146"/>
      <c r="X211" s="92"/>
      <c r="Y211" s="146"/>
      <c r="Z211" s="186" t="str">
        <f t="shared" si="14"/>
        <v/>
      </c>
      <c r="AA211" s="217" t="b">
        <f t="shared" si="13"/>
        <v>0</v>
      </c>
      <c r="AB211" s="92"/>
      <c r="AC211" s="164" t="s">
        <v>6</v>
      </c>
      <c r="AD211" s="151" t="str">
        <f t="shared" si="15"/>
        <v>GUARULHOS</v>
      </c>
      <c r="AE211" s="96" t="s">
        <v>63</v>
      </c>
      <c r="AF211" s="53">
        <v>0.73184904223119018</v>
      </c>
      <c r="AG211" s="53" t="str" cm="1">
        <f t="array" ref="AG211">IF(OR(O211&lt;&gt;"", SUMPRODUCT(($AH$2:$AH$4999=AH211)*($AF$2:$AF$4999&lt;=AF211)) &lt;= (COUNTIF($AH$2:$AH$4999,AH211)*0.3)), "SORTEADO", "-")</f>
        <v>-</v>
      </c>
      <c r="AH211" s="257" t="str">
        <f t="shared" si="12"/>
        <v>09/04/2026</v>
      </c>
    </row>
    <row r="212" spans="1:34" ht="30" hidden="1" customHeight="1" x14ac:dyDescent="0.2">
      <c r="A212" s="230" t="s">
        <v>197</v>
      </c>
      <c r="B212" s="255">
        <v>2614815843</v>
      </c>
      <c r="C212" s="230" t="s">
        <v>133</v>
      </c>
      <c r="D212" s="230" t="s">
        <v>124</v>
      </c>
      <c r="E212" s="230" t="s">
        <v>198</v>
      </c>
      <c r="F212" s="230" t="s">
        <v>3538</v>
      </c>
      <c r="G212" s="230">
        <v>72</v>
      </c>
      <c r="H212" s="230" t="s">
        <v>3539</v>
      </c>
      <c r="I212" s="230" t="s">
        <v>3540</v>
      </c>
      <c r="J212" s="230" t="s">
        <v>3275</v>
      </c>
      <c r="K212" s="230" t="s">
        <v>3541</v>
      </c>
      <c r="L212" s="235" t="s">
        <v>726</v>
      </c>
      <c r="M212" s="235">
        <v>46269.504861111112</v>
      </c>
      <c r="N212" s="230" t="s">
        <v>3289</v>
      </c>
      <c r="O212" s="233"/>
      <c r="P212" s="9"/>
      <c r="Q212" s="146"/>
      <c r="R212" s="92"/>
      <c r="S212" s="146"/>
      <c r="T212" s="92"/>
      <c r="U212" s="146"/>
      <c r="V212" s="92"/>
      <c r="W212" s="146"/>
      <c r="X212" s="92"/>
      <c r="Y212" s="146"/>
      <c r="Z212" s="186" t="str">
        <f t="shared" si="14"/>
        <v/>
      </c>
      <c r="AA212" s="217" t="b">
        <f t="shared" si="13"/>
        <v>0</v>
      </c>
      <c r="AB212" s="92"/>
      <c r="AC212" s="164" t="s">
        <v>6</v>
      </c>
      <c r="AD212" s="151" t="str">
        <f t="shared" si="15"/>
        <v>GUARULHOS</v>
      </c>
      <c r="AE212" s="96" t="s">
        <v>63</v>
      </c>
      <c r="AF212" s="53">
        <v>0.14560310713107238</v>
      </c>
      <c r="AG212" s="53" t="str" cm="1">
        <f t="array" ref="AG212">IF(OR(O212&lt;&gt;"", SUMPRODUCT(($AH$2:$AH$4999=AH212)*($AF$2:$AF$4999&lt;=AF212)) &lt;= (COUNTIF($AH$2:$AH$4999,AH212)*0.3)), "SORTEADO", "-")</f>
        <v>-</v>
      </c>
      <c r="AH212" s="257" t="str">
        <f t="shared" si="12"/>
        <v>09/04/2026</v>
      </c>
    </row>
    <row r="213" spans="1:34" ht="30" hidden="1" customHeight="1" x14ac:dyDescent="0.2">
      <c r="A213" s="230" t="s">
        <v>197</v>
      </c>
      <c r="B213" s="255">
        <v>2689956548</v>
      </c>
      <c r="C213" s="230" t="s">
        <v>133</v>
      </c>
      <c r="D213" s="230" t="s">
        <v>124</v>
      </c>
      <c r="E213" s="230" t="s">
        <v>198</v>
      </c>
      <c r="F213" s="230" t="s">
        <v>2992</v>
      </c>
      <c r="G213" s="230">
        <v>31</v>
      </c>
      <c r="H213" s="230"/>
      <c r="I213" s="230" t="s">
        <v>509</v>
      </c>
      <c r="J213" s="230" t="s">
        <v>3275</v>
      </c>
      <c r="K213" s="230" t="s">
        <v>3499</v>
      </c>
      <c r="L213" s="235" t="s">
        <v>726</v>
      </c>
      <c r="M213" s="235">
        <v>46269.529166666667</v>
      </c>
      <c r="N213" s="230" t="s">
        <v>3296</v>
      </c>
      <c r="O213" s="233"/>
      <c r="P213" s="9"/>
      <c r="Q213" s="146"/>
      <c r="R213" s="92"/>
      <c r="S213" s="146"/>
      <c r="T213" s="92"/>
      <c r="U213" s="146"/>
      <c r="V213" s="92"/>
      <c r="W213" s="146"/>
      <c r="X213" s="92"/>
      <c r="Y213" s="146"/>
      <c r="Z213" s="186" t="str">
        <f t="shared" si="14"/>
        <v/>
      </c>
      <c r="AA213" s="217" t="b">
        <f t="shared" si="13"/>
        <v>0</v>
      </c>
      <c r="AB213" s="92"/>
      <c r="AC213" s="164" t="s">
        <v>6</v>
      </c>
      <c r="AD213" s="151" t="str">
        <f t="shared" si="15"/>
        <v>GUARULHOS</v>
      </c>
      <c r="AE213" s="96" t="s">
        <v>63</v>
      </c>
      <c r="AF213" s="53">
        <v>0.38576674407978728</v>
      </c>
      <c r="AG213" s="53" t="str" cm="1">
        <f t="array" ref="AG213">IF(OR(O213&lt;&gt;"", SUMPRODUCT(($AH$2:$AH$4999=AH213)*($AF$2:$AF$4999&lt;=AF213)) &lt;= (COUNTIF($AH$2:$AH$4999,AH213)*0.3)), "SORTEADO", "-")</f>
        <v>-</v>
      </c>
      <c r="AH213" s="257" t="str">
        <f t="shared" si="12"/>
        <v>09/04/2026</v>
      </c>
    </row>
    <row r="214" spans="1:34" ht="30" hidden="1" customHeight="1" x14ac:dyDescent="0.2">
      <c r="A214" s="230" t="s">
        <v>197</v>
      </c>
      <c r="B214" s="255">
        <v>2614841618</v>
      </c>
      <c r="C214" s="230" t="s">
        <v>126</v>
      </c>
      <c r="D214" s="230" t="s">
        <v>63</v>
      </c>
      <c r="E214" s="230" t="s">
        <v>198</v>
      </c>
      <c r="F214" s="230" t="s">
        <v>3542</v>
      </c>
      <c r="G214" s="230">
        <v>27</v>
      </c>
      <c r="H214" s="230" t="s">
        <v>213</v>
      </c>
      <c r="I214" s="230" t="s">
        <v>3543</v>
      </c>
      <c r="J214" s="230" t="s">
        <v>3271</v>
      </c>
      <c r="K214" s="230" t="s">
        <v>213</v>
      </c>
      <c r="L214" s="235" t="s">
        <v>726</v>
      </c>
      <c r="M214" s="235">
        <v>46269.59097222222</v>
      </c>
      <c r="N214" s="230" t="s">
        <v>250</v>
      </c>
      <c r="O214" s="233"/>
      <c r="P214" s="9"/>
      <c r="Q214" s="146"/>
      <c r="R214" s="92"/>
      <c r="S214" s="146"/>
      <c r="T214" s="92"/>
      <c r="U214" s="146"/>
      <c r="V214" s="92"/>
      <c r="W214" s="146"/>
      <c r="X214" s="92"/>
      <c r="Y214" s="146"/>
      <c r="Z214" s="186" t="str">
        <f t="shared" si="14"/>
        <v/>
      </c>
      <c r="AA214" s="217" t="b">
        <f t="shared" si="13"/>
        <v>0</v>
      </c>
      <c r="AB214" s="92"/>
      <c r="AC214" s="164" t="s">
        <v>6</v>
      </c>
      <c r="AD214" s="151" t="str">
        <f t="shared" si="15"/>
        <v>GUARULHOS</v>
      </c>
      <c r="AE214" s="96" t="s">
        <v>63</v>
      </c>
      <c r="AF214" s="53">
        <v>0.93045074851869924</v>
      </c>
      <c r="AG214" s="53" t="str" cm="1">
        <f t="array" ref="AG214">IF(OR(O214&lt;&gt;"", SUMPRODUCT(($AH$2:$AH$4999=AH214)*($AF$2:$AF$4999&lt;=AF214)) &lt;= (COUNTIF($AH$2:$AH$4999,AH214)*0.3)), "SORTEADO", "-")</f>
        <v>-</v>
      </c>
      <c r="AH214" s="257" t="str">
        <f t="shared" si="12"/>
        <v>09/04/2026</v>
      </c>
    </row>
    <row r="215" spans="1:34" ht="30" hidden="1" customHeight="1" x14ac:dyDescent="0.2">
      <c r="A215" s="230" t="s">
        <v>197</v>
      </c>
      <c r="B215" s="255">
        <v>2614992030</v>
      </c>
      <c r="C215" s="230" t="s">
        <v>133</v>
      </c>
      <c r="D215" s="230" t="s">
        <v>124</v>
      </c>
      <c r="E215" s="230" t="s">
        <v>198</v>
      </c>
      <c r="F215" s="230" t="s">
        <v>3544</v>
      </c>
      <c r="G215" s="230">
        <v>394</v>
      </c>
      <c r="H215" s="230" t="s">
        <v>3545</v>
      </c>
      <c r="I215" s="230" t="s">
        <v>366</v>
      </c>
      <c r="J215" s="230" t="s">
        <v>3275</v>
      </c>
      <c r="K215" s="230" t="s">
        <v>3546</v>
      </c>
      <c r="L215" s="235" t="s">
        <v>726</v>
      </c>
      <c r="M215" s="235">
        <v>46269.592361111114</v>
      </c>
      <c r="N215" s="230" t="s">
        <v>3289</v>
      </c>
      <c r="O215" s="233"/>
      <c r="P215" s="9"/>
      <c r="Q215" s="146"/>
      <c r="R215" s="92"/>
      <c r="S215" s="146"/>
      <c r="T215" s="92"/>
      <c r="U215" s="146"/>
      <c r="V215" s="92"/>
      <c r="W215" s="146"/>
      <c r="X215" s="92"/>
      <c r="Y215" s="146"/>
      <c r="Z215" s="186" t="str">
        <f t="shared" si="14"/>
        <v/>
      </c>
      <c r="AA215" s="217" t="b">
        <f t="shared" si="13"/>
        <v>0</v>
      </c>
      <c r="AB215" s="92"/>
      <c r="AC215" s="164" t="s">
        <v>6</v>
      </c>
      <c r="AD215" s="151" t="str">
        <f t="shared" si="15"/>
        <v>GUARULHOS</v>
      </c>
      <c r="AE215" s="96" t="s">
        <v>63</v>
      </c>
      <c r="AF215" s="53">
        <v>0.28482585024521784</v>
      </c>
      <c r="AG215" s="53" t="str" cm="1">
        <f t="array" ref="AG215">IF(OR(O215&lt;&gt;"", SUMPRODUCT(($AH$2:$AH$4999=AH215)*($AF$2:$AF$4999&lt;=AF215)) &lt;= (COUNTIF($AH$2:$AH$4999,AH215)*0.3)), "SORTEADO", "-")</f>
        <v>-</v>
      </c>
      <c r="AH215" s="257" t="str">
        <f t="shared" si="12"/>
        <v>09/04/2026</v>
      </c>
    </row>
    <row r="216" spans="1:34" ht="30" hidden="1" customHeight="1" x14ac:dyDescent="0.2">
      <c r="A216" s="230" t="s">
        <v>197</v>
      </c>
      <c r="B216" s="255">
        <v>2615069808</v>
      </c>
      <c r="C216" s="230" t="s">
        <v>133</v>
      </c>
      <c r="D216" s="230" t="s">
        <v>124</v>
      </c>
      <c r="E216" s="230" t="s">
        <v>198</v>
      </c>
      <c r="F216" s="230" t="s">
        <v>3547</v>
      </c>
      <c r="G216" s="230">
        <v>271</v>
      </c>
      <c r="H216" s="230" t="s">
        <v>461</v>
      </c>
      <c r="I216" s="230" t="s">
        <v>591</v>
      </c>
      <c r="J216" s="230" t="s">
        <v>3275</v>
      </c>
      <c r="K216" s="230" t="s">
        <v>3344</v>
      </c>
      <c r="L216" s="235" t="s">
        <v>726</v>
      </c>
      <c r="M216" s="235">
        <v>46269.65625</v>
      </c>
      <c r="N216" s="230" t="s">
        <v>3289</v>
      </c>
      <c r="O216" s="233"/>
      <c r="P216" s="9"/>
      <c r="Q216" s="146"/>
      <c r="R216" s="92"/>
      <c r="S216" s="146"/>
      <c r="T216" s="92"/>
      <c r="U216" s="146"/>
      <c r="V216" s="92"/>
      <c r="W216" s="146"/>
      <c r="X216" s="92"/>
      <c r="Y216" s="146"/>
      <c r="Z216" s="186" t="str">
        <f t="shared" si="14"/>
        <v/>
      </c>
      <c r="AA216" s="217" t="b">
        <f t="shared" si="13"/>
        <v>0</v>
      </c>
      <c r="AB216" s="92"/>
      <c r="AC216" s="164" t="s">
        <v>6</v>
      </c>
      <c r="AD216" s="151" t="str">
        <f t="shared" si="15"/>
        <v>GUARULHOS</v>
      </c>
      <c r="AE216" s="96" t="s">
        <v>63</v>
      </c>
      <c r="AF216" s="53">
        <v>0.32064445198480185</v>
      </c>
      <c r="AG216" s="53" t="str" cm="1">
        <f t="array" ref="AG216">IF(OR(O216&lt;&gt;"", SUMPRODUCT(($AH$2:$AH$4999=AH216)*($AF$2:$AF$4999&lt;=AF216)) &lt;= (COUNTIF($AH$2:$AH$4999,AH216)*0.3)), "SORTEADO", "-")</f>
        <v>-</v>
      </c>
      <c r="AH216" s="257" t="str">
        <f t="shared" si="12"/>
        <v>09/04/2026</v>
      </c>
    </row>
    <row r="217" spans="1:34" ht="30" hidden="1" customHeight="1" x14ac:dyDescent="0.2">
      <c r="A217" s="230" t="s">
        <v>197</v>
      </c>
      <c r="B217" s="255">
        <v>2690042496</v>
      </c>
      <c r="C217" s="230" t="s">
        <v>127</v>
      </c>
      <c r="D217" s="230" t="s">
        <v>63</v>
      </c>
      <c r="E217" s="230" t="s">
        <v>198</v>
      </c>
      <c r="F217" s="230" t="s">
        <v>1629</v>
      </c>
      <c r="G217" s="230">
        <v>301</v>
      </c>
      <c r="H217" s="230" t="s">
        <v>3548</v>
      </c>
      <c r="I217" s="230" t="s">
        <v>881</v>
      </c>
      <c r="J217" s="230" t="s">
        <v>3271</v>
      </c>
      <c r="K217" s="230"/>
      <c r="L217" s="235" t="s">
        <v>726</v>
      </c>
      <c r="M217" s="235">
        <v>46269.630555555559</v>
      </c>
      <c r="N217" s="230" t="s">
        <v>244</v>
      </c>
      <c r="O217" s="233"/>
      <c r="P217" s="9"/>
      <c r="Q217" s="146"/>
      <c r="R217" s="92"/>
      <c r="S217" s="146"/>
      <c r="T217" s="92"/>
      <c r="U217" s="146"/>
      <c r="V217" s="92"/>
      <c r="W217" s="146"/>
      <c r="X217" s="92"/>
      <c r="Y217" s="146"/>
      <c r="Z217" s="186" t="str">
        <f t="shared" si="14"/>
        <v/>
      </c>
      <c r="AA217" s="217" t="b">
        <f t="shared" si="13"/>
        <v>0</v>
      </c>
      <c r="AB217" s="92"/>
      <c r="AC217" s="164" t="s">
        <v>6</v>
      </c>
      <c r="AD217" s="151" t="str">
        <f t="shared" si="15"/>
        <v>GUARULHOS</v>
      </c>
      <c r="AE217" s="96" t="s">
        <v>63</v>
      </c>
      <c r="AF217" s="53">
        <v>0.45261447768692642</v>
      </c>
      <c r="AG217" s="53" t="str" cm="1">
        <f t="array" ref="AG217">IF(OR(O217&lt;&gt;"", SUMPRODUCT(($AH$2:$AH$4999=AH217)*($AF$2:$AF$4999&lt;=AF217)) &lt;= (COUNTIF($AH$2:$AH$4999,AH217)*0.3)), "SORTEADO", "-")</f>
        <v>-</v>
      </c>
      <c r="AH217" s="257" t="str">
        <f t="shared" si="12"/>
        <v>09/04/2026</v>
      </c>
    </row>
    <row r="218" spans="1:34" ht="30" hidden="1" customHeight="1" x14ac:dyDescent="0.2">
      <c r="A218" s="230" t="s">
        <v>197</v>
      </c>
      <c r="B218" s="255">
        <v>2690093474</v>
      </c>
      <c r="C218" s="230" t="s">
        <v>127</v>
      </c>
      <c r="D218" s="230" t="s">
        <v>63</v>
      </c>
      <c r="E218" s="230" t="s">
        <v>198</v>
      </c>
      <c r="F218" s="230" t="s">
        <v>275</v>
      </c>
      <c r="G218" s="230">
        <v>247</v>
      </c>
      <c r="H218" s="230" t="s">
        <v>213</v>
      </c>
      <c r="I218" s="230" t="s">
        <v>277</v>
      </c>
      <c r="J218" s="230" t="s">
        <v>3271</v>
      </c>
      <c r="K218" s="230" t="s">
        <v>831</v>
      </c>
      <c r="L218" s="235" t="s">
        <v>726</v>
      </c>
      <c r="M218" s="235">
        <v>46269.671527777777</v>
      </c>
      <c r="N218" s="230" t="s">
        <v>348</v>
      </c>
      <c r="O218" s="233"/>
      <c r="P218" s="9"/>
      <c r="Q218" s="146"/>
      <c r="R218" s="92"/>
      <c r="S218" s="146"/>
      <c r="T218" s="92"/>
      <c r="U218" s="146"/>
      <c r="V218" s="92"/>
      <c r="W218" s="146"/>
      <c r="X218" s="92"/>
      <c r="Y218" s="146"/>
      <c r="Z218" s="186" t="str">
        <f t="shared" si="14"/>
        <v/>
      </c>
      <c r="AA218" s="217" t="b">
        <f t="shared" si="13"/>
        <v>0</v>
      </c>
      <c r="AB218" s="92"/>
      <c r="AC218" s="164" t="s">
        <v>6</v>
      </c>
      <c r="AD218" s="151" t="str">
        <f t="shared" si="15"/>
        <v>GUARULHOS</v>
      </c>
      <c r="AE218" s="96" t="s">
        <v>63</v>
      </c>
      <c r="AF218" s="53">
        <v>0.39584100352188806</v>
      </c>
      <c r="AG218" s="53" t="str" cm="1">
        <f t="array" ref="AG218">IF(OR(O218&lt;&gt;"", SUMPRODUCT(($AH$2:$AH$4999=AH218)*($AF$2:$AF$4999&lt;=AF218)) &lt;= (COUNTIF($AH$2:$AH$4999,AH218)*0.3)), "SORTEADO", "-")</f>
        <v>-</v>
      </c>
      <c r="AH218" s="257" t="str">
        <f t="shared" si="12"/>
        <v>09/04/2026</v>
      </c>
    </row>
    <row r="219" spans="1:34" ht="30" hidden="1" customHeight="1" x14ac:dyDescent="0.2">
      <c r="A219" s="230" t="s">
        <v>197</v>
      </c>
      <c r="B219" s="255">
        <v>2615083657</v>
      </c>
      <c r="C219" s="230" t="s">
        <v>133</v>
      </c>
      <c r="D219" s="230" t="s">
        <v>124</v>
      </c>
      <c r="E219" s="230" t="s">
        <v>198</v>
      </c>
      <c r="F219" s="230" t="s">
        <v>1141</v>
      </c>
      <c r="G219" s="230">
        <v>534</v>
      </c>
      <c r="H219" s="230" t="s">
        <v>3549</v>
      </c>
      <c r="I219" s="230" t="s">
        <v>893</v>
      </c>
      <c r="J219" s="230" t="s">
        <v>3275</v>
      </c>
      <c r="K219" s="230" t="s">
        <v>3344</v>
      </c>
      <c r="L219" s="235" t="s">
        <v>726</v>
      </c>
      <c r="M219" s="235">
        <v>46269.692361111112</v>
      </c>
      <c r="N219" s="230" t="s">
        <v>3289</v>
      </c>
      <c r="O219" s="233"/>
      <c r="P219" s="9"/>
      <c r="Q219" s="146"/>
      <c r="R219" s="92"/>
      <c r="S219" s="146"/>
      <c r="T219" s="92"/>
      <c r="U219" s="146"/>
      <c r="V219" s="92"/>
      <c r="W219" s="146"/>
      <c r="X219" s="92"/>
      <c r="Y219" s="146"/>
      <c r="Z219" s="186" t="str">
        <f t="shared" si="14"/>
        <v/>
      </c>
      <c r="AA219" s="217" t="b">
        <f t="shared" si="13"/>
        <v>0</v>
      </c>
      <c r="AB219" s="92"/>
      <c r="AC219" s="164" t="s">
        <v>6</v>
      </c>
      <c r="AD219" s="151" t="str">
        <f t="shared" si="15"/>
        <v>GUARULHOS</v>
      </c>
      <c r="AE219" s="96" t="s">
        <v>63</v>
      </c>
      <c r="AF219" s="53">
        <v>0.16376187782481091</v>
      </c>
      <c r="AG219" s="53" t="str" cm="1">
        <f t="array" ref="AG219">IF(OR(O219&lt;&gt;"", SUMPRODUCT(($AH$2:$AH$4999=AH219)*($AF$2:$AF$4999&lt;=AF219)) &lt;= (COUNTIF($AH$2:$AH$4999,AH219)*0.3)), "SORTEADO", "-")</f>
        <v>-</v>
      </c>
      <c r="AH219" s="257" t="str">
        <f t="shared" si="12"/>
        <v>09/04/2026</v>
      </c>
    </row>
    <row r="220" spans="1:34" ht="30" hidden="1" customHeight="1" x14ac:dyDescent="0.2">
      <c r="A220" s="230" t="s">
        <v>197</v>
      </c>
      <c r="B220" s="255">
        <v>2689994626</v>
      </c>
      <c r="C220" s="230" t="s">
        <v>135</v>
      </c>
      <c r="D220" s="230" t="s">
        <v>124</v>
      </c>
      <c r="E220" s="230" t="s">
        <v>198</v>
      </c>
      <c r="F220" s="230" t="s">
        <v>786</v>
      </c>
      <c r="G220" s="230">
        <v>286</v>
      </c>
      <c r="H220" s="230" t="s">
        <v>213</v>
      </c>
      <c r="I220" s="230" t="s">
        <v>787</v>
      </c>
      <c r="J220" s="230" t="s">
        <v>3280</v>
      </c>
      <c r="K220" s="230" t="s">
        <v>788</v>
      </c>
      <c r="L220" s="235" t="s">
        <v>726</v>
      </c>
      <c r="M220" s="235">
        <v>46269.724305555559</v>
      </c>
      <c r="N220" s="230" t="s">
        <v>271</v>
      </c>
      <c r="O220" s="233"/>
      <c r="P220" s="9"/>
      <c r="Q220" s="146"/>
      <c r="R220" s="92"/>
      <c r="S220" s="146"/>
      <c r="T220" s="92"/>
      <c r="U220" s="146"/>
      <c r="V220" s="92"/>
      <c r="W220" s="146"/>
      <c r="X220" s="92"/>
      <c r="Y220" s="146"/>
      <c r="Z220" s="186" t="str">
        <f t="shared" si="14"/>
        <v/>
      </c>
      <c r="AA220" s="217" t="b">
        <f t="shared" si="13"/>
        <v>0</v>
      </c>
      <c r="AB220" s="92"/>
      <c r="AC220" s="164" t="s">
        <v>6</v>
      </c>
      <c r="AD220" s="151" t="str">
        <f t="shared" si="15"/>
        <v>GUARULHOS</v>
      </c>
      <c r="AE220" s="96" t="s">
        <v>63</v>
      </c>
      <c r="AF220" s="53">
        <v>0.91387070585570218</v>
      </c>
      <c r="AG220" s="53" t="str" cm="1">
        <f t="array" ref="AG220">IF(OR(O220&lt;&gt;"", SUMPRODUCT(($AH$2:$AH$4999=AH220)*($AF$2:$AF$4999&lt;=AF220)) &lt;= (COUNTIF($AH$2:$AH$4999,AH220)*0.3)), "SORTEADO", "-")</f>
        <v>-</v>
      </c>
      <c r="AH220" s="257" t="str">
        <f t="shared" si="12"/>
        <v>09/04/2026</v>
      </c>
    </row>
    <row r="221" spans="1:34" ht="30" hidden="1" customHeight="1" x14ac:dyDescent="0.2">
      <c r="A221" s="230" t="s">
        <v>197</v>
      </c>
      <c r="B221" s="255">
        <v>2615231348</v>
      </c>
      <c r="C221" s="230" t="s">
        <v>126</v>
      </c>
      <c r="D221" s="230" t="s">
        <v>63</v>
      </c>
      <c r="E221" s="230" t="s">
        <v>198</v>
      </c>
      <c r="F221" s="230" t="s">
        <v>3550</v>
      </c>
      <c r="G221" s="230">
        <v>56</v>
      </c>
      <c r="H221" s="230" t="s">
        <v>213</v>
      </c>
      <c r="I221" s="230" t="s">
        <v>1944</v>
      </c>
      <c r="J221" s="230" t="s">
        <v>3271</v>
      </c>
      <c r="K221" s="230" t="s">
        <v>213</v>
      </c>
      <c r="L221" s="235" t="s">
        <v>793</v>
      </c>
      <c r="M221" s="235">
        <v>46299.461111111108</v>
      </c>
      <c r="N221" s="230" t="s">
        <v>1099</v>
      </c>
      <c r="O221" s="233"/>
      <c r="P221" s="9"/>
      <c r="Q221" s="146"/>
      <c r="R221" s="92"/>
      <c r="S221" s="146"/>
      <c r="T221" s="92"/>
      <c r="U221" s="146"/>
      <c r="V221" s="92"/>
      <c r="W221" s="146"/>
      <c r="X221" s="92"/>
      <c r="Y221" s="146"/>
      <c r="Z221" s="186" t="str">
        <f t="shared" si="14"/>
        <v/>
      </c>
      <c r="AA221" s="217" t="b">
        <f t="shared" si="13"/>
        <v>0</v>
      </c>
      <c r="AB221" s="92"/>
      <c r="AC221" s="164" t="s">
        <v>6</v>
      </c>
      <c r="AD221" s="151" t="str">
        <f t="shared" si="15"/>
        <v>GUARULHOS</v>
      </c>
      <c r="AE221" s="96" t="s">
        <v>63</v>
      </c>
      <c r="AF221" s="53">
        <v>0.69794092029591426</v>
      </c>
      <c r="AG221" s="53" t="str" cm="1">
        <f t="array" ref="AG221">IF(OR(O221&lt;&gt;"", SUMPRODUCT(($AH$2:$AH$4999=AH221)*($AF$2:$AF$4999&lt;=AF221)) &lt;= (COUNTIF($AH$2:$AH$4999,AH221)*0.3)), "SORTEADO", "-")</f>
        <v>-</v>
      </c>
      <c r="AH221" s="257" t="str">
        <f t="shared" si="12"/>
        <v>10/04/2026</v>
      </c>
    </row>
    <row r="222" spans="1:34" ht="30" customHeight="1" x14ac:dyDescent="0.2">
      <c r="A222" s="230" t="s">
        <v>197</v>
      </c>
      <c r="B222" s="255">
        <v>2690172588</v>
      </c>
      <c r="C222" s="230" t="s">
        <v>127</v>
      </c>
      <c r="D222" s="230" t="s">
        <v>63</v>
      </c>
      <c r="E222" s="230" t="s">
        <v>198</v>
      </c>
      <c r="F222" s="230" t="s">
        <v>1632</v>
      </c>
      <c r="G222" s="230">
        <v>450</v>
      </c>
      <c r="H222" s="230" t="s">
        <v>3551</v>
      </c>
      <c r="I222" s="230" t="s">
        <v>1587</v>
      </c>
      <c r="J222" s="230" t="s">
        <v>3271</v>
      </c>
      <c r="K222" s="230" t="s">
        <v>3552</v>
      </c>
      <c r="L222" s="235" t="s">
        <v>793</v>
      </c>
      <c r="M222" s="235">
        <v>46299.45</v>
      </c>
      <c r="N222" s="230" t="s">
        <v>1099</v>
      </c>
      <c r="O222" s="233" t="s">
        <v>204</v>
      </c>
      <c r="P222" s="9"/>
      <c r="Q222" s="146" t="s">
        <v>204</v>
      </c>
      <c r="R222" s="92"/>
      <c r="S222" s="146" t="s">
        <v>204</v>
      </c>
      <c r="T222" s="92"/>
      <c r="U222" s="146" t="s">
        <v>204</v>
      </c>
      <c r="V222" s="92"/>
      <c r="W222" s="146" t="s">
        <v>204</v>
      </c>
      <c r="X222" s="92"/>
      <c r="Y222" s="146" t="s">
        <v>204</v>
      </c>
      <c r="Z222" s="186" t="str">
        <f t="shared" si="14"/>
        <v>C</v>
      </c>
      <c r="AA222" s="217" t="str">
        <f t="shared" si="13"/>
        <v>UTILIZOU O PDA CORRETAMENTE</v>
      </c>
      <c r="AB222" s="92" t="s">
        <v>204</v>
      </c>
      <c r="AC222" s="164" t="s">
        <v>6</v>
      </c>
      <c r="AD222" s="151" t="str">
        <f t="shared" si="15"/>
        <v>GUARULHOS</v>
      </c>
      <c r="AE222" s="96" t="s">
        <v>63</v>
      </c>
      <c r="AF222" s="53">
        <v>0.17462172495435085</v>
      </c>
      <c r="AG222" s="53" t="str" cm="1">
        <f t="array" ref="AG222">IF(OR(O222&lt;&gt;"", SUMPRODUCT(($AH$2:$AH$4999=AH222)*($AF$2:$AF$4999&lt;=AF222)) &lt;= (COUNTIF($AH$2:$AH$4999,AH222)*0.3)), "SORTEADO", "-")</f>
        <v>SORTEADO</v>
      </c>
      <c r="AH222" s="257" t="str">
        <f t="shared" si="12"/>
        <v>10/04/2026</v>
      </c>
    </row>
    <row r="223" spans="1:34" ht="30" customHeight="1" x14ac:dyDescent="0.2">
      <c r="A223" s="230" t="s">
        <v>197</v>
      </c>
      <c r="B223" s="255">
        <v>2690117704</v>
      </c>
      <c r="C223" s="230" t="s">
        <v>127</v>
      </c>
      <c r="D223" s="230" t="s">
        <v>63</v>
      </c>
      <c r="E223" s="230" t="s">
        <v>198</v>
      </c>
      <c r="F223" s="230" t="s">
        <v>3553</v>
      </c>
      <c r="G223" s="230">
        <v>77</v>
      </c>
      <c r="H223" s="230" t="s">
        <v>3554</v>
      </c>
      <c r="I223" s="230" t="s">
        <v>1695</v>
      </c>
      <c r="J223" s="230" t="s">
        <v>3275</v>
      </c>
      <c r="K223" s="230" t="s">
        <v>213</v>
      </c>
      <c r="L223" s="235" t="s">
        <v>793</v>
      </c>
      <c r="M223" s="235">
        <v>46299.405555555553</v>
      </c>
      <c r="N223" s="230" t="s">
        <v>294</v>
      </c>
      <c r="O223" s="233" t="s">
        <v>204</v>
      </c>
      <c r="P223" s="9"/>
      <c r="Q223" s="146" t="s">
        <v>204</v>
      </c>
      <c r="R223" s="92"/>
      <c r="S223" s="146" t="s">
        <v>204</v>
      </c>
      <c r="T223" s="92"/>
      <c r="U223" s="146" t="s">
        <v>204</v>
      </c>
      <c r="V223" s="92"/>
      <c r="W223" s="146" t="s">
        <v>204</v>
      </c>
      <c r="X223" s="92"/>
      <c r="Y223" s="146" t="s">
        <v>204</v>
      </c>
      <c r="Z223" s="186" t="str">
        <f t="shared" si="14"/>
        <v>C</v>
      </c>
      <c r="AA223" s="217" t="str">
        <f t="shared" si="13"/>
        <v>UTILIZOU O PDA CORRETAMENTE</v>
      </c>
      <c r="AB223" s="92" t="s">
        <v>204</v>
      </c>
      <c r="AC223" s="164" t="s">
        <v>6</v>
      </c>
      <c r="AD223" s="151" t="str">
        <f t="shared" si="15"/>
        <v>GUARULHOS</v>
      </c>
      <c r="AE223" s="96" t="s">
        <v>63</v>
      </c>
      <c r="AF223" s="53">
        <v>0.28216645901948811</v>
      </c>
      <c r="AG223" s="53" t="str" cm="1">
        <f t="array" ref="AG223">IF(OR(O223&lt;&gt;"", SUMPRODUCT(($AH$2:$AH$4999=AH223)*($AF$2:$AF$4999&lt;=AF223)) &lt;= (COUNTIF($AH$2:$AH$4999,AH223)*0.3)), "SORTEADO", "-")</f>
        <v>SORTEADO</v>
      </c>
      <c r="AH223" s="257" t="str">
        <f t="shared" si="12"/>
        <v>10/04/2026</v>
      </c>
    </row>
    <row r="224" spans="1:34" ht="30" hidden="1" customHeight="1" x14ac:dyDescent="0.2">
      <c r="A224" s="230" t="s">
        <v>197</v>
      </c>
      <c r="B224" s="255">
        <v>2690112924</v>
      </c>
      <c r="C224" s="230" t="s">
        <v>127</v>
      </c>
      <c r="D224" s="230" t="s">
        <v>63</v>
      </c>
      <c r="E224" s="230" t="s">
        <v>198</v>
      </c>
      <c r="F224" s="230" t="s">
        <v>1318</v>
      </c>
      <c r="G224" s="230">
        <v>541</v>
      </c>
      <c r="H224" s="230"/>
      <c r="I224" s="230" t="s">
        <v>200</v>
      </c>
      <c r="J224" s="230" t="s">
        <v>3275</v>
      </c>
      <c r="K224" s="230"/>
      <c r="L224" s="235" t="s">
        <v>793</v>
      </c>
      <c r="M224" s="235">
        <v>46299.480555555558</v>
      </c>
      <c r="N224" s="230" t="s">
        <v>3276</v>
      </c>
      <c r="O224" s="233"/>
      <c r="P224" s="9"/>
      <c r="Q224" s="146"/>
      <c r="R224" s="92"/>
      <c r="S224" s="146"/>
      <c r="T224" s="92"/>
      <c r="U224" s="146"/>
      <c r="V224" s="92"/>
      <c r="W224" s="146"/>
      <c r="X224" s="92"/>
      <c r="Y224" s="146"/>
      <c r="Z224" s="186" t="str">
        <f t="shared" si="14"/>
        <v/>
      </c>
      <c r="AA224" s="217" t="b">
        <f t="shared" si="13"/>
        <v>0</v>
      </c>
      <c r="AB224" s="92"/>
      <c r="AC224" s="164" t="s">
        <v>6</v>
      </c>
      <c r="AD224" s="151" t="str">
        <f t="shared" si="15"/>
        <v>GUARULHOS</v>
      </c>
      <c r="AE224" s="96" t="s">
        <v>63</v>
      </c>
      <c r="AF224" s="53">
        <v>0.65617602706570155</v>
      </c>
      <c r="AG224" s="53" t="str" cm="1">
        <f t="array" ref="AG224">IF(OR(O224&lt;&gt;"", SUMPRODUCT(($AH$2:$AH$4999=AH224)*($AF$2:$AF$4999&lt;=AF224)) &lt;= (COUNTIF($AH$2:$AH$4999,AH224)*0.3)), "SORTEADO", "-")</f>
        <v>-</v>
      </c>
      <c r="AH224" s="257" t="str">
        <f t="shared" si="12"/>
        <v>10/04/2026</v>
      </c>
    </row>
    <row r="225" spans="1:34" ht="30" customHeight="1" x14ac:dyDescent="0.2">
      <c r="A225" s="230" t="s">
        <v>197</v>
      </c>
      <c r="B225" s="255">
        <v>2690155613</v>
      </c>
      <c r="C225" s="230" t="s">
        <v>127</v>
      </c>
      <c r="D225" s="230" t="s">
        <v>63</v>
      </c>
      <c r="E225" s="230" t="s">
        <v>198</v>
      </c>
      <c r="F225" s="230" t="s">
        <v>748</v>
      </c>
      <c r="G225" s="230">
        <v>359</v>
      </c>
      <c r="H225" s="230" t="s">
        <v>555</v>
      </c>
      <c r="I225" s="230" t="s">
        <v>253</v>
      </c>
      <c r="J225" s="230" t="s">
        <v>3275</v>
      </c>
      <c r="K225" s="230"/>
      <c r="L225" s="235" t="s">
        <v>793</v>
      </c>
      <c r="M225" s="235">
        <v>46299.591666666667</v>
      </c>
      <c r="N225" s="230" t="s">
        <v>3276</v>
      </c>
      <c r="O225" s="233" t="s">
        <v>204</v>
      </c>
      <c r="P225" s="9"/>
      <c r="Q225" s="146" t="s">
        <v>204</v>
      </c>
      <c r="R225" s="92"/>
      <c r="S225" s="146" t="s">
        <v>204</v>
      </c>
      <c r="T225" s="92"/>
      <c r="U225" s="146" t="s">
        <v>204</v>
      </c>
      <c r="V225" s="92"/>
      <c r="W225" s="146" t="s">
        <v>204</v>
      </c>
      <c r="X225" s="92"/>
      <c r="Y225" s="146" t="s">
        <v>204</v>
      </c>
      <c r="Z225" s="186" t="str">
        <f t="shared" si="14"/>
        <v>C</v>
      </c>
      <c r="AA225" s="217" t="str">
        <f t="shared" si="13"/>
        <v>UTILIZOU O PDA CORRETAMENTE</v>
      </c>
      <c r="AB225" s="92" t="s">
        <v>204</v>
      </c>
      <c r="AC225" s="164" t="s">
        <v>6</v>
      </c>
      <c r="AD225" s="151" t="str">
        <f t="shared" si="15"/>
        <v>GUARULHOS</v>
      </c>
      <c r="AE225" s="96" t="s">
        <v>63</v>
      </c>
      <c r="AF225" s="53">
        <v>0.40485479097131022</v>
      </c>
      <c r="AG225" s="53" t="str" cm="1">
        <f t="array" ref="AG225">IF(OR(O225&lt;&gt;"", SUMPRODUCT(($AH$2:$AH$4999=AH225)*($AF$2:$AF$4999&lt;=AF225)) &lt;= (COUNTIF($AH$2:$AH$4999,AH225)*0.3)), "SORTEADO", "-")</f>
        <v>SORTEADO</v>
      </c>
      <c r="AH225" s="257" t="str">
        <f t="shared" si="12"/>
        <v>10/04/2026</v>
      </c>
    </row>
    <row r="226" spans="1:34" ht="30" hidden="1" customHeight="1" x14ac:dyDescent="0.2">
      <c r="A226" s="230" t="s">
        <v>197</v>
      </c>
      <c r="B226" s="255">
        <v>2690120044</v>
      </c>
      <c r="C226" s="230" t="s">
        <v>127</v>
      </c>
      <c r="D226" s="230" t="s">
        <v>63</v>
      </c>
      <c r="E226" s="230" t="s">
        <v>198</v>
      </c>
      <c r="F226" s="230" t="s">
        <v>3555</v>
      </c>
      <c r="G226" s="230">
        <v>168</v>
      </c>
      <c r="H226" s="230" t="s">
        <v>2743</v>
      </c>
      <c r="I226" s="230" t="s">
        <v>708</v>
      </c>
      <c r="J226" s="230" t="s">
        <v>3275</v>
      </c>
      <c r="K226" s="230" t="s">
        <v>213</v>
      </c>
      <c r="L226" s="235" t="s">
        <v>793</v>
      </c>
      <c r="M226" s="235">
        <v>46299.413194444445</v>
      </c>
      <c r="N226" s="230" t="s">
        <v>3282</v>
      </c>
      <c r="O226" s="233"/>
      <c r="P226" s="9"/>
      <c r="Q226" s="146"/>
      <c r="R226" s="92"/>
      <c r="S226" s="146"/>
      <c r="T226" s="92"/>
      <c r="U226" s="146"/>
      <c r="V226" s="92"/>
      <c r="W226" s="146"/>
      <c r="X226" s="92"/>
      <c r="Y226" s="146"/>
      <c r="Z226" s="186" t="str">
        <f t="shared" si="14"/>
        <v/>
      </c>
      <c r="AA226" s="217" t="b">
        <f t="shared" si="13"/>
        <v>0</v>
      </c>
      <c r="AB226" s="92"/>
      <c r="AC226" s="164" t="s">
        <v>6</v>
      </c>
      <c r="AD226" s="151" t="str">
        <f t="shared" si="15"/>
        <v>GUARULHOS</v>
      </c>
      <c r="AE226" s="96" t="s">
        <v>63</v>
      </c>
      <c r="AF226" s="53">
        <v>0.63139599299513449</v>
      </c>
      <c r="AG226" s="53" t="str" cm="1">
        <f t="array" ref="AG226">IF(OR(O226&lt;&gt;"", SUMPRODUCT(($AH$2:$AH$4999=AH226)*($AF$2:$AF$4999&lt;=AF226)) &lt;= (COUNTIF($AH$2:$AH$4999,AH226)*0.3)), "SORTEADO", "-")</f>
        <v>-</v>
      </c>
      <c r="AH226" s="257" t="str">
        <f t="shared" si="12"/>
        <v>10/04/2026</v>
      </c>
    </row>
    <row r="227" spans="1:34" ht="30" hidden="1" customHeight="1" x14ac:dyDescent="0.2">
      <c r="A227" s="230" t="s">
        <v>197</v>
      </c>
      <c r="B227" s="255">
        <v>2690104875</v>
      </c>
      <c r="C227" s="230" t="s">
        <v>127</v>
      </c>
      <c r="D227" s="230" t="s">
        <v>63</v>
      </c>
      <c r="E227" s="230" t="s">
        <v>198</v>
      </c>
      <c r="F227" s="230" t="s">
        <v>1152</v>
      </c>
      <c r="G227" s="230">
        <v>128</v>
      </c>
      <c r="H227" s="230" t="s">
        <v>3556</v>
      </c>
      <c r="I227" s="230" t="s">
        <v>269</v>
      </c>
      <c r="J227" s="230" t="s">
        <v>3275</v>
      </c>
      <c r="K227" s="230" t="s">
        <v>213</v>
      </c>
      <c r="L227" s="235" t="s">
        <v>793</v>
      </c>
      <c r="M227" s="235">
        <v>46299.51458333333</v>
      </c>
      <c r="N227" s="230" t="s">
        <v>819</v>
      </c>
      <c r="O227" s="233"/>
      <c r="P227" s="9"/>
      <c r="Q227" s="146"/>
      <c r="R227" s="92"/>
      <c r="S227" s="146"/>
      <c r="T227" s="92"/>
      <c r="U227" s="146"/>
      <c r="V227" s="92"/>
      <c r="W227" s="146"/>
      <c r="X227" s="92"/>
      <c r="Y227" s="146"/>
      <c r="Z227" s="186" t="str">
        <f t="shared" si="14"/>
        <v/>
      </c>
      <c r="AA227" s="217" t="b">
        <f t="shared" si="13"/>
        <v>0</v>
      </c>
      <c r="AB227" s="92"/>
      <c r="AC227" s="164" t="s">
        <v>6</v>
      </c>
      <c r="AD227" s="151" t="str">
        <f t="shared" si="15"/>
        <v>GUARULHOS</v>
      </c>
      <c r="AE227" s="96" t="s">
        <v>63</v>
      </c>
      <c r="AF227" s="53">
        <v>0.50206409684141029</v>
      </c>
      <c r="AG227" s="53" t="str" cm="1">
        <f t="array" ref="AG227">IF(OR(O227&lt;&gt;"", SUMPRODUCT(($AH$2:$AH$4999=AH227)*($AF$2:$AF$4999&lt;=AF227)) &lt;= (COUNTIF($AH$2:$AH$4999,AH227)*0.3)), "SORTEADO", "-")</f>
        <v>-</v>
      </c>
      <c r="AH227" s="257" t="str">
        <f t="shared" si="12"/>
        <v>10/04/2026</v>
      </c>
    </row>
    <row r="228" spans="1:34" ht="30" customHeight="1" x14ac:dyDescent="0.2">
      <c r="A228" s="230" t="s">
        <v>197</v>
      </c>
      <c r="B228" s="255">
        <v>2690108646</v>
      </c>
      <c r="C228" s="230" t="s">
        <v>127</v>
      </c>
      <c r="D228" s="230" t="s">
        <v>63</v>
      </c>
      <c r="E228" s="230" t="s">
        <v>198</v>
      </c>
      <c r="F228" s="230" t="s">
        <v>3557</v>
      </c>
      <c r="G228" s="230">
        <v>107</v>
      </c>
      <c r="H228" s="230" t="s">
        <v>3558</v>
      </c>
      <c r="I228" s="230" t="s">
        <v>269</v>
      </c>
      <c r="J228" s="230" t="s">
        <v>3275</v>
      </c>
      <c r="K228" s="230"/>
      <c r="L228" s="235" t="s">
        <v>793</v>
      </c>
      <c r="M228" s="235">
        <v>46299.524305555555</v>
      </c>
      <c r="N228" s="230" t="s">
        <v>819</v>
      </c>
      <c r="O228" s="233" t="s">
        <v>204</v>
      </c>
      <c r="P228" s="9"/>
      <c r="Q228" s="146" t="s">
        <v>204</v>
      </c>
      <c r="R228" s="92"/>
      <c r="S228" s="146" t="s">
        <v>204</v>
      </c>
      <c r="T228" s="92"/>
      <c r="U228" s="146" t="s">
        <v>204</v>
      </c>
      <c r="V228" s="92"/>
      <c r="W228" s="146" t="s">
        <v>204</v>
      </c>
      <c r="X228" s="92"/>
      <c r="Y228" s="146" t="s">
        <v>204</v>
      </c>
      <c r="Z228" s="186" t="str">
        <f t="shared" si="14"/>
        <v>C</v>
      </c>
      <c r="AA228" s="217" t="str">
        <f t="shared" si="13"/>
        <v>UTILIZOU O PDA CORRETAMENTE</v>
      </c>
      <c r="AB228" s="92" t="s">
        <v>204</v>
      </c>
      <c r="AC228" s="164" t="s">
        <v>6</v>
      </c>
      <c r="AD228" s="151" t="str">
        <f t="shared" si="15"/>
        <v>GUARULHOS</v>
      </c>
      <c r="AE228" s="96" t="s">
        <v>63</v>
      </c>
      <c r="AF228" s="53">
        <v>0.14826843602123008</v>
      </c>
      <c r="AG228" s="53" t="str" cm="1">
        <f t="array" ref="AG228">IF(OR(O228&lt;&gt;"", SUMPRODUCT(($AH$2:$AH$4999=AH228)*($AF$2:$AF$4999&lt;=AF228)) &lt;= (COUNTIF($AH$2:$AH$4999,AH228)*0.3)), "SORTEADO", "-")</f>
        <v>SORTEADO</v>
      </c>
      <c r="AH228" s="257" t="str">
        <f t="shared" si="12"/>
        <v>10/04/2026</v>
      </c>
    </row>
    <row r="229" spans="1:34" ht="30" customHeight="1" x14ac:dyDescent="0.2">
      <c r="A229" s="230" t="s">
        <v>197</v>
      </c>
      <c r="B229" s="255">
        <v>2615173449</v>
      </c>
      <c r="C229" s="230" t="s">
        <v>127</v>
      </c>
      <c r="D229" s="230" t="s">
        <v>63</v>
      </c>
      <c r="E229" s="230" t="s">
        <v>198</v>
      </c>
      <c r="F229" s="230" t="s">
        <v>3494</v>
      </c>
      <c r="G229" s="230">
        <v>102</v>
      </c>
      <c r="H229" s="230" t="s">
        <v>213</v>
      </c>
      <c r="I229" s="230" t="s">
        <v>521</v>
      </c>
      <c r="J229" s="230" t="s">
        <v>3275</v>
      </c>
      <c r="K229" s="230" t="s">
        <v>213</v>
      </c>
      <c r="L229" s="235" t="s">
        <v>793</v>
      </c>
      <c r="M229" s="235">
        <v>46299.436111111114</v>
      </c>
      <c r="N229" s="230" t="s">
        <v>819</v>
      </c>
      <c r="O229" s="233" t="s">
        <v>204</v>
      </c>
      <c r="P229" s="9"/>
      <c r="Q229" s="146" t="s">
        <v>204</v>
      </c>
      <c r="R229" s="92"/>
      <c r="S229" s="146" t="s">
        <v>204</v>
      </c>
      <c r="T229" s="92"/>
      <c r="U229" s="146" t="s">
        <v>204</v>
      </c>
      <c r="V229" s="92"/>
      <c r="W229" s="146" t="s">
        <v>204</v>
      </c>
      <c r="X229" s="92"/>
      <c r="Y229" s="146" t="s">
        <v>204</v>
      </c>
      <c r="Z229" s="186" t="str">
        <f t="shared" si="14"/>
        <v>C</v>
      </c>
      <c r="AA229" s="217" t="str">
        <f t="shared" si="13"/>
        <v>UTILIZOU O PDA CORRETAMENTE</v>
      </c>
      <c r="AB229" s="92" t="s">
        <v>204</v>
      </c>
      <c r="AC229" s="164" t="s">
        <v>6</v>
      </c>
      <c r="AD229" s="151" t="str">
        <f t="shared" si="15"/>
        <v>GUARULHOS</v>
      </c>
      <c r="AE229" s="96" t="s">
        <v>63</v>
      </c>
      <c r="AF229" s="53">
        <v>0.38852369699418071</v>
      </c>
      <c r="AG229" s="53" t="str" cm="1">
        <f t="array" ref="AG229">IF(OR(O229&lt;&gt;"", SUMPRODUCT(($AH$2:$AH$4999=AH229)*($AF$2:$AF$4999&lt;=AF229)) &lt;= (COUNTIF($AH$2:$AH$4999,AH229)*0.3)), "SORTEADO", "-")</f>
        <v>SORTEADO</v>
      </c>
      <c r="AH229" s="257" t="str">
        <f t="shared" si="12"/>
        <v>10/04/2026</v>
      </c>
    </row>
    <row r="230" spans="1:34" ht="30" hidden="1" customHeight="1" x14ac:dyDescent="0.2">
      <c r="A230" s="230" t="s">
        <v>197</v>
      </c>
      <c r="B230" s="255">
        <v>2612900553</v>
      </c>
      <c r="C230" s="230" t="s">
        <v>134</v>
      </c>
      <c r="D230" s="230" t="s">
        <v>124</v>
      </c>
      <c r="E230" s="230" t="s">
        <v>198</v>
      </c>
      <c r="F230" s="230" t="s">
        <v>3559</v>
      </c>
      <c r="G230" s="230">
        <v>43</v>
      </c>
      <c r="H230" s="230" t="s">
        <v>257</v>
      </c>
      <c r="I230" s="230" t="s">
        <v>243</v>
      </c>
      <c r="J230" s="230" t="s">
        <v>3285</v>
      </c>
      <c r="K230" s="230" t="s">
        <v>3560</v>
      </c>
      <c r="L230" s="235" t="s">
        <v>793</v>
      </c>
      <c r="M230" s="235">
        <v>46299.413194444445</v>
      </c>
      <c r="N230" s="230" t="s">
        <v>203</v>
      </c>
      <c r="O230" s="233"/>
      <c r="P230" s="9"/>
      <c r="Q230" s="146"/>
      <c r="R230" s="92"/>
      <c r="S230" s="146"/>
      <c r="T230" s="92"/>
      <c r="U230" s="146"/>
      <c r="V230" s="92"/>
      <c r="W230" s="146"/>
      <c r="X230" s="92"/>
      <c r="Y230" s="146"/>
      <c r="Z230" s="186" t="str">
        <f t="shared" si="14"/>
        <v/>
      </c>
      <c r="AA230" s="217" t="b">
        <f t="shared" si="13"/>
        <v>0</v>
      </c>
      <c r="AB230" s="92"/>
      <c r="AC230" s="164" t="s">
        <v>6</v>
      </c>
      <c r="AD230" s="151" t="str">
        <f t="shared" si="15"/>
        <v>GUARULHOS</v>
      </c>
      <c r="AE230" s="96" t="s">
        <v>63</v>
      </c>
      <c r="AF230" s="53">
        <v>0.91836427837662771</v>
      </c>
      <c r="AG230" s="53" t="str" cm="1">
        <f t="array" ref="AG230">IF(OR(O230&lt;&gt;"", SUMPRODUCT(($AH$2:$AH$4999=AH230)*($AF$2:$AF$4999&lt;=AF230)) &lt;= (COUNTIF($AH$2:$AH$4999,AH230)*0.3)), "SORTEADO", "-")</f>
        <v>-</v>
      </c>
      <c r="AH230" s="257" t="str">
        <f t="shared" si="12"/>
        <v>10/04/2026</v>
      </c>
    </row>
    <row r="231" spans="1:34" ht="30" hidden="1" customHeight="1" x14ac:dyDescent="0.2">
      <c r="A231" s="230" t="s">
        <v>197</v>
      </c>
      <c r="B231" s="255">
        <v>2612905611</v>
      </c>
      <c r="C231" s="230" t="s">
        <v>134</v>
      </c>
      <c r="D231" s="230" t="s">
        <v>124</v>
      </c>
      <c r="E231" s="230" t="s">
        <v>198</v>
      </c>
      <c r="F231" s="230" t="s">
        <v>3561</v>
      </c>
      <c r="G231" s="230">
        <v>85</v>
      </c>
      <c r="H231" s="230" t="s">
        <v>3562</v>
      </c>
      <c r="I231" s="230" t="s">
        <v>200</v>
      </c>
      <c r="J231" s="230" t="s">
        <v>3285</v>
      </c>
      <c r="K231" s="230" t="s">
        <v>3563</v>
      </c>
      <c r="L231" s="235" t="s">
        <v>793</v>
      </c>
      <c r="M231" s="235">
        <v>46299.473611111112</v>
      </c>
      <c r="N231" s="230" t="s">
        <v>203</v>
      </c>
      <c r="O231" s="233"/>
      <c r="P231" s="9"/>
      <c r="Q231" s="146"/>
      <c r="R231" s="92"/>
      <c r="S231" s="146"/>
      <c r="T231" s="92"/>
      <c r="U231" s="146"/>
      <c r="V231" s="92"/>
      <c r="W231" s="146"/>
      <c r="X231" s="92"/>
      <c r="Y231" s="146"/>
      <c r="Z231" s="186" t="str">
        <f t="shared" si="14"/>
        <v/>
      </c>
      <c r="AA231" s="217" t="b">
        <f t="shared" si="13"/>
        <v>0</v>
      </c>
      <c r="AB231" s="92"/>
      <c r="AC231" s="164" t="s">
        <v>6</v>
      </c>
      <c r="AD231" s="151" t="str">
        <f t="shared" si="15"/>
        <v>GUARULHOS</v>
      </c>
      <c r="AE231" s="96" t="s">
        <v>63</v>
      </c>
      <c r="AF231" s="53">
        <v>0.45774638921582878</v>
      </c>
      <c r="AG231" s="53" t="str" cm="1">
        <f t="array" ref="AG231">IF(OR(O231&lt;&gt;"", SUMPRODUCT(($AH$2:$AH$4999=AH231)*($AF$2:$AF$4999&lt;=AF231)) &lt;= (COUNTIF($AH$2:$AH$4999,AH231)*0.3)), "SORTEADO", "-")</f>
        <v>-</v>
      </c>
      <c r="AH231" s="257" t="str">
        <f t="shared" si="12"/>
        <v>10/04/2026</v>
      </c>
    </row>
    <row r="232" spans="1:34" ht="30" hidden="1" customHeight="1" x14ac:dyDescent="0.2">
      <c r="A232" s="230" t="s">
        <v>197</v>
      </c>
      <c r="B232" s="255">
        <v>2690183861</v>
      </c>
      <c r="C232" s="230" t="s">
        <v>127</v>
      </c>
      <c r="D232" s="230" t="s">
        <v>63</v>
      </c>
      <c r="E232" s="230" t="s">
        <v>198</v>
      </c>
      <c r="F232" s="230" t="s">
        <v>3564</v>
      </c>
      <c r="G232" s="230">
        <v>589</v>
      </c>
      <c r="H232" s="230" t="s">
        <v>3565</v>
      </c>
      <c r="I232" s="230" t="s">
        <v>335</v>
      </c>
      <c r="J232" s="230" t="s">
        <v>3275</v>
      </c>
      <c r="K232" s="230"/>
      <c r="L232" s="235" t="s">
        <v>793</v>
      </c>
      <c r="M232" s="235">
        <v>46299.624305555553</v>
      </c>
      <c r="N232" s="230" t="s">
        <v>3276</v>
      </c>
      <c r="O232" s="233"/>
      <c r="P232" s="9"/>
      <c r="Q232" s="146"/>
      <c r="R232" s="92"/>
      <c r="S232" s="146"/>
      <c r="T232" s="92"/>
      <c r="U232" s="146"/>
      <c r="V232" s="92"/>
      <c r="W232" s="146"/>
      <c r="X232" s="92"/>
      <c r="Y232" s="146"/>
      <c r="Z232" s="186" t="str">
        <f t="shared" si="14"/>
        <v/>
      </c>
      <c r="AA232" s="217" t="b">
        <f t="shared" si="13"/>
        <v>0</v>
      </c>
      <c r="AB232" s="92"/>
      <c r="AC232" s="164" t="s">
        <v>6</v>
      </c>
      <c r="AD232" s="151" t="str">
        <f t="shared" si="15"/>
        <v>GUARULHOS</v>
      </c>
      <c r="AE232" s="96" t="s">
        <v>63</v>
      </c>
      <c r="AF232" s="53">
        <v>0.70379849099381375</v>
      </c>
      <c r="AG232" s="53" t="str" cm="1">
        <f t="array" ref="AG232">IF(OR(O232&lt;&gt;"", SUMPRODUCT(($AH$2:$AH$4999=AH232)*($AF$2:$AF$4999&lt;=AF232)) &lt;= (COUNTIF($AH$2:$AH$4999,AH232)*0.3)), "SORTEADO", "-")</f>
        <v>-</v>
      </c>
      <c r="AH232" s="257" t="str">
        <f t="shared" ref="AH232:AH295" si="16">TEXT(L232, "dd/mm/aaaa")</f>
        <v>10/04/2026</v>
      </c>
    </row>
    <row r="233" spans="1:34" ht="30" customHeight="1" x14ac:dyDescent="0.2">
      <c r="A233" s="230" t="s">
        <v>197</v>
      </c>
      <c r="B233" s="255">
        <v>2615247256</v>
      </c>
      <c r="C233" s="230" t="s">
        <v>127</v>
      </c>
      <c r="D233" s="230" t="s">
        <v>63</v>
      </c>
      <c r="E233" s="230" t="s">
        <v>198</v>
      </c>
      <c r="F233" s="230" t="s">
        <v>3158</v>
      </c>
      <c r="G233" s="230">
        <v>244</v>
      </c>
      <c r="H233" s="230" t="s">
        <v>3566</v>
      </c>
      <c r="I233" s="230" t="s">
        <v>915</v>
      </c>
      <c r="J233" s="230" t="s">
        <v>3275</v>
      </c>
      <c r="K233" s="230" t="s">
        <v>213</v>
      </c>
      <c r="L233" s="235" t="s">
        <v>793</v>
      </c>
      <c r="M233" s="235">
        <v>46299.38958333333</v>
      </c>
      <c r="N233" s="230" t="s">
        <v>294</v>
      </c>
      <c r="O233" s="233" t="s">
        <v>204</v>
      </c>
      <c r="P233" s="9"/>
      <c r="Q233" s="146" t="s">
        <v>204</v>
      </c>
      <c r="R233" s="92"/>
      <c r="S233" s="146" t="s">
        <v>204</v>
      </c>
      <c r="T233" s="92"/>
      <c r="U233" s="146" t="s">
        <v>204</v>
      </c>
      <c r="V233" s="92"/>
      <c r="W233" s="146" t="s">
        <v>204</v>
      </c>
      <c r="X233" s="92"/>
      <c r="Y233" s="146" t="s">
        <v>204</v>
      </c>
      <c r="Z233" s="186" t="str">
        <f t="shared" si="14"/>
        <v>C</v>
      </c>
      <c r="AA233" s="217" t="str">
        <f t="shared" si="13"/>
        <v>UTILIZOU O PDA CORRETAMENTE</v>
      </c>
      <c r="AB233" s="92" t="s">
        <v>204</v>
      </c>
      <c r="AC233" s="164" t="s">
        <v>6</v>
      </c>
      <c r="AD233" s="151" t="str">
        <f t="shared" si="15"/>
        <v>GUARULHOS</v>
      </c>
      <c r="AE233" s="96" t="s">
        <v>63</v>
      </c>
      <c r="AF233" s="53">
        <v>0.15453107729440382</v>
      </c>
      <c r="AG233" s="53" t="str" cm="1">
        <f t="array" ref="AG233">IF(OR(O233&lt;&gt;"", SUMPRODUCT(($AH$2:$AH$4999=AH233)*($AF$2:$AF$4999&lt;=AF233)) &lt;= (COUNTIF($AH$2:$AH$4999,AH233)*0.3)), "SORTEADO", "-")</f>
        <v>SORTEADO</v>
      </c>
      <c r="AH233" s="257" t="str">
        <f t="shared" si="16"/>
        <v>10/04/2026</v>
      </c>
    </row>
    <row r="234" spans="1:34" ht="30" hidden="1" customHeight="1" x14ac:dyDescent="0.2">
      <c r="A234" s="230" t="s">
        <v>197</v>
      </c>
      <c r="B234" s="255">
        <v>2690185823</v>
      </c>
      <c r="C234" s="230" t="s">
        <v>127</v>
      </c>
      <c r="D234" s="230" t="s">
        <v>63</v>
      </c>
      <c r="E234" s="230" t="s">
        <v>198</v>
      </c>
      <c r="F234" s="230" t="s">
        <v>3567</v>
      </c>
      <c r="G234" s="230">
        <v>411</v>
      </c>
      <c r="H234" s="230"/>
      <c r="I234" s="230" t="s">
        <v>822</v>
      </c>
      <c r="J234" s="230" t="s">
        <v>3275</v>
      </c>
      <c r="K234" s="230"/>
      <c r="L234" s="235" t="s">
        <v>793</v>
      </c>
      <c r="M234" s="235">
        <v>46299.545138888891</v>
      </c>
      <c r="N234" s="230" t="s">
        <v>3276</v>
      </c>
      <c r="O234" s="233"/>
      <c r="P234" s="9"/>
      <c r="Q234" s="146"/>
      <c r="R234" s="92"/>
      <c r="S234" s="146"/>
      <c r="T234" s="92"/>
      <c r="U234" s="146"/>
      <c r="V234" s="92"/>
      <c r="W234" s="146"/>
      <c r="X234" s="92"/>
      <c r="Y234" s="146"/>
      <c r="Z234" s="186" t="str">
        <f t="shared" si="14"/>
        <v/>
      </c>
      <c r="AA234" s="217" t="b">
        <f t="shared" si="13"/>
        <v>0</v>
      </c>
      <c r="AB234" s="92"/>
      <c r="AC234" s="164" t="s">
        <v>6</v>
      </c>
      <c r="AD234" s="151" t="str">
        <f t="shared" si="15"/>
        <v>GUARULHOS</v>
      </c>
      <c r="AE234" s="96" t="s">
        <v>63</v>
      </c>
      <c r="AF234" s="53">
        <v>0.51369842729873649</v>
      </c>
      <c r="AG234" s="53" t="str" cm="1">
        <f t="array" ref="AG234">IF(OR(O234&lt;&gt;"", SUMPRODUCT(($AH$2:$AH$4999=AH234)*($AF$2:$AF$4999&lt;=AF234)) &lt;= (COUNTIF($AH$2:$AH$4999,AH234)*0.3)), "SORTEADO", "-")</f>
        <v>-</v>
      </c>
      <c r="AH234" s="257" t="str">
        <f t="shared" si="16"/>
        <v>10/04/2026</v>
      </c>
    </row>
    <row r="235" spans="1:34" ht="30" hidden="1" customHeight="1" x14ac:dyDescent="0.2">
      <c r="A235" s="230" t="s">
        <v>197</v>
      </c>
      <c r="B235" s="255">
        <v>2615255113</v>
      </c>
      <c r="C235" s="230" t="s">
        <v>127</v>
      </c>
      <c r="D235" s="230" t="s">
        <v>63</v>
      </c>
      <c r="E235" s="230" t="s">
        <v>198</v>
      </c>
      <c r="F235" s="230" t="s">
        <v>3377</v>
      </c>
      <c r="G235" s="230">
        <v>174</v>
      </c>
      <c r="H235" s="230" t="s">
        <v>3378</v>
      </c>
      <c r="I235" s="230" t="s">
        <v>258</v>
      </c>
      <c r="J235" s="230" t="s">
        <v>3275</v>
      </c>
      <c r="K235" s="230" t="s">
        <v>3568</v>
      </c>
      <c r="L235" s="235" t="s">
        <v>793</v>
      </c>
      <c r="M235" s="235">
        <v>46299.430555555555</v>
      </c>
      <c r="N235" s="230" t="s">
        <v>3296</v>
      </c>
      <c r="O235" s="233"/>
      <c r="P235" s="9"/>
      <c r="Q235" s="146"/>
      <c r="R235" s="92"/>
      <c r="S235" s="146"/>
      <c r="T235" s="92"/>
      <c r="U235" s="146"/>
      <c r="V235" s="92"/>
      <c r="W235" s="146"/>
      <c r="X235" s="92"/>
      <c r="Y235" s="146"/>
      <c r="Z235" s="186" t="str">
        <f t="shared" si="14"/>
        <v/>
      </c>
      <c r="AA235" s="217" t="b">
        <f t="shared" si="13"/>
        <v>0</v>
      </c>
      <c r="AB235" s="92"/>
      <c r="AC235" s="164" t="s">
        <v>6</v>
      </c>
      <c r="AD235" s="151" t="str">
        <f t="shared" si="15"/>
        <v>GUARULHOS</v>
      </c>
      <c r="AE235" s="96" t="s">
        <v>63</v>
      </c>
      <c r="AF235" s="53">
        <v>0.58124336664726028</v>
      </c>
      <c r="AG235" s="53" t="str" cm="1">
        <f t="array" ref="AG235">IF(OR(O235&lt;&gt;"", SUMPRODUCT(($AH$2:$AH$4999=AH235)*($AF$2:$AF$4999&lt;=AF235)) &lt;= (COUNTIF($AH$2:$AH$4999,AH235)*0.3)), "SORTEADO", "-")</f>
        <v>-</v>
      </c>
      <c r="AH235" s="257" t="str">
        <f t="shared" si="16"/>
        <v>10/04/2026</v>
      </c>
    </row>
    <row r="236" spans="1:34" ht="30" hidden="1" customHeight="1" x14ac:dyDescent="0.2">
      <c r="A236" s="230" t="s">
        <v>197</v>
      </c>
      <c r="B236" s="255">
        <v>2615256204</v>
      </c>
      <c r="C236" s="230" t="s">
        <v>128</v>
      </c>
      <c r="D236" s="230" t="s">
        <v>124</v>
      </c>
      <c r="E236" s="230" t="s">
        <v>198</v>
      </c>
      <c r="F236" s="230" t="s">
        <v>3569</v>
      </c>
      <c r="G236" s="230">
        <v>415</v>
      </c>
      <c r="H236" s="230" t="s">
        <v>206</v>
      </c>
      <c r="I236" s="230" t="s">
        <v>584</v>
      </c>
      <c r="J236" s="230" t="s">
        <v>3385</v>
      </c>
      <c r="K236" s="230" t="s">
        <v>213</v>
      </c>
      <c r="L236" s="235" t="s">
        <v>793</v>
      </c>
      <c r="M236" s="235">
        <v>46299.609722222223</v>
      </c>
      <c r="N236" s="230" t="s">
        <v>3289</v>
      </c>
      <c r="O236" s="234"/>
      <c r="P236" s="9"/>
      <c r="Q236" s="146"/>
      <c r="R236" s="92"/>
      <c r="S236" s="146"/>
      <c r="T236" s="92"/>
      <c r="U236" s="146"/>
      <c r="V236" s="92"/>
      <c r="W236" s="146"/>
      <c r="X236" s="92"/>
      <c r="Y236" s="146"/>
      <c r="Z236" s="186" t="str">
        <f t="shared" si="14"/>
        <v/>
      </c>
      <c r="AA236" s="217" t="b">
        <f t="shared" si="13"/>
        <v>0</v>
      </c>
      <c r="AB236" s="92"/>
      <c r="AC236" s="164" t="s">
        <v>6</v>
      </c>
      <c r="AD236" s="151" t="str">
        <f t="shared" si="15"/>
        <v>GUARULHOS</v>
      </c>
      <c r="AE236" s="96" t="s">
        <v>63</v>
      </c>
      <c r="AF236" s="53">
        <v>0.4391931927370083</v>
      </c>
      <c r="AG236" s="53" t="str" cm="1">
        <f t="array" ref="AG236">IF(OR(O236&lt;&gt;"", SUMPRODUCT(($AH$2:$AH$4999=AH236)*($AF$2:$AF$4999&lt;=AF236)) &lt;= (COUNTIF($AH$2:$AH$4999,AH236)*0.3)), "SORTEADO", "-")</f>
        <v>-</v>
      </c>
      <c r="AH236" s="257" t="str">
        <f t="shared" si="16"/>
        <v>10/04/2026</v>
      </c>
    </row>
    <row r="237" spans="1:34" ht="30" customHeight="1" x14ac:dyDescent="0.2">
      <c r="A237" s="230" t="s">
        <v>197</v>
      </c>
      <c r="B237" s="255">
        <v>2690131874</v>
      </c>
      <c r="C237" s="230" t="s">
        <v>133</v>
      </c>
      <c r="D237" s="230" t="s">
        <v>124</v>
      </c>
      <c r="E237" s="230" t="s">
        <v>198</v>
      </c>
      <c r="F237" s="230" t="s">
        <v>3570</v>
      </c>
      <c r="G237" s="230">
        <v>231</v>
      </c>
      <c r="H237" s="230" t="s">
        <v>213</v>
      </c>
      <c r="I237" s="230" t="s">
        <v>557</v>
      </c>
      <c r="J237" s="230" t="s">
        <v>3275</v>
      </c>
      <c r="K237" s="230" t="s">
        <v>3571</v>
      </c>
      <c r="L237" s="235" t="s">
        <v>793</v>
      </c>
      <c r="M237" s="235">
        <v>46299.427083333336</v>
      </c>
      <c r="N237" s="230" t="s">
        <v>432</v>
      </c>
      <c r="O237" s="233" t="s">
        <v>204</v>
      </c>
      <c r="P237" s="9"/>
      <c r="Q237" s="146" t="s">
        <v>204</v>
      </c>
      <c r="R237" s="92"/>
      <c r="S237" s="146" t="s">
        <v>204</v>
      </c>
      <c r="T237" s="92"/>
      <c r="U237" s="146" t="s">
        <v>204</v>
      </c>
      <c r="V237" s="92"/>
      <c r="W237" s="146" t="s">
        <v>204</v>
      </c>
      <c r="X237" s="92"/>
      <c r="Y237" s="146" t="s">
        <v>204</v>
      </c>
      <c r="Z237" s="186" t="str">
        <f t="shared" si="14"/>
        <v>C</v>
      </c>
      <c r="AA237" s="217" t="str">
        <f t="shared" si="13"/>
        <v>UTILIZOU O PDA CORRETAMENTE</v>
      </c>
      <c r="AB237" s="92" t="s">
        <v>204</v>
      </c>
      <c r="AC237" s="164" t="s">
        <v>6</v>
      </c>
      <c r="AD237" s="151" t="str">
        <f t="shared" si="15"/>
        <v>GUARULHOS</v>
      </c>
      <c r="AE237" s="96" t="s">
        <v>63</v>
      </c>
      <c r="AF237" s="53">
        <v>0.37809891767892695</v>
      </c>
      <c r="AG237" s="53" t="str" cm="1">
        <f t="array" ref="AG237">IF(OR(O237&lt;&gt;"", SUMPRODUCT(($AH$2:$AH$4999=AH237)*($AF$2:$AF$4999&lt;=AF237)) &lt;= (COUNTIF($AH$2:$AH$4999,AH237)*0.3)), "SORTEADO", "-")</f>
        <v>SORTEADO</v>
      </c>
      <c r="AH237" s="257" t="str">
        <f t="shared" si="16"/>
        <v>10/04/2026</v>
      </c>
    </row>
    <row r="238" spans="1:34" ht="30" hidden="1" customHeight="1" x14ac:dyDescent="0.2">
      <c r="A238" s="230" t="s">
        <v>197</v>
      </c>
      <c r="B238" s="255">
        <v>2690114692</v>
      </c>
      <c r="C238" s="230" t="s">
        <v>133</v>
      </c>
      <c r="D238" s="230" t="s">
        <v>124</v>
      </c>
      <c r="E238" s="230" t="s">
        <v>198</v>
      </c>
      <c r="F238" s="230" t="s">
        <v>2198</v>
      </c>
      <c r="G238" s="230">
        <v>186</v>
      </c>
      <c r="H238" s="230" t="s">
        <v>3572</v>
      </c>
      <c r="I238" s="230" t="s">
        <v>2199</v>
      </c>
      <c r="J238" s="230" t="s">
        <v>3275</v>
      </c>
      <c r="K238" s="230" t="s">
        <v>3344</v>
      </c>
      <c r="L238" s="235" t="s">
        <v>793</v>
      </c>
      <c r="M238" s="235">
        <v>46299.42291666667</v>
      </c>
      <c r="N238" s="230" t="s">
        <v>3289</v>
      </c>
      <c r="O238" s="233"/>
      <c r="P238" s="9"/>
      <c r="Q238" s="146"/>
      <c r="R238" s="92"/>
      <c r="S238" s="146"/>
      <c r="T238" s="92"/>
      <c r="U238" s="146"/>
      <c r="V238" s="92"/>
      <c r="W238" s="146"/>
      <c r="X238" s="92"/>
      <c r="Y238" s="146"/>
      <c r="Z238" s="186" t="str">
        <f t="shared" si="14"/>
        <v/>
      </c>
      <c r="AA238" s="217" t="b">
        <f t="shared" si="13"/>
        <v>0</v>
      </c>
      <c r="AB238" s="92"/>
      <c r="AC238" s="164" t="s">
        <v>6</v>
      </c>
      <c r="AD238" s="151" t="str">
        <f t="shared" si="15"/>
        <v>GUARULHOS</v>
      </c>
      <c r="AE238" s="96" t="s">
        <v>63</v>
      </c>
      <c r="AF238" s="53">
        <v>0.53552289733366387</v>
      </c>
      <c r="AG238" s="53" t="str" cm="1">
        <f t="array" ref="AG238">IF(OR(O238&lt;&gt;"", SUMPRODUCT(($AH$2:$AH$4999=AH238)*($AF$2:$AF$4999&lt;=AF238)) &lt;= (COUNTIF($AH$2:$AH$4999,AH238)*0.3)), "SORTEADO", "-")</f>
        <v>-</v>
      </c>
      <c r="AH238" s="257" t="str">
        <f t="shared" si="16"/>
        <v>10/04/2026</v>
      </c>
    </row>
    <row r="239" spans="1:34" ht="30" hidden="1" customHeight="1" x14ac:dyDescent="0.2">
      <c r="A239" s="230" t="s">
        <v>197</v>
      </c>
      <c r="B239" s="255">
        <v>2690162779</v>
      </c>
      <c r="C239" s="230" t="s">
        <v>130</v>
      </c>
      <c r="D239" s="230" t="s">
        <v>63</v>
      </c>
      <c r="E239" s="230" t="s">
        <v>198</v>
      </c>
      <c r="F239" s="230" t="s">
        <v>3550</v>
      </c>
      <c r="G239" s="230">
        <v>56</v>
      </c>
      <c r="H239" s="230" t="s">
        <v>213</v>
      </c>
      <c r="I239" s="230" t="s">
        <v>1944</v>
      </c>
      <c r="J239" s="230" t="s">
        <v>3271</v>
      </c>
      <c r="K239" s="230" t="s">
        <v>213</v>
      </c>
      <c r="L239" s="235" t="s">
        <v>793</v>
      </c>
      <c r="M239" s="235">
        <v>46299.402777777781</v>
      </c>
      <c r="N239" s="230" t="s">
        <v>287</v>
      </c>
      <c r="O239" s="233"/>
      <c r="P239" s="9"/>
      <c r="Q239" s="146"/>
      <c r="R239" s="92"/>
      <c r="S239" s="146"/>
      <c r="T239" s="92"/>
      <c r="U239" s="146"/>
      <c r="V239" s="92"/>
      <c r="W239" s="146"/>
      <c r="X239" s="92"/>
      <c r="Y239" s="146"/>
      <c r="Z239" s="186" t="str">
        <f t="shared" si="14"/>
        <v/>
      </c>
      <c r="AA239" s="217" t="b">
        <f t="shared" si="13"/>
        <v>0</v>
      </c>
      <c r="AB239" s="92"/>
      <c r="AC239" s="164" t="s">
        <v>6</v>
      </c>
      <c r="AD239" s="151" t="str">
        <f t="shared" si="15"/>
        <v>GUARULHOS</v>
      </c>
      <c r="AE239" s="96" t="s">
        <v>63</v>
      </c>
      <c r="AF239" s="53">
        <v>0.71675446908148155</v>
      </c>
      <c r="AG239" s="53" t="str" cm="1">
        <f t="array" ref="AG239">IF(OR(O239&lt;&gt;"", SUMPRODUCT(($AH$2:$AH$4999=AH239)*($AF$2:$AF$4999&lt;=AF239)) &lt;= (COUNTIF($AH$2:$AH$4999,AH239)*0.3)), "SORTEADO", "-")</f>
        <v>-</v>
      </c>
      <c r="AH239" s="257" t="str">
        <f t="shared" si="16"/>
        <v>10/04/2026</v>
      </c>
    </row>
    <row r="240" spans="1:34" ht="30" hidden="1" customHeight="1" x14ac:dyDescent="0.2">
      <c r="A240" s="230" t="s">
        <v>197</v>
      </c>
      <c r="B240" s="255">
        <v>2615112021</v>
      </c>
      <c r="C240" s="230" t="s">
        <v>133</v>
      </c>
      <c r="D240" s="230" t="s">
        <v>124</v>
      </c>
      <c r="E240" s="230" t="s">
        <v>198</v>
      </c>
      <c r="F240" s="230" t="s">
        <v>1030</v>
      </c>
      <c r="G240" s="230">
        <v>2115</v>
      </c>
      <c r="H240" s="230" t="s">
        <v>3573</v>
      </c>
      <c r="I240" s="230" t="s">
        <v>1435</v>
      </c>
      <c r="J240" s="230" t="s">
        <v>3275</v>
      </c>
      <c r="K240" s="230" t="s">
        <v>3303</v>
      </c>
      <c r="L240" s="235" t="s">
        <v>793</v>
      </c>
      <c r="M240" s="235">
        <v>46299.411111111112</v>
      </c>
      <c r="N240" s="230" t="s">
        <v>819</v>
      </c>
      <c r="O240" s="233"/>
      <c r="P240" s="9"/>
      <c r="Q240" s="146"/>
      <c r="R240" s="92"/>
      <c r="S240" s="146"/>
      <c r="T240" s="92"/>
      <c r="U240" s="146"/>
      <c r="V240" s="92"/>
      <c r="W240" s="146"/>
      <c r="X240" s="92"/>
      <c r="Y240" s="146"/>
      <c r="Z240" s="186" t="str">
        <f t="shared" si="14"/>
        <v/>
      </c>
      <c r="AA240" s="217" t="b">
        <f t="shared" si="13"/>
        <v>0</v>
      </c>
      <c r="AB240" s="92"/>
      <c r="AC240" s="164" t="s">
        <v>6</v>
      </c>
      <c r="AD240" s="151" t="str">
        <f t="shared" si="15"/>
        <v>GUARULHOS</v>
      </c>
      <c r="AE240" s="96" t="s">
        <v>63</v>
      </c>
      <c r="AF240" s="53">
        <v>0.63378648460689013</v>
      </c>
      <c r="AG240" s="53" t="str" cm="1">
        <f t="array" ref="AG240">IF(OR(O240&lt;&gt;"", SUMPRODUCT(($AH$2:$AH$4999=AH240)*($AF$2:$AF$4999&lt;=AF240)) &lt;= (COUNTIF($AH$2:$AH$4999,AH240)*0.3)), "SORTEADO", "-")</f>
        <v>-</v>
      </c>
      <c r="AH240" s="257" t="str">
        <f t="shared" si="16"/>
        <v>10/04/2026</v>
      </c>
    </row>
    <row r="241" spans="1:34" ht="30" customHeight="1" x14ac:dyDescent="0.2">
      <c r="A241" s="230" t="s">
        <v>197</v>
      </c>
      <c r="B241" s="255">
        <v>2690095787</v>
      </c>
      <c r="C241" s="230" t="s">
        <v>133</v>
      </c>
      <c r="D241" s="230" t="s">
        <v>124</v>
      </c>
      <c r="E241" s="230" t="s">
        <v>198</v>
      </c>
      <c r="F241" s="230" t="s">
        <v>3544</v>
      </c>
      <c r="G241" s="230">
        <v>232</v>
      </c>
      <c r="H241" s="230" t="s">
        <v>3574</v>
      </c>
      <c r="I241" s="230" t="s">
        <v>366</v>
      </c>
      <c r="J241" s="230" t="s">
        <v>3275</v>
      </c>
      <c r="K241" s="230" t="s">
        <v>3344</v>
      </c>
      <c r="L241" s="235" t="s">
        <v>793</v>
      </c>
      <c r="M241" s="235">
        <v>46299.451388888891</v>
      </c>
      <c r="N241" s="230" t="s">
        <v>3289</v>
      </c>
      <c r="O241" s="233" t="s">
        <v>204</v>
      </c>
      <c r="P241" s="9"/>
      <c r="Q241" s="146" t="s">
        <v>204</v>
      </c>
      <c r="R241" s="92"/>
      <c r="S241" s="146" t="s">
        <v>204</v>
      </c>
      <c r="T241" s="92"/>
      <c r="U241" s="146" t="s">
        <v>204</v>
      </c>
      <c r="V241" s="92"/>
      <c r="W241" s="146" t="s">
        <v>204</v>
      </c>
      <c r="X241" s="92"/>
      <c r="Y241" s="146" t="s">
        <v>204</v>
      </c>
      <c r="Z241" s="186" t="str">
        <f t="shared" si="14"/>
        <v>C</v>
      </c>
      <c r="AA241" s="217" t="str">
        <f t="shared" si="13"/>
        <v>UTILIZOU O PDA CORRETAMENTE</v>
      </c>
      <c r="AB241" s="92" t="s">
        <v>204</v>
      </c>
      <c r="AC241" s="164" t="s">
        <v>6</v>
      </c>
      <c r="AD241" s="151" t="str">
        <f t="shared" si="15"/>
        <v>GUARULHOS</v>
      </c>
      <c r="AE241" s="96" t="s">
        <v>63</v>
      </c>
      <c r="AF241" s="53">
        <v>0.12269826260708934</v>
      </c>
      <c r="AG241" s="53" t="str" cm="1">
        <f t="array" ref="AG241">IF(OR(O241&lt;&gt;"", SUMPRODUCT(($AH$2:$AH$4999=AH241)*($AF$2:$AF$4999&lt;=AF241)) &lt;= (COUNTIF($AH$2:$AH$4999,AH241)*0.3)), "SORTEADO", "-")</f>
        <v>SORTEADO</v>
      </c>
      <c r="AH241" s="257" t="str">
        <f t="shared" si="16"/>
        <v>10/04/2026</v>
      </c>
    </row>
    <row r="242" spans="1:34" ht="30" hidden="1" customHeight="1" x14ac:dyDescent="0.2">
      <c r="A242" s="230" t="s">
        <v>197</v>
      </c>
      <c r="B242" s="255">
        <v>2615247168</v>
      </c>
      <c r="C242" s="230" t="s">
        <v>133</v>
      </c>
      <c r="D242" s="230" t="s">
        <v>124</v>
      </c>
      <c r="E242" s="230" t="s">
        <v>198</v>
      </c>
      <c r="F242" s="230" t="s">
        <v>3575</v>
      </c>
      <c r="G242" s="230">
        <v>104</v>
      </c>
      <c r="H242" s="230"/>
      <c r="I242" s="230" t="s">
        <v>730</v>
      </c>
      <c r="J242" s="230" t="s">
        <v>3275</v>
      </c>
      <c r="K242" s="230"/>
      <c r="L242" s="235" t="s">
        <v>793</v>
      </c>
      <c r="M242" s="235">
        <v>46299.474999999999</v>
      </c>
      <c r="N242" s="230" t="s">
        <v>294</v>
      </c>
      <c r="O242" s="233"/>
      <c r="P242" s="9"/>
      <c r="Q242" s="146"/>
      <c r="R242" s="92"/>
      <c r="S242" s="146"/>
      <c r="T242" s="92"/>
      <c r="U242" s="146"/>
      <c r="V242" s="92"/>
      <c r="W242" s="146"/>
      <c r="X242" s="92"/>
      <c r="Y242" s="146"/>
      <c r="Z242" s="186" t="str">
        <f t="shared" si="14"/>
        <v/>
      </c>
      <c r="AA242" s="217" t="b">
        <f t="shared" si="13"/>
        <v>0</v>
      </c>
      <c r="AB242" s="92"/>
      <c r="AC242" s="164" t="s">
        <v>6</v>
      </c>
      <c r="AD242" s="151" t="str">
        <f t="shared" si="15"/>
        <v>GUARULHOS</v>
      </c>
      <c r="AE242" s="96" t="s">
        <v>63</v>
      </c>
      <c r="AF242" s="53">
        <v>0.71698412044696203</v>
      </c>
      <c r="AG242" s="53" t="str" cm="1">
        <f t="array" ref="AG242">IF(OR(O242&lt;&gt;"", SUMPRODUCT(($AH$2:$AH$4999=AH242)*($AF$2:$AF$4999&lt;=AF242)) &lt;= (COUNTIF($AH$2:$AH$4999,AH242)*0.3)), "SORTEADO", "-")</f>
        <v>-</v>
      </c>
      <c r="AH242" s="257" t="str">
        <f t="shared" si="16"/>
        <v>10/04/2026</v>
      </c>
    </row>
    <row r="243" spans="1:34" ht="30" hidden="1" customHeight="1" x14ac:dyDescent="0.2">
      <c r="A243" s="230" t="s">
        <v>197</v>
      </c>
      <c r="B243" s="255">
        <v>2690141530</v>
      </c>
      <c r="C243" s="230" t="s">
        <v>133</v>
      </c>
      <c r="D243" s="230" t="s">
        <v>124</v>
      </c>
      <c r="E243" s="230" t="s">
        <v>198</v>
      </c>
      <c r="F243" s="230" t="s">
        <v>873</v>
      </c>
      <c r="G243" s="230">
        <v>368</v>
      </c>
      <c r="H243" s="230" t="s">
        <v>1762</v>
      </c>
      <c r="I243" s="230" t="s">
        <v>531</v>
      </c>
      <c r="J243" s="230" t="s">
        <v>3275</v>
      </c>
      <c r="K243" s="230" t="s">
        <v>3303</v>
      </c>
      <c r="L243" s="235" t="s">
        <v>793</v>
      </c>
      <c r="M243" s="235">
        <v>46299.457638888889</v>
      </c>
      <c r="N243" s="230" t="s">
        <v>819</v>
      </c>
      <c r="O243" s="233"/>
      <c r="P243" s="9"/>
      <c r="Q243" s="146"/>
      <c r="R243" s="92"/>
      <c r="S243" s="146"/>
      <c r="T243" s="92"/>
      <c r="U243" s="146"/>
      <c r="V243" s="92"/>
      <c r="W243" s="146"/>
      <c r="X243" s="92"/>
      <c r="Y243" s="146"/>
      <c r="Z243" s="186" t="str">
        <f t="shared" si="14"/>
        <v/>
      </c>
      <c r="AA243" s="217" t="b">
        <f t="shared" si="13"/>
        <v>0</v>
      </c>
      <c r="AB243" s="92"/>
      <c r="AC243" s="164" t="s">
        <v>6</v>
      </c>
      <c r="AD243" s="151" t="str">
        <f t="shared" si="15"/>
        <v>GUARULHOS</v>
      </c>
      <c r="AE243" s="96" t="s">
        <v>63</v>
      </c>
      <c r="AF243" s="53">
        <v>0.57727833722119948</v>
      </c>
      <c r="AG243" s="53" t="str" cm="1">
        <f t="array" ref="AG243">IF(OR(O243&lt;&gt;"", SUMPRODUCT(($AH$2:$AH$4999=AH243)*($AF$2:$AF$4999&lt;=AF243)) &lt;= (COUNTIF($AH$2:$AH$4999,AH243)*0.3)), "SORTEADO", "-")</f>
        <v>-</v>
      </c>
      <c r="AH243" s="257" t="str">
        <f t="shared" si="16"/>
        <v>10/04/2026</v>
      </c>
    </row>
    <row r="244" spans="1:34" ht="30" customHeight="1" x14ac:dyDescent="0.2">
      <c r="A244" s="230" t="s">
        <v>197</v>
      </c>
      <c r="B244" s="255">
        <v>2690205872</v>
      </c>
      <c r="C244" s="230" t="s">
        <v>133</v>
      </c>
      <c r="D244" s="230" t="s">
        <v>124</v>
      </c>
      <c r="E244" s="230" t="s">
        <v>198</v>
      </c>
      <c r="F244" s="230" t="s">
        <v>3567</v>
      </c>
      <c r="G244" s="230">
        <v>206</v>
      </c>
      <c r="H244" s="230" t="s">
        <v>3576</v>
      </c>
      <c r="I244" s="230" t="s">
        <v>822</v>
      </c>
      <c r="J244" s="230" t="s">
        <v>3275</v>
      </c>
      <c r="K244" s="230" t="s">
        <v>3363</v>
      </c>
      <c r="L244" s="235" t="s">
        <v>793</v>
      </c>
      <c r="M244" s="235">
        <v>46299.534722222219</v>
      </c>
      <c r="N244" s="230" t="s">
        <v>3276</v>
      </c>
      <c r="O244" s="233" t="s">
        <v>204</v>
      </c>
      <c r="P244" s="9"/>
      <c r="Q244" s="146" t="s">
        <v>204</v>
      </c>
      <c r="R244" s="92"/>
      <c r="S244" s="146" t="s">
        <v>204</v>
      </c>
      <c r="T244" s="92"/>
      <c r="U244" s="146" t="s">
        <v>204</v>
      </c>
      <c r="V244" s="92"/>
      <c r="W244" s="146" t="s">
        <v>204</v>
      </c>
      <c r="X244" s="92"/>
      <c r="Y244" s="146" t="s">
        <v>204</v>
      </c>
      <c r="Z244" s="186" t="str">
        <f t="shared" si="14"/>
        <v>C</v>
      </c>
      <c r="AA244" s="217" t="str">
        <f t="shared" si="13"/>
        <v>UTILIZOU O PDA CORRETAMENTE</v>
      </c>
      <c r="AB244" s="92" t="s">
        <v>204</v>
      </c>
      <c r="AC244" s="164" t="s">
        <v>6</v>
      </c>
      <c r="AD244" s="151" t="str">
        <f t="shared" si="15"/>
        <v>GUARULHOS</v>
      </c>
      <c r="AE244" s="96" t="s">
        <v>63</v>
      </c>
      <c r="AF244" s="53">
        <v>0.35816121189215522</v>
      </c>
      <c r="AG244" s="53" t="str" cm="1">
        <f t="array" ref="AG244">IF(OR(O244&lt;&gt;"", SUMPRODUCT(($AH$2:$AH$4999=AH244)*($AF$2:$AF$4999&lt;=AF244)) &lt;= (COUNTIF($AH$2:$AH$4999,AH244)*0.3)), "SORTEADO", "-")</f>
        <v>SORTEADO</v>
      </c>
      <c r="AH244" s="257" t="str">
        <f t="shared" si="16"/>
        <v>10/04/2026</v>
      </c>
    </row>
    <row r="245" spans="1:34" ht="30" hidden="1" customHeight="1" x14ac:dyDescent="0.2">
      <c r="A245" s="230" t="s">
        <v>197</v>
      </c>
      <c r="B245" s="255">
        <v>2690188085</v>
      </c>
      <c r="C245" s="230" t="s">
        <v>133</v>
      </c>
      <c r="D245" s="230" t="s">
        <v>124</v>
      </c>
      <c r="E245" s="230" t="s">
        <v>198</v>
      </c>
      <c r="F245" s="230" t="s">
        <v>3577</v>
      </c>
      <c r="G245" s="230">
        <v>14</v>
      </c>
      <c r="H245" s="230"/>
      <c r="I245" s="230" t="s">
        <v>281</v>
      </c>
      <c r="J245" s="230" t="s">
        <v>3275</v>
      </c>
      <c r="K245" s="230" t="s">
        <v>3499</v>
      </c>
      <c r="L245" s="235" t="s">
        <v>793</v>
      </c>
      <c r="M245" s="235">
        <v>46299.536805555559</v>
      </c>
      <c r="N245" s="230" t="s">
        <v>3296</v>
      </c>
      <c r="O245" s="233"/>
      <c r="P245" s="9"/>
      <c r="Q245" s="146"/>
      <c r="R245" s="92"/>
      <c r="S245" s="146"/>
      <c r="T245" s="92"/>
      <c r="U245" s="146"/>
      <c r="V245" s="92"/>
      <c r="W245" s="146"/>
      <c r="X245" s="92"/>
      <c r="Y245" s="146"/>
      <c r="Z245" s="186" t="str">
        <f t="shared" si="14"/>
        <v/>
      </c>
      <c r="AA245" s="217" t="b">
        <f t="shared" si="13"/>
        <v>0</v>
      </c>
      <c r="AB245" s="92"/>
      <c r="AC245" s="164" t="s">
        <v>6</v>
      </c>
      <c r="AD245" s="151" t="str">
        <f t="shared" si="15"/>
        <v>GUARULHOS</v>
      </c>
      <c r="AE245" s="96" t="s">
        <v>63</v>
      </c>
      <c r="AF245" s="53">
        <v>0.58119509158759253</v>
      </c>
      <c r="AG245" s="53" t="str" cm="1">
        <f t="array" ref="AG245">IF(OR(O245&lt;&gt;"", SUMPRODUCT(($AH$2:$AH$4999=AH245)*($AF$2:$AF$4999&lt;=AF245)) &lt;= (COUNTIF($AH$2:$AH$4999,AH245)*0.3)), "SORTEADO", "-")</f>
        <v>-</v>
      </c>
      <c r="AH245" s="257" t="str">
        <f t="shared" si="16"/>
        <v>10/04/2026</v>
      </c>
    </row>
    <row r="246" spans="1:34" ht="30" hidden="1" customHeight="1" x14ac:dyDescent="0.2">
      <c r="A246" s="230" t="s">
        <v>197</v>
      </c>
      <c r="B246" s="255">
        <v>2690140162</v>
      </c>
      <c r="C246" s="230" t="s">
        <v>133</v>
      </c>
      <c r="D246" s="230" t="s">
        <v>124</v>
      </c>
      <c r="E246" s="230" t="s">
        <v>198</v>
      </c>
      <c r="F246" s="230" t="s">
        <v>3578</v>
      </c>
      <c r="G246" s="230">
        <v>86</v>
      </c>
      <c r="H246" s="230" t="s">
        <v>2803</v>
      </c>
      <c r="I246" s="230" t="s">
        <v>480</v>
      </c>
      <c r="J246" s="230" t="s">
        <v>3275</v>
      </c>
      <c r="K246" s="230" t="s">
        <v>3579</v>
      </c>
      <c r="L246" s="235" t="s">
        <v>793</v>
      </c>
      <c r="M246" s="235">
        <v>46299.594444444447</v>
      </c>
      <c r="N246" s="230" t="s">
        <v>3282</v>
      </c>
      <c r="O246" s="233"/>
      <c r="P246" s="9"/>
      <c r="Q246" s="146"/>
      <c r="R246" s="92"/>
      <c r="S246" s="146"/>
      <c r="T246" s="92"/>
      <c r="U246" s="146"/>
      <c r="V246" s="92"/>
      <c r="W246" s="146"/>
      <c r="X246" s="92"/>
      <c r="Y246" s="146"/>
      <c r="Z246" s="186" t="str">
        <f t="shared" si="14"/>
        <v/>
      </c>
      <c r="AA246" s="217" t="b">
        <f t="shared" si="13"/>
        <v>0</v>
      </c>
      <c r="AB246" s="92"/>
      <c r="AC246" s="164" t="s">
        <v>6</v>
      </c>
      <c r="AD246" s="151" t="str">
        <f t="shared" si="15"/>
        <v>GUARULHOS</v>
      </c>
      <c r="AE246" s="96" t="s">
        <v>63</v>
      </c>
      <c r="AF246" s="53">
        <v>0.8404020194645232</v>
      </c>
      <c r="AG246" s="53" t="str" cm="1">
        <f t="array" ref="AG246">IF(OR(O246&lt;&gt;"", SUMPRODUCT(($AH$2:$AH$4999=AH246)*($AF$2:$AF$4999&lt;=AF246)) &lt;= (COUNTIF($AH$2:$AH$4999,AH246)*0.3)), "SORTEADO", "-")</f>
        <v>-</v>
      </c>
      <c r="AH246" s="257" t="str">
        <f t="shared" si="16"/>
        <v>10/04/2026</v>
      </c>
    </row>
    <row r="247" spans="1:34" ht="30" hidden="1" customHeight="1" x14ac:dyDescent="0.2">
      <c r="A247" s="230" t="s">
        <v>197</v>
      </c>
      <c r="B247" s="255">
        <v>2690121484</v>
      </c>
      <c r="C247" s="230" t="s">
        <v>127</v>
      </c>
      <c r="D247" s="230" t="s">
        <v>63</v>
      </c>
      <c r="E247" s="230" t="s">
        <v>198</v>
      </c>
      <c r="F247" s="230" t="s">
        <v>1404</v>
      </c>
      <c r="G247" s="230">
        <v>84</v>
      </c>
      <c r="H247" s="230" t="s">
        <v>3580</v>
      </c>
      <c r="I247" s="230" t="s">
        <v>335</v>
      </c>
      <c r="J247" s="230" t="s">
        <v>3271</v>
      </c>
      <c r="K247" s="230"/>
      <c r="L247" s="235" t="s">
        <v>793</v>
      </c>
      <c r="M247" s="235">
        <v>46299.600694444445</v>
      </c>
      <c r="N247" s="230" t="s">
        <v>241</v>
      </c>
      <c r="O247" s="233"/>
      <c r="P247" s="9"/>
      <c r="Q247" s="146"/>
      <c r="R247" s="92"/>
      <c r="S247" s="146"/>
      <c r="T247" s="92"/>
      <c r="U247" s="146"/>
      <c r="V247" s="92"/>
      <c r="W247" s="146"/>
      <c r="X247" s="92"/>
      <c r="Y247" s="146"/>
      <c r="Z247" s="186" t="str">
        <f t="shared" si="14"/>
        <v/>
      </c>
      <c r="AA247" s="217" t="b">
        <f t="shared" si="13"/>
        <v>0</v>
      </c>
      <c r="AB247" s="92"/>
      <c r="AC247" s="164" t="s">
        <v>6</v>
      </c>
      <c r="AD247" s="151" t="str">
        <f t="shared" si="15"/>
        <v>GUARULHOS</v>
      </c>
      <c r="AE247" s="96" t="s">
        <v>63</v>
      </c>
      <c r="AF247" s="53">
        <v>0.58847863720606186</v>
      </c>
      <c r="AG247" s="53" t="str" cm="1">
        <f t="array" ref="AG247">IF(OR(O247&lt;&gt;"", SUMPRODUCT(($AH$2:$AH$4999=AH247)*($AF$2:$AF$4999&lt;=AF247)) &lt;= (COUNTIF($AH$2:$AH$4999,AH247)*0.3)), "SORTEADO", "-")</f>
        <v>-</v>
      </c>
      <c r="AH247" s="257" t="str">
        <f t="shared" si="16"/>
        <v>10/04/2026</v>
      </c>
    </row>
    <row r="248" spans="1:34" ht="30" hidden="1" customHeight="1" x14ac:dyDescent="0.2">
      <c r="A248" s="230" t="s">
        <v>197</v>
      </c>
      <c r="B248" s="255">
        <v>2690166894</v>
      </c>
      <c r="C248" s="230" t="s">
        <v>133</v>
      </c>
      <c r="D248" s="230" t="s">
        <v>124</v>
      </c>
      <c r="E248" s="230" t="s">
        <v>198</v>
      </c>
      <c r="F248" s="230" t="s">
        <v>3581</v>
      </c>
      <c r="G248" s="230">
        <v>121</v>
      </c>
      <c r="H248" s="230" t="s">
        <v>3582</v>
      </c>
      <c r="I248" s="230" t="s">
        <v>269</v>
      </c>
      <c r="J248" s="230" t="s">
        <v>3275</v>
      </c>
      <c r="K248" s="230" t="s">
        <v>3303</v>
      </c>
      <c r="L248" s="235" t="s">
        <v>793</v>
      </c>
      <c r="M248" s="235">
        <v>46299.573611111111</v>
      </c>
      <c r="N248" s="230" t="s">
        <v>819</v>
      </c>
      <c r="O248" s="233"/>
      <c r="P248" s="9"/>
      <c r="Q248" s="146"/>
      <c r="R248" s="92"/>
      <c r="S248" s="146"/>
      <c r="T248" s="92"/>
      <c r="U248" s="146"/>
      <c r="V248" s="92"/>
      <c r="W248" s="146"/>
      <c r="X248" s="92"/>
      <c r="Y248" s="146"/>
      <c r="Z248" s="186" t="str">
        <f t="shared" si="14"/>
        <v/>
      </c>
      <c r="AA248" s="217" t="b">
        <f t="shared" si="13"/>
        <v>0</v>
      </c>
      <c r="AB248" s="92"/>
      <c r="AC248" s="164" t="s">
        <v>6</v>
      </c>
      <c r="AD248" s="151" t="str">
        <f t="shared" si="15"/>
        <v>GUARULHOS</v>
      </c>
      <c r="AE248" s="96" t="s">
        <v>63</v>
      </c>
      <c r="AF248" s="53">
        <v>0.90710062076003872</v>
      </c>
      <c r="AG248" s="53" t="str" cm="1">
        <f t="array" ref="AG248">IF(OR(O248&lt;&gt;"", SUMPRODUCT(($AH$2:$AH$4999=AH248)*($AF$2:$AF$4999&lt;=AF248)) &lt;= (COUNTIF($AH$2:$AH$4999,AH248)*0.3)), "SORTEADO", "-")</f>
        <v>-</v>
      </c>
      <c r="AH248" s="257" t="str">
        <f t="shared" si="16"/>
        <v>10/04/2026</v>
      </c>
    </row>
    <row r="249" spans="1:34" ht="30" hidden="1" customHeight="1" x14ac:dyDescent="0.2">
      <c r="A249" s="230" t="s">
        <v>197</v>
      </c>
      <c r="B249" s="255">
        <v>2690122245</v>
      </c>
      <c r="C249" s="230" t="s">
        <v>133</v>
      </c>
      <c r="D249" s="230" t="s">
        <v>124</v>
      </c>
      <c r="E249" s="230" t="s">
        <v>198</v>
      </c>
      <c r="F249" s="230" t="s">
        <v>3583</v>
      </c>
      <c r="G249" s="230">
        <v>148</v>
      </c>
      <c r="H249" s="230" t="s">
        <v>3584</v>
      </c>
      <c r="I249" s="230" t="s">
        <v>2063</v>
      </c>
      <c r="J249" s="230" t="s">
        <v>3275</v>
      </c>
      <c r="K249" s="230" t="s">
        <v>3303</v>
      </c>
      <c r="L249" s="235" t="s">
        <v>793</v>
      </c>
      <c r="M249" s="235">
        <v>46299.609722222223</v>
      </c>
      <c r="N249" s="230" t="s">
        <v>819</v>
      </c>
      <c r="O249" s="233"/>
      <c r="P249" s="9"/>
      <c r="Q249" s="146"/>
      <c r="R249" s="92"/>
      <c r="S249" s="146"/>
      <c r="T249" s="92"/>
      <c r="U249" s="146"/>
      <c r="V249" s="92"/>
      <c r="W249" s="146"/>
      <c r="X249" s="92"/>
      <c r="Y249" s="146"/>
      <c r="Z249" s="186" t="str">
        <f t="shared" si="14"/>
        <v/>
      </c>
      <c r="AA249" s="217" t="b">
        <f t="shared" si="13"/>
        <v>0</v>
      </c>
      <c r="AB249" s="92"/>
      <c r="AC249" s="164" t="s">
        <v>6</v>
      </c>
      <c r="AD249" s="151" t="str">
        <f t="shared" si="15"/>
        <v>GUARULHOS</v>
      </c>
      <c r="AE249" s="96" t="s">
        <v>63</v>
      </c>
      <c r="AF249" s="53">
        <v>0.60076429545231025</v>
      </c>
      <c r="AG249" s="53" t="str" cm="1">
        <f t="array" ref="AG249">IF(OR(O249&lt;&gt;"", SUMPRODUCT(($AH$2:$AH$4999=AH249)*($AF$2:$AF$4999&lt;=AF249)) &lt;= (COUNTIF($AH$2:$AH$4999,AH249)*0.3)), "SORTEADO", "-")</f>
        <v>-</v>
      </c>
      <c r="AH249" s="257" t="str">
        <f t="shared" si="16"/>
        <v>10/04/2026</v>
      </c>
    </row>
    <row r="250" spans="1:34" ht="30" hidden="1" customHeight="1" x14ac:dyDescent="0.2">
      <c r="A250" s="230" t="s">
        <v>197</v>
      </c>
      <c r="B250" s="255">
        <v>2690133229</v>
      </c>
      <c r="C250" s="230" t="s">
        <v>133</v>
      </c>
      <c r="D250" s="230" t="s">
        <v>124</v>
      </c>
      <c r="E250" s="230" t="s">
        <v>198</v>
      </c>
      <c r="F250" s="230" t="s">
        <v>3585</v>
      </c>
      <c r="G250" s="230">
        <v>160</v>
      </c>
      <c r="H250" s="230" t="s">
        <v>3586</v>
      </c>
      <c r="I250" s="230" t="s">
        <v>411</v>
      </c>
      <c r="J250" s="230" t="s">
        <v>3275</v>
      </c>
      <c r="K250" s="230" t="s">
        <v>3303</v>
      </c>
      <c r="L250" s="235" t="s">
        <v>793</v>
      </c>
      <c r="M250" s="235">
        <v>46299.62222222222</v>
      </c>
      <c r="N250" s="230" t="s">
        <v>819</v>
      </c>
      <c r="O250" s="233"/>
      <c r="P250" s="9"/>
      <c r="Q250" s="146"/>
      <c r="R250" s="92"/>
      <c r="S250" s="146"/>
      <c r="T250" s="92"/>
      <c r="U250" s="146"/>
      <c r="V250" s="92"/>
      <c r="W250" s="146"/>
      <c r="X250" s="92"/>
      <c r="Y250" s="146"/>
      <c r="Z250" s="186" t="str">
        <f t="shared" si="14"/>
        <v/>
      </c>
      <c r="AA250" s="217" t="b">
        <f t="shared" si="13"/>
        <v>0</v>
      </c>
      <c r="AB250" s="92"/>
      <c r="AC250" s="164" t="s">
        <v>6</v>
      </c>
      <c r="AD250" s="151" t="str">
        <f t="shared" si="15"/>
        <v>GUARULHOS</v>
      </c>
      <c r="AE250" s="96" t="s">
        <v>63</v>
      </c>
      <c r="AF250" s="53">
        <v>0.83790666267605063</v>
      </c>
      <c r="AG250" s="53" t="str" cm="1">
        <f t="array" ref="AG250">IF(OR(O250&lt;&gt;"", SUMPRODUCT(($AH$2:$AH$4999=AH250)*($AF$2:$AF$4999&lt;=AF250)) &lt;= (COUNTIF($AH$2:$AH$4999,AH250)*0.3)), "SORTEADO", "-")</f>
        <v>-</v>
      </c>
      <c r="AH250" s="257" t="str">
        <f t="shared" si="16"/>
        <v>10/04/2026</v>
      </c>
    </row>
    <row r="251" spans="1:34" ht="30" customHeight="1" x14ac:dyDescent="0.2">
      <c r="A251" s="230" t="s">
        <v>197</v>
      </c>
      <c r="B251" s="255">
        <v>2690251090</v>
      </c>
      <c r="C251" s="230" t="s">
        <v>127</v>
      </c>
      <c r="D251" s="230" t="s">
        <v>63</v>
      </c>
      <c r="E251" s="230" t="s">
        <v>198</v>
      </c>
      <c r="F251" s="230" t="s">
        <v>369</v>
      </c>
      <c r="G251" s="230">
        <v>92</v>
      </c>
      <c r="H251" s="230" t="s">
        <v>3587</v>
      </c>
      <c r="I251" s="230" t="s">
        <v>3373</v>
      </c>
      <c r="J251" s="230" t="s">
        <v>3275</v>
      </c>
      <c r="K251" s="230" t="s">
        <v>213</v>
      </c>
      <c r="L251" s="235" t="s">
        <v>802</v>
      </c>
      <c r="M251" s="235">
        <v>46330.6</v>
      </c>
      <c r="N251" s="230" t="s">
        <v>3276</v>
      </c>
      <c r="O251" s="233" t="s">
        <v>204</v>
      </c>
      <c r="P251" s="9"/>
      <c r="Q251" s="146" t="s">
        <v>204</v>
      </c>
      <c r="R251" s="92"/>
      <c r="S251" s="146" t="s">
        <v>204</v>
      </c>
      <c r="T251" s="92"/>
      <c r="U251" s="146" t="s">
        <v>204</v>
      </c>
      <c r="V251" s="92"/>
      <c r="W251" s="146" t="s">
        <v>204</v>
      </c>
      <c r="X251" s="92"/>
      <c r="Y251" s="146" t="s">
        <v>204</v>
      </c>
      <c r="Z251" s="186" t="str">
        <f t="shared" si="14"/>
        <v>C</v>
      </c>
      <c r="AA251" s="217" t="str">
        <f t="shared" si="13"/>
        <v>UTILIZOU O PDA CORRETAMENTE</v>
      </c>
      <c r="AB251" s="92" t="s">
        <v>204</v>
      </c>
      <c r="AC251" s="164" t="s">
        <v>6</v>
      </c>
      <c r="AD251" s="151" t="str">
        <f t="shared" si="15"/>
        <v>GUARULHOS</v>
      </c>
      <c r="AE251" s="96" t="s">
        <v>63</v>
      </c>
      <c r="AF251" s="53">
        <v>0.28851792084603445</v>
      </c>
      <c r="AG251" s="53" t="str" cm="1">
        <f t="array" ref="AG251">IF(OR(O251&lt;&gt;"", SUMPRODUCT(($AH$2:$AH$4999=AH251)*($AF$2:$AF$4999&lt;=AF251)) &lt;= (COUNTIF($AH$2:$AH$4999,AH251)*0.3)), "SORTEADO", "-")</f>
        <v>SORTEADO</v>
      </c>
      <c r="AH251" s="257" t="str">
        <f t="shared" si="16"/>
        <v>11/04/2026</v>
      </c>
    </row>
    <row r="252" spans="1:34" ht="30" hidden="1" customHeight="1" x14ac:dyDescent="0.2">
      <c r="A252" s="230" t="s">
        <v>197</v>
      </c>
      <c r="B252" s="255">
        <v>2615330911</v>
      </c>
      <c r="C252" s="230" t="s">
        <v>127</v>
      </c>
      <c r="D252" s="230" t="s">
        <v>63</v>
      </c>
      <c r="E252" s="230" t="s">
        <v>198</v>
      </c>
      <c r="F252" s="230" t="s">
        <v>3480</v>
      </c>
      <c r="G252" s="230">
        <v>66</v>
      </c>
      <c r="H252" s="230"/>
      <c r="I252" s="230" t="s">
        <v>622</v>
      </c>
      <c r="J252" s="230" t="s">
        <v>3275</v>
      </c>
      <c r="K252" s="230"/>
      <c r="L252" s="235" t="s">
        <v>802</v>
      </c>
      <c r="M252" s="235">
        <v>46330.651388888888</v>
      </c>
      <c r="N252" s="230" t="s">
        <v>3282</v>
      </c>
      <c r="O252" s="233"/>
      <c r="P252" s="9"/>
      <c r="Q252" s="146"/>
      <c r="R252" s="92"/>
      <c r="S252" s="146"/>
      <c r="T252" s="92"/>
      <c r="U252" s="146"/>
      <c r="V252" s="92"/>
      <c r="W252" s="146"/>
      <c r="X252" s="92"/>
      <c r="Y252" s="146"/>
      <c r="Z252" s="186" t="str">
        <f t="shared" si="14"/>
        <v/>
      </c>
      <c r="AA252" s="217" t="b">
        <f t="shared" si="13"/>
        <v>0</v>
      </c>
      <c r="AB252" s="92"/>
      <c r="AC252" s="164" t="s">
        <v>6</v>
      </c>
      <c r="AD252" s="151" t="str">
        <f t="shared" si="15"/>
        <v>GUARULHOS</v>
      </c>
      <c r="AE252" s="96" t="s">
        <v>63</v>
      </c>
      <c r="AF252" s="53">
        <v>0.75473136609469815</v>
      </c>
      <c r="AG252" s="53" t="str" cm="1">
        <f t="array" ref="AG252">IF(OR(O252&lt;&gt;"", SUMPRODUCT(($AH$2:$AH$4999=AH252)*($AF$2:$AF$4999&lt;=AF252)) &lt;= (COUNTIF($AH$2:$AH$4999,AH252)*0.3)), "SORTEADO", "-")</f>
        <v>-</v>
      </c>
      <c r="AH252" s="257" t="str">
        <f t="shared" si="16"/>
        <v>11/04/2026</v>
      </c>
    </row>
    <row r="253" spans="1:34" ht="30" hidden="1" customHeight="1" x14ac:dyDescent="0.2">
      <c r="A253" s="230" t="s">
        <v>197</v>
      </c>
      <c r="B253" s="255">
        <v>2690225145</v>
      </c>
      <c r="C253" s="230" t="s">
        <v>127</v>
      </c>
      <c r="D253" s="230" t="s">
        <v>63</v>
      </c>
      <c r="E253" s="230" t="s">
        <v>198</v>
      </c>
      <c r="F253" s="230" t="s">
        <v>2230</v>
      </c>
      <c r="G253" s="230">
        <v>60</v>
      </c>
      <c r="H253" s="230" t="s">
        <v>3517</v>
      </c>
      <c r="I253" s="230" t="s">
        <v>2232</v>
      </c>
      <c r="J253" s="230" t="s">
        <v>3275</v>
      </c>
      <c r="K253" s="230" t="s">
        <v>213</v>
      </c>
      <c r="L253" s="235" t="s">
        <v>802</v>
      </c>
      <c r="M253" s="235">
        <v>46330.361111111109</v>
      </c>
      <c r="N253" s="230" t="s">
        <v>3436</v>
      </c>
      <c r="O253" s="233"/>
      <c r="P253" s="9"/>
      <c r="Q253" s="146"/>
      <c r="R253" s="92"/>
      <c r="S253" s="146"/>
      <c r="T253" s="92"/>
      <c r="U253" s="146"/>
      <c r="V253" s="92"/>
      <c r="W253" s="146"/>
      <c r="X253" s="92"/>
      <c r="Y253" s="146"/>
      <c r="Z253" s="186" t="str">
        <f t="shared" si="14"/>
        <v/>
      </c>
      <c r="AA253" s="217" t="b">
        <f t="shared" si="13"/>
        <v>0</v>
      </c>
      <c r="AB253" s="92"/>
      <c r="AC253" s="164" t="s">
        <v>6</v>
      </c>
      <c r="AD253" s="151" t="str">
        <f t="shared" si="15"/>
        <v>GUARULHOS</v>
      </c>
      <c r="AE253" s="96" t="s">
        <v>63</v>
      </c>
      <c r="AF253" s="53">
        <v>0.54150044532825459</v>
      </c>
      <c r="AG253" s="53" t="str" cm="1">
        <f t="array" ref="AG253">IF(OR(O253&lt;&gt;"", SUMPRODUCT(($AH$2:$AH$4999=AH253)*($AF$2:$AF$4999&lt;=AF253)) &lt;= (COUNTIF($AH$2:$AH$4999,AH253)*0.3)), "SORTEADO", "-")</f>
        <v>-</v>
      </c>
      <c r="AH253" s="257" t="str">
        <f t="shared" si="16"/>
        <v>11/04/2026</v>
      </c>
    </row>
    <row r="254" spans="1:34" ht="30" customHeight="1" x14ac:dyDescent="0.2">
      <c r="A254" s="230" t="s">
        <v>197</v>
      </c>
      <c r="B254" s="255">
        <v>2690249895</v>
      </c>
      <c r="C254" s="230" t="s">
        <v>127</v>
      </c>
      <c r="D254" s="230" t="s">
        <v>63</v>
      </c>
      <c r="E254" s="230" t="s">
        <v>198</v>
      </c>
      <c r="F254" s="230" t="s">
        <v>3588</v>
      </c>
      <c r="G254" s="230">
        <v>106</v>
      </c>
      <c r="H254" s="230" t="s">
        <v>3589</v>
      </c>
      <c r="I254" s="230" t="s">
        <v>262</v>
      </c>
      <c r="J254" s="230" t="s">
        <v>3275</v>
      </c>
      <c r="K254" s="230"/>
      <c r="L254" s="235" t="s">
        <v>802</v>
      </c>
      <c r="M254" s="235">
        <v>46330.435416666667</v>
      </c>
      <c r="N254" s="230" t="s">
        <v>3590</v>
      </c>
      <c r="O254" s="233" t="s">
        <v>204</v>
      </c>
      <c r="P254" s="9"/>
      <c r="Q254" s="146" t="s">
        <v>204</v>
      </c>
      <c r="R254" s="92"/>
      <c r="S254" s="146" t="s">
        <v>204</v>
      </c>
      <c r="T254" s="92"/>
      <c r="U254" s="146" t="s">
        <v>204</v>
      </c>
      <c r="V254" s="92"/>
      <c r="W254" s="146" t="s">
        <v>204</v>
      </c>
      <c r="X254" s="92"/>
      <c r="Y254" s="146" t="s">
        <v>204</v>
      </c>
      <c r="Z254" s="186" t="str">
        <f t="shared" si="14"/>
        <v>C</v>
      </c>
      <c r="AA254" s="217" t="str">
        <f t="shared" si="13"/>
        <v>UTILIZOU O PDA CORRETAMENTE</v>
      </c>
      <c r="AB254" s="92" t="s">
        <v>204</v>
      </c>
      <c r="AC254" s="164" t="s">
        <v>6</v>
      </c>
      <c r="AD254" s="151" t="str">
        <f t="shared" si="15"/>
        <v>GUARULHOS</v>
      </c>
      <c r="AE254" s="96" t="s">
        <v>63</v>
      </c>
      <c r="AF254" s="53">
        <v>0.2296530333987257</v>
      </c>
      <c r="AG254" s="53" t="str" cm="1">
        <f t="array" ref="AG254">IF(OR(O254&lt;&gt;"", SUMPRODUCT(($AH$2:$AH$4999=AH254)*($AF$2:$AF$4999&lt;=AF254)) &lt;= (COUNTIF($AH$2:$AH$4999,AH254)*0.3)), "SORTEADO", "-")</f>
        <v>SORTEADO</v>
      </c>
      <c r="AH254" s="257" t="str">
        <f t="shared" si="16"/>
        <v>11/04/2026</v>
      </c>
    </row>
    <row r="255" spans="1:34" ht="30" hidden="1" customHeight="1" x14ac:dyDescent="0.2">
      <c r="A255" s="230" t="s">
        <v>197</v>
      </c>
      <c r="B255" s="255">
        <v>2615318610</v>
      </c>
      <c r="C255" s="230" t="s">
        <v>127</v>
      </c>
      <c r="D255" s="230" t="s">
        <v>63</v>
      </c>
      <c r="E255" s="230" t="s">
        <v>198</v>
      </c>
      <c r="F255" s="230" t="s">
        <v>3434</v>
      </c>
      <c r="G255" s="230">
        <v>366</v>
      </c>
      <c r="H255" s="230" t="s">
        <v>213</v>
      </c>
      <c r="I255" s="230" t="s">
        <v>398</v>
      </c>
      <c r="J255" s="230" t="s">
        <v>3275</v>
      </c>
      <c r="K255" s="230" t="s">
        <v>213</v>
      </c>
      <c r="L255" s="235" t="s">
        <v>802</v>
      </c>
      <c r="M255" s="235">
        <v>46330.384722222225</v>
      </c>
      <c r="N255" s="230" t="s">
        <v>3590</v>
      </c>
      <c r="O255" s="233"/>
      <c r="P255" s="9"/>
      <c r="Q255" s="146"/>
      <c r="R255" s="92"/>
      <c r="S255" s="146"/>
      <c r="T255" s="92"/>
      <c r="U255" s="146"/>
      <c r="V255" s="92"/>
      <c r="W255" s="146"/>
      <c r="X255" s="92"/>
      <c r="Y255" s="146"/>
      <c r="Z255" s="186" t="str">
        <f t="shared" si="14"/>
        <v/>
      </c>
      <c r="AA255" s="217" t="b">
        <f t="shared" si="13"/>
        <v>0</v>
      </c>
      <c r="AB255" s="92"/>
      <c r="AC255" s="164" t="s">
        <v>6</v>
      </c>
      <c r="AD255" s="151" t="str">
        <f t="shared" si="15"/>
        <v>GUARULHOS</v>
      </c>
      <c r="AE255" s="96" t="s">
        <v>63</v>
      </c>
      <c r="AF255" s="53">
        <v>0.53364011936542588</v>
      </c>
      <c r="AG255" s="53" t="str" cm="1">
        <f t="array" ref="AG255">IF(OR(O255&lt;&gt;"", SUMPRODUCT(($AH$2:$AH$4999=AH255)*($AF$2:$AF$4999&lt;=AF255)) &lt;= (COUNTIF($AH$2:$AH$4999,AH255)*0.3)), "SORTEADO", "-")</f>
        <v>-</v>
      </c>
      <c r="AH255" s="257" t="str">
        <f t="shared" si="16"/>
        <v>11/04/2026</v>
      </c>
    </row>
    <row r="256" spans="1:34" ht="30" hidden="1" customHeight="1" x14ac:dyDescent="0.2">
      <c r="A256" s="230" t="s">
        <v>197</v>
      </c>
      <c r="B256" s="255">
        <v>2615322569</v>
      </c>
      <c r="C256" s="230" t="s">
        <v>127</v>
      </c>
      <c r="D256" s="230" t="s">
        <v>63</v>
      </c>
      <c r="E256" s="230" t="s">
        <v>198</v>
      </c>
      <c r="F256" s="230" t="s">
        <v>3272</v>
      </c>
      <c r="G256" s="230">
        <v>86</v>
      </c>
      <c r="H256" s="230" t="s">
        <v>276</v>
      </c>
      <c r="I256" s="230" t="s">
        <v>398</v>
      </c>
      <c r="J256" s="230" t="s">
        <v>3275</v>
      </c>
      <c r="K256" s="230"/>
      <c r="L256" s="235" t="s">
        <v>802</v>
      </c>
      <c r="M256" s="235">
        <v>46330.377083333333</v>
      </c>
      <c r="N256" s="230" t="s">
        <v>3590</v>
      </c>
      <c r="O256" s="233"/>
      <c r="P256" s="9"/>
      <c r="Q256" s="146"/>
      <c r="R256" s="92"/>
      <c r="S256" s="146"/>
      <c r="T256" s="92"/>
      <c r="U256" s="146"/>
      <c r="V256" s="92"/>
      <c r="W256" s="146"/>
      <c r="X256" s="92"/>
      <c r="Y256" s="146"/>
      <c r="Z256" s="186" t="str">
        <f t="shared" si="14"/>
        <v/>
      </c>
      <c r="AA256" s="217" t="b">
        <f t="shared" si="13"/>
        <v>0</v>
      </c>
      <c r="AB256" s="92"/>
      <c r="AC256" s="164" t="s">
        <v>6</v>
      </c>
      <c r="AD256" s="151" t="str">
        <f t="shared" si="15"/>
        <v>GUARULHOS</v>
      </c>
      <c r="AE256" s="96" t="s">
        <v>63</v>
      </c>
      <c r="AF256" s="53">
        <v>0.42811679212113213</v>
      </c>
      <c r="AG256" s="53" t="str" cm="1">
        <f t="array" ref="AG256">IF(OR(O256&lt;&gt;"", SUMPRODUCT(($AH$2:$AH$4999=AH256)*($AF$2:$AF$4999&lt;=AF256)) &lt;= (COUNTIF($AH$2:$AH$4999,AH256)*0.3)), "SORTEADO", "-")</f>
        <v>-</v>
      </c>
      <c r="AH256" s="257" t="str">
        <f t="shared" si="16"/>
        <v>11/04/2026</v>
      </c>
    </row>
    <row r="257" spans="1:34" ht="30" hidden="1" customHeight="1" x14ac:dyDescent="0.2">
      <c r="A257" s="230" t="s">
        <v>197</v>
      </c>
      <c r="B257" s="255">
        <v>2615322833</v>
      </c>
      <c r="C257" s="230" t="s">
        <v>127</v>
      </c>
      <c r="D257" s="230" t="s">
        <v>63</v>
      </c>
      <c r="E257" s="230" t="s">
        <v>198</v>
      </c>
      <c r="F257" s="230" t="s">
        <v>3272</v>
      </c>
      <c r="G257" s="230">
        <v>86</v>
      </c>
      <c r="H257" s="230" t="s">
        <v>235</v>
      </c>
      <c r="I257" s="230" t="s">
        <v>398</v>
      </c>
      <c r="J257" s="230" t="s">
        <v>3275</v>
      </c>
      <c r="K257" s="230" t="s">
        <v>213</v>
      </c>
      <c r="L257" s="235" t="s">
        <v>802</v>
      </c>
      <c r="M257" s="235">
        <v>46330.370138888888</v>
      </c>
      <c r="N257" s="230" t="s">
        <v>3590</v>
      </c>
      <c r="O257" s="233"/>
      <c r="P257" s="9"/>
      <c r="Q257" s="146"/>
      <c r="R257" s="92"/>
      <c r="S257" s="146"/>
      <c r="T257" s="92"/>
      <c r="U257" s="146"/>
      <c r="V257" s="92"/>
      <c r="W257" s="146"/>
      <c r="X257" s="92"/>
      <c r="Y257" s="146"/>
      <c r="Z257" s="186" t="str">
        <f t="shared" si="14"/>
        <v/>
      </c>
      <c r="AA257" s="217" t="b">
        <f t="shared" ref="AA257:AA320" si="17">IF(AND(Y257="C",Z257="C"),"UTILIZOU O PDA CORRETAMENTE",IF(AND(Y257="C",Z257="NC"),"UTILIZOU O PDA CORRETAMENTE. NÃO HÁ FOTOS DE TODAS AS ETAPAS",IF(AND(Y257="NC",Z257="NC"),"NÃO UTILIZOU O PDA",IF(AND(Y257="NA",Z257="NA"),"NÃO AVALIADO POR FALHA DE SINCRONISMO"))))</f>
        <v>0</v>
      </c>
      <c r="AB257" s="92"/>
      <c r="AC257" s="164" t="s">
        <v>6</v>
      </c>
      <c r="AD257" s="151" t="str">
        <f t="shared" si="15"/>
        <v>GUARULHOS</v>
      </c>
      <c r="AE257" s="96" t="s">
        <v>63</v>
      </c>
      <c r="AF257" s="53">
        <v>0.33258177409651118</v>
      </c>
      <c r="AG257" s="53" t="str" cm="1">
        <f t="array" ref="AG257">IF(OR(O257&lt;&gt;"", SUMPRODUCT(($AH$2:$AH$4999=AH257)*($AF$2:$AF$4999&lt;=AF257)) &lt;= (COUNTIF($AH$2:$AH$4999,AH257)*0.3)), "SORTEADO", "-")</f>
        <v>-</v>
      </c>
      <c r="AH257" s="257" t="str">
        <f t="shared" si="16"/>
        <v>11/04/2026</v>
      </c>
    </row>
    <row r="258" spans="1:34" ht="30" hidden="1" customHeight="1" x14ac:dyDescent="0.2">
      <c r="A258" s="230" t="s">
        <v>197</v>
      </c>
      <c r="B258" s="255">
        <v>2614781154</v>
      </c>
      <c r="C258" s="230" t="s">
        <v>135</v>
      </c>
      <c r="D258" s="230" t="s">
        <v>124</v>
      </c>
      <c r="E258" s="230" t="s">
        <v>198</v>
      </c>
      <c r="F258" s="230" t="s">
        <v>3591</v>
      </c>
      <c r="G258" s="230">
        <v>225</v>
      </c>
      <c r="H258" s="230" t="s">
        <v>3592</v>
      </c>
      <c r="I258" s="230" t="s">
        <v>859</v>
      </c>
      <c r="J258" s="230" t="s">
        <v>3280</v>
      </c>
      <c r="K258" s="230"/>
      <c r="L258" s="235" t="s">
        <v>802</v>
      </c>
      <c r="M258" s="235">
        <v>46330.65347222222</v>
      </c>
      <c r="N258" s="230" t="s">
        <v>215</v>
      </c>
      <c r="O258" s="233"/>
      <c r="P258" s="9"/>
      <c r="Q258" s="146"/>
      <c r="R258" s="92"/>
      <c r="S258" s="146"/>
      <c r="T258" s="92"/>
      <c r="U258" s="146"/>
      <c r="V258" s="92"/>
      <c r="W258" s="146"/>
      <c r="X258" s="92"/>
      <c r="Y258" s="146"/>
      <c r="Z258" s="186" t="str">
        <f t="shared" ref="Z258:Z321" si="18">IF(AND(O258="",Q258="",S258="",U258="",W258=""),"",IF(OR(AND(O258&lt;&gt;"NA",O258&lt;&gt;"C",O258&lt;&gt;"NC",O258&lt;&gt;"SF",O258&lt;&gt;""),AND(Q258&lt;&gt;"NA",Q258&lt;&gt;"C",Q258&lt;&gt;"NC",Q258&lt;&gt;"SF",Q258&lt;&gt;""),AND(S258&lt;&gt;"NA",S258&lt;&gt;"C",S258&lt;&gt;"NC",S258&lt;&gt;"SF",S258&lt;&gt;""),AND(U258&lt;&gt;"NA",U258&lt;&gt;"C",U258&lt;&gt;"NC",U258&lt;&gt;"SF",U258&lt;&gt;""),AND(W258&lt;&gt;"NA",W258&lt;&gt;"C",W258&lt;&gt;"NC",W258&lt;&gt;"SF",W258&lt;&gt;"")),"FALSO",IF(AND(O258="NA",Q258="NA",S258="NA",U258="NA",W258="NA"),"NA",IF(OR(O258="NC",Q258="NC",S258="NC",U258="NC",W258="NC",O258="SF",Q258="SF",S258="SF",U258="SF",W258="SF"),"NC",IF(OR(O258="C",Q258="C",S258="C",U258="C",W258="C"),"C","")))))</f>
        <v/>
      </c>
      <c r="AA258" s="217" t="b">
        <f t="shared" si="17"/>
        <v>0</v>
      </c>
      <c r="AB258" s="92"/>
      <c r="AC258" s="164" t="s">
        <v>6</v>
      </c>
      <c r="AD258" s="151" t="str">
        <f t="shared" ref="AD258:AD302" si="19">E258</f>
        <v>GUARULHOS</v>
      </c>
      <c r="AE258" s="96" t="s">
        <v>63</v>
      </c>
      <c r="AF258" s="53">
        <v>0.38018266095745235</v>
      </c>
      <c r="AG258" s="53" t="str" cm="1">
        <f t="array" ref="AG258">IF(OR(O258&lt;&gt;"", SUMPRODUCT(($AH$2:$AH$4999=AH258)*($AF$2:$AF$4999&lt;=AF258)) &lt;= (COUNTIF($AH$2:$AH$4999,AH258)*0.3)), "SORTEADO", "-")</f>
        <v>-</v>
      </c>
      <c r="AH258" s="257" t="str">
        <f t="shared" si="16"/>
        <v>11/04/2026</v>
      </c>
    </row>
    <row r="259" spans="1:34" ht="30" hidden="1" customHeight="1" x14ac:dyDescent="0.2">
      <c r="A259" s="230" t="s">
        <v>197</v>
      </c>
      <c r="B259" s="255">
        <v>2690252545</v>
      </c>
      <c r="C259" s="230" t="s">
        <v>133</v>
      </c>
      <c r="D259" s="230" t="s">
        <v>124</v>
      </c>
      <c r="E259" s="230" t="s">
        <v>198</v>
      </c>
      <c r="F259" s="230" t="s">
        <v>1085</v>
      </c>
      <c r="G259" s="230">
        <v>10</v>
      </c>
      <c r="H259" s="230" t="s">
        <v>3593</v>
      </c>
      <c r="I259" s="230" t="s">
        <v>253</v>
      </c>
      <c r="J259" s="230" t="s">
        <v>3275</v>
      </c>
      <c r="K259" s="230" t="s">
        <v>3363</v>
      </c>
      <c r="L259" s="235" t="s">
        <v>802</v>
      </c>
      <c r="M259" s="235">
        <v>46330.379166666666</v>
      </c>
      <c r="N259" s="230" t="s">
        <v>3276</v>
      </c>
      <c r="O259" s="233"/>
      <c r="P259" s="9"/>
      <c r="Q259" s="146"/>
      <c r="R259" s="92"/>
      <c r="S259" s="146"/>
      <c r="T259" s="92"/>
      <c r="U259" s="146"/>
      <c r="V259" s="92"/>
      <c r="W259" s="146"/>
      <c r="X259" s="92"/>
      <c r="Y259" s="146"/>
      <c r="Z259" s="186" t="str">
        <f t="shared" si="18"/>
        <v/>
      </c>
      <c r="AA259" s="217" t="b">
        <f t="shared" si="17"/>
        <v>0</v>
      </c>
      <c r="AB259" s="92"/>
      <c r="AC259" s="164" t="s">
        <v>6</v>
      </c>
      <c r="AD259" s="151" t="str">
        <f t="shared" si="19"/>
        <v>GUARULHOS</v>
      </c>
      <c r="AE259" s="96" t="s">
        <v>63</v>
      </c>
      <c r="AF259" s="53">
        <v>0.76679413942906238</v>
      </c>
      <c r="AG259" s="53" t="str" cm="1">
        <f t="array" ref="AG259">IF(OR(O259&lt;&gt;"", SUMPRODUCT(($AH$2:$AH$4999=AH259)*($AF$2:$AF$4999&lt;=AF259)) &lt;= (COUNTIF($AH$2:$AH$4999,AH259)*0.3)), "SORTEADO", "-")</f>
        <v>-</v>
      </c>
      <c r="AH259" s="257" t="str">
        <f t="shared" si="16"/>
        <v>11/04/2026</v>
      </c>
    </row>
    <row r="260" spans="1:34" ht="30" hidden="1" customHeight="1" x14ac:dyDescent="0.2">
      <c r="A260" s="230" t="s">
        <v>197</v>
      </c>
      <c r="B260" s="255">
        <v>2690225255</v>
      </c>
      <c r="C260" s="230" t="s">
        <v>133</v>
      </c>
      <c r="D260" s="230" t="s">
        <v>124</v>
      </c>
      <c r="E260" s="230" t="s">
        <v>198</v>
      </c>
      <c r="F260" s="230" t="s">
        <v>745</v>
      </c>
      <c r="G260" s="230">
        <v>354</v>
      </c>
      <c r="H260" s="230"/>
      <c r="I260" s="230" t="s">
        <v>746</v>
      </c>
      <c r="J260" s="230" t="s">
        <v>3275</v>
      </c>
      <c r="K260" s="230"/>
      <c r="L260" s="235" t="s">
        <v>802</v>
      </c>
      <c r="M260" s="235">
        <v>46330.376388888886</v>
      </c>
      <c r="N260" s="230" t="s">
        <v>3296</v>
      </c>
      <c r="O260" s="233"/>
      <c r="P260" s="9"/>
      <c r="Q260" s="146"/>
      <c r="R260" s="92"/>
      <c r="S260" s="146"/>
      <c r="T260" s="92"/>
      <c r="U260" s="146"/>
      <c r="V260" s="92"/>
      <c r="W260" s="146"/>
      <c r="X260" s="92"/>
      <c r="Y260" s="146"/>
      <c r="Z260" s="186" t="str">
        <f t="shared" si="18"/>
        <v/>
      </c>
      <c r="AA260" s="217" t="b">
        <f t="shared" si="17"/>
        <v>0</v>
      </c>
      <c r="AB260" s="92"/>
      <c r="AC260" s="164" t="s">
        <v>6</v>
      </c>
      <c r="AD260" s="151" t="str">
        <f t="shared" si="19"/>
        <v>GUARULHOS</v>
      </c>
      <c r="AE260" s="96" t="s">
        <v>63</v>
      </c>
      <c r="AF260" s="53">
        <v>0.30306555457372458</v>
      </c>
      <c r="AG260" s="53" t="str" cm="1">
        <f t="array" ref="AG260">IF(OR(O260&lt;&gt;"", SUMPRODUCT(($AH$2:$AH$4999=AH260)*($AF$2:$AF$4999&lt;=AF260)) &lt;= (COUNTIF($AH$2:$AH$4999,AH260)*0.3)), "SORTEADO", "-")</f>
        <v>-</v>
      </c>
      <c r="AH260" s="257" t="str">
        <f t="shared" si="16"/>
        <v>11/04/2026</v>
      </c>
    </row>
    <row r="261" spans="1:34" ht="30" hidden="1" customHeight="1" x14ac:dyDescent="0.2">
      <c r="A261" s="230" t="s">
        <v>197</v>
      </c>
      <c r="B261" s="255">
        <v>2690234257</v>
      </c>
      <c r="C261" s="230" t="s">
        <v>133</v>
      </c>
      <c r="D261" s="230" t="s">
        <v>124</v>
      </c>
      <c r="E261" s="230" t="s">
        <v>198</v>
      </c>
      <c r="F261" s="230" t="s">
        <v>3594</v>
      </c>
      <c r="G261" s="230">
        <v>254</v>
      </c>
      <c r="H261" s="230" t="s">
        <v>3595</v>
      </c>
      <c r="I261" s="230" t="s">
        <v>335</v>
      </c>
      <c r="J261" s="230" t="s">
        <v>3275</v>
      </c>
      <c r="K261" s="230" t="s">
        <v>3363</v>
      </c>
      <c r="L261" s="235" t="s">
        <v>802</v>
      </c>
      <c r="M261" s="235">
        <v>46330.396527777775</v>
      </c>
      <c r="N261" s="230" t="s">
        <v>3276</v>
      </c>
      <c r="O261" s="233"/>
      <c r="P261" s="9"/>
      <c r="Q261" s="146"/>
      <c r="R261" s="92"/>
      <c r="S261" s="146"/>
      <c r="T261" s="92"/>
      <c r="U261" s="146"/>
      <c r="V261" s="92"/>
      <c r="W261" s="146"/>
      <c r="X261" s="92"/>
      <c r="Y261" s="146"/>
      <c r="Z261" s="186" t="str">
        <f t="shared" si="18"/>
        <v/>
      </c>
      <c r="AA261" s="217" t="b">
        <f t="shared" si="17"/>
        <v>0</v>
      </c>
      <c r="AB261" s="92"/>
      <c r="AC261" s="164" t="s">
        <v>6</v>
      </c>
      <c r="AD261" s="151" t="str">
        <f t="shared" si="19"/>
        <v>GUARULHOS</v>
      </c>
      <c r="AE261" s="96" t="s">
        <v>63</v>
      </c>
      <c r="AF261" s="53">
        <v>0.56931347676792832</v>
      </c>
      <c r="AG261" s="53" t="str" cm="1">
        <f t="array" ref="AG261">IF(OR(O261&lt;&gt;"", SUMPRODUCT(($AH$2:$AH$4999=AH261)*($AF$2:$AF$4999&lt;=AF261)) &lt;= (COUNTIF($AH$2:$AH$4999,AH261)*0.3)), "SORTEADO", "-")</f>
        <v>-</v>
      </c>
      <c r="AH261" s="257" t="str">
        <f t="shared" si="16"/>
        <v>11/04/2026</v>
      </c>
    </row>
    <row r="262" spans="1:34" ht="30" hidden="1" customHeight="1" x14ac:dyDescent="0.2">
      <c r="A262" s="230" t="s">
        <v>197</v>
      </c>
      <c r="B262" s="255">
        <v>2615421015</v>
      </c>
      <c r="C262" s="230" t="s">
        <v>127</v>
      </c>
      <c r="D262" s="230" t="s">
        <v>63</v>
      </c>
      <c r="E262" s="230" t="s">
        <v>198</v>
      </c>
      <c r="F262" s="230" t="s">
        <v>946</v>
      </c>
      <c r="G262" s="230">
        <v>94</v>
      </c>
      <c r="H262" s="230" t="s">
        <v>827</v>
      </c>
      <c r="I262" s="230" t="s">
        <v>775</v>
      </c>
      <c r="J262" s="230" t="s">
        <v>3275</v>
      </c>
      <c r="K262" s="230"/>
      <c r="L262" s="235" t="s">
        <v>802</v>
      </c>
      <c r="M262" s="235">
        <v>46330.629166666666</v>
      </c>
      <c r="N262" s="230" t="s">
        <v>3282</v>
      </c>
      <c r="O262" s="233"/>
      <c r="P262" s="9"/>
      <c r="Q262" s="146"/>
      <c r="R262" s="92"/>
      <c r="S262" s="146"/>
      <c r="T262" s="92"/>
      <c r="U262" s="146"/>
      <c r="V262" s="92"/>
      <c r="W262" s="146"/>
      <c r="X262" s="92"/>
      <c r="Y262" s="146"/>
      <c r="Z262" s="186" t="str">
        <f t="shared" si="18"/>
        <v/>
      </c>
      <c r="AA262" s="217" t="b">
        <f t="shared" si="17"/>
        <v>0</v>
      </c>
      <c r="AB262" s="92"/>
      <c r="AC262" s="164" t="s">
        <v>6</v>
      </c>
      <c r="AD262" s="151" t="str">
        <f t="shared" si="19"/>
        <v>GUARULHOS</v>
      </c>
      <c r="AE262" s="96" t="s">
        <v>63</v>
      </c>
      <c r="AF262" s="53">
        <v>0.37855354802682473</v>
      </c>
      <c r="AG262" s="53" t="str" cm="1">
        <f t="array" ref="AG262">IF(OR(O262&lt;&gt;"", SUMPRODUCT(($AH$2:$AH$4999=AH262)*($AF$2:$AF$4999&lt;=AF262)) &lt;= (COUNTIF($AH$2:$AH$4999,AH262)*0.3)), "SORTEADO", "-")</f>
        <v>-</v>
      </c>
      <c r="AH262" s="257" t="str">
        <f t="shared" si="16"/>
        <v>11/04/2026</v>
      </c>
    </row>
    <row r="263" spans="1:34" ht="30" customHeight="1" x14ac:dyDescent="0.2">
      <c r="A263" s="230" t="s">
        <v>197</v>
      </c>
      <c r="B263" s="255">
        <v>2690249393</v>
      </c>
      <c r="C263" s="230" t="s">
        <v>133</v>
      </c>
      <c r="D263" s="230" t="s">
        <v>124</v>
      </c>
      <c r="E263" s="230" t="s">
        <v>198</v>
      </c>
      <c r="F263" s="230" t="s">
        <v>3596</v>
      </c>
      <c r="G263" s="230">
        <v>191</v>
      </c>
      <c r="H263" s="230" t="s">
        <v>3597</v>
      </c>
      <c r="I263" s="230" t="s">
        <v>285</v>
      </c>
      <c r="J263" s="230" t="s">
        <v>3275</v>
      </c>
      <c r="K263" s="230" t="s">
        <v>2990</v>
      </c>
      <c r="L263" s="235" t="s">
        <v>802</v>
      </c>
      <c r="M263" s="235">
        <v>46330.40347222222</v>
      </c>
      <c r="N263" s="230" t="s">
        <v>3282</v>
      </c>
      <c r="O263" s="233" t="s">
        <v>204</v>
      </c>
      <c r="P263" s="9"/>
      <c r="Q263" s="146" t="s">
        <v>204</v>
      </c>
      <c r="R263" s="92"/>
      <c r="S263" s="146" t="s">
        <v>204</v>
      </c>
      <c r="T263" s="92"/>
      <c r="U263" s="146" t="s">
        <v>204</v>
      </c>
      <c r="V263" s="92"/>
      <c r="W263" s="146" t="s">
        <v>204</v>
      </c>
      <c r="X263" s="92"/>
      <c r="Y263" s="146" t="s">
        <v>204</v>
      </c>
      <c r="Z263" s="186" t="str">
        <f t="shared" si="18"/>
        <v>C</v>
      </c>
      <c r="AA263" s="217" t="str">
        <f t="shared" si="17"/>
        <v>UTILIZOU O PDA CORRETAMENTE</v>
      </c>
      <c r="AB263" s="92" t="s">
        <v>204</v>
      </c>
      <c r="AC263" s="164" t="s">
        <v>6</v>
      </c>
      <c r="AD263" s="151" t="str">
        <f t="shared" si="19"/>
        <v>GUARULHOS</v>
      </c>
      <c r="AE263" s="96" t="s">
        <v>63</v>
      </c>
      <c r="AF263" s="53">
        <v>0.23559785145089551</v>
      </c>
      <c r="AG263" s="53" t="str" cm="1">
        <f t="array" ref="AG263">IF(OR(O263&lt;&gt;"", SUMPRODUCT(($AH$2:$AH$4999=AH263)*($AF$2:$AF$4999&lt;=AF263)) &lt;= (COUNTIF($AH$2:$AH$4999,AH263)*0.3)), "SORTEADO", "-")</f>
        <v>SORTEADO</v>
      </c>
      <c r="AH263" s="257" t="str">
        <f t="shared" si="16"/>
        <v>11/04/2026</v>
      </c>
    </row>
    <row r="264" spans="1:34" ht="30" hidden="1" customHeight="1" x14ac:dyDescent="0.2">
      <c r="A264" s="230" t="s">
        <v>197</v>
      </c>
      <c r="B264" s="255">
        <v>2690235184</v>
      </c>
      <c r="C264" s="230" t="s">
        <v>133</v>
      </c>
      <c r="D264" s="230" t="s">
        <v>124</v>
      </c>
      <c r="E264" s="230" t="s">
        <v>198</v>
      </c>
      <c r="F264" s="230" t="s">
        <v>3598</v>
      </c>
      <c r="G264" s="230">
        <v>70</v>
      </c>
      <c r="H264" s="230"/>
      <c r="I264" s="230" t="s">
        <v>797</v>
      </c>
      <c r="J264" s="230" t="s">
        <v>3275</v>
      </c>
      <c r="K264" s="230" t="s">
        <v>2990</v>
      </c>
      <c r="L264" s="235" t="s">
        <v>802</v>
      </c>
      <c r="M264" s="235">
        <v>46330.428472222222</v>
      </c>
      <c r="N264" s="230" t="s">
        <v>3282</v>
      </c>
      <c r="O264" s="233"/>
      <c r="P264" s="9"/>
      <c r="Q264" s="146"/>
      <c r="R264" s="92"/>
      <c r="S264" s="146"/>
      <c r="T264" s="92"/>
      <c r="U264" s="146"/>
      <c r="V264" s="92"/>
      <c r="W264" s="146"/>
      <c r="X264" s="92"/>
      <c r="Y264" s="146"/>
      <c r="Z264" s="186" t="str">
        <f t="shared" si="18"/>
        <v/>
      </c>
      <c r="AA264" s="217" t="b">
        <f t="shared" si="17"/>
        <v>0</v>
      </c>
      <c r="AB264" s="92"/>
      <c r="AC264" s="164" t="s">
        <v>6</v>
      </c>
      <c r="AD264" s="151" t="str">
        <f t="shared" si="19"/>
        <v>GUARULHOS</v>
      </c>
      <c r="AE264" s="96" t="s">
        <v>63</v>
      </c>
      <c r="AF264" s="53">
        <v>0.96767511218634017</v>
      </c>
      <c r="AG264" s="53" t="str" cm="1">
        <f t="array" ref="AG264">IF(OR(O264&lt;&gt;"", SUMPRODUCT(($AH$2:$AH$4999=AH264)*($AF$2:$AF$4999&lt;=AF264)) &lt;= (COUNTIF($AH$2:$AH$4999,AH264)*0.3)), "SORTEADO", "-")</f>
        <v>-</v>
      </c>
      <c r="AH264" s="257" t="str">
        <f t="shared" si="16"/>
        <v>11/04/2026</v>
      </c>
    </row>
    <row r="265" spans="1:34" ht="30" customHeight="1" x14ac:dyDescent="0.2">
      <c r="A265" s="230" t="s">
        <v>197</v>
      </c>
      <c r="B265" s="255">
        <v>2615425072</v>
      </c>
      <c r="C265" s="230" t="s">
        <v>135</v>
      </c>
      <c r="D265" s="230" t="s">
        <v>124</v>
      </c>
      <c r="E265" s="230" t="s">
        <v>198</v>
      </c>
      <c r="F265" s="230" t="s">
        <v>3599</v>
      </c>
      <c r="G265" s="230">
        <v>25</v>
      </c>
      <c r="H265" s="230" t="s">
        <v>3181</v>
      </c>
      <c r="I265" s="230" t="s">
        <v>664</v>
      </c>
      <c r="J265" s="230" t="s">
        <v>3280</v>
      </c>
      <c r="K265" s="237" t="s">
        <v>3600</v>
      </c>
      <c r="L265" s="235" t="s">
        <v>802</v>
      </c>
      <c r="M265" s="235">
        <v>46330.629861111112</v>
      </c>
      <c r="N265" s="230" t="s">
        <v>244</v>
      </c>
      <c r="O265" s="233" t="s">
        <v>204</v>
      </c>
      <c r="P265" s="9"/>
      <c r="Q265" s="146" t="s">
        <v>204</v>
      </c>
      <c r="R265" s="92"/>
      <c r="S265" s="146" t="s">
        <v>204</v>
      </c>
      <c r="T265" s="92"/>
      <c r="U265" s="146" t="s">
        <v>204</v>
      </c>
      <c r="V265" s="92"/>
      <c r="W265" s="146" t="s">
        <v>204</v>
      </c>
      <c r="X265" s="92"/>
      <c r="Y265" s="146" t="s">
        <v>204</v>
      </c>
      <c r="Z265" s="186" t="str">
        <f t="shared" si="18"/>
        <v>C</v>
      </c>
      <c r="AA265" s="217" t="str">
        <f t="shared" si="17"/>
        <v>UTILIZOU O PDA CORRETAMENTE</v>
      </c>
      <c r="AB265" s="92" t="s">
        <v>204</v>
      </c>
      <c r="AC265" s="164" t="s">
        <v>6</v>
      </c>
      <c r="AD265" s="151" t="str">
        <f t="shared" si="19"/>
        <v>GUARULHOS</v>
      </c>
      <c r="AE265" s="96" t="s">
        <v>63</v>
      </c>
      <c r="AF265" s="53">
        <v>0.15627521303434624</v>
      </c>
      <c r="AG265" s="53" t="str" cm="1">
        <f t="array" ref="AG265">IF(OR(O265&lt;&gt;"", SUMPRODUCT(($AH$2:$AH$4999=AH265)*($AF$2:$AF$4999&lt;=AF265)) &lt;= (COUNTIF($AH$2:$AH$4999,AH265)*0.3)), "SORTEADO", "-")</f>
        <v>SORTEADO</v>
      </c>
      <c r="AH265" s="257" t="str">
        <f t="shared" si="16"/>
        <v>11/04/2026</v>
      </c>
    </row>
    <row r="266" spans="1:34" ht="30" hidden="1" customHeight="1" x14ac:dyDescent="0.2">
      <c r="A266" s="230" t="s">
        <v>197</v>
      </c>
      <c r="B266" s="255">
        <v>2690231227</v>
      </c>
      <c r="C266" s="230" t="s">
        <v>133</v>
      </c>
      <c r="D266" s="230" t="s">
        <v>124</v>
      </c>
      <c r="E266" s="230" t="s">
        <v>198</v>
      </c>
      <c r="F266" s="230" t="s">
        <v>3311</v>
      </c>
      <c r="G266" s="230">
        <v>477</v>
      </c>
      <c r="H266" s="230" t="s">
        <v>3601</v>
      </c>
      <c r="I266" s="230" t="s">
        <v>269</v>
      </c>
      <c r="J266" s="230" t="s">
        <v>3275</v>
      </c>
      <c r="K266" s="230" t="s">
        <v>852</v>
      </c>
      <c r="L266" s="235" t="s">
        <v>802</v>
      </c>
      <c r="M266" s="235">
        <v>46330.458333333336</v>
      </c>
      <c r="N266" s="230" t="s">
        <v>432</v>
      </c>
      <c r="O266" s="233"/>
      <c r="P266" s="9"/>
      <c r="Q266" s="146"/>
      <c r="R266" s="92"/>
      <c r="S266" s="146"/>
      <c r="T266" s="92"/>
      <c r="U266" s="146"/>
      <c r="V266" s="92"/>
      <c r="W266" s="146"/>
      <c r="X266" s="92"/>
      <c r="Y266" s="146"/>
      <c r="Z266" s="186" t="str">
        <f t="shared" si="18"/>
        <v/>
      </c>
      <c r="AA266" s="217" t="b">
        <f t="shared" si="17"/>
        <v>0</v>
      </c>
      <c r="AB266" s="92"/>
      <c r="AC266" s="164" t="s">
        <v>6</v>
      </c>
      <c r="AD266" s="151" t="str">
        <f t="shared" si="19"/>
        <v>GUARULHOS</v>
      </c>
      <c r="AE266" s="96" t="s">
        <v>63</v>
      </c>
      <c r="AF266" s="53">
        <v>0.89169285672467347</v>
      </c>
      <c r="AG266" s="53" t="str" cm="1">
        <f t="array" ref="AG266">IF(OR(O266&lt;&gt;"", SUMPRODUCT(($AH$2:$AH$4999=AH266)*($AF$2:$AF$4999&lt;=AF266)) &lt;= (COUNTIF($AH$2:$AH$4999,AH266)*0.3)), "SORTEADO", "-")</f>
        <v>-</v>
      </c>
      <c r="AH266" s="257" t="str">
        <f t="shared" si="16"/>
        <v>11/04/2026</v>
      </c>
    </row>
    <row r="267" spans="1:34" ht="30" customHeight="1" x14ac:dyDescent="0.2">
      <c r="A267" s="230" t="s">
        <v>197</v>
      </c>
      <c r="B267" s="255">
        <v>2615282729</v>
      </c>
      <c r="C267" s="230" t="s">
        <v>133</v>
      </c>
      <c r="D267" s="230" t="s">
        <v>124</v>
      </c>
      <c r="E267" s="230" t="s">
        <v>198</v>
      </c>
      <c r="F267" s="230" t="s">
        <v>1030</v>
      </c>
      <c r="G267" s="230">
        <v>1609</v>
      </c>
      <c r="H267" s="230" t="s">
        <v>3602</v>
      </c>
      <c r="I267" s="230" t="s">
        <v>859</v>
      </c>
      <c r="J267" s="230" t="s">
        <v>3275</v>
      </c>
      <c r="K267" s="230" t="s">
        <v>3363</v>
      </c>
      <c r="L267" s="235" t="s">
        <v>802</v>
      </c>
      <c r="M267" s="235">
        <v>46330.44027777778</v>
      </c>
      <c r="N267" s="230" t="s">
        <v>3276</v>
      </c>
      <c r="O267" s="233" t="s">
        <v>204</v>
      </c>
      <c r="P267" s="9"/>
      <c r="Q267" s="146" t="s">
        <v>204</v>
      </c>
      <c r="R267" s="92"/>
      <c r="S267" s="146" t="s">
        <v>204</v>
      </c>
      <c r="T267" s="92"/>
      <c r="U267" s="146" t="s">
        <v>204</v>
      </c>
      <c r="V267" s="92"/>
      <c r="W267" s="146" t="s">
        <v>204</v>
      </c>
      <c r="X267" s="92"/>
      <c r="Y267" s="146" t="s">
        <v>204</v>
      </c>
      <c r="Z267" s="186" t="str">
        <f t="shared" si="18"/>
        <v>C</v>
      </c>
      <c r="AA267" s="217" t="str">
        <f t="shared" si="17"/>
        <v>UTILIZOU O PDA CORRETAMENTE</v>
      </c>
      <c r="AB267" s="92" t="s">
        <v>204</v>
      </c>
      <c r="AC267" s="164" t="s">
        <v>6</v>
      </c>
      <c r="AD267" s="151" t="str">
        <f t="shared" si="19"/>
        <v>GUARULHOS</v>
      </c>
      <c r="AE267" s="96" t="s">
        <v>63</v>
      </c>
      <c r="AF267" s="53">
        <v>0.26143297160662671</v>
      </c>
      <c r="AG267" s="53" t="str" cm="1">
        <f t="array" ref="AG267">IF(OR(O267&lt;&gt;"", SUMPRODUCT(($AH$2:$AH$4999=AH267)*($AF$2:$AF$4999&lt;=AF267)) &lt;= (COUNTIF($AH$2:$AH$4999,AH267)*0.3)), "SORTEADO", "-")</f>
        <v>SORTEADO</v>
      </c>
      <c r="AH267" s="257" t="str">
        <f t="shared" si="16"/>
        <v>11/04/2026</v>
      </c>
    </row>
    <row r="268" spans="1:34" ht="30" hidden="1" customHeight="1" x14ac:dyDescent="0.2">
      <c r="A268" s="230" t="s">
        <v>197</v>
      </c>
      <c r="B268" s="255">
        <v>2615282935</v>
      </c>
      <c r="C268" s="230" t="s">
        <v>133</v>
      </c>
      <c r="D268" s="230" t="s">
        <v>124</v>
      </c>
      <c r="E268" s="230" t="s">
        <v>198</v>
      </c>
      <c r="F268" s="230" t="s">
        <v>1030</v>
      </c>
      <c r="G268" s="230">
        <v>1609</v>
      </c>
      <c r="H268" s="230" t="s">
        <v>3603</v>
      </c>
      <c r="I268" s="230" t="s">
        <v>859</v>
      </c>
      <c r="J268" s="230" t="s">
        <v>3275</v>
      </c>
      <c r="K268" s="230" t="s">
        <v>213</v>
      </c>
      <c r="L268" s="235" t="s">
        <v>802</v>
      </c>
      <c r="M268" s="235">
        <v>46330.450694444444</v>
      </c>
      <c r="N268" s="230" t="s">
        <v>3276</v>
      </c>
      <c r="O268" s="233"/>
      <c r="P268" s="9"/>
      <c r="Q268" s="146"/>
      <c r="R268" s="92"/>
      <c r="S268" s="146"/>
      <c r="T268" s="92"/>
      <c r="U268" s="146"/>
      <c r="V268" s="92"/>
      <c r="W268" s="146"/>
      <c r="X268" s="92"/>
      <c r="Y268" s="146"/>
      <c r="Z268" s="186" t="str">
        <f t="shared" si="18"/>
        <v/>
      </c>
      <c r="AA268" s="217" t="b">
        <f t="shared" si="17"/>
        <v>0</v>
      </c>
      <c r="AB268" s="92"/>
      <c r="AC268" s="164" t="s">
        <v>6</v>
      </c>
      <c r="AD268" s="151" t="str">
        <f t="shared" si="19"/>
        <v>GUARULHOS</v>
      </c>
      <c r="AE268" s="96" t="s">
        <v>63</v>
      </c>
      <c r="AF268" s="53">
        <v>0.48590390832404146</v>
      </c>
      <c r="AG268" s="53" t="str" cm="1">
        <f t="array" ref="AG268">IF(OR(O268&lt;&gt;"", SUMPRODUCT(($AH$2:$AH$4999=AH268)*($AF$2:$AF$4999&lt;=AF268)) &lt;= (COUNTIF($AH$2:$AH$4999,AH268)*0.3)), "SORTEADO", "-")</f>
        <v>-</v>
      </c>
      <c r="AH268" s="257" t="str">
        <f t="shared" si="16"/>
        <v>11/04/2026</v>
      </c>
    </row>
    <row r="269" spans="1:34" ht="30" hidden="1" customHeight="1" x14ac:dyDescent="0.2">
      <c r="A269" s="230" t="s">
        <v>197</v>
      </c>
      <c r="B269" s="255">
        <v>2615283198</v>
      </c>
      <c r="C269" s="230" t="s">
        <v>133</v>
      </c>
      <c r="D269" s="230" t="s">
        <v>124</v>
      </c>
      <c r="E269" s="230" t="s">
        <v>198</v>
      </c>
      <c r="F269" s="230" t="s">
        <v>1030</v>
      </c>
      <c r="G269" s="230">
        <v>1609</v>
      </c>
      <c r="H269" s="230" t="s">
        <v>3604</v>
      </c>
      <c r="I269" s="230" t="s">
        <v>859</v>
      </c>
      <c r="J269" s="230" t="s">
        <v>3275</v>
      </c>
      <c r="K269" s="230" t="s">
        <v>3363</v>
      </c>
      <c r="L269" s="235" t="s">
        <v>802</v>
      </c>
      <c r="M269" s="235">
        <v>46330.461111111108</v>
      </c>
      <c r="N269" s="230" t="s">
        <v>3276</v>
      </c>
      <c r="O269" s="233"/>
      <c r="P269" s="9"/>
      <c r="Q269" s="146"/>
      <c r="R269" s="92"/>
      <c r="S269" s="146"/>
      <c r="T269" s="92"/>
      <c r="U269" s="146"/>
      <c r="V269" s="92"/>
      <c r="W269" s="146"/>
      <c r="X269" s="92"/>
      <c r="Y269" s="146"/>
      <c r="Z269" s="186" t="str">
        <f t="shared" si="18"/>
        <v/>
      </c>
      <c r="AA269" s="217" t="b">
        <f t="shared" si="17"/>
        <v>0</v>
      </c>
      <c r="AB269" s="92"/>
      <c r="AC269" s="164" t="s">
        <v>6</v>
      </c>
      <c r="AD269" s="151" t="str">
        <f t="shared" si="19"/>
        <v>GUARULHOS</v>
      </c>
      <c r="AE269" s="96" t="s">
        <v>63</v>
      </c>
      <c r="AF269" s="53">
        <v>0.80446724289333549</v>
      </c>
      <c r="AG269" s="53" t="str" cm="1">
        <f t="array" ref="AG269">IF(OR(O269&lt;&gt;"", SUMPRODUCT(($AH$2:$AH$4999=AH269)*($AF$2:$AF$4999&lt;=AF269)) &lt;= (COUNTIF($AH$2:$AH$4999,AH269)*0.3)), "SORTEADO", "-")</f>
        <v>-</v>
      </c>
      <c r="AH269" s="257" t="str">
        <f t="shared" si="16"/>
        <v>11/04/2026</v>
      </c>
    </row>
    <row r="270" spans="1:34" ht="30" customHeight="1" x14ac:dyDescent="0.2">
      <c r="A270" s="230" t="s">
        <v>197</v>
      </c>
      <c r="B270" s="255">
        <v>2690270457</v>
      </c>
      <c r="C270" s="230" t="s">
        <v>133</v>
      </c>
      <c r="D270" s="230" t="s">
        <v>124</v>
      </c>
      <c r="E270" s="230" t="s">
        <v>198</v>
      </c>
      <c r="F270" s="230" t="s">
        <v>1727</v>
      </c>
      <c r="G270" s="230">
        <v>50</v>
      </c>
      <c r="H270" s="230" t="s">
        <v>1518</v>
      </c>
      <c r="I270" s="230" t="s">
        <v>356</v>
      </c>
      <c r="J270" s="230" t="s">
        <v>3275</v>
      </c>
      <c r="K270" s="230" t="s">
        <v>3605</v>
      </c>
      <c r="L270" s="235" t="s">
        <v>802</v>
      </c>
      <c r="M270" s="235">
        <v>46330.410416666666</v>
      </c>
      <c r="N270" s="230" t="s">
        <v>3590</v>
      </c>
      <c r="O270" s="233" t="s">
        <v>204</v>
      </c>
      <c r="P270" s="9"/>
      <c r="Q270" s="146" t="s">
        <v>204</v>
      </c>
      <c r="R270" s="92"/>
      <c r="S270" s="146" t="s">
        <v>204</v>
      </c>
      <c r="T270" s="92"/>
      <c r="U270" s="146" t="s">
        <v>204</v>
      </c>
      <c r="V270" s="92"/>
      <c r="W270" s="146" t="s">
        <v>204</v>
      </c>
      <c r="X270" s="92"/>
      <c r="Y270" s="146" t="s">
        <v>204</v>
      </c>
      <c r="Z270" s="186" t="str">
        <f t="shared" si="18"/>
        <v>C</v>
      </c>
      <c r="AA270" s="217" t="str">
        <f t="shared" si="17"/>
        <v>UTILIZOU O PDA CORRETAMENTE</v>
      </c>
      <c r="AB270" s="92" t="s">
        <v>204</v>
      </c>
      <c r="AC270" s="164" t="s">
        <v>6</v>
      </c>
      <c r="AD270" s="151" t="str">
        <f t="shared" si="19"/>
        <v>GUARULHOS</v>
      </c>
      <c r="AE270" s="96" t="s">
        <v>63</v>
      </c>
      <c r="AF270" s="53">
        <v>2.2454194549850877E-2</v>
      </c>
      <c r="AG270" s="53" t="str" cm="1">
        <f t="array" ref="AG270">IF(OR(O270&lt;&gt;"", SUMPRODUCT(($AH$2:$AH$4999=AH270)*($AF$2:$AF$4999&lt;=AF270)) &lt;= (COUNTIF($AH$2:$AH$4999,AH270)*0.3)), "SORTEADO", "-")</f>
        <v>SORTEADO</v>
      </c>
      <c r="AH270" s="257" t="str">
        <f t="shared" si="16"/>
        <v>11/04/2026</v>
      </c>
    </row>
    <row r="271" spans="1:34" ht="30" hidden="1" customHeight="1" x14ac:dyDescent="0.2">
      <c r="A271" s="230" t="s">
        <v>197</v>
      </c>
      <c r="B271" s="255">
        <v>2690260646</v>
      </c>
      <c r="C271" s="230" t="s">
        <v>133</v>
      </c>
      <c r="D271" s="230" t="s">
        <v>124</v>
      </c>
      <c r="E271" s="230" t="s">
        <v>198</v>
      </c>
      <c r="F271" s="230" t="s">
        <v>3474</v>
      </c>
      <c r="G271" s="230">
        <v>176</v>
      </c>
      <c r="H271" s="230" t="s">
        <v>3606</v>
      </c>
      <c r="I271" s="230" t="s">
        <v>521</v>
      </c>
      <c r="J271" s="230" t="s">
        <v>3275</v>
      </c>
      <c r="K271" s="230" t="s">
        <v>3363</v>
      </c>
      <c r="L271" s="235" t="s">
        <v>802</v>
      </c>
      <c r="M271" s="235">
        <v>46330.487500000003</v>
      </c>
      <c r="N271" s="230" t="s">
        <v>3276</v>
      </c>
      <c r="O271" s="233"/>
      <c r="P271" s="9"/>
      <c r="Q271" s="146"/>
      <c r="R271" s="92"/>
      <c r="S271" s="146"/>
      <c r="T271" s="92"/>
      <c r="U271" s="146"/>
      <c r="V271" s="92"/>
      <c r="W271" s="146"/>
      <c r="X271" s="92"/>
      <c r="Y271" s="146"/>
      <c r="Z271" s="186" t="str">
        <f t="shared" si="18"/>
        <v/>
      </c>
      <c r="AA271" s="217" t="b">
        <f t="shared" si="17"/>
        <v>0</v>
      </c>
      <c r="AB271" s="92"/>
      <c r="AC271" s="164" t="s">
        <v>6</v>
      </c>
      <c r="AD271" s="151" t="str">
        <f t="shared" si="19"/>
        <v>GUARULHOS</v>
      </c>
      <c r="AE271" s="96" t="s">
        <v>63</v>
      </c>
      <c r="AF271" s="53">
        <v>0.58493356424532184</v>
      </c>
      <c r="AG271" s="53" t="str" cm="1">
        <f t="array" ref="AG271">IF(OR(O271&lt;&gt;"", SUMPRODUCT(($AH$2:$AH$4999=AH271)*($AF$2:$AF$4999&lt;=AF271)) &lt;= (COUNTIF($AH$2:$AH$4999,AH271)*0.3)), "SORTEADO", "-")</f>
        <v>-</v>
      </c>
      <c r="AH271" s="257" t="str">
        <f t="shared" si="16"/>
        <v>11/04/2026</v>
      </c>
    </row>
    <row r="272" spans="1:34" ht="30" hidden="1" customHeight="1" x14ac:dyDescent="0.2">
      <c r="A272" s="230" t="s">
        <v>197</v>
      </c>
      <c r="B272" s="255">
        <v>2690322483</v>
      </c>
      <c r="C272" s="230" t="s">
        <v>127</v>
      </c>
      <c r="D272" s="230" t="s">
        <v>63</v>
      </c>
      <c r="E272" s="230" t="s">
        <v>198</v>
      </c>
      <c r="F272" s="230" t="s">
        <v>3607</v>
      </c>
      <c r="G272" s="230">
        <v>302</v>
      </c>
      <c r="H272" s="230" t="s">
        <v>3608</v>
      </c>
      <c r="I272" s="230" t="s">
        <v>801</v>
      </c>
      <c r="J272" s="230" t="s">
        <v>3275</v>
      </c>
      <c r="K272" s="230" t="s">
        <v>213</v>
      </c>
      <c r="L272" s="235" t="s">
        <v>802</v>
      </c>
      <c r="M272" s="235">
        <v>46330.51458333333</v>
      </c>
      <c r="N272" s="230" t="s">
        <v>3590</v>
      </c>
      <c r="O272" s="233"/>
      <c r="P272" s="9"/>
      <c r="Q272" s="146"/>
      <c r="R272" s="92"/>
      <c r="S272" s="146"/>
      <c r="T272" s="92"/>
      <c r="U272" s="146"/>
      <c r="V272" s="92"/>
      <c r="W272" s="146"/>
      <c r="X272" s="92"/>
      <c r="Y272" s="146"/>
      <c r="Z272" s="186" t="str">
        <f t="shared" si="18"/>
        <v/>
      </c>
      <c r="AA272" s="217" t="b">
        <f t="shared" si="17"/>
        <v>0</v>
      </c>
      <c r="AB272" s="92"/>
      <c r="AC272" s="164" t="s">
        <v>6</v>
      </c>
      <c r="AD272" s="151" t="str">
        <f t="shared" si="19"/>
        <v>GUARULHOS</v>
      </c>
      <c r="AE272" s="96" t="s">
        <v>63</v>
      </c>
      <c r="AF272" s="53">
        <v>0.45876464987953419</v>
      </c>
      <c r="AG272" s="53" t="str" cm="1">
        <f t="array" ref="AG272">IF(OR(O272&lt;&gt;"", SUMPRODUCT(($AH$2:$AH$4999=AH272)*($AF$2:$AF$4999&lt;=AF272)) &lt;= (COUNTIF($AH$2:$AH$4999,AH272)*0.3)), "SORTEADO", "-")</f>
        <v>-</v>
      </c>
      <c r="AH272" s="257" t="str">
        <f t="shared" si="16"/>
        <v>11/04/2026</v>
      </c>
    </row>
    <row r="273" spans="1:34" ht="30" hidden="1" customHeight="1" x14ac:dyDescent="0.2">
      <c r="A273" s="230" t="s">
        <v>197</v>
      </c>
      <c r="B273" s="255">
        <v>2690319552</v>
      </c>
      <c r="C273" s="230" t="s">
        <v>133</v>
      </c>
      <c r="D273" s="230" t="s">
        <v>124</v>
      </c>
      <c r="E273" s="230" t="s">
        <v>198</v>
      </c>
      <c r="F273" s="230" t="s">
        <v>3609</v>
      </c>
      <c r="G273" s="230">
        <v>104</v>
      </c>
      <c r="H273" s="230" t="s">
        <v>1917</v>
      </c>
      <c r="I273" s="230" t="s">
        <v>281</v>
      </c>
      <c r="J273" s="230" t="s">
        <v>3275</v>
      </c>
      <c r="K273" s="230" t="s">
        <v>3610</v>
      </c>
      <c r="L273" s="235" t="s">
        <v>802</v>
      </c>
      <c r="M273" s="235">
        <v>46330.475694444445</v>
      </c>
      <c r="N273" s="230" t="s">
        <v>3590</v>
      </c>
      <c r="O273" s="233"/>
      <c r="P273" s="9"/>
      <c r="Q273" s="146"/>
      <c r="R273" s="92"/>
      <c r="S273" s="146"/>
      <c r="T273" s="92"/>
      <c r="U273" s="146"/>
      <c r="V273" s="92"/>
      <c r="W273" s="146"/>
      <c r="X273" s="92"/>
      <c r="Y273" s="146"/>
      <c r="Z273" s="186" t="str">
        <f t="shared" si="18"/>
        <v/>
      </c>
      <c r="AA273" s="217" t="b">
        <f t="shared" si="17"/>
        <v>0</v>
      </c>
      <c r="AB273" s="92"/>
      <c r="AC273" s="164" t="s">
        <v>6</v>
      </c>
      <c r="AD273" s="151" t="str">
        <f t="shared" si="19"/>
        <v>GUARULHOS</v>
      </c>
      <c r="AE273" s="96" t="s">
        <v>63</v>
      </c>
      <c r="AF273" s="53">
        <v>0.7367869485644668</v>
      </c>
      <c r="AG273" s="53" t="str" cm="1">
        <f t="array" ref="AG273">IF(OR(O273&lt;&gt;"", SUMPRODUCT(($AH$2:$AH$4999=AH273)*($AF$2:$AF$4999&lt;=AF273)) &lt;= (COUNTIF($AH$2:$AH$4999,AH273)*0.3)), "SORTEADO", "-")</f>
        <v>-</v>
      </c>
      <c r="AH273" s="257" t="str">
        <f t="shared" si="16"/>
        <v>11/04/2026</v>
      </c>
    </row>
    <row r="274" spans="1:34" ht="30" hidden="1" customHeight="1" x14ac:dyDescent="0.2">
      <c r="A274" s="230" t="s">
        <v>197</v>
      </c>
      <c r="B274" s="230">
        <v>2615428284</v>
      </c>
      <c r="C274" s="230" t="s">
        <v>135</v>
      </c>
      <c r="D274" s="230" t="s">
        <v>124</v>
      </c>
      <c r="E274" s="230" t="s">
        <v>198</v>
      </c>
      <c r="F274" s="230" t="s">
        <v>238</v>
      </c>
      <c r="G274" s="230">
        <v>3293</v>
      </c>
      <c r="H274" s="230" t="s">
        <v>461</v>
      </c>
      <c r="I274" s="230" t="s">
        <v>368</v>
      </c>
      <c r="J274" s="230" t="s">
        <v>3280</v>
      </c>
      <c r="K274" s="230" t="s">
        <v>3611</v>
      </c>
      <c r="L274" s="235" t="s">
        <v>802</v>
      </c>
      <c r="M274" s="235">
        <v>46330.590277777781</v>
      </c>
      <c r="N274" s="230" t="s">
        <v>3436</v>
      </c>
      <c r="O274" s="233" t="s">
        <v>61</v>
      </c>
      <c r="P274" s="169"/>
      <c r="Q274" s="144" t="s">
        <v>61</v>
      </c>
      <c r="R274" s="56"/>
      <c r="S274" s="144" t="s">
        <v>61</v>
      </c>
      <c r="T274" s="56"/>
      <c r="U274" s="144" t="s">
        <v>61</v>
      </c>
      <c r="V274" s="56"/>
      <c r="W274" s="144" t="s">
        <v>61</v>
      </c>
      <c r="X274" s="56"/>
      <c r="Y274" s="144" t="s">
        <v>61</v>
      </c>
      <c r="Z274" s="186" t="str">
        <f t="shared" si="18"/>
        <v>NA</v>
      </c>
      <c r="AA274" s="217" t="str">
        <f t="shared" si="17"/>
        <v>NÃO AVALIADO POR FALHA DE SINCRONISMO</v>
      </c>
      <c r="AB274" s="92" t="s">
        <v>204</v>
      </c>
      <c r="AC274" s="164" t="s">
        <v>6</v>
      </c>
      <c r="AD274" s="151" t="str">
        <f t="shared" si="19"/>
        <v>GUARULHOS</v>
      </c>
      <c r="AE274" s="96" t="s">
        <v>63</v>
      </c>
      <c r="AF274" s="53">
        <v>-5.4600000000000003E-2</v>
      </c>
      <c r="AG274" s="53" t="str" cm="1">
        <f t="array" ref="AG274">IF(OR(O274&lt;&gt;"", SUMPRODUCT(($AH$2:$AH$4999=AH274)*($AF$2:$AF$4999&lt;=AF274)) &lt;= (COUNTIF($AH$2:$AH$4999,AH274)*0.3)), "SORTEADO", "-")</f>
        <v>SORTEADO</v>
      </c>
      <c r="AH274" s="257" t="str">
        <f t="shared" si="16"/>
        <v>11/04/2026</v>
      </c>
    </row>
    <row r="275" spans="1:34" ht="30" hidden="1" customHeight="1" x14ac:dyDescent="0.2">
      <c r="A275" s="230" t="s">
        <v>197</v>
      </c>
      <c r="B275" s="255">
        <v>2615300502</v>
      </c>
      <c r="C275" s="230" t="s">
        <v>133</v>
      </c>
      <c r="D275" s="230" t="s">
        <v>124</v>
      </c>
      <c r="E275" s="230" t="s">
        <v>198</v>
      </c>
      <c r="F275" s="230" t="s">
        <v>3612</v>
      </c>
      <c r="G275" s="230">
        <v>103</v>
      </c>
      <c r="H275" s="230" t="s">
        <v>213</v>
      </c>
      <c r="I275" s="230" t="s">
        <v>3613</v>
      </c>
      <c r="J275" s="230" t="s">
        <v>3275</v>
      </c>
      <c r="K275" s="230" t="s">
        <v>2990</v>
      </c>
      <c r="L275" s="235" t="s">
        <v>802</v>
      </c>
      <c r="M275" s="235">
        <v>46330.59097222222</v>
      </c>
      <c r="N275" s="230" t="s">
        <v>3282</v>
      </c>
      <c r="O275" s="233"/>
      <c r="P275" s="9"/>
      <c r="Q275" s="146"/>
      <c r="R275" s="92"/>
      <c r="S275" s="146"/>
      <c r="T275" s="92"/>
      <c r="U275" s="146"/>
      <c r="V275" s="92"/>
      <c r="W275" s="146"/>
      <c r="X275" s="92"/>
      <c r="Y275" s="146"/>
      <c r="Z275" s="186" t="str">
        <f t="shared" si="18"/>
        <v/>
      </c>
      <c r="AA275" s="217" t="b">
        <f t="shared" si="17"/>
        <v>0</v>
      </c>
      <c r="AB275" s="92"/>
      <c r="AC275" s="164" t="s">
        <v>6</v>
      </c>
      <c r="AD275" s="151" t="str">
        <f t="shared" si="19"/>
        <v>GUARULHOS</v>
      </c>
      <c r="AE275" s="96" t="s">
        <v>63</v>
      </c>
      <c r="AF275" s="53">
        <v>0.40466403393691808</v>
      </c>
      <c r="AG275" s="53" t="str" cm="1">
        <f t="array" ref="AG275">IF(OR(O275&lt;&gt;"", SUMPRODUCT(($AH$2:$AH$4999=AH275)*($AF$2:$AF$4999&lt;=AF275)) &lt;= (COUNTIF($AH$2:$AH$4999,AH275)*0.3)), "SORTEADO", "-")</f>
        <v>-</v>
      </c>
      <c r="AH275" s="257" t="str">
        <f t="shared" si="16"/>
        <v>11/04/2026</v>
      </c>
    </row>
    <row r="276" spans="1:34" ht="30" hidden="1" customHeight="1" x14ac:dyDescent="0.2">
      <c r="A276" s="230" t="s">
        <v>197</v>
      </c>
      <c r="B276" s="255">
        <v>2690346406</v>
      </c>
      <c r="C276" s="230" t="s">
        <v>127</v>
      </c>
      <c r="D276" s="230" t="s">
        <v>63</v>
      </c>
      <c r="E276" s="230" t="s">
        <v>198</v>
      </c>
      <c r="F276" s="230" t="s">
        <v>3614</v>
      </c>
      <c r="G276" s="230">
        <v>186</v>
      </c>
      <c r="H276" s="230" t="s">
        <v>3615</v>
      </c>
      <c r="I276" s="230" t="s">
        <v>557</v>
      </c>
      <c r="J276" s="230" t="s">
        <v>3275</v>
      </c>
      <c r="K276" s="230"/>
      <c r="L276" s="235" t="s">
        <v>866</v>
      </c>
      <c r="M276" s="235">
        <v>46360.42291666667</v>
      </c>
      <c r="N276" s="230" t="s">
        <v>3282</v>
      </c>
      <c r="O276" s="233"/>
      <c r="P276" s="9"/>
      <c r="Q276" s="146"/>
      <c r="R276" s="92"/>
      <c r="S276" s="146"/>
      <c r="T276" s="92"/>
      <c r="U276" s="146"/>
      <c r="V276" s="92"/>
      <c r="W276" s="146"/>
      <c r="X276" s="92"/>
      <c r="Y276" s="146"/>
      <c r="Z276" s="186" t="str">
        <f t="shared" si="18"/>
        <v/>
      </c>
      <c r="AA276" s="217" t="b">
        <f t="shared" si="17"/>
        <v>0</v>
      </c>
      <c r="AB276" s="92"/>
      <c r="AC276" s="164" t="s">
        <v>6</v>
      </c>
      <c r="AD276" s="151" t="str">
        <f t="shared" si="19"/>
        <v>GUARULHOS</v>
      </c>
      <c r="AE276" s="96" t="s">
        <v>63</v>
      </c>
      <c r="AF276" s="53">
        <v>0.40692110586117453</v>
      </c>
      <c r="AG276" s="53" t="str" cm="1">
        <f t="array" ref="AG276">IF(OR(O276&lt;&gt;"", SUMPRODUCT(($AH$2:$AH$4999=AH276)*($AF$2:$AF$4999&lt;=AF276)) &lt;= (COUNTIF($AH$2:$AH$4999,AH276)*0.3)), "SORTEADO", "-")</f>
        <v>-</v>
      </c>
      <c r="AH276" s="257" t="str">
        <f t="shared" si="16"/>
        <v>12/04/2026</v>
      </c>
    </row>
    <row r="277" spans="1:34" ht="30" hidden="1" customHeight="1" x14ac:dyDescent="0.2">
      <c r="A277" s="230" t="s">
        <v>197</v>
      </c>
      <c r="B277" s="255">
        <v>2690330785</v>
      </c>
      <c r="C277" s="230" t="s">
        <v>130</v>
      </c>
      <c r="D277" s="230" t="s">
        <v>63</v>
      </c>
      <c r="E277" s="230" t="s">
        <v>198</v>
      </c>
      <c r="F277" s="230" t="s">
        <v>3616</v>
      </c>
      <c r="G277" s="230">
        <v>359</v>
      </c>
      <c r="H277" s="230" t="s">
        <v>3617</v>
      </c>
      <c r="I277" s="230" t="s">
        <v>763</v>
      </c>
      <c r="J277" s="230" t="s">
        <v>3271</v>
      </c>
      <c r="K277" s="230"/>
      <c r="L277" s="235" t="s">
        <v>866</v>
      </c>
      <c r="M277" s="235">
        <v>46360.395833333336</v>
      </c>
      <c r="N277" s="230" t="s">
        <v>3590</v>
      </c>
      <c r="O277" s="233"/>
      <c r="P277" s="9"/>
      <c r="Q277" s="146"/>
      <c r="R277" s="92"/>
      <c r="S277" s="146"/>
      <c r="T277" s="92"/>
      <c r="U277" s="146"/>
      <c r="V277" s="92"/>
      <c r="W277" s="146"/>
      <c r="X277" s="92"/>
      <c r="Y277" s="146"/>
      <c r="Z277" s="186" t="str">
        <f t="shared" si="18"/>
        <v/>
      </c>
      <c r="AA277" s="217" t="b">
        <f t="shared" si="17"/>
        <v>0</v>
      </c>
      <c r="AB277" s="92"/>
      <c r="AC277" s="164" t="s">
        <v>6</v>
      </c>
      <c r="AD277" s="151" t="str">
        <f t="shared" si="19"/>
        <v>GUARULHOS</v>
      </c>
      <c r="AE277" s="96" t="s">
        <v>63</v>
      </c>
      <c r="AF277" s="53">
        <v>0.79006209447674769</v>
      </c>
      <c r="AG277" s="53" t="str" cm="1">
        <f t="array" ref="AG277">IF(OR(O277&lt;&gt;"", SUMPRODUCT(($AH$2:$AH$4999=AH277)*($AF$2:$AF$4999&lt;=AF277)) &lt;= (COUNTIF($AH$2:$AH$4999,AH277)*0.3)), "SORTEADO", "-")</f>
        <v>-</v>
      </c>
      <c r="AH277" s="257" t="str">
        <f t="shared" si="16"/>
        <v>12/04/2026</v>
      </c>
    </row>
    <row r="278" spans="1:34" ht="30" hidden="1" customHeight="1" x14ac:dyDescent="0.2">
      <c r="A278" s="230" t="s">
        <v>197</v>
      </c>
      <c r="B278" s="255">
        <v>2690342184</v>
      </c>
      <c r="C278" s="230" t="s">
        <v>131</v>
      </c>
      <c r="D278" s="230" t="s">
        <v>63</v>
      </c>
      <c r="E278" s="230" t="s">
        <v>198</v>
      </c>
      <c r="F278" s="230" t="s">
        <v>3618</v>
      </c>
      <c r="G278" s="230">
        <v>181</v>
      </c>
      <c r="H278" s="230" t="s">
        <v>3298</v>
      </c>
      <c r="I278" s="230" t="s">
        <v>708</v>
      </c>
      <c r="J278" s="230" t="s">
        <v>3271</v>
      </c>
      <c r="K278" s="230" t="s">
        <v>213</v>
      </c>
      <c r="L278" s="235" t="s">
        <v>866</v>
      </c>
      <c r="M278" s="235">
        <v>46360.386805555558</v>
      </c>
      <c r="N278" s="230" t="s">
        <v>3590</v>
      </c>
      <c r="O278" s="233"/>
      <c r="P278" s="9"/>
      <c r="Q278" s="146"/>
      <c r="R278" s="92"/>
      <c r="S278" s="146"/>
      <c r="T278" s="92"/>
      <c r="U278" s="146"/>
      <c r="V278" s="92"/>
      <c r="W278" s="146"/>
      <c r="X278" s="92"/>
      <c r="Y278" s="146"/>
      <c r="Z278" s="186" t="str">
        <f t="shared" si="18"/>
        <v/>
      </c>
      <c r="AA278" s="217" t="b">
        <f t="shared" si="17"/>
        <v>0</v>
      </c>
      <c r="AB278" s="92"/>
      <c r="AC278" s="164" t="s">
        <v>6</v>
      </c>
      <c r="AD278" s="151" t="str">
        <f t="shared" si="19"/>
        <v>GUARULHOS</v>
      </c>
      <c r="AE278" s="96" t="s">
        <v>63</v>
      </c>
      <c r="AF278" s="53">
        <v>0.95803647692924099</v>
      </c>
      <c r="AG278" s="53" t="str" cm="1">
        <f t="array" ref="AG278">IF(OR(O278&lt;&gt;"", SUMPRODUCT(($AH$2:$AH$4999=AH278)*($AF$2:$AF$4999&lt;=AF278)) &lt;= (COUNTIF($AH$2:$AH$4999,AH278)*0.3)), "SORTEADO", "-")</f>
        <v>-</v>
      </c>
      <c r="AH278" s="257" t="str">
        <f t="shared" si="16"/>
        <v>12/04/2026</v>
      </c>
    </row>
    <row r="279" spans="1:34" ht="30" customHeight="1" x14ac:dyDescent="0.2">
      <c r="A279" s="230" t="s">
        <v>197</v>
      </c>
      <c r="B279" s="255">
        <v>2690343331</v>
      </c>
      <c r="C279" s="230" t="s">
        <v>128</v>
      </c>
      <c r="D279" s="230" t="s">
        <v>124</v>
      </c>
      <c r="E279" s="230" t="s">
        <v>198</v>
      </c>
      <c r="F279" s="230" t="s">
        <v>1117</v>
      </c>
      <c r="G279" s="230">
        <v>103</v>
      </c>
      <c r="H279" s="230" t="s">
        <v>390</v>
      </c>
      <c r="I279" s="230" t="s">
        <v>1119</v>
      </c>
      <c r="J279" s="230" t="s">
        <v>3385</v>
      </c>
      <c r="K279" s="230"/>
      <c r="L279" s="235" t="s">
        <v>866</v>
      </c>
      <c r="M279" s="235">
        <v>46360.404861111114</v>
      </c>
      <c r="N279" s="230" t="s">
        <v>3590</v>
      </c>
      <c r="O279" s="233" t="s">
        <v>204</v>
      </c>
      <c r="P279" s="9"/>
      <c r="Q279" s="146" t="s">
        <v>204</v>
      </c>
      <c r="R279" s="92"/>
      <c r="S279" s="146" t="s">
        <v>204</v>
      </c>
      <c r="T279" s="92"/>
      <c r="U279" s="146" t="s">
        <v>204</v>
      </c>
      <c r="V279" s="92"/>
      <c r="W279" s="146" t="s">
        <v>204</v>
      </c>
      <c r="X279" s="92"/>
      <c r="Y279" s="146" t="s">
        <v>204</v>
      </c>
      <c r="Z279" s="186" t="str">
        <f t="shared" si="18"/>
        <v>C</v>
      </c>
      <c r="AA279" s="217" t="str">
        <f t="shared" si="17"/>
        <v>UTILIZOU O PDA CORRETAMENTE</v>
      </c>
      <c r="AB279" s="92" t="s">
        <v>204</v>
      </c>
      <c r="AC279" s="164" t="s">
        <v>6</v>
      </c>
      <c r="AD279" s="151" t="str">
        <f t="shared" si="19"/>
        <v>GUARULHOS</v>
      </c>
      <c r="AE279" s="96" t="s">
        <v>63</v>
      </c>
      <c r="AF279" s="53">
        <v>0.1715516912629442</v>
      </c>
      <c r="AG279" s="53" t="str" cm="1">
        <f t="array" ref="AG279">IF(OR(O279&lt;&gt;"", SUMPRODUCT(($AH$2:$AH$4999=AH279)*($AF$2:$AF$4999&lt;=AF279)) &lt;= (COUNTIF($AH$2:$AH$4999,AH279)*0.3)), "SORTEADO", "-")</f>
        <v>SORTEADO</v>
      </c>
      <c r="AH279" s="257" t="str">
        <f t="shared" si="16"/>
        <v>12/04/2026</v>
      </c>
    </row>
    <row r="280" spans="1:34" ht="30" hidden="1" customHeight="1" x14ac:dyDescent="0.2">
      <c r="A280" s="230" t="s">
        <v>197</v>
      </c>
      <c r="B280" s="255">
        <v>2690336174</v>
      </c>
      <c r="C280" s="230" t="s">
        <v>127</v>
      </c>
      <c r="D280" s="230" t="s">
        <v>63</v>
      </c>
      <c r="E280" s="230" t="s">
        <v>198</v>
      </c>
      <c r="F280" s="230" t="s">
        <v>2379</v>
      </c>
      <c r="G280" s="230">
        <v>46</v>
      </c>
      <c r="H280" s="230" t="s">
        <v>213</v>
      </c>
      <c r="I280" s="230" t="s">
        <v>713</v>
      </c>
      <c r="J280" s="230" t="s">
        <v>3275</v>
      </c>
      <c r="K280" s="230" t="s">
        <v>213</v>
      </c>
      <c r="L280" s="235" t="s">
        <v>866</v>
      </c>
      <c r="M280" s="235">
        <v>46360.451388888891</v>
      </c>
      <c r="N280" s="230" t="s">
        <v>3276</v>
      </c>
      <c r="O280" s="233"/>
      <c r="P280" s="9"/>
      <c r="Q280" s="146"/>
      <c r="R280" s="92"/>
      <c r="S280" s="146"/>
      <c r="T280" s="92"/>
      <c r="U280" s="146"/>
      <c r="V280" s="92"/>
      <c r="W280" s="146"/>
      <c r="X280" s="92"/>
      <c r="Y280" s="146"/>
      <c r="Z280" s="186" t="str">
        <f t="shared" si="18"/>
        <v/>
      </c>
      <c r="AA280" s="217" t="b">
        <f t="shared" si="17"/>
        <v>0</v>
      </c>
      <c r="AB280" s="92"/>
      <c r="AC280" s="164" t="s">
        <v>6</v>
      </c>
      <c r="AD280" s="151" t="str">
        <f t="shared" si="19"/>
        <v>GUARULHOS</v>
      </c>
      <c r="AE280" s="96" t="s">
        <v>63</v>
      </c>
      <c r="AF280" s="53">
        <v>0.76217069402604121</v>
      </c>
      <c r="AG280" s="53" t="str" cm="1">
        <f t="array" ref="AG280">IF(OR(O280&lt;&gt;"", SUMPRODUCT(($AH$2:$AH$4999=AH280)*($AF$2:$AF$4999&lt;=AF280)) &lt;= (COUNTIF($AH$2:$AH$4999,AH280)*0.3)), "SORTEADO", "-")</f>
        <v>-</v>
      </c>
      <c r="AH280" s="257" t="str">
        <f t="shared" si="16"/>
        <v>12/04/2026</v>
      </c>
    </row>
    <row r="281" spans="1:34" ht="30" hidden="1" customHeight="1" x14ac:dyDescent="0.2">
      <c r="A281" s="230" t="s">
        <v>197</v>
      </c>
      <c r="B281" s="255">
        <v>2690335422</v>
      </c>
      <c r="C281" s="230" t="s">
        <v>127</v>
      </c>
      <c r="D281" s="230" t="s">
        <v>63</v>
      </c>
      <c r="E281" s="230" t="s">
        <v>198</v>
      </c>
      <c r="F281" s="230" t="s">
        <v>313</v>
      </c>
      <c r="G281" s="230">
        <v>185</v>
      </c>
      <c r="H281" s="230" t="s">
        <v>2193</v>
      </c>
      <c r="I281" s="230" t="s">
        <v>315</v>
      </c>
      <c r="J281" s="230" t="s">
        <v>3275</v>
      </c>
      <c r="K281" s="230"/>
      <c r="L281" s="235" t="s">
        <v>866</v>
      </c>
      <c r="M281" s="235">
        <v>46360.349305555559</v>
      </c>
      <c r="N281" s="230" t="s">
        <v>3276</v>
      </c>
      <c r="O281" s="233"/>
      <c r="P281" s="9"/>
      <c r="Q281" s="146"/>
      <c r="R281" s="92"/>
      <c r="S281" s="146"/>
      <c r="T281" s="92"/>
      <c r="U281" s="146"/>
      <c r="V281" s="92"/>
      <c r="W281" s="146"/>
      <c r="X281" s="92"/>
      <c r="Y281" s="146"/>
      <c r="Z281" s="186" t="str">
        <f t="shared" si="18"/>
        <v/>
      </c>
      <c r="AA281" s="217" t="b">
        <f t="shared" si="17"/>
        <v>0</v>
      </c>
      <c r="AB281" s="92"/>
      <c r="AC281" s="164" t="s">
        <v>6</v>
      </c>
      <c r="AD281" s="151" t="str">
        <f t="shared" si="19"/>
        <v>GUARULHOS</v>
      </c>
      <c r="AE281" s="96" t="s">
        <v>63</v>
      </c>
      <c r="AF281" s="53">
        <v>0.22354498473545151</v>
      </c>
      <c r="AG281" s="53" t="str" cm="1">
        <f t="array" ref="AG281">IF(OR(O281&lt;&gt;"", SUMPRODUCT(($AH$2:$AH$4999=AH281)*($AF$2:$AF$4999&lt;=AF281)) &lt;= (COUNTIF($AH$2:$AH$4999,AH281)*0.3)), "SORTEADO", "-")</f>
        <v>-</v>
      </c>
      <c r="AH281" s="257" t="str">
        <f t="shared" si="16"/>
        <v>12/04/2026</v>
      </c>
    </row>
    <row r="282" spans="1:34" ht="30" hidden="1" customHeight="1" x14ac:dyDescent="0.2">
      <c r="A282" s="230" t="s">
        <v>197</v>
      </c>
      <c r="B282" s="255">
        <v>2690339612</v>
      </c>
      <c r="C282" s="230" t="s">
        <v>127</v>
      </c>
      <c r="D282" s="230" t="s">
        <v>63</v>
      </c>
      <c r="E282" s="230" t="s">
        <v>198</v>
      </c>
      <c r="F282" s="230" t="s">
        <v>1478</v>
      </c>
      <c r="G282" s="230">
        <v>549</v>
      </c>
      <c r="H282" s="230" t="s">
        <v>3619</v>
      </c>
      <c r="I282" s="230" t="s">
        <v>253</v>
      </c>
      <c r="J282" s="230" t="s">
        <v>3275</v>
      </c>
      <c r="K282" s="230" t="s">
        <v>213</v>
      </c>
      <c r="L282" s="235" t="s">
        <v>866</v>
      </c>
      <c r="M282" s="235">
        <v>46360.379166666666</v>
      </c>
      <c r="N282" s="230" t="s">
        <v>3276</v>
      </c>
      <c r="O282" s="233"/>
      <c r="P282" s="9"/>
      <c r="Q282" s="146"/>
      <c r="R282" s="92"/>
      <c r="S282" s="146"/>
      <c r="T282" s="92"/>
      <c r="U282" s="146"/>
      <c r="V282" s="92"/>
      <c r="W282" s="146"/>
      <c r="X282" s="92"/>
      <c r="Y282" s="146"/>
      <c r="Z282" s="186" t="str">
        <f t="shared" si="18"/>
        <v/>
      </c>
      <c r="AA282" s="217" t="b">
        <f t="shared" si="17"/>
        <v>0</v>
      </c>
      <c r="AB282" s="92"/>
      <c r="AC282" s="164" t="s">
        <v>6</v>
      </c>
      <c r="AD282" s="151" t="str">
        <f t="shared" si="19"/>
        <v>GUARULHOS</v>
      </c>
      <c r="AE282" s="96" t="s">
        <v>63</v>
      </c>
      <c r="AF282" s="53">
        <v>0.83559633872270334</v>
      </c>
      <c r="AG282" s="53" t="str" cm="1">
        <f t="array" ref="AG282">IF(OR(O282&lt;&gt;"", SUMPRODUCT(($AH$2:$AH$4999=AH282)*($AF$2:$AF$4999&lt;=AF282)) &lt;= (COUNTIF($AH$2:$AH$4999,AH282)*0.3)), "SORTEADO", "-")</f>
        <v>-</v>
      </c>
      <c r="AH282" s="257" t="str">
        <f t="shared" si="16"/>
        <v>12/04/2026</v>
      </c>
    </row>
    <row r="283" spans="1:34" ht="30" hidden="1" customHeight="1" x14ac:dyDescent="0.2">
      <c r="A283" s="230" t="s">
        <v>197</v>
      </c>
      <c r="B283" s="255">
        <v>2615136517</v>
      </c>
      <c r="C283" s="230" t="s">
        <v>135</v>
      </c>
      <c r="D283" s="230" t="s">
        <v>124</v>
      </c>
      <c r="E283" s="230" t="s">
        <v>198</v>
      </c>
      <c r="F283" s="230" t="s">
        <v>3620</v>
      </c>
      <c r="G283" s="230">
        <v>78</v>
      </c>
      <c r="H283" s="230" t="s">
        <v>276</v>
      </c>
      <c r="I283" s="230" t="s">
        <v>200</v>
      </c>
      <c r="J283" s="230" t="s">
        <v>3280</v>
      </c>
      <c r="K283" s="230"/>
      <c r="L283" s="235" t="s">
        <v>866</v>
      </c>
      <c r="M283" s="235">
        <v>46360.652083333334</v>
      </c>
      <c r="N283" s="230" t="s">
        <v>203</v>
      </c>
      <c r="O283" s="233"/>
      <c r="P283" s="9"/>
      <c r="Q283" s="146"/>
      <c r="R283" s="92"/>
      <c r="S283" s="146"/>
      <c r="T283" s="92"/>
      <c r="U283" s="146"/>
      <c r="V283" s="92"/>
      <c r="W283" s="146"/>
      <c r="X283" s="92"/>
      <c r="Y283" s="146"/>
      <c r="Z283" s="186" t="str">
        <f t="shared" si="18"/>
        <v/>
      </c>
      <c r="AA283" s="217" t="b">
        <f t="shared" si="17"/>
        <v>0</v>
      </c>
      <c r="AB283" s="92"/>
      <c r="AC283" s="164" t="s">
        <v>6</v>
      </c>
      <c r="AD283" s="151" t="str">
        <f t="shared" si="19"/>
        <v>GUARULHOS</v>
      </c>
      <c r="AE283" s="96" t="s">
        <v>63</v>
      </c>
      <c r="AF283" s="53">
        <v>0.77973547996523918</v>
      </c>
      <c r="AG283" s="53" t="str" cm="1">
        <f t="array" ref="AG283">IF(OR(O283&lt;&gt;"", SUMPRODUCT(($AH$2:$AH$4999=AH283)*($AF$2:$AF$4999&lt;=AF283)) &lt;= (COUNTIF($AH$2:$AH$4999,AH283)*0.3)), "SORTEADO", "-")</f>
        <v>-</v>
      </c>
      <c r="AH283" s="257" t="str">
        <f t="shared" si="16"/>
        <v>12/04/2026</v>
      </c>
    </row>
    <row r="284" spans="1:34" ht="30" customHeight="1" x14ac:dyDescent="0.2">
      <c r="A284" s="230" t="s">
        <v>197</v>
      </c>
      <c r="B284" s="255">
        <v>2614624199</v>
      </c>
      <c r="C284" s="230" t="s">
        <v>135</v>
      </c>
      <c r="D284" s="230" t="s">
        <v>124</v>
      </c>
      <c r="E284" s="230" t="s">
        <v>198</v>
      </c>
      <c r="F284" s="230" t="s">
        <v>3621</v>
      </c>
      <c r="G284" s="230">
        <v>25</v>
      </c>
      <c r="H284" s="230" t="s">
        <v>3622</v>
      </c>
      <c r="I284" s="230" t="s">
        <v>3623</v>
      </c>
      <c r="J284" s="230" t="s">
        <v>3280</v>
      </c>
      <c r="K284" s="230" t="s">
        <v>213</v>
      </c>
      <c r="L284" s="235" t="s">
        <v>866</v>
      </c>
      <c r="M284" s="235">
        <v>46360.65</v>
      </c>
      <c r="N284" s="230" t="s">
        <v>203</v>
      </c>
      <c r="O284" s="233" t="s">
        <v>204</v>
      </c>
      <c r="P284" s="9"/>
      <c r="Q284" s="146" t="s">
        <v>204</v>
      </c>
      <c r="R284" s="92"/>
      <c r="S284" s="146" t="s">
        <v>204</v>
      </c>
      <c r="T284" s="92"/>
      <c r="U284" s="146" t="s">
        <v>204</v>
      </c>
      <c r="V284" s="92"/>
      <c r="W284" s="146" t="s">
        <v>204</v>
      </c>
      <c r="X284" s="92"/>
      <c r="Y284" s="146" t="s">
        <v>204</v>
      </c>
      <c r="Z284" s="186" t="str">
        <f t="shared" si="18"/>
        <v>C</v>
      </c>
      <c r="AA284" s="217" t="str">
        <f t="shared" si="17"/>
        <v>UTILIZOU O PDA CORRETAMENTE</v>
      </c>
      <c r="AB284" s="92" t="s">
        <v>204</v>
      </c>
      <c r="AC284" s="164" t="s">
        <v>6</v>
      </c>
      <c r="AD284" s="151" t="str">
        <f t="shared" si="19"/>
        <v>GUARULHOS</v>
      </c>
      <c r="AE284" s="96" t="s">
        <v>63</v>
      </c>
      <c r="AF284" s="53">
        <v>4.5353261453135944E-2</v>
      </c>
      <c r="AG284" s="53" t="str" cm="1">
        <f t="array" ref="AG284">IF(OR(O284&lt;&gt;"", SUMPRODUCT(($AH$2:$AH$4999=AH284)*($AF$2:$AF$4999&lt;=AF284)) &lt;= (COUNTIF($AH$2:$AH$4999,AH284)*0.3)), "SORTEADO", "-")</f>
        <v>SORTEADO</v>
      </c>
      <c r="AH284" s="257" t="str">
        <f t="shared" si="16"/>
        <v>12/04/2026</v>
      </c>
    </row>
    <row r="285" spans="1:34" ht="30" hidden="1" customHeight="1" x14ac:dyDescent="0.2">
      <c r="A285" s="230" t="s">
        <v>197</v>
      </c>
      <c r="B285" s="255">
        <v>2615493987</v>
      </c>
      <c r="C285" s="230" t="s">
        <v>127</v>
      </c>
      <c r="D285" s="230" t="s">
        <v>63</v>
      </c>
      <c r="E285" s="230" t="s">
        <v>198</v>
      </c>
      <c r="F285" s="230" t="s">
        <v>892</v>
      </c>
      <c r="G285" s="230">
        <v>333</v>
      </c>
      <c r="H285" s="230" t="s">
        <v>3624</v>
      </c>
      <c r="I285" s="230" t="s">
        <v>893</v>
      </c>
      <c r="J285" s="230" t="s">
        <v>3275</v>
      </c>
      <c r="K285" s="230"/>
      <c r="L285" s="235" t="s">
        <v>866</v>
      </c>
      <c r="M285" s="235">
        <v>46360.438194444447</v>
      </c>
      <c r="N285" s="230" t="s">
        <v>3282</v>
      </c>
      <c r="O285" s="233"/>
      <c r="P285" s="9"/>
      <c r="Q285" s="146"/>
      <c r="R285" s="92"/>
      <c r="S285" s="146"/>
      <c r="T285" s="92"/>
      <c r="U285" s="146"/>
      <c r="V285" s="92"/>
      <c r="W285" s="146"/>
      <c r="X285" s="92"/>
      <c r="Y285" s="146"/>
      <c r="Z285" s="186" t="str">
        <f t="shared" si="18"/>
        <v/>
      </c>
      <c r="AA285" s="217" t="b">
        <f t="shared" si="17"/>
        <v>0</v>
      </c>
      <c r="AB285" s="92"/>
      <c r="AC285" s="164" t="s">
        <v>6</v>
      </c>
      <c r="AD285" s="151" t="str">
        <f t="shared" si="19"/>
        <v>GUARULHOS</v>
      </c>
      <c r="AE285" s="96" t="s">
        <v>63</v>
      </c>
      <c r="AF285" s="53">
        <v>0.50156094474240165</v>
      </c>
      <c r="AG285" s="53" t="str" cm="1">
        <f t="array" ref="AG285">IF(OR(O285&lt;&gt;"", SUMPRODUCT(($AH$2:$AH$4999=AH285)*($AF$2:$AF$4999&lt;=AF285)) &lt;= (COUNTIF($AH$2:$AH$4999,AH285)*0.3)), "SORTEADO", "-")</f>
        <v>-</v>
      </c>
      <c r="AH285" s="257" t="str">
        <f t="shared" si="16"/>
        <v>12/04/2026</v>
      </c>
    </row>
    <row r="286" spans="1:34" ht="30" hidden="1" customHeight="1" x14ac:dyDescent="0.2">
      <c r="A286" s="230" t="s">
        <v>197</v>
      </c>
      <c r="B286" s="255">
        <v>2690335927</v>
      </c>
      <c r="C286" s="230" t="s">
        <v>133</v>
      </c>
      <c r="D286" s="230" t="s">
        <v>124</v>
      </c>
      <c r="E286" s="230" t="s">
        <v>198</v>
      </c>
      <c r="F286" s="230" t="s">
        <v>3625</v>
      </c>
      <c r="G286" s="230">
        <v>133</v>
      </c>
      <c r="H286" s="230" t="s">
        <v>288</v>
      </c>
      <c r="I286" s="230" t="s">
        <v>3626</v>
      </c>
      <c r="J286" s="230" t="s">
        <v>3275</v>
      </c>
      <c r="K286" s="230" t="s">
        <v>3499</v>
      </c>
      <c r="L286" s="235" t="s">
        <v>866</v>
      </c>
      <c r="M286" s="235">
        <v>46360.375</v>
      </c>
      <c r="N286" s="230" t="s">
        <v>3296</v>
      </c>
      <c r="O286" s="233"/>
      <c r="P286" s="9"/>
      <c r="Q286" s="146"/>
      <c r="R286" s="92"/>
      <c r="S286" s="146"/>
      <c r="T286" s="92"/>
      <c r="U286" s="146"/>
      <c r="V286" s="92"/>
      <c r="W286" s="146"/>
      <c r="X286" s="92"/>
      <c r="Y286" s="146"/>
      <c r="Z286" s="186" t="str">
        <f t="shared" si="18"/>
        <v/>
      </c>
      <c r="AA286" s="217" t="b">
        <f t="shared" si="17"/>
        <v>0</v>
      </c>
      <c r="AB286" s="92"/>
      <c r="AC286" s="164" t="s">
        <v>6</v>
      </c>
      <c r="AD286" s="151" t="str">
        <f t="shared" si="19"/>
        <v>GUARULHOS</v>
      </c>
      <c r="AE286" s="96" t="s">
        <v>63</v>
      </c>
      <c r="AF286" s="53">
        <v>0.43507058432350365</v>
      </c>
      <c r="AG286" s="53" t="str" cm="1">
        <f t="array" ref="AG286">IF(OR(O286&lt;&gt;"", SUMPRODUCT(($AH$2:$AH$4999=AH286)*($AF$2:$AF$4999&lt;=AF286)) &lt;= (COUNTIF($AH$2:$AH$4999,AH286)*0.3)), "SORTEADO", "-")</f>
        <v>-</v>
      </c>
      <c r="AH286" s="257" t="str">
        <f t="shared" si="16"/>
        <v>12/04/2026</v>
      </c>
    </row>
    <row r="287" spans="1:34" ht="30" hidden="1" customHeight="1" x14ac:dyDescent="0.2">
      <c r="A287" s="230" t="s">
        <v>197</v>
      </c>
      <c r="B287" s="255">
        <v>2690336569</v>
      </c>
      <c r="C287" s="230" t="s">
        <v>133</v>
      </c>
      <c r="D287" s="230" t="s">
        <v>124</v>
      </c>
      <c r="E287" s="230" t="s">
        <v>198</v>
      </c>
      <c r="F287" s="230" t="s">
        <v>3627</v>
      </c>
      <c r="G287" s="230">
        <v>319</v>
      </c>
      <c r="H287" s="230"/>
      <c r="I287" s="230" t="s">
        <v>3628</v>
      </c>
      <c r="J287" s="230" t="s">
        <v>3275</v>
      </c>
      <c r="K287" s="230" t="s">
        <v>3499</v>
      </c>
      <c r="L287" s="235" t="s">
        <v>866</v>
      </c>
      <c r="M287" s="235">
        <v>46360.415972222225</v>
      </c>
      <c r="N287" s="230" t="s">
        <v>3296</v>
      </c>
      <c r="O287" s="233"/>
      <c r="P287" s="9"/>
      <c r="Q287" s="146"/>
      <c r="R287" s="92"/>
      <c r="S287" s="146"/>
      <c r="T287" s="92"/>
      <c r="U287" s="146"/>
      <c r="V287" s="92"/>
      <c r="W287" s="146"/>
      <c r="X287" s="92"/>
      <c r="Y287" s="146"/>
      <c r="Z287" s="186" t="str">
        <f t="shared" si="18"/>
        <v/>
      </c>
      <c r="AA287" s="217" t="b">
        <f t="shared" si="17"/>
        <v>0</v>
      </c>
      <c r="AB287" s="92"/>
      <c r="AC287" s="164" t="s">
        <v>6</v>
      </c>
      <c r="AD287" s="151" t="str">
        <f t="shared" si="19"/>
        <v>GUARULHOS</v>
      </c>
      <c r="AE287" s="96" t="s">
        <v>63</v>
      </c>
      <c r="AF287" s="53">
        <v>0.52215266376730374</v>
      </c>
      <c r="AG287" s="53" t="str" cm="1">
        <f t="array" ref="AG287">IF(OR(O287&lt;&gt;"", SUMPRODUCT(($AH$2:$AH$4999=AH287)*($AF$2:$AF$4999&lt;=AF287)) &lt;= (COUNTIF($AH$2:$AH$4999,AH287)*0.3)), "SORTEADO", "-")</f>
        <v>-</v>
      </c>
      <c r="AH287" s="257" t="str">
        <f t="shared" si="16"/>
        <v>12/04/2026</v>
      </c>
    </row>
    <row r="288" spans="1:34" ht="30" hidden="1" customHeight="1" x14ac:dyDescent="0.2">
      <c r="A288" s="230" t="s">
        <v>197</v>
      </c>
      <c r="B288" s="255">
        <v>2690336830</v>
      </c>
      <c r="C288" s="230" t="s">
        <v>133</v>
      </c>
      <c r="D288" s="230" t="s">
        <v>124</v>
      </c>
      <c r="E288" s="230" t="s">
        <v>198</v>
      </c>
      <c r="F288" s="230" t="s">
        <v>3629</v>
      </c>
      <c r="G288" s="230">
        <v>188</v>
      </c>
      <c r="H288" s="230">
        <v>204</v>
      </c>
      <c r="I288" s="230" t="s">
        <v>480</v>
      </c>
      <c r="J288" s="230" t="s">
        <v>3275</v>
      </c>
      <c r="K288" s="230" t="s">
        <v>3610</v>
      </c>
      <c r="L288" s="235" t="s">
        <v>866</v>
      </c>
      <c r="M288" s="235">
        <v>46360.371527777781</v>
      </c>
      <c r="N288" s="230" t="s">
        <v>3590</v>
      </c>
      <c r="O288" s="233"/>
      <c r="P288" s="9"/>
      <c r="Q288" s="146"/>
      <c r="R288" s="92"/>
      <c r="S288" s="146"/>
      <c r="T288" s="92"/>
      <c r="U288" s="146"/>
      <c r="V288" s="92"/>
      <c r="W288" s="146"/>
      <c r="X288" s="92"/>
      <c r="Y288" s="146"/>
      <c r="Z288" s="186" t="str">
        <f t="shared" si="18"/>
        <v/>
      </c>
      <c r="AA288" s="217" t="b">
        <f t="shared" si="17"/>
        <v>0</v>
      </c>
      <c r="AB288" s="92"/>
      <c r="AC288" s="164" t="s">
        <v>6</v>
      </c>
      <c r="AD288" s="151" t="str">
        <f t="shared" si="19"/>
        <v>GUARULHOS</v>
      </c>
      <c r="AE288" s="96" t="s">
        <v>63</v>
      </c>
      <c r="AF288" s="53">
        <v>0.68080610143353637</v>
      </c>
      <c r="AG288" s="53" t="str" cm="1">
        <f t="array" ref="AG288">IF(OR(O288&lt;&gt;"", SUMPRODUCT(($AH$2:$AH$4999=AH288)*($AF$2:$AF$4999&lt;=AF288)) &lt;= (COUNTIF($AH$2:$AH$4999,AH288)*0.3)), "SORTEADO", "-")</f>
        <v>-</v>
      </c>
      <c r="AH288" s="257" t="str">
        <f t="shared" si="16"/>
        <v>12/04/2026</v>
      </c>
    </row>
    <row r="289" spans="1:34" ht="30" customHeight="1" x14ac:dyDescent="0.2">
      <c r="A289" s="230" t="s">
        <v>197</v>
      </c>
      <c r="B289" s="255">
        <v>2690363785</v>
      </c>
      <c r="C289" s="230" t="s">
        <v>127</v>
      </c>
      <c r="D289" s="230" t="s">
        <v>63</v>
      </c>
      <c r="E289" s="230" t="s">
        <v>198</v>
      </c>
      <c r="F289" s="230" t="s">
        <v>1141</v>
      </c>
      <c r="G289" s="230">
        <v>207</v>
      </c>
      <c r="H289" s="230" t="s">
        <v>3630</v>
      </c>
      <c r="I289" s="230" t="s">
        <v>893</v>
      </c>
      <c r="J289" s="230" t="s">
        <v>3275</v>
      </c>
      <c r="K289" s="230" t="s">
        <v>213</v>
      </c>
      <c r="L289" s="235" t="s">
        <v>866</v>
      </c>
      <c r="M289" s="235">
        <v>46360.575694444444</v>
      </c>
      <c r="N289" s="230" t="s">
        <v>3282</v>
      </c>
      <c r="O289" s="233" t="s">
        <v>204</v>
      </c>
      <c r="P289" s="9"/>
      <c r="Q289" s="146" t="s">
        <v>204</v>
      </c>
      <c r="R289" s="92"/>
      <c r="S289" s="146" t="s">
        <v>204</v>
      </c>
      <c r="T289" s="92"/>
      <c r="U289" s="146" t="s">
        <v>204</v>
      </c>
      <c r="V289" s="92"/>
      <c r="W289" s="146" t="s">
        <v>204</v>
      </c>
      <c r="X289" s="92"/>
      <c r="Y289" s="146" t="s">
        <v>204</v>
      </c>
      <c r="Z289" s="186" t="str">
        <f t="shared" si="18"/>
        <v>C</v>
      </c>
      <c r="AA289" s="217" t="str">
        <f t="shared" si="17"/>
        <v>UTILIZOU O PDA CORRETAMENTE</v>
      </c>
      <c r="AB289" s="92" t="s">
        <v>204</v>
      </c>
      <c r="AC289" s="164" t="s">
        <v>6</v>
      </c>
      <c r="AD289" s="151" t="str">
        <f t="shared" si="19"/>
        <v>GUARULHOS</v>
      </c>
      <c r="AE289" s="96" t="s">
        <v>63</v>
      </c>
      <c r="AF289" s="53">
        <v>3.7964307458932658E-2</v>
      </c>
      <c r="AG289" s="53" t="str" cm="1">
        <f t="array" ref="AG289">IF(OR(O289&lt;&gt;"", SUMPRODUCT(($AH$2:$AH$4999=AH289)*($AF$2:$AF$4999&lt;=AF289)) &lt;= (COUNTIF($AH$2:$AH$4999,AH289)*0.3)), "SORTEADO", "-")</f>
        <v>SORTEADO</v>
      </c>
      <c r="AH289" s="257" t="str">
        <f t="shared" si="16"/>
        <v>12/04/2026</v>
      </c>
    </row>
    <row r="290" spans="1:34" ht="30" hidden="1" customHeight="1" x14ac:dyDescent="0.2">
      <c r="A290" s="230" t="s">
        <v>197</v>
      </c>
      <c r="B290" s="255">
        <v>2690339804</v>
      </c>
      <c r="C290" s="230" t="s">
        <v>127</v>
      </c>
      <c r="D290" s="230" t="s">
        <v>63</v>
      </c>
      <c r="E290" s="230" t="s">
        <v>198</v>
      </c>
      <c r="F290" s="230" t="s">
        <v>979</v>
      </c>
      <c r="G290" s="230">
        <v>99</v>
      </c>
      <c r="H290" s="230" t="s">
        <v>213</v>
      </c>
      <c r="I290" s="230" t="s">
        <v>315</v>
      </c>
      <c r="J290" s="230" t="s">
        <v>3275</v>
      </c>
      <c r="K290" s="230" t="s">
        <v>213</v>
      </c>
      <c r="L290" s="235" t="s">
        <v>866</v>
      </c>
      <c r="M290" s="235">
        <v>46360.536805555559</v>
      </c>
      <c r="N290" s="230" t="s">
        <v>244</v>
      </c>
      <c r="O290" s="233"/>
      <c r="P290" s="9"/>
      <c r="Q290" s="146"/>
      <c r="R290" s="92"/>
      <c r="S290" s="146"/>
      <c r="T290" s="92"/>
      <c r="U290" s="146"/>
      <c r="V290" s="92"/>
      <c r="W290" s="146"/>
      <c r="X290" s="92"/>
      <c r="Y290" s="146"/>
      <c r="Z290" s="186" t="str">
        <f t="shared" si="18"/>
        <v/>
      </c>
      <c r="AA290" s="217" t="b">
        <f t="shared" si="17"/>
        <v>0</v>
      </c>
      <c r="AB290" s="92"/>
      <c r="AC290" s="164" t="s">
        <v>6</v>
      </c>
      <c r="AD290" s="151" t="str">
        <f t="shared" si="19"/>
        <v>GUARULHOS</v>
      </c>
      <c r="AE290" s="96" t="s">
        <v>63</v>
      </c>
      <c r="AF290" s="53">
        <v>0.36958182358026859</v>
      </c>
      <c r="AG290" s="53" t="str" cm="1">
        <f t="array" ref="AG290">IF(OR(O290&lt;&gt;"", SUMPRODUCT(($AH$2:$AH$4999=AH290)*($AF$2:$AF$4999&lt;=AF290)) &lt;= (COUNTIF($AH$2:$AH$4999,AH290)*0.3)), "SORTEADO", "-")</f>
        <v>-</v>
      </c>
      <c r="AH290" s="257" t="str">
        <f t="shared" si="16"/>
        <v>12/04/2026</v>
      </c>
    </row>
    <row r="291" spans="1:34" ht="30" customHeight="1" x14ac:dyDescent="0.2">
      <c r="A291" s="230" t="s">
        <v>197</v>
      </c>
      <c r="B291" s="230">
        <v>2615497672</v>
      </c>
      <c r="C291" s="230" t="s">
        <v>135</v>
      </c>
      <c r="D291" s="230" t="s">
        <v>124</v>
      </c>
      <c r="E291" s="230" t="s">
        <v>198</v>
      </c>
      <c r="F291" s="230" t="s">
        <v>3631</v>
      </c>
      <c r="G291" s="230">
        <v>246</v>
      </c>
      <c r="H291" s="230" t="s">
        <v>695</v>
      </c>
      <c r="I291" s="230" t="s">
        <v>394</v>
      </c>
      <c r="J291" s="230" t="s">
        <v>3280</v>
      </c>
      <c r="K291" s="230" t="s">
        <v>3632</v>
      </c>
      <c r="L291" s="235" t="s">
        <v>866</v>
      </c>
      <c r="M291" s="235">
        <v>46360.604861111111</v>
      </c>
      <c r="N291" s="230" t="s">
        <v>3296</v>
      </c>
      <c r="O291" s="233" t="s">
        <v>328</v>
      </c>
      <c r="P291" s="169"/>
      <c r="Q291" s="144" t="s">
        <v>328</v>
      </c>
      <c r="R291" s="56"/>
      <c r="S291" s="144" t="s">
        <v>328</v>
      </c>
      <c r="T291" s="56"/>
      <c r="U291" s="144" t="s">
        <v>328</v>
      </c>
      <c r="V291" s="56"/>
      <c r="W291" s="144" t="s">
        <v>328</v>
      </c>
      <c r="X291" s="56"/>
      <c r="Y291" s="144" t="s">
        <v>210</v>
      </c>
      <c r="Z291" s="186" t="str">
        <f t="shared" si="18"/>
        <v>NC</v>
      </c>
      <c r="AA291" s="217" t="str">
        <f t="shared" si="17"/>
        <v>NÃO UTILIZOU O PDA</v>
      </c>
      <c r="AB291" s="92" t="s">
        <v>204</v>
      </c>
      <c r="AC291" s="164" t="s">
        <v>6</v>
      </c>
      <c r="AD291" s="151" t="str">
        <f t="shared" si="19"/>
        <v>GUARULHOS</v>
      </c>
      <c r="AE291" s="96" t="s">
        <v>63</v>
      </c>
      <c r="AF291" s="53">
        <v>-5.8000000000000003E-2</v>
      </c>
      <c r="AG291" s="53" t="str" cm="1">
        <f t="array" ref="AG291">IF(OR(O291&lt;&gt;"", SUMPRODUCT(($AH$2:$AH$4999=AH291)*($AF$2:$AF$4999&lt;=AF291)) &lt;= (COUNTIF($AH$2:$AH$4999,AH291)*0.3)), "SORTEADO", "-")</f>
        <v>SORTEADO</v>
      </c>
      <c r="AH291" s="257" t="str">
        <f t="shared" si="16"/>
        <v>12/04/2026</v>
      </c>
    </row>
    <row r="292" spans="1:34" ht="30" customHeight="1" x14ac:dyDescent="0.2">
      <c r="A292" s="242" t="s">
        <v>197</v>
      </c>
      <c r="B292" s="242">
        <v>2615498126</v>
      </c>
      <c r="C292" s="242" t="s">
        <v>135</v>
      </c>
      <c r="D292" s="242" t="s">
        <v>124</v>
      </c>
      <c r="E292" s="242" t="s">
        <v>198</v>
      </c>
      <c r="F292" s="242" t="s">
        <v>3633</v>
      </c>
      <c r="G292" s="242">
        <v>168</v>
      </c>
      <c r="H292" s="242" t="s">
        <v>213</v>
      </c>
      <c r="I292" s="242" t="s">
        <v>231</v>
      </c>
      <c r="J292" s="242" t="s">
        <v>3280</v>
      </c>
      <c r="K292" s="242" t="s">
        <v>3634</v>
      </c>
      <c r="L292" s="243" t="s">
        <v>866</v>
      </c>
      <c r="M292" s="243">
        <v>46360.6875</v>
      </c>
      <c r="N292" s="242" t="s">
        <v>3282</v>
      </c>
      <c r="O292" s="233" t="s">
        <v>328</v>
      </c>
      <c r="P292" s="169"/>
      <c r="Q292" s="144" t="s">
        <v>328</v>
      </c>
      <c r="R292" s="56"/>
      <c r="S292" s="144" t="s">
        <v>328</v>
      </c>
      <c r="T292" s="56"/>
      <c r="U292" s="144" t="s">
        <v>328</v>
      </c>
      <c r="V292" s="56"/>
      <c r="W292" s="144" t="s">
        <v>328</v>
      </c>
      <c r="X292" s="56"/>
      <c r="Y292" s="144" t="s">
        <v>210</v>
      </c>
      <c r="Z292" s="186" t="str">
        <f t="shared" si="18"/>
        <v>NC</v>
      </c>
      <c r="AA292" s="217" t="str">
        <f t="shared" si="17"/>
        <v>NÃO UTILIZOU O PDA</v>
      </c>
      <c r="AB292" s="92" t="s">
        <v>204</v>
      </c>
      <c r="AC292" s="164" t="s">
        <v>6</v>
      </c>
      <c r="AD292" s="151" t="str">
        <f t="shared" si="19"/>
        <v>GUARULHOS</v>
      </c>
      <c r="AE292" s="96" t="s">
        <v>63</v>
      </c>
      <c r="AF292" s="53">
        <v>-5.8200000000000002E-2</v>
      </c>
      <c r="AG292" s="53" t="str" cm="1">
        <f t="array" ref="AG292">IF(OR(O292&lt;&gt;"", SUMPRODUCT(($AH$2:$AH$4999=AH292)*($AF$2:$AF$4999&lt;=AF292)) &lt;= (COUNTIF($AH$2:$AH$4999,AH292)*0.3)), "SORTEADO", "-")</f>
        <v>SORTEADO</v>
      </c>
      <c r="AH292" s="257" t="str">
        <f t="shared" si="16"/>
        <v>12/04/2026</v>
      </c>
    </row>
    <row r="293" spans="1:34" ht="30" hidden="1" customHeight="1" x14ac:dyDescent="0.2">
      <c r="A293" s="230" t="s">
        <v>197</v>
      </c>
      <c r="B293" s="255">
        <v>2690382193</v>
      </c>
      <c r="C293" s="230" t="s">
        <v>127</v>
      </c>
      <c r="D293" s="230" t="s">
        <v>63</v>
      </c>
      <c r="E293" s="230" t="s">
        <v>198</v>
      </c>
      <c r="F293" s="230" t="s">
        <v>3635</v>
      </c>
      <c r="G293" s="230">
        <v>402</v>
      </c>
      <c r="H293" s="230" t="s">
        <v>3636</v>
      </c>
      <c r="I293" s="230" t="s">
        <v>746</v>
      </c>
      <c r="J293" s="230" t="s">
        <v>3275</v>
      </c>
      <c r="K293" s="230"/>
      <c r="L293" s="230" t="s">
        <v>902</v>
      </c>
      <c r="M293" s="230" t="s">
        <v>3637</v>
      </c>
      <c r="N293" s="230" t="s">
        <v>3296</v>
      </c>
      <c r="O293" s="227"/>
      <c r="P293" s="92"/>
      <c r="Q293" s="146"/>
      <c r="R293" s="92"/>
      <c r="S293" s="146"/>
      <c r="T293" s="163"/>
      <c r="U293" s="162"/>
      <c r="V293" s="92"/>
      <c r="W293" s="146"/>
      <c r="X293" s="92"/>
      <c r="Y293" s="146"/>
      <c r="Z293" s="186" t="str">
        <f t="shared" si="18"/>
        <v/>
      </c>
      <c r="AA293" s="217" t="b">
        <f t="shared" si="17"/>
        <v>0</v>
      </c>
      <c r="AB293" s="92"/>
      <c r="AC293" s="164" t="s">
        <v>6</v>
      </c>
      <c r="AD293" s="151" t="str">
        <f t="shared" si="19"/>
        <v>GUARULHOS</v>
      </c>
      <c r="AE293" s="96" t="s">
        <v>63</v>
      </c>
      <c r="AF293" s="53">
        <v>0.90141828469020302</v>
      </c>
      <c r="AG293" s="53" t="str" cm="1">
        <f t="array" ref="AG293">IF(OR(O293&lt;&gt;"", SUMPRODUCT(($AH$2:$AH$4999=AH293)*($AF$2:$AF$4999&lt;=AF293)) &lt;= (COUNTIF($AH$2:$AH$4999,AH293)*0.3)), "SORTEADO", "-")</f>
        <v>-</v>
      </c>
      <c r="AH293" s="257" t="str">
        <f t="shared" si="16"/>
        <v>13/04/2026</v>
      </c>
    </row>
    <row r="294" spans="1:34" ht="30" hidden="1" customHeight="1" x14ac:dyDescent="0.2">
      <c r="A294" s="230" t="s">
        <v>197</v>
      </c>
      <c r="B294" s="255">
        <v>2690369833</v>
      </c>
      <c r="C294" s="230" t="s">
        <v>127</v>
      </c>
      <c r="D294" s="230" t="s">
        <v>63</v>
      </c>
      <c r="E294" s="230" t="s">
        <v>198</v>
      </c>
      <c r="F294" s="230" t="s">
        <v>533</v>
      </c>
      <c r="G294" s="230">
        <v>322</v>
      </c>
      <c r="H294" s="230" t="s">
        <v>211</v>
      </c>
      <c r="I294" s="230" t="s">
        <v>214</v>
      </c>
      <c r="J294" s="230" t="s">
        <v>3275</v>
      </c>
      <c r="K294" s="230" t="s">
        <v>213</v>
      </c>
      <c r="L294" s="230" t="s">
        <v>902</v>
      </c>
      <c r="M294" s="230" t="s">
        <v>3638</v>
      </c>
      <c r="N294" s="230" t="s">
        <v>3276</v>
      </c>
      <c r="O294" s="158"/>
      <c r="P294" s="92"/>
      <c r="Q294" s="146"/>
      <c r="R294" s="92"/>
      <c r="S294" s="146"/>
      <c r="T294" s="92"/>
      <c r="U294" s="146"/>
      <c r="V294" s="92"/>
      <c r="W294" s="146"/>
      <c r="X294" s="92"/>
      <c r="Y294" s="146"/>
      <c r="Z294" s="186" t="str">
        <f t="shared" si="18"/>
        <v/>
      </c>
      <c r="AA294" s="217" t="b">
        <f t="shared" si="17"/>
        <v>0</v>
      </c>
      <c r="AB294" s="92"/>
      <c r="AC294" s="164" t="s">
        <v>6</v>
      </c>
      <c r="AD294" s="151" t="str">
        <f t="shared" si="19"/>
        <v>GUARULHOS</v>
      </c>
      <c r="AE294" s="96" t="s">
        <v>63</v>
      </c>
      <c r="AF294" s="53">
        <v>0.84534257951938829</v>
      </c>
      <c r="AG294" s="53" t="str" cm="1">
        <f t="array" ref="AG294">IF(OR(O294&lt;&gt;"", SUMPRODUCT(($AH$2:$AH$4999=AH294)*($AF$2:$AF$4999&lt;=AF294)) &lt;= (COUNTIF($AH$2:$AH$4999,AH294)*0.3)), "SORTEADO", "-")</f>
        <v>-</v>
      </c>
      <c r="AH294" s="257" t="str">
        <f t="shared" si="16"/>
        <v>13/04/2026</v>
      </c>
    </row>
    <row r="295" spans="1:34" ht="30" hidden="1" customHeight="1" x14ac:dyDescent="0.2">
      <c r="A295" s="230" t="s">
        <v>197</v>
      </c>
      <c r="B295" s="255">
        <v>2690382341</v>
      </c>
      <c r="C295" s="230" t="s">
        <v>127</v>
      </c>
      <c r="D295" s="230" t="s">
        <v>63</v>
      </c>
      <c r="E295" s="230" t="s">
        <v>198</v>
      </c>
      <c r="F295" s="230" t="s">
        <v>3639</v>
      </c>
      <c r="G295" s="230">
        <v>110</v>
      </c>
      <c r="H295" s="230" t="s">
        <v>729</v>
      </c>
      <c r="I295" s="230" t="s">
        <v>315</v>
      </c>
      <c r="J295" s="230" t="s">
        <v>3275</v>
      </c>
      <c r="K295" s="230" t="s">
        <v>3640</v>
      </c>
      <c r="L295" s="230" t="s">
        <v>902</v>
      </c>
      <c r="M295" s="230" t="s">
        <v>3641</v>
      </c>
      <c r="N295" s="230" t="s">
        <v>3276</v>
      </c>
      <c r="O295" s="158"/>
      <c r="P295" s="92"/>
      <c r="Q295" s="146"/>
      <c r="R295" s="92"/>
      <c r="S295" s="146"/>
      <c r="T295" s="92"/>
      <c r="U295" s="146"/>
      <c r="V295" s="92"/>
      <c r="W295" s="146"/>
      <c r="X295" s="92"/>
      <c r="Y295" s="146"/>
      <c r="Z295" s="186" t="str">
        <f t="shared" si="18"/>
        <v/>
      </c>
      <c r="AA295" s="217" t="b">
        <f t="shared" si="17"/>
        <v>0</v>
      </c>
      <c r="AB295" s="92"/>
      <c r="AC295" s="164" t="s">
        <v>6</v>
      </c>
      <c r="AD295" s="151" t="str">
        <f t="shared" si="19"/>
        <v>GUARULHOS</v>
      </c>
      <c r="AE295" s="96" t="s">
        <v>63</v>
      </c>
      <c r="AF295" s="53">
        <v>0.97178225811123209</v>
      </c>
      <c r="AG295" s="53" t="str" cm="1">
        <f t="array" ref="AG295">IF(OR(O295&lt;&gt;"", SUMPRODUCT(($AH$2:$AH$4999=AH295)*($AF$2:$AF$4999&lt;=AF295)) &lt;= (COUNTIF($AH$2:$AH$4999,AH295)*0.3)), "SORTEADO", "-")</f>
        <v>-</v>
      </c>
      <c r="AH295" s="257" t="str">
        <f t="shared" si="16"/>
        <v>13/04/2026</v>
      </c>
    </row>
    <row r="296" spans="1:34" ht="30" hidden="1" customHeight="1" x14ac:dyDescent="0.2">
      <c r="A296" s="230" t="s">
        <v>197</v>
      </c>
      <c r="B296" s="255">
        <v>2615497961</v>
      </c>
      <c r="C296" s="230" t="s">
        <v>135</v>
      </c>
      <c r="D296" s="230" t="s">
        <v>124</v>
      </c>
      <c r="E296" s="230" t="s">
        <v>198</v>
      </c>
      <c r="F296" s="230" t="s">
        <v>3642</v>
      </c>
      <c r="G296" s="230">
        <v>95</v>
      </c>
      <c r="H296" s="230" t="s">
        <v>235</v>
      </c>
      <c r="I296" s="230" t="s">
        <v>531</v>
      </c>
      <c r="J296" s="230" t="s">
        <v>3280</v>
      </c>
      <c r="K296" s="230" t="s">
        <v>213</v>
      </c>
      <c r="L296" s="230" t="s">
        <v>902</v>
      </c>
      <c r="M296" s="230" t="s">
        <v>3643</v>
      </c>
      <c r="N296" s="230" t="s">
        <v>819</v>
      </c>
      <c r="O296" s="158"/>
      <c r="P296" s="92"/>
      <c r="Q296" s="146"/>
      <c r="R296" s="92"/>
      <c r="S296" s="146"/>
      <c r="T296" s="92"/>
      <c r="U296" s="146"/>
      <c r="V296" s="92"/>
      <c r="W296" s="146"/>
      <c r="X296" s="92"/>
      <c r="Y296" s="146"/>
      <c r="Z296" s="186" t="str">
        <f t="shared" si="18"/>
        <v/>
      </c>
      <c r="AA296" s="217" t="b">
        <f t="shared" si="17"/>
        <v>0</v>
      </c>
      <c r="AB296" s="92"/>
      <c r="AC296" s="164" t="s">
        <v>6</v>
      </c>
      <c r="AD296" s="151" t="str">
        <f t="shared" si="19"/>
        <v>GUARULHOS</v>
      </c>
      <c r="AE296" s="96" t="s">
        <v>63</v>
      </c>
      <c r="AF296" s="53">
        <v>0.77843735976379036</v>
      </c>
      <c r="AG296" s="53" t="str" cm="1">
        <f t="array" ref="AG296">IF(OR(O296&lt;&gt;"", SUMPRODUCT(($AH$2:$AH$4999=AH296)*($AF$2:$AF$4999&lt;=AF296)) &lt;= (COUNTIF($AH$2:$AH$4999,AH296)*0.3)), "SORTEADO", "-")</f>
        <v>-</v>
      </c>
      <c r="AH296" s="257" t="str">
        <f t="shared" ref="AH296:AH359" si="20">TEXT(L296, "dd/mm/aaaa")</f>
        <v>13/04/2026</v>
      </c>
    </row>
    <row r="297" spans="1:34" ht="30" customHeight="1" x14ac:dyDescent="0.2">
      <c r="A297" s="230" t="s">
        <v>197</v>
      </c>
      <c r="B297" s="255">
        <v>2614824074</v>
      </c>
      <c r="C297" s="230" t="s">
        <v>135</v>
      </c>
      <c r="D297" s="230" t="s">
        <v>124</v>
      </c>
      <c r="E297" s="230" t="s">
        <v>198</v>
      </c>
      <c r="F297" s="230" t="s">
        <v>3644</v>
      </c>
      <c r="G297" s="230">
        <v>106</v>
      </c>
      <c r="H297" s="230" t="s">
        <v>3645</v>
      </c>
      <c r="I297" s="230" t="s">
        <v>281</v>
      </c>
      <c r="J297" s="230" t="s">
        <v>3280</v>
      </c>
      <c r="K297" s="230"/>
      <c r="L297" s="230" t="s">
        <v>902</v>
      </c>
      <c r="M297" s="230" t="s">
        <v>3646</v>
      </c>
      <c r="N297" s="230" t="s">
        <v>408</v>
      </c>
      <c r="O297" s="158" t="s">
        <v>204</v>
      </c>
      <c r="P297" s="92"/>
      <c r="Q297" s="146" t="s">
        <v>204</v>
      </c>
      <c r="R297" s="92"/>
      <c r="S297" s="146" t="s">
        <v>204</v>
      </c>
      <c r="T297" s="92"/>
      <c r="U297" s="146" t="s">
        <v>204</v>
      </c>
      <c r="V297" s="92"/>
      <c r="W297" s="146" t="s">
        <v>204</v>
      </c>
      <c r="X297" s="92"/>
      <c r="Y297" s="146" t="s">
        <v>204</v>
      </c>
      <c r="Z297" s="186" t="str">
        <f t="shared" si="18"/>
        <v>C</v>
      </c>
      <c r="AA297" s="217" t="str">
        <f t="shared" si="17"/>
        <v>UTILIZOU O PDA CORRETAMENTE</v>
      </c>
      <c r="AB297" s="92" t="s">
        <v>204</v>
      </c>
      <c r="AC297" s="164" t="s">
        <v>6</v>
      </c>
      <c r="AD297" s="151" t="str">
        <f t="shared" si="19"/>
        <v>GUARULHOS</v>
      </c>
      <c r="AE297" s="96" t="s">
        <v>63</v>
      </c>
      <c r="AF297" s="53">
        <v>0.19134170457006316</v>
      </c>
      <c r="AG297" s="53" t="str" cm="1">
        <f t="array" ref="AG297">IF(OR(O297&lt;&gt;"", SUMPRODUCT(($AH$2:$AH$4999=AH297)*($AF$2:$AF$4999&lt;=AF297)) &lt;= (COUNTIF($AH$2:$AH$4999,AH297)*0.3)), "SORTEADO", "-")</f>
        <v>SORTEADO</v>
      </c>
      <c r="AH297" s="257" t="str">
        <f t="shared" si="20"/>
        <v>13/04/2026</v>
      </c>
    </row>
    <row r="298" spans="1:34" ht="30" hidden="1" customHeight="1" x14ac:dyDescent="0.2">
      <c r="A298" s="230" t="s">
        <v>197</v>
      </c>
      <c r="B298" s="255">
        <v>2615136648</v>
      </c>
      <c r="C298" s="230" t="s">
        <v>135</v>
      </c>
      <c r="D298" s="230" t="s">
        <v>124</v>
      </c>
      <c r="E298" s="230" t="s">
        <v>198</v>
      </c>
      <c r="F298" s="230" t="s">
        <v>1017</v>
      </c>
      <c r="G298" s="230">
        <v>1694</v>
      </c>
      <c r="H298" s="230" t="s">
        <v>1018</v>
      </c>
      <c r="I298" s="230" t="s">
        <v>394</v>
      </c>
      <c r="J298" s="230" t="s">
        <v>3280</v>
      </c>
      <c r="K298" s="230" t="s">
        <v>213</v>
      </c>
      <c r="L298" s="230" t="s">
        <v>902</v>
      </c>
      <c r="M298" s="230" t="s">
        <v>3647</v>
      </c>
      <c r="N298" s="230" t="s">
        <v>408</v>
      </c>
      <c r="O298" s="158"/>
      <c r="P298" s="92"/>
      <c r="Q298" s="146"/>
      <c r="R298" s="92"/>
      <c r="S298" s="146"/>
      <c r="T298" s="92"/>
      <c r="U298" s="146"/>
      <c r="V298" s="92"/>
      <c r="W298" s="146"/>
      <c r="X298" s="92"/>
      <c r="Y298" s="146"/>
      <c r="Z298" s="186" t="str">
        <f t="shared" si="18"/>
        <v/>
      </c>
      <c r="AA298" s="217" t="b">
        <f t="shared" si="17"/>
        <v>0</v>
      </c>
      <c r="AB298" s="92"/>
      <c r="AC298" s="164" t="s">
        <v>6</v>
      </c>
      <c r="AD298" s="151" t="str">
        <f t="shared" si="19"/>
        <v>GUARULHOS</v>
      </c>
      <c r="AE298" s="96" t="s">
        <v>63</v>
      </c>
      <c r="AF298" s="53">
        <v>0.88039760711592341</v>
      </c>
      <c r="AG298" s="53" t="str" cm="1">
        <f t="array" ref="AG298">IF(OR(O298&lt;&gt;"", SUMPRODUCT(($AH$2:$AH$4999=AH298)*($AF$2:$AF$4999&lt;=AF298)) &lt;= (COUNTIF($AH$2:$AH$4999,AH298)*0.3)), "SORTEADO", "-")</f>
        <v>-</v>
      </c>
      <c r="AH298" s="257" t="str">
        <f t="shared" si="20"/>
        <v>13/04/2026</v>
      </c>
    </row>
    <row r="299" spans="1:34" ht="30" hidden="1" customHeight="1" x14ac:dyDescent="0.2">
      <c r="A299" s="230" t="s">
        <v>197</v>
      </c>
      <c r="B299" s="255">
        <v>2690385991</v>
      </c>
      <c r="C299" s="230" t="s">
        <v>127</v>
      </c>
      <c r="D299" s="230" t="s">
        <v>63</v>
      </c>
      <c r="E299" s="230" t="s">
        <v>198</v>
      </c>
      <c r="F299" s="230" t="s">
        <v>3648</v>
      </c>
      <c r="G299" s="230">
        <v>261</v>
      </c>
      <c r="H299" s="230" t="s">
        <v>3649</v>
      </c>
      <c r="I299" s="230" t="s">
        <v>667</v>
      </c>
      <c r="J299" s="230" t="s">
        <v>3275</v>
      </c>
      <c r="K299" s="230"/>
      <c r="L299" s="230" t="s">
        <v>902</v>
      </c>
      <c r="M299" s="230" t="s">
        <v>907</v>
      </c>
      <c r="N299" s="230" t="s">
        <v>819</v>
      </c>
      <c r="O299" s="158"/>
      <c r="P299" s="92"/>
      <c r="Q299" s="146"/>
      <c r="R299" s="92"/>
      <c r="S299" s="146"/>
      <c r="T299" s="92"/>
      <c r="U299" s="146"/>
      <c r="V299" s="92"/>
      <c r="W299" s="146"/>
      <c r="X299" s="92"/>
      <c r="Y299" s="146"/>
      <c r="Z299" s="186" t="str">
        <f t="shared" si="18"/>
        <v/>
      </c>
      <c r="AA299" s="217" t="b">
        <f t="shared" si="17"/>
        <v>0</v>
      </c>
      <c r="AB299" s="92"/>
      <c r="AC299" s="164" t="s">
        <v>6</v>
      </c>
      <c r="AD299" s="151" t="str">
        <f t="shared" si="19"/>
        <v>GUARULHOS</v>
      </c>
      <c r="AE299" s="96" t="s">
        <v>63</v>
      </c>
      <c r="AF299" s="53">
        <v>0.44315385320414419</v>
      </c>
      <c r="AG299" s="53" t="str" cm="1">
        <f t="array" ref="AG299">IF(OR(O299&lt;&gt;"", SUMPRODUCT(($AH$2:$AH$4999=AH299)*($AF$2:$AF$4999&lt;=AF299)) &lt;= (COUNTIF($AH$2:$AH$4999,AH299)*0.3)), "SORTEADO", "-")</f>
        <v>-</v>
      </c>
      <c r="AH299" s="257" t="str">
        <f t="shared" si="20"/>
        <v>13/04/2026</v>
      </c>
    </row>
    <row r="300" spans="1:34" ht="30" hidden="1" customHeight="1" x14ac:dyDescent="0.2">
      <c r="A300" s="230" t="s">
        <v>197</v>
      </c>
      <c r="B300" s="255">
        <v>2690387036</v>
      </c>
      <c r="C300" s="230" t="s">
        <v>127</v>
      </c>
      <c r="D300" s="230" t="s">
        <v>63</v>
      </c>
      <c r="E300" s="230" t="s">
        <v>198</v>
      </c>
      <c r="F300" s="230" t="s">
        <v>3650</v>
      </c>
      <c r="G300" s="230">
        <v>76</v>
      </c>
      <c r="H300" s="230" t="s">
        <v>3651</v>
      </c>
      <c r="I300" s="230" t="s">
        <v>200</v>
      </c>
      <c r="J300" s="230" t="s">
        <v>3275</v>
      </c>
      <c r="K300" s="230" t="s">
        <v>213</v>
      </c>
      <c r="L300" s="230" t="s">
        <v>902</v>
      </c>
      <c r="M300" s="230" t="s">
        <v>3652</v>
      </c>
      <c r="N300" s="230" t="s">
        <v>3276</v>
      </c>
      <c r="O300" s="158"/>
      <c r="P300" s="92"/>
      <c r="Q300" s="146"/>
      <c r="R300" s="92"/>
      <c r="S300" s="146"/>
      <c r="T300" s="92"/>
      <c r="U300" s="146"/>
      <c r="V300" s="92"/>
      <c r="W300" s="146"/>
      <c r="X300" s="92"/>
      <c r="Y300" s="146"/>
      <c r="Z300" s="186" t="str">
        <f t="shared" si="18"/>
        <v/>
      </c>
      <c r="AA300" s="217" t="b">
        <f t="shared" si="17"/>
        <v>0</v>
      </c>
      <c r="AB300" s="92"/>
      <c r="AC300" s="164" t="s">
        <v>6</v>
      </c>
      <c r="AD300" s="151" t="str">
        <f t="shared" si="19"/>
        <v>GUARULHOS</v>
      </c>
      <c r="AE300" s="96" t="s">
        <v>63</v>
      </c>
      <c r="AF300" s="53">
        <v>0.78295710058213497</v>
      </c>
      <c r="AG300" s="53" t="str" cm="1">
        <f t="array" ref="AG300">IF(OR(O300&lt;&gt;"", SUMPRODUCT(($AH$2:$AH$4999=AH300)*($AF$2:$AF$4999&lt;=AF300)) &lt;= (COUNTIF($AH$2:$AH$4999,AH300)*0.3)), "SORTEADO", "-")</f>
        <v>-</v>
      </c>
      <c r="AH300" s="257" t="str">
        <f t="shared" si="20"/>
        <v>13/04/2026</v>
      </c>
    </row>
    <row r="301" spans="1:34" ht="30" hidden="1" customHeight="1" x14ac:dyDescent="0.2">
      <c r="A301" s="230" t="s">
        <v>197</v>
      </c>
      <c r="B301" s="255">
        <v>2690384844</v>
      </c>
      <c r="C301" s="230" t="s">
        <v>133</v>
      </c>
      <c r="D301" s="230" t="s">
        <v>124</v>
      </c>
      <c r="E301" s="230" t="s">
        <v>198</v>
      </c>
      <c r="F301" s="230" t="s">
        <v>3653</v>
      </c>
      <c r="G301" s="230">
        <v>19</v>
      </c>
      <c r="H301" s="230" t="s">
        <v>3312</v>
      </c>
      <c r="I301" s="230" t="s">
        <v>664</v>
      </c>
      <c r="J301" s="230" t="s">
        <v>3275</v>
      </c>
      <c r="K301" s="230" t="s">
        <v>3363</v>
      </c>
      <c r="L301" s="230" t="s">
        <v>902</v>
      </c>
      <c r="M301" s="230" t="s">
        <v>3654</v>
      </c>
      <c r="N301" s="230" t="s">
        <v>3276</v>
      </c>
      <c r="O301" s="158"/>
      <c r="P301" s="92"/>
      <c r="Q301" s="146"/>
      <c r="R301" s="92"/>
      <c r="S301" s="146"/>
      <c r="T301" s="92"/>
      <c r="U301" s="146"/>
      <c r="V301" s="92"/>
      <c r="W301" s="146"/>
      <c r="X301" s="92"/>
      <c r="Y301" s="146"/>
      <c r="Z301" s="186" t="str">
        <f t="shared" si="18"/>
        <v/>
      </c>
      <c r="AA301" s="217" t="b">
        <f t="shared" si="17"/>
        <v>0</v>
      </c>
      <c r="AB301" s="92"/>
      <c r="AC301" s="164" t="s">
        <v>6</v>
      </c>
      <c r="AD301" s="151" t="str">
        <f t="shared" si="19"/>
        <v>GUARULHOS</v>
      </c>
      <c r="AE301" s="96" t="s">
        <v>63</v>
      </c>
      <c r="AF301" s="53">
        <v>0.44715205863345264</v>
      </c>
      <c r="AG301" s="53" t="str" cm="1">
        <f t="array" ref="AG301">IF(OR(O301&lt;&gt;"", SUMPRODUCT(($AH$2:$AH$4999=AH301)*($AF$2:$AF$4999&lt;=AF301)) &lt;= (COUNTIF($AH$2:$AH$4999,AH301)*0.3)), "SORTEADO", "-")</f>
        <v>-</v>
      </c>
      <c r="AH301" s="257" t="str">
        <f t="shared" si="20"/>
        <v>13/04/2026</v>
      </c>
    </row>
    <row r="302" spans="1:34" ht="30" customHeight="1" x14ac:dyDescent="0.2">
      <c r="A302" s="230" t="s">
        <v>197</v>
      </c>
      <c r="B302" s="255">
        <v>2615524274</v>
      </c>
      <c r="C302" s="230" t="s">
        <v>128</v>
      </c>
      <c r="D302" s="230" t="s">
        <v>124</v>
      </c>
      <c r="E302" s="230" t="s">
        <v>198</v>
      </c>
      <c r="F302" s="230" t="s">
        <v>3655</v>
      </c>
      <c r="G302" s="230">
        <v>153</v>
      </c>
      <c r="H302" s="230" t="s">
        <v>3656</v>
      </c>
      <c r="I302" s="230" t="s">
        <v>664</v>
      </c>
      <c r="J302" s="230" t="s">
        <v>3385</v>
      </c>
      <c r="K302" s="230" t="s">
        <v>3640</v>
      </c>
      <c r="L302" s="230" t="s">
        <v>902</v>
      </c>
      <c r="M302" s="230" t="s">
        <v>3657</v>
      </c>
      <c r="N302" s="230" t="s">
        <v>3276</v>
      </c>
      <c r="O302" s="158" t="s">
        <v>204</v>
      </c>
      <c r="P302" s="92"/>
      <c r="Q302" s="146" t="s">
        <v>204</v>
      </c>
      <c r="R302" s="92"/>
      <c r="S302" s="146" t="s">
        <v>204</v>
      </c>
      <c r="T302" s="92"/>
      <c r="U302" s="146" t="s">
        <v>204</v>
      </c>
      <c r="V302" s="92"/>
      <c r="W302" s="146" t="s">
        <v>204</v>
      </c>
      <c r="X302" s="92"/>
      <c r="Y302" s="146" t="s">
        <v>204</v>
      </c>
      <c r="Z302" s="186" t="str">
        <f t="shared" si="18"/>
        <v>C</v>
      </c>
      <c r="AA302" s="217" t="str">
        <f t="shared" si="17"/>
        <v>UTILIZOU O PDA CORRETAMENTE</v>
      </c>
      <c r="AB302" s="92" t="s">
        <v>204</v>
      </c>
      <c r="AC302" s="164" t="s">
        <v>6</v>
      </c>
      <c r="AD302" s="151" t="str">
        <f t="shared" si="19"/>
        <v>GUARULHOS</v>
      </c>
      <c r="AE302" s="96" t="s">
        <v>63</v>
      </c>
      <c r="AF302" s="53">
        <v>0.17632189355124037</v>
      </c>
      <c r="AG302" s="53" t="str" cm="1">
        <f t="array" ref="AG302">IF(OR(O302&lt;&gt;"", SUMPRODUCT(($AH$2:$AH$4999=AH302)*($AF$2:$AF$4999&lt;=AF302)) &lt;= (COUNTIF($AH$2:$AH$4999,AH302)*0.3)), "SORTEADO", "-")</f>
        <v>SORTEADO</v>
      </c>
      <c r="AH302" s="257" t="str">
        <f t="shared" si="20"/>
        <v>13/04/2026</v>
      </c>
    </row>
    <row r="303" spans="1:34" ht="30" hidden="1" customHeight="1" x14ac:dyDescent="0.2">
      <c r="A303" s="230" t="s">
        <v>197</v>
      </c>
      <c r="B303" s="255">
        <v>2615527984</v>
      </c>
      <c r="C303" s="230" t="s">
        <v>127</v>
      </c>
      <c r="D303" s="230" t="s">
        <v>63</v>
      </c>
      <c r="E303" s="230" t="s">
        <v>198</v>
      </c>
      <c r="F303" s="230" t="s">
        <v>966</v>
      </c>
      <c r="G303" s="230">
        <v>1097</v>
      </c>
      <c r="H303" s="230" t="s">
        <v>217</v>
      </c>
      <c r="I303" s="230" t="s">
        <v>588</v>
      </c>
      <c r="J303" s="230" t="s">
        <v>3275</v>
      </c>
      <c r="K303" s="230" t="s">
        <v>3640</v>
      </c>
      <c r="L303" s="230" t="s">
        <v>902</v>
      </c>
      <c r="M303" s="230" t="s">
        <v>3658</v>
      </c>
      <c r="N303" s="230" t="s">
        <v>3276</v>
      </c>
      <c r="O303" s="158"/>
      <c r="P303" s="92"/>
      <c r="Q303" s="146"/>
      <c r="R303" s="92"/>
      <c r="S303" s="146"/>
      <c r="T303" s="92"/>
      <c r="U303" s="146"/>
      <c r="V303" s="92"/>
      <c r="W303" s="146"/>
      <c r="X303" s="92"/>
      <c r="Y303" s="146"/>
      <c r="Z303" s="186" t="str">
        <f t="shared" si="18"/>
        <v/>
      </c>
      <c r="AA303" s="217" t="b">
        <f t="shared" si="17"/>
        <v>0</v>
      </c>
      <c r="AB303" s="92"/>
      <c r="AC303" s="164" t="s">
        <v>6</v>
      </c>
      <c r="AD303" s="151" t="str">
        <f t="shared" ref="AD303:AD326" si="21">E303</f>
        <v>GUARULHOS</v>
      </c>
      <c r="AE303" s="96" t="s">
        <v>63</v>
      </c>
      <c r="AF303" s="53">
        <v>0.61767180189158155</v>
      </c>
      <c r="AG303" s="53" t="str" cm="1">
        <f t="array" ref="AG303">IF(OR(O303&lt;&gt;"", SUMPRODUCT(($AH$2:$AH$4999=AH303)*($AF$2:$AF$4999&lt;=AF303)) &lt;= (COUNTIF($AH$2:$AH$4999,AH303)*0.3)), "SORTEADO", "-")</f>
        <v>-</v>
      </c>
      <c r="AH303" s="257" t="str">
        <f t="shared" si="20"/>
        <v>13/04/2026</v>
      </c>
    </row>
    <row r="304" spans="1:34" ht="30" customHeight="1" x14ac:dyDescent="0.2">
      <c r="A304" s="230" t="s">
        <v>197</v>
      </c>
      <c r="B304" s="255">
        <v>2690394149</v>
      </c>
      <c r="C304" s="230" t="s">
        <v>133</v>
      </c>
      <c r="D304" s="230" t="s">
        <v>124</v>
      </c>
      <c r="E304" s="230" t="s">
        <v>198</v>
      </c>
      <c r="F304" s="230" t="s">
        <v>3512</v>
      </c>
      <c r="G304" s="230">
        <v>92</v>
      </c>
      <c r="H304" s="230" t="s">
        <v>2537</v>
      </c>
      <c r="I304" s="230" t="s">
        <v>3513</v>
      </c>
      <c r="J304" s="230" t="s">
        <v>3275</v>
      </c>
      <c r="K304" s="230"/>
      <c r="L304" s="230" t="s">
        <v>902</v>
      </c>
      <c r="M304" s="230" t="s">
        <v>3659</v>
      </c>
      <c r="N304" s="230" t="s">
        <v>294</v>
      </c>
      <c r="O304" s="158" t="s">
        <v>204</v>
      </c>
      <c r="P304" s="92"/>
      <c r="Q304" s="146" t="s">
        <v>204</v>
      </c>
      <c r="R304" s="92"/>
      <c r="S304" s="146" t="s">
        <v>204</v>
      </c>
      <c r="T304" s="92"/>
      <c r="U304" s="146" t="s">
        <v>204</v>
      </c>
      <c r="V304" s="92"/>
      <c r="W304" s="146" t="s">
        <v>204</v>
      </c>
      <c r="X304" s="92"/>
      <c r="Y304" s="146" t="s">
        <v>204</v>
      </c>
      <c r="Z304" s="186" t="str">
        <f t="shared" si="18"/>
        <v>C</v>
      </c>
      <c r="AA304" s="217" t="str">
        <f t="shared" si="17"/>
        <v>UTILIZOU O PDA CORRETAMENTE</v>
      </c>
      <c r="AB304" s="92" t="s">
        <v>204</v>
      </c>
      <c r="AC304" s="164" t="s">
        <v>6</v>
      </c>
      <c r="AD304" s="151" t="str">
        <f t="shared" si="21"/>
        <v>GUARULHOS</v>
      </c>
      <c r="AE304" s="96" t="s">
        <v>63</v>
      </c>
      <c r="AF304" s="53">
        <v>5.3849565228232615E-2</v>
      </c>
      <c r="AG304" s="53" t="str" cm="1">
        <f t="array" ref="AG304">IF(OR(O304&lt;&gt;"", SUMPRODUCT(($AH$2:$AH$4999=AH304)*($AF$2:$AF$4999&lt;=AF304)) &lt;= (COUNTIF($AH$2:$AH$4999,AH304)*0.3)), "SORTEADO", "-")</f>
        <v>SORTEADO</v>
      </c>
      <c r="AH304" s="257" t="str">
        <f t="shared" si="20"/>
        <v>13/04/2026</v>
      </c>
    </row>
    <row r="305" spans="1:34" ht="30" hidden="1" customHeight="1" x14ac:dyDescent="0.2">
      <c r="A305" s="230" t="s">
        <v>197</v>
      </c>
      <c r="B305" s="255">
        <v>2690373591</v>
      </c>
      <c r="C305" s="230" t="s">
        <v>133</v>
      </c>
      <c r="D305" s="230" t="s">
        <v>124</v>
      </c>
      <c r="E305" s="230" t="s">
        <v>198</v>
      </c>
      <c r="F305" s="230" t="s">
        <v>3660</v>
      </c>
      <c r="G305" s="230">
        <v>52</v>
      </c>
      <c r="H305" s="230" t="s">
        <v>3661</v>
      </c>
      <c r="I305" s="230" t="s">
        <v>3662</v>
      </c>
      <c r="J305" s="230" t="s">
        <v>3275</v>
      </c>
      <c r="K305" s="230" t="s">
        <v>3663</v>
      </c>
      <c r="L305" s="230" t="s">
        <v>902</v>
      </c>
      <c r="M305" s="230" t="s">
        <v>3664</v>
      </c>
      <c r="N305" s="230" t="s">
        <v>3289</v>
      </c>
      <c r="O305" s="158"/>
      <c r="P305" s="92"/>
      <c r="Q305" s="146"/>
      <c r="R305" s="92"/>
      <c r="S305" s="146"/>
      <c r="T305" s="92"/>
      <c r="U305" s="146"/>
      <c r="V305" s="92"/>
      <c r="W305" s="146"/>
      <c r="X305" s="92"/>
      <c r="Y305" s="146"/>
      <c r="Z305" s="186" t="str">
        <f t="shared" si="18"/>
        <v/>
      </c>
      <c r="AA305" s="217" t="b">
        <f t="shared" si="17"/>
        <v>0</v>
      </c>
      <c r="AB305" s="92"/>
      <c r="AC305" s="164" t="s">
        <v>6</v>
      </c>
      <c r="AD305" s="151" t="str">
        <f t="shared" si="21"/>
        <v>GUARULHOS</v>
      </c>
      <c r="AE305" s="96" t="s">
        <v>63</v>
      </c>
      <c r="AF305" s="53">
        <v>0.97100364291592622</v>
      </c>
      <c r="AG305" s="53" t="str" cm="1">
        <f t="array" ref="AG305">IF(OR(O305&lt;&gt;"", SUMPRODUCT(($AH$2:$AH$4999=AH305)*($AF$2:$AF$4999&lt;=AF305)) &lt;= (COUNTIF($AH$2:$AH$4999,AH305)*0.3)), "SORTEADO", "-")</f>
        <v>-</v>
      </c>
      <c r="AH305" s="257" t="str">
        <f t="shared" si="20"/>
        <v>13/04/2026</v>
      </c>
    </row>
    <row r="306" spans="1:34" ht="30" hidden="1" customHeight="1" x14ac:dyDescent="0.2">
      <c r="A306" s="230" t="s">
        <v>197</v>
      </c>
      <c r="B306" s="255">
        <v>2690397720</v>
      </c>
      <c r="C306" s="230" t="s">
        <v>127</v>
      </c>
      <c r="D306" s="230" t="s">
        <v>63</v>
      </c>
      <c r="E306" s="230" t="s">
        <v>198</v>
      </c>
      <c r="F306" s="230" t="s">
        <v>3665</v>
      </c>
      <c r="G306" s="230">
        <v>54</v>
      </c>
      <c r="H306" s="230" t="s">
        <v>213</v>
      </c>
      <c r="I306" s="230" t="s">
        <v>3324</v>
      </c>
      <c r="J306" s="230" t="s">
        <v>3271</v>
      </c>
      <c r="K306" s="230" t="s">
        <v>213</v>
      </c>
      <c r="L306" s="230" t="s">
        <v>902</v>
      </c>
      <c r="M306" s="230" t="s">
        <v>3666</v>
      </c>
      <c r="N306" s="230" t="s">
        <v>1099</v>
      </c>
      <c r="O306" s="158"/>
      <c r="P306" s="92"/>
      <c r="Q306" s="146"/>
      <c r="R306" s="92"/>
      <c r="S306" s="146"/>
      <c r="T306" s="92"/>
      <c r="U306" s="146"/>
      <c r="V306" s="92"/>
      <c r="W306" s="146"/>
      <c r="X306" s="92"/>
      <c r="Y306" s="146"/>
      <c r="Z306" s="186" t="str">
        <f t="shared" si="18"/>
        <v/>
      </c>
      <c r="AA306" s="217" t="b">
        <f t="shared" si="17"/>
        <v>0</v>
      </c>
      <c r="AB306" s="92"/>
      <c r="AC306" s="164" t="s">
        <v>6</v>
      </c>
      <c r="AD306" s="151" t="str">
        <f t="shared" si="21"/>
        <v>GUARULHOS</v>
      </c>
      <c r="AE306" s="96" t="s">
        <v>63</v>
      </c>
      <c r="AF306" s="53">
        <v>0.5455250175666656</v>
      </c>
      <c r="AG306" s="53" t="str" cm="1">
        <f t="array" ref="AG306">IF(OR(O306&lt;&gt;"", SUMPRODUCT(($AH$2:$AH$4999=AH306)*($AF$2:$AF$4999&lt;=AF306)) &lt;= (COUNTIF($AH$2:$AH$4999,AH306)*0.3)), "SORTEADO", "-")</f>
        <v>-</v>
      </c>
      <c r="AH306" s="257" t="str">
        <f t="shared" si="20"/>
        <v>13/04/2026</v>
      </c>
    </row>
    <row r="307" spans="1:34" ht="30" hidden="1" customHeight="1" x14ac:dyDescent="0.2">
      <c r="A307" s="230" t="s">
        <v>197</v>
      </c>
      <c r="B307" s="230">
        <v>2690371597</v>
      </c>
      <c r="C307" s="230" t="s">
        <v>133</v>
      </c>
      <c r="D307" s="230" t="s">
        <v>124</v>
      </c>
      <c r="E307" s="230" t="s">
        <v>198</v>
      </c>
      <c r="F307" s="230" t="s">
        <v>319</v>
      </c>
      <c r="G307" s="230">
        <v>6</v>
      </c>
      <c r="H307" s="230" t="s">
        <v>206</v>
      </c>
      <c r="I307" s="230" t="s">
        <v>320</v>
      </c>
      <c r="J307" s="230" t="s">
        <v>3275</v>
      </c>
      <c r="K307" s="230" t="s">
        <v>3667</v>
      </c>
      <c r="L307" s="230" t="s">
        <v>902</v>
      </c>
      <c r="M307" s="230" t="s">
        <v>3668</v>
      </c>
      <c r="N307" s="230" t="s">
        <v>819</v>
      </c>
      <c r="O307" s="233" t="s">
        <v>61</v>
      </c>
      <c r="P307" s="169"/>
      <c r="Q307" s="144" t="s">
        <v>61</v>
      </c>
      <c r="R307" s="56"/>
      <c r="S307" s="144" t="s">
        <v>61</v>
      </c>
      <c r="T307" s="56"/>
      <c r="U307" s="144" t="s">
        <v>61</v>
      </c>
      <c r="V307" s="56"/>
      <c r="W307" s="144" t="s">
        <v>61</v>
      </c>
      <c r="X307" s="56"/>
      <c r="Y307" s="144" t="s">
        <v>61</v>
      </c>
      <c r="Z307" s="186" t="str">
        <f t="shared" si="18"/>
        <v>NA</v>
      </c>
      <c r="AA307" s="217" t="str">
        <f t="shared" si="17"/>
        <v>NÃO AVALIADO POR FALHA DE SINCRONISMO</v>
      </c>
      <c r="AB307" s="92" t="s">
        <v>204</v>
      </c>
      <c r="AC307" s="164" t="s">
        <v>6</v>
      </c>
      <c r="AD307" s="151" t="str">
        <f t="shared" si="21"/>
        <v>GUARULHOS</v>
      </c>
      <c r="AE307" s="96" t="s">
        <v>63</v>
      </c>
      <c r="AF307" s="53">
        <v>-6.1199999999999997E-2</v>
      </c>
      <c r="AG307" s="53" t="str" cm="1">
        <f t="array" ref="AG307">IF(OR(O307&lt;&gt;"", SUMPRODUCT(($AH$2:$AH$4999=AH307)*($AF$2:$AF$4999&lt;=AF307)) &lt;= (COUNTIF($AH$2:$AH$4999,AH307)*0.3)), "SORTEADO", "-")</f>
        <v>SORTEADO</v>
      </c>
      <c r="AH307" s="257" t="str">
        <f t="shared" si="20"/>
        <v>13/04/2026</v>
      </c>
    </row>
    <row r="308" spans="1:34" ht="30" hidden="1" customHeight="1" x14ac:dyDescent="0.2">
      <c r="A308" s="230" t="s">
        <v>197</v>
      </c>
      <c r="B308" s="255">
        <v>2690370977</v>
      </c>
      <c r="C308" s="230" t="s">
        <v>133</v>
      </c>
      <c r="D308" s="230" t="s">
        <v>124</v>
      </c>
      <c r="E308" s="230" t="s">
        <v>198</v>
      </c>
      <c r="F308" s="230" t="s">
        <v>3669</v>
      </c>
      <c r="G308" s="230">
        <v>5</v>
      </c>
      <c r="H308" s="230" t="s">
        <v>213</v>
      </c>
      <c r="I308" s="230" t="s">
        <v>253</v>
      </c>
      <c r="J308" s="230" t="s">
        <v>3275</v>
      </c>
      <c r="K308" s="230" t="s">
        <v>3670</v>
      </c>
      <c r="L308" s="230" t="s">
        <v>902</v>
      </c>
      <c r="M308" s="230" t="s">
        <v>939</v>
      </c>
      <c r="N308" s="230" t="s">
        <v>3276</v>
      </c>
      <c r="O308" s="158"/>
      <c r="P308" s="92"/>
      <c r="Q308" s="146"/>
      <c r="R308" s="92"/>
      <c r="S308" s="146"/>
      <c r="T308" s="92"/>
      <c r="U308" s="146"/>
      <c r="V308" s="92"/>
      <c r="W308" s="146"/>
      <c r="X308" s="92"/>
      <c r="Y308" s="146"/>
      <c r="Z308" s="186" t="str">
        <f t="shared" si="18"/>
        <v/>
      </c>
      <c r="AA308" s="217" t="b">
        <f t="shared" si="17"/>
        <v>0</v>
      </c>
      <c r="AB308" s="92"/>
      <c r="AC308" s="164" t="s">
        <v>6</v>
      </c>
      <c r="AD308" s="151" t="str">
        <f t="shared" si="21"/>
        <v>GUARULHOS</v>
      </c>
      <c r="AE308" s="96" t="s">
        <v>63</v>
      </c>
      <c r="AF308" s="53">
        <v>0.27805971176879785</v>
      </c>
      <c r="AG308" s="53" t="str" cm="1">
        <f t="array" ref="AG308">IF(OR(O308&lt;&gt;"", SUMPRODUCT(($AH$2:$AH$4999=AH308)*($AF$2:$AF$4999&lt;=AF308)) &lt;= (COUNTIF($AH$2:$AH$4999,AH308)*0.3)), "SORTEADO", "-")</f>
        <v>-</v>
      </c>
      <c r="AH308" s="257" t="str">
        <f t="shared" si="20"/>
        <v>13/04/2026</v>
      </c>
    </row>
    <row r="309" spans="1:34" ht="30" hidden="1" customHeight="1" x14ac:dyDescent="0.2">
      <c r="A309" s="230" t="s">
        <v>197</v>
      </c>
      <c r="B309" s="255">
        <v>2690377685</v>
      </c>
      <c r="C309" s="230" t="s">
        <v>133</v>
      </c>
      <c r="D309" s="230" t="s">
        <v>124</v>
      </c>
      <c r="E309" s="230" t="s">
        <v>198</v>
      </c>
      <c r="F309" s="230" t="s">
        <v>3570</v>
      </c>
      <c r="G309" s="230">
        <v>227</v>
      </c>
      <c r="H309" s="230" t="s">
        <v>276</v>
      </c>
      <c r="I309" s="230" t="s">
        <v>557</v>
      </c>
      <c r="J309" s="230" t="s">
        <v>3275</v>
      </c>
      <c r="K309" s="230" t="s">
        <v>3344</v>
      </c>
      <c r="L309" s="230" t="s">
        <v>902</v>
      </c>
      <c r="M309" s="230" t="s">
        <v>3671</v>
      </c>
      <c r="N309" s="230" t="s">
        <v>3289</v>
      </c>
      <c r="O309" s="158"/>
      <c r="P309" s="92"/>
      <c r="Q309" s="146"/>
      <c r="R309" s="92"/>
      <c r="S309" s="146"/>
      <c r="T309" s="92"/>
      <c r="U309" s="146"/>
      <c r="V309" s="92"/>
      <c r="W309" s="146"/>
      <c r="X309" s="92"/>
      <c r="Y309" s="146"/>
      <c r="Z309" s="186" t="str">
        <f t="shared" si="18"/>
        <v/>
      </c>
      <c r="AA309" s="217" t="b">
        <f t="shared" si="17"/>
        <v>0</v>
      </c>
      <c r="AB309" s="92"/>
      <c r="AC309" s="164" t="s">
        <v>6</v>
      </c>
      <c r="AD309" s="151" t="str">
        <f t="shared" si="21"/>
        <v>GUARULHOS</v>
      </c>
      <c r="AE309" s="96" t="s">
        <v>63</v>
      </c>
      <c r="AF309" s="53">
        <v>0.99520357733071085</v>
      </c>
      <c r="AG309" s="53" t="str" cm="1">
        <f t="array" ref="AG309">IF(OR(O309&lt;&gt;"", SUMPRODUCT(($AH$2:$AH$4999=AH309)*($AF$2:$AF$4999&lt;=AF309)) &lt;= (COUNTIF($AH$2:$AH$4999,AH309)*0.3)), "SORTEADO", "-")</f>
        <v>-</v>
      </c>
      <c r="AH309" s="257" t="str">
        <f t="shared" si="20"/>
        <v>13/04/2026</v>
      </c>
    </row>
    <row r="310" spans="1:34" ht="30" hidden="1" customHeight="1" x14ac:dyDescent="0.2">
      <c r="A310" s="230" t="s">
        <v>197</v>
      </c>
      <c r="B310" s="255">
        <v>2615497956</v>
      </c>
      <c r="C310" s="230" t="s">
        <v>135</v>
      </c>
      <c r="D310" s="230" t="s">
        <v>124</v>
      </c>
      <c r="E310" s="230" t="s">
        <v>198</v>
      </c>
      <c r="F310" s="230" t="s">
        <v>821</v>
      </c>
      <c r="G310" s="230">
        <v>717</v>
      </c>
      <c r="H310" s="230" t="s">
        <v>3672</v>
      </c>
      <c r="I310" s="230" t="s">
        <v>315</v>
      </c>
      <c r="J310" s="230" t="s">
        <v>3280</v>
      </c>
      <c r="K310" s="230" t="s">
        <v>3673</v>
      </c>
      <c r="L310" s="230" t="s">
        <v>902</v>
      </c>
      <c r="M310" s="230" t="s">
        <v>3674</v>
      </c>
      <c r="N310" s="230" t="s">
        <v>244</v>
      </c>
      <c r="O310" s="158"/>
      <c r="P310" s="92"/>
      <c r="Q310" s="146"/>
      <c r="R310" s="92"/>
      <c r="S310" s="146"/>
      <c r="T310" s="92"/>
      <c r="U310" s="146"/>
      <c r="V310" s="92"/>
      <c r="W310" s="146"/>
      <c r="X310" s="92"/>
      <c r="Y310" s="146"/>
      <c r="Z310" s="186" t="str">
        <f t="shared" si="18"/>
        <v/>
      </c>
      <c r="AA310" s="217" t="b">
        <f t="shared" si="17"/>
        <v>0</v>
      </c>
      <c r="AB310" s="92"/>
      <c r="AC310" s="164" t="s">
        <v>6</v>
      </c>
      <c r="AD310" s="151" t="str">
        <f t="shared" si="21"/>
        <v>GUARULHOS</v>
      </c>
      <c r="AE310" s="96" t="s">
        <v>63</v>
      </c>
      <c r="AF310" s="53">
        <v>0.41400649186457689</v>
      </c>
      <c r="AG310" s="53" t="str" cm="1">
        <f t="array" ref="AG310">IF(OR(O310&lt;&gt;"", SUMPRODUCT(($AH$2:$AH$4999=AH310)*($AF$2:$AF$4999&lt;=AF310)) &lt;= (COUNTIF($AH$2:$AH$4999,AH310)*0.3)), "SORTEADO", "-")</f>
        <v>-</v>
      </c>
      <c r="AH310" s="257" t="str">
        <f t="shared" si="20"/>
        <v>13/04/2026</v>
      </c>
    </row>
    <row r="311" spans="1:34" ht="30" customHeight="1" x14ac:dyDescent="0.2">
      <c r="A311" s="230" t="s">
        <v>197</v>
      </c>
      <c r="B311" s="255">
        <v>2615539108</v>
      </c>
      <c r="C311" s="230" t="s">
        <v>127</v>
      </c>
      <c r="D311" s="230" t="s">
        <v>63</v>
      </c>
      <c r="E311" s="230" t="s">
        <v>198</v>
      </c>
      <c r="F311" s="230" t="s">
        <v>908</v>
      </c>
      <c r="G311" s="230">
        <v>1115</v>
      </c>
      <c r="H311" s="230" t="s">
        <v>3675</v>
      </c>
      <c r="I311" s="230" t="s">
        <v>791</v>
      </c>
      <c r="J311" s="230" t="s">
        <v>3275</v>
      </c>
      <c r="K311" s="230"/>
      <c r="L311" s="230" t="s">
        <v>902</v>
      </c>
      <c r="M311" s="230" t="s">
        <v>3643</v>
      </c>
      <c r="N311" s="230" t="s">
        <v>3296</v>
      </c>
      <c r="O311" s="158" t="s">
        <v>204</v>
      </c>
      <c r="P311" s="92"/>
      <c r="Q311" s="146" t="s">
        <v>204</v>
      </c>
      <c r="R311" s="92"/>
      <c r="S311" s="146"/>
      <c r="T311" s="92"/>
      <c r="U311" s="146" t="s">
        <v>204</v>
      </c>
      <c r="V311" s="92"/>
      <c r="W311" s="146" t="s">
        <v>204</v>
      </c>
      <c r="X311" s="92"/>
      <c r="Y311" s="146" t="s">
        <v>204</v>
      </c>
      <c r="Z311" s="186" t="str">
        <f t="shared" si="18"/>
        <v>C</v>
      </c>
      <c r="AA311" s="217" t="str">
        <f t="shared" si="17"/>
        <v>UTILIZOU O PDA CORRETAMENTE</v>
      </c>
      <c r="AB311" s="92" t="s">
        <v>204</v>
      </c>
      <c r="AC311" s="164" t="s">
        <v>6</v>
      </c>
      <c r="AD311" s="151" t="str">
        <f t="shared" si="21"/>
        <v>GUARULHOS</v>
      </c>
      <c r="AE311" s="96" t="s">
        <v>63</v>
      </c>
      <c r="AF311" s="53">
        <v>0.15406520087383863</v>
      </c>
      <c r="AG311" s="53" t="str" cm="1">
        <f t="array" ref="AG311">IF(OR(O311&lt;&gt;"", SUMPRODUCT(($AH$2:$AH$4999=AH311)*($AF$2:$AF$4999&lt;=AF311)) &lt;= (COUNTIF($AH$2:$AH$4999,AH311)*0.3)), "SORTEADO", "-")</f>
        <v>SORTEADO</v>
      </c>
      <c r="AH311" s="257" t="str">
        <f t="shared" si="20"/>
        <v>13/04/2026</v>
      </c>
    </row>
    <row r="312" spans="1:34" ht="30" hidden="1" customHeight="1" x14ac:dyDescent="0.2">
      <c r="A312" s="230" t="s">
        <v>197</v>
      </c>
      <c r="B312" s="255">
        <v>2690426559</v>
      </c>
      <c r="C312" s="230" t="s">
        <v>127</v>
      </c>
      <c r="D312" s="230" t="s">
        <v>63</v>
      </c>
      <c r="E312" s="230" t="s">
        <v>198</v>
      </c>
      <c r="F312" s="230" t="s">
        <v>911</v>
      </c>
      <c r="G312" s="230">
        <v>94</v>
      </c>
      <c r="H312" s="230" t="s">
        <v>3676</v>
      </c>
      <c r="I312" s="230" t="s">
        <v>791</v>
      </c>
      <c r="J312" s="230" t="s">
        <v>3275</v>
      </c>
      <c r="K312" s="230" t="s">
        <v>213</v>
      </c>
      <c r="L312" s="230" t="s">
        <v>902</v>
      </c>
      <c r="M312" s="230" t="s">
        <v>3677</v>
      </c>
      <c r="N312" s="230" t="s">
        <v>3296</v>
      </c>
      <c r="O312" s="158"/>
      <c r="P312" s="92"/>
      <c r="Q312" s="146"/>
      <c r="R312" s="92"/>
      <c r="S312" s="146"/>
      <c r="T312" s="92"/>
      <c r="U312" s="146"/>
      <c r="V312" s="92"/>
      <c r="W312" s="146"/>
      <c r="X312" s="92"/>
      <c r="Y312" s="146"/>
      <c r="Z312" s="186" t="str">
        <f t="shared" si="18"/>
        <v/>
      </c>
      <c r="AA312" s="217" t="b">
        <f t="shared" si="17"/>
        <v>0</v>
      </c>
      <c r="AB312" s="92"/>
      <c r="AC312" s="164" t="s">
        <v>6</v>
      </c>
      <c r="AD312" s="151" t="str">
        <f t="shared" si="21"/>
        <v>GUARULHOS</v>
      </c>
      <c r="AE312" s="96" t="s">
        <v>63</v>
      </c>
      <c r="AF312" s="53">
        <v>0.96562095201944986</v>
      </c>
      <c r="AG312" s="53" t="str" cm="1">
        <f t="array" ref="AG312">IF(OR(O312&lt;&gt;"", SUMPRODUCT(($AH$2:$AH$4999=AH312)*($AF$2:$AF$4999&lt;=AF312)) &lt;= (COUNTIF($AH$2:$AH$4999,AH312)*0.3)), "SORTEADO", "-")</f>
        <v>-</v>
      </c>
      <c r="AH312" s="257" t="str">
        <f t="shared" si="20"/>
        <v>13/04/2026</v>
      </c>
    </row>
    <row r="313" spans="1:34" ht="30" hidden="1" customHeight="1" x14ac:dyDescent="0.2">
      <c r="A313" s="230" t="s">
        <v>197</v>
      </c>
      <c r="B313" s="255">
        <v>2690418033</v>
      </c>
      <c r="C313" s="230" t="s">
        <v>127</v>
      </c>
      <c r="D313" s="230" t="s">
        <v>63</v>
      </c>
      <c r="E313" s="230" t="s">
        <v>198</v>
      </c>
      <c r="F313" s="230" t="s">
        <v>1344</v>
      </c>
      <c r="G313" s="230">
        <v>104</v>
      </c>
      <c r="H313" s="230" t="s">
        <v>213</v>
      </c>
      <c r="I313" s="230" t="s">
        <v>447</v>
      </c>
      <c r="J313" s="230" t="s">
        <v>3275</v>
      </c>
      <c r="K313" s="230" t="s">
        <v>213</v>
      </c>
      <c r="L313" s="230" t="s">
        <v>902</v>
      </c>
      <c r="M313" s="230" t="s">
        <v>3678</v>
      </c>
      <c r="N313" s="230" t="s">
        <v>819</v>
      </c>
      <c r="O313" s="158"/>
      <c r="P313" s="92"/>
      <c r="Q313" s="146"/>
      <c r="R313" s="92"/>
      <c r="S313" s="146"/>
      <c r="T313" s="92"/>
      <c r="U313" s="146"/>
      <c r="V313" s="92"/>
      <c r="W313" s="146"/>
      <c r="X313" s="92"/>
      <c r="Y313" s="146"/>
      <c r="Z313" s="186" t="str">
        <f t="shared" si="18"/>
        <v/>
      </c>
      <c r="AA313" s="217" t="b">
        <f t="shared" si="17"/>
        <v>0</v>
      </c>
      <c r="AB313" s="92"/>
      <c r="AC313" s="164" t="s">
        <v>6</v>
      </c>
      <c r="AD313" s="151" t="str">
        <f t="shared" si="21"/>
        <v>GUARULHOS</v>
      </c>
      <c r="AE313" s="96" t="s">
        <v>63</v>
      </c>
      <c r="AF313" s="53">
        <v>0.9291232027529075</v>
      </c>
      <c r="AG313" s="53" t="str" cm="1">
        <f t="array" ref="AG313">IF(OR(O313&lt;&gt;"", SUMPRODUCT(($AH$2:$AH$4999=AH313)*($AF$2:$AF$4999&lt;=AF313)) &lt;= (COUNTIF($AH$2:$AH$4999,AH313)*0.3)), "SORTEADO", "-")</f>
        <v>-</v>
      </c>
      <c r="AH313" s="257" t="str">
        <f t="shared" si="20"/>
        <v>13/04/2026</v>
      </c>
    </row>
    <row r="314" spans="1:34" ht="30" hidden="1" customHeight="1" x14ac:dyDescent="0.2">
      <c r="A314" s="230" t="s">
        <v>197</v>
      </c>
      <c r="B314" s="255">
        <v>2690413383</v>
      </c>
      <c r="C314" s="230" t="s">
        <v>127</v>
      </c>
      <c r="D314" s="230" t="s">
        <v>63</v>
      </c>
      <c r="E314" s="230" t="s">
        <v>198</v>
      </c>
      <c r="F314" s="230" t="s">
        <v>3679</v>
      </c>
      <c r="G314" s="230">
        <v>44</v>
      </c>
      <c r="H314" s="230" t="s">
        <v>3680</v>
      </c>
      <c r="I314" s="230" t="s">
        <v>588</v>
      </c>
      <c r="J314" s="230" t="s">
        <v>3275</v>
      </c>
      <c r="K314" s="230" t="s">
        <v>3640</v>
      </c>
      <c r="L314" s="230" t="s">
        <v>902</v>
      </c>
      <c r="M314" s="230" t="s">
        <v>1004</v>
      </c>
      <c r="N314" s="230" t="s">
        <v>3276</v>
      </c>
      <c r="O314" s="158"/>
      <c r="P314" s="92"/>
      <c r="Q314" s="146"/>
      <c r="R314" s="92"/>
      <c r="S314" s="146"/>
      <c r="T314" s="92"/>
      <c r="U314" s="146"/>
      <c r="V314" s="92"/>
      <c r="W314" s="146"/>
      <c r="X314" s="92"/>
      <c r="Y314" s="146"/>
      <c r="Z314" s="186" t="str">
        <f t="shared" si="18"/>
        <v/>
      </c>
      <c r="AA314" s="217" t="b">
        <f t="shared" si="17"/>
        <v>0</v>
      </c>
      <c r="AB314" s="92"/>
      <c r="AC314" s="164" t="s">
        <v>6</v>
      </c>
      <c r="AD314" s="151" t="str">
        <f t="shared" si="21"/>
        <v>GUARULHOS</v>
      </c>
      <c r="AE314" s="96" t="s">
        <v>63</v>
      </c>
      <c r="AF314" s="53">
        <v>0.96865318172879211</v>
      </c>
      <c r="AG314" s="53" t="str" cm="1">
        <f t="array" ref="AG314">IF(OR(O314&lt;&gt;"", SUMPRODUCT(($AH$2:$AH$4999=AH314)*($AF$2:$AF$4999&lt;=AF314)) &lt;= (COUNTIF($AH$2:$AH$4999,AH314)*0.3)), "SORTEADO", "-")</f>
        <v>-</v>
      </c>
      <c r="AH314" s="257" t="str">
        <f t="shared" si="20"/>
        <v>13/04/2026</v>
      </c>
    </row>
    <row r="315" spans="1:34" ht="30" customHeight="1" x14ac:dyDescent="0.2">
      <c r="A315" s="230" t="s">
        <v>197</v>
      </c>
      <c r="B315" s="255">
        <v>2690410413</v>
      </c>
      <c r="C315" s="230" t="s">
        <v>127</v>
      </c>
      <c r="D315" s="230" t="s">
        <v>63</v>
      </c>
      <c r="E315" s="230" t="s">
        <v>198</v>
      </c>
      <c r="F315" s="230" t="s">
        <v>3681</v>
      </c>
      <c r="G315" s="230">
        <v>98</v>
      </c>
      <c r="H315" s="230" t="s">
        <v>3589</v>
      </c>
      <c r="I315" s="230" t="s">
        <v>394</v>
      </c>
      <c r="J315" s="230" t="s">
        <v>3275</v>
      </c>
      <c r="K315" s="230" t="s">
        <v>213</v>
      </c>
      <c r="L315" s="230" t="s">
        <v>902</v>
      </c>
      <c r="M315" s="230" t="s">
        <v>3682</v>
      </c>
      <c r="N315" s="230" t="s">
        <v>294</v>
      </c>
      <c r="O315" s="158" t="s">
        <v>204</v>
      </c>
      <c r="P315" s="92"/>
      <c r="Q315" s="146" t="s">
        <v>204</v>
      </c>
      <c r="R315" s="92"/>
      <c r="S315" s="146"/>
      <c r="T315" s="92"/>
      <c r="U315" s="146" t="s">
        <v>204</v>
      </c>
      <c r="V315" s="92"/>
      <c r="W315" s="146" t="s">
        <v>204</v>
      </c>
      <c r="X315" s="92"/>
      <c r="Y315" s="146" t="s">
        <v>204</v>
      </c>
      <c r="Z315" s="186" t="str">
        <f t="shared" si="18"/>
        <v>C</v>
      </c>
      <c r="AA315" s="217" t="str">
        <f t="shared" si="17"/>
        <v>UTILIZOU O PDA CORRETAMENTE</v>
      </c>
      <c r="AB315" s="92" t="s">
        <v>204</v>
      </c>
      <c r="AC315" s="164" t="s">
        <v>6</v>
      </c>
      <c r="AD315" s="151" t="str">
        <f t="shared" si="21"/>
        <v>GUARULHOS</v>
      </c>
      <c r="AE315" s="96" t="s">
        <v>63</v>
      </c>
      <c r="AF315" s="53">
        <v>0.10540183125781104</v>
      </c>
      <c r="AG315" s="53" t="str" cm="1">
        <f t="array" ref="AG315">IF(OR(O315&lt;&gt;"", SUMPRODUCT(($AH$2:$AH$4999=AH315)*($AF$2:$AF$4999&lt;=AF315)) &lt;= (COUNTIF($AH$2:$AH$4999,AH315)*0.3)), "SORTEADO", "-")</f>
        <v>SORTEADO</v>
      </c>
      <c r="AH315" s="257" t="str">
        <f t="shared" si="20"/>
        <v>13/04/2026</v>
      </c>
    </row>
    <row r="316" spans="1:34" ht="30" hidden="1" customHeight="1" x14ac:dyDescent="0.2">
      <c r="A316" s="230" t="s">
        <v>197</v>
      </c>
      <c r="B316" s="255">
        <v>2615523297</v>
      </c>
      <c r="C316" s="230" t="s">
        <v>133</v>
      </c>
      <c r="D316" s="230" t="s">
        <v>124</v>
      </c>
      <c r="E316" s="230" t="s">
        <v>198</v>
      </c>
      <c r="F316" s="230" t="s">
        <v>3683</v>
      </c>
      <c r="G316" s="230">
        <v>592</v>
      </c>
      <c r="H316" s="230" t="s">
        <v>1908</v>
      </c>
      <c r="I316" s="230" t="s">
        <v>557</v>
      </c>
      <c r="J316" s="230" t="s">
        <v>3275</v>
      </c>
      <c r="K316" s="230" t="s">
        <v>3684</v>
      </c>
      <c r="L316" s="230" t="s">
        <v>902</v>
      </c>
      <c r="M316" s="230" t="s">
        <v>3685</v>
      </c>
      <c r="N316" s="230" t="s">
        <v>3289</v>
      </c>
      <c r="O316" s="158"/>
      <c r="P316" s="92"/>
      <c r="Q316" s="146"/>
      <c r="R316" s="92"/>
      <c r="S316" s="146"/>
      <c r="T316" s="92"/>
      <c r="U316" s="146"/>
      <c r="V316" s="92"/>
      <c r="W316" s="146"/>
      <c r="X316" s="92"/>
      <c r="Y316" s="146"/>
      <c r="Z316" s="186" t="str">
        <f t="shared" si="18"/>
        <v/>
      </c>
      <c r="AA316" s="217" t="b">
        <f t="shared" si="17"/>
        <v>0</v>
      </c>
      <c r="AB316" s="92"/>
      <c r="AC316" s="164" t="s">
        <v>6</v>
      </c>
      <c r="AD316" s="151" t="str">
        <f t="shared" si="21"/>
        <v>GUARULHOS</v>
      </c>
      <c r="AE316" s="96" t="s">
        <v>63</v>
      </c>
      <c r="AF316" s="53">
        <v>0.99636575086069279</v>
      </c>
      <c r="AG316" s="53" t="str" cm="1">
        <f t="array" ref="AG316">IF(OR(O316&lt;&gt;"", SUMPRODUCT(($AH$2:$AH$4999=AH316)*($AF$2:$AF$4999&lt;=AF316)) &lt;= (COUNTIF($AH$2:$AH$4999,AH316)*0.3)), "SORTEADO", "-")</f>
        <v>-</v>
      </c>
      <c r="AH316" s="257" t="str">
        <f t="shared" si="20"/>
        <v>13/04/2026</v>
      </c>
    </row>
    <row r="317" spans="1:34" ht="30" customHeight="1" x14ac:dyDescent="0.2">
      <c r="A317" s="230" t="s">
        <v>197</v>
      </c>
      <c r="B317" s="255">
        <v>2690432602</v>
      </c>
      <c r="C317" s="230" t="s">
        <v>127</v>
      </c>
      <c r="D317" s="230" t="s">
        <v>63</v>
      </c>
      <c r="E317" s="230" t="s">
        <v>198</v>
      </c>
      <c r="F317" s="230" t="s">
        <v>2351</v>
      </c>
      <c r="G317" s="230">
        <v>395</v>
      </c>
      <c r="H317" s="230" t="s">
        <v>3686</v>
      </c>
      <c r="I317" s="230" t="s">
        <v>253</v>
      </c>
      <c r="J317" s="230" t="s">
        <v>3275</v>
      </c>
      <c r="K317" s="230" t="s">
        <v>3687</v>
      </c>
      <c r="L317" s="230" t="s">
        <v>902</v>
      </c>
      <c r="M317" s="230" t="s">
        <v>3688</v>
      </c>
      <c r="N317" s="230" t="s">
        <v>3276</v>
      </c>
      <c r="O317" s="158" t="s">
        <v>204</v>
      </c>
      <c r="P317" s="92"/>
      <c r="Q317" s="146" t="s">
        <v>204</v>
      </c>
      <c r="R317" s="92"/>
      <c r="S317" s="146"/>
      <c r="T317" s="92"/>
      <c r="U317" s="146" t="s">
        <v>204</v>
      </c>
      <c r="V317" s="92"/>
      <c r="W317" s="146" t="s">
        <v>204</v>
      </c>
      <c r="X317" s="92"/>
      <c r="Y317" s="146" t="s">
        <v>204</v>
      </c>
      <c r="Z317" s="186" t="str">
        <f t="shared" si="18"/>
        <v>C</v>
      </c>
      <c r="AA317" s="217" t="str">
        <f t="shared" si="17"/>
        <v>UTILIZOU O PDA CORRETAMENTE</v>
      </c>
      <c r="AB317" s="92" t="s">
        <v>204</v>
      </c>
      <c r="AC317" s="164" t="s">
        <v>6</v>
      </c>
      <c r="AD317" s="151" t="str">
        <f t="shared" si="21"/>
        <v>GUARULHOS</v>
      </c>
      <c r="AE317" s="96" t="s">
        <v>63</v>
      </c>
      <c r="AF317" s="53">
        <v>0.22380033222034146</v>
      </c>
      <c r="AG317" s="53" t="str" cm="1">
        <f t="array" ref="AG317">IF(OR(O317&lt;&gt;"", SUMPRODUCT(($AH$2:$AH$4999=AH317)*($AF$2:$AF$4999&lt;=AF317)) &lt;= (COUNTIF($AH$2:$AH$4999,AH317)*0.3)), "SORTEADO", "-")</f>
        <v>SORTEADO</v>
      </c>
      <c r="AH317" s="257" t="str">
        <f t="shared" si="20"/>
        <v>13/04/2026</v>
      </c>
    </row>
    <row r="318" spans="1:34" ht="30" hidden="1" customHeight="1" x14ac:dyDescent="0.2">
      <c r="A318" s="230" t="s">
        <v>197</v>
      </c>
      <c r="B318" s="255">
        <v>2690396838</v>
      </c>
      <c r="C318" s="230" t="s">
        <v>133</v>
      </c>
      <c r="D318" s="230" t="s">
        <v>124</v>
      </c>
      <c r="E318" s="230" t="s">
        <v>198</v>
      </c>
      <c r="F318" s="230" t="s">
        <v>3689</v>
      </c>
      <c r="G318" s="230">
        <v>64</v>
      </c>
      <c r="H318" s="230" t="s">
        <v>3690</v>
      </c>
      <c r="I318" s="230" t="s">
        <v>923</v>
      </c>
      <c r="J318" s="230" t="s">
        <v>3275</v>
      </c>
      <c r="K318" s="237" t="s">
        <v>3691</v>
      </c>
      <c r="L318" s="230" t="s">
        <v>902</v>
      </c>
      <c r="M318" s="230" t="s">
        <v>3692</v>
      </c>
      <c r="N318" s="230" t="s">
        <v>432</v>
      </c>
      <c r="O318" s="158"/>
      <c r="P318" s="92"/>
      <c r="Q318" s="146"/>
      <c r="R318" s="92"/>
      <c r="S318" s="146"/>
      <c r="T318" s="92"/>
      <c r="U318" s="146"/>
      <c r="V318" s="92"/>
      <c r="W318" s="146"/>
      <c r="X318" s="92"/>
      <c r="Y318" s="146"/>
      <c r="Z318" s="186" t="str">
        <f t="shared" si="18"/>
        <v/>
      </c>
      <c r="AA318" s="217" t="b">
        <f t="shared" si="17"/>
        <v>0</v>
      </c>
      <c r="AB318" s="92"/>
      <c r="AC318" s="164" t="s">
        <v>6</v>
      </c>
      <c r="AD318" s="151" t="str">
        <f t="shared" si="21"/>
        <v>GUARULHOS</v>
      </c>
      <c r="AE318" s="96" t="s">
        <v>63</v>
      </c>
      <c r="AF318" s="53">
        <v>0.61857680902601098</v>
      </c>
      <c r="AG318" s="53" t="str" cm="1">
        <f t="array" ref="AG318">IF(OR(O318&lt;&gt;"", SUMPRODUCT(($AH$2:$AH$4999=AH318)*($AF$2:$AF$4999&lt;=AF318)) &lt;= (COUNTIF($AH$2:$AH$4999,AH318)*0.3)), "SORTEADO", "-")</f>
        <v>-</v>
      </c>
      <c r="AH318" s="257" t="str">
        <f t="shared" si="20"/>
        <v>13/04/2026</v>
      </c>
    </row>
    <row r="319" spans="1:34" ht="30" customHeight="1" x14ac:dyDescent="0.2">
      <c r="A319" s="230" t="s">
        <v>197</v>
      </c>
      <c r="B319" s="255">
        <v>2690367107</v>
      </c>
      <c r="C319" s="230" t="s">
        <v>135</v>
      </c>
      <c r="D319" s="230" t="s">
        <v>124</v>
      </c>
      <c r="E319" s="230" t="s">
        <v>198</v>
      </c>
      <c r="F319" s="230" t="s">
        <v>995</v>
      </c>
      <c r="G319" s="230">
        <v>143</v>
      </c>
      <c r="H319" s="230" t="s">
        <v>996</v>
      </c>
      <c r="I319" s="230" t="s">
        <v>997</v>
      </c>
      <c r="J319" s="230" t="s">
        <v>3280</v>
      </c>
      <c r="K319" s="230" t="s">
        <v>998</v>
      </c>
      <c r="L319" s="230" t="s">
        <v>902</v>
      </c>
      <c r="M319" s="230" t="s">
        <v>3693</v>
      </c>
      <c r="N319" s="230" t="s">
        <v>271</v>
      </c>
      <c r="O319" s="158" t="s">
        <v>204</v>
      </c>
      <c r="P319" s="92"/>
      <c r="Q319" s="146" t="s">
        <v>204</v>
      </c>
      <c r="R319" s="92"/>
      <c r="S319" s="146"/>
      <c r="T319" s="92"/>
      <c r="U319" s="146" t="s">
        <v>204</v>
      </c>
      <c r="V319" s="92"/>
      <c r="W319" s="146" t="s">
        <v>204</v>
      </c>
      <c r="X319" s="92"/>
      <c r="Y319" s="146" t="s">
        <v>204</v>
      </c>
      <c r="Z319" s="186" t="str">
        <f t="shared" si="18"/>
        <v>C</v>
      </c>
      <c r="AA319" s="217" t="str">
        <f t="shared" si="17"/>
        <v>UTILIZOU O PDA CORRETAMENTE</v>
      </c>
      <c r="AB319" s="92" t="s">
        <v>204</v>
      </c>
      <c r="AC319" s="164" t="s">
        <v>6</v>
      </c>
      <c r="AD319" s="151" t="str">
        <f t="shared" si="21"/>
        <v>GUARULHOS</v>
      </c>
      <c r="AE319" s="96" t="s">
        <v>63</v>
      </c>
      <c r="AF319" s="53">
        <v>0.14849683649369677</v>
      </c>
      <c r="AG319" s="53" t="str" cm="1">
        <f t="array" ref="AG319">IF(OR(O319&lt;&gt;"", SUMPRODUCT(($AH$2:$AH$4999=AH319)*($AF$2:$AF$4999&lt;=AF319)) &lt;= (COUNTIF($AH$2:$AH$4999,AH319)*0.3)), "SORTEADO", "-")</f>
        <v>SORTEADO</v>
      </c>
      <c r="AH319" s="257" t="str">
        <f t="shared" si="20"/>
        <v>13/04/2026</v>
      </c>
    </row>
    <row r="320" spans="1:34" ht="30" hidden="1" customHeight="1" x14ac:dyDescent="0.2">
      <c r="A320" s="230" t="s">
        <v>197</v>
      </c>
      <c r="B320" s="255">
        <v>2690400508</v>
      </c>
      <c r="C320" s="230" t="s">
        <v>133</v>
      </c>
      <c r="D320" s="230" t="s">
        <v>124</v>
      </c>
      <c r="E320" s="230" t="s">
        <v>198</v>
      </c>
      <c r="F320" s="230" t="s">
        <v>3025</v>
      </c>
      <c r="G320" s="230">
        <v>484</v>
      </c>
      <c r="H320" s="230" t="s">
        <v>235</v>
      </c>
      <c r="I320" s="230" t="s">
        <v>1546</v>
      </c>
      <c r="J320" s="230" t="s">
        <v>3275</v>
      </c>
      <c r="K320" s="230" t="s">
        <v>3303</v>
      </c>
      <c r="L320" s="230" t="s">
        <v>902</v>
      </c>
      <c r="M320" s="230" t="s">
        <v>3694</v>
      </c>
      <c r="N320" s="230" t="s">
        <v>819</v>
      </c>
      <c r="O320" s="158"/>
      <c r="P320" s="92"/>
      <c r="Q320" s="146"/>
      <c r="R320" s="92"/>
      <c r="S320" s="146"/>
      <c r="T320" s="92"/>
      <c r="U320" s="146"/>
      <c r="V320" s="92"/>
      <c r="W320" s="146"/>
      <c r="X320" s="92"/>
      <c r="Y320" s="146"/>
      <c r="Z320" s="186" t="str">
        <f t="shared" si="18"/>
        <v/>
      </c>
      <c r="AA320" s="217" t="b">
        <f t="shared" si="17"/>
        <v>0</v>
      </c>
      <c r="AB320" s="92"/>
      <c r="AC320" s="164" t="s">
        <v>6</v>
      </c>
      <c r="AD320" s="151" t="str">
        <f t="shared" si="21"/>
        <v>GUARULHOS</v>
      </c>
      <c r="AE320" s="96" t="s">
        <v>63</v>
      </c>
      <c r="AF320" s="53">
        <v>0.56973724552905791</v>
      </c>
      <c r="AG320" s="53" t="str" cm="1">
        <f t="array" ref="AG320">IF(OR(O320&lt;&gt;"", SUMPRODUCT(($AH$2:$AH$4999=AH320)*($AF$2:$AF$4999&lt;=AF320)) &lt;= (COUNTIF($AH$2:$AH$4999,AH320)*0.3)), "SORTEADO", "-")</f>
        <v>-</v>
      </c>
      <c r="AH320" s="257" t="str">
        <f t="shared" si="20"/>
        <v>13/04/2026</v>
      </c>
    </row>
    <row r="321" spans="1:34" ht="30" hidden="1" customHeight="1" x14ac:dyDescent="0.2">
      <c r="A321" s="230" t="s">
        <v>197</v>
      </c>
      <c r="B321" s="255">
        <v>2690390984</v>
      </c>
      <c r="C321" s="230" t="s">
        <v>133</v>
      </c>
      <c r="D321" s="230" t="s">
        <v>124</v>
      </c>
      <c r="E321" s="230" t="s">
        <v>198</v>
      </c>
      <c r="F321" s="230" t="s">
        <v>2039</v>
      </c>
      <c r="G321" s="230">
        <v>83</v>
      </c>
      <c r="H321" s="230" t="s">
        <v>213</v>
      </c>
      <c r="I321" s="230" t="s">
        <v>775</v>
      </c>
      <c r="J321" s="230" t="s">
        <v>3275</v>
      </c>
      <c r="K321" s="230" t="s">
        <v>3541</v>
      </c>
      <c r="L321" s="230" t="s">
        <v>902</v>
      </c>
      <c r="M321" s="230" t="s">
        <v>3695</v>
      </c>
      <c r="N321" s="230" t="s">
        <v>3289</v>
      </c>
      <c r="O321" s="158"/>
      <c r="P321" s="92"/>
      <c r="Q321" s="146"/>
      <c r="R321" s="92"/>
      <c r="S321" s="146"/>
      <c r="T321" s="92"/>
      <c r="U321" s="146"/>
      <c r="V321" s="92"/>
      <c r="W321" s="146"/>
      <c r="X321" s="92"/>
      <c r="Y321" s="146"/>
      <c r="Z321" s="186" t="str">
        <f t="shared" si="18"/>
        <v/>
      </c>
      <c r="AA321" s="217" t="b">
        <f t="shared" ref="AA321:AA384" si="22">IF(AND(Y321="C",Z321="C"),"UTILIZOU O PDA CORRETAMENTE",IF(AND(Y321="C",Z321="NC"),"UTILIZOU O PDA CORRETAMENTE. NÃO HÁ FOTOS DE TODAS AS ETAPAS",IF(AND(Y321="NC",Z321="NC"),"NÃO UTILIZOU O PDA",IF(AND(Y321="NA",Z321="NA"),"NÃO AVALIADO POR FALHA DE SINCRONISMO"))))</f>
        <v>0</v>
      </c>
      <c r="AB321" s="92"/>
      <c r="AC321" s="164" t="s">
        <v>6</v>
      </c>
      <c r="AD321" s="151" t="str">
        <f t="shared" si="21"/>
        <v>GUARULHOS</v>
      </c>
      <c r="AE321" s="96" t="s">
        <v>63</v>
      </c>
      <c r="AF321" s="53">
        <v>0.28192161002219662</v>
      </c>
      <c r="AG321" s="53" t="str" cm="1">
        <f t="array" ref="AG321">IF(OR(O321&lt;&gt;"", SUMPRODUCT(($AH$2:$AH$4999=AH321)*($AF$2:$AF$4999&lt;=AF321)) &lt;= (COUNTIF($AH$2:$AH$4999,AH321)*0.3)), "SORTEADO", "-")</f>
        <v>-</v>
      </c>
      <c r="AH321" s="257" t="str">
        <f t="shared" si="20"/>
        <v>13/04/2026</v>
      </c>
    </row>
    <row r="322" spans="1:34" ht="30" hidden="1" customHeight="1" x14ac:dyDescent="0.2">
      <c r="A322" s="230" t="s">
        <v>197</v>
      </c>
      <c r="B322" s="255">
        <v>2690417059</v>
      </c>
      <c r="C322" s="230" t="s">
        <v>133</v>
      </c>
      <c r="D322" s="230" t="s">
        <v>124</v>
      </c>
      <c r="E322" s="230" t="s">
        <v>198</v>
      </c>
      <c r="F322" s="230" t="s">
        <v>3696</v>
      </c>
      <c r="G322" s="230">
        <v>53</v>
      </c>
      <c r="H322" s="230"/>
      <c r="I322" s="230" t="s">
        <v>791</v>
      </c>
      <c r="J322" s="230" t="s">
        <v>3275</v>
      </c>
      <c r="K322" s="230"/>
      <c r="L322" s="230" t="s">
        <v>902</v>
      </c>
      <c r="M322" s="230" t="s">
        <v>3697</v>
      </c>
      <c r="N322" s="230" t="s">
        <v>3296</v>
      </c>
      <c r="O322" s="158"/>
      <c r="P322" s="92"/>
      <c r="Q322" s="146"/>
      <c r="R322" s="92"/>
      <c r="S322" s="146"/>
      <c r="T322" s="92"/>
      <c r="U322" s="146"/>
      <c r="V322" s="92"/>
      <c r="W322" s="146"/>
      <c r="X322" s="92"/>
      <c r="Y322" s="146"/>
      <c r="Z322" s="186" t="str">
        <f t="shared" ref="Z322:Z385" si="23">IF(AND(O322="",Q322="",S322="",U322="",W322=""),"",IF(OR(AND(O322&lt;&gt;"NA",O322&lt;&gt;"C",O322&lt;&gt;"NC",O322&lt;&gt;"SF",O322&lt;&gt;""),AND(Q322&lt;&gt;"NA",Q322&lt;&gt;"C",Q322&lt;&gt;"NC",Q322&lt;&gt;"SF",Q322&lt;&gt;""),AND(S322&lt;&gt;"NA",S322&lt;&gt;"C",S322&lt;&gt;"NC",S322&lt;&gt;"SF",S322&lt;&gt;""),AND(U322&lt;&gt;"NA",U322&lt;&gt;"C",U322&lt;&gt;"NC",U322&lt;&gt;"SF",U322&lt;&gt;""),AND(W322&lt;&gt;"NA",W322&lt;&gt;"C",W322&lt;&gt;"NC",W322&lt;&gt;"SF",W322&lt;&gt;"")),"FALSO",IF(AND(O322="NA",Q322="NA",S322="NA",U322="NA",W322="NA"),"NA",IF(OR(O322="NC",Q322="NC",S322="NC",U322="NC",W322="NC",O322="SF",Q322="SF",S322="SF",U322="SF",W322="SF"),"NC",IF(OR(O322="C",Q322="C",S322="C",U322="C",W322="C"),"C","")))))</f>
        <v/>
      </c>
      <c r="AA322" s="217" t="b">
        <f t="shared" si="22"/>
        <v>0</v>
      </c>
      <c r="AB322" s="92"/>
      <c r="AC322" s="164" t="s">
        <v>6</v>
      </c>
      <c r="AD322" s="151" t="str">
        <f t="shared" si="21"/>
        <v>GUARULHOS</v>
      </c>
      <c r="AE322" s="96" t="s">
        <v>63</v>
      </c>
      <c r="AF322" s="53">
        <v>0.3682000874682147</v>
      </c>
      <c r="AG322" s="53" t="str" cm="1">
        <f t="array" ref="AG322">IF(OR(O322&lt;&gt;"", SUMPRODUCT(($AH$2:$AH$4999=AH322)*($AF$2:$AF$4999&lt;=AF322)) &lt;= (COUNTIF($AH$2:$AH$4999,AH322)*0.3)), "SORTEADO", "-")</f>
        <v>-</v>
      </c>
      <c r="AH322" s="257" t="str">
        <f t="shared" si="20"/>
        <v>13/04/2026</v>
      </c>
    </row>
    <row r="323" spans="1:34" ht="30" customHeight="1" x14ac:dyDescent="0.2">
      <c r="A323" s="230" t="s">
        <v>197</v>
      </c>
      <c r="B323" s="255">
        <v>2690437685</v>
      </c>
      <c r="C323" s="230" t="s">
        <v>133</v>
      </c>
      <c r="D323" s="230" t="s">
        <v>124</v>
      </c>
      <c r="E323" s="230" t="s">
        <v>198</v>
      </c>
      <c r="F323" s="230" t="s">
        <v>2311</v>
      </c>
      <c r="G323" s="230">
        <v>265</v>
      </c>
      <c r="H323" s="230" t="s">
        <v>1917</v>
      </c>
      <c r="I323" s="230" t="s">
        <v>368</v>
      </c>
      <c r="J323" s="230" t="s">
        <v>3275</v>
      </c>
      <c r="K323" s="230" t="s">
        <v>213</v>
      </c>
      <c r="L323" s="230" t="s">
        <v>902</v>
      </c>
      <c r="M323" s="230" t="s">
        <v>3698</v>
      </c>
      <c r="N323" s="230" t="s">
        <v>294</v>
      </c>
      <c r="O323" s="158" t="s">
        <v>204</v>
      </c>
      <c r="P323" s="92"/>
      <c r="Q323" s="146" t="s">
        <v>204</v>
      </c>
      <c r="R323" s="92"/>
      <c r="S323" s="146"/>
      <c r="T323" s="92"/>
      <c r="U323" s="146" t="s">
        <v>204</v>
      </c>
      <c r="V323" s="92"/>
      <c r="W323" s="146" t="s">
        <v>204</v>
      </c>
      <c r="X323" s="92"/>
      <c r="Y323" s="146" t="s">
        <v>204</v>
      </c>
      <c r="Z323" s="186" t="str">
        <f t="shared" si="23"/>
        <v>C</v>
      </c>
      <c r="AA323" s="217" t="str">
        <f t="shared" si="22"/>
        <v>UTILIZOU O PDA CORRETAMENTE</v>
      </c>
      <c r="AB323" s="92" t="s">
        <v>204</v>
      </c>
      <c r="AC323" s="164" t="s">
        <v>6</v>
      </c>
      <c r="AD323" s="151" t="str">
        <f t="shared" si="21"/>
        <v>GUARULHOS</v>
      </c>
      <c r="AE323" s="96" t="s">
        <v>63</v>
      </c>
      <c r="AF323" s="53">
        <v>0.11851415382845736</v>
      </c>
      <c r="AG323" s="53" t="str" cm="1">
        <f t="array" ref="AG323">IF(OR(O323&lt;&gt;"", SUMPRODUCT(($AH$2:$AH$4999=AH323)*($AF$2:$AF$4999&lt;=AF323)) &lt;= (COUNTIF($AH$2:$AH$4999,AH323)*0.3)), "SORTEADO", "-")</f>
        <v>SORTEADO</v>
      </c>
      <c r="AH323" s="257" t="str">
        <f t="shared" si="20"/>
        <v>13/04/2026</v>
      </c>
    </row>
    <row r="324" spans="1:34" ht="30" hidden="1" customHeight="1" x14ac:dyDescent="0.2">
      <c r="A324" s="230" t="s">
        <v>197</v>
      </c>
      <c r="B324" s="255">
        <v>2690421542</v>
      </c>
      <c r="C324" s="230" t="s">
        <v>133</v>
      </c>
      <c r="D324" s="230" t="s">
        <v>124</v>
      </c>
      <c r="E324" s="230" t="s">
        <v>198</v>
      </c>
      <c r="F324" s="230" t="s">
        <v>1574</v>
      </c>
      <c r="G324" s="230">
        <v>72</v>
      </c>
      <c r="H324" s="230" t="s">
        <v>235</v>
      </c>
      <c r="I324" s="230" t="s">
        <v>1575</v>
      </c>
      <c r="J324" s="230" t="s">
        <v>3275</v>
      </c>
      <c r="K324" s="230" t="s">
        <v>3699</v>
      </c>
      <c r="L324" s="230" t="s">
        <v>902</v>
      </c>
      <c r="M324" s="230" t="s">
        <v>3700</v>
      </c>
      <c r="N324" s="230" t="s">
        <v>3289</v>
      </c>
      <c r="O324" s="158"/>
      <c r="P324" s="92"/>
      <c r="Q324" s="146"/>
      <c r="R324" s="92"/>
      <c r="S324" s="146"/>
      <c r="T324" s="92"/>
      <c r="U324" s="146"/>
      <c r="V324" s="92"/>
      <c r="W324" s="146"/>
      <c r="X324" s="92"/>
      <c r="Y324" s="146"/>
      <c r="Z324" s="186" t="str">
        <f t="shared" si="23"/>
        <v/>
      </c>
      <c r="AA324" s="217" t="b">
        <f t="shared" si="22"/>
        <v>0</v>
      </c>
      <c r="AB324" s="92"/>
      <c r="AC324" s="164" t="s">
        <v>6</v>
      </c>
      <c r="AD324" s="151" t="str">
        <f t="shared" si="21"/>
        <v>GUARULHOS</v>
      </c>
      <c r="AE324" s="96" t="s">
        <v>63</v>
      </c>
      <c r="AF324" s="53">
        <v>0.33023648117059401</v>
      </c>
      <c r="AG324" s="53" t="str" cm="1">
        <f t="array" ref="AG324">IF(OR(O324&lt;&gt;"", SUMPRODUCT(($AH$2:$AH$4999=AH324)*($AF$2:$AF$4999&lt;=AF324)) &lt;= (COUNTIF($AH$2:$AH$4999,AH324)*0.3)), "SORTEADO", "-")</f>
        <v>-</v>
      </c>
      <c r="AH324" s="257" t="str">
        <f t="shared" si="20"/>
        <v>13/04/2026</v>
      </c>
    </row>
    <row r="325" spans="1:34" ht="30" hidden="1" customHeight="1" x14ac:dyDescent="0.2">
      <c r="A325" s="230" t="s">
        <v>197</v>
      </c>
      <c r="B325" s="255">
        <v>2615550945</v>
      </c>
      <c r="C325" s="230" t="s">
        <v>126</v>
      </c>
      <c r="D325" s="230" t="s">
        <v>63</v>
      </c>
      <c r="E325" s="230" t="s">
        <v>198</v>
      </c>
      <c r="F325" s="230" t="s">
        <v>882</v>
      </c>
      <c r="G325" s="230">
        <v>240</v>
      </c>
      <c r="H325" s="230" t="s">
        <v>3701</v>
      </c>
      <c r="I325" s="230" t="s">
        <v>997</v>
      </c>
      <c r="J325" s="230" t="s">
        <v>3340</v>
      </c>
      <c r="K325" s="230" t="s">
        <v>3702</v>
      </c>
      <c r="L325" s="230" t="s">
        <v>902</v>
      </c>
      <c r="M325" s="230" t="s">
        <v>3703</v>
      </c>
      <c r="N325" s="230" t="s">
        <v>381</v>
      </c>
      <c r="O325" s="158" t="s">
        <v>61</v>
      </c>
      <c r="P325" s="92"/>
      <c r="Q325" s="146" t="s">
        <v>61</v>
      </c>
      <c r="R325" s="92"/>
      <c r="S325" s="146" t="s">
        <v>61</v>
      </c>
      <c r="T325" s="92"/>
      <c r="U325" s="146" t="s">
        <v>61</v>
      </c>
      <c r="V325" s="92"/>
      <c r="W325" s="146" t="s">
        <v>61</v>
      </c>
      <c r="X325" s="92"/>
      <c r="Y325" s="146" t="s">
        <v>61</v>
      </c>
      <c r="Z325" s="186" t="str">
        <f t="shared" si="23"/>
        <v>NA</v>
      </c>
      <c r="AA325" s="217" t="str">
        <f t="shared" si="22"/>
        <v>NÃO AVALIADO POR FALHA DE SINCRONISMO</v>
      </c>
      <c r="AB325" s="92" t="s">
        <v>204</v>
      </c>
      <c r="AC325" s="164" t="s">
        <v>6</v>
      </c>
      <c r="AD325" s="151" t="str">
        <f t="shared" si="21"/>
        <v>GUARULHOS</v>
      </c>
      <c r="AE325" s="96" t="s">
        <v>63</v>
      </c>
      <c r="AF325" s="53">
        <v>0.2230161648938068</v>
      </c>
      <c r="AG325" s="53" t="str" cm="1">
        <f t="array" ref="AG325">IF(OR(O325&lt;&gt;"", SUMPRODUCT(($AH$2:$AH$4999=AH325)*($AF$2:$AF$4999&lt;=AF325)) &lt;= (COUNTIF($AH$2:$AH$4999,AH325)*0.3)), "SORTEADO", "-")</f>
        <v>SORTEADO</v>
      </c>
      <c r="AH325" s="257" t="str">
        <f t="shared" si="20"/>
        <v>13/04/2026</v>
      </c>
    </row>
    <row r="326" spans="1:34" ht="30" hidden="1" customHeight="1" x14ac:dyDescent="0.2">
      <c r="A326" s="230" t="s">
        <v>197</v>
      </c>
      <c r="B326" s="255">
        <v>2690428103</v>
      </c>
      <c r="C326" s="230" t="s">
        <v>133</v>
      </c>
      <c r="D326" s="230" t="s">
        <v>124</v>
      </c>
      <c r="E326" s="230" t="s">
        <v>198</v>
      </c>
      <c r="F326" s="230" t="s">
        <v>3704</v>
      </c>
      <c r="G326" s="230">
        <v>189</v>
      </c>
      <c r="H326" s="230" t="s">
        <v>3705</v>
      </c>
      <c r="I326" s="230" t="s">
        <v>345</v>
      </c>
      <c r="J326" s="230" t="s">
        <v>3275</v>
      </c>
      <c r="K326" s="230" t="s">
        <v>3344</v>
      </c>
      <c r="L326" s="230" t="s">
        <v>902</v>
      </c>
      <c r="M326" s="230" t="s">
        <v>3706</v>
      </c>
      <c r="N326" s="230" t="s">
        <v>3289</v>
      </c>
      <c r="O326" s="158"/>
      <c r="P326" s="92"/>
      <c r="Q326" s="146"/>
      <c r="R326" s="92"/>
      <c r="S326" s="146"/>
      <c r="T326" s="92"/>
      <c r="U326" s="146"/>
      <c r="V326" s="92"/>
      <c r="W326" s="146"/>
      <c r="X326" s="92"/>
      <c r="Y326" s="146"/>
      <c r="Z326" s="186" t="str">
        <f t="shared" si="23"/>
        <v/>
      </c>
      <c r="AA326" s="217" t="b">
        <f t="shared" si="22"/>
        <v>0</v>
      </c>
      <c r="AB326" s="92"/>
      <c r="AC326" s="164" t="s">
        <v>6</v>
      </c>
      <c r="AD326" s="151" t="str">
        <f t="shared" si="21"/>
        <v>GUARULHOS</v>
      </c>
      <c r="AE326" s="96" t="s">
        <v>63</v>
      </c>
      <c r="AF326" s="53">
        <v>0.40582030324376467</v>
      </c>
      <c r="AG326" s="53" t="str" cm="1">
        <f t="array" ref="AG326">IF(OR(O326&lt;&gt;"", SUMPRODUCT(($AH$2:$AH$4999=AH326)*($AF$2:$AF$4999&lt;=AF326)) &lt;= (COUNTIF($AH$2:$AH$4999,AH326)*0.3)), "SORTEADO", "-")</f>
        <v>-</v>
      </c>
      <c r="AH326" s="257" t="str">
        <f t="shared" si="20"/>
        <v>13/04/2026</v>
      </c>
    </row>
    <row r="327" spans="1:34" ht="30" hidden="1" customHeight="1" x14ac:dyDescent="0.2">
      <c r="A327" s="242" t="s">
        <v>197</v>
      </c>
      <c r="B327" s="256">
        <v>2690385405</v>
      </c>
      <c r="C327" s="242" t="s">
        <v>129</v>
      </c>
      <c r="D327" s="242" t="s">
        <v>124</v>
      </c>
      <c r="E327" s="242" t="s">
        <v>198</v>
      </c>
      <c r="F327" s="242" t="s">
        <v>2837</v>
      </c>
      <c r="G327" s="242">
        <v>61</v>
      </c>
      <c r="H327" s="242" t="s">
        <v>3707</v>
      </c>
      <c r="I327" s="242" t="s">
        <v>713</v>
      </c>
      <c r="J327" s="242" t="s">
        <v>3307</v>
      </c>
      <c r="K327" s="242" t="s">
        <v>213</v>
      </c>
      <c r="L327" s="242" t="s">
        <v>902</v>
      </c>
      <c r="M327" s="242" t="s">
        <v>3708</v>
      </c>
      <c r="N327" s="242" t="s">
        <v>241</v>
      </c>
      <c r="O327" s="158"/>
      <c r="P327" s="92"/>
      <c r="Q327" s="146"/>
      <c r="R327" s="92"/>
      <c r="S327" s="146"/>
      <c r="T327" s="92"/>
      <c r="U327" s="146"/>
      <c r="V327" s="92"/>
      <c r="W327" s="146"/>
      <c r="X327" s="92"/>
      <c r="Y327" s="146"/>
      <c r="Z327" s="186" t="str">
        <f t="shared" si="23"/>
        <v/>
      </c>
      <c r="AA327" s="217" t="b">
        <f t="shared" si="22"/>
        <v>0</v>
      </c>
      <c r="AB327" s="92"/>
      <c r="AC327" s="164" t="s">
        <v>6</v>
      </c>
      <c r="AD327" s="151" t="str">
        <f t="shared" ref="AD327:AD352" si="24">E327</f>
        <v>GUARULHOS</v>
      </c>
      <c r="AE327" s="96" t="s">
        <v>63</v>
      </c>
      <c r="AF327" s="53">
        <v>0.78551132954801073</v>
      </c>
      <c r="AG327" s="53" t="str" cm="1">
        <f t="array" ref="AG327">IF(OR(O327&lt;&gt;"", SUMPRODUCT(($AH$2:$AH$4999=AH327)*($AF$2:$AF$4999&lt;=AF327)) &lt;= (COUNTIF($AH$2:$AH$4999,AH327)*0.3)), "SORTEADO", "-")</f>
        <v>-</v>
      </c>
      <c r="AH327" s="257" t="str">
        <f t="shared" si="20"/>
        <v>13/04/2026</v>
      </c>
    </row>
    <row r="328" spans="1:34" ht="30" hidden="1" customHeight="1" x14ac:dyDescent="0.2">
      <c r="A328" s="230" t="s">
        <v>197</v>
      </c>
      <c r="B328" s="255">
        <v>2690525413</v>
      </c>
      <c r="C328" s="230" t="s">
        <v>131</v>
      </c>
      <c r="D328" s="230" t="s">
        <v>63</v>
      </c>
      <c r="E328" s="230" t="s">
        <v>198</v>
      </c>
      <c r="F328" s="230" t="s">
        <v>3709</v>
      </c>
      <c r="G328" s="230">
        <v>38</v>
      </c>
      <c r="H328" s="230" t="s">
        <v>246</v>
      </c>
      <c r="I328" s="230" t="s">
        <v>1944</v>
      </c>
      <c r="J328" s="230" t="s">
        <v>3273</v>
      </c>
      <c r="K328" s="230" t="s">
        <v>213</v>
      </c>
      <c r="L328" s="230" t="s">
        <v>1032</v>
      </c>
      <c r="M328" s="230" t="s">
        <v>3710</v>
      </c>
      <c r="N328" s="230" t="s">
        <v>1099</v>
      </c>
      <c r="O328" s="158"/>
      <c r="P328" s="92"/>
      <c r="Q328" s="146"/>
      <c r="R328" s="92"/>
      <c r="S328" s="146"/>
      <c r="T328" s="92"/>
      <c r="U328" s="146"/>
      <c r="V328" s="92"/>
      <c r="W328" s="146"/>
      <c r="X328" s="92"/>
      <c r="Y328" s="146"/>
      <c r="Z328" s="186" t="str">
        <f t="shared" si="23"/>
        <v/>
      </c>
      <c r="AA328" s="217" t="b">
        <f t="shared" si="22"/>
        <v>0</v>
      </c>
      <c r="AB328" s="92"/>
      <c r="AC328" s="164" t="s">
        <v>6</v>
      </c>
      <c r="AD328" s="151" t="str">
        <f t="shared" si="24"/>
        <v>GUARULHOS</v>
      </c>
      <c r="AE328" s="96" t="s">
        <v>63</v>
      </c>
      <c r="AF328" s="53">
        <v>0.48250877395524927</v>
      </c>
      <c r="AG328" s="53" t="str" cm="1">
        <f t="array" ref="AG328">IF(OR(O328&lt;&gt;"", SUMPRODUCT(($AH$2:$AH$4999=AH328)*($AF$2:$AF$4999&lt;=AF328)) &lt;= (COUNTIF($AH$2:$AH$4999,AH328)*0.3)), "SORTEADO", "-")</f>
        <v>-</v>
      </c>
      <c r="AH328" s="257" t="str">
        <f t="shared" si="20"/>
        <v>14/04/2026</v>
      </c>
    </row>
    <row r="329" spans="1:34" ht="30" customHeight="1" x14ac:dyDescent="0.2">
      <c r="A329" s="230" t="s">
        <v>197</v>
      </c>
      <c r="B329" s="255">
        <v>2615569375</v>
      </c>
      <c r="C329" s="230" t="s">
        <v>127</v>
      </c>
      <c r="D329" s="230" t="s">
        <v>63</v>
      </c>
      <c r="E329" s="230" t="s">
        <v>198</v>
      </c>
      <c r="F329" s="230" t="s">
        <v>3711</v>
      </c>
      <c r="G329" s="230">
        <v>318</v>
      </c>
      <c r="H329" s="230" t="s">
        <v>3712</v>
      </c>
      <c r="I329" s="230" t="s">
        <v>1587</v>
      </c>
      <c r="J329" s="230" t="s">
        <v>3271</v>
      </c>
      <c r="K329" s="230" t="s">
        <v>213</v>
      </c>
      <c r="L329" s="230" t="s">
        <v>1032</v>
      </c>
      <c r="M329" s="230" t="s">
        <v>3713</v>
      </c>
      <c r="N329" s="230" t="s">
        <v>1099</v>
      </c>
      <c r="O329" s="158" t="s">
        <v>204</v>
      </c>
      <c r="P329" s="92"/>
      <c r="Q329" s="146" t="s">
        <v>204</v>
      </c>
      <c r="R329" s="92"/>
      <c r="S329" s="146" t="s">
        <v>204</v>
      </c>
      <c r="T329" s="92"/>
      <c r="U329" s="146" t="s">
        <v>204</v>
      </c>
      <c r="V329" s="92"/>
      <c r="W329" s="146" t="s">
        <v>204</v>
      </c>
      <c r="X329" s="92"/>
      <c r="Y329" s="146" t="s">
        <v>204</v>
      </c>
      <c r="Z329" s="186" t="str">
        <f t="shared" si="23"/>
        <v>C</v>
      </c>
      <c r="AA329" s="217" t="str">
        <f t="shared" si="22"/>
        <v>UTILIZOU O PDA CORRETAMENTE</v>
      </c>
      <c r="AB329" s="92" t="s">
        <v>204</v>
      </c>
      <c r="AC329" s="164" t="s">
        <v>6</v>
      </c>
      <c r="AD329" s="151" t="str">
        <f t="shared" si="24"/>
        <v>GUARULHOS</v>
      </c>
      <c r="AE329" s="96" t="s">
        <v>63</v>
      </c>
      <c r="AF329" s="53">
        <v>0.2237402535916618</v>
      </c>
      <c r="AG329" s="53" t="str" cm="1">
        <f t="array" ref="AG329">IF(OR(O329&lt;&gt;"", SUMPRODUCT(($AH$2:$AH$4999=AH329)*($AF$2:$AF$4999&lt;=AF329)) &lt;= (COUNTIF($AH$2:$AH$4999,AH329)*0.3)), "SORTEADO", "-")</f>
        <v>SORTEADO</v>
      </c>
      <c r="AH329" s="257" t="str">
        <f t="shared" si="20"/>
        <v>14/04/2026</v>
      </c>
    </row>
    <row r="330" spans="1:34" ht="30" hidden="1" customHeight="1" x14ac:dyDescent="0.2">
      <c r="A330" s="230" t="s">
        <v>197</v>
      </c>
      <c r="B330" s="255">
        <v>2690500327</v>
      </c>
      <c r="C330" s="230" t="s">
        <v>127</v>
      </c>
      <c r="D330" s="230" t="s">
        <v>63</v>
      </c>
      <c r="E330" s="230" t="s">
        <v>198</v>
      </c>
      <c r="F330" s="230" t="s">
        <v>3714</v>
      </c>
      <c r="G330" s="230">
        <v>78</v>
      </c>
      <c r="H330" s="230" t="s">
        <v>235</v>
      </c>
      <c r="I330" s="230" t="s">
        <v>538</v>
      </c>
      <c r="J330" s="230" t="s">
        <v>3271</v>
      </c>
      <c r="K330" s="230"/>
      <c r="L330" s="230" t="s">
        <v>1032</v>
      </c>
      <c r="M330" s="230" t="s">
        <v>3715</v>
      </c>
      <c r="N330" s="230" t="s">
        <v>1099</v>
      </c>
      <c r="O330" s="158"/>
      <c r="P330" s="92"/>
      <c r="Q330" s="146"/>
      <c r="R330" s="92"/>
      <c r="S330" s="146"/>
      <c r="T330" s="92"/>
      <c r="U330" s="146"/>
      <c r="V330" s="92"/>
      <c r="W330" s="146"/>
      <c r="X330" s="92"/>
      <c r="Y330" s="146"/>
      <c r="Z330" s="186" t="str">
        <f t="shared" si="23"/>
        <v/>
      </c>
      <c r="AA330" s="217" t="b">
        <f t="shared" si="22"/>
        <v>0</v>
      </c>
      <c r="AB330" s="92"/>
      <c r="AC330" s="164" t="s">
        <v>6</v>
      </c>
      <c r="AD330" s="151" t="str">
        <f t="shared" si="24"/>
        <v>GUARULHOS</v>
      </c>
      <c r="AE330" s="96" t="s">
        <v>63</v>
      </c>
      <c r="AF330" s="53">
        <v>0.71432108872044908</v>
      </c>
      <c r="AG330" s="53" t="str" cm="1">
        <f t="array" ref="AG330">IF(OR(O330&lt;&gt;"", SUMPRODUCT(($AH$2:$AH$4999=AH330)*($AF$2:$AF$4999&lt;=AF330)) &lt;= (COUNTIF($AH$2:$AH$4999,AH330)*0.3)), "SORTEADO", "-")</f>
        <v>-</v>
      </c>
      <c r="AH330" s="257" t="str">
        <f t="shared" si="20"/>
        <v>14/04/2026</v>
      </c>
    </row>
    <row r="331" spans="1:34" ht="30" hidden="1" customHeight="1" x14ac:dyDescent="0.2">
      <c r="A331" s="230" t="s">
        <v>197</v>
      </c>
      <c r="B331" s="255">
        <v>2690470021</v>
      </c>
      <c r="C331" s="230" t="s">
        <v>127</v>
      </c>
      <c r="D331" s="230" t="s">
        <v>63</v>
      </c>
      <c r="E331" s="230" t="s">
        <v>198</v>
      </c>
      <c r="F331" s="230" t="s">
        <v>882</v>
      </c>
      <c r="G331" s="230">
        <v>240</v>
      </c>
      <c r="H331" s="230" t="s">
        <v>3701</v>
      </c>
      <c r="I331" s="230" t="s">
        <v>997</v>
      </c>
      <c r="J331" s="230" t="s">
        <v>3275</v>
      </c>
      <c r="K331" s="230" t="s">
        <v>213</v>
      </c>
      <c r="L331" s="230" t="s">
        <v>1032</v>
      </c>
      <c r="M331" s="230" t="s">
        <v>3716</v>
      </c>
      <c r="N331" s="230" t="s">
        <v>294</v>
      </c>
      <c r="O331" s="158"/>
      <c r="P331" s="92"/>
      <c r="Q331" s="146"/>
      <c r="R331" s="92"/>
      <c r="S331" s="146"/>
      <c r="T331" s="92"/>
      <c r="U331" s="146"/>
      <c r="V331" s="92"/>
      <c r="W331" s="146"/>
      <c r="X331" s="92"/>
      <c r="Y331" s="146"/>
      <c r="Z331" s="186" t="str">
        <f t="shared" si="23"/>
        <v/>
      </c>
      <c r="AA331" s="217" t="b">
        <f t="shared" si="22"/>
        <v>0</v>
      </c>
      <c r="AB331" s="92"/>
      <c r="AC331" s="164" t="s">
        <v>6</v>
      </c>
      <c r="AD331" s="151" t="str">
        <f t="shared" si="24"/>
        <v>GUARULHOS</v>
      </c>
      <c r="AE331" s="96" t="s">
        <v>63</v>
      </c>
      <c r="AF331" s="53">
        <v>0.90790311460112327</v>
      </c>
      <c r="AG331" s="53" t="str" cm="1">
        <f t="array" ref="AG331">IF(OR(O331&lt;&gt;"", SUMPRODUCT(($AH$2:$AH$4999=AH331)*($AF$2:$AF$4999&lt;=AF331)) &lt;= (COUNTIF($AH$2:$AH$4999,AH331)*0.3)), "SORTEADO", "-")</f>
        <v>-</v>
      </c>
      <c r="AH331" s="257" t="str">
        <f t="shared" si="20"/>
        <v>14/04/2026</v>
      </c>
    </row>
    <row r="332" spans="1:34" ht="30" hidden="1" customHeight="1" x14ac:dyDescent="0.2">
      <c r="A332" s="230" t="s">
        <v>197</v>
      </c>
      <c r="B332" s="255">
        <v>2615573498</v>
      </c>
      <c r="C332" s="230" t="s">
        <v>3717</v>
      </c>
      <c r="D332" s="230" t="s">
        <v>124</v>
      </c>
      <c r="E332" s="230" t="s">
        <v>198</v>
      </c>
      <c r="F332" s="230" t="s">
        <v>3535</v>
      </c>
      <c r="G332" s="230">
        <v>108</v>
      </c>
      <c r="H332" s="230" t="s">
        <v>3718</v>
      </c>
      <c r="I332" s="230" t="s">
        <v>200</v>
      </c>
      <c r="J332" s="230" t="s">
        <v>3719</v>
      </c>
      <c r="K332" s="230" t="s">
        <v>213</v>
      </c>
      <c r="L332" s="230" t="s">
        <v>1032</v>
      </c>
      <c r="M332" s="230" t="s">
        <v>3720</v>
      </c>
      <c r="N332" s="230" t="s">
        <v>3276</v>
      </c>
      <c r="O332" s="158"/>
      <c r="P332" s="92"/>
      <c r="Q332" s="146"/>
      <c r="R332" s="92"/>
      <c r="S332" s="146"/>
      <c r="T332" s="92"/>
      <c r="U332" s="146"/>
      <c r="V332" s="92"/>
      <c r="W332" s="146"/>
      <c r="X332" s="92"/>
      <c r="Y332" s="146"/>
      <c r="Z332" s="186" t="str">
        <f t="shared" si="23"/>
        <v/>
      </c>
      <c r="AA332" s="217" t="b">
        <f t="shared" si="22"/>
        <v>0</v>
      </c>
      <c r="AB332" s="92"/>
      <c r="AC332" s="164" t="s">
        <v>6</v>
      </c>
      <c r="AD332" s="151" t="str">
        <f t="shared" si="24"/>
        <v>GUARULHOS</v>
      </c>
      <c r="AE332" s="96" t="s">
        <v>63</v>
      </c>
      <c r="AF332" s="53">
        <v>0.48844656540385312</v>
      </c>
      <c r="AG332" s="53" t="str" cm="1">
        <f t="array" ref="AG332">IF(OR(O332&lt;&gt;"", SUMPRODUCT(($AH$2:$AH$4999=AH332)*($AF$2:$AF$4999&lt;=AF332)) &lt;= (COUNTIF($AH$2:$AH$4999,AH332)*0.3)), "SORTEADO", "-")</f>
        <v>-</v>
      </c>
      <c r="AH332" s="257" t="str">
        <f t="shared" si="20"/>
        <v>14/04/2026</v>
      </c>
    </row>
    <row r="333" spans="1:34" ht="30" hidden="1" customHeight="1" x14ac:dyDescent="0.2">
      <c r="A333" s="230" t="s">
        <v>197</v>
      </c>
      <c r="B333" s="255">
        <v>2690518008</v>
      </c>
      <c r="C333" s="230" t="s">
        <v>127</v>
      </c>
      <c r="D333" s="230" t="s">
        <v>63</v>
      </c>
      <c r="E333" s="230" t="s">
        <v>198</v>
      </c>
      <c r="F333" s="230" t="s">
        <v>3653</v>
      </c>
      <c r="G333" s="230">
        <v>28</v>
      </c>
      <c r="H333" s="230" t="s">
        <v>3721</v>
      </c>
      <c r="I333" s="230" t="s">
        <v>664</v>
      </c>
      <c r="J333" s="230" t="s">
        <v>3275</v>
      </c>
      <c r="K333" s="230"/>
      <c r="L333" s="230" t="s">
        <v>1032</v>
      </c>
      <c r="M333" s="230" t="s">
        <v>3722</v>
      </c>
      <c r="N333" s="230" t="s">
        <v>3276</v>
      </c>
      <c r="O333" s="158"/>
      <c r="P333" s="92"/>
      <c r="Q333" s="146"/>
      <c r="R333" s="92"/>
      <c r="S333" s="146"/>
      <c r="T333" s="92"/>
      <c r="U333" s="146"/>
      <c r="V333" s="92"/>
      <c r="W333" s="146"/>
      <c r="X333" s="92"/>
      <c r="Y333" s="146"/>
      <c r="Z333" s="186" t="str">
        <f t="shared" si="23"/>
        <v/>
      </c>
      <c r="AA333" s="217" t="b">
        <f t="shared" si="22"/>
        <v>0</v>
      </c>
      <c r="AB333" s="92"/>
      <c r="AC333" s="164" t="s">
        <v>6</v>
      </c>
      <c r="AD333" s="151" t="str">
        <f t="shared" si="24"/>
        <v>GUARULHOS</v>
      </c>
      <c r="AE333" s="96" t="s">
        <v>63</v>
      </c>
      <c r="AF333" s="53">
        <v>0.95344692977607914</v>
      </c>
      <c r="AG333" s="53" t="str" cm="1">
        <f t="array" ref="AG333">IF(OR(O333&lt;&gt;"", SUMPRODUCT(($AH$2:$AH$4999=AH333)*($AF$2:$AF$4999&lt;=AF333)) &lt;= (COUNTIF($AH$2:$AH$4999,AH333)*0.3)), "SORTEADO", "-")</f>
        <v>-</v>
      </c>
      <c r="AH333" s="257" t="str">
        <f t="shared" si="20"/>
        <v>14/04/2026</v>
      </c>
    </row>
    <row r="334" spans="1:34" ht="30" hidden="1" customHeight="1" x14ac:dyDescent="0.2">
      <c r="A334" s="230" t="s">
        <v>197</v>
      </c>
      <c r="B334" s="255">
        <v>2615567379</v>
      </c>
      <c r="C334" s="230" t="s">
        <v>128</v>
      </c>
      <c r="D334" s="230" t="s">
        <v>124</v>
      </c>
      <c r="E334" s="230" t="s">
        <v>198</v>
      </c>
      <c r="F334" s="230" t="s">
        <v>3542</v>
      </c>
      <c r="G334" s="230">
        <v>36</v>
      </c>
      <c r="H334" s="230" t="s">
        <v>337</v>
      </c>
      <c r="I334" s="230" t="s">
        <v>840</v>
      </c>
      <c r="J334" s="230" t="s">
        <v>3385</v>
      </c>
      <c r="K334" s="230"/>
      <c r="L334" s="230" t="s">
        <v>1032</v>
      </c>
      <c r="M334" s="230" t="s">
        <v>3723</v>
      </c>
      <c r="N334" s="230" t="s">
        <v>3276</v>
      </c>
      <c r="O334" s="158"/>
      <c r="P334" s="92"/>
      <c r="Q334" s="146"/>
      <c r="R334" s="92"/>
      <c r="S334" s="146"/>
      <c r="T334" s="92"/>
      <c r="U334" s="146"/>
      <c r="V334" s="92"/>
      <c r="W334" s="146"/>
      <c r="X334" s="92"/>
      <c r="Y334" s="146"/>
      <c r="Z334" s="186" t="str">
        <f t="shared" si="23"/>
        <v/>
      </c>
      <c r="AA334" s="217" t="b">
        <f t="shared" si="22"/>
        <v>0</v>
      </c>
      <c r="AB334" s="92"/>
      <c r="AC334" s="164" t="s">
        <v>6</v>
      </c>
      <c r="AD334" s="151" t="str">
        <f t="shared" si="24"/>
        <v>GUARULHOS</v>
      </c>
      <c r="AE334" s="96" t="s">
        <v>63</v>
      </c>
      <c r="AF334" s="53">
        <v>0.47987603907007187</v>
      </c>
      <c r="AG334" s="53" t="str" cm="1">
        <f t="array" ref="AG334">IF(OR(O334&lt;&gt;"", SUMPRODUCT(($AH$2:$AH$4999=AH334)*($AF$2:$AF$4999&lt;=AF334)) &lt;= (COUNTIF($AH$2:$AH$4999,AH334)*0.3)), "SORTEADO", "-")</f>
        <v>-</v>
      </c>
      <c r="AH334" s="257" t="str">
        <f t="shared" si="20"/>
        <v>14/04/2026</v>
      </c>
    </row>
    <row r="335" spans="1:34" ht="30" hidden="1" customHeight="1" x14ac:dyDescent="0.2">
      <c r="A335" s="230" t="s">
        <v>197</v>
      </c>
      <c r="B335" s="255">
        <v>2615572609</v>
      </c>
      <c r="C335" s="230" t="s">
        <v>3717</v>
      </c>
      <c r="D335" s="230" t="s">
        <v>124</v>
      </c>
      <c r="E335" s="230" t="s">
        <v>198</v>
      </c>
      <c r="F335" s="230" t="s">
        <v>3535</v>
      </c>
      <c r="G335" s="230">
        <v>108</v>
      </c>
      <c r="H335" s="230" t="s">
        <v>3724</v>
      </c>
      <c r="I335" s="230" t="s">
        <v>200</v>
      </c>
      <c r="J335" s="230" t="s">
        <v>3719</v>
      </c>
      <c r="K335" s="230" t="s">
        <v>213</v>
      </c>
      <c r="L335" s="230" t="s">
        <v>1032</v>
      </c>
      <c r="M335" s="230" t="s">
        <v>3725</v>
      </c>
      <c r="N335" s="230" t="s">
        <v>3276</v>
      </c>
      <c r="O335" s="158"/>
      <c r="P335" s="92"/>
      <c r="Q335" s="146"/>
      <c r="R335" s="92"/>
      <c r="S335" s="146"/>
      <c r="T335" s="92"/>
      <c r="U335" s="146"/>
      <c r="V335" s="92"/>
      <c r="W335" s="146"/>
      <c r="X335" s="92"/>
      <c r="Y335" s="146"/>
      <c r="Z335" s="186" t="str">
        <f t="shared" si="23"/>
        <v/>
      </c>
      <c r="AA335" s="217" t="b">
        <f t="shared" si="22"/>
        <v>0</v>
      </c>
      <c r="AB335" s="92"/>
      <c r="AC335" s="164" t="s">
        <v>6</v>
      </c>
      <c r="AD335" s="151" t="str">
        <f t="shared" si="24"/>
        <v>GUARULHOS</v>
      </c>
      <c r="AE335" s="96" t="s">
        <v>63</v>
      </c>
      <c r="AF335" s="53">
        <v>0.46741632307027903</v>
      </c>
      <c r="AG335" s="53" t="str" cm="1">
        <f t="array" ref="AG335">IF(OR(O335&lt;&gt;"", SUMPRODUCT(($AH$2:$AH$4999=AH335)*($AF$2:$AF$4999&lt;=AF335)) &lt;= (COUNTIF($AH$2:$AH$4999,AH335)*0.3)), "SORTEADO", "-")</f>
        <v>-</v>
      </c>
      <c r="AH335" s="257" t="str">
        <f t="shared" si="20"/>
        <v>14/04/2026</v>
      </c>
    </row>
    <row r="336" spans="1:34" ht="30" customHeight="1" x14ac:dyDescent="0.2">
      <c r="A336" s="230" t="s">
        <v>197</v>
      </c>
      <c r="B336" s="255">
        <v>2690451312</v>
      </c>
      <c r="C336" s="230" t="s">
        <v>127</v>
      </c>
      <c r="D336" s="230" t="s">
        <v>63</v>
      </c>
      <c r="E336" s="230" t="s">
        <v>198</v>
      </c>
      <c r="F336" s="230" t="s">
        <v>3726</v>
      </c>
      <c r="G336" s="230">
        <v>63</v>
      </c>
      <c r="H336" s="230" t="s">
        <v>461</v>
      </c>
      <c r="I336" s="230" t="s">
        <v>1768</v>
      </c>
      <c r="J336" s="230" t="s">
        <v>3275</v>
      </c>
      <c r="K336" s="230" t="s">
        <v>3727</v>
      </c>
      <c r="L336" s="230" t="s">
        <v>1032</v>
      </c>
      <c r="M336" s="230" t="s">
        <v>3728</v>
      </c>
      <c r="N336" s="230" t="s">
        <v>819</v>
      </c>
      <c r="O336" s="158" t="s">
        <v>204</v>
      </c>
      <c r="P336" s="92"/>
      <c r="Q336" s="146" t="s">
        <v>204</v>
      </c>
      <c r="R336" s="92"/>
      <c r="S336" s="146" t="s">
        <v>204</v>
      </c>
      <c r="T336" s="92"/>
      <c r="U336" s="146" t="s">
        <v>204</v>
      </c>
      <c r="V336" s="92"/>
      <c r="W336" s="146" t="s">
        <v>204</v>
      </c>
      <c r="X336" s="92"/>
      <c r="Y336" s="146" t="s">
        <v>204</v>
      </c>
      <c r="Z336" s="186" t="str">
        <f t="shared" si="23"/>
        <v>C</v>
      </c>
      <c r="AA336" s="217" t="str">
        <f t="shared" si="22"/>
        <v>UTILIZOU O PDA CORRETAMENTE</v>
      </c>
      <c r="AB336" s="92" t="s">
        <v>204</v>
      </c>
      <c r="AC336" s="164" t="s">
        <v>6</v>
      </c>
      <c r="AD336" s="151" t="str">
        <f t="shared" si="24"/>
        <v>GUARULHOS</v>
      </c>
      <c r="AE336" s="96" t="s">
        <v>63</v>
      </c>
      <c r="AF336" s="53">
        <v>3.3592410776898118E-2</v>
      </c>
      <c r="AG336" s="53" t="str" cm="1">
        <f t="array" ref="AG336">IF(OR(O336&lt;&gt;"", SUMPRODUCT(($AH$2:$AH$4999=AH336)*($AF$2:$AF$4999&lt;=AF336)) &lt;= (COUNTIF($AH$2:$AH$4999,AH336)*0.3)), "SORTEADO", "-")</f>
        <v>SORTEADO</v>
      </c>
      <c r="AH336" s="257" t="str">
        <f t="shared" si="20"/>
        <v>14/04/2026</v>
      </c>
    </row>
    <row r="337" spans="1:34" ht="30" hidden="1" customHeight="1" x14ac:dyDescent="0.2">
      <c r="A337" s="230" t="s">
        <v>197</v>
      </c>
      <c r="B337" s="255">
        <v>2612518227</v>
      </c>
      <c r="C337" s="230" t="s">
        <v>134</v>
      </c>
      <c r="D337" s="230" t="s">
        <v>124</v>
      </c>
      <c r="E337" s="230" t="s">
        <v>198</v>
      </c>
      <c r="F337" s="230" t="s">
        <v>3320</v>
      </c>
      <c r="G337" s="230">
        <v>142</v>
      </c>
      <c r="H337" s="230" t="s">
        <v>3729</v>
      </c>
      <c r="I337" s="230" t="s">
        <v>531</v>
      </c>
      <c r="J337" s="230" t="s">
        <v>3285</v>
      </c>
      <c r="K337" s="230" t="s">
        <v>3730</v>
      </c>
      <c r="L337" s="230" t="s">
        <v>1032</v>
      </c>
      <c r="M337" s="230" t="s">
        <v>3731</v>
      </c>
      <c r="N337" s="230" t="s">
        <v>408</v>
      </c>
      <c r="O337" s="158"/>
      <c r="P337" s="92"/>
      <c r="Q337" s="146"/>
      <c r="R337" s="92"/>
      <c r="S337" s="146"/>
      <c r="T337" s="92"/>
      <c r="U337" s="146"/>
      <c r="V337" s="92"/>
      <c r="W337" s="146"/>
      <c r="X337" s="92"/>
      <c r="Y337" s="146"/>
      <c r="Z337" s="186" t="str">
        <f t="shared" si="23"/>
        <v/>
      </c>
      <c r="AA337" s="217" t="b">
        <f t="shared" si="22"/>
        <v>0</v>
      </c>
      <c r="AB337" s="92"/>
      <c r="AC337" s="164" t="s">
        <v>6</v>
      </c>
      <c r="AD337" s="151" t="str">
        <f t="shared" si="24"/>
        <v>GUARULHOS</v>
      </c>
      <c r="AE337" s="96" t="s">
        <v>63</v>
      </c>
      <c r="AF337" s="53">
        <v>0.69438679705681972</v>
      </c>
      <c r="AG337" s="53" t="str" cm="1">
        <f t="array" ref="AG337">IF(OR(O337&lt;&gt;"", SUMPRODUCT(($AH$2:$AH$4999=AH337)*($AF$2:$AF$4999&lt;=AF337)) &lt;= (COUNTIF($AH$2:$AH$4999,AH337)*0.3)), "SORTEADO", "-")</f>
        <v>-</v>
      </c>
      <c r="AH337" s="257" t="str">
        <f t="shared" si="20"/>
        <v>14/04/2026</v>
      </c>
    </row>
    <row r="338" spans="1:34" ht="30" hidden="1" customHeight="1" x14ac:dyDescent="0.2">
      <c r="A338" s="230" t="s">
        <v>197</v>
      </c>
      <c r="B338" s="255">
        <v>2614441169</v>
      </c>
      <c r="C338" s="230" t="s">
        <v>134</v>
      </c>
      <c r="D338" s="230" t="s">
        <v>124</v>
      </c>
      <c r="E338" s="230" t="s">
        <v>198</v>
      </c>
      <c r="F338" s="230" t="s">
        <v>3320</v>
      </c>
      <c r="G338" s="230">
        <v>142</v>
      </c>
      <c r="H338" s="230" t="s">
        <v>3515</v>
      </c>
      <c r="I338" s="230" t="s">
        <v>531</v>
      </c>
      <c r="J338" s="230" t="s">
        <v>3285</v>
      </c>
      <c r="K338" s="230" t="s">
        <v>3732</v>
      </c>
      <c r="L338" s="230" t="s">
        <v>1032</v>
      </c>
      <c r="M338" s="230" t="s">
        <v>1155</v>
      </c>
      <c r="N338" s="230" t="s">
        <v>408</v>
      </c>
      <c r="O338" s="158"/>
      <c r="P338" s="92"/>
      <c r="Q338" s="146"/>
      <c r="R338" s="92"/>
      <c r="S338" s="146"/>
      <c r="T338" s="92"/>
      <c r="U338" s="146"/>
      <c r="V338" s="92"/>
      <c r="W338" s="146"/>
      <c r="X338" s="92"/>
      <c r="Y338" s="146"/>
      <c r="Z338" s="186" t="str">
        <f t="shared" si="23"/>
        <v/>
      </c>
      <c r="AA338" s="217" t="b">
        <f t="shared" si="22"/>
        <v>0</v>
      </c>
      <c r="AB338" s="92"/>
      <c r="AC338" s="164" t="s">
        <v>6</v>
      </c>
      <c r="AD338" s="151" t="str">
        <f t="shared" si="24"/>
        <v>GUARULHOS</v>
      </c>
      <c r="AE338" s="96" t="s">
        <v>63</v>
      </c>
      <c r="AF338" s="53">
        <v>0.6622020453992622</v>
      </c>
      <c r="AG338" s="53" t="str" cm="1">
        <f t="array" ref="AG338">IF(OR(O338&lt;&gt;"", SUMPRODUCT(($AH$2:$AH$4999=AH338)*($AF$2:$AF$4999&lt;=AF338)) &lt;= (COUNTIF($AH$2:$AH$4999,AH338)*0.3)), "SORTEADO", "-")</f>
        <v>-</v>
      </c>
      <c r="AH338" s="257" t="str">
        <f t="shared" si="20"/>
        <v>14/04/2026</v>
      </c>
    </row>
    <row r="339" spans="1:34" ht="30" hidden="1" customHeight="1" x14ac:dyDescent="0.2">
      <c r="A339" s="230" t="s">
        <v>197</v>
      </c>
      <c r="B339" s="255">
        <v>269989155</v>
      </c>
      <c r="C339" s="230" t="s">
        <v>134</v>
      </c>
      <c r="D339" s="230" t="s">
        <v>124</v>
      </c>
      <c r="E339" s="230" t="s">
        <v>198</v>
      </c>
      <c r="F339" s="230" t="s">
        <v>3733</v>
      </c>
      <c r="G339" s="230">
        <v>5</v>
      </c>
      <c r="H339" s="230" t="s">
        <v>276</v>
      </c>
      <c r="I339" s="230" t="s">
        <v>667</v>
      </c>
      <c r="J339" s="230" t="s">
        <v>3285</v>
      </c>
      <c r="K339" s="230"/>
      <c r="L339" s="230" t="s">
        <v>1032</v>
      </c>
      <c r="M339" s="230" t="s">
        <v>1138</v>
      </c>
      <c r="N339" s="230" t="s">
        <v>408</v>
      </c>
      <c r="O339" s="158"/>
      <c r="P339" s="92"/>
      <c r="Q339" s="146"/>
      <c r="R339" s="92"/>
      <c r="S339" s="146"/>
      <c r="T339" s="92"/>
      <c r="U339" s="146"/>
      <c r="V339" s="92"/>
      <c r="W339" s="146"/>
      <c r="X339" s="92"/>
      <c r="Y339" s="146"/>
      <c r="Z339" s="186" t="str">
        <f t="shared" si="23"/>
        <v/>
      </c>
      <c r="AA339" s="217" t="b">
        <f t="shared" si="22"/>
        <v>0</v>
      </c>
      <c r="AB339" s="92"/>
      <c r="AC339" s="164" t="s">
        <v>6</v>
      </c>
      <c r="AD339" s="151" t="str">
        <f t="shared" si="24"/>
        <v>GUARULHOS</v>
      </c>
      <c r="AE339" s="96" t="s">
        <v>63</v>
      </c>
      <c r="AF339" s="53">
        <v>0.81691127790368401</v>
      </c>
      <c r="AG339" s="53" t="str" cm="1">
        <f t="array" ref="AG339">IF(OR(O339&lt;&gt;"", SUMPRODUCT(($AH$2:$AH$4999=AH339)*($AF$2:$AF$4999&lt;=AF339)) &lt;= (COUNTIF($AH$2:$AH$4999,AH339)*0.3)), "SORTEADO", "-")</f>
        <v>-</v>
      </c>
      <c r="AH339" s="257" t="str">
        <f t="shared" si="20"/>
        <v>14/04/2026</v>
      </c>
    </row>
    <row r="340" spans="1:34" ht="30" hidden="1" customHeight="1" x14ac:dyDescent="0.2">
      <c r="A340" s="230" t="s">
        <v>197</v>
      </c>
      <c r="B340" s="255">
        <v>2615145459</v>
      </c>
      <c r="C340" s="230" t="s">
        <v>134</v>
      </c>
      <c r="D340" s="230" t="s">
        <v>124</v>
      </c>
      <c r="E340" s="230" t="s">
        <v>198</v>
      </c>
      <c r="F340" s="230" t="s">
        <v>3733</v>
      </c>
      <c r="G340" s="230">
        <v>5</v>
      </c>
      <c r="H340" s="230" t="s">
        <v>235</v>
      </c>
      <c r="I340" s="230" t="s">
        <v>667</v>
      </c>
      <c r="J340" s="230" t="s">
        <v>3285</v>
      </c>
      <c r="K340" s="230" t="s">
        <v>3734</v>
      </c>
      <c r="L340" s="230" t="s">
        <v>1032</v>
      </c>
      <c r="M340" s="230" t="s">
        <v>3735</v>
      </c>
      <c r="N340" s="230" t="s">
        <v>408</v>
      </c>
      <c r="O340" s="158"/>
      <c r="P340" s="92"/>
      <c r="Q340" s="146"/>
      <c r="R340" s="92"/>
      <c r="S340" s="146"/>
      <c r="T340" s="92"/>
      <c r="U340" s="146"/>
      <c r="V340" s="92"/>
      <c r="W340" s="146"/>
      <c r="X340" s="92"/>
      <c r="Y340" s="146"/>
      <c r="Z340" s="186" t="str">
        <f t="shared" si="23"/>
        <v/>
      </c>
      <c r="AA340" s="217" t="b">
        <f t="shared" si="22"/>
        <v>0</v>
      </c>
      <c r="AB340" s="92"/>
      <c r="AC340" s="164" t="s">
        <v>6</v>
      </c>
      <c r="AD340" s="151" t="str">
        <f t="shared" si="24"/>
        <v>GUARULHOS</v>
      </c>
      <c r="AE340" s="96" t="s">
        <v>63</v>
      </c>
      <c r="AF340" s="53">
        <v>0.47829254020065215</v>
      </c>
      <c r="AG340" s="53" t="str" cm="1">
        <f t="array" ref="AG340">IF(OR(O340&lt;&gt;"", SUMPRODUCT(($AH$2:$AH$4999=AH340)*($AF$2:$AF$4999&lt;=AF340)) &lt;= (COUNTIF($AH$2:$AH$4999,AH340)*0.3)), "SORTEADO", "-")</f>
        <v>-</v>
      </c>
      <c r="AH340" s="257" t="str">
        <f t="shared" si="20"/>
        <v>14/04/2026</v>
      </c>
    </row>
    <row r="341" spans="1:34" ht="30" hidden="1" customHeight="1" x14ac:dyDescent="0.2">
      <c r="A341" s="230" t="s">
        <v>197</v>
      </c>
      <c r="B341" s="255">
        <v>2615146195</v>
      </c>
      <c r="C341" s="230" t="s">
        <v>134</v>
      </c>
      <c r="D341" s="230" t="s">
        <v>124</v>
      </c>
      <c r="E341" s="230" t="s">
        <v>198</v>
      </c>
      <c r="F341" s="230" t="s">
        <v>3733</v>
      </c>
      <c r="G341" s="230">
        <v>5</v>
      </c>
      <c r="H341" s="230" t="s">
        <v>252</v>
      </c>
      <c r="I341" s="230" t="s">
        <v>667</v>
      </c>
      <c r="J341" s="230" t="s">
        <v>3285</v>
      </c>
      <c r="K341" s="230"/>
      <c r="L341" s="230" t="s">
        <v>1032</v>
      </c>
      <c r="M341" s="230" t="s">
        <v>1140</v>
      </c>
      <c r="N341" s="230" t="s">
        <v>408</v>
      </c>
      <c r="O341" s="158"/>
      <c r="P341" s="92"/>
      <c r="Q341" s="146"/>
      <c r="R341" s="92"/>
      <c r="S341" s="146"/>
      <c r="T341" s="92"/>
      <c r="U341" s="146"/>
      <c r="V341" s="92"/>
      <c r="W341" s="146"/>
      <c r="X341" s="92"/>
      <c r="Y341" s="146"/>
      <c r="Z341" s="186" t="str">
        <f t="shared" si="23"/>
        <v/>
      </c>
      <c r="AA341" s="217" t="b">
        <f t="shared" si="22"/>
        <v>0</v>
      </c>
      <c r="AB341" s="92"/>
      <c r="AC341" s="164" t="s">
        <v>6</v>
      </c>
      <c r="AD341" s="151" t="str">
        <f t="shared" si="24"/>
        <v>GUARULHOS</v>
      </c>
      <c r="AE341" s="96" t="s">
        <v>63</v>
      </c>
      <c r="AF341" s="53">
        <v>0.59504975304368002</v>
      </c>
      <c r="AG341" s="53" t="str" cm="1">
        <f t="array" ref="AG341">IF(OR(O341&lt;&gt;"", SUMPRODUCT(($AH$2:$AH$4999=AH341)*($AF$2:$AF$4999&lt;=AF341)) &lt;= (COUNTIF($AH$2:$AH$4999,AH341)*0.3)), "SORTEADO", "-")</f>
        <v>-</v>
      </c>
      <c r="AH341" s="257" t="str">
        <f t="shared" si="20"/>
        <v>14/04/2026</v>
      </c>
    </row>
    <row r="342" spans="1:34" ht="30" customHeight="1" x14ac:dyDescent="0.2">
      <c r="A342" s="230" t="s">
        <v>197</v>
      </c>
      <c r="B342" s="255">
        <v>2615609133</v>
      </c>
      <c r="C342" s="230" t="s">
        <v>126</v>
      </c>
      <c r="D342" s="230" t="s">
        <v>63</v>
      </c>
      <c r="E342" s="230" t="s">
        <v>198</v>
      </c>
      <c r="F342" s="230" t="s">
        <v>1950</v>
      </c>
      <c r="G342" s="230">
        <v>352</v>
      </c>
      <c r="H342" s="230" t="s">
        <v>2537</v>
      </c>
      <c r="I342" s="230" t="s">
        <v>379</v>
      </c>
      <c r="J342" s="230" t="s">
        <v>3275</v>
      </c>
      <c r="K342" s="230" t="s">
        <v>213</v>
      </c>
      <c r="L342" s="230" t="s">
        <v>1032</v>
      </c>
      <c r="M342" s="230" t="s">
        <v>3736</v>
      </c>
      <c r="N342" s="230" t="s">
        <v>3338</v>
      </c>
      <c r="O342" s="158" t="s">
        <v>204</v>
      </c>
      <c r="P342" s="92"/>
      <c r="Q342" s="146" t="s">
        <v>204</v>
      </c>
      <c r="R342" s="92"/>
      <c r="S342" s="146" t="s">
        <v>204</v>
      </c>
      <c r="T342" s="92"/>
      <c r="U342" s="146" t="s">
        <v>204</v>
      </c>
      <c r="V342" s="92"/>
      <c r="W342" s="146" t="s">
        <v>204</v>
      </c>
      <c r="X342" s="92"/>
      <c r="Y342" s="146" t="s">
        <v>204</v>
      </c>
      <c r="Z342" s="186" t="str">
        <f t="shared" si="23"/>
        <v>C</v>
      </c>
      <c r="AA342" s="217" t="str">
        <f t="shared" si="22"/>
        <v>UTILIZOU O PDA CORRETAMENTE</v>
      </c>
      <c r="AB342" s="92" t="s">
        <v>204</v>
      </c>
      <c r="AC342" s="164" t="s">
        <v>6</v>
      </c>
      <c r="AD342" s="151" t="str">
        <f t="shared" si="24"/>
        <v>GUARULHOS</v>
      </c>
      <c r="AE342" s="96" t="s">
        <v>63</v>
      </c>
      <c r="AF342" s="53">
        <v>0.18173846790744547</v>
      </c>
      <c r="AG342" s="53" t="str" cm="1">
        <f t="array" ref="AG342">IF(OR(O342&lt;&gt;"", SUMPRODUCT(($AH$2:$AH$4999=AH342)*($AF$2:$AF$4999&lt;=AF342)) &lt;= (COUNTIF($AH$2:$AH$4999,AH342)*0.3)), "SORTEADO", "-")</f>
        <v>SORTEADO</v>
      </c>
      <c r="AH342" s="257" t="str">
        <f t="shared" si="20"/>
        <v>14/04/2026</v>
      </c>
    </row>
    <row r="343" spans="1:34" ht="30" hidden="1" customHeight="1" x14ac:dyDescent="0.2">
      <c r="A343" s="230" t="s">
        <v>197</v>
      </c>
      <c r="B343" s="255">
        <v>2690454001</v>
      </c>
      <c r="C343" s="230" t="s">
        <v>133</v>
      </c>
      <c r="D343" s="230" t="s">
        <v>124</v>
      </c>
      <c r="E343" s="230" t="s">
        <v>198</v>
      </c>
      <c r="F343" s="230" t="s">
        <v>3737</v>
      </c>
      <c r="G343" s="230">
        <v>136</v>
      </c>
      <c r="H343" s="230" t="s">
        <v>2981</v>
      </c>
      <c r="I343" s="230" t="s">
        <v>664</v>
      </c>
      <c r="J343" s="230" t="s">
        <v>3275</v>
      </c>
      <c r="K343" s="230" t="s">
        <v>3363</v>
      </c>
      <c r="L343" s="230" t="s">
        <v>1032</v>
      </c>
      <c r="M343" s="230" t="s">
        <v>1052</v>
      </c>
      <c r="N343" s="230" t="s">
        <v>3276</v>
      </c>
      <c r="O343" s="158"/>
      <c r="P343" s="92"/>
      <c r="Q343" s="146"/>
      <c r="R343" s="92"/>
      <c r="S343" s="146"/>
      <c r="T343" s="92"/>
      <c r="U343" s="146"/>
      <c r="V343" s="92"/>
      <c r="W343" s="146"/>
      <c r="X343" s="92"/>
      <c r="Y343" s="146"/>
      <c r="Z343" s="186" t="str">
        <f t="shared" si="23"/>
        <v/>
      </c>
      <c r="AA343" s="217" t="b">
        <f t="shared" si="22"/>
        <v>0</v>
      </c>
      <c r="AB343" s="92"/>
      <c r="AC343" s="164" t="s">
        <v>6</v>
      </c>
      <c r="AD343" s="151" t="str">
        <f t="shared" si="24"/>
        <v>GUARULHOS</v>
      </c>
      <c r="AE343" s="96" t="s">
        <v>63</v>
      </c>
      <c r="AF343" s="53">
        <v>0.94198867647942297</v>
      </c>
      <c r="AG343" s="53" t="str" cm="1">
        <f t="array" ref="AG343">IF(OR(O343&lt;&gt;"", SUMPRODUCT(($AH$2:$AH$4999=AH343)*($AF$2:$AF$4999&lt;=AF343)) &lt;= (COUNTIF($AH$2:$AH$4999,AH343)*0.3)), "SORTEADO", "-")</f>
        <v>-</v>
      </c>
      <c r="AH343" s="257" t="str">
        <f t="shared" si="20"/>
        <v>14/04/2026</v>
      </c>
    </row>
    <row r="344" spans="1:34" ht="30" hidden="1" customHeight="1" x14ac:dyDescent="0.2">
      <c r="A344" s="230" t="s">
        <v>197</v>
      </c>
      <c r="B344" s="255">
        <v>2615542551</v>
      </c>
      <c r="C344" s="230" t="s">
        <v>133</v>
      </c>
      <c r="D344" s="230" t="s">
        <v>124</v>
      </c>
      <c r="E344" s="230" t="s">
        <v>198</v>
      </c>
      <c r="F344" s="230" t="s">
        <v>2151</v>
      </c>
      <c r="G344" s="230">
        <v>32</v>
      </c>
      <c r="H344" s="230"/>
      <c r="I344" s="230" t="s">
        <v>1445</v>
      </c>
      <c r="J344" s="230" t="s">
        <v>3275</v>
      </c>
      <c r="K344" s="230"/>
      <c r="L344" s="230" t="s">
        <v>1032</v>
      </c>
      <c r="M344" s="230" t="s">
        <v>3738</v>
      </c>
      <c r="N344" s="230" t="s">
        <v>3338</v>
      </c>
      <c r="O344" s="158"/>
      <c r="P344" s="92"/>
      <c r="Q344" s="146"/>
      <c r="R344" s="92"/>
      <c r="S344" s="146"/>
      <c r="T344" s="92"/>
      <c r="U344" s="146"/>
      <c r="V344" s="92"/>
      <c r="W344" s="146"/>
      <c r="X344" s="92"/>
      <c r="Y344" s="146"/>
      <c r="Z344" s="186" t="str">
        <f t="shared" si="23"/>
        <v/>
      </c>
      <c r="AA344" s="217" t="b">
        <f t="shared" si="22"/>
        <v>0</v>
      </c>
      <c r="AB344" s="92"/>
      <c r="AC344" s="164" t="s">
        <v>6</v>
      </c>
      <c r="AD344" s="151" t="str">
        <f t="shared" si="24"/>
        <v>GUARULHOS</v>
      </c>
      <c r="AE344" s="96" t="s">
        <v>63</v>
      </c>
      <c r="AF344" s="53">
        <v>0.35746947227648895</v>
      </c>
      <c r="AG344" s="53" t="str" cm="1">
        <f t="array" ref="AG344">IF(OR(O344&lt;&gt;"", SUMPRODUCT(($AH$2:$AH$4999=AH344)*($AF$2:$AF$4999&lt;=AF344)) &lt;= (COUNTIF($AH$2:$AH$4999,AH344)*0.3)), "SORTEADO", "-")</f>
        <v>-</v>
      </c>
      <c r="AH344" s="257" t="str">
        <f t="shared" si="20"/>
        <v>14/04/2026</v>
      </c>
    </row>
    <row r="345" spans="1:34" ht="30" hidden="1" customHeight="1" x14ac:dyDescent="0.2">
      <c r="A345" s="230" t="s">
        <v>197</v>
      </c>
      <c r="B345" s="255">
        <v>2690553974</v>
      </c>
      <c r="C345" s="230" t="s">
        <v>127</v>
      </c>
      <c r="D345" s="230" t="s">
        <v>63</v>
      </c>
      <c r="E345" s="230" t="s">
        <v>198</v>
      </c>
      <c r="F345" s="230" t="s">
        <v>1030</v>
      </c>
      <c r="G345" s="230">
        <v>174</v>
      </c>
      <c r="H345" s="230" t="s">
        <v>2615</v>
      </c>
      <c r="I345" s="230" t="s">
        <v>859</v>
      </c>
      <c r="J345" s="230" t="s">
        <v>3275</v>
      </c>
      <c r="K345" s="230" t="s">
        <v>213</v>
      </c>
      <c r="L345" s="230" t="s">
        <v>1032</v>
      </c>
      <c r="M345" s="230" t="s">
        <v>3739</v>
      </c>
      <c r="N345" s="230" t="s">
        <v>3338</v>
      </c>
      <c r="O345" s="158"/>
      <c r="P345" s="92"/>
      <c r="Q345" s="146"/>
      <c r="R345" s="92"/>
      <c r="S345" s="146"/>
      <c r="T345" s="92"/>
      <c r="U345" s="146"/>
      <c r="V345" s="92"/>
      <c r="W345" s="146"/>
      <c r="X345" s="92"/>
      <c r="Y345" s="146"/>
      <c r="Z345" s="186" t="str">
        <f t="shared" si="23"/>
        <v/>
      </c>
      <c r="AA345" s="217" t="b">
        <f t="shared" si="22"/>
        <v>0</v>
      </c>
      <c r="AB345" s="92"/>
      <c r="AC345" s="164" t="s">
        <v>6</v>
      </c>
      <c r="AD345" s="151" t="str">
        <f t="shared" si="24"/>
        <v>GUARULHOS</v>
      </c>
      <c r="AE345" s="96" t="s">
        <v>63</v>
      </c>
      <c r="AF345" s="53">
        <v>0.24014324978525223</v>
      </c>
      <c r="AG345" s="53" t="str" cm="1">
        <f t="array" ref="AG345">IF(OR(O345&lt;&gt;"", SUMPRODUCT(($AH$2:$AH$4999=AH345)*($AF$2:$AF$4999&lt;=AF345)) &lt;= (COUNTIF($AH$2:$AH$4999,AH345)*0.3)), "SORTEADO", "-")</f>
        <v>-</v>
      </c>
      <c r="AH345" s="257" t="str">
        <f t="shared" si="20"/>
        <v>14/04/2026</v>
      </c>
    </row>
    <row r="346" spans="1:34" ht="30" customHeight="1" x14ac:dyDescent="0.2">
      <c r="A346" s="230" t="s">
        <v>197</v>
      </c>
      <c r="B346" s="255">
        <v>2615543069</v>
      </c>
      <c r="C346" s="230" t="s">
        <v>133</v>
      </c>
      <c r="D346" s="230" t="s">
        <v>124</v>
      </c>
      <c r="E346" s="230" t="s">
        <v>198</v>
      </c>
      <c r="F346" s="230" t="s">
        <v>216</v>
      </c>
      <c r="G346" s="230">
        <v>110</v>
      </c>
      <c r="H346" s="230" t="s">
        <v>211</v>
      </c>
      <c r="I346" s="230" t="s">
        <v>247</v>
      </c>
      <c r="J346" s="230" t="s">
        <v>3275</v>
      </c>
      <c r="K346" s="230" t="s">
        <v>213</v>
      </c>
      <c r="L346" s="230" t="s">
        <v>1032</v>
      </c>
      <c r="M346" s="230" t="s">
        <v>3740</v>
      </c>
      <c r="N346" s="230" t="s">
        <v>3289</v>
      </c>
      <c r="O346" s="158" t="s">
        <v>204</v>
      </c>
      <c r="P346" s="92"/>
      <c r="Q346" s="146" t="s">
        <v>204</v>
      </c>
      <c r="R346" s="92"/>
      <c r="S346" s="146" t="s">
        <v>204</v>
      </c>
      <c r="T346" s="92"/>
      <c r="U346" s="146" t="s">
        <v>204</v>
      </c>
      <c r="V346" s="92"/>
      <c r="W346" s="146" t="s">
        <v>204</v>
      </c>
      <c r="X346" s="92"/>
      <c r="Y346" s="146" t="s">
        <v>204</v>
      </c>
      <c r="Z346" s="186" t="str">
        <f t="shared" si="23"/>
        <v>C</v>
      </c>
      <c r="AA346" s="217" t="str">
        <f t="shared" si="22"/>
        <v>UTILIZOU O PDA CORRETAMENTE</v>
      </c>
      <c r="AB346" s="92" t="s">
        <v>204</v>
      </c>
      <c r="AC346" s="164" t="s">
        <v>6</v>
      </c>
      <c r="AD346" s="151" t="str">
        <f t="shared" si="24"/>
        <v>GUARULHOS</v>
      </c>
      <c r="AE346" s="96" t="s">
        <v>63</v>
      </c>
      <c r="AF346" s="53">
        <v>0.18212132527372188</v>
      </c>
      <c r="AG346" s="53" t="str" cm="1">
        <f t="array" ref="AG346">IF(OR(O346&lt;&gt;"", SUMPRODUCT(($AH$2:$AH$4999=AH346)*($AF$2:$AF$4999&lt;=AF346)) &lt;= (COUNTIF($AH$2:$AH$4999,AH346)*0.3)), "SORTEADO", "-")</f>
        <v>SORTEADO</v>
      </c>
      <c r="AH346" s="257" t="str">
        <f t="shared" si="20"/>
        <v>14/04/2026</v>
      </c>
    </row>
    <row r="347" spans="1:34" ht="30" customHeight="1" x14ac:dyDescent="0.2">
      <c r="A347" s="230" t="s">
        <v>197</v>
      </c>
      <c r="B347" s="255">
        <v>2690515769</v>
      </c>
      <c r="C347" s="230" t="s">
        <v>127</v>
      </c>
      <c r="D347" s="230" t="s">
        <v>63</v>
      </c>
      <c r="E347" s="230" t="s">
        <v>198</v>
      </c>
      <c r="F347" s="230" t="s">
        <v>1021</v>
      </c>
      <c r="G347" s="230">
        <v>432</v>
      </c>
      <c r="H347" s="230" t="s">
        <v>213</v>
      </c>
      <c r="I347" s="230" t="s">
        <v>269</v>
      </c>
      <c r="J347" s="230" t="s">
        <v>3271</v>
      </c>
      <c r="K347" s="230" t="s">
        <v>213</v>
      </c>
      <c r="L347" s="230" t="s">
        <v>1032</v>
      </c>
      <c r="M347" s="230" t="s">
        <v>3741</v>
      </c>
      <c r="N347" s="230" t="s">
        <v>241</v>
      </c>
      <c r="O347" s="158" t="s">
        <v>204</v>
      </c>
      <c r="P347" s="92"/>
      <c r="Q347" s="146" t="s">
        <v>204</v>
      </c>
      <c r="R347" s="92"/>
      <c r="S347" s="146" t="s">
        <v>204</v>
      </c>
      <c r="T347" s="92"/>
      <c r="U347" s="146" t="s">
        <v>204</v>
      </c>
      <c r="V347" s="92"/>
      <c r="W347" s="146" t="s">
        <v>204</v>
      </c>
      <c r="X347" s="92"/>
      <c r="Y347" s="146" t="s">
        <v>204</v>
      </c>
      <c r="Z347" s="186" t="str">
        <f t="shared" si="23"/>
        <v>C</v>
      </c>
      <c r="AA347" s="217" t="str">
        <f t="shared" si="22"/>
        <v>UTILIZOU O PDA CORRETAMENTE</v>
      </c>
      <c r="AB347" s="92" t="s">
        <v>204</v>
      </c>
      <c r="AC347" s="164" t="s">
        <v>6</v>
      </c>
      <c r="AD347" s="151" t="str">
        <f t="shared" si="24"/>
        <v>GUARULHOS</v>
      </c>
      <c r="AE347" s="96" t="s">
        <v>63</v>
      </c>
      <c r="AF347" s="53">
        <v>0.20883938764518006</v>
      </c>
      <c r="AG347" s="53" t="str" cm="1">
        <f t="array" ref="AG347">IF(OR(O347&lt;&gt;"", SUMPRODUCT(($AH$2:$AH$4999=AH347)*($AF$2:$AF$4999&lt;=AF347)) &lt;= (COUNTIF($AH$2:$AH$4999,AH347)*0.3)), "SORTEADO", "-")</f>
        <v>SORTEADO</v>
      </c>
      <c r="AH347" s="257" t="str">
        <f t="shared" si="20"/>
        <v>14/04/2026</v>
      </c>
    </row>
    <row r="348" spans="1:34" ht="30" hidden="1" customHeight="1" x14ac:dyDescent="0.2">
      <c r="A348" s="230" t="s">
        <v>197</v>
      </c>
      <c r="B348" s="255">
        <v>2690488492</v>
      </c>
      <c r="C348" s="230" t="s">
        <v>127</v>
      </c>
      <c r="D348" s="230" t="s">
        <v>63</v>
      </c>
      <c r="E348" s="230" t="s">
        <v>198</v>
      </c>
      <c r="F348" s="230" t="s">
        <v>718</v>
      </c>
      <c r="G348" s="230">
        <v>634</v>
      </c>
      <c r="H348" s="230" t="s">
        <v>2467</v>
      </c>
      <c r="I348" s="230" t="s">
        <v>315</v>
      </c>
      <c r="J348" s="230" t="s">
        <v>3271</v>
      </c>
      <c r="K348" s="230" t="s">
        <v>831</v>
      </c>
      <c r="L348" s="230" t="s">
        <v>1032</v>
      </c>
      <c r="M348" s="230" t="s">
        <v>1172</v>
      </c>
      <c r="N348" s="230" t="s">
        <v>348</v>
      </c>
      <c r="O348" s="158"/>
      <c r="P348" s="92"/>
      <c r="Q348" s="146"/>
      <c r="R348" s="92"/>
      <c r="S348" s="146"/>
      <c r="T348" s="92"/>
      <c r="U348" s="146"/>
      <c r="V348" s="92"/>
      <c r="W348" s="146"/>
      <c r="X348" s="92"/>
      <c r="Y348" s="146"/>
      <c r="Z348" s="186" t="str">
        <f t="shared" si="23"/>
        <v/>
      </c>
      <c r="AA348" s="217" t="b">
        <f t="shared" si="22"/>
        <v>0</v>
      </c>
      <c r="AB348" s="92"/>
      <c r="AC348" s="164" t="s">
        <v>6</v>
      </c>
      <c r="AD348" s="151" t="str">
        <f t="shared" si="24"/>
        <v>GUARULHOS</v>
      </c>
      <c r="AE348" s="96" t="s">
        <v>63</v>
      </c>
      <c r="AF348" s="53">
        <v>0.40055159552932851</v>
      </c>
      <c r="AG348" s="53" t="str" cm="1">
        <f t="array" ref="AG348">IF(OR(O348&lt;&gt;"", SUMPRODUCT(($AH$2:$AH$4999=AH348)*($AF$2:$AF$4999&lt;=AF348)) &lt;= (COUNTIF($AH$2:$AH$4999,AH348)*0.3)), "SORTEADO", "-")</f>
        <v>-</v>
      </c>
      <c r="AH348" s="257" t="str">
        <f t="shared" si="20"/>
        <v>14/04/2026</v>
      </c>
    </row>
    <row r="349" spans="1:34" ht="30" customHeight="1" x14ac:dyDescent="0.2">
      <c r="A349" s="230" t="s">
        <v>197</v>
      </c>
      <c r="B349" s="255">
        <v>2690448613</v>
      </c>
      <c r="C349" s="230" t="s">
        <v>133</v>
      </c>
      <c r="D349" s="230" t="s">
        <v>124</v>
      </c>
      <c r="E349" s="230" t="s">
        <v>198</v>
      </c>
      <c r="F349" s="230" t="s">
        <v>3742</v>
      </c>
      <c r="G349" s="230">
        <v>67</v>
      </c>
      <c r="H349" s="230"/>
      <c r="I349" s="230" t="s">
        <v>3613</v>
      </c>
      <c r="J349" s="230" t="s">
        <v>3275</v>
      </c>
      <c r="K349" s="230" t="s">
        <v>3344</v>
      </c>
      <c r="L349" s="230" t="s">
        <v>1032</v>
      </c>
      <c r="M349" s="230" t="s">
        <v>3743</v>
      </c>
      <c r="N349" s="230" t="s">
        <v>3289</v>
      </c>
      <c r="O349" s="158" t="s">
        <v>204</v>
      </c>
      <c r="P349" s="92"/>
      <c r="Q349" s="146" t="s">
        <v>204</v>
      </c>
      <c r="R349" s="92"/>
      <c r="S349" s="146" t="s">
        <v>204</v>
      </c>
      <c r="T349" s="92"/>
      <c r="U349" s="146" t="s">
        <v>204</v>
      </c>
      <c r="V349" s="92"/>
      <c r="W349" s="146" t="s">
        <v>204</v>
      </c>
      <c r="X349" s="92"/>
      <c r="Y349" s="146" t="s">
        <v>204</v>
      </c>
      <c r="Z349" s="186" t="str">
        <f t="shared" si="23"/>
        <v>C</v>
      </c>
      <c r="AA349" s="217" t="str">
        <f t="shared" si="22"/>
        <v>UTILIZOU O PDA CORRETAMENTE</v>
      </c>
      <c r="AB349" s="92" t="s">
        <v>204</v>
      </c>
      <c r="AC349" s="164" t="s">
        <v>6</v>
      </c>
      <c r="AD349" s="151" t="str">
        <f t="shared" si="24"/>
        <v>GUARULHOS</v>
      </c>
      <c r="AE349" s="96" t="s">
        <v>63</v>
      </c>
      <c r="AF349" s="53">
        <v>0.23962849839566763</v>
      </c>
      <c r="AG349" s="53" t="str" cm="1">
        <f t="array" ref="AG349">IF(OR(O349&lt;&gt;"", SUMPRODUCT(($AH$2:$AH$4999=AH349)*($AF$2:$AF$4999&lt;=AF349)) &lt;= (COUNTIF($AH$2:$AH$4999,AH349)*0.3)), "SORTEADO", "-")</f>
        <v>SORTEADO</v>
      </c>
      <c r="AH349" s="257" t="str">
        <f t="shared" si="20"/>
        <v>14/04/2026</v>
      </c>
    </row>
    <row r="350" spans="1:34" ht="30" hidden="1" customHeight="1" x14ac:dyDescent="0.2">
      <c r="A350" s="230" t="s">
        <v>197</v>
      </c>
      <c r="B350" s="255">
        <v>2690508508</v>
      </c>
      <c r="C350" s="230" t="s">
        <v>131</v>
      </c>
      <c r="D350" s="230" t="s">
        <v>63</v>
      </c>
      <c r="E350" s="230" t="s">
        <v>198</v>
      </c>
      <c r="F350" s="230" t="s">
        <v>308</v>
      </c>
      <c r="G350" s="230">
        <v>558</v>
      </c>
      <c r="H350" s="230" t="s">
        <v>616</v>
      </c>
      <c r="I350" s="230" t="s">
        <v>262</v>
      </c>
      <c r="J350" s="230" t="s">
        <v>3273</v>
      </c>
      <c r="K350" s="230" t="s">
        <v>213</v>
      </c>
      <c r="L350" s="230" t="s">
        <v>1032</v>
      </c>
      <c r="M350" s="230" t="s">
        <v>3744</v>
      </c>
      <c r="N350" s="230" t="s">
        <v>287</v>
      </c>
      <c r="O350" s="158"/>
      <c r="P350" s="92"/>
      <c r="Q350" s="146"/>
      <c r="R350" s="92"/>
      <c r="S350" s="146"/>
      <c r="T350" s="92"/>
      <c r="U350" s="146"/>
      <c r="V350" s="92"/>
      <c r="W350" s="146"/>
      <c r="X350" s="92"/>
      <c r="Y350" s="146"/>
      <c r="Z350" s="186" t="str">
        <f t="shared" si="23"/>
        <v/>
      </c>
      <c r="AA350" s="217" t="b">
        <f t="shared" si="22"/>
        <v>0</v>
      </c>
      <c r="AB350" s="92"/>
      <c r="AC350" s="164" t="s">
        <v>6</v>
      </c>
      <c r="AD350" s="151" t="str">
        <f t="shared" si="24"/>
        <v>GUARULHOS</v>
      </c>
      <c r="AE350" s="96" t="s">
        <v>63</v>
      </c>
      <c r="AF350" s="53">
        <v>0.60591233173709469</v>
      </c>
      <c r="AG350" s="53" t="str" cm="1">
        <f t="array" ref="AG350">IF(OR(O350&lt;&gt;"", SUMPRODUCT(($AH$2:$AH$4999=AH350)*($AF$2:$AF$4999&lt;=AF350)) &lt;= (COUNTIF($AH$2:$AH$4999,AH350)*0.3)), "SORTEADO", "-")</f>
        <v>-</v>
      </c>
      <c r="AH350" s="257" t="str">
        <f t="shared" si="20"/>
        <v>14/04/2026</v>
      </c>
    </row>
    <row r="351" spans="1:34" ht="30" hidden="1" customHeight="1" x14ac:dyDescent="0.2">
      <c r="A351" s="230" t="s">
        <v>197</v>
      </c>
      <c r="B351" s="255">
        <v>2615707704</v>
      </c>
      <c r="C351" s="230" t="s">
        <v>135</v>
      </c>
      <c r="D351" s="230" t="s">
        <v>124</v>
      </c>
      <c r="E351" s="230" t="s">
        <v>198</v>
      </c>
      <c r="F351" s="230" t="s">
        <v>567</v>
      </c>
      <c r="G351" s="230">
        <v>3898</v>
      </c>
      <c r="H351" s="230" t="s">
        <v>2220</v>
      </c>
      <c r="I351" s="230" t="s">
        <v>281</v>
      </c>
      <c r="J351" s="230" t="s">
        <v>3280</v>
      </c>
      <c r="K351" s="230" t="s">
        <v>3745</v>
      </c>
      <c r="L351" s="230" t="s">
        <v>1032</v>
      </c>
      <c r="M351" s="230" t="s">
        <v>3746</v>
      </c>
      <c r="N351" s="230" t="s">
        <v>203</v>
      </c>
      <c r="O351" s="158"/>
      <c r="P351" s="92"/>
      <c r="Q351" s="146"/>
      <c r="R351" s="92"/>
      <c r="S351" s="146"/>
      <c r="T351" s="92"/>
      <c r="U351" s="146"/>
      <c r="V351" s="92"/>
      <c r="W351" s="146"/>
      <c r="X351" s="92"/>
      <c r="Y351" s="146"/>
      <c r="Z351" s="186" t="str">
        <f t="shared" si="23"/>
        <v/>
      </c>
      <c r="AA351" s="217" t="b">
        <f t="shared" si="22"/>
        <v>0</v>
      </c>
      <c r="AB351" s="92"/>
      <c r="AC351" s="164" t="s">
        <v>6</v>
      </c>
      <c r="AD351" s="151" t="str">
        <f t="shared" si="24"/>
        <v>GUARULHOS</v>
      </c>
      <c r="AE351" s="96" t="s">
        <v>63</v>
      </c>
      <c r="AF351" s="53">
        <v>0.99018321692104394</v>
      </c>
      <c r="AG351" s="53" t="str" cm="1">
        <f t="array" ref="AG351">IF(OR(O351&lt;&gt;"", SUMPRODUCT(($AH$2:$AH$4999=AH351)*($AF$2:$AF$4999&lt;=AF351)) &lt;= (COUNTIF($AH$2:$AH$4999,AH351)*0.3)), "SORTEADO", "-")</f>
        <v>-</v>
      </c>
      <c r="AH351" s="257" t="str">
        <f t="shared" si="20"/>
        <v>14/04/2026</v>
      </c>
    </row>
    <row r="352" spans="1:34" ht="30" hidden="1" customHeight="1" x14ac:dyDescent="0.2">
      <c r="A352" s="230" t="s">
        <v>197</v>
      </c>
      <c r="B352" s="255">
        <v>2615706836</v>
      </c>
      <c r="C352" s="230" t="s">
        <v>135</v>
      </c>
      <c r="D352" s="230" t="s">
        <v>124</v>
      </c>
      <c r="E352" s="230" t="s">
        <v>198</v>
      </c>
      <c r="F352" s="230" t="s">
        <v>567</v>
      </c>
      <c r="G352" s="230">
        <v>125</v>
      </c>
      <c r="H352" s="230" t="s">
        <v>3747</v>
      </c>
      <c r="I352" s="230" t="s">
        <v>281</v>
      </c>
      <c r="J352" s="230" t="s">
        <v>3280</v>
      </c>
      <c r="K352" s="230" t="s">
        <v>3748</v>
      </c>
      <c r="L352" s="230" t="s">
        <v>1032</v>
      </c>
      <c r="M352" s="230" t="s">
        <v>1134</v>
      </c>
      <c r="N352" s="230" t="s">
        <v>408</v>
      </c>
      <c r="O352" s="158"/>
      <c r="P352" s="92"/>
      <c r="Q352" s="146"/>
      <c r="R352" s="92"/>
      <c r="S352" s="146"/>
      <c r="T352" s="92"/>
      <c r="U352" s="146"/>
      <c r="V352" s="92"/>
      <c r="W352" s="146"/>
      <c r="X352" s="92"/>
      <c r="Y352" s="146"/>
      <c r="Z352" s="186" t="str">
        <f t="shared" si="23"/>
        <v/>
      </c>
      <c r="AA352" s="217" t="b">
        <f t="shared" si="22"/>
        <v>0</v>
      </c>
      <c r="AB352" s="92"/>
      <c r="AC352" s="164" t="s">
        <v>6</v>
      </c>
      <c r="AD352" s="151" t="str">
        <f t="shared" si="24"/>
        <v>GUARULHOS</v>
      </c>
      <c r="AE352" s="96" t="s">
        <v>63</v>
      </c>
      <c r="AF352" s="53">
        <v>0.81791615667079531</v>
      </c>
      <c r="AG352" s="53" t="str" cm="1">
        <f t="array" ref="AG352">IF(OR(O352&lt;&gt;"", SUMPRODUCT(($AH$2:$AH$4999=AH352)*($AF$2:$AF$4999&lt;=AF352)) &lt;= (COUNTIF($AH$2:$AH$4999,AH352)*0.3)), "SORTEADO", "-")</f>
        <v>-</v>
      </c>
      <c r="AH352" s="257" t="str">
        <f t="shared" si="20"/>
        <v>14/04/2026</v>
      </c>
    </row>
    <row r="353" spans="1:34" ht="30" customHeight="1" x14ac:dyDescent="0.2">
      <c r="A353" s="230" t="s">
        <v>197</v>
      </c>
      <c r="B353" s="255">
        <v>2690453790</v>
      </c>
      <c r="C353" s="230" t="s">
        <v>133</v>
      </c>
      <c r="D353" s="230" t="s">
        <v>124</v>
      </c>
      <c r="E353" s="230" t="s">
        <v>198</v>
      </c>
      <c r="F353" s="230" t="s">
        <v>748</v>
      </c>
      <c r="G353" s="230">
        <v>4</v>
      </c>
      <c r="H353" s="230" t="s">
        <v>827</v>
      </c>
      <c r="I353" s="230" t="s">
        <v>2455</v>
      </c>
      <c r="J353" s="230" t="s">
        <v>3275</v>
      </c>
      <c r="K353" s="230" t="s">
        <v>3363</v>
      </c>
      <c r="L353" s="230" t="s">
        <v>1032</v>
      </c>
      <c r="M353" s="230" t="s">
        <v>3749</v>
      </c>
      <c r="N353" s="230" t="s">
        <v>3276</v>
      </c>
      <c r="O353" s="158" t="s">
        <v>204</v>
      </c>
      <c r="P353" s="92"/>
      <c r="Q353" s="146" t="s">
        <v>204</v>
      </c>
      <c r="R353" s="92"/>
      <c r="S353" s="146" t="s">
        <v>204</v>
      </c>
      <c r="T353" s="92"/>
      <c r="U353" s="146" t="s">
        <v>204</v>
      </c>
      <c r="V353" s="92"/>
      <c r="W353" s="146" t="s">
        <v>204</v>
      </c>
      <c r="X353" s="92"/>
      <c r="Y353" s="146" t="s">
        <v>204</v>
      </c>
      <c r="Z353" s="186" t="str">
        <f t="shared" si="23"/>
        <v>C</v>
      </c>
      <c r="AA353" s="217" t="str">
        <f t="shared" si="22"/>
        <v>UTILIZOU O PDA CORRETAMENTE</v>
      </c>
      <c r="AB353" s="92" t="s">
        <v>204</v>
      </c>
      <c r="AC353" s="164" t="s">
        <v>6</v>
      </c>
      <c r="AD353" s="151" t="str">
        <f t="shared" ref="AD353:AD416" si="25">E353</f>
        <v>GUARULHOS</v>
      </c>
      <c r="AE353" s="96" t="s">
        <v>63</v>
      </c>
      <c r="AF353" s="53">
        <v>8.7189266652302935E-2</v>
      </c>
      <c r="AG353" s="53" t="str" cm="1">
        <f t="array" ref="AG353">IF(OR(O353&lt;&gt;"", SUMPRODUCT(($AH$2:$AH$4999=AH353)*($AF$2:$AF$4999&lt;=AF353)) &lt;= (COUNTIF($AH$2:$AH$4999,AH353)*0.3)), "SORTEADO", "-")</f>
        <v>SORTEADO</v>
      </c>
      <c r="AH353" s="257" t="str">
        <f t="shared" si="20"/>
        <v>14/04/2026</v>
      </c>
    </row>
    <row r="354" spans="1:34" ht="30" hidden="1" customHeight="1" x14ac:dyDescent="0.2">
      <c r="A354" s="230" t="s">
        <v>197</v>
      </c>
      <c r="B354" s="255">
        <v>2615712411</v>
      </c>
      <c r="C354" s="230" t="s">
        <v>135</v>
      </c>
      <c r="D354" s="230" t="s">
        <v>124</v>
      </c>
      <c r="E354" s="230" t="s">
        <v>198</v>
      </c>
      <c r="F354" s="230" t="s">
        <v>3750</v>
      </c>
      <c r="G354" s="230">
        <v>67</v>
      </c>
      <c r="H354" s="230" t="s">
        <v>213</v>
      </c>
      <c r="I354" s="230" t="s">
        <v>214</v>
      </c>
      <c r="J354" s="230" t="s">
        <v>3280</v>
      </c>
      <c r="K354" s="230" t="s">
        <v>213</v>
      </c>
      <c r="L354" s="230" t="s">
        <v>1032</v>
      </c>
      <c r="M354" s="230" t="s">
        <v>3751</v>
      </c>
      <c r="N354" s="230" t="s">
        <v>3276</v>
      </c>
      <c r="O354" s="158"/>
      <c r="P354" s="92"/>
      <c r="Q354" s="146"/>
      <c r="R354" s="92"/>
      <c r="S354" s="146"/>
      <c r="T354" s="92"/>
      <c r="U354" s="146"/>
      <c r="V354" s="92"/>
      <c r="W354" s="146"/>
      <c r="X354" s="92"/>
      <c r="Y354" s="146"/>
      <c r="Z354" s="186" t="str">
        <f t="shared" si="23"/>
        <v/>
      </c>
      <c r="AA354" s="217" t="b">
        <f t="shared" si="22"/>
        <v>0</v>
      </c>
      <c r="AB354" s="92"/>
      <c r="AC354" s="164" t="s">
        <v>6</v>
      </c>
      <c r="AD354" s="151" t="str">
        <f t="shared" si="25"/>
        <v>GUARULHOS</v>
      </c>
      <c r="AE354" s="96" t="s">
        <v>63</v>
      </c>
      <c r="AF354" s="53">
        <v>0.50278078644675916</v>
      </c>
      <c r="AG354" s="53" t="str" cm="1">
        <f t="array" ref="AG354">IF(OR(O354&lt;&gt;"", SUMPRODUCT(($AH$2:$AH$4999=AH354)*($AF$2:$AF$4999&lt;=AF354)) &lt;= (COUNTIF($AH$2:$AH$4999,AH354)*0.3)), "SORTEADO", "-")</f>
        <v>-</v>
      </c>
      <c r="AH354" s="257" t="str">
        <f t="shared" si="20"/>
        <v>14/04/2026</v>
      </c>
    </row>
    <row r="355" spans="1:34" ht="30" hidden="1" customHeight="1" x14ac:dyDescent="0.2">
      <c r="A355" s="230" t="s">
        <v>197</v>
      </c>
      <c r="B355" s="255">
        <v>2615589173</v>
      </c>
      <c r="C355" s="230" t="s">
        <v>133</v>
      </c>
      <c r="D355" s="230" t="s">
        <v>124</v>
      </c>
      <c r="E355" s="230" t="s">
        <v>198</v>
      </c>
      <c r="F355" s="230" t="s">
        <v>3752</v>
      </c>
      <c r="G355" s="230">
        <v>118</v>
      </c>
      <c r="H355" s="230"/>
      <c r="I355" s="230" t="s">
        <v>772</v>
      </c>
      <c r="J355" s="230" t="s">
        <v>3275</v>
      </c>
      <c r="K355" s="230"/>
      <c r="L355" s="230" t="s">
        <v>1032</v>
      </c>
      <c r="M355" s="230" t="s">
        <v>3753</v>
      </c>
      <c r="N355" s="230" t="s">
        <v>294</v>
      </c>
      <c r="O355" s="158"/>
      <c r="P355" s="92"/>
      <c r="Q355" s="146"/>
      <c r="R355" s="92"/>
      <c r="S355" s="146"/>
      <c r="T355" s="92"/>
      <c r="U355" s="146"/>
      <c r="V355" s="92"/>
      <c r="W355" s="146"/>
      <c r="X355" s="92"/>
      <c r="Y355" s="146"/>
      <c r="Z355" s="186" t="str">
        <f t="shared" si="23"/>
        <v/>
      </c>
      <c r="AA355" s="217" t="b">
        <f t="shared" si="22"/>
        <v>0</v>
      </c>
      <c r="AB355" s="92"/>
      <c r="AC355" s="164" t="s">
        <v>6</v>
      </c>
      <c r="AD355" s="151" t="str">
        <f t="shared" si="25"/>
        <v>GUARULHOS</v>
      </c>
      <c r="AE355" s="96" t="s">
        <v>63</v>
      </c>
      <c r="AF355" s="53">
        <v>0.66651732532726382</v>
      </c>
      <c r="AG355" s="53" t="str" cm="1">
        <f t="array" ref="AG355">IF(OR(O355&lt;&gt;"", SUMPRODUCT(($AH$2:$AH$4999=AH355)*($AF$2:$AF$4999&lt;=AF355)) &lt;= (COUNTIF($AH$2:$AH$4999,AH355)*0.3)), "SORTEADO", "-")</f>
        <v>-</v>
      </c>
      <c r="AH355" s="257" t="str">
        <f t="shared" si="20"/>
        <v>14/04/2026</v>
      </c>
    </row>
    <row r="356" spans="1:34" ht="30" customHeight="1" x14ac:dyDescent="0.2">
      <c r="A356" s="230" t="s">
        <v>197</v>
      </c>
      <c r="B356" s="255">
        <v>2615709594</v>
      </c>
      <c r="C356" s="230" t="s">
        <v>127</v>
      </c>
      <c r="D356" s="230" t="s">
        <v>63</v>
      </c>
      <c r="E356" s="230" t="s">
        <v>198</v>
      </c>
      <c r="F356" s="230" t="s">
        <v>3754</v>
      </c>
      <c r="G356" s="230">
        <v>569</v>
      </c>
      <c r="H356" s="230" t="s">
        <v>213</v>
      </c>
      <c r="I356" s="230" t="s">
        <v>200</v>
      </c>
      <c r="J356" s="230" t="s">
        <v>3275</v>
      </c>
      <c r="K356" s="230" t="s">
        <v>213</v>
      </c>
      <c r="L356" s="230" t="s">
        <v>1032</v>
      </c>
      <c r="M356" s="230" t="s">
        <v>3755</v>
      </c>
      <c r="N356" s="230" t="s">
        <v>3276</v>
      </c>
      <c r="O356" s="158" t="s">
        <v>204</v>
      </c>
      <c r="P356" s="92"/>
      <c r="Q356" s="146" t="s">
        <v>204</v>
      </c>
      <c r="R356" s="92"/>
      <c r="S356" s="146" t="s">
        <v>204</v>
      </c>
      <c r="T356" s="92"/>
      <c r="U356" s="146" t="s">
        <v>204</v>
      </c>
      <c r="V356" s="92"/>
      <c r="W356" s="146" t="s">
        <v>204</v>
      </c>
      <c r="X356" s="92"/>
      <c r="Y356" s="146" t="s">
        <v>204</v>
      </c>
      <c r="Z356" s="186" t="str">
        <f t="shared" si="23"/>
        <v>C</v>
      </c>
      <c r="AA356" s="217" t="str">
        <f t="shared" si="22"/>
        <v>UTILIZOU O PDA CORRETAMENTE</v>
      </c>
      <c r="AB356" s="92" t="s">
        <v>204</v>
      </c>
      <c r="AC356" s="164" t="s">
        <v>6</v>
      </c>
      <c r="AD356" s="151" t="str">
        <f t="shared" si="25"/>
        <v>GUARULHOS</v>
      </c>
      <c r="AE356" s="96" t="s">
        <v>63</v>
      </c>
      <c r="AF356" s="53">
        <v>0.10179150183480565</v>
      </c>
      <c r="AG356" s="53" t="str" cm="1">
        <f t="array" ref="AG356">IF(OR(O356&lt;&gt;"", SUMPRODUCT(($AH$2:$AH$4999=AH356)*($AF$2:$AF$4999&lt;=AF356)) &lt;= (COUNTIF($AH$2:$AH$4999,AH356)*0.3)), "SORTEADO", "-")</f>
        <v>SORTEADO</v>
      </c>
      <c r="AH356" s="257" t="str">
        <f t="shared" si="20"/>
        <v>14/04/2026</v>
      </c>
    </row>
    <row r="357" spans="1:34" ht="30" hidden="1" customHeight="1" x14ac:dyDescent="0.2">
      <c r="A357" s="230" t="s">
        <v>197</v>
      </c>
      <c r="B357" s="255">
        <v>2690560877</v>
      </c>
      <c r="C357" s="230" t="s">
        <v>131</v>
      </c>
      <c r="D357" s="230" t="s">
        <v>63</v>
      </c>
      <c r="E357" s="230" t="s">
        <v>198</v>
      </c>
      <c r="F357" s="230" t="s">
        <v>3756</v>
      </c>
      <c r="G357" s="230">
        <v>467</v>
      </c>
      <c r="H357" s="230"/>
      <c r="I357" s="230" t="s">
        <v>480</v>
      </c>
      <c r="J357" s="230" t="s">
        <v>3273</v>
      </c>
      <c r="K357" s="230"/>
      <c r="L357" s="230" t="s">
        <v>1032</v>
      </c>
      <c r="M357" s="230" t="s">
        <v>3757</v>
      </c>
      <c r="N357" s="230" t="s">
        <v>1099</v>
      </c>
      <c r="O357" s="158"/>
      <c r="P357" s="92"/>
      <c r="Q357" s="146"/>
      <c r="R357" s="92"/>
      <c r="S357" s="146"/>
      <c r="T357" s="92"/>
      <c r="U357" s="146"/>
      <c r="V357" s="92"/>
      <c r="W357" s="146"/>
      <c r="X357" s="92"/>
      <c r="Y357" s="146"/>
      <c r="Z357" s="186" t="str">
        <f t="shared" si="23"/>
        <v/>
      </c>
      <c r="AA357" s="217" t="b">
        <f t="shared" si="22"/>
        <v>0</v>
      </c>
      <c r="AB357" s="92"/>
      <c r="AC357" s="164" t="s">
        <v>6</v>
      </c>
      <c r="AD357" s="151" t="str">
        <f t="shared" si="25"/>
        <v>GUARULHOS</v>
      </c>
      <c r="AE357" s="96" t="s">
        <v>63</v>
      </c>
      <c r="AF357" s="53">
        <v>0.27967034668002516</v>
      </c>
      <c r="AG357" s="53" t="str" cm="1">
        <f t="array" ref="AG357">IF(OR(O357&lt;&gt;"", SUMPRODUCT(($AH$2:$AH$4999=AH357)*($AF$2:$AF$4999&lt;=AF357)) &lt;= (COUNTIF($AH$2:$AH$4999,AH357)*0.3)), "SORTEADO", "-")</f>
        <v>-</v>
      </c>
      <c r="AH357" s="257" t="str">
        <f t="shared" si="20"/>
        <v>14/04/2026</v>
      </c>
    </row>
    <row r="358" spans="1:34" ht="30" customHeight="1" x14ac:dyDescent="0.2">
      <c r="A358" s="230" t="s">
        <v>197</v>
      </c>
      <c r="B358" s="255">
        <v>2690565863</v>
      </c>
      <c r="C358" s="230" t="s">
        <v>131</v>
      </c>
      <c r="D358" s="230" t="s">
        <v>63</v>
      </c>
      <c r="E358" s="230" t="s">
        <v>198</v>
      </c>
      <c r="F358" s="230" t="s">
        <v>358</v>
      </c>
      <c r="G358" s="230">
        <v>1084</v>
      </c>
      <c r="H358" s="230" t="s">
        <v>3758</v>
      </c>
      <c r="I358" s="230" t="s">
        <v>262</v>
      </c>
      <c r="J358" s="230" t="s">
        <v>3271</v>
      </c>
      <c r="K358" s="230" t="s">
        <v>213</v>
      </c>
      <c r="L358" s="230" t="s">
        <v>1032</v>
      </c>
      <c r="M358" s="230" t="s">
        <v>3759</v>
      </c>
      <c r="N358" s="230" t="s">
        <v>1099</v>
      </c>
      <c r="O358" s="158" t="s">
        <v>204</v>
      </c>
      <c r="P358" s="92"/>
      <c r="Q358" s="146" t="s">
        <v>204</v>
      </c>
      <c r="R358" s="92"/>
      <c r="S358" s="146" t="s">
        <v>204</v>
      </c>
      <c r="T358" s="92"/>
      <c r="U358" s="146" t="s">
        <v>204</v>
      </c>
      <c r="V358" s="92"/>
      <c r="W358" s="146" t="s">
        <v>204</v>
      </c>
      <c r="X358" s="92"/>
      <c r="Y358" s="146" t="s">
        <v>204</v>
      </c>
      <c r="Z358" s="186" t="str">
        <f t="shared" si="23"/>
        <v>C</v>
      </c>
      <c r="AA358" s="217" t="str">
        <f t="shared" si="22"/>
        <v>UTILIZOU O PDA CORRETAMENTE</v>
      </c>
      <c r="AB358" s="92" t="s">
        <v>204</v>
      </c>
      <c r="AC358" s="164" t="s">
        <v>6</v>
      </c>
      <c r="AD358" s="151" t="str">
        <f t="shared" si="25"/>
        <v>GUARULHOS</v>
      </c>
      <c r="AE358" s="96" t="s">
        <v>63</v>
      </c>
      <c r="AF358" s="53">
        <v>5.1577998093726178E-3</v>
      </c>
      <c r="AG358" s="53" t="str" cm="1">
        <f t="array" ref="AG358">IF(OR(O358&lt;&gt;"", SUMPRODUCT(($AH$2:$AH$4999=AH358)*($AF$2:$AF$4999&lt;=AF358)) &lt;= (COUNTIF($AH$2:$AH$4999,AH358)*0.3)), "SORTEADO", "-")</f>
        <v>SORTEADO</v>
      </c>
      <c r="AH358" s="257" t="str">
        <f t="shared" si="20"/>
        <v>14/04/2026</v>
      </c>
    </row>
    <row r="359" spans="1:34" ht="30" hidden="1" customHeight="1" x14ac:dyDescent="0.2">
      <c r="A359" s="230" t="s">
        <v>197</v>
      </c>
      <c r="B359" s="255">
        <v>2690509579</v>
      </c>
      <c r="C359" s="230" t="s">
        <v>133</v>
      </c>
      <c r="D359" s="230" t="s">
        <v>124</v>
      </c>
      <c r="E359" s="230" t="s">
        <v>198</v>
      </c>
      <c r="F359" s="230" t="s">
        <v>3557</v>
      </c>
      <c r="G359" s="230">
        <v>328</v>
      </c>
      <c r="H359" s="230" t="s">
        <v>3760</v>
      </c>
      <c r="I359" s="230" t="s">
        <v>269</v>
      </c>
      <c r="J359" s="230" t="s">
        <v>3275</v>
      </c>
      <c r="K359" s="230" t="s">
        <v>3761</v>
      </c>
      <c r="L359" s="230" t="s">
        <v>1032</v>
      </c>
      <c r="M359" s="230" t="s">
        <v>3762</v>
      </c>
      <c r="N359" s="230" t="s">
        <v>819</v>
      </c>
      <c r="O359" s="158"/>
      <c r="P359" s="92"/>
      <c r="Q359" s="146"/>
      <c r="R359" s="92"/>
      <c r="S359" s="146"/>
      <c r="T359" s="92"/>
      <c r="U359" s="146"/>
      <c r="V359" s="92"/>
      <c r="W359" s="146"/>
      <c r="X359" s="92"/>
      <c r="Y359" s="146"/>
      <c r="Z359" s="186" t="str">
        <f t="shared" si="23"/>
        <v/>
      </c>
      <c r="AA359" s="217" t="b">
        <f t="shared" si="22"/>
        <v>0</v>
      </c>
      <c r="AB359" s="92"/>
      <c r="AC359" s="164" t="s">
        <v>6</v>
      </c>
      <c r="AD359" s="151" t="str">
        <f t="shared" si="25"/>
        <v>GUARULHOS</v>
      </c>
      <c r="AE359" s="96" t="s">
        <v>63</v>
      </c>
      <c r="AF359" s="53">
        <v>0.73118251073489171</v>
      </c>
      <c r="AG359" s="53" t="str" cm="1">
        <f t="array" ref="AG359">IF(OR(O359&lt;&gt;"", SUMPRODUCT(($AH$2:$AH$4999=AH359)*($AF$2:$AF$4999&lt;=AF359)) &lt;= (COUNTIF($AH$2:$AH$4999,AH359)*0.3)), "SORTEADO", "-")</f>
        <v>-</v>
      </c>
      <c r="AH359" s="257" t="str">
        <f t="shared" si="20"/>
        <v>14/04/2026</v>
      </c>
    </row>
    <row r="360" spans="1:34" ht="30" hidden="1" customHeight="1" x14ac:dyDescent="0.2">
      <c r="A360" s="230" t="s">
        <v>197</v>
      </c>
      <c r="B360" s="255">
        <v>2690563782</v>
      </c>
      <c r="C360" s="230" t="s">
        <v>127</v>
      </c>
      <c r="D360" s="230" t="s">
        <v>63</v>
      </c>
      <c r="E360" s="230" t="s">
        <v>198</v>
      </c>
      <c r="F360" s="230" t="s">
        <v>3763</v>
      </c>
      <c r="G360" s="230">
        <v>47</v>
      </c>
      <c r="H360" s="230" t="s">
        <v>213</v>
      </c>
      <c r="I360" s="230" t="s">
        <v>445</v>
      </c>
      <c r="J360" s="230" t="s">
        <v>3275</v>
      </c>
      <c r="K360" s="230" t="s">
        <v>213</v>
      </c>
      <c r="L360" s="230" t="s">
        <v>1032</v>
      </c>
      <c r="M360" s="230" t="s">
        <v>3764</v>
      </c>
      <c r="N360" s="230" t="s">
        <v>819</v>
      </c>
      <c r="O360" s="158"/>
      <c r="P360" s="92"/>
      <c r="Q360" s="146"/>
      <c r="R360" s="92"/>
      <c r="S360" s="146"/>
      <c r="T360" s="92"/>
      <c r="U360" s="146"/>
      <c r="V360" s="92"/>
      <c r="W360" s="146"/>
      <c r="X360" s="92"/>
      <c r="Y360" s="146"/>
      <c r="Z360" s="186" t="str">
        <f t="shared" si="23"/>
        <v/>
      </c>
      <c r="AA360" s="217" t="b">
        <f t="shared" si="22"/>
        <v>0</v>
      </c>
      <c r="AB360" s="92"/>
      <c r="AC360" s="164" t="s">
        <v>6</v>
      </c>
      <c r="AD360" s="151" t="str">
        <f t="shared" si="25"/>
        <v>GUARULHOS</v>
      </c>
      <c r="AE360" s="96" t="s">
        <v>63</v>
      </c>
      <c r="AF360" s="53">
        <v>0.75063672876842757</v>
      </c>
      <c r="AG360" s="53" t="str" cm="1">
        <f t="array" ref="AG360">IF(OR(O360&lt;&gt;"", SUMPRODUCT(($AH$2:$AH$4999=AH360)*($AF$2:$AF$4999&lt;=AF360)) &lt;= (COUNTIF($AH$2:$AH$4999,AH360)*0.3)), "SORTEADO", "-")</f>
        <v>-</v>
      </c>
      <c r="AH360" s="257" t="str">
        <f t="shared" ref="AH360:AH423" si="26">TEXT(L360, "dd/mm/aaaa")</f>
        <v>14/04/2026</v>
      </c>
    </row>
    <row r="361" spans="1:34" ht="30" hidden="1" customHeight="1" x14ac:dyDescent="0.2">
      <c r="A361" s="230" t="s">
        <v>197</v>
      </c>
      <c r="B361" s="255">
        <v>2690544068</v>
      </c>
      <c r="C361" s="230" t="s">
        <v>133</v>
      </c>
      <c r="D361" s="230" t="s">
        <v>124</v>
      </c>
      <c r="E361" s="230" t="s">
        <v>198</v>
      </c>
      <c r="F361" s="230" t="s">
        <v>3765</v>
      </c>
      <c r="G361" s="230">
        <v>117</v>
      </c>
      <c r="H361" s="230" t="s">
        <v>252</v>
      </c>
      <c r="I361" s="230" t="s">
        <v>791</v>
      </c>
      <c r="J361" s="230" t="s">
        <v>3275</v>
      </c>
      <c r="K361" s="230" t="s">
        <v>3499</v>
      </c>
      <c r="L361" s="230" t="s">
        <v>1032</v>
      </c>
      <c r="M361" s="230" t="s">
        <v>3766</v>
      </c>
      <c r="N361" s="230" t="s">
        <v>3296</v>
      </c>
      <c r="O361" s="158"/>
      <c r="P361" s="92"/>
      <c r="Q361" s="146"/>
      <c r="R361" s="92"/>
      <c r="S361" s="146"/>
      <c r="T361" s="92"/>
      <c r="U361" s="146"/>
      <c r="V361" s="92"/>
      <c r="W361" s="146"/>
      <c r="X361" s="92"/>
      <c r="Y361" s="146"/>
      <c r="Z361" s="186" t="str">
        <f t="shared" si="23"/>
        <v/>
      </c>
      <c r="AA361" s="217" t="b">
        <f t="shared" si="22"/>
        <v>0</v>
      </c>
      <c r="AB361" s="92"/>
      <c r="AC361" s="164" t="s">
        <v>6</v>
      </c>
      <c r="AD361" s="151" t="str">
        <f t="shared" si="25"/>
        <v>GUARULHOS</v>
      </c>
      <c r="AE361" s="96" t="s">
        <v>63</v>
      </c>
      <c r="AF361" s="53">
        <v>0.79932180451928558</v>
      </c>
      <c r="AG361" s="53" t="str" cm="1">
        <f t="array" ref="AG361">IF(OR(O361&lt;&gt;"", SUMPRODUCT(($AH$2:$AH$4999=AH361)*($AF$2:$AF$4999&lt;=AF361)) &lt;= (COUNTIF($AH$2:$AH$4999,AH361)*0.3)), "SORTEADO", "-")</f>
        <v>-</v>
      </c>
      <c r="AH361" s="257" t="str">
        <f t="shared" si="26"/>
        <v>14/04/2026</v>
      </c>
    </row>
    <row r="362" spans="1:34" ht="30" hidden="1" customHeight="1" x14ac:dyDescent="0.2">
      <c r="A362" s="230" t="s">
        <v>197</v>
      </c>
      <c r="B362" s="255">
        <v>2615541516</v>
      </c>
      <c r="C362" s="230" t="s">
        <v>135</v>
      </c>
      <c r="D362" s="230" t="s">
        <v>124</v>
      </c>
      <c r="E362" s="230" t="s">
        <v>198</v>
      </c>
      <c r="F362" s="230" t="s">
        <v>3767</v>
      </c>
      <c r="G362" s="230">
        <v>41</v>
      </c>
      <c r="H362" s="230" t="s">
        <v>211</v>
      </c>
      <c r="I362" s="230" t="s">
        <v>200</v>
      </c>
      <c r="J362" s="230" t="s">
        <v>3280</v>
      </c>
      <c r="K362" s="230" t="s">
        <v>213</v>
      </c>
      <c r="L362" s="230" t="s">
        <v>1032</v>
      </c>
      <c r="M362" s="230" t="s">
        <v>1112</v>
      </c>
      <c r="N362" s="230" t="s">
        <v>3276</v>
      </c>
      <c r="O362" s="158"/>
      <c r="P362" s="92"/>
      <c r="Q362" s="146"/>
      <c r="R362" s="92"/>
      <c r="S362" s="146"/>
      <c r="T362" s="92"/>
      <c r="U362" s="146"/>
      <c r="V362" s="92"/>
      <c r="W362" s="146"/>
      <c r="X362" s="92"/>
      <c r="Y362" s="146"/>
      <c r="Z362" s="186" t="str">
        <f t="shared" si="23"/>
        <v/>
      </c>
      <c r="AA362" s="217" t="b">
        <f t="shared" si="22"/>
        <v>0</v>
      </c>
      <c r="AB362" s="92"/>
      <c r="AC362" s="164" t="s">
        <v>6</v>
      </c>
      <c r="AD362" s="151" t="str">
        <f t="shared" si="25"/>
        <v>GUARULHOS</v>
      </c>
      <c r="AE362" s="96" t="s">
        <v>63</v>
      </c>
      <c r="AF362" s="53">
        <v>0.38672238515138468</v>
      </c>
      <c r="AG362" s="53" t="str" cm="1">
        <f t="array" ref="AG362">IF(OR(O362&lt;&gt;"", SUMPRODUCT(($AH$2:$AH$4999=AH362)*($AF$2:$AF$4999&lt;=AF362)) &lt;= (COUNTIF($AH$2:$AH$4999,AH362)*0.3)), "SORTEADO", "-")</f>
        <v>-</v>
      </c>
      <c r="AH362" s="257" t="str">
        <f t="shared" si="26"/>
        <v>14/04/2026</v>
      </c>
    </row>
    <row r="363" spans="1:34" ht="30" hidden="1" customHeight="1" x14ac:dyDescent="0.2">
      <c r="A363" s="230" t="s">
        <v>197</v>
      </c>
      <c r="B363" s="255">
        <v>2615550501</v>
      </c>
      <c r="C363" s="230" t="s">
        <v>135</v>
      </c>
      <c r="D363" s="230" t="s">
        <v>124</v>
      </c>
      <c r="E363" s="230" t="s">
        <v>198</v>
      </c>
      <c r="F363" s="230" t="s">
        <v>966</v>
      </c>
      <c r="G363" s="230">
        <v>1655</v>
      </c>
      <c r="H363" s="230" t="s">
        <v>276</v>
      </c>
      <c r="I363" s="230" t="s">
        <v>588</v>
      </c>
      <c r="J363" s="230" t="s">
        <v>3280</v>
      </c>
      <c r="K363" s="230"/>
      <c r="L363" s="230" t="s">
        <v>1032</v>
      </c>
      <c r="M363" s="230" t="s">
        <v>3768</v>
      </c>
      <c r="N363" s="230" t="s">
        <v>3276</v>
      </c>
      <c r="O363" s="158"/>
      <c r="P363" s="92"/>
      <c r="Q363" s="146"/>
      <c r="R363" s="92"/>
      <c r="S363" s="146"/>
      <c r="T363" s="92"/>
      <c r="U363" s="146"/>
      <c r="V363" s="92"/>
      <c r="W363" s="146"/>
      <c r="X363" s="92"/>
      <c r="Y363" s="146"/>
      <c r="Z363" s="186" t="str">
        <f t="shared" si="23"/>
        <v/>
      </c>
      <c r="AA363" s="217" t="b">
        <f t="shared" si="22"/>
        <v>0</v>
      </c>
      <c r="AB363" s="92"/>
      <c r="AC363" s="164" t="s">
        <v>6</v>
      </c>
      <c r="AD363" s="151" t="str">
        <f t="shared" si="25"/>
        <v>GUARULHOS</v>
      </c>
      <c r="AE363" s="96" t="s">
        <v>63</v>
      </c>
      <c r="AF363" s="53">
        <v>0.51269635160446836</v>
      </c>
      <c r="AG363" s="53" t="str" cm="1">
        <f t="array" ref="AG363">IF(OR(O363&lt;&gt;"", SUMPRODUCT(($AH$2:$AH$4999=AH363)*($AF$2:$AF$4999&lt;=AF363)) &lt;= (COUNTIF($AH$2:$AH$4999,AH363)*0.3)), "SORTEADO", "-")</f>
        <v>-</v>
      </c>
      <c r="AH363" s="257" t="str">
        <f t="shared" si="26"/>
        <v>14/04/2026</v>
      </c>
    </row>
    <row r="364" spans="1:34" ht="30" hidden="1" customHeight="1" x14ac:dyDescent="0.2">
      <c r="A364" s="230" t="s">
        <v>197</v>
      </c>
      <c r="B364" s="255">
        <v>2690582554</v>
      </c>
      <c r="C364" s="230" t="s">
        <v>127</v>
      </c>
      <c r="D364" s="230" t="s">
        <v>63</v>
      </c>
      <c r="E364" s="230" t="s">
        <v>198</v>
      </c>
      <c r="F364" s="230" t="s">
        <v>3570</v>
      </c>
      <c r="G364" s="230">
        <v>223</v>
      </c>
      <c r="H364" s="230" t="s">
        <v>235</v>
      </c>
      <c r="I364" s="230" t="s">
        <v>557</v>
      </c>
      <c r="J364" s="230" t="s">
        <v>3275</v>
      </c>
      <c r="K364" s="230" t="s">
        <v>213</v>
      </c>
      <c r="L364" s="230" t="s">
        <v>1032</v>
      </c>
      <c r="M364" s="230" t="s">
        <v>3769</v>
      </c>
      <c r="N364" s="230" t="s">
        <v>3338</v>
      </c>
      <c r="O364" s="158"/>
      <c r="P364" s="92"/>
      <c r="Q364" s="146"/>
      <c r="R364" s="92"/>
      <c r="S364" s="146"/>
      <c r="T364" s="92"/>
      <c r="U364" s="146"/>
      <c r="V364" s="92"/>
      <c r="W364" s="146"/>
      <c r="X364" s="92"/>
      <c r="Y364" s="146"/>
      <c r="Z364" s="186" t="str">
        <f t="shared" si="23"/>
        <v/>
      </c>
      <c r="AA364" s="217" t="b">
        <f t="shared" si="22"/>
        <v>0</v>
      </c>
      <c r="AB364" s="92"/>
      <c r="AC364" s="164" t="s">
        <v>6</v>
      </c>
      <c r="AD364" s="151" t="str">
        <f t="shared" si="25"/>
        <v>GUARULHOS</v>
      </c>
      <c r="AE364" s="96" t="s">
        <v>63</v>
      </c>
      <c r="AF364" s="53">
        <v>0.68100828451690154</v>
      </c>
      <c r="AG364" s="53" t="str" cm="1">
        <f t="array" ref="AG364">IF(OR(O364&lt;&gt;"", SUMPRODUCT(($AH$2:$AH$4999=AH364)*($AF$2:$AF$4999&lt;=AF364)) &lt;= (COUNTIF($AH$2:$AH$4999,AH364)*0.3)), "SORTEADO", "-")</f>
        <v>-</v>
      </c>
      <c r="AH364" s="257" t="str">
        <f t="shared" si="26"/>
        <v>14/04/2026</v>
      </c>
    </row>
    <row r="365" spans="1:34" ht="30" customHeight="1" x14ac:dyDescent="0.2">
      <c r="A365" s="230" t="s">
        <v>197</v>
      </c>
      <c r="B365" s="255">
        <v>2690536980</v>
      </c>
      <c r="C365" s="230" t="s">
        <v>129</v>
      </c>
      <c r="D365" s="230" t="s">
        <v>124</v>
      </c>
      <c r="E365" s="230" t="s">
        <v>198</v>
      </c>
      <c r="F365" s="230" t="s">
        <v>1152</v>
      </c>
      <c r="G365" s="230">
        <v>168</v>
      </c>
      <c r="H365" s="230" t="s">
        <v>1153</v>
      </c>
      <c r="I365" s="230" t="s">
        <v>269</v>
      </c>
      <c r="J365" s="230" t="s">
        <v>3307</v>
      </c>
      <c r="K365" s="230" t="s">
        <v>1154</v>
      </c>
      <c r="L365" s="230" t="s">
        <v>1032</v>
      </c>
      <c r="M365" s="230" t="s">
        <v>1160</v>
      </c>
      <c r="N365" s="230" t="s">
        <v>241</v>
      </c>
      <c r="O365" s="158" t="s">
        <v>204</v>
      </c>
      <c r="P365" s="92"/>
      <c r="Q365" s="146" t="s">
        <v>204</v>
      </c>
      <c r="R365" s="92"/>
      <c r="S365" s="146" t="s">
        <v>204</v>
      </c>
      <c r="T365" s="92"/>
      <c r="U365" s="146" t="s">
        <v>204</v>
      </c>
      <c r="V365" s="92"/>
      <c r="W365" s="146" t="s">
        <v>204</v>
      </c>
      <c r="X365" s="92"/>
      <c r="Y365" s="146" t="s">
        <v>204</v>
      </c>
      <c r="Z365" s="186" t="str">
        <f t="shared" si="23"/>
        <v>C</v>
      </c>
      <c r="AA365" s="217" t="str">
        <f t="shared" si="22"/>
        <v>UTILIZOU O PDA CORRETAMENTE</v>
      </c>
      <c r="AB365" s="92" t="s">
        <v>204</v>
      </c>
      <c r="AC365" s="164" t="s">
        <v>6</v>
      </c>
      <c r="AD365" s="151" t="str">
        <f t="shared" si="25"/>
        <v>GUARULHOS</v>
      </c>
      <c r="AE365" s="96" t="s">
        <v>63</v>
      </c>
      <c r="AF365" s="53">
        <v>0.20637456691294359</v>
      </c>
      <c r="AG365" s="53" t="str" cm="1">
        <f t="array" ref="AG365">IF(OR(O365&lt;&gt;"", SUMPRODUCT(($AH$2:$AH$4999=AH365)*($AF$2:$AF$4999&lt;=AF365)) &lt;= (COUNTIF($AH$2:$AH$4999,AH365)*0.3)), "SORTEADO", "-")</f>
        <v>SORTEADO</v>
      </c>
      <c r="AH365" s="257" t="str">
        <f t="shared" si="26"/>
        <v>14/04/2026</v>
      </c>
    </row>
    <row r="366" spans="1:34" ht="30" customHeight="1" x14ac:dyDescent="0.2">
      <c r="A366" s="230" t="s">
        <v>197</v>
      </c>
      <c r="B366" s="255">
        <v>2690481274</v>
      </c>
      <c r="C366" s="230" t="s">
        <v>133</v>
      </c>
      <c r="D366" s="230" t="s">
        <v>124</v>
      </c>
      <c r="E366" s="230" t="s">
        <v>198</v>
      </c>
      <c r="F366" s="230" t="s">
        <v>3770</v>
      </c>
      <c r="G366" s="230">
        <v>126</v>
      </c>
      <c r="H366" s="230" t="s">
        <v>390</v>
      </c>
      <c r="I366" s="230" t="s">
        <v>3309</v>
      </c>
      <c r="J366" s="230" t="s">
        <v>3275</v>
      </c>
      <c r="K366" s="230" t="s">
        <v>3771</v>
      </c>
      <c r="L366" s="230" t="s">
        <v>1032</v>
      </c>
      <c r="M366" s="230" t="s">
        <v>3772</v>
      </c>
      <c r="N366" s="230" t="s">
        <v>3289</v>
      </c>
      <c r="O366" s="158" t="s">
        <v>204</v>
      </c>
      <c r="P366" s="92"/>
      <c r="Q366" s="146" t="s">
        <v>204</v>
      </c>
      <c r="R366" s="92"/>
      <c r="S366" s="146" t="s">
        <v>204</v>
      </c>
      <c r="T366" s="92"/>
      <c r="U366" s="146" t="s">
        <v>204</v>
      </c>
      <c r="V366" s="92"/>
      <c r="W366" s="146" t="s">
        <v>204</v>
      </c>
      <c r="X366" s="92"/>
      <c r="Y366" s="146" t="s">
        <v>204</v>
      </c>
      <c r="Z366" s="186" t="str">
        <f t="shared" si="23"/>
        <v>C</v>
      </c>
      <c r="AA366" s="217" t="str">
        <f t="shared" si="22"/>
        <v>UTILIZOU O PDA CORRETAMENTE</v>
      </c>
      <c r="AB366" s="92" t="s">
        <v>204</v>
      </c>
      <c r="AC366" s="164" t="s">
        <v>6</v>
      </c>
      <c r="AD366" s="151" t="str">
        <f t="shared" si="25"/>
        <v>GUARULHOS</v>
      </c>
      <c r="AE366" s="96" t="s">
        <v>63</v>
      </c>
      <c r="AF366" s="53">
        <v>0.23883336223540366</v>
      </c>
      <c r="AG366" s="53" t="str" cm="1">
        <f t="array" ref="AG366">IF(OR(O366&lt;&gt;"", SUMPRODUCT(($AH$2:$AH$4999=AH366)*($AF$2:$AF$4999&lt;=AF366)) &lt;= (COUNTIF($AH$2:$AH$4999,AH366)*0.3)), "SORTEADO", "-")</f>
        <v>SORTEADO</v>
      </c>
      <c r="AH366" s="257" t="str">
        <f t="shared" si="26"/>
        <v>14/04/2026</v>
      </c>
    </row>
    <row r="367" spans="1:34" ht="30" hidden="1" customHeight="1" x14ac:dyDescent="0.2">
      <c r="A367" s="230" t="s">
        <v>197</v>
      </c>
      <c r="B367" s="255">
        <v>2690460524</v>
      </c>
      <c r="C367" s="230" t="s">
        <v>133</v>
      </c>
      <c r="D367" s="230" t="s">
        <v>124</v>
      </c>
      <c r="E367" s="230" t="s">
        <v>198</v>
      </c>
      <c r="F367" s="230" t="s">
        <v>3327</v>
      </c>
      <c r="G367" s="230">
        <v>160</v>
      </c>
      <c r="H367" s="230" t="s">
        <v>3773</v>
      </c>
      <c r="I367" s="230" t="s">
        <v>366</v>
      </c>
      <c r="J367" s="230" t="s">
        <v>3275</v>
      </c>
      <c r="K367" s="230"/>
      <c r="L367" s="230" t="s">
        <v>1032</v>
      </c>
      <c r="M367" s="230" t="s">
        <v>3774</v>
      </c>
      <c r="N367" s="230" t="s">
        <v>3289</v>
      </c>
      <c r="O367" s="158"/>
      <c r="P367" s="92"/>
      <c r="Q367" s="146"/>
      <c r="R367" s="92"/>
      <c r="S367" s="146"/>
      <c r="T367" s="92"/>
      <c r="U367" s="146"/>
      <c r="V367" s="92"/>
      <c r="W367" s="146"/>
      <c r="X367" s="92"/>
      <c r="Y367" s="146"/>
      <c r="Z367" s="186" t="str">
        <f t="shared" si="23"/>
        <v/>
      </c>
      <c r="AA367" s="217" t="b">
        <f t="shared" si="22"/>
        <v>0</v>
      </c>
      <c r="AB367" s="92"/>
      <c r="AC367" s="164" t="s">
        <v>6</v>
      </c>
      <c r="AD367" s="151" t="str">
        <f t="shared" si="25"/>
        <v>GUARULHOS</v>
      </c>
      <c r="AE367" s="96" t="s">
        <v>63</v>
      </c>
      <c r="AF367" s="53">
        <v>0.92445053907157526</v>
      </c>
      <c r="AG367" s="53" t="str" cm="1">
        <f t="array" ref="AG367">IF(OR(O367&lt;&gt;"", SUMPRODUCT(($AH$2:$AH$4999=AH367)*($AF$2:$AF$4999&lt;=AF367)) &lt;= (COUNTIF($AH$2:$AH$4999,AH367)*0.3)), "SORTEADO", "-")</f>
        <v>-</v>
      </c>
      <c r="AH367" s="257" t="str">
        <f t="shared" si="26"/>
        <v>14/04/2026</v>
      </c>
    </row>
    <row r="368" spans="1:34" ht="30" customHeight="1" x14ac:dyDescent="0.2">
      <c r="A368" s="230" t="s">
        <v>197</v>
      </c>
      <c r="B368" s="230">
        <v>2615734976</v>
      </c>
      <c r="C368" s="230" t="s">
        <v>135</v>
      </c>
      <c r="D368" s="230" t="s">
        <v>124</v>
      </c>
      <c r="E368" s="230" t="s">
        <v>198</v>
      </c>
      <c r="F368" s="230" t="s">
        <v>2379</v>
      </c>
      <c r="G368" s="230">
        <v>375</v>
      </c>
      <c r="H368" s="230" t="s">
        <v>3775</v>
      </c>
      <c r="I368" s="230" t="s">
        <v>713</v>
      </c>
      <c r="J368" s="230" t="s">
        <v>3280</v>
      </c>
      <c r="K368" s="230" t="s">
        <v>3776</v>
      </c>
      <c r="L368" s="230" t="s">
        <v>1032</v>
      </c>
      <c r="M368" s="230" t="s">
        <v>3777</v>
      </c>
      <c r="N368" s="230" t="s">
        <v>3276</v>
      </c>
      <c r="O368" s="233" t="s">
        <v>328</v>
      </c>
      <c r="P368" s="169"/>
      <c r="Q368" s="144" t="s">
        <v>328</v>
      </c>
      <c r="R368" s="56"/>
      <c r="S368" s="144" t="s">
        <v>328</v>
      </c>
      <c r="T368" s="56"/>
      <c r="U368" s="144" t="s">
        <v>328</v>
      </c>
      <c r="V368" s="56"/>
      <c r="W368" s="144" t="s">
        <v>328</v>
      </c>
      <c r="X368" s="56"/>
      <c r="Y368" s="144" t="s">
        <v>210</v>
      </c>
      <c r="Z368" s="186" t="str">
        <f t="shared" si="23"/>
        <v>NC</v>
      </c>
      <c r="AA368" s="217" t="str">
        <f t="shared" si="22"/>
        <v>NÃO UTILIZOU O PDA</v>
      </c>
      <c r="AB368" s="92" t="s">
        <v>204</v>
      </c>
      <c r="AC368" s="164" t="s">
        <v>6</v>
      </c>
      <c r="AD368" s="151" t="str">
        <f t="shared" si="25"/>
        <v>GUARULHOS</v>
      </c>
      <c r="AE368" s="96" t="s">
        <v>63</v>
      </c>
      <c r="AF368" s="53">
        <v>-7.3400000000000007E-2</v>
      </c>
      <c r="AG368" s="53" t="str" cm="1">
        <f t="array" ref="AG368">IF(OR(O368&lt;&gt;"", SUMPRODUCT(($AH$2:$AH$4999=AH368)*($AF$2:$AF$4999&lt;=AF368)) &lt;= (COUNTIF($AH$2:$AH$4999,AH368)*0.3)), "SORTEADO", "-")</f>
        <v>SORTEADO</v>
      </c>
      <c r="AH368" s="257" t="str">
        <f t="shared" si="26"/>
        <v>14/04/2026</v>
      </c>
    </row>
    <row r="369" spans="1:34" ht="30" customHeight="1" x14ac:dyDescent="0.2">
      <c r="A369" s="230" t="s">
        <v>197</v>
      </c>
      <c r="B369" s="255">
        <v>2690501472</v>
      </c>
      <c r="C369" s="230" t="s">
        <v>133</v>
      </c>
      <c r="D369" s="230" t="s">
        <v>124</v>
      </c>
      <c r="E369" s="230" t="s">
        <v>198</v>
      </c>
      <c r="F369" s="230" t="s">
        <v>475</v>
      </c>
      <c r="G369" s="230">
        <v>268</v>
      </c>
      <c r="H369" s="230" t="s">
        <v>235</v>
      </c>
      <c r="I369" s="230" t="s">
        <v>476</v>
      </c>
      <c r="J369" s="230" t="s">
        <v>3275</v>
      </c>
      <c r="K369" s="230"/>
      <c r="L369" s="230" t="s">
        <v>1032</v>
      </c>
      <c r="M369" s="230" t="s">
        <v>3778</v>
      </c>
      <c r="N369" s="230" t="s">
        <v>3289</v>
      </c>
      <c r="O369" s="158" t="s">
        <v>742</v>
      </c>
      <c r="P369" s="92"/>
      <c r="Q369" s="146" t="s">
        <v>742</v>
      </c>
      <c r="R369" s="92"/>
      <c r="S369" s="146" t="s">
        <v>742</v>
      </c>
      <c r="T369" s="92"/>
      <c r="U369" s="146" t="s">
        <v>742</v>
      </c>
      <c r="V369" s="92"/>
      <c r="W369" s="146" t="s">
        <v>742</v>
      </c>
      <c r="X369" s="92"/>
      <c r="Y369" s="146" t="s">
        <v>742</v>
      </c>
      <c r="Z369" s="186" t="str">
        <f t="shared" si="23"/>
        <v>C</v>
      </c>
      <c r="AA369" s="217" t="str">
        <f t="shared" si="22"/>
        <v>UTILIZOU O PDA CORRETAMENTE</v>
      </c>
      <c r="AB369" s="92" t="s">
        <v>742</v>
      </c>
      <c r="AC369" s="164" t="s">
        <v>6</v>
      </c>
      <c r="AD369" s="151" t="str">
        <f t="shared" si="25"/>
        <v>GUARULHOS</v>
      </c>
      <c r="AE369" s="96" t="s">
        <v>63</v>
      </c>
      <c r="AF369" s="53">
        <v>0.10417153619581924</v>
      </c>
      <c r="AG369" s="53" t="str" cm="1">
        <f t="array" ref="AG369">IF(OR(O369&lt;&gt;"", SUMPRODUCT(($AH$2:$AH$4999=AH369)*($AF$2:$AF$4999&lt;=AF369)) &lt;= (COUNTIF($AH$2:$AH$4999,AH369)*0.3)), "SORTEADO", "-")</f>
        <v>SORTEADO</v>
      </c>
      <c r="AH369" s="257" t="str">
        <f t="shared" si="26"/>
        <v>14/04/2026</v>
      </c>
    </row>
    <row r="370" spans="1:34" ht="30" hidden="1" customHeight="1" x14ac:dyDescent="0.2">
      <c r="A370" s="230" t="s">
        <v>197</v>
      </c>
      <c r="B370" s="255">
        <v>2690468596</v>
      </c>
      <c r="C370" s="230" t="s">
        <v>133</v>
      </c>
      <c r="D370" s="230" t="s">
        <v>124</v>
      </c>
      <c r="E370" s="230" t="s">
        <v>198</v>
      </c>
      <c r="F370" s="230" t="s">
        <v>585</v>
      </c>
      <c r="G370" s="230">
        <v>374</v>
      </c>
      <c r="H370" s="230" t="s">
        <v>213</v>
      </c>
      <c r="I370" s="230" t="s">
        <v>247</v>
      </c>
      <c r="J370" s="230" t="s">
        <v>3275</v>
      </c>
      <c r="K370" s="230" t="s">
        <v>3779</v>
      </c>
      <c r="L370" s="230" t="s">
        <v>1032</v>
      </c>
      <c r="M370" s="230" t="s">
        <v>3780</v>
      </c>
      <c r="N370" s="230" t="s">
        <v>244</v>
      </c>
      <c r="O370" s="158"/>
      <c r="P370" s="92"/>
      <c r="Q370" s="146"/>
      <c r="R370" s="92"/>
      <c r="S370" s="146"/>
      <c r="T370" s="92"/>
      <c r="U370" s="146"/>
      <c r="V370" s="92"/>
      <c r="W370" s="146"/>
      <c r="X370" s="92"/>
      <c r="Y370" s="146"/>
      <c r="Z370" s="186" t="str">
        <f t="shared" si="23"/>
        <v/>
      </c>
      <c r="AA370" s="217" t="b">
        <f t="shared" si="22"/>
        <v>0</v>
      </c>
      <c r="AB370" s="92"/>
      <c r="AC370" s="164" t="s">
        <v>6</v>
      </c>
      <c r="AD370" s="151" t="str">
        <f t="shared" si="25"/>
        <v>GUARULHOS</v>
      </c>
      <c r="AE370" s="96" t="s">
        <v>63</v>
      </c>
      <c r="AF370" s="53">
        <v>0.34471301897533979</v>
      </c>
      <c r="AG370" s="53" t="str" cm="1">
        <f t="array" ref="AG370">IF(OR(O370&lt;&gt;"", SUMPRODUCT(($AH$2:$AH$4999=AH370)*($AF$2:$AF$4999&lt;=AF370)) &lt;= (COUNTIF($AH$2:$AH$4999,AH370)*0.3)), "SORTEADO", "-")</f>
        <v>-</v>
      </c>
      <c r="AH370" s="257" t="str">
        <f t="shared" si="26"/>
        <v>14/04/2026</v>
      </c>
    </row>
    <row r="371" spans="1:34" ht="30" customHeight="1" x14ac:dyDescent="0.2">
      <c r="A371" s="230" t="s">
        <v>197</v>
      </c>
      <c r="B371" s="255">
        <v>2615422596</v>
      </c>
      <c r="C371" s="230" t="s">
        <v>129</v>
      </c>
      <c r="D371" s="230" t="s">
        <v>124</v>
      </c>
      <c r="E371" s="230" t="s">
        <v>198</v>
      </c>
      <c r="F371" s="230" t="s">
        <v>3781</v>
      </c>
      <c r="G371" s="230">
        <v>43</v>
      </c>
      <c r="H371" s="230" t="s">
        <v>235</v>
      </c>
      <c r="I371" s="230" t="s">
        <v>791</v>
      </c>
      <c r="J371" s="230" t="s">
        <v>3307</v>
      </c>
      <c r="K371" s="230" t="s">
        <v>3782</v>
      </c>
      <c r="L371" s="230" t="s">
        <v>1032</v>
      </c>
      <c r="M371" s="230" t="s">
        <v>3783</v>
      </c>
      <c r="N371" s="230" t="s">
        <v>303</v>
      </c>
      <c r="O371" s="158" t="s">
        <v>742</v>
      </c>
      <c r="P371" s="92"/>
      <c r="Q371" s="146" t="s">
        <v>742</v>
      </c>
      <c r="R371" s="92"/>
      <c r="S371" s="146" t="s">
        <v>742</v>
      </c>
      <c r="T371" s="92"/>
      <c r="U371" s="146" t="s">
        <v>742</v>
      </c>
      <c r="V371" s="92"/>
      <c r="W371" s="146" t="s">
        <v>742</v>
      </c>
      <c r="X371" s="92"/>
      <c r="Y371" s="146" t="s">
        <v>742</v>
      </c>
      <c r="Z371" s="186" t="str">
        <f t="shared" si="23"/>
        <v>C</v>
      </c>
      <c r="AA371" s="217" t="str">
        <f t="shared" si="22"/>
        <v>UTILIZOU O PDA CORRETAMENTE</v>
      </c>
      <c r="AB371" s="92" t="s">
        <v>742</v>
      </c>
      <c r="AC371" s="164" t="s">
        <v>6</v>
      </c>
      <c r="AD371" s="151" t="str">
        <f t="shared" si="25"/>
        <v>GUARULHOS</v>
      </c>
      <c r="AE371" s="96" t="s">
        <v>63</v>
      </c>
      <c r="AF371" s="53">
        <v>0.17917229627866682</v>
      </c>
      <c r="AG371" s="53" t="str" cm="1">
        <f t="array" ref="AG371">IF(OR(O371&lt;&gt;"", SUMPRODUCT(($AH$2:$AH$4999=AH371)*($AF$2:$AF$4999&lt;=AF371)) &lt;= (COUNTIF($AH$2:$AH$4999,AH371)*0.3)), "SORTEADO", "-")</f>
        <v>SORTEADO</v>
      </c>
      <c r="AH371" s="257" t="str">
        <f t="shared" si="26"/>
        <v>14/04/2026</v>
      </c>
    </row>
    <row r="372" spans="1:34" ht="30" hidden="1" customHeight="1" x14ac:dyDescent="0.2">
      <c r="A372" s="230" t="s">
        <v>197</v>
      </c>
      <c r="B372" s="255">
        <v>2615608850</v>
      </c>
      <c r="C372" s="230" t="s">
        <v>133</v>
      </c>
      <c r="D372" s="230" t="s">
        <v>124</v>
      </c>
      <c r="E372" s="230" t="s">
        <v>198</v>
      </c>
      <c r="F372" s="230" t="s">
        <v>2651</v>
      </c>
      <c r="G372" s="230">
        <v>355</v>
      </c>
      <c r="H372" s="230" t="s">
        <v>213</v>
      </c>
      <c r="I372" s="230" t="s">
        <v>335</v>
      </c>
      <c r="J372" s="230" t="s">
        <v>3275</v>
      </c>
      <c r="K372" s="230" t="s">
        <v>3363</v>
      </c>
      <c r="L372" s="230" t="s">
        <v>1032</v>
      </c>
      <c r="M372" s="230" t="s">
        <v>3784</v>
      </c>
      <c r="N372" s="230" t="s">
        <v>3276</v>
      </c>
      <c r="O372" s="158"/>
      <c r="P372" s="92"/>
      <c r="Q372" s="146"/>
      <c r="R372" s="92"/>
      <c r="S372" s="146"/>
      <c r="T372" s="92"/>
      <c r="U372" s="146"/>
      <c r="V372" s="92"/>
      <c r="W372" s="146"/>
      <c r="X372" s="92"/>
      <c r="Y372" s="146"/>
      <c r="Z372" s="186" t="str">
        <f t="shared" si="23"/>
        <v/>
      </c>
      <c r="AA372" s="217" t="b">
        <f t="shared" si="22"/>
        <v>0</v>
      </c>
      <c r="AB372" s="92"/>
      <c r="AC372" s="164" t="s">
        <v>6</v>
      </c>
      <c r="AD372" s="151" t="str">
        <f t="shared" si="25"/>
        <v>GUARULHOS</v>
      </c>
      <c r="AE372" s="96" t="s">
        <v>63</v>
      </c>
      <c r="AF372" s="53">
        <v>0.71884945292875368</v>
      </c>
      <c r="AG372" s="53" t="str" cm="1">
        <f t="array" ref="AG372">IF(OR(O372&lt;&gt;"", SUMPRODUCT(($AH$2:$AH$4999=AH372)*($AF$2:$AF$4999&lt;=AF372)) &lt;= (COUNTIF($AH$2:$AH$4999,AH372)*0.3)), "SORTEADO", "-")</f>
        <v>-</v>
      </c>
      <c r="AH372" s="257" t="str">
        <f t="shared" si="26"/>
        <v>14/04/2026</v>
      </c>
    </row>
    <row r="373" spans="1:34" ht="30" hidden="1" customHeight="1" x14ac:dyDescent="0.2">
      <c r="A373" s="230" t="s">
        <v>197</v>
      </c>
      <c r="B373" s="255">
        <v>2690570053</v>
      </c>
      <c r="C373" s="230" t="s">
        <v>133</v>
      </c>
      <c r="D373" s="230" t="s">
        <v>124</v>
      </c>
      <c r="E373" s="230" t="s">
        <v>198</v>
      </c>
      <c r="F373" s="230" t="s">
        <v>3538</v>
      </c>
      <c r="G373" s="230">
        <v>728</v>
      </c>
      <c r="H373" s="230" t="s">
        <v>3785</v>
      </c>
      <c r="I373" s="230" t="s">
        <v>3540</v>
      </c>
      <c r="J373" s="230" t="s">
        <v>3275</v>
      </c>
      <c r="K373" s="230" t="s">
        <v>3532</v>
      </c>
      <c r="L373" s="230" t="s">
        <v>1032</v>
      </c>
      <c r="M373" s="230" t="s">
        <v>3786</v>
      </c>
      <c r="N373" s="230" t="s">
        <v>3289</v>
      </c>
      <c r="O373" s="158"/>
      <c r="P373" s="92"/>
      <c r="Q373" s="146"/>
      <c r="R373" s="92"/>
      <c r="S373" s="146"/>
      <c r="T373" s="92"/>
      <c r="U373" s="146"/>
      <c r="V373" s="92"/>
      <c r="W373" s="146"/>
      <c r="X373" s="92"/>
      <c r="Y373" s="146"/>
      <c r="Z373" s="186" t="str">
        <f t="shared" si="23"/>
        <v/>
      </c>
      <c r="AA373" s="217" t="b">
        <f t="shared" si="22"/>
        <v>0</v>
      </c>
      <c r="AB373" s="92"/>
      <c r="AC373" s="164" t="s">
        <v>6</v>
      </c>
      <c r="AD373" s="151" t="str">
        <f t="shared" si="25"/>
        <v>GUARULHOS</v>
      </c>
      <c r="AE373" s="96" t="s">
        <v>63</v>
      </c>
      <c r="AF373" s="53">
        <v>0.38564650126026928</v>
      </c>
      <c r="AG373" s="53" t="str" cm="1">
        <f t="array" ref="AG373">IF(OR(O373&lt;&gt;"", SUMPRODUCT(($AH$2:$AH$4999=AH373)*($AF$2:$AF$4999&lt;=AF373)) &lt;= (COUNTIF($AH$2:$AH$4999,AH373)*0.3)), "SORTEADO", "-")</f>
        <v>-</v>
      </c>
      <c r="AH373" s="257" t="str">
        <f t="shared" si="26"/>
        <v>14/04/2026</v>
      </c>
    </row>
    <row r="374" spans="1:34" ht="30" hidden="1" customHeight="1" x14ac:dyDescent="0.2">
      <c r="A374" s="242" t="s">
        <v>197</v>
      </c>
      <c r="B374" s="256">
        <v>2690562286</v>
      </c>
      <c r="C374" s="242" t="s">
        <v>127</v>
      </c>
      <c r="D374" s="242" t="s">
        <v>63</v>
      </c>
      <c r="E374" s="242" t="s">
        <v>198</v>
      </c>
      <c r="F374" s="242" t="s">
        <v>2129</v>
      </c>
      <c r="G374" s="242">
        <v>355</v>
      </c>
      <c r="H374" s="242" t="s">
        <v>3085</v>
      </c>
      <c r="I374" s="242" t="s">
        <v>1760</v>
      </c>
      <c r="J374" s="242" t="s">
        <v>3271</v>
      </c>
      <c r="K374" s="242" t="s">
        <v>3787</v>
      </c>
      <c r="L374" s="242" t="s">
        <v>1032</v>
      </c>
      <c r="M374" s="242" t="s">
        <v>3788</v>
      </c>
      <c r="N374" s="242" t="s">
        <v>615</v>
      </c>
      <c r="O374" s="158"/>
      <c r="P374" s="92"/>
      <c r="Q374" s="146"/>
      <c r="R374" s="92"/>
      <c r="S374" s="146"/>
      <c r="T374" s="92"/>
      <c r="U374" s="146"/>
      <c r="V374" s="92"/>
      <c r="W374" s="146"/>
      <c r="X374" s="92"/>
      <c r="Y374" s="146"/>
      <c r="Z374" s="186" t="str">
        <f t="shared" si="23"/>
        <v/>
      </c>
      <c r="AA374" s="217" t="b">
        <f t="shared" si="22"/>
        <v>0</v>
      </c>
      <c r="AB374" s="92"/>
      <c r="AC374" s="164" t="s">
        <v>6</v>
      </c>
      <c r="AD374" s="151" t="str">
        <f t="shared" si="25"/>
        <v>GUARULHOS</v>
      </c>
      <c r="AE374" s="96" t="s">
        <v>63</v>
      </c>
      <c r="AF374" s="53">
        <v>0.76090705928587588</v>
      </c>
      <c r="AG374" s="53" t="str" cm="1">
        <f t="array" ref="AG374">IF(OR(O374&lt;&gt;"", SUMPRODUCT(($AH$2:$AH$4999=AH374)*($AF$2:$AF$4999&lt;=AF374)) &lt;= (COUNTIF($AH$2:$AH$4999,AH374)*0.3)), "SORTEADO", "-")</f>
        <v>-</v>
      </c>
      <c r="AH374" s="257" t="str">
        <f t="shared" si="26"/>
        <v>14/04/2026</v>
      </c>
    </row>
    <row r="375" spans="1:34" ht="30" hidden="1" customHeight="1" x14ac:dyDescent="0.2">
      <c r="A375" s="230" t="s">
        <v>3789</v>
      </c>
      <c r="B375" s="255">
        <v>2690546343</v>
      </c>
      <c r="C375" s="230" t="s">
        <v>127</v>
      </c>
      <c r="D375" s="230" t="s">
        <v>63</v>
      </c>
      <c r="E375" s="230" t="s">
        <v>5</v>
      </c>
      <c r="F375" s="230" t="s">
        <v>3790</v>
      </c>
      <c r="G375" s="230">
        <v>276</v>
      </c>
      <c r="H375" s="230" t="s">
        <v>211</v>
      </c>
      <c r="I375" s="230" t="s">
        <v>3791</v>
      </c>
      <c r="J375" s="230" t="s">
        <v>3271</v>
      </c>
      <c r="K375" s="230" t="s">
        <v>213</v>
      </c>
      <c r="L375" s="230" t="s">
        <v>1192</v>
      </c>
      <c r="M375" s="230" t="s">
        <v>3792</v>
      </c>
      <c r="N375" s="230" t="s">
        <v>3793</v>
      </c>
      <c r="O375" s="158"/>
      <c r="P375" s="92"/>
      <c r="Q375" s="146"/>
      <c r="R375" s="92"/>
      <c r="S375" s="146"/>
      <c r="T375" s="92"/>
      <c r="U375" s="146"/>
      <c r="V375" s="92"/>
      <c r="W375" s="146"/>
      <c r="X375" s="92"/>
      <c r="Y375" s="146"/>
      <c r="Z375" s="186" t="str">
        <f t="shared" si="23"/>
        <v/>
      </c>
      <c r="AA375" s="217" t="b">
        <f t="shared" si="22"/>
        <v>0</v>
      </c>
      <c r="AB375" s="92"/>
      <c r="AC375" s="164" t="s">
        <v>6</v>
      </c>
      <c r="AD375" s="151" t="str">
        <f t="shared" si="25"/>
        <v>SÃO PAULO</v>
      </c>
      <c r="AE375" s="96" t="s">
        <v>63</v>
      </c>
      <c r="AF375" s="53">
        <v>0.82075822296648793</v>
      </c>
      <c r="AG375" s="53" t="str" cm="1">
        <f t="array" ref="AG375">IF(OR(O375&lt;&gt;"", SUMPRODUCT(($AH$2:$AH$4999=AH375)*($AF$2:$AF$4999&lt;=AF375)) &lt;= (COUNTIF($AH$2:$AH$4999,AH375)*0.3)), "SORTEADO", "-")</f>
        <v>-</v>
      </c>
      <c r="AH375" s="257" t="str">
        <f t="shared" si="26"/>
        <v>15/04/2026</v>
      </c>
    </row>
    <row r="376" spans="1:34" ht="30" hidden="1" customHeight="1" x14ac:dyDescent="0.2">
      <c r="A376" s="230" t="s">
        <v>3789</v>
      </c>
      <c r="B376" s="255">
        <v>2690546372</v>
      </c>
      <c r="C376" s="230" t="s">
        <v>127</v>
      </c>
      <c r="D376" s="230" t="s">
        <v>63</v>
      </c>
      <c r="E376" s="230" t="s">
        <v>5</v>
      </c>
      <c r="F376" s="230" t="s">
        <v>3794</v>
      </c>
      <c r="G376" s="230">
        <v>690</v>
      </c>
      <c r="H376" s="230" t="s">
        <v>3795</v>
      </c>
      <c r="I376" s="230" t="s">
        <v>3796</v>
      </c>
      <c r="J376" s="230" t="s">
        <v>3271</v>
      </c>
      <c r="K376" s="230"/>
      <c r="L376" s="230" t="s">
        <v>1192</v>
      </c>
      <c r="M376" s="230" t="s">
        <v>3797</v>
      </c>
      <c r="N376" s="230" t="s">
        <v>3793</v>
      </c>
      <c r="O376" s="158"/>
      <c r="P376" s="92"/>
      <c r="Q376" s="146"/>
      <c r="R376" s="92"/>
      <c r="S376" s="146"/>
      <c r="T376" s="92"/>
      <c r="U376" s="146"/>
      <c r="V376" s="92"/>
      <c r="W376" s="146"/>
      <c r="X376" s="92"/>
      <c r="Y376" s="146"/>
      <c r="Z376" s="186" t="str">
        <f t="shared" si="23"/>
        <v/>
      </c>
      <c r="AA376" s="217" t="b">
        <f t="shared" si="22"/>
        <v>0</v>
      </c>
      <c r="AB376" s="92"/>
      <c r="AC376" s="164" t="s">
        <v>6</v>
      </c>
      <c r="AD376" s="151" t="str">
        <f t="shared" si="25"/>
        <v>SÃO PAULO</v>
      </c>
      <c r="AE376" s="96" t="s">
        <v>63</v>
      </c>
      <c r="AF376" s="53">
        <v>0.77538339007542123</v>
      </c>
      <c r="AG376" s="53" t="str" cm="1">
        <f t="array" ref="AG376">IF(OR(O376&lt;&gt;"", SUMPRODUCT(($AH$2:$AH$4999=AH376)*($AF$2:$AF$4999&lt;=AF376)) &lt;= (COUNTIF($AH$2:$AH$4999,AH376)*0.3)), "SORTEADO", "-")</f>
        <v>-</v>
      </c>
      <c r="AH376" s="257" t="str">
        <f t="shared" si="26"/>
        <v>15/04/2026</v>
      </c>
    </row>
    <row r="377" spans="1:34" ht="30" customHeight="1" x14ac:dyDescent="0.2">
      <c r="A377" s="230" t="s">
        <v>3789</v>
      </c>
      <c r="B377" s="255">
        <v>2615576542</v>
      </c>
      <c r="C377" s="230" t="s">
        <v>134</v>
      </c>
      <c r="D377" s="230" t="s">
        <v>124</v>
      </c>
      <c r="E377" s="230" t="s">
        <v>5</v>
      </c>
      <c r="F377" s="230" t="s">
        <v>3798</v>
      </c>
      <c r="G377" s="230">
        <v>38</v>
      </c>
      <c r="H377" s="230" t="s">
        <v>206</v>
      </c>
      <c r="I377" s="230" t="s">
        <v>3799</v>
      </c>
      <c r="J377" s="230" t="s">
        <v>3285</v>
      </c>
      <c r="K377" s="230" t="s">
        <v>213</v>
      </c>
      <c r="L377" s="230" t="s">
        <v>1192</v>
      </c>
      <c r="M377" s="230" t="s">
        <v>3800</v>
      </c>
      <c r="N377" s="230" t="s">
        <v>3801</v>
      </c>
      <c r="O377" s="158" t="s">
        <v>742</v>
      </c>
      <c r="P377" s="92"/>
      <c r="Q377" s="146" t="s">
        <v>742</v>
      </c>
      <c r="R377" s="92"/>
      <c r="S377" s="146" t="s">
        <v>742</v>
      </c>
      <c r="T377" s="92"/>
      <c r="U377" s="146" t="s">
        <v>742</v>
      </c>
      <c r="V377" s="92"/>
      <c r="W377" s="146" t="s">
        <v>742</v>
      </c>
      <c r="X377" s="92"/>
      <c r="Y377" s="146" t="s">
        <v>742</v>
      </c>
      <c r="Z377" s="186" t="str">
        <f t="shared" si="23"/>
        <v>C</v>
      </c>
      <c r="AA377" s="217" t="str">
        <f t="shared" si="22"/>
        <v>UTILIZOU O PDA CORRETAMENTE</v>
      </c>
      <c r="AB377" s="92" t="s">
        <v>742</v>
      </c>
      <c r="AC377" s="164" t="s">
        <v>6</v>
      </c>
      <c r="AD377" s="151" t="str">
        <f t="shared" si="25"/>
        <v>SÃO PAULO</v>
      </c>
      <c r="AE377" s="96" t="s">
        <v>63</v>
      </c>
      <c r="AF377" s="53">
        <v>0.19721034548196173</v>
      </c>
      <c r="AG377" s="53" t="str" cm="1">
        <f t="array" ref="AG377">IF(OR(O377&lt;&gt;"", SUMPRODUCT(($AH$2:$AH$4999=AH377)*($AF$2:$AF$4999&lt;=AF377)) &lt;= (COUNTIF($AH$2:$AH$4999,AH377)*0.3)), "SORTEADO", "-")</f>
        <v>SORTEADO</v>
      </c>
      <c r="AH377" s="257" t="str">
        <f t="shared" si="26"/>
        <v>15/04/2026</v>
      </c>
    </row>
    <row r="378" spans="1:34" ht="30" customHeight="1" x14ac:dyDescent="0.2">
      <c r="A378" s="230" t="s">
        <v>3789</v>
      </c>
      <c r="B378" s="255">
        <v>2614846499</v>
      </c>
      <c r="C378" s="230" t="s">
        <v>134</v>
      </c>
      <c r="D378" s="230" t="s">
        <v>124</v>
      </c>
      <c r="E378" s="230" t="s">
        <v>5</v>
      </c>
      <c r="F378" s="230" t="s">
        <v>3798</v>
      </c>
      <c r="G378" s="230">
        <v>38</v>
      </c>
      <c r="H378" s="230" t="s">
        <v>211</v>
      </c>
      <c r="I378" s="230" t="s">
        <v>3799</v>
      </c>
      <c r="J378" s="230" t="s">
        <v>3285</v>
      </c>
      <c r="K378" s="230"/>
      <c r="L378" s="230" t="s">
        <v>1192</v>
      </c>
      <c r="M378" s="230" t="s">
        <v>3802</v>
      </c>
      <c r="N378" s="230" t="s">
        <v>3801</v>
      </c>
      <c r="O378" s="158" t="s">
        <v>742</v>
      </c>
      <c r="P378" s="92"/>
      <c r="Q378" s="146" t="s">
        <v>742</v>
      </c>
      <c r="R378" s="92"/>
      <c r="S378" s="146" t="s">
        <v>742</v>
      </c>
      <c r="T378" s="92"/>
      <c r="U378" s="146" t="s">
        <v>742</v>
      </c>
      <c r="V378" s="92"/>
      <c r="W378" s="146" t="s">
        <v>742</v>
      </c>
      <c r="X378" s="92"/>
      <c r="Y378" s="146" t="s">
        <v>742</v>
      </c>
      <c r="Z378" s="186" t="str">
        <f t="shared" si="23"/>
        <v>C</v>
      </c>
      <c r="AA378" s="217" t="str">
        <f t="shared" si="22"/>
        <v>UTILIZOU O PDA CORRETAMENTE</v>
      </c>
      <c r="AB378" s="92" t="s">
        <v>742</v>
      </c>
      <c r="AC378" s="164" t="s">
        <v>6</v>
      </c>
      <c r="AD378" s="151" t="str">
        <f t="shared" si="25"/>
        <v>SÃO PAULO</v>
      </c>
      <c r="AE378" s="96" t="s">
        <v>63</v>
      </c>
      <c r="AF378" s="53">
        <v>0.16310138111860484</v>
      </c>
      <c r="AG378" s="53" t="str" cm="1">
        <f t="array" ref="AG378">IF(OR(O378&lt;&gt;"", SUMPRODUCT(($AH$2:$AH$4999=AH378)*($AF$2:$AF$4999&lt;=AF378)) &lt;= (COUNTIF($AH$2:$AH$4999,AH378)*0.3)), "SORTEADO", "-")</f>
        <v>SORTEADO</v>
      </c>
      <c r="AH378" s="257" t="str">
        <f t="shared" si="26"/>
        <v>15/04/2026</v>
      </c>
    </row>
    <row r="379" spans="1:34" ht="30" hidden="1" customHeight="1" x14ac:dyDescent="0.2">
      <c r="A379" s="230" t="s">
        <v>3789</v>
      </c>
      <c r="B379" s="255">
        <v>2614474904</v>
      </c>
      <c r="C379" s="230" t="s">
        <v>134</v>
      </c>
      <c r="D379" s="230" t="s">
        <v>124</v>
      </c>
      <c r="E379" s="230" t="s">
        <v>5</v>
      </c>
      <c r="F379" s="230" t="s">
        <v>3803</v>
      </c>
      <c r="G379" s="230">
        <v>142</v>
      </c>
      <c r="H379" s="230" t="s">
        <v>213</v>
      </c>
      <c r="I379" s="230" t="s">
        <v>3804</v>
      </c>
      <c r="J379" s="230" t="s">
        <v>3285</v>
      </c>
      <c r="K379" s="230" t="s">
        <v>213</v>
      </c>
      <c r="L379" s="230" t="s">
        <v>1192</v>
      </c>
      <c r="M379" s="230" t="s">
        <v>3805</v>
      </c>
      <c r="N379" s="230" t="s">
        <v>3801</v>
      </c>
      <c r="O379" s="158"/>
      <c r="P379" s="92"/>
      <c r="Q379" s="146"/>
      <c r="R379" s="92"/>
      <c r="S379" s="146"/>
      <c r="T379" s="92"/>
      <c r="U379" s="146"/>
      <c r="V379" s="92"/>
      <c r="W379" s="146"/>
      <c r="X379" s="92"/>
      <c r="Y379" s="146"/>
      <c r="Z379" s="186" t="str">
        <f t="shared" si="23"/>
        <v/>
      </c>
      <c r="AA379" s="217" t="b">
        <f t="shared" si="22"/>
        <v>0</v>
      </c>
      <c r="AB379" s="92"/>
      <c r="AC379" s="164" t="s">
        <v>6</v>
      </c>
      <c r="AD379" s="151" t="str">
        <f t="shared" si="25"/>
        <v>SÃO PAULO</v>
      </c>
      <c r="AE379" s="96" t="s">
        <v>63</v>
      </c>
      <c r="AF379" s="53">
        <v>0.27140775415419527</v>
      </c>
      <c r="AG379" s="53" t="str" cm="1">
        <f t="array" ref="AG379">IF(OR(O379&lt;&gt;"", SUMPRODUCT(($AH$2:$AH$4999=AH379)*($AF$2:$AF$4999&lt;=AF379)) &lt;= (COUNTIF($AH$2:$AH$4999,AH379)*0.3)), "SORTEADO", "-")</f>
        <v>-</v>
      </c>
      <c r="AH379" s="257" t="str">
        <f t="shared" si="26"/>
        <v>15/04/2026</v>
      </c>
    </row>
    <row r="380" spans="1:34" ht="30" customHeight="1" x14ac:dyDescent="0.2">
      <c r="A380" s="230" t="s">
        <v>3789</v>
      </c>
      <c r="B380" s="255">
        <v>2615720963</v>
      </c>
      <c r="C380" s="230" t="s">
        <v>3437</v>
      </c>
      <c r="D380" s="230" t="s">
        <v>63</v>
      </c>
      <c r="E380" s="230" t="s">
        <v>5</v>
      </c>
      <c r="F380" s="230" t="s">
        <v>3806</v>
      </c>
      <c r="G380" s="230">
        <v>1</v>
      </c>
      <c r="H380" s="230" t="s">
        <v>3807</v>
      </c>
      <c r="I380" s="230" t="s">
        <v>3808</v>
      </c>
      <c r="J380" s="230" t="s">
        <v>3273</v>
      </c>
      <c r="K380" s="230"/>
      <c r="L380" s="230" t="s">
        <v>1192</v>
      </c>
      <c r="M380" s="230" t="s">
        <v>3809</v>
      </c>
      <c r="N380" s="230" t="s">
        <v>3810</v>
      </c>
      <c r="O380" s="158" t="s">
        <v>742</v>
      </c>
      <c r="P380" s="92"/>
      <c r="Q380" s="146" t="s">
        <v>742</v>
      </c>
      <c r="R380" s="92"/>
      <c r="S380" s="146" t="s">
        <v>742</v>
      </c>
      <c r="T380" s="92"/>
      <c r="U380" s="146" t="s">
        <v>742</v>
      </c>
      <c r="V380" s="92"/>
      <c r="W380" s="146" t="s">
        <v>742</v>
      </c>
      <c r="X380" s="92"/>
      <c r="Y380" s="146" t="s">
        <v>742</v>
      </c>
      <c r="Z380" s="186" t="str">
        <f t="shared" si="23"/>
        <v>C</v>
      </c>
      <c r="AA380" s="217" t="str">
        <f t="shared" si="22"/>
        <v>UTILIZOU O PDA CORRETAMENTE</v>
      </c>
      <c r="AB380" s="92" t="s">
        <v>742</v>
      </c>
      <c r="AC380" s="164" t="s">
        <v>6</v>
      </c>
      <c r="AD380" s="151" t="str">
        <f t="shared" si="25"/>
        <v>SÃO PAULO</v>
      </c>
      <c r="AE380" s="96" t="s">
        <v>63</v>
      </c>
      <c r="AF380" s="53">
        <v>0.11121523874686907</v>
      </c>
      <c r="AG380" s="53" t="str" cm="1">
        <f t="array" ref="AG380">IF(OR(O380&lt;&gt;"", SUMPRODUCT(($AH$2:$AH$4999=AH380)*($AF$2:$AF$4999&lt;=AF380)) &lt;= (COUNTIF($AH$2:$AH$4999,AH380)*0.3)), "SORTEADO", "-")</f>
        <v>SORTEADO</v>
      </c>
      <c r="AH380" s="257" t="str">
        <f t="shared" si="26"/>
        <v>15/04/2026</v>
      </c>
    </row>
    <row r="381" spans="1:34" ht="30" hidden="1" customHeight="1" x14ac:dyDescent="0.2">
      <c r="A381" s="230" t="s">
        <v>3789</v>
      </c>
      <c r="B381" s="255">
        <v>2690641715</v>
      </c>
      <c r="C381" s="230" t="s">
        <v>127</v>
      </c>
      <c r="D381" s="230" t="s">
        <v>63</v>
      </c>
      <c r="E381" s="230" t="s">
        <v>5</v>
      </c>
      <c r="F381" s="230" t="s">
        <v>3811</v>
      </c>
      <c r="G381" s="230">
        <v>20</v>
      </c>
      <c r="H381" s="230"/>
      <c r="I381" s="230" t="s">
        <v>3812</v>
      </c>
      <c r="J381" s="230" t="s">
        <v>3271</v>
      </c>
      <c r="K381" s="230"/>
      <c r="L381" s="230" t="s">
        <v>1192</v>
      </c>
      <c r="M381" s="230" t="s">
        <v>3813</v>
      </c>
      <c r="N381" s="230" t="s">
        <v>3810</v>
      </c>
      <c r="O381" s="158"/>
      <c r="P381" s="92"/>
      <c r="Q381" s="146"/>
      <c r="R381" s="92"/>
      <c r="S381" s="146"/>
      <c r="T381" s="92"/>
      <c r="U381" s="146"/>
      <c r="V381" s="92"/>
      <c r="W381" s="146"/>
      <c r="X381" s="92"/>
      <c r="Y381" s="146"/>
      <c r="Z381" s="186" t="str">
        <f t="shared" si="23"/>
        <v/>
      </c>
      <c r="AA381" s="217" t="b">
        <f t="shared" si="22"/>
        <v>0</v>
      </c>
      <c r="AB381" s="92"/>
      <c r="AC381" s="164" t="s">
        <v>6</v>
      </c>
      <c r="AD381" s="151" t="str">
        <f t="shared" si="25"/>
        <v>SÃO PAULO</v>
      </c>
      <c r="AE381" s="96" t="s">
        <v>63</v>
      </c>
      <c r="AF381" s="53">
        <v>0.44653629581401827</v>
      </c>
      <c r="AG381" s="53" t="str" cm="1">
        <f t="array" ref="AG381">IF(OR(O381&lt;&gt;"", SUMPRODUCT(($AH$2:$AH$4999=AH381)*($AF$2:$AF$4999&lt;=AF381)) &lt;= (COUNTIF($AH$2:$AH$4999,AH381)*0.3)), "SORTEADO", "-")</f>
        <v>-</v>
      </c>
      <c r="AH381" s="257" t="str">
        <f t="shared" si="26"/>
        <v>15/04/2026</v>
      </c>
    </row>
    <row r="382" spans="1:34" ht="30" hidden="1" customHeight="1" x14ac:dyDescent="0.2">
      <c r="A382" s="230" t="s">
        <v>3789</v>
      </c>
      <c r="B382" s="255">
        <v>2615740207</v>
      </c>
      <c r="C382" s="230" t="s">
        <v>3437</v>
      </c>
      <c r="D382" s="230" t="s">
        <v>63</v>
      </c>
      <c r="E382" s="230" t="s">
        <v>5</v>
      </c>
      <c r="F382" s="230" t="s">
        <v>3814</v>
      </c>
      <c r="G382" s="230">
        <v>97</v>
      </c>
      <c r="H382" s="230" t="s">
        <v>337</v>
      </c>
      <c r="I382" s="230" t="s">
        <v>3815</v>
      </c>
      <c r="J382" s="230" t="s">
        <v>3271</v>
      </c>
      <c r="K382" s="230" t="s">
        <v>213</v>
      </c>
      <c r="L382" s="230" t="s">
        <v>1192</v>
      </c>
      <c r="M382" s="230" t="s">
        <v>3797</v>
      </c>
      <c r="N382" s="230" t="s">
        <v>3810</v>
      </c>
      <c r="O382" s="158"/>
      <c r="P382" s="92"/>
      <c r="Q382" s="146"/>
      <c r="R382" s="92"/>
      <c r="S382" s="146"/>
      <c r="T382" s="92"/>
      <c r="U382" s="146"/>
      <c r="V382" s="92"/>
      <c r="W382" s="146"/>
      <c r="X382" s="92"/>
      <c r="Y382" s="146"/>
      <c r="Z382" s="186" t="str">
        <f t="shared" si="23"/>
        <v/>
      </c>
      <c r="AA382" s="217" t="b">
        <f t="shared" si="22"/>
        <v>0</v>
      </c>
      <c r="AB382" s="92"/>
      <c r="AC382" s="164" t="s">
        <v>6</v>
      </c>
      <c r="AD382" s="151" t="str">
        <f t="shared" si="25"/>
        <v>SÃO PAULO</v>
      </c>
      <c r="AE382" s="96" t="s">
        <v>63</v>
      </c>
      <c r="AF382" s="53">
        <v>0.43127790679574973</v>
      </c>
      <c r="AG382" s="53" t="str" cm="1">
        <f t="array" ref="AG382">IF(OR(O382&lt;&gt;"", SUMPRODUCT(($AH$2:$AH$4999=AH382)*($AF$2:$AF$4999&lt;=AF382)) &lt;= (COUNTIF($AH$2:$AH$4999,AH382)*0.3)), "SORTEADO", "-")</f>
        <v>-</v>
      </c>
      <c r="AH382" s="257" t="str">
        <f t="shared" si="26"/>
        <v>15/04/2026</v>
      </c>
    </row>
    <row r="383" spans="1:34" ht="30" hidden="1" customHeight="1" x14ac:dyDescent="0.2">
      <c r="A383" s="230" t="s">
        <v>3789</v>
      </c>
      <c r="B383" s="255">
        <v>2690586313</v>
      </c>
      <c r="C383" s="230" t="s">
        <v>127</v>
      </c>
      <c r="D383" s="230" t="s">
        <v>63</v>
      </c>
      <c r="E383" s="230" t="s">
        <v>5</v>
      </c>
      <c r="F383" s="230" t="s">
        <v>3816</v>
      </c>
      <c r="G383" s="230">
        <v>4</v>
      </c>
      <c r="H383" s="230"/>
      <c r="I383" s="230" t="s">
        <v>3817</v>
      </c>
      <c r="J383" s="230" t="s">
        <v>3271</v>
      </c>
      <c r="K383" s="230"/>
      <c r="L383" s="230" t="s">
        <v>1192</v>
      </c>
      <c r="M383" s="230" t="s">
        <v>3818</v>
      </c>
      <c r="N383" s="230" t="s">
        <v>3819</v>
      </c>
      <c r="O383" s="158"/>
      <c r="P383" s="92"/>
      <c r="Q383" s="146"/>
      <c r="R383" s="92"/>
      <c r="S383" s="146"/>
      <c r="T383" s="92"/>
      <c r="U383" s="146"/>
      <c r="V383" s="92"/>
      <c r="W383" s="146"/>
      <c r="X383" s="92"/>
      <c r="Y383" s="146"/>
      <c r="Z383" s="186" t="str">
        <f t="shared" si="23"/>
        <v/>
      </c>
      <c r="AA383" s="217" t="b">
        <f t="shared" si="22"/>
        <v>0</v>
      </c>
      <c r="AB383" s="92"/>
      <c r="AC383" s="164" t="s">
        <v>6</v>
      </c>
      <c r="AD383" s="151" t="str">
        <f t="shared" si="25"/>
        <v>SÃO PAULO</v>
      </c>
      <c r="AE383" s="96" t="s">
        <v>63</v>
      </c>
      <c r="AF383" s="53">
        <v>0.66392065725470084</v>
      </c>
      <c r="AG383" s="53" t="str" cm="1">
        <f t="array" ref="AG383">IF(OR(O383&lt;&gt;"", SUMPRODUCT(($AH$2:$AH$4999=AH383)*($AF$2:$AF$4999&lt;=AF383)) &lt;= (COUNTIF($AH$2:$AH$4999,AH383)*0.3)), "SORTEADO", "-")</f>
        <v>-</v>
      </c>
      <c r="AH383" s="257" t="str">
        <f t="shared" si="26"/>
        <v>15/04/2026</v>
      </c>
    </row>
    <row r="384" spans="1:34" ht="30" hidden="1" customHeight="1" x14ac:dyDescent="0.2">
      <c r="A384" s="230" t="s">
        <v>3789</v>
      </c>
      <c r="B384" s="255">
        <v>2690634391</v>
      </c>
      <c r="C384" s="230" t="s">
        <v>131</v>
      </c>
      <c r="D384" s="230" t="s">
        <v>63</v>
      </c>
      <c r="E384" s="230" t="s">
        <v>5</v>
      </c>
      <c r="F384" s="230" t="s">
        <v>3820</v>
      </c>
      <c r="G384" s="230">
        <v>2688</v>
      </c>
      <c r="H384" s="230" t="s">
        <v>461</v>
      </c>
      <c r="I384" s="230" t="s">
        <v>3821</v>
      </c>
      <c r="J384" s="230" t="s">
        <v>3271</v>
      </c>
      <c r="K384" s="230" t="s">
        <v>3822</v>
      </c>
      <c r="L384" s="230" t="s">
        <v>1192</v>
      </c>
      <c r="M384" s="230" t="s">
        <v>3823</v>
      </c>
      <c r="N384" s="230" t="s">
        <v>3819</v>
      </c>
      <c r="O384" s="158"/>
      <c r="P384" s="92"/>
      <c r="Q384" s="146"/>
      <c r="R384" s="92"/>
      <c r="S384" s="146"/>
      <c r="T384" s="92"/>
      <c r="U384" s="146"/>
      <c r="V384" s="92"/>
      <c r="W384" s="146"/>
      <c r="X384" s="92"/>
      <c r="Y384" s="146"/>
      <c r="Z384" s="186" t="str">
        <f t="shared" si="23"/>
        <v/>
      </c>
      <c r="AA384" s="217" t="b">
        <f t="shared" si="22"/>
        <v>0</v>
      </c>
      <c r="AB384" s="92"/>
      <c r="AC384" s="164" t="s">
        <v>6</v>
      </c>
      <c r="AD384" s="151" t="str">
        <f t="shared" si="25"/>
        <v>SÃO PAULO</v>
      </c>
      <c r="AE384" s="96" t="s">
        <v>63</v>
      </c>
      <c r="AF384" s="53">
        <v>0.4518854167573661</v>
      </c>
      <c r="AG384" s="53" t="str" cm="1">
        <f t="array" ref="AG384">IF(OR(O384&lt;&gt;"", SUMPRODUCT(($AH$2:$AH$4999=AH384)*($AF$2:$AF$4999&lt;=AF384)) &lt;= (COUNTIF($AH$2:$AH$4999,AH384)*0.3)), "SORTEADO", "-")</f>
        <v>-</v>
      </c>
      <c r="AH384" s="257" t="str">
        <f t="shared" si="26"/>
        <v>15/04/2026</v>
      </c>
    </row>
    <row r="385" spans="1:34" ht="30" hidden="1" customHeight="1" x14ac:dyDescent="0.2">
      <c r="A385" s="230" t="s">
        <v>3789</v>
      </c>
      <c r="B385" s="255">
        <v>2690555029</v>
      </c>
      <c r="C385" s="230" t="s">
        <v>127</v>
      </c>
      <c r="D385" s="230" t="s">
        <v>63</v>
      </c>
      <c r="E385" s="230" t="s">
        <v>5</v>
      </c>
      <c r="F385" s="230" t="s">
        <v>3824</v>
      </c>
      <c r="G385" s="230">
        <v>414</v>
      </c>
      <c r="H385" s="230" t="s">
        <v>211</v>
      </c>
      <c r="I385" s="230" t="s">
        <v>3825</v>
      </c>
      <c r="J385" s="230" t="s">
        <v>3271</v>
      </c>
      <c r="K385" s="230" t="s">
        <v>213</v>
      </c>
      <c r="L385" s="230" t="s">
        <v>1192</v>
      </c>
      <c r="M385" s="230" t="s">
        <v>3826</v>
      </c>
      <c r="N385" s="230" t="s">
        <v>3793</v>
      </c>
      <c r="O385" s="158"/>
      <c r="P385" s="92"/>
      <c r="Q385" s="146"/>
      <c r="R385" s="92"/>
      <c r="S385" s="146"/>
      <c r="T385" s="92"/>
      <c r="U385" s="146"/>
      <c r="V385" s="92"/>
      <c r="W385" s="146"/>
      <c r="X385" s="92"/>
      <c r="Y385" s="146"/>
      <c r="Z385" s="186" t="str">
        <f t="shared" si="23"/>
        <v/>
      </c>
      <c r="AA385" s="217" t="b">
        <f t="shared" ref="AA385:AA448" si="27">IF(AND(Y385="C",Z385="C"),"UTILIZOU O PDA CORRETAMENTE",IF(AND(Y385="C",Z385="NC"),"UTILIZOU O PDA CORRETAMENTE. NÃO HÁ FOTOS DE TODAS AS ETAPAS",IF(AND(Y385="NC",Z385="NC"),"NÃO UTILIZOU O PDA",IF(AND(Y385="NA",Z385="NA"),"NÃO AVALIADO POR FALHA DE SINCRONISMO"))))</f>
        <v>0</v>
      </c>
      <c r="AB385" s="92"/>
      <c r="AC385" s="164" t="s">
        <v>6</v>
      </c>
      <c r="AD385" s="151" t="str">
        <f t="shared" si="25"/>
        <v>SÃO PAULO</v>
      </c>
      <c r="AE385" s="96" t="s">
        <v>63</v>
      </c>
      <c r="AF385" s="53">
        <v>0.54341498101609387</v>
      </c>
      <c r="AG385" s="53" t="str" cm="1">
        <f t="array" ref="AG385">IF(OR(O385&lt;&gt;"", SUMPRODUCT(($AH$2:$AH$4999=AH385)*($AF$2:$AF$4999&lt;=AF385)) &lt;= (COUNTIF($AH$2:$AH$4999,AH385)*0.3)), "SORTEADO", "-")</f>
        <v>-</v>
      </c>
      <c r="AH385" s="257" t="str">
        <f t="shared" si="26"/>
        <v>15/04/2026</v>
      </c>
    </row>
    <row r="386" spans="1:34" ht="30" hidden="1" customHeight="1" x14ac:dyDescent="0.2">
      <c r="A386" s="230" t="s">
        <v>3789</v>
      </c>
      <c r="B386" s="255">
        <v>2690556946</v>
      </c>
      <c r="C386" s="230" t="s">
        <v>131</v>
      </c>
      <c r="D386" s="230" t="s">
        <v>63</v>
      </c>
      <c r="E386" s="230" t="s">
        <v>5</v>
      </c>
      <c r="F386" s="230" t="s">
        <v>3827</v>
      </c>
      <c r="G386" s="230">
        <v>194</v>
      </c>
      <c r="H386" s="230" t="s">
        <v>338</v>
      </c>
      <c r="I386" s="230" t="s">
        <v>3828</v>
      </c>
      <c r="J386" s="230" t="s">
        <v>3273</v>
      </c>
      <c r="K386" s="230"/>
      <c r="L386" s="230" t="s">
        <v>1192</v>
      </c>
      <c r="M386" s="230" t="s">
        <v>3829</v>
      </c>
      <c r="N386" s="230" t="s">
        <v>3793</v>
      </c>
      <c r="O386" s="158"/>
      <c r="P386" s="92"/>
      <c r="Q386" s="146"/>
      <c r="R386" s="92"/>
      <c r="S386" s="146"/>
      <c r="T386" s="92"/>
      <c r="U386" s="146"/>
      <c r="V386" s="92"/>
      <c r="W386" s="146"/>
      <c r="X386" s="92"/>
      <c r="Y386" s="146"/>
      <c r="Z386" s="186" t="str">
        <f t="shared" ref="Z386:Z449" si="28">IF(AND(O386="",Q386="",S386="",U386="",W386=""),"",IF(OR(AND(O386&lt;&gt;"NA",O386&lt;&gt;"C",O386&lt;&gt;"NC",O386&lt;&gt;"SF",O386&lt;&gt;""),AND(Q386&lt;&gt;"NA",Q386&lt;&gt;"C",Q386&lt;&gt;"NC",Q386&lt;&gt;"SF",Q386&lt;&gt;""),AND(S386&lt;&gt;"NA",S386&lt;&gt;"C",S386&lt;&gt;"NC",S386&lt;&gt;"SF",S386&lt;&gt;""),AND(U386&lt;&gt;"NA",U386&lt;&gt;"C",U386&lt;&gt;"NC",U386&lt;&gt;"SF",U386&lt;&gt;""),AND(W386&lt;&gt;"NA",W386&lt;&gt;"C",W386&lt;&gt;"NC",W386&lt;&gt;"SF",W386&lt;&gt;"")),"FALSO",IF(AND(O386="NA",Q386="NA",S386="NA",U386="NA",W386="NA"),"NA",IF(OR(O386="NC",Q386="NC",S386="NC",U386="NC",W386="NC",O386="SF",Q386="SF",S386="SF",U386="SF",W386="SF"),"NC",IF(OR(O386="C",Q386="C",S386="C",U386="C",W386="C"),"C","")))))</f>
        <v/>
      </c>
      <c r="AA386" s="217" t="b">
        <f t="shared" si="27"/>
        <v>0</v>
      </c>
      <c r="AB386" s="92"/>
      <c r="AC386" s="164" t="s">
        <v>6</v>
      </c>
      <c r="AD386" s="151" t="str">
        <f t="shared" si="25"/>
        <v>SÃO PAULO</v>
      </c>
      <c r="AE386" s="96" t="s">
        <v>63</v>
      </c>
      <c r="AF386" s="53">
        <v>0.89445141912057669</v>
      </c>
      <c r="AG386" s="53" t="str" cm="1">
        <f t="array" ref="AG386">IF(OR(O386&lt;&gt;"", SUMPRODUCT(($AH$2:$AH$4999=AH386)*($AF$2:$AF$4999&lt;=AF386)) &lt;= (COUNTIF($AH$2:$AH$4999,AH386)*0.3)), "SORTEADO", "-")</f>
        <v>-</v>
      </c>
      <c r="AH386" s="257" t="str">
        <f t="shared" si="26"/>
        <v>15/04/2026</v>
      </c>
    </row>
    <row r="387" spans="1:34" ht="30" customHeight="1" x14ac:dyDescent="0.2">
      <c r="A387" s="230" t="s">
        <v>3789</v>
      </c>
      <c r="B387" s="255">
        <v>2690560820</v>
      </c>
      <c r="C387" s="230" t="s">
        <v>127</v>
      </c>
      <c r="D387" s="230" t="s">
        <v>63</v>
      </c>
      <c r="E387" s="230" t="s">
        <v>5</v>
      </c>
      <c r="F387" s="230" t="s">
        <v>3830</v>
      </c>
      <c r="G387" s="230">
        <v>172</v>
      </c>
      <c r="H387" s="230" t="s">
        <v>213</v>
      </c>
      <c r="I387" s="230" t="s">
        <v>3831</v>
      </c>
      <c r="J387" s="230" t="s">
        <v>3271</v>
      </c>
      <c r="K387" s="230" t="s">
        <v>213</v>
      </c>
      <c r="L387" s="230" t="s">
        <v>1192</v>
      </c>
      <c r="M387" s="230" t="s">
        <v>3832</v>
      </c>
      <c r="N387" s="230" t="s">
        <v>3793</v>
      </c>
      <c r="O387" s="158" t="s">
        <v>742</v>
      </c>
      <c r="P387" s="92"/>
      <c r="Q387" s="146" t="s">
        <v>742</v>
      </c>
      <c r="R387" s="92"/>
      <c r="S387" s="146" t="s">
        <v>742</v>
      </c>
      <c r="T387" s="92"/>
      <c r="U387" s="146" t="s">
        <v>742</v>
      </c>
      <c r="V387" s="92"/>
      <c r="W387" s="146" t="s">
        <v>742</v>
      </c>
      <c r="X387" s="92"/>
      <c r="Y387" s="146" t="s">
        <v>742</v>
      </c>
      <c r="Z387" s="186" t="str">
        <f t="shared" si="28"/>
        <v>C</v>
      </c>
      <c r="AA387" s="217" t="str">
        <f t="shared" si="27"/>
        <v>UTILIZOU O PDA CORRETAMENTE</v>
      </c>
      <c r="AB387" s="92" t="s">
        <v>742</v>
      </c>
      <c r="AC387" s="164" t="s">
        <v>6</v>
      </c>
      <c r="AD387" s="151" t="str">
        <f t="shared" si="25"/>
        <v>SÃO PAULO</v>
      </c>
      <c r="AE387" s="96" t="s">
        <v>63</v>
      </c>
      <c r="AF387" s="53">
        <v>6.1537823991536594E-2</v>
      </c>
      <c r="AG387" s="53" t="str" cm="1">
        <f t="array" ref="AG387">IF(OR(O387&lt;&gt;"", SUMPRODUCT(($AH$2:$AH$4999=AH387)*($AF$2:$AF$4999&lt;=AF387)) &lt;= (COUNTIF($AH$2:$AH$4999,AH387)*0.3)), "SORTEADO", "-")</f>
        <v>SORTEADO</v>
      </c>
      <c r="AH387" s="257" t="str">
        <f t="shared" si="26"/>
        <v>15/04/2026</v>
      </c>
    </row>
    <row r="388" spans="1:34" ht="30" hidden="1" customHeight="1" x14ac:dyDescent="0.2">
      <c r="A388" s="230" t="s">
        <v>3789</v>
      </c>
      <c r="B388" s="255">
        <v>2690563718</v>
      </c>
      <c r="C388" s="230" t="s">
        <v>127</v>
      </c>
      <c r="D388" s="230" t="s">
        <v>63</v>
      </c>
      <c r="E388" s="230" t="s">
        <v>5</v>
      </c>
      <c r="F388" s="230" t="s">
        <v>3833</v>
      </c>
      <c r="G388" s="230">
        <v>3420</v>
      </c>
      <c r="H388" s="230" t="s">
        <v>457</v>
      </c>
      <c r="I388" s="230" t="s">
        <v>3834</v>
      </c>
      <c r="J388" s="230" t="s">
        <v>3271</v>
      </c>
      <c r="K388" s="230"/>
      <c r="L388" s="230" t="s">
        <v>1192</v>
      </c>
      <c r="M388" s="230" t="s">
        <v>3835</v>
      </c>
      <c r="N388" s="230" t="s">
        <v>3793</v>
      </c>
      <c r="O388" s="158"/>
      <c r="P388" s="92"/>
      <c r="Q388" s="146"/>
      <c r="R388" s="92"/>
      <c r="S388" s="146"/>
      <c r="T388" s="92"/>
      <c r="U388" s="146"/>
      <c r="V388" s="92"/>
      <c r="W388" s="146"/>
      <c r="X388" s="92"/>
      <c r="Y388" s="146"/>
      <c r="Z388" s="186" t="str">
        <f t="shared" si="28"/>
        <v/>
      </c>
      <c r="AA388" s="217" t="b">
        <f t="shared" si="27"/>
        <v>0</v>
      </c>
      <c r="AB388" s="92"/>
      <c r="AC388" s="164" t="s">
        <v>6</v>
      </c>
      <c r="AD388" s="151" t="str">
        <f t="shared" si="25"/>
        <v>SÃO PAULO</v>
      </c>
      <c r="AE388" s="96" t="s">
        <v>63</v>
      </c>
      <c r="AF388" s="53">
        <v>0.5708508438600991</v>
      </c>
      <c r="AG388" s="53" t="str" cm="1">
        <f t="array" ref="AG388">IF(OR(O388&lt;&gt;"", SUMPRODUCT(($AH$2:$AH$4999=AH388)*($AF$2:$AF$4999&lt;=AF388)) &lt;= (COUNTIF($AH$2:$AH$4999,AH388)*0.3)), "SORTEADO", "-")</f>
        <v>-</v>
      </c>
      <c r="AH388" s="257" t="str">
        <f t="shared" si="26"/>
        <v>15/04/2026</v>
      </c>
    </row>
    <row r="389" spans="1:34" ht="30" hidden="1" customHeight="1" x14ac:dyDescent="0.2">
      <c r="A389" s="230" t="s">
        <v>3789</v>
      </c>
      <c r="B389" s="255">
        <v>2690636174</v>
      </c>
      <c r="C389" s="230" t="s">
        <v>127</v>
      </c>
      <c r="D389" s="230" t="s">
        <v>63</v>
      </c>
      <c r="E389" s="230" t="s">
        <v>5</v>
      </c>
      <c r="F389" s="230" t="s">
        <v>3836</v>
      </c>
      <c r="G389" s="230">
        <v>91</v>
      </c>
      <c r="H389" s="230" t="s">
        <v>211</v>
      </c>
      <c r="I389" s="230" t="s">
        <v>3837</v>
      </c>
      <c r="J389" s="230" t="s">
        <v>3271</v>
      </c>
      <c r="K389" s="230"/>
      <c r="L389" s="230" t="s">
        <v>1192</v>
      </c>
      <c r="M389" s="230" t="s">
        <v>3838</v>
      </c>
      <c r="N389" s="230" t="s">
        <v>3793</v>
      </c>
      <c r="O389" s="158"/>
      <c r="P389" s="92"/>
      <c r="Q389" s="146"/>
      <c r="R389" s="92"/>
      <c r="S389" s="146"/>
      <c r="T389" s="92"/>
      <c r="U389" s="146"/>
      <c r="V389" s="92"/>
      <c r="W389" s="146"/>
      <c r="X389" s="92"/>
      <c r="Y389" s="146"/>
      <c r="Z389" s="186" t="str">
        <f t="shared" si="28"/>
        <v/>
      </c>
      <c r="AA389" s="217" t="b">
        <f t="shared" si="27"/>
        <v>0</v>
      </c>
      <c r="AB389" s="92"/>
      <c r="AC389" s="164" t="s">
        <v>6</v>
      </c>
      <c r="AD389" s="151" t="str">
        <f t="shared" si="25"/>
        <v>SÃO PAULO</v>
      </c>
      <c r="AE389" s="96" t="s">
        <v>63</v>
      </c>
      <c r="AF389" s="53">
        <v>0.7974179693425042</v>
      </c>
      <c r="AG389" s="53" t="str" cm="1">
        <f t="array" ref="AG389">IF(OR(O389&lt;&gt;"", SUMPRODUCT(($AH$2:$AH$4999=AH389)*($AF$2:$AF$4999&lt;=AF389)) &lt;= (COUNTIF($AH$2:$AH$4999,AH389)*0.3)), "SORTEADO", "-")</f>
        <v>-</v>
      </c>
      <c r="AH389" s="257" t="str">
        <f t="shared" si="26"/>
        <v>15/04/2026</v>
      </c>
    </row>
    <row r="390" spans="1:34" ht="30" customHeight="1" x14ac:dyDescent="0.2">
      <c r="A390" s="230" t="s">
        <v>3789</v>
      </c>
      <c r="B390" s="255">
        <v>2690603542</v>
      </c>
      <c r="C390" s="230" t="s">
        <v>127</v>
      </c>
      <c r="D390" s="230" t="s">
        <v>63</v>
      </c>
      <c r="E390" s="230" t="s">
        <v>5</v>
      </c>
      <c r="F390" s="230" t="s">
        <v>3839</v>
      </c>
      <c r="G390" s="230">
        <v>76</v>
      </c>
      <c r="H390" s="230"/>
      <c r="I390" s="230" t="s">
        <v>3840</v>
      </c>
      <c r="J390" s="230" t="s">
        <v>3271</v>
      </c>
      <c r="K390" s="230"/>
      <c r="L390" s="230" t="s">
        <v>1192</v>
      </c>
      <c r="M390" s="230" t="s">
        <v>3823</v>
      </c>
      <c r="N390" s="230" t="s">
        <v>3841</v>
      </c>
      <c r="O390" s="158" t="s">
        <v>742</v>
      </c>
      <c r="P390" s="92"/>
      <c r="Q390" s="146" t="s">
        <v>742</v>
      </c>
      <c r="R390" s="92"/>
      <c r="S390" s="146" t="s">
        <v>742</v>
      </c>
      <c r="T390" s="92"/>
      <c r="U390" s="146" t="s">
        <v>742</v>
      </c>
      <c r="V390" s="92"/>
      <c r="W390" s="146" t="s">
        <v>742</v>
      </c>
      <c r="X390" s="92"/>
      <c r="Y390" s="146" t="s">
        <v>742</v>
      </c>
      <c r="Z390" s="186" t="str">
        <f t="shared" si="28"/>
        <v>C</v>
      </c>
      <c r="AA390" s="217" t="str">
        <f t="shared" si="27"/>
        <v>UTILIZOU O PDA CORRETAMENTE</v>
      </c>
      <c r="AB390" s="92" t="s">
        <v>742</v>
      </c>
      <c r="AC390" s="164" t="s">
        <v>6</v>
      </c>
      <c r="AD390" s="151" t="str">
        <f t="shared" si="25"/>
        <v>SÃO PAULO</v>
      </c>
      <c r="AE390" s="96" t="s">
        <v>63</v>
      </c>
      <c r="AF390" s="53">
        <v>4.1608994875336425E-2</v>
      </c>
      <c r="AG390" s="53" t="str" cm="1">
        <f t="array" ref="AG390">IF(OR(O390&lt;&gt;"", SUMPRODUCT(($AH$2:$AH$4999=AH390)*($AF$2:$AF$4999&lt;=AF390)) &lt;= (COUNTIF($AH$2:$AH$4999,AH390)*0.3)), "SORTEADO", "-")</f>
        <v>SORTEADO</v>
      </c>
      <c r="AH390" s="257" t="str">
        <f t="shared" si="26"/>
        <v>15/04/2026</v>
      </c>
    </row>
    <row r="391" spans="1:34" ht="30" hidden="1" customHeight="1" x14ac:dyDescent="0.2">
      <c r="A391" s="230" t="s">
        <v>3789</v>
      </c>
      <c r="B391" s="255">
        <v>2690613317</v>
      </c>
      <c r="C391" s="230" t="s">
        <v>130</v>
      </c>
      <c r="D391" s="230" t="s">
        <v>63</v>
      </c>
      <c r="E391" s="230" t="s">
        <v>5</v>
      </c>
      <c r="F391" s="230" t="s">
        <v>3842</v>
      </c>
      <c r="G391" s="230">
        <v>7</v>
      </c>
      <c r="H391" s="230" t="s">
        <v>362</v>
      </c>
      <c r="I391" s="230" t="s">
        <v>3843</v>
      </c>
      <c r="J391" s="230" t="s">
        <v>3271</v>
      </c>
      <c r="K391" s="230" t="s">
        <v>213</v>
      </c>
      <c r="L391" s="230" t="s">
        <v>1192</v>
      </c>
      <c r="M391" s="230" t="s">
        <v>3844</v>
      </c>
      <c r="N391" s="230" t="s">
        <v>3841</v>
      </c>
      <c r="O391" s="158"/>
      <c r="P391" s="92"/>
      <c r="Q391" s="146"/>
      <c r="R391" s="92"/>
      <c r="S391" s="146"/>
      <c r="T391" s="92"/>
      <c r="U391" s="146"/>
      <c r="V391" s="92"/>
      <c r="W391" s="146"/>
      <c r="X391" s="92"/>
      <c r="Y391" s="146"/>
      <c r="Z391" s="186" t="str">
        <f t="shared" si="28"/>
        <v/>
      </c>
      <c r="AA391" s="217" t="b">
        <f t="shared" si="27"/>
        <v>0</v>
      </c>
      <c r="AB391" s="92"/>
      <c r="AC391" s="164" t="s">
        <v>6</v>
      </c>
      <c r="AD391" s="151" t="str">
        <f t="shared" si="25"/>
        <v>SÃO PAULO</v>
      </c>
      <c r="AE391" s="96" t="s">
        <v>63</v>
      </c>
      <c r="AF391" s="53">
        <v>0.85366304603831045</v>
      </c>
      <c r="AG391" s="53" t="str" cm="1">
        <f t="array" ref="AG391">IF(OR(O391&lt;&gt;"", SUMPRODUCT(($AH$2:$AH$4999=AH391)*($AF$2:$AF$4999&lt;=AF391)) &lt;= (COUNTIF($AH$2:$AH$4999,AH391)*0.3)), "SORTEADO", "-")</f>
        <v>-</v>
      </c>
      <c r="AH391" s="257" t="str">
        <f t="shared" si="26"/>
        <v>15/04/2026</v>
      </c>
    </row>
    <row r="392" spans="1:34" ht="30" hidden="1" customHeight="1" x14ac:dyDescent="0.2">
      <c r="A392" s="230" t="s">
        <v>3789</v>
      </c>
      <c r="B392" s="255">
        <v>2615759883</v>
      </c>
      <c r="C392" s="230" t="s">
        <v>127</v>
      </c>
      <c r="D392" s="230" t="s">
        <v>63</v>
      </c>
      <c r="E392" s="230" t="s">
        <v>5</v>
      </c>
      <c r="F392" s="230" t="s">
        <v>3845</v>
      </c>
      <c r="G392" s="230">
        <v>23</v>
      </c>
      <c r="H392" s="230"/>
      <c r="I392" s="230" t="s">
        <v>3846</v>
      </c>
      <c r="J392" s="230" t="s">
        <v>3271</v>
      </c>
      <c r="K392" s="230"/>
      <c r="L392" s="230" t="s">
        <v>1192</v>
      </c>
      <c r="M392" s="230" t="s">
        <v>3847</v>
      </c>
      <c r="N392" s="230" t="s">
        <v>3841</v>
      </c>
      <c r="O392" s="158"/>
      <c r="P392" s="92"/>
      <c r="Q392" s="146"/>
      <c r="R392" s="92"/>
      <c r="S392" s="146"/>
      <c r="T392" s="92"/>
      <c r="U392" s="146"/>
      <c r="V392" s="92"/>
      <c r="W392" s="146"/>
      <c r="X392" s="92"/>
      <c r="Y392" s="146"/>
      <c r="Z392" s="186" t="str">
        <f t="shared" si="28"/>
        <v/>
      </c>
      <c r="AA392" s="217" t="b">
        <f t="shared" si="27"/>
        <v>0</v>
      </c>
      <c r="AB392" s="92"/>
      <c r="AC392" s="164" t="s">
        <v>6</v>
      </c>
      <c r="AD392" s="151" t="str">
        <f t="shared" si="25"/>
        <v>SÃO PAULO</v>
      </c>
      <c r="AE392" s="96" t="s">
        <v>63</v>
      </c>
      <c r="AF392" s="53">
        <v>0.50886998580605936</v>
      </c>
      <c r="AG392" s="53" t="str" cm="1">
        <f t="array" ref="AG392">IF(OR(O392&lt;&gt;"", SUMPRODUCT(($AH$2:$AH$4999=AH392)*($AF$2:$AF$4999&lt;=AF392)) &lt;= (COUNTIF($AH$2:$AH$4999,AH392)*0.3)), "SORTEADO", "-")</f>
        <v>-</v>
      </c>
      <c r="AH392" s="257" t="str">
        <f t="shared" si="26"/>
        <v>15/04/2026</v>
      </c>
    </row>
    <row r="393" spans="1:34" ht="30" hidden="1" customHeight="1" x14ac:dyDescent="0.2">
      <c r="A393" s="230" t="s">
        <v>3789</v>
      </c>
      <c r="B393" s="255">
        <v>2690628272</v>
      </c>
      <c r="C393" s="230" t="s">
        <v>127</v>
      </c>
      <c r="D393" s="230" t="s">
        <v>63</v>
      </c>
      <c r="E393" s="230" t="s">
        <v>5</v>
      </c>
      <c r="F393" s="230" t="s">
        <v>3848</v>
      </c>
      <c r="G393" s="230">
        <v>45</v>
      </c>
      <c r="H393" s="230" t="s">
        <v>213</v>
      </c>
      <c r="I393" s="230" t="s">
        <v>3849</v>
      </c>
      <c r="J393" s="230" t="s">
        <v>3275</v>
      </c>
      <c r="K393" s="230" t="s">
        <v>213</v>
      </c>
      <c r="L393" s="230" t="s">
        <v>1192</v>
      </c>
      <c r="M393" s="230" t="s">
        <v>3850</v>
      </c>
      <c r="N393" s="230" t="s">
        <v>3841</v>
      </c>
      <c r="O393" s="158"/>
      <c r="P393" s="92"/>
      <c r="Q393" s="146"/>
      <c r="R393" s="92"/>
      <c r="S393" s="146"/>
      <c r="T393" s="92"/>
      <c r="U393" s="146"/>
      <c r="V393" s="92"/>
      <c r="W393" s="146"/>
      <c r="X393" s="92"/>
      <c r="Y393" s="146"/>
      <c r="Z393" s="186" t="str">
        <f t="shared" si="28"/>
        <v/>
      </c>
      <c r="AA393" s="217" t="b">
        <f t="shared" si="27"/>
        <v>0</v>
      </c>
      <c r="AB393" s="92"/>
      <c r="AC393" s="164" t="s">
        <v>6</v>
      </c>
      <c r="AD393" s="151" t="str">
        <f t="shared" si="25"/>
        <v>SÃO PAULO</v>
      </c>
      <c r="AE393" s="96" t="s">
        <v>63</v>
      </c>
      <c r="AF393" s="53">
        <v>0.47494662312730906</v>
      </c>
      <c r="AG393" s="53" t="str" cm="1">
        <f t="array" ref="AG393">IF(OR(O393&lt;&gt;"", SUMPRODUCT(($AH$2:$AH$4999=AH393)*($AF$2:$AF$4999&lt;=AF393)) &lt;= (COUNTIF($AH$2:$AH$4999,AH393)*0.3)), "SORTEADO", "-")</f>
        <v>-</v>
      </c>
      <c r="AH393" s="257" t="str">
        <f t="shared" si="26"/>
        <v>15/04/2026</v>
      </c>
    </row>
    <row r="394" spans="1:34" ht="30" hidden="1" customHeight="1" x14ac:dyDescent="0.2">
      <c r="A394" s="230" t="s">
        <v>3789</v>
      </c>
      <c r="B394" s="255">
        <v>2690599145</v>
      </c>
      <c r="C394" s="230" t="s">
        <v>127</v>
      </c>
      <c r="D394" s="230" t="s">
        <v>63</v>
      </c>
      <c r="E394" s="230" t="s">
        <v>5</v>
      </c>
      <c r="F394" s="230" t="s">
        <v>3851</v>
      </c>
      <c r="G394" s="230">
        <v>109</v>
      </c>
      <c r="H394" s="230" t="s">
        <v>206</v>
      </c>
      <c r="I394" s="230" t="s">
        <v>3852</v>
      </c>
      <c r="J394" s="230" t="s">
        <v>3271</v>
      </c>
      <c r="K394" s="230" t="s">
        <v>213</v>
      </c>
      <c r="L394" s="230" t="s">
        <v>1192</v>
      </c>
      <c r="M394" s="230" t="s">
        <v>3853</v>
      </c>
      <c r="N394" s="230" t="s">
        <v>3854</v>
      </c>
      <c r="O394" s="158"/>
      <c r="P394" s="92"/>
      <c r="Q394" s="146"/>
      <c r="R394" s="92"/>
      <c r="S394" s="146"/>
      <c r="T394" s="92"/>
      <c r="U394" s="146"/>
      <c r="V394" s="92"/>
      <c r="W394" s="146"/>
      <c r="X394" s="92"/>
      <c r="Y394" s="146"/>
      <c r="Z394" s="186" t="str">
        <f t="shared" si="28"/>
        <v/>
      </c>
      <c r="AA394" s="217" t="b">
        <f t="shared" si="27"/>
        <v>0</v>
      </c>
      <c r="AB394" s="92"/>
      <c r="AC394" s="164" t="s">
        <v>6</v>
      </c>
      <c r="AD394" s="151" t="str">
        <f t="shared" si="25"/>
        <v>SÃO PAULO</v>
      </c>
      <c r="AE394" s="96" t="s">
        <v>63</v>
      </c>
      <c r="AF394" s="53">
        <v>0.77617996265553579</v>
      </c>
      <c r="AG394" s="53" t="str" cm="1">
        <f t="array" ref="AG394">IF(OR(O394&lt;&gt;"", SUMPRODUCT(($AH$2:$AH$4999=AH394)*($AF$2:$AF$4999&lt;=AF394)) &lt;= (COUNTIF($AH$2:$AH$4999,AH394)*0.3)), "SORTEADO", "-")</f>
        <v>-</v>
      </c>
      <c r="AH394" s="257" t="str">
        <f t="shared" si="26"/>
        <v>15/04/2026</v>
      </c>
    </row>
    <row r="395" spans="1:34" ht="30" hidden="1" customHeight="1" x14ac:dyDescent="0.2">
      <c r="A395" s="230" t="s">
        <v>3789</v>
      </c>
      <c r="B395" s="255">
        <v>2615761895</v>
      </c>
      <c r="C395" s="230" t="s">
        <v>3717</v>
      </c>
      <c r="D395" s="230" t="s">
        <v>124</v>
      </c>
      <c r="E395" s="230" t="s">
        <v>5</v>
      </c>
      <c r="F395" s="230" t="s">
        <v>3855</v>
      </c>
      <c r="G395" s="230">
        <v>4</v>
      </c>
      <c r="H395" s="230" t="s">
        <v>206</v>
      </c>
      <c r="I395" s="230" t="s">
        <v>3856</v>
      </c>
      <c r="J395" s="230" t="s">
        <v>3719</v>
      </c>
      <c r="K395" s="230"/>
      <c r="L395" s="230" t="s">
        <v>1192</v>
      </c>
      <c r="M395" s="230" t="s">
        <v>3857</v>
      </c>
      <c r="N395" s="230" t="s">
        <v>3854</v>
      </c>
      <c r="O395" s="158"/>
      <c r="P395" s="92"/>
      <c r="Q395" s="146"/>
      <c r="R395" s="92"/>
      <c r="S395" s="146"/>
      <c r="T395" s="92"/>
      <c r="U395" s="146"/>
      <c r="V395" s="92"/>
      <c r="W395" s="146"/>
      <c r="X395" s="92"/>
      <c r="Y395" s="146"/>
      <c r="Z395" s="186" t="str">
        <f t="shared" si="28"/>
        <v/>
      </c>
      <c r="AA395" s="217" t="b">
        <f t="shared" si="27"/>
        <v>0</v>
      </c>
      <c r="AB395" s="92"/>
      <c r="AC395" s="164" t="s">
        <v>6</v>
      </c>
      <c r="AD395" s="151" t="str">
        <f t="shared" si="25"/>
        <v>SÃO PAULO</v>
      </c>
      <c r="AE395" s="96" t="s">
        <v>63</v>
      </c>
      <c r="AF395" s="53">
        <v>0.77431742234145984</v>
      </c>
      <c r="AG395" s="53" t="str" cm="1">
        <f t="array" ref="AG395">IF(OR(O395&lt;&gt;"", SUMPRODUCT(($AH$2:$AH$4999=AH395)*($AF$2:$AF$4999&lt;=AF395)) &lt;= (COUNTIF($AH$2:$AH$4999,AH395)*0.3)), "SORTEADO", "-")</f>
        <v>-</v>
      </c>
      <c r="AH395" s="257" t="str">
        <f t="shared" si="26"/>
        <v>15/04/2026</v>
      </c>
    </row>
    <row r="396" spans="1:34" ht="30" hidden="1" customHeight="1" x14ac:dyDescent="0.2">
      <c r="A396" s="230" t="s">
        <v>3789</v>
      </c>
      <c r="B396" s="255">
        <v>2615696875</v>
      </c>
      <c r="C396" s="230" t="s">
        <v>127</v>
      </c>
      <c r="D396" s="230" t="s">
        <v>63</v>
      </c>
      <c r="E396" s="230" t="s">
        <v>5</v>
      </c>
      <c r="F396" s="230" t="s">
        <v>3833</v>
      </c>
      <c r="G396" s="230">
        <v>9694</v>
      </c>
      <c r="H396" s="230" t="s">
        <v>211</v>
      </c>
      <c r="I396" s="230" t="s">
        <v>3858</v>
      </c>
      <c r="J396" s="230" t="s">
        <v>3271</v>
      </c>
      <c r="K396" s="230" t="s">
        <v>213</v>
      </c>
      <c r="L396" s="230" t="s">
        <v>1192</v>
      </c>
      <c r="M396" s="230" t="s">
        <v>3859</v>
      </c>
      <c r="N396" s="230" t="s">
        <v>3860</v>
      </c>
      <c r="O396" s="158"/>
      <c r="P396" s="92"/>
      <c r="Q396" s="146"/>
      <c r="R396" s="92"/>
      <c r="S396" s="146"/>
      <c r="T396" s="92"/>
      <c r="U396" s="146"/>
      <c r="V396" s="92"/>
      <c r="W396" s="146"/>
      <c r="X396" s="92"/>
      <c r="Y396" s="146"/>
      <c r="Z396" s="186" t="str">
        <f t="shared" si="28"/>
        <v/>
      </c>
      <c r="AA396" s="217" t="b">
        <f t="shared" si="27"/>
        <v>0</v>
      </c>
      <c r="AB396" s="92"/>
      <c r="AC396" s="164" t="s">
        <v>6</v>
      </c>
      <c r="AD396" s="151" t="str">
        <f t="shared" si="25"/>
        <v>SÃO PAULO</v>
      </c>
      <c r="AE396" s="96" t="s">
        <v>63</v>
      </c>
      <c r="AF396" s="53">
        <v>0.55100382365976541</v>
      </c>
      <c r="AG396" s="53" t="str" cm="1">
        <f t="array" ref="AG396">IF(OR(O396&lt;&gt;"", SUMPRODUCT(($AH$2:$AH$4999=AH396)*($AF$2:$AF$4999&lt;=AF396)) &lt;= (COUNTIF($AH$2:$AH$4999,AH396)*0.3)), "SORTEADO", "-")</f>
        <v>-</v>
      </c>
      <c r="AH396" s="257" t="str">
        <f t="shared" si="26"/>
        <v>15/04/2026</v>
      </c>
    </row>
    <row r="397" spans="1:34" ht="30" hidden="1" customHeight="1" x14ac:dyDescent="0.2">
      <c r="A397" s="230" t="s">
        <v>3789</v>
      </c>
      <c r="B397" s="255">
        <v>2690600203</v>
      </c>
      <c r="C397" s="230" t="s">
        <v>127</v>
      </c>
      <c r="D397" s="230" t="s">
        <v>63</v>
      </c>
      <c r="E397" s="230" t="s">
        <v>5</v>
      </c>
      <c r="F397" s="230" t="s">
        <v>3861</v>
      </c>
      <c r="G397" s="230">
        <v>3</v>
      </c>
      <c r="H397" s="230"/>
      <c r="I397" s="230" t="s">
        <v>3862</v>
      </c>
      <c r="J397" s="230" t="s">
        <v>3271</v>
      </c>
      <c r="K397" s="230"/>
      <c r="L397" s="230" t="s">
        <v>1192</v>
      </c>
      <c r="M397" s="230" t="s">
        <v>3863</v>
      </c>
      <c r="N397" s="230" t="s">
        <v>3864</v>
      </c>
      <c r="O397" s="158"/>
      <c r="P397" s="92"/>
      <c r="Q397" s="146"/>
      <c r="R397" s="92"/>
      <c r="S397" s="146"/>
      <c r="T397" s="92"/>
      <c r="U397" s="146"/>
      <c r="V397" s="92"/>
      <c r="W397" s="146"/>
      <c r="X397" s="92"/>
      <c r="Y397" s="146"/>
      <c r="Z397" s="186" t="str">
        <f t="shared" si="28"/>
        <v/>
      </c>
      <c r="AA397" s="217" t="b">
        <f t="shared" si="27"/>
        <v>0</v>
      </c>
      <c r="AB397" s="92"/>
      <c r="AC397" s="164" t="s">
        <v>6</v>
      </c>
      <c r="AD397" s="151" t="str">
        <f t="shared" si="25"/>
        <v>SÃO PAULO</v>
      </c>
      <c r="AE397" s="96" t="s">
        <v>63</v>
      </c>
      <c r="AF397" s="53">
        <v>0.46275904716541416</v>
      </c>
      <c r="AG397" s="53" t="str" cm="1">
        <f t="array" ref="AG397">IF(OR(O397&lt;&gt;"", SUMPRODUCT(($AH$2:$AH$4999=AH397)*($AF$2:$AF$4999&lt;=AF397)) &lt;= (COUNTIF($AH$2:$AH$4999,AH397)*0.3)), "SORTEADO", "-")</f>
        <v>-</v>
      </c>
      <c r="AH397" s="257" t="str">
        <f t="shared" si="26"/>
        <v>15/04/2026</v>
      </c>
    </row>
    <row r="398" spans="1:34" ht="30" hidden="1" customHeight="1" x14ac:dyDescent="0.2">
      <c r="A398" s="230" t="s">
        <v>3789</v>
      </c>
      <c r="B398" s="255">
        <v>2690593320</v>
      </c>
      <c r="C398" s="230" t="s">
        <v>127</v>
      </c>
      <c r="D398" s="230" t="s">
        <v>63</v>
      </c>
      <c r="E398" s="230" t="s">
        <v>5</v>
      </c>
      <c r="F398" s="230" t="s">
        <v>3865</v>
      </c>
      <c r="G398" s="230">
        <v>72</v>
      </c>
      <c r="H398" s="230" t="s">
        <v>337</v>
      </c>
      <c r="I398" s="230" t="s">
        <v>3866</v>
      </c>
      <c r="J398" s="230" t="s">
        <v>3273</v>
      </c>
      <c r="K398" s="230" t="s">
        <v>213</v>
      </c>
      <c r="L398" s="230" t="s">
        <v>1192</v>
      </c>
      <c r="M398" s="230" t="s">
        <v>3867</v>
      </c>
      <c r="N398" s="230" t="s">
        <v>3864</v>
      </c>
      <c r="O398" s="158"/>
      <c r="P398" s="92"/>
      <c r="Q398" s="146"/>
      <c r="R398" s="92"/>
      <c r="S398" s="146"/>
      <c r="T398" s="92"/>
      <c r="U398" s="146"/>
      <c r="V398" s="92"/>
      <c r="W398" s="146"/>
      <c r="X398" s="92"/>
      <c r="Y398" s="146"/>
      <c r="Z398" s="186" t="str">
        <f t="shared" si="28"/>
        <v/>
      </c>
      <c r="AA398" s="217" t="b">
        <f t="shared" si="27"/>
        <v>0</v>
      </c>
      <c r="AB398" s="92"/>
      <c r="AC398" s="164" t="s">
        <v>6</v>
      </c>
      <c r="AD398" s="151" t="str">
        <f t="shared" si="25"/>
        <v>SÃO PAULO</v>
      </c>
      <c r="AE398" s="96" t="s">
        <v>63</v>
      </c>
      <c r="AF398" s="53">
        <v>0.31406244344603307</v>
      </c>
      <c r="AG398" s="53" t="str" cm="1">
        <f t="array" ref="AG398">IF(OR(O398&lt;&gt;"", SUMPRODUCT(($AH$2:$AH$4999=AH398)*($AF$2:$AF$4999&lt;=AF398)) &lt;= (COUNTIF($AH$2:$AH$4999,AH398)*0.3)), "SORTEADO", "-")</f>
        <v>-</v>
      </c>
      <c r="AH398" s="257" t="str">
        <f t="shared" si="26"/>
        <v>15/04/2026</v>
      </c>
    </row>
    <row r="399" spans="1:34" ht="30" customHeight="1" x14ac:dyDescent="0.2">
      <c r="A399" s="230" t="s">
        <v>3789</v>
      </c>
      <c r="B399" s="255">
        <v>2690623165</v>
      </c>
      <c r="C399" s="230" t="s">
        <v>127</v>
      </c>
      <c r="D399" s="230" t="s">
        <v>63</v>
      </c>
      <c r="E399" s="230" t="s">
        <v>5</v>
      </c>
      <c r="F399" s="230" t="s">
        <v>3868</v>
      </c>
      <c r="G399" s="230">
        <v>18</v>
      </c>
      <c r="H399" s="230" t="s">
        <v>337</v>
      </c>
      <c r="I399" s="230" t="s">
        <v>3869</v>
      </c>
      <c r="J399" s="230" t="s">
        <v>3275</v>
      </c>
      <c r="K399" s="230"/>
      <c r="L399" s="230" t="s">
        <v>1192</v>
      </c>
      <c r="M399" s="230" t="s">
        <v>3870</v>
      </c>
      <c r="N399" s="230" t="s">
        <v>3860</v>
      </c>
      <c r="O399" s="158" t="s">
        <v>742</v>
      </c>
      <c r="P399" s="92"/>
      <c r="Q399" s="146" t="s">
        <v>742</v>
      </c>
      <c r="R399" s="92"/>
      <c r="S399" s="146" t="s">
        <v>742</v>
      </c>
      <c r="T399" s="92"/>
      <c r="U399" s="146" t="s">
        <v>742</v>
      </c>
      <c r="V399" s="92"/>
      <c r="W399" s="146" t="s">
        <v>742</v>
      </c>
      <c r="X399" s="92"/>
      <c r="Y399" s="146" t="s">
        <v>742</v>
      </c>
      <c r="Z399" s="186" t="str">
        <f t="shared" si="28"/>
        <v>C</v>
      </c>
      <c r="AA399" s="217" t="str">
        <f t="shared" si="27"/>
        <v>UTILIZOU O PDA CORRETAMENTE</v>
      </c>
      <c r="AB399" s="92" t="s">
        <v>742</v>
      </c>
      <c r="AC399" s="164" t="s">
        <v>6</v>
      </c>
      <c r="AD399" s="151" t="str">
        <f t="shared" si="25"/>
        <v>SÃO PAULO</v>
      </c>
      <c r="AE399" s="96" t="s">
        <v>63</v>
      </c>
      <c r="AF399" s="53">
        <v>4.2847004931343816E-2</v>
      </c>
      <c r="AG399" s="53" t="str" cm="1">
        <f t="array" ref="AG399">IF(OR(O399&lt;&gt;"", SUMPRODUCT(($AH$2:$AH$4999=AH399)*($AF$2:$AF$4999&lt;=AF399)) &lt;= (COUNTIF($AH$2:$AH$4999,AH399)*0.3)), "SORTEADO", "-")</f>
        <v>SORTEADO</v>
      </c>
      <c r="AH399" s="257" t="str">
        <f t="shared" si="26"/>
        <v>15/04/2026</v>
      </c>
    </row>
    <row r="400" spans="1:34" ht="30" hidden="1" customHeight="1" x14ac:dyDescent="0.2">
      <c r="A400" s="230" t="s">
        <v>3789</v>
      </c>
      <c r="B400" s="255">
        <v>2690634139</v>
      </c>
      <c r="C400" s="230" t="s">
        <v>127</v>
      </c>
      <c r="D400" s="230" t="s">
        <v>63</v>
      </c>
      <c r="E400" s="230" t="s">
        <v>5</v>
      </c>
      <c r="F400" s="230" t="s">
        <v>3871</v>
      </c>
      <c r="G400" s="230">
        <v>117</v>
      </c>
      <c r="H400" s="230" t="s">
        <v>213</v>
      </c>
      <c r="I400" s="230" t="s">
        <v>3872</v>
      </c>
      <c r="J400" s="230" t="s">
        <v>3271</v>
      </c>
      <c r="K400" s="230" t="s">
        <v>213</v>
      </c>
      <c r="L400" s="230" t="s">
        <v>1192</v>
      </c>
      <c r="M400" s="230" t="s">
        <v>3873</v>
      </c>
      <c r="N400" s="230" t="s">
        <v>3860</v>
      </c>
      <c r="O400" s="158"/>
      <c r="P400" s="92"/>
      <c r="Q400" s="146"/>
      <c r="R400" s="92"/>
      <c r="S400" s="146"/>
      <c r="T400" s="92"/>
      <c r="U400" s="146"/>
      <c r="V400" s="92"/>
      <c r="W400" s="146"/>
      <c r="X400" s="92"/>
      <c r="Y400" s="146"/>
      <c r="Z400" s="186" t="str">
        <f t="shared" si="28"/>
        <v/>
      </c>
      <c r="AA400" s="217" t="b">
        <f t="shared" si="27"/>
        <v>0</v>
      </c>
      <c r="AB400" s="92"/>
      <c r="AC400" s="164" t="s">
        <v>6</v>
      </c>
      <c r="AD400" s="151" t="str">
        <f t="shared" si="25"/>
        <v>SÃO PAULO</v>
      </c>
      <c r="AE400" s="96" t="s">
        <v>63</v>
      </c>
      <c r="AF400" s="53">
        <v>0.44305892636250904</v>
      </c>
      <c r="AG400" s="53" t="str" cm="1">
        <f t="array" ref="AG400">IF(OR(O400&lt;&gt;"", SUMPRODUCT(($AH$2:$AH$4999=AH400)*($AF$2:$AF$4999&lt;=AF400)) &lt;= (COUNTIF($AH$2:$AH$4999,AH400)*0.3)), "SORTEADO", "-")</f>
        <v>-</v>
      </c>
      <c r="AH400" s="257" t="str">
        <f t="shared" si="26"/>
        <v>15/04/2026</v>
      </c>
    </row>
    <row r="401" spans="1:34" ht="30" hidden="1" customHeight="1" x14ac:dyDescent="0.2">
      <c r="A401" s="230" t="s">
        <v>3789</v>
      </c>
      <c r="B401" s="255">
        <v>2690649740</v>
      </c>
      <c r="C401" s="230" t="s">
        <v>127</v>
      </c>
      <c r="D401" s="230" t="s">
        <v>63</v>
      </c>
      <c r="E401" s="230" t="s">
        <v>5</v>
      </c>
      <c r="F401" s="230" t="s">
        <v>3874</v>
      </c>
      <c r="G401" s="230">
        <v>47</v>
      </c>
      <c r="H401" s="230" t="s">
        <v>211</v>
      </c>
      <c r="I401" s="230" t="s">
        <v>3869</v>
      </c>
      <c r="J401" s="230" t="s">
        <v>3271</v>
      </c>
      <c r="K401" s="230" t="s">
        <v>3875</v>
      </c>
      <c r="L401" s="230" t="s">
        <v>1192</v>
      </c>
      <c r="M401" s="230" t="s">
        <v>3876</v>
      </c>
      <c r="N401" s="230" t="s">
        <v>3860</v>
      </c>
      <c r="O401" s="158"/>
      <c r="P401" s="92"/>
      <c r="Q401" s="146"/>
      <c r="R401" s="92"/>
      <c r="S401" s="146"/>
      <c r="T401" s="92"/>
      <c r="U401" s="146"/>
      <c r="V401" s="92"/>
      <c r="W401" s="146"/>
      <c r="X401" s="92"/>
      <c r="Y401" s="146"/>
      <c r="Z401" s="186" t="str">
        <f t="shared" si="28"/>
        <v/>
      </c>
      <c r="AA401" s="217" t="b">
        <f t="shared" si="27"/>
        <v>0</v>
      </c>
      <c r="AB401" s="92"/>
      <c r="AC401" s="164" t="s">
        <v>6</v>
      </c>
      <c r="AD401" s="151" t="str">
        <f t="shared" si="25"/>
        <v>SÃO PAULO</v>
      </c>
      <c r="AE401" s="96" t="s">
        <v>63</v>
      </c>
      <c r="AF401" s="53">
        <v>0.23978892964693724</v>
      </c>
      <c r="AG401" s="53" t="str" cm="1">
        <f t="array" ref="AG401">IF(OR(O401&lt;&gt;"", SUMPRODUCT(($AH$2:$AH$4999=AH401)*($AF$2:$AF$4999&lt;=AF401)) &lt;= (COUNTIF($AH$2:$AH$4999,AH401)*0.3)), "SORTEADO", "-")</f>
        <v>-</v>
      </c>
      <c r="AH401" s="257" t="str">
        <f t="shared" si="26"/>
        <v>15/04/2026</v>
      </c>
    </row>
    <row r="402" spans="1:34" ht="30" hidden="1" customHeight="1" x14ac:dyDescent="0.2">
      <c r="A402" s="230" t="s">
        <v>3789</v>
      </c>
      <c r="B402" s="255">
        <v>2615755366</v>
      </c>
      <c r="C402" s="230" t="s">
        <v>127</v>
      </c>
      <c r="D402" s="230" t="s">
        <v>63</v>
      </c>
      <c r="E402" s="230" t="s">
        <v>5</v>
      </c>
      <c r="F402" s="230" t="s">
        <v>3877</v>
      </c>
      <c r="G402" s="230">
        <v>5856</v>
      </c>
      <c r="H402" s="230" t="s">
        <v>362</v>
      </c>
      <c r="I402" s="230" t="s">
        <v>3878</v>
      </c>
      <c r="J402" s="230" t="s">
        <v>3271</v>
      </c>
      <c r="K402" s="230" t="s">
        <v>213</v>
      </c>
      <c r="L402" s="230" t="s">
        <v>1192</v>
      </c>
      <c r="M402" s="230" t="s">
        <v>3879</v>
      </c>
      <c r="N402" s="230" t="s">
        <v>3860</v>
      </c>
      <c r="O402" s="158"/>
      <c r="P402" s="92"/>
      <c r="Q402" s="146"/>
      <c r="R402" s="92"/>
      <c r="S402" s="146"/>
      <c r="T402" s="92"/>
      <c r="U402" s="146"/>
      <c r="V402" s="92"/>
      <c r="W402" s="146"/>
      <c r="X402" s="92"/>
      <c r="Y402" s="146"/>
      <c r="Z402" s="186" t="str">
        <f t="shared" si="28"/>
        <v/>
      </c>
      <c r="AA402" s="217" t="b">
        <f t="shared" si="27"/>
        <v>0</v>
      </c>
      <c r="AB402" s="92"/>
      <c r="AC402" s="164" t="s">
        <v>6</v>
      </c>
      <c r="AD402" s="151" t="str">
        <f t="shared" si="25"/>
        <v>SÃO PAULO</v>
      </c>
      <c r="AE402" s="96" t="s">
        <v>63</v>
      </c>
      <c r="AF402" s="53">
        <v>0.66592927783590927</v>
      </c>
      <c r="AG402" s="53" t="str" cm="1">
        <f t="array" ref="AG402">IF(OR(O402&lt;&gt;"", SUMPRODUCT(($AH$2:$AH$4999=AH402)*($AF$2:$AF$4999&lt;=AF402)) &lt;= (COUNTIF($AH$2:$AH$4999,AH402)*0.3)), "SORTEADO", "-")</f>
        <v>-</v>
      </c>
      <c r="AH402" s="257" t="str">
        <f t="shared" si="26"/>
        <v>15/04/2026</v>
      </c>
    </row>
    <row r="403" spans="1:34" ht="30" customHeight="1" x14ac:dyDescent="0.2">
      <c r="A403" s="230" t="s">
        <v>3789</v>
      </c>
      <c r="B403" s="255">
        <v>2690574379</v>
      </c>
      <c r="C403" s="230" t="s">
        <v>127</v>
      </c>
      <c r="D403" s="230" t="s">
        <v>63</v>
      </c>
      <c r="E403" s="230" t="s">
        <v>5</v>
      </c>
      <c r="F403" s="230" t="s">
        <v>3880</v>
      </c>
      <c r="G403" s="230">
        <v>251</v>
      </c>
      <c r="H403" s="230" t="s">
        <v>206</v>
      </c>
      <c r="I403" s="230" t="s">
        <v>3881</v>
      </c>
      <c r="J403" s="230" t="s">
        <v>3271</v>
      </c>
      <c r="K403" s="230"/>
      <c r="L403" s="230" t="s">
        <v>1192</v>
      </c>
      <c r="M403" s="230" t="s">
        <v>3838</v>
      </c>
      <c r="N403" s="230" t="s">
        <v>3882</v>
      </c>
      <c r="O403" s="158" t="s">
        <v>742</v>
      </c>
      <c r="P403" s="92"/>
      <c r="Q403" s="146" t="s">
        <v>742</v>
      </c>
      <c r="R403" s="92"/>
      <c r="S403" s="146" t="s">
        <v>742</v>
      </c>
      <c r="T403" s="92"/>
      <c r="U403" s="146" t="s">
        <v>742</v>
      </c>
      <c r="V403" s="92"/>
      <c r="W403" s="146" t="s">
        <v>742</v>
      </c>
      <c r="X403" s="92"/>
      <c r="Y403" s="146" t="s">
        <v>742</v>
      </c>
      <c r="Z403" s="186" t="str">
        <f t="shared" si="28"/>
        <v>C</v>
      </c>
      <c r="AA403" s="217" t="str">
        <f t="shared" si="27"/>
        <v>UTILIZOU O PDA CORRETAMENTE</v>
      </c>
      <c r="AB403" s="92" t="s">
        <v>742</v>
      </c>
      <c r="AC403" s="164" t="s">
        <v>6</v>
      </c>
      <c r="AD403" s="151" t="str">
        <f t="shared" si="25"/>
        <v>SÃO PAULO</v>
      </c>
      <c r="AE403" s="96" t="s">
        <v>63</v>
      </c>
      <c r="AF403" s="53">
        <v>2.8013736124757729E-2</v>
      </c>
      <c r="AG403" s="53" t="str" cm="1">
        <f t="array" ref="AG403">IF(OR(O403&lt;&gt;"", SUMPRODUCT(($AH$2:$AH$4999=AH403)*($AF$2:$AF$4999&lt;=AF403)) &lt;= (COUNTIF($AH$2:$AH$4999,AH403)*0.3)), "SORTEADO", "-")</f>
        <v>SORTEADO</v>
      </c>
      <c r="AH403" s="257" t="str">
        <f t="shared" si="26"/>
        <v>15/04/2026</v>
      </c>
    </row>
    <row r="404" spans="1:34" ht="30" hidden="1" customHeight="1" x14ac:dyDescent="0.2">
      <c r="A404" s="230" t="s">
        <v>3789</v>
      </c>
      <c r="B404" s="255">
        <v>2690592744</v>
      </c>
      <c r="C404" s="230" t="s">
        <v>131</v>
      </c>
      <c r="D404" s="230" t="s">
        <v>63</v>
      </c>
      <c r="E404" s="230" t="s">
        <v>5</v>
      </c>
      <c r="F404" s="230" t="s">
        <v>3536</v>
      </c>
      <c r="G404" s="230">
        <v>140</v>
      </c>
      <c r="H404" s="230" t="s">
        <v>213</v>
      </c>
      <c r="I404" s="230" t="s">
        <v>3883</v>
      </c>
      <c r="J404" s="230" t="s">
        <v>3271</v>
      </c>
      <c r="K404" s="230" t="s">
        <v>213</v>
      </c>
      <c r="L404" s="230" t="s">
        <v>1192</v>
      </c>
      <c r="M404" s="230" t="s">
        <v>3884</v>
      </c>
      <c r="N404" s="230" t="s">
        <v>3882</v>
      </c>
      <c r="O404" s="158"/>
      <c r="P404" s="92"/>
      <c r="Q404" s="146"/>
      <c r="R404" s="92"/>
      <c r="S404" s="146"/>
      <c r="T404" s="92"/>
      <c r="U404" s="146"/>
      <c r="V404" s="92"/>
      <c r="W404" s="146"/>
      <c r="X404" s="92"/>
      <c r="Y404" s="146"/>
      <c r="Z404" s="186" t="str">
        <f t="shared" si="28"/>
        <v/>
      </c>
      <c r="AA404" s="217" t="b">
        <f t="shared" si="27"/>
        <v>0</v>
      </c>
      <c r="AB404" s="92"/>
      <c r="AC404" s="164" t="s">
        <v>6</v>
      </c>
      <c r="AD404" s="151" t="str">
        <f t="shared" si="25"/>
        <v>SÃO PAULO</v>
      </c>
      <c r="AE404" s="96" t="s">
        <v>63</v>
      </c>
      <c r="AF404" s="53">
        <v>0.97069816229755279</v>
      </c>
      <c r="AG404" s="53" t="str" cm="1">
        <f t="array" ref="AG404">IF(OR(O404&lt;&gt;"", SUMPRODUCT(($AH$2:$AH$4999=AH404)*($AF$2:$AF$4999&lt;=AF404)) &lt;= (COUNTIF($AH$2:$AH$4999,AH404)*0.3)), "SORTEADO", "-")</f>
        <v>-</v>
      </c>
      <c r="AH404" s="257" t="str">
        <f t="shared" si="26"/>
        <v>15/04/2026</v>
      </c>
    </row>
    <row r="405" spans="1:34" ht="30" hidden="1" customHeight="1" x14ac:dyDescent="0.2">
      <c r="A405" s="230" t="s">
        <v>3789</v>
      </c>
      <c r="B405" s="255">
        <v>2690648011</v>
      </c>
      <c r="C405" s="230" t="s">
        <v>130</v>
      </c>
      <c r="D405" s="230" t="s">
        <v>63</v>
      </c>
      <c r="E405" s="230" t="s">
        <v>5</v>
      </c>
      <c r="F405" s="230" t="s">
        <v>3885</v>
      </c>
      <c r="G405" s="230">
        <v>15</v>
      </c>
      <c r="H405" s="230"/>
      <c r="I405" s="230" t="s">
        <v>3883</v>
      </c>
      <c r="J405" s="230" t="s">
        <v>3273</v>
      </c>
      <c r="K405" s="230"/>
      <c r="L405" s="230" t="s">
        <v>1192</v>
      </c>
      <c r="M405" s="230" t="s">
        <v>3886</v>
      </c>
      <c r="N405" s="230" t="s">
        <v>3882</v>
      </c>
      <c r="O405" s="158"/>
      <c r="P405" s="92"/>
      <c r="Q405" s="146"/>
      <c r="R405" s="92"/>
      <c r="S405" s="146"/>
      <c r="T405" s="92"/>
      <c r="U405" s="146"/>
      <c r="V405" s="92"/>
      <c r="W405" s="146"/>
      <c r="X405" s="92"/>
      <c r="Y405" s="146"/>
      <c r="Z405" s="186" t="str">
        <f t="shared" si="28"/>
        <v/>
      </c>
      <c r="AA405" s="217" t="b">
        <f t="shared" si="27"/>
        <v>0</v>
      </c>
      <c r="AB405" s="92"/>
      <c r="AC405" s="164" t="s">
        <v>6</v>
      </c>
      <c r="AD405" s="151" t="str">
        <f t="shared" si="25"/>
        <v>SÃO PAULO</v>
      </c>
      <c r="AE405" s="96" t="s">
        <v>63</v>
      </c>
      <c r="AF405" s="53">
        <v>0.50708293319750053</v>
      </c>
      <c r="AG405" s="53" t="str" cm="1">
        <f t="array" ref="AG405">IF(OR(O405&lt;&gt;"", SUMPRODUCT(($AH$2:$AH$4999=AH405)*($AF$2:$AF$4999&lt;=AF405)) &lt;= (COUNTIF($AH$2:$AH$4999,AH405)*0.3)), "SORTEADO", "-")</f>
        <v>-</v>
      </c>
      <c r="AH405" s="257" t="str">
        <f t="shared" si="26"/>
        <v>15/04/2026</v>
      </c>
    </row>
    <row r="406" spans="1:34" ht="30" hidden="1" customHeight="1" x14ac:dyDescent="0.2">
      <c r="A406" s="230" t="s">
        <v>3789</v>
      </c>
      <c r="B406" s="255">
        <v>2615845372</v>
      </c>
      <c r="C406" s="230" t="s">
        <v>3437</v>
      </c>
      <c r="D406" s="230" t="s">
        <v>63</v>
      </c>
      <c r="E406" s="230" t="s">
        <v>5</v>
      </c>
      <c r="F406" s="230" t="s">
        <v>3887</v>
      </c>
      <c r="G406" s="230">
        <v>117</v>
      </c>
      <c r="H406" s="230"/>
      <c r="I406" s="230" t="s">
        <v>3888</v>
      </c>
      <c r="J406" s="230" t="s">
        <v>3271</v>
      </c>
      <c r="K406" s="230"/>
      <c r="L406" s="230" t="s">
        <v>1192</v>
      </c>
      <c r="M406" s="230" t="s">
        <v>3889</v>
      </c>
      <c r="N406" s="230" t="s">
        <v>3810</v>
      </c>
      <c r="O406" s="158"/>
      <c r="P406" s="92"/>
      <c r="Q406" s="146"/>
      <c r="R406" s="92"/>
      <c r="S406" s="146"/>
      <c r="T406" s="92"/>
      <c r="U406" s="146"/>
      <c r="V406" s="92"/>
      <c r="W406" s="146"/>
      <c r="X406" s="92"/>
      <c r="Y406" s="146"/>
      <c r="Z406" s="186" t="str">
        <f t="shared" si="28"/>
        <v/>
      </c>
      <c r="AA406" s="217" t="b">
        <f t="shared" si="27"/>
        <v>0</v>
      </c>
      <c r="AB406" s="92"/>
      <c r="AC406" s="164" t="s">
        <v>6</v>
      </c>
      <c r="AD406" s="151" t="str">
        <f t="shared" si="25"/>
        <v>SÃO PAULO</v>
      </c>
      <c r="AE406" s="96" t="s">
        <v>63</v>
      </c>
      <c r="AF406" s="53">
        <v>0.93266708474493054</v>
      </c>
      <c r="AG406" s="53" t="str" cm="1">
        <f t="array" ref="AG406">IF(OR(O406&lt;&gt;"", SUMPRODUCT(($AH$2:$AH$4999=AH406)*($AF$2:$AF$4999&lt;=AF406)) &lt;= (COUNTIF($AH$2:$AH$4999,AH406)*0.3)), "SORTEADO", "-")</f>
        <v>-</v>
      </c>
      <c r="AH406" s="257" t="str">
        <f t="shared" si="26"/>
        <v>15/04/2026</v>
      </c>
    </row>
    <row r="407" spans="1:34" ht="30" hidden="1" customHeight="1" x14ac:dyDescent="0.2">
      <c r="A407" s="230" t="s">
        <v>3789</v>
      </c>
      <c r="B407" s="255">
        <v>2690664246</v>
      </c>
      <c r="C407" s="230" t="s">
        <v>127</v>
      </c>
      <c r="D407" s="230" t="s">
        <v>63</v>
      </c>
      <c r="E407" s="230" t="s">
        <v>5</v>
      </c>
      <c r="F407" s="230" t="s">
        <v>3890</v>
      </c>
      <c r="G407" s="230">
        <v>75</v>
      </c>
      <c r="H407" s="230"/>
      <c r="I407" s="230" t="s">
        <v>3891</v>
      </c>
      <c r="J407" s="230" t="s">
        <v>3271</v>
      </c>
      <c r="K407" s="230"/>
      <c r="L407" s="230" t="s">
        <v>1192</v>
      </c>
      <c r="M407" s="230" t="s">
        <v>3892</v>
      </c>
      <c r="N407" s="230" t="s">
        <v>3793</v>
      </c>
      <c r="O407" s="158"/>
      <c r="P407" s="92"/>
      <c r="Q407" s="146"/>
      <c r="R407" s="92"/>
      <c r="S407" s="146"/>
      <c r="T407" s="92"/>
      <c r="U407" s="146"/>
      <c r="V407" s="92"/>
      <c r="W407" s="146"/>
      <c r="X407" s="92"/>
      <c r="Y407" s="146"/>
      <c r="Z407" s="186" t="str">
        <f t="shared" si="28"/>
        <v/>
      </c>
      <c r="AA407" s="217" t="b">
        <f t="shared" si="27"/>
        <v>0</v>
      </c>
      <c r="AB407" s="92"/>
      <c r="AC407" s="164" t="s">
        <v>6</v>
      </c>
      <c r="AD407" s="151" t="str">
        <f t="shared" si="25"/>
        <v>SÃO PAULO</v>
      </c>
      <c r="AE407" s="96" t="s">
        <v>63</v>
      </c>
      <c r="AF407" s="53">
        <v>0.28987406411506139</v>
      </c>
      <c r="AG407" s="53" t="str" cm="1">
        <f t="array" ref="AG407">IF(OR(O407&lt;&gt;"", SUMPRODUCT(($AH$2:$AH$4999=AH407)*($AF$2:$AF$4999&lt;=AF407)) &lt;= (COUNTIF($AH$2:$AH$4999,AH407)*0.3)), "SORTEADO", "-")</f>
        <v>-</v>
      </c>
      <c r="AH407" s="257" t="str">
        <f t="shared" si="26"/>
        <v>15/04/2026</v>
      </c>
    </row>
    <row r="408" spans="1:34" ht="30" customHeight="1" x14ac:dyDescent="0.2">
      <c r="A408" s="230" t="s">
        <v>3789</v>
      </c>
      <c r="B408" s="255">
        <v>2615707991</v>
      </c>
      <c r="C408" s="230" t="s">
        <v>130</v>
      </c>
      <c r="D408" s="230" t="s">
        <v>63</v>
      </c>
      <c r="E408" s="230" t="s">
        <v>5</v>
      </c>
      <c r="F408" s="230" t="s">
        <v>3893</v>
      </c>
      <c r="G408" s="230">
        <v>42</v>
      </c>
      <c r="H408" s="230" t="s">
        <v>213</v>
      </c>
      <c r="I408" s="230" t="s">
        <v>3843</v>
      </c>
      <c r="J408" s="230" t="s">
        <v>3271</v>
      </c>
      <c r="K408" s="230" t="s">
        <v>213</v>
      </c>
      <c r="L408" s="230" t="s">
        <v>1192</v>
      </c>
      <c r="M408" s="230" t="s">
        <v>3894</v>
      </c>
      <c r="N408" s="230" t="s">
        <v>3841</v>
      </c>
      <c r="O408" s="158" t="s">
        <v>742</v>
      </c>
      <c r="P408" s="92"/>
      <c r="Q408" s="146" t="s">
        <v>742</v>
      </c>
      <c r="R408" s="92"/>
      <c r="S408" s="146" t="s">
        <v>742</v>
      </c>
      <c r="T408" s="92"/>
      <c r="U408" s="146" t="s">
        <v>742</v>
      </c>
      <c r="V408" s="92"/>
      <c r="W408" s="146" t="s">
        <v>742</v>
      </c>
      <c r="X408" s="92"/>
      <c r="Y408" s="146" t="s">
        <v>742</v>
      </c>
      <c r="Z408" s="186" t="str">
        <f t="shared" si="28"/>
        <v>C</v>
      </c>
      <c r="AA408" s="217" t="str">
        <f t="shared" si="27"/>
        <v>UTILIZOU O PDA CORRETAMENTE</v>
      </c>
      <c r="AB408" s="92" t="s">
        <v>742</v>
      </c>
      <c r="AC408" s="164" t="s">
        <v>6</v>
      </c>
      <c r="AD408" s="151" t="str">
        <f t="shared" si="25"/>
        <v>SÃO PAULO</v>
      </c>
      <c r="AE408" s="96" t="s">
        <v>63</v>
      </c>
      <c r="AF408" s="53">
        <v>4.600462122162411E-2</v>
      </c>
      <c r="AG408" s="53" t="str" cm="1">
        <f t="array" ref="AG408">IF(OR(O408&lt;&gt;"", SUMPRODUCT(($AH$2:$AH$4999=AH408)*($AF$2:$AF$4999&lt;=AF408)) &lt;= (COUNTIF($AH$2:$AH$4999,AH408)*0.3)), "SORTEADO", "-")</f>
        <v>SORTEADO</v>
      </c>
      <c r="AH408" s="257" t="str">
        <f t="shared" si="26"/>
        <v>15/04/2026</v>
      </c>
    </row>
    <row r="409" spans="1:34" ht="30" hidden="1" customHeight="1" x14ac:dyDescent="0.2">
      <c r="A409" s="230" t="s">
        <v>3789</v>
      </c>
      <c r="B409" s="255">
        <v>2690672265</v>
      </c>
      <c r="C409" s="230" t="s">
        <v>131</v>
      </c>
      <c r="D409" s="230" t="s">
        <v>63</v>
      </c>
      <c r="E409" s="230" t="s">
        <v>5</v>
      </c>
      <c r="F409" s="230" t="s">
        <v>3895</v>
      </c>
      <c r="G409" s="230">
        <v>300</v>
      </c>
      <c r="H409" s="230"/>
      <c r="I409" s="230" t="s">
        <v>3878</v>
      </c>
      <c r="J409" s="230" t="s">
        <v>3273</v>
      </c>
      <c r="K409" s="230"/>
      <c r="L409" s="230" t="s">
        <v>1192</v>
      </c>
      <c r="M409" s="230" t="s">
        <v>3896</v>
      </c>
      <c r="N409" s="230" t="s">
        <v>3864</v>
      </c>
      <c r="O409" s="158"/>
      <c r="P409" s="92"/>
      <c r="Q409" s="146"/>
      <c r="R409" s="92"/>
      <c r="S409" s="146"/>
      <c r="T409" s="92"/>
      <c r="U409" s="146"/>
      <c r="V409" s="92"/>
      <c r="W409" s="146"/>
      <c r="X409" s="92"/>
      <c r="Y409" s="146"/>
      <c r="Z409" s="186" t="str">
        <f t="shared" si="28"/>
        <v/>
      </c>
      <c r="AA409" s="217" t="b">
        <f t="shared" si="27"/>
        <v>0</v>
      </c>
      <c r="AB409" s="92"/>
      <c r="AC409" s="164" t="s">
        <v>6</v>
      </c>
      <c r="AD409" s="151" t="str">
        <f t="shared" si="25"/>
        <v>SÃO PAULO</v>
      </c>
      <c r="AE409" s="96" t="s">
        <v>63</v>
      </c>
      <c r="AF409" s="53">
        <v>0.29956756198128032</v>
      </c>
      <c r="AG409" s="53" t="str" cm="1">
        <f t="array" ref="AG409">IF(OR(O409&lt;&gt;"", SUMPRODUCT(($AH$2:$AH$4999=AH409)*($AF$2:$AF$4999&lt;=AF409)) &lt;= (COUNTIF($AH$2:$AH$4999,AH409)*0.3)), "SORTEADO", "-")</f>
        <v>-</v>
      </c>
      <c r="AH409" s="257" t="str">
        <f t="shared" si="26"/>
        <v>15/04/2026</v>
      </c>
    </row>
    <row r="410" spans="1:34" ht="30" customHeight="1" x14ac:dyDescent="0.2">
      <c r="A410" s="230" t="s">
        <v>3789</v>
      </c>
      <c r="B410" s="255">
        <v>2615744559</v>
      </c>
      <c r="C410" s="230" t="s">
        <v>135</v>
      </c>
      <c r="D410" s="230" t="s">
        <v>124</v>
      </c>
      <c r="E410" s="230" t="s">
        <v>5</v>
      </c>
      <c r="F410" s="230" t="s">
        <v>3897</v>
      </c>
      <c r="G410" s="230">
        <v>45</v>
      </c>
      <c r="H410" s="230" t="s">
        <v>206</v>
      </c>
      <c r="I410" s="230" t="s">
        <v>3898</v>
      </c>
      <c r="J410" s="230" t="s">
        <v>3280</v>
      </c>
      <c r="K410" s="230" t="s">
        <v>213</v>
      </c>
      <c r="L410" s="230" t="s">
        <v>1192</v>
      </c>
      <c r="M410" s="230" t="s">
        <v>3899</v>
      </c>
      <c r="N410" s="230" t="s">
        <v>3900</v>
      </c>
      <c r="O410" s="158" t="s">
        <v>742</v>
      </c>
      <c r="P410" s="92"/>
      <c r="Q410" s="146" t="s">
        <v>742</v>
      </c>
      <c r="R410" s="92"/>
      <c r="S410" s="146" t="s">
        <v>742</v>
      </c>
      <c r="T410" s="92"/>
      <c r="U410" s="146" t="s">
        <v>742</v>
      </c>
      <c r="V410" s="92"/>
      <c r="W410" s="146" t="s">
        <v>742</v>
      </c>
      <c r="X410" s="92"/>
      <c r="Y410" s="146" t="s">
        <v>742</v>
      </c>
      <c r="Z410" s="186" t="str">
        <f t="shared" si="28"/>
        <v>C</v>
      </c>
      <c r="AA410" s="217" t="str">
        <f t="shared" si="27"/>
        <v>UTILIZOU O PDA CORRETAMENTE</v>
      </c>
      <c r="AB410" s="92" t="s">
        <v>742</v>
      </c>
      <c r="AC410" s="164" t="s">
        <v>6</v>
      </c>
      <c r="AD410" s="151" t="str">
        <f t="shared" si="25"/>
        <v>SÃO PAULO</v>
      </c>
      <c r="AE410" s="96" t="s">
        <v>63</v>
      </c>
      <c r="AF410" s="53">
        <v>9.9708899686604541E-2</v>
      </c>
      <c r="AG410" s="53" t="str" cm="1">
        <f t="array" ref="AG410">IF(OR(O410&lt;&gt;"", SUMPRODUCT(($AH$2:$AH$4999=AH410)*($AF$2:$AF$4999&lt;=AF410)) &lt;= (COUNTIF($AH$2:$AH$4999,AH410)*0.3)), "SORTEADO", "-")</f>
        <v>SORTEADO</v>
      </c>
      <c r="AH410" s="257" t="str">
        <f t="shared" si="26"/>
        <v>15/04/2026</v>
      </c>
    </row>
    <row r="411" spans="1:34" ht="30" hidden="1" customHeight="1" x14ac:dyDescent="0.2">
      <c r="A411" s="230" t="s">
        <v>3789</v>
      </c>
      <c r="B411" s="255">
        <v>2615885381</v>
      </c>
      <c r="C411" s="230" t="s">
        <v>3437</v>
      </c>
      <c r="D411" s="230" t="s">
        <v>63</v>
      </c>
      <c r="E411" s="230" t="s">
        <v>5</v>
      </c>
      <c r="F411" s="230" t="s">
        <v>3901</v>
      </c>
      <c r="G411" s="230">
        <v>269</v>
      </c>
      <c r="H411" s="230" t="s">
        <v>206</v>
      </c>
      <c r="I411" s="230" t="s">
        <v>3902</v>
      </c>
      <c r="J411" s="230" t="s">
        <v>3271</v>
      </c>
      <c r="K411" s="230"/>
      <c r="L411" s="230" t="s">
        <v>1192</v>
      </c>
      <c r="M411" s="230" t="s">
        <v>3903</v>
      </c>
      <c r="N411" s="230" t="s">
        <v>3904</v>
      </c>
      <c r="O411" s="158"/>
      <c r="P411" s="92"/>
      <c r="Q411" s="146"/>
      <c r="R411" s="92"/>
      <c r="S411" s="146"/>
      <c r="T411" s="92"/>
      <c r="U411" s="146"/>
      <c r="V411" s="92"/>
      <c r="W411" s="146"/>
      <c r="X411" s="92"/>
      <c r="Y411" s="146"/>
      <c r="Z411" s="186" t="str">
        <f t="shared" si="28"/>
        <v/>
      </c>
      <c r="AA411" s="217" t="b">
        <f t="shared" si="27"/>
        <v>0</v>
      </c>
      <c r="AB411" s="92"/>
      <c r="AC411" s="164" t="s">
        <v>6</v>
      </c>
      <c r="AD411" s="151" t="str">
        <f t="shared" si="25"/>
        <v>SÃO PAULO</v>
      </c>
      <c r="AE411" s="96" t="s">
        <v>63</v>
      </c>
      <c r="AF411" s="53">
        <v>0.94228964687238148</v>
      </c>
      <c r="AG411" s="53" t="str" cm="1">
        <f t="array" ref="AG411">IF(OR(O411&lt;&gt;"", SUMPRODUCT(($AH$2:$AH$4999=AH411)*($AF$2:$AF$4999&lt;=AF411)) &lt;= (COUNTIF($AH$2:$AH$4999,AH411)*0.3)), "SORTEADO", "-")</f>
        <v>-</v>
      </c>
      <c r="AH411" s="257" t="str">
        <f t="shared" si="26"/>
        <v>15/04/2026</v>
      </c>
    </row>
    <row r="412" spans="1:34" ht="30" hidden="1" customHeight="1" x14ac:dyDescent="0.2">
      <c r="A412" s="230" t="s">
        <v>3789</v>
      </c>
      <c r="B412" s="230">
        <v>2615881762</v>
      </c>
      <c r="C412" s="230" t="s">
        <v>3437</v>
      </c>
      <c r="D412" s="230" t="s">
        <v>63</v>
      </c>
      <c r="E412" s="230" t="s">
        <v>5</v>
      </c>
      <c r="F412" s="230" t="s">
        <v>3905</v>
      </c>
      <c r="G412" s="230">
        <v>13</v>
      </c>
      <c r="H412" s="230" t="s">
        <v>213</v>
      </c>
      <c r="I412" s="230" t="s">
        <v>3858</v>
      </c>
      <c r="J412" s="230" t="s">
        <v>3271</v>
      </c>
      <c r="K412" s="230" t="s">
        <v>3906</v>
      </c>
      <c r="L412" s="230" t="s">
        <v>1192</v>
      </c>
      <c r="M412" s="230" t="s">
        <v>3907</v>
      </c>
      <c r="N412" s="230" t="s">
        <v>3860</v>
      </c>
      <c r="O412" s="233" t="s">
        <v>61</v>
      </c>
      <c r="P412" s="169"/>
      <c r="Q412" s="144" t="s">
        <v>61</v>
      </c>
      <c r="R412" s="56"/>
      <c r="S412" s="144" t="s">
        <v>61</v>
      </c>
      <c r="T412" s="56"/>
      <c r="U412" s="144" t="s">
        <v>61</v>
      </c>
      <c r="V412" s="56"/>
      <c r="W412" s="144" t="s">
        <v>61</v>
      </c>
      <c r="X412" s="56"/>
      <c r="Y412" s="144" t="s">
        <v>61</v>
      </c>
      <c r="Z412" s="186" t="str">
        <f t="shared" si="28"/>
        <v>NA</v>
      </c>
      <c r="AA412" s="217" t="str">
        <f t="shared" si="27"/>
        <v>NÃO AVALIADO POR FALHA DE SINCRONISMO</v>
      </c>
      <c r="AB412" s="92" t="s">
        <v>204</v>
      </c>
      <c r="AC412" s="164" t="s">
        <v>6</v>
      </c>
      <c r="AD412" s="151" t="str">
        <f t="shared" si="25"/>
        <v>SÃO PAULO</v>
      </c>
      <c r="AE412" s="96" t="s">
        <v>63</v>
      </c>
      <c r="AF412" s="53">
        <v>-8.2199999999999995E-2</v>
      </c>
      <c r="AG412" s="53" t="str" cm="1">
        <f t="array" ref="AG412">IF(OR(O412&lt;&gt;"", SUMPRODUCT(($AH$2:$AH$4999=AH412)*($AF$2:$AF$4999&lt;=AF412)) &lt;= (COUNTIF($AH$2:$AH$4999,AH412)*0.3)), "SORTEADO", "-")</f>
        <v>SORTEADO</v>
      </c>
      <c r="AH412" s="257" t="str">
        <f t="shared" si="26"/>
        <v>15/04/2026</v>
      </c>
    </row>
    <row r="413" spans="1:34" ht="30" hidden="1" customHeight="1" x14ac:dyDescent="0.2">
      <c r="A413" s="230" t="s">
        <v>3789</v>
      </c>
      <c r="B413" s="255">
        <v>2615913145</v>
      </c>
      <c r="C413" s="230" t="s">
        <v>3437</v>
      </c>
      <c r="D413" s="230" t="s">
        <v>63</v>
      </c>
      <c r="E413" s="230" t="s">
        <v>5</v>
      </c>
      <c r="F413" s="230" t="s">
        <v>3908</v>
      </c>
      <c r="G413" s="230">
        <v>798</v>
      </c>
      <c r="H413" s="230"/>
      <c r="I413" s="230" t="s">
        <v>3837</v>
      </c>
      <c r="J413" s="230" t="s">
        <v>3273</v>
      </c>
      <c r="K413" s="230"/>
      <c r="L413" s="230" t="s">
        <v>1192</v>
      </c>
      <c r="M413" s="230" t="s">
        <v>3909</v>
      </c>
      <c r="N413" s="230" t="s">
        <v>3793</v>
      </c>
      <c r="O413" s="158"/>
      <c r="P413" s="92"/>
      <c r="Q413" s="146"/>
      <c r="R413" s="92"/>
      <c r="S413" s="146"/>
      <c r="T413" s="92"/>
      <c r="U413" s="146"/>
      <c r="V413" s="92"/>
      <c r="W413" s="146"/>
      <c r="X413" s="92"/>
      <c r="Y413" s="146"/>
      <c r="Z413" s="186" t="str">
        <f t="shared" si="28"/>
        <v/>
      </c>
      <c r="AA413" s="217" t="b">
        <f t="shared" si="27"/>
        <v>0</v>
      </c>
      <c r="AB413" s="92"/>
      <c r="AC413" s="164" t="s">
        <v>6</v>
      </c>
      <c r="AD413" s="151" t="str">
        <f t="shared" si="25"/>
        <v>SÃO PAULO</v>
      </c>
      <c r="AE413" s="96" t="s">
        <v>63</v>
      </c>
      <c r="AF413" s="53">
        <v>0.3843408785942688</v>
      </c>
      <c r="AG413" s="53" t="str" cm="1">
        <f t="array" ref="AG413">IF(OR(O413&lt;&gt;"", SUMPRODUCT(($AH$2:$AH$4999=AH413)*($AF$2:$AF$4999&lt;=AF413)) &lt;= (COUNTIF($AH$2:$AH$4999,AH413)*0.3)), "SORTEADO", "-")</f>
        <v>-</v>
      </c>
      <c r="AH413" s="257" t="str">
        <f t="shared" si="26"/>
        <v>15/04/2026</v>
      </c>
    </row>
    <row r="414" spans="1:34" ht="30" customHeight="1" x14ac:dyDescent="0.2">
      <c r="A414" s="230" t="s">
        <v>3789</v>
      </c>
      <c r="B414" s="255">
        <v>2614521507</v>
      </c>
      <c r="C414" s="230" t="s">
        <v>134</v>
      </c>
      <c r="D414" s="230" t="s">
        <v>124</v>
      </c>
      <c r="E414" s="230" t="s">
        <v>5</v>
      </c>
      <c r="F414" s="230" t="s">
        <v>3910</v>
      </c>
      <c r="G414" s="230">
        <v>226</v>
      </c>
      <c r="H414" s="230" t="s">
        <v>213</v>
      </c>
      <c r="I414" s="230" t="s">
        <v>3911</v>
      </c>
      <c r="J414" s="230" t="s">
        <v>3285</v>
      </c>
      <c r="K414" s="230" t="s">
        <v>3912</v>
      </c>
      <c r="L414" s="230" t="s">
        <v>1192</v>
      </c>
      <c r="M414" s="230" t="s">
        <v>1237</v>
      </c>
      <c r="N414" s="230" t="s">
        <v>3913</v>
      </c>
      <c r="O414" s="158" t="s">
        <v>204</v>
      </c>
      <c r="P414" s="92"/>
      <c r="Q414" s="146" t="s">
        <v>204</v>
      </c>
      <c r="R414" s="92"/>
      <c r="S414" s="146" t="s">
        <v>204</v>
      </c>
      <c r="T414" s="92"/>
      <c r="U414" s="146" t="s">
        <v>204</v>
      </c>
      <c r="V414" s="92"/>
      <c r="W414" s="146" t="s">
        <v>204</v>
      </c>
      <c r="X414" s="92"/>
      <c r="Y414" s="146" t="s">
        <v>204</v>
      </c>
      <c r="Z414" s="186" t="str">
        <f t="shared" si="28"/>
        <v>C</v>
      </c>
      <c r="AA414" s="217" t="str">
        <f t="shared" si="27"/>
        <v>UTILIZOU O PDA CORRETAMENTE</v>
      </c>
      <c r="AB414" s="92" t="s">
        <v>204</v>
      </c>
      <c r="AC414" s="164" t="s">
        <v>6</v>
      </c>
      <c r="AD414" s="151" t="str">
        <f t="shared" si="25"/>
        <v>SÃO PAULO</v>
      </c>
      <c r="AE414" s="96" t="s">
        <v>63</v>
      </c>
      <c r="AF414" s="53">
        <v>0.17750286199806239</v>
      </c>
      <c r="AG414" s="53" t="str" cm="1">
        <f t="array" ref="AG414">IF(OR(O414&lt;&gt;"", SUMPRODUCT(($AH$2:$AH$4999=AH414)*($AF$2:$AF$4999&lt;=AF414)) &lt;= (COUNTIF($AH$2:$AH$4999,AH414)*0.3)), "SORTEADO", "-")</f>
        <v>SORTEADO</v>
      </c>
      <c r="AH414" s="257" t="str">
        <f t="shared" si="26"/>
        <v>15/04/2026</v>
      </c>
    </row>
    <row r="415" spans="1:34" ht="30" customHeight="1" x14ac:dyDescent="0.2">
      <c r="A415" s="230" t="s">
        <v>3789</v>
      </c>
      <c r="B415" s="255">
        <v>2615917512</v>
      </c>
      <c r="C415" s="230" t="s">
        <v>3437</v>
      </c>
      <c r="D415" s="230" t="s">
        <v>63</v>
      </c>
      <c r="E415" s="230" t="s">
        <v>5</v>
      </c>
      <c r="F415" s="230" t="s">
        <v>3914</v>
      </c>
      <c r="G415" s="230">
        <v>91</v>
      </c>
      <c r="H415" s="230" t="s">
        <v>3915</v>
      </c>
      <c r="I415" s="230" t="s">
        <v>3872</v>
      </c>
      <c r="J415" s="230" t="s">
        <v>3271</v>
      </c>
      <c r="K415" s="237" t="s">
        <v>3916</v>
      </c>
      <c r="L415" s="230" t="s">
        <v>1192</v>
      </c>
      <c r="M415" s="230" t="s">
        <v>3917</v>
      </c>
      <c r="N415" s="230" t="s">
        <v>3860</v>
      </c>
      <c r="O415" s="158" t="s">
        <v>204</v>
      </c>
      <c r="P415" s="92"/>
      <c r="Q415" s="146" t="s">
        <v>204</v>
      </c>
      <c r="R415" s="92"/>
      <c r="S415" s="146" t="s">
        <v>204</v>
      </c>
      <c r="T415" s="92"/>
      <c r="U415" s="146" t="s">
        <v>204</v>
      </c>
      <c r="V415" s="92"/>
      <c r="W415" s="146" t="s">
        <v>204</v>
      </c>
      <c r="X415" s="92"/>
      <c r="Y415" s="146" t="s">
        <v>204</v>
      </c>
      <c r="Z415" s="186" t="str">
        <f t="shared" si="28"/>
        <v>C</v>
      </c>
      <c r="AA415" s="217" t="str">
        <f t="shared" si="27"/>
        <v>UTILIZOU O PDA CORRETAMENTE</v>
      </c>
      <c r="AB415" s="92" t="s">
        <v>204</v>
      </c>
      <c r="AC415" s="164" t="s">
        <v>6</v>
      </c>
      <c r="AD415" s="151" t="str">
        <f t="shared" si="25"/>
        <v>SÃO PAULO</v>
      </c>
      <c r="AE415" s="96" t="s">
        <v>63</v>
      </c>
      <c r="AF415" s="53">
        <v>0.23304532774583026</v>
      </c>
      <c r="AG415" s="53" t="str" cm="1">
        <f t="array" ref="AG415">IF(OR(O415&lt;&gt;"", SUMPRODUCT(($AH$2:$AH$4999=AH415)*($AF$2:$AF$4999&lt;=AF415)) &lt;= (COUNTIF($AH$2:$AH$4999,AH415)*0.3)), "SORTEADO", "-")</f>
        <v>SORTEADO</v>
      </c>
      <c r="AH415" s="257" t="str">
        <f t="shared" si="26"/>
        <v>15/04/2026</v>
      </c>
    </row>
    <row r="416" spans="1:34" ht="30" customHeight="1" x14ac:dyDescent="0.2">
      <c r="A416" s="230" t="s">
        <v>3789</v>
      </c>
      <c r="B416" s="255">
        <v>2615913699</v>
      </c>
      <c r="C416" s="230" t="s">
        <v>3437</v>
      </c>
      <c r="D416" s="230" t="s">
        <v>63</v>
      </c>
      <c r="E416" s="230" t="s">
        <v>5</v>
      </c>
      <c r="F416" s="230" t="s">
        <v>3918</v>
      </c>
      <c r="G416" s="230">
        <v>927</v>
      </c>
      <c r="H416" s="230" t="s">
        <v>213</v>
      </c>
      <c r="I416" s="230" t="s">
        <v>3919</v>
      </c>
      <c r="J416" s="230" t="s">
        <v>3271</v>
      </c>
      <c r="K416" s="230" t="s">
        <v>213</v>
      </c>
      <c r="L416" s="230" t="s">
        <v>1192</v>
      </c>
      <c r="M416" s="230" t="s">
        <v>3920</v>
      </c>
      <c r="N416" s="230" t="s">
        <v>3810</v>
      </c>
      <c r="O416" s="158" t="s">
        <v>204</v>
      </c>
      <c r="P416" s="92"/>
      <c r="Q416" s="146" t="s">
        <v>204</v>
      </c>
      <c r="R416" s="92"/>
      <c r="S416" s="146" t="s">
        <v>204</v>
      </c>
      <c r="T416" s="92"/>
      <c r="U416" s="146" t="s">
        <v>204</v>
      </c>
      <c r="V416" s="92"/>
      <c r="W416" s="146" t="s">
        <v>204</v>
      </c>
      <c r="X416" s="92"/>
      <c r="Y416" s="146" t="s">
        <v>204</v>
      </c>
      <c r="Z416" s="186" t="str">
        <f t="shared" si="28"/>
        <v>C</v>
      </c>
      <c r="AA416" s="217" t="str">
        <f t="shared" si="27"/>
        <v>UTILIZOU O PDA CORRETAMENTE</v>
      </c>
      <c r="AB416" s="92" t="s">
        <v>204</v>
      </c>
      <c r="AC416" s="164" t="s">
        <v>6</v>
      </c>
      <c r="AD416" s="151" t="str">
        <f t="shared" si="25"/>
        <v>SÃO PAULO</v>
      </c>
      <c r="AE416" s="96" t="s">
        <v>63</v>
      </c>
      <c r="AF416" s="53">
        <v>0.15760312036390359</v>
      </c>
      <c r="AG416" s="53" t="str" cm="1">
        <f t="array" ref="AG416">IF(OR(O416&lt;&gt;"", SUMPRODUCT(($AH$2:$AH$4999=AH416)*($AF$2:$AF$4999&lt;=AF416)) &lt;= (COUNTIF($AH$2:$AH$4999,AH416)*0.3)), "SORTEADO", "-")</f>
        <v>SORTEADO</v>
      </c>
      <c r="AH416" s="257" t="str">
        <f t="shared" si="26"/>
        <v>15/04/2026</v>
      </c>
    </row>
    <row r="417" spans="1:34" ht="30" hidden="1" customHeight="1" x14ac:dyDescent="0.2">
      <c r="A417" s="230" t="s">
        <v>3789</v>
      </c>
      <c r="B417" s="255">
        <v>2615885818</v>
      </c>
      <c r="C417" s="230" t="s">
        <v>135</v>
      </c>
      <c r="D417" s="230" t="s">
        <v>124</v>
      </c>
      <c r="E417" s="230" t="s">
        <v>5</v>
      </c>
      <c r="F417" s="230" t="s">
        <v>3921</v>
      </c>
      <c r="G417" s="230">
        <v>51</v>
      </c>
      <c r="H417" s="230" t="s">
        <v>211</v>
      </c>
      <c r="I417" s="230" t="s">
        <v>3922</v>
      </c>
      <c r="J417" s="230" t="s">
        <v>3280</v>
      </c>
      <c r="K417" s="230"/>
      <c r="L417" s="230" t="s">
        <v>1192</v>
      </c>
      <c r="M417" s="230" t="s">
        <v>1251</v>
      </c>
      <c r="N417" s="230" t="s">
        <v>3860</v>
      </c>
      <c r="O417" s="158"/>
      <c r="P417" s="92"/>
      <c r="Q417" s="146"/>
      <c r="R417" s="92"/>
      <c r="S417" s="146"/>
      <c r="T417" s="92"/>
      <c r="U417" s="146"/>
      <c r="V417" s="92"/>
      <c r="W417" s="146"/>
      <c r="X417" s="92"/>
      <c r="Y417" s="146"/>
      <c r="Z417" s="186" t="str">
        <f t="shared" si="28"/>
        <v/>
      </c>
      <c r="AA417" s="217" t="b">
        <f t="shared" si="27"/>
        <v>0</v>
      </c>
      <c r="AB417" s="92"/>
      <c r="AC417" s="164" t="s">
        <v>6</v>
      </c>
      <c r="AD417" s="151" t="str">
        <f t="shared" ref="AD417:AD480" si="29">E417</f>
        <v>SÃO PAULO</v>
      </c>
      <c r="AE417" s="96" t="s">
        <v>63</v>
      </c>
      <c r="AF417" s="53">
        <v>0.44869632388629765</v>
      </c>
      <c r="AG417" s="53" t="str" cm="1">
        <f t="array" ref="AG417">IF(OR(O417&lt;&gt;"", SUMPRODUCT(($AH$2:$AH$4999=AH417)*($AF$2:$AF$4999&lt;=AF417)) &lt;= (COUNTIF($AH$2:$AH$4999,AH417)*0.3)), "SORTEADO", "-")</f>
        <v>-</v>
      </c>
      <c r="AH417" s="257" t="str">
        <f t="shared" si="26"/>
        <v>15/04/2026</v>
      </c>
    </row>
    <row r="418" spans="1:34" ht="30" hidden="1" customHeight="1" x14ac:dyDescent="0.2">
      <c r="A418" s="247" t="s">
        <v>3789</v>
      </c>
      <c r="B418" s="256">
        <v>2615909437</v>
      </c>
      <c r="C418" s="247" t="s">
        <v>3437</v>
      </c>
      <c r="D418" s="247" t="s">
        <v>63</v>
      </c>
      <c r="E418" s="247" t="s">
        <v>5</v>
      </c>
      <c r="F418" s="247" t="s">
        <v>3923</v>
      </c>
      <c r="G418" s="247">
        <v>104</v>
      </c>
      <c r="H418" s="247" t="s">
        <v>3807</v>
      </c>
      <c r="I418" s="247" t="s">
        <v>3804</v>
      </c>
      <c r="J418" s="247" t="s">
        <v>3271</v>
      </c>
      <c r="K418" s="247" t="s">
        <v>213</v>
      </c>
      <c r="L418" s="247" t="s">
        <v>1192</v>
      </c>
      <c r="M418" s="247" t="s">
        <v>3924</v>
      </c>
      <c r="N418" s="247" t="s">
        <v>3925</v>
      </c>
      <c r="O418" s="158"/>
      <c r="P418" s="92"/>
      <c r="Q418" s="146"/>
      <c r="R418" s="92"/>
      <c r="S418" s="146"/>
      <c r="T418" s="92"/>
      <c r="U418" s="146"/>
      <c r="V418" s="92"/>
      <c r="W418" s="146"/>
      <c r="X418" s="92"/>
      <c r="Y418" s="146"/>
      <c r="Z418" s="186" t="str">
        <f t="shared" si="28"/>
        <v/>
      </c>
      <c r="AA418" s="217" t="b">
        <f t="shared" si="27"/>
        <v>0</v>
      </c>
      <c r="AB418" s="92"/>
      <c r="AC418" s="164" t="s">
        <v>6</v>
      </c>
      <c r="AD418" s="151" t="str">
        <f t="shared" si="29"/>
        <v>SÃO PAULO</v>
      </c>
      <c r="AE418" s="96" t="s">
        <v>63</v>
      </c>
      <c r="AF418" s="53">
        <v>0.70362942226154312</v>
      </c>
      <c r="AG418" s="53" t="str" cm="1">
        <f t="array" ref="AG418">IF(OR(O418&lt;&gt;"", SUMPRODUCT(($AH$2:$AH$4999=AH418)*($AF$2:$AF$4999&lt;=AF418)) &lt;= (COUNTIF($AH$2:$AH$4999,AH418)*0.3)), "SORTEADO", "-")</f>
        <v>-</v>
      </c>
      <c r="AH418" s="257" t="str">
        <f t="shared" si="26"/>
        <v>15/04/2026</v>
      </c>
    </row>
    <row r="419" spans="1:34" ht="30" hidden="1" customHeight="1" x14ac:dyDescent="0.2">
      <c r="A419" s="230" t="s">
        <v>197</v>
      </c>
      <c r="B419" s="230">
        <v>2690706923</v>
      </c>
      <c r="C419" s="230" t="s">
        <v>127</v>
      </c>
      <c r="D419" s="230" t="s">
        <v>63</v>
      </c>
      <c r="E419" s="230" t="s">
        <v>198</v>
      </c>
      <c r="F419" s="230" t="s">
        <v>786</v>
      </c>
      <c r="G419" s="230">
        <v>50</v>
      </c>
      <c r="H419" s="230" t="s">
        <v>3926</v>
      </c>
      <c r="I419" s="230" t="s">
        <v>787</v>
      </c>
      <c r="J419" s="230" t="s">
        <v>3275</v>
      </c>
      <c r="K419" s="230" t="s">
        <v>213</v>
      </c>
      <c r="L419" s="230" t="s">
        <v>1301</v>
      </c>
      <c r="M419" s="230" t="s">
        <v>3927</v>
      </c>
      <c r="N419" s="230" t="s">
        <v>3296</v>
      </c>
      <c r="O419" s="158"/>
      <c r="P419" s="92"/>
      <c r="Q419" s="146"/>
      <c r="R419" s="92"/>
      <c r="S419" s="146"/>
      <c r="T419" s="92"/>
      <c r="U419" s="146"/>
      <c r="V419" s="92"/>
      <c r="W419" s="146"/>
      <c r="X419" s="92"/>
      <c r="Y419" s="146"/>
      <c r="Z419" s="186" t="str">
        <f t="shared" si="28"/>
        <v/>
      </c>
      <c r="AA419" s="217" t="b">
        <f t="shared" si="27"/>
        <v>0</v>
      </c>
      <c r="AB419" s="92"/>
      <c r="AC419" s="164" t="s">
        <v>6</v>
      </c>
      <c r="AD419" s="151" t="str">
        <f t="shared" si="29"/>
        <v>GUARULHOS</v>
      </c>
      <c r="AE419" s="96" t="s">
        <v>63</v>
      </c>
      <c r="AF419" s="53">
        <v>0.90508283482579444</v>
      </c>
      <c r="AG419" s="53" t="str" cm="1">
        <f t="array" ref="AG419">IF(OR(O419&lt;&gt;"", SUMPRODUCT(($AH$2:$AH$4999=AH419)*($AF$2:$AF$4999&lt;=AF419)) &lt;= (COUNTIF($AH$2:$AH$4999,AH419)*0.3)), "SORTEADO", "-")</f>
        <v>-</v>
      </c>
      <c r="AH419" s="257" t="str">
        <f t="shared" si="26"/>
        <v>16/04/2026</v>
      </c>
    </row>
    <row r="420" spans="1:34" ht="30" hidden="1" customHeight="1" x14ac:dyDescent="0.2">
      <c r="A420" s="230" t="s">
        <v>197</v>
      </c>
      <c r="B420" s="230">
        <v>2615903231</v>
      </c>
      <c r="C420" s="230" t="s">
        <v>128</v>
      </c>
      <c r="D420" s="230" t="s">
        <v>124</v>
      </c>
      <c r="E420" s="230" t="s">
        <v>198</v>
      </c>
      <c r="F420" s="230" t="s">
        <v>3928</v>
      </c>
      <c r="G420" s="230">
        <v>75</v>
      </c>
      <c r="H420" s="230" t="s">
        <v>211</v>
      </c>
      <c r="I420" s="230" t="s">
        <v>1809</v>
      </c>
      <c r="J420" s="230" t="s">
        <v>3385</v>
      </c>
      <c r="K420" s="230"/>
      <c r="L420" s="230" t="s">
        <v>1301</v>
      </c>
      <c r="M420" s="230" t="s">
        <v>3929</v>
      </c>
      <c r="N420" s="230" t="s">
        <v>3289</v>
      </c>
      <c r="O420" s="158"/>
      <c r="P420" s="92"/>
      <c r="Q420" s="146"/>
      <c r="R420" s="92"/>
      <c r="S420" s="146"/>
      <c r="T420" s="92"/>
      <c r="U420" s="146"/>
      <c r="V420" s="92"/>
      <c r="W420" s="146"/>
      <c r="X420" s="92"/>
      <c r="Y420" s="146"/>
      <c r="Z420" s="186" t="str">
        <f t="shared" si="28"/>
        <v/>
      </c>
      <c r="AA420" s="217" t="b">
        <f t="shared" si="27"/>
        <v>0</v>
      </c>
      <c r="AB420" s="92"/>
      <c r="AC420" s="164" t="s">
        <v>6</v>
      </c>
      <c r="AD420" s="151" t="str">
        <f t="shared" si="29"/>
        <v>GUARULHOS</v>
      </c>
      <c r="AE420" s="96" t="s">
        <v>63</v>
      </c>
      <c r="AF420" s="53">
        <v>0.69248777984488818</v>
      </c>
      <c r="AG420" s="53" t="str" cm="1">
        <f t="array" ref="AG420">IF(OR(O420&lt;&gt;"", SUMPRODUCT(($AH$2:$AH$4999=AH420)*($AF$2:$AF$4999&lt;=AF420)) &lt;= (COUNTIF($AH$2:$AH$4999,AH420)*0.3)), "SORTEADO", "-")</f>
        <v>-</v>
      </c>
      <c r="AH420" s="257" t="str">
        <f t="shared" si="26"/>
        <v>16/04/2026</v>
      </c>
    </row>
    <row r="421" spans="1:34" ht="30" customHeight="1" x14ac:dyDescent="0.2">
      <c r="A421" s="230" t="s">
        <v>197</v>
      </c>
      <c r="B421" s="230">
        <v>2690699636</v>
      </c>
      <c r="C421" s="230" t="s">
        <v>127</v>
      </c>
      <c r="D421" s="230" t="s">
        <v>63</v>
      </c>
      <c r="E421" s="230" t="s">
        <v>198</v>
      </c>
      <c r="F421" s="230" t="s">
        <v>3311</v>
      </c>
      <c r="G421" s="230">
        <v>283</v>
      </c>
      <c r="H421" s="230" t="s">
        <v>3930</v>
      </c>
      <c r="I421" s="230" t="s">
        <v>269</v>
      </c>
      <c r="J421" s="230" t="s">
        <v>3275</v>
      </c>
      <c r="K421" s="230" t="s">
        <v>3931</v>
      </c>
      <c r="L421" s="230" t="s">
        <v>1301</v>
      </c>
      <c r="M421" s="230" t="s">
        <v>3932</v>
      </c>
      <c r="N421" s="230" t="s">
        <v>819</v>
      </c>
      <c r="O421" s="158" t="s">
        <v>204</v>
      </c>
      <c r="P421" s="92"/>
      <c r="Q421" s="146" t="s">
        <v>204</v>
      </c>
      <c r="R421" s="92"/>
      <c r="S421" s="146" t="s">
        <v>204</v>
      </c>
      <c r="T421" s="92"/>
      <c r="U421" s="146" t="s">
        <v>204</v>
      </c>
      <c r="V421" s="92"/>
      <c r="W421" s="146" t="s">
        <v>204</v>
      </c>
      <c r="X421" s="92"/>
      <c r="Y421" s="146" t="s">
        <v>204</v>
      </c>
      <c r="Z421" s="186" t="str">
        <f t="shared" si="28"/>
        <v>C</v>
      </c>
      <c r="AA421" s="217" t="str">
        <f t="shared" si="27"/>
        <v>UTILIZOU O PDA CORRETAMENTE</v>
      </c>
      <c r="AB421" s="92" t="s">
        <v>204</v>
      </c>
      <c r="AC421" s="164" t="s">
        <v>6</v>
      </c>
      <c r="AD421" s="151" t="str">
        <f t="shared" si="29"/>
        <v>GUARULHOS</v>
      </c>
      <c r="AE421" s="96" t="s">
        <v>63</v>
      </c>
      <c r="AF421" s="53">
        <v>7.6123963397245697E-2</v>
      </c>
      <c r="AG421" s="53" t="str" cm="1">
        <f t="array" ref="AG421">IF(OR(O421&lt;&gt;"", SUMPRODUCT(($AH$2:$AH$4999=AH421)*($AF$2:$AF$4999&lt;=AF421)) &lt;= (COUNTIF($AH$2:$AH$4999,AH421)*0.3)), "SORTEADO", "-")</f>
        <v>SORTEADO</v>
      </c>
      <c r="AH421" s="257" t="str">
        <f t="shared" si="26"/>
        <v>16/04/2026</v>
      </c>
    </row>
    <row r="422" spans="1:34" ht="30" hidden="1" customHeight="1" x14ac:dyDescent="0.2">
      <c r="A422" s="230" t="s">
        <v>197</v>
      </c>
      <c r="B422" s="230">
        <v>2690744045</v>
      </c>
      <c r="C422" s="230" t="s">
        <v>131</v>
      </c>
      <c r="D422" s="230" t="s">
        <v>63</v>
      </c>
      <c r="E422" s="230" t="s">
        <v>198</v>
      </c>
      <c r="F422" s="230" t="s">
        <v>3933</v>
      </c>
      <c r="G422" s="230">
        <v>95</v>
      </c>
      <c r="H422" s="230"/>
      <c r="I422" s="230" t="s">
        <v>436</v>
      </c>
      <c r="J422" s="230" t="s">
        <v>3271</v>
      </c>
      <c r="K422" s="230"/>
      <c r="L422" s="230" t="s">
        <v>1301</v>
      </c>
      <c r="M422" s="230" t="s">
        <v>3934</v>
      </c>
      <c r="N422" s="230" t="s">
        <v>1099</v>
      </c>
      <c r="O422" s="158"/>
      <c r="P422" s="92"/>
      <c r="Q422" s="146"/>
      <c r="R422" s="92"/>
      <c r="S422" s="146"/>
      <c r="T422" s="92"/>
      <c r="U422" s="146"/>
      <c r="V422" s="92"/>
      <c r="W422" s="146"/>
      <c r="X422" s="92"/>
      <c r="Y422" s="146"/>
      <c r="Z422" s="186" t="str">
        <f t="shared" si="28"/>
        <v/>
      </c>
      <c r="AA422" s="217" t="b">
        <f t="shared" si="27"/>
        <v>0</v>
      </c>
      <c r="AB422" s="92"/>
      <c r="AC422" s="164" t="s">
        <v>6</v>
      </c>
      <c r="AD422" s="151" t="str">
        <f t="shared" si="29"/>
        <v>GUARULHOS</v>
      </c>
      <c r="AE422" s="96" t="s">
        <v>63</v>
      </c>
      <c r="AF422" s="53">
        <v>0.4666394498034952</v>
      </c>
      <c r="AG422" s="53" t="str" cm="1">
        <f t="array" ref="AG422">IF(OR(O422&lt;&gt;"", SUMPRODUCT(($AH$2:$AH$4999=AH422)*($AF$2:$AF$4999&lt;=AF422)) &lt;= (COUNTIF($AH$2:$AH$4999,AH422)*0.3)), "SORTEADO", "-")</f>
        <v>-</v>
      </c>
      <c r="AH422" s="257" t="str">
        <f t="shared" si="26"/>
        <v>16/04/2026</v>
      </c>
    </row>
    <row r="423" spans="1:34" ht="30" hidden="1" customHeight="1" x14ac:dyDescent="0.2">
      <c r="A423" s="230" t="s">
        <v>197</v>
      </c>
      <c r="B423" s="230">
        <v>2690721472</v>
      </c>
      <c r="C423" s="230" t="s">
        <v>127</v>
      </c>
      <c r="D423" s="230" t="s">
        <v>63</v>
      </c>
      <c r="E423" s="230" t="s">
        <v>198</v>
      </c>
      <c r="F423" s="230" t="s">
        <v>3935</v>
      </c>
      <c r="G423" s="230">
        <v>105</v>
      </c>
      <c r="H423" s="230"/>
      <c r="I423" s="230" t="s">
        <v>730</v>
      </c>
      <c r="J423" s="230" t="s">
        <v>3275</v>
      </c>
      <c r="K423" s="230"/>
      <c r="L423" s="230" t="s">
        <v>1301</v>
      </c>
      <c r="M423" s="230" t="s">
        <v>3936</v>
      </c>
      <c r="N423" s="230" t="s">
        <v>294</v>
      </c>
      <c r="O423" s="158"/>
      <c r="P423" s="92"/>
      <c r="Q423" s="146"/>
      <c r="R423" s="92"/>
      <c r="S423" s="146"/>
      <c r="T423" s="92"/>
      <c r="U423" s="146"/>
      <c r="V423" s="92"/>
      <c r="W423" s="146"/>
      <c r="X423" s="92"/>
      <c r="Y423" s="146"/>
      <c r="Z423" s="186" t="str">
        <f t="shared" si="28"/>
        <v/>
      </c>
      <c r="AA423" s="217" t="b">
        <f t="shared" si="27"/>
        <v>0</v>
      </c>
      <c r="AB423" s="92"/>
      <c r="AC423" s="164" t="s">
        <v>6</v>
      </c>
      <c r="AD423" s="151" t="str">
        <f t="shared" si="29"/>
        <v>GUARULHOS</v>
      </c>
      <c r="AE423" s="96" t="s">
        <v>63</v>
      </c>
      <c r="AF423" s="53">
        <v>0.43902982684100617</v>
      </c>
      <c r="AG423" s="53" t="str" cm="1">
        <f t="array" ref="AG423">IF(OR(O423&lt;&gt;"", SUMPRODUCT(($AH$2:$AH$4999=AH423)*($AF$2:$AF$4999&lt;=AF423)) &lt;= (COUNTIF($AH$2:$AH$4999,AH423)*0.3)), "SORTEADO", "-")</f>
        <v>-</v>
      </c>
      <c r="AH423" s="257" t="str">
        <f t="shared" si="26"/>
        <v>16/04/2026</v>
      </c>
    </row>
    <row r="424" spans="1:34" ht="30" hidden="1" customHeight="1" x14ac:dyDescent="0.2">
      <c r="A424" s="230" t="s">
        <v>197</v>
      </c>
      <c r="B424" s="230">
        <v>2690715063</v>
      </c>
      <c r="C424" s="230" t="s">
        <v>127</v>
      </c>
      <c r="D424" s="230" t="s">
        <v>63</v>
      </c>
      <c r="E424" s="230" t="s">
        <v>198</v>
      </c>
      <c r="F424" s="230" t="s">
        <v>2531</v>
      </c>
      <c r="G424" s="230">
        <v>599</v>
      </c>
      <c r="H424" s="230" t="s">
        <v>211</v>
      </c>
      <c r="I424" s="230" t="s">
        <v>200</v>
      </c>
      <c r="J424" s="230" t="s">
        <v>3275</v>
      </c>
      <c r="K424" s="230" t="s">
        <v>213</v>
      </c>
      <c r="L424" s="230" t="s">
        <v>1301</v>
      </c>
      <c r="M424" s="230" t="s">
        <v>3937</v>
      </c>
      <c r="N424" s="230" t="s">
        <v>3276</v>
      </c>
      <c r="O424" s="158"/>
      <c r="P424" s="92"/>
      <c r="Q424" s="146"/>
      <c r="R424" s="92"/>
      <c r="S424" s="146"/>
      <c r="T424" s="92"/>
      <c r="U424" s="146"/>
      <c r="V424" s="92"/>
      <c r="W424" s="146"/>
      <c r="X424" s="92"/>
      <c r="Y424" s="146"/>
      <c r="Z424" s="186" t="str">
        <f t="shared" si="28"/>
        <v/>
      </c>
      <c r="AA424" s="217" t="b">
        <f t="shared" si="27"/>
        <v>0</v>
      </c>
      <c r="AB424" s="92"/>
      <c r="AC424" s="164" t="s">
        <v>6</v>
      </c>
      <c r="AD424" s="151" t="str">
        <f t="shared" si="29"/>
        <v>GUARULHOS</v>
      </c>
      <c r="AE424" s="96" t="s">
        <v>63</v>
      </c>
      <c r="AF424" s="53">
        <v>0.52465405312358881</v>
      </c>
      <c r="AG424" s="53" t="str" cm="1">
        <f t="array" ref="AG424">IF(OR(O424&lt;&gt;"", SUMPRODUCT(($AH$2:$AH$4999=AH424)*($AF$2:$AF$4999&lt;=AF424)) &lt;= (COUNTIF($AH$2:$AH$4999,AH424)*0.3)), "SORTEADO", "-")</f>
        <v>-</v>
      </c>
      <c r="AH424" s="257" t="str">
        <f t="shared" ref="AH424:AH487" si="30">TEXT(L424, "dd/mm/aaaa")</f>
        <v>16/04/2026</v>
      </c>
    </row>
    <row r="425" spans="1:34" ht="30" hidden="1" customHeight="1" x14ac:dyDescent="0.2">
      <c r="A425" s="230" t="s">
        <v>197</v>
      </c>
      <c r="B425" s="230">
        <v>2615546639</v>
      </c>
      <c r="C425" s="230" t="s">
        <v>135</v>
      </c>
      <c r="D425" s="230" t="s">
        <v>124</v>
      </c>
      <c r="E425" s="230" t="s">
        <v>198</v>
      </c>
      <c r="F425" s="230" t="s">
        <v>3938</v>
      </c>
      <c r="G425" s="230">
        <v>17</v>
      </c>
      <c r="H425" s="230" t="s">
        <v>578</v>
      </c>
      <c r="I425" s="230" t="s">
        <v>1671</v>
      </c>
      <c r="J425" s="230" t="s">
        <v>3280</v>
      </c>
      <c r="K425" s="230" t="s">
        <v>3939</v>
      </c>
      <c r="L425" s="230" t="s">
        <v>1301</v>
      </c>
      <c r="M425" s="230" t="s">
        <v>3940</v>
      </c>
      <c r="N425" s="230" t="s">
        <v>408</v>
      </c>
      <c r="O425" s="158"/>
      <c r="P425" s="92"/>
      <c r="Q425" s="146"/>
      <c r="R425" s="92"/>
      <c r="S425" s="146"/>
      <c r="T425" s="92"/>
      <c r="U425" s="146"/>
      <c r="V425" s="92"/>
      <c r="W425" s="146"/>
      <c r="X425" s="92"/>
      <c r="Y425" s="146"/>
      <c r="Z425" s="186" t="str">
        <f t="shared" si="28"/>
        <v/>
      </c>
      <c r="AA425" s="217" t="b">
        <f t="shared" si="27"/>
        <v>0</v>
      </c>
      <c r="AB425" s="92"/>
      <c r="AC425" s="164" t="s">
        <v>6</v>
      </c>
      <c r="AD425" s="151" t="str">
        <f t="shared" si="29"/>
        <v>GUARULHOS</v>
      </c>
      <c r="AE425" s="96" t="s">
        <v>63</v>
      </c>
      <c r="AF425" s="53">
        <v>0.38590402948474767</v>
      </c>
      <c r="AG425" s="53" t="str" cm="1">
        <f t="array" ref="AG425">IF(OR(O425&lt;&gt;"", SUMPRODUCT(($AH$2:$AH$4999=AH425)*($AF$2:$AF$4999&lt;=AF425)) &lt;= (COUNTIF($AH$2:$AH$4999,AH425)*0.3)), "SORTEADO", "-")</f>
        <v>-</v>
      </c>
      <c r="AH425" s="257" t="str">
        <f t="shared" si="30"/>
        <v>16/04/2026</v>
      </c>
    </row>
    <row r="426" spans="1:34" ht="30" hidden="1" customHeight="1" x14ac:dyDescent="0.2">
      <c r="A426" s="230" t="s">
        <v>197</v>
      </c>
      <c r="B426" s="230">
        <v>2616159557</v>
      </c>
      <c r="C426" s="230" t="s">
        <v>127</v>
      </c>
      <c r="D426" s="230" t="s">
        <v>63</v>
      </c>
      <c r="E426" s="230" t="s">
        <v>198</v>
      </c>
      <c r="F426" s="230" t="s">
        <v>319</v>
      </c>
      <c r="G426" s="230">
        <v>108</v>
      </c>
      <c r="H426" s="230" t="s">
        <v>1565</v>
      </c>
      <c r="I426" s="230" t="s">
        <v>281</v>
      </c>
      <c r="J426" s="230" t="s">
        <v>3275</v>
      </c>
      <c r="K426" s="230" t="s">
        <v>3941</v>
      </c>
      <c r="L426" s="230" t="s">
        <v>1301</v>
      </c>
      <c r="M426" s="230" t="s">
        <v>3942</v>
      </c>
      <c r="N426" s="230" t="s">
        <v>3296</v>
      </c>
      <c r="O426" s="158"/>
      <c r="P426" s="92"/>
      <c r="Q426" s="146"/>
      <c r="R426" s="92"/>
      <c r="S426" s="146"/>
      <c r="T426" s="92"/>
      <c r="U426" s="146"/>
      <c r="V426" s="92"/>
      <c r="W426" s="146"/>
      <c r="X426" s="92"/>
      <c r="Y426" s="146"/>
      <c r="Z426" s="186" t="str">
        <f t="shared" si="28"/>
        <v/>
      </c>
      <c r="AA426" s="217" t="b">
        <f t="shared" si="27"/>
        <v>0</v>
      </c>
      <c r="AB426" s="92"/>
      <c r="AC426" s="164" t="s">
        <v>6</v>
      </c>
      <c r="AD426" s="151" t="str">
        <f t="shared" si="29"/>
        <v>GUARULHOS</v>
      </c>
      <c r="AE426" s="96" t="s">
        <v>63</v>
      </c>
      <c r="AF426" s="53">
        <v>0.98054353184364362</v>
      </c>
      <c r="AG426" s="53" t="str" cm="1">
        <f t="array" ref="AG426">IF(OR(O426&lt;&gt;"", SUMPRODUCT(($AH$2:$AH$4999=AH426)*($AF$2:$AF$4999&lt;=AF426)) &lt;= (COUNTIF($AH$2:$AH$4999,AH426)*0.3)), "SORTEADO", "-")</f>
        <v>-</v>
      </c>
      <c r="AH426" s="257" t="str">
        <f t="shared" si="30"/>
        <v>16/04/2026</v>
      </c>
    </row>
    <row r="427" spans="1:34" ht="30" customHeight="1" x14ac:dyDescent="0.2">
      <c r="A427" s="230" t="s">
        <v>197</v>
      </c>
      <c r="B427" s="230">
        <v>2690760649</v>
      </c>
      <c r="C427" s="230" t="s">
        <v>127</v>
      </c>
      <c r="D427" s="230" t="s">
        <v>63</v>
      </c>
      <c r="E427" s="230" t="s">
        <v>198</v>
      </c>
      <c r="F427" s="230" t="s">
        <v>468</v>
      </c>
      <c r="G427" s="230">
        <v>167</v>
      </c>
      <c r="H427" s="230" t="s">
        <v>211</v>
      </c>
      <c r="I427" s="230" t="s">
        <v>713</v>
      </c>
      <c r="J427" s="230" t="s">
        <v>3275</v>
      </c>
      <c r="K427" s="230"/>
      <c r="L427" s="230" t="s">
        <v>1301</v>
      </c>
      <c r="M427" s="230" t="s">
        <v>3943</v>
      </c>
      <c r="N427" s="230" t="s">
        <v>3276</v>
      </c>
      <c r="O427" s="158" t="s">
        <v>204</v>
      </c>
      <c r="P427" s="92"/>
      <c r="Q427" s="146" t="s">
        <v>204</v>
      </c>
      <c r="R427" s="92"/>
      <c r="S427" s="146" t="s">
        <v>204</v>
      </c>
      <c r="T427" s="92"/>
      <c r="U427" s="146" t="s">
        <v>204</v>
      </c>
      <c r="V427" s="92"/>
      <c r="W427" s="146" t="s">
        <v>204</v>
      </c>
      <c r="X427" s="92"/>
      <c r="Y427" s="146" t="s">
        <v>204</v>
      </c>
      <c r="Z427" s="186" t="str">
        <f t="shared" si="28"/>
        <v>C</v>
      </c>
      <c r="AA427" s="217" t="str">
        <f t="shared" si="27"/>
        <v>UTILIZOU O PDA CORRETAMENTE</v>
      </c>
      <c r="AB427" s="92" t="s">
        <v>204</v>
      </c>
      <c r="AC427" s="164" t="s">
        <v>6</v>
      </c>
      <c r="AD427" s="151" t="str">
        <f t="shared" si="29"/>
        <v>GUARULHOS</v>
      </c>
      <c r="AE427" s="96" t="s">
        <v>63</v>
      </c>
      <c r="AF427" s="53">
        <v>0.35943485775679757</v>
      </c>
      <c r="AG427" s="53" t="str" cm="1">
        <f t="array" ref="AG427">IF(OR(O427&lt;&gt;"", SUMPRODUCT(($AH$2:$AH$4999=AH427)*($AF$2:$AF$4999&lt;=AF427)) &lt;= (COUNTIF($AH$2:$AH$4999,AH427)*0.3)), "SORTEADO", "-")</f>
        <v>SORTEADO</v>
      </c>
      <c r="AH427" s="257" t="str">
        <f t="shared" si="30"/>
        <v>16/04/2026</v>
      </c>
    </row>
    <row r="428" spans="1:34" ht="30" hidden="1" customHeight="1" x14ac:dyDescent="0.2">
      <c r="A428" s="230" t="s">
        <v>197</v>
      </c>
      <c r="B428" s="230">
        <v>2690762325</v>
      </c>
      <c r="C428" s="230" t="s">
        <v>127</v>
      </c>
      <c r="D428" s="230" t="s">
        <v>63</v>
      </c>
      <c r="E428" s="230" t="s">
        <v>198</v>
      </c>
      <c r="F428" s="230" t="s">
        <v>2837</v>
      </c>
      <c r="G428" s="230">
        <v>43</v>
      </c>
      <c r="H428" s="230" t="s">
        <v>213</v>
      </c>
      <c r="I428" s="230" t="s">
        <v>713</v>
      </c>
      <c r="J428" s="230" t="s">
        <v>3275</v>
      </c>
      <c r="K428" s="230" t="s">
        <v>213</v>
      </c>
      <c r="L428" s="230" t="s">
        <v>1301</v>
      </c>
      <c r="M428" s="230" t="s">
        <v>3944</v>
      </c>
      <c r="N428" s="230" t="s">
        <v>3276</v>
      </c>
      <c r="O428" s="158"/>
      <c r="P428" s="92"/>
      <c r="Q428" s="146"/>
      <c r="R428" s="92"/>
      <c r="S428" s="146"/>
      <c r="T428" s="92"/>
      <c r="U428" s="146"/>
      <c r="V428" s="92"/>
      <c r="W428" s="146"/>
      <c r="X428" s="92"/>
      <c r="Y428" s="146"/>
      <c r="Z428" s="186" t="str">
        <f t="shared" si="28"/>
        <v/>
      </c>
      <c r="AA428" s="217" t="b">
        <f t="shared" si="27"/>
        <v>0</v>
      </c>
      <c r="AB428" s="92"/>
      <c r="AC428" s="164" t="s">
        <v>6</v>
      </c>
      <c r="AD428" s="151" t="str">
        <f t="shared" si="29"/>
        <v>GUARULHOS</v>
      </c>
      <c r="AE428" s="96" t="s">
        <v>63</v>
      </c>
      <c r="AF428" s="53">
        <v>0.38196868225310932</v>
      </c>
      <c r="AG428" s="53" t="str" cm="1">
        <f t="array" ref="AG428">IF(OR(O428&lt;&gt;"", SUMPRODUCT(($AH$2:$AH$4999=AH428)*($AF$2:$AF$4999&lt;=AF428)) &lt;= (COUNTIF($AH$2:$AH$4999,AH428)*0.3)), "SORTEADO", "-")</f>
        <v>-</v>
      </c>
      <c r="AH428" s="257" t="str">
        <f t="shared" si="30"/>
        <v>16/04/2026</v>
      </c>
    </row>
    <row r="429" spans="1:34" ht="30" hidden="1" customHeight="1" x14ac:dyDescent="0.2">
      <c r="A429" s="230" t="s">
        <v>197</v>
      </c>
      <c r="B429" s="230">
        <v>2690762700</v>
      </c>
      <c r="C429" s="230" t="s">
        <v>127</v>
      </c>
      <c r="D429" s="230" t="s">
        <v>63</v>
      </c>
      <c r="E429" s="230" t="s">
        <v>198</v>
      </c>
      <c r="F429" s="230" t="s">
        <v>3279</v>
      </c>
      <c r="G429" s="230">
        <v>21</v>
      </c>
      <c r="H429" s="230" t="s">
        <v>211</v>
      </c>
      <c r="I429" s="230" t="s">
        <v>243</v>
      </c>
      <c r="J429" s="230" t="s">
        <v>3275</v>
      </c>
      <c r="K429" s="230"/>
      <c r="L429" s="230" t="s">
        <v>1301</v>
      </c>
      <c r="M429" s="230" t="s">
        <v>3945</v>
      </c>
      <c r="N429" s="230" t="s">
        <v>3276</v>
      </c>
      <c r="O429" s="158"/>
      <c r="P429" s="92"/>
      <c r="Q429" s="146"/>
      <c r="R429" s="92"/>
      <c r="S429" s="146"/>
      <c r="T429" s="92"/>
      <c r="U429" s="146"/>
      <c r="V429" s="92"/>
      <c r="W429" s="146"/>
      <c r="X429" s="92"/>
      <c r="Y429" s="146"/>
      <c r="Z429" s="186" t="str">
        <f t="shared" si="28"/>
        <v/>
      </c>
      <c r="AA429" s="217" t="b">
        <f t="shared" si="27"/>
        <v>0</v>
      </c>
      <c r="AB429" s="92"/>
      <c r="AC429" s="164" t="s">
        <v>6</v>
      </c>
      <c r="AD429" s="151" t="str">
        <f t="shared" si="29"/>
        <v>GUARULHOS</v>
      </c>
      <c r="AE429" s="96" t="s">
        <v>63</v>
      </c>
      <c r="AF429" s="53">
        <v>0.68505715589316718</v>
      </c>
      <c r="AG429" s="53" t="str" cm="1">
        <f t="array" ref="AG429">IF(OR(O429&lt;&gt;"", SUMPRODUCT(($AH$2:$AH$4999=AH429)*($AF$2:$AF$4999&lt;=AF429)) &lt;= (COUNTIF($AH$2:$AH$4999,AH429)*0.3)), "SORTEADO", "-")</f>
        <v>-</v>
      </c>
      <c r="AH429" s="257" t="str">
        <f t="shared" si="30"/>
        <v>16/04/2026</v>
      </c>
    </row>
    <row r="430" spans="1:34" ht="30" hidden="1" customHeight="1" x14ac:dyDescent="0.2">
      <c r="A430" s="230" t="s">
        <v>197</v>
      </c>
      <c r="B430" s="230">
        <v>2690750903</v>
      </c>
      <c r="C430" s="230" t="s">
        <v>133</v>
      </c>
      <c r="D430" s="230" t="s">
        <v>124</v>
      </c>
      <c r="E430" s="230" t="s">
        <v>198</v>
      </c>
      <c r="F430" s="230" t="s">
        <v>590</v>
      </c>
      <c r="G430" s="230">
        <v>69</v>
      </c>
      <c r="H430" s="230"/>
      <c r="I430" s="230" t="s">
        <v>591</v>
      </c>
      <c r="J430" s="230" t="s">
        <v>3275</v>
      </c>
      <c r="K430" s="230" t="s">
        <v>3344</v>
      </c>
      <c r="L430" s="230" t="s">
        <v>1301</v>
      </c>
      <c r="M430" s="230" t="s">
        <v>3946</v>
      </c>
      <c r="N430" s="230" t="s">
        <v>3289</v>
      </c>
      <c r="O430" s="158"/>
      <c r="P430" s="92"/>
      <c r="Q430" s="146"/>
      <c r="R430" s="92"/>
      <c r="S430" s="146"/>
      <c r="T430" s="92"/>
      <c r="U430" s="146"/>
      <c r="V430" s="92"/>
      <c r="W430" s="146"/>
      <c r="X430" s="92"/>
      <c r="Y430" s="146"/>
      <c r="Z430" s="186" t="str">
        <f t="shared" si="28"/>
        <v/>
      </c>
      <c r="AA430" s="217" t="b">
        <f t="shared" si="27"/>
        <v>0</v>
      </c>
      <c r="AB430" s="92"/>
      <c r="AC430" s="164" t="s">
        <v>6</v>
      </c>
      <c r="AD430" s="151" t="str">
        <f t="shared" si="29"/>
        <v>GUARULHOS</v>
      </c>
      <c r="AE430" s="96" t="s">
        <v>63</v>
      </c>
      <c r="AF430" s="53">
        <v>0.95217908806062435</v>
      </c>
      <c r="AG430" s="53" t="str" cm="1">
        <f t="array" ref="AG430">IF(OR(O430&lt;&gt;"", SUMPRODUCT(($AH$2:$AH$4999=AH430)*($AF$2:$AF$4999&lt;=AF430)) &lt;= (COUNTIF($AH$2:$AH$4999,AH430)*0.3)), "SORTEADO", "-")</f>
        <v>-</v>
      </c>
      <c r="AH430" s="257" t="str">
        <f t="shared" si="30"/>
        <v>16/04/2026</v>
      </c>
    </row>
    <row r="431" spans="1:34" ht="30" hidden="1" customHeight="1" x14ac:dyDescent="0.2">
      <c r="A431" s="230" t="s">
        <v>197</v>
      </c>
      <c r="B431" s="230">
        <v>2690763743</v>
      </c>
      <c r="C431" s="230" t="s">
        <v>127</v>
      </c>
      <c r="D431" s="230" t="s">
        <v>63</v>
      </c>
      <c r="E431" s="230" t="s">
        <v>198</v>
      </c>
      <c r="F431" s="230" t="s">
        <v>3361</v>
      </c>
      <c r="G431" s="230">
        <v>60</v>
      </c>
      <c r="H431" s="230" t="s">
        <v>213</v>
      </c>
      <c r="I431" s="230" t="s">
        <v>730</v>
      </c>
      <c r="J431" s="230" t="s">
        <v>3275</v>
      </c>
      <c r="K431" s="230" t="s">
        <v>213</v>
      </c>
      <c r="L431" s="230" t="s">
        <v>1301</v>
      </c>
      <c r="M431" s="230" t="s">
        <v>3947</v>
      </c>
      <c r="N431" s="230" t="s">
        <v>294</v>
      </c>
      <c r="O431" s="158"/>
      <c r="P431" s="92"/>
      <c r="Q431" s="146"/>
      <c r="R431" s="92"/>
      <c r="S431" s="146"/>
      <c r="T431" s="92"/>
      <c r="U431" s="146"/>
      <c r="V431" s="92"/>
      <c r="W431" s="146"/>
      <c r="X431" s="92"/>
      <c r="Y431" s="146"/>
      <c r="Z431" s="186" t="str">
        <f t="shared" si="28"/>
        <v/>
      </c>
      <c r="AA431" s="217" t="b">
        <f t="shared" si="27"/>
        <v>0</v>
      </c>
      <c r="AB431" s="92"/>
      <c r="AC431" s="164" t="s">
        <v>6</v>
      </c>
      <c r="AD431" s="151" t="str">
        <f t="shared" si="29"/>
        <v>GUARULHOS</v>
      </c>
      <c r="AE431" s="96" t="s">
        <v>63</v>
      </c>
      <c r="AF431" s="53">
        <v>0.94531866007539966</v>
      </c>
      <c r="AG431" s="53" t="str" cm="1">
        <f t="array" ref="AG431">IF(OR(O431&lt;&gt;"", SUMPRODUCT(($AH$2:$AH$4999=AH431)*($AF$2:$AF$4999&lt;=AF431)) &lt;= (COUNTIF($AH$2:$AH$4999,AH431)*0.3)), "SORTEADO", "-")</f>
        <v>-</v>
      </c>
      <c r="AH431" s="257" t="str">
        <f t="shared" si="30"/>
        <v>16/04/2026</v>
      </c>
    </row>
    <row r="432" spans="1:34" ht="30" hidden="1" customHeight="1" x14ac:dyDescent="0.2">
      <c r="A432" s="230" t="s">
        <v>197</v>
      </c>
      <c r="B432" s="230">
        <v>2616172379</v>
      </c>
      <c r="C432" s="230" t="s">
        <v>135</v>
      </c>
      <c r="D432" s="230" t="s">
        <v>124</v>
      </c>
      <c r="E432" s="230" t="s">
        <v>198</v>
      </c>
      <c r="F432" s="230" t="s">
        <v>1404</v>
      </c>
      <c r="G432" s="230">
        <v>90</v>
      </c>
      <c r="H432" s="230" t="s">
        <v>213</v>
      </c>
      <c r="I432" s="230" t="s">
        <v>335</v>
      </c>
      <c r="J432" s="230" t="s">
        <v>3280</v>
      </c>
      <c r="K432" s="230" t="s">
        <v>3948</v>
      </c>
      <c r="L432" s="230" t="s">
        <v>1301</v>
      </c>
      <c r="M432" s="230" t="s">
        <v>3949</v>
      </c>
      <c r="N432" s="230" t="s">
        <v>241</v>
      </c>
      <c r="O432" s="233" t="s">
        <v>61</v>
      </c>
      <c r="P432" s="169"/>
      <c r="Q432" s="144" t="s">
        <v>61</v>
      </c>
      <c r="R432" s="56"/>
      <c r="S432" s="144" t="s">
        <v>61</v>
      </c>
      <c r="T432" s="56"/>
      <c r="U432" s="144" t="s">
        <v>61</v>
      </c>
      <c r="V432" s="56"/>
      <c r="W432" s="144" t="s">
        <v>61</v>
      </c>
      <c r="X432" s="56"/>
      <c r="Y432" s="144" t="s">
        <v>61</v>
      </c>
      <c r="Z432" s="186" t="str">
        <f t="shared" si="28"/>
        <v>NA</v>
      </c>
      <c r="AA432" s="217" t="str">
        <f t="shared" si="27"/>
        <v>NÃO AVALIADO POR FALHA DE SINCRONISMO</v>
      </c>
      <c r="AB432" s="92" t="s">
        <v>204</v>
      </c>
      <c r="AC432" s="164" t="s">
        <v>6</v>
      </c>
      <c r="AD432" s="151" t="str">
        <f t="shared" si="29"/>
        <v>GUARULHOS</v>
      </c>
      <c r="AE432" s="96" t="s">
        <v>63</v>
      </c>
      <c r="AF432" s="53">
        <v>-8.6199999999999999E-2</v>
      </c>
      <c r="AG432" s="53" t="str" cm="1">
        <f t="array" ref="AG432">IF(OR(O432&lt;&gt;"", SUMPRODUCT(($AH$2:$AH$4999=AH432)*($AF$2:$AF$4999&lt;=AF432)) &lt;= (COUNTIF($AH$2:$AH$4999,AH432)*0.3)), "SORTEADO", "-")</f>
        <v>SORTEADO</v>
      </c>
      <c r="AH432" s="257" t="str">
        <f t="shared" si="30"/>
        <v>16/04/2026</v>
      </c>
    </row>
    <row r="433" spans="1:34" ht="30" customHeight="1" x14ac:dyDescent="0.2">
      <c r="A433" s="230" t="s">
        <v>197</v>
      </c>
      <c r="B433" s="230">
        <v>2690714732</v>
      </c>
      <c r="C433" s="230" t="s">
        <v>133</v>
      </c>
      <c r="D433" s="230" t="s">
        <v>124</v>
      </c>
      <c r="E433" s="230" t="s">
        <v>198</v>
      </c>
      <c r="F433" s="230" t="s">
        <v>3950</v>
      </c>
      <c r="G433" s="230">
        <v>16</v>
      </c>
      <c r="H433" s="230" t="s">
        <v>3951</v>
      </c>
      <c r="I433" s="230" t="s">
        <v>1753</v>
      </c>
      <c r="J433" s="230" t="s">
        <v>3275</v>
      </c>
      <c r="K433" s="230"/>
      <c r="L433" s="230" t="s">
        <v>1301</v>
      </c>
      <c r="M433" s="230" t="s">
        <v>3952</v>
      </c>
      <c r="N433" s="230" t="s">
        <v>294</v>
      </c>
      <c r="O433" s="158" t="s">
        <v>204</v>
      </c>
      <c r="P433" s="92"/>
      <c r="Q433" s="146" t="s">
        <v>204</v>
      </c>
      <c r="R433" s="92"/>
      <c r="S433" s="146" t="s">
        <v>204</v>
      </c>
      <c r="T433" s="92"/>
      <c r="U433" s="146" t="s">
        <v>204</v>
      </c>
      <c r="V433" s="92"/>
      <c r="W433" s="146" t="s">
        <v>204</v>
      </c>
      <c r="X433" s="92"/>
      <c r="Y433" s="146" t="s">
        <v>204</v>
      </c>
      <c r="Z433" s="186" t="str">
        <f t="shared" si="28"/>
        <v>C</v>
      </c>
      <c r="AA433" s="217" t="str">
        <f t="shared" si="27"/>
        <v>UTILIZOU O PDA CORRETAMENTE</v>
      </c>
      <c r="AB433" s="92" t="s">
        <v>204</v>
      </c>
      <c r="AC433" s="164" t="s">
        <v>6</v>
      </c>
      <c r="AD433" s="151" t="str">
        <f t="shared" si="29"/>
        <v>GUARULHOS</v>
      </c>
      <c r="AE433" s="96" t="s">
        <v>63</v>
      </c>
      <c r="AF433" s="53">
        <v>0.30435037141195265</v>
      </c>
      <c r="AG433" s="53" t="str" cm="1">
        <f t="array" ref="AG433">IF(OR(O433&lt;&gt;"", SUMPRODUCT(($AH$2:$AH$4999=AH433)*($AF$2:$AF$4999&lt;=AF433)) &lt;= (COUNTIF($AH$2:$AH$4999,AH433)*0.3)), "SORTEADO", "-")</f>
        <v>SORTEADO</v>
      </c>
      <c r="AH433" s="257" t="str">
        <f t="shared" si="30"/>
        <v>16/04/2026</v>
      </c>
    </row>
    <row r="434" spans="1:34" ht="30" customHeight="1" x14ac:dyDescent="0.2">
      <c r="A434" s="230" t="s">
        <v>197</v>
      </c>
      <c r="B434" s="230">
        <v>2690770339</v>
      </c>
      <c r="C434" s="230" t="s">
        <v>127</v>
      </c>
      <c r="D434" s="230" t="s">
        <v>63</v>
      </c>
      <c r="E434" s="230" t="s">
        <v>198</v>
      </c>
      <c r="F434" s="230" t="s">
        <v>1152</v>
      </c>
      <c r="G434" s="230">
        <v>264</v>
      </c>
      <c r="H434" s="230" t="s">
        <v>3953</v>
      </c>
      <c r="I434" s="230" t="s">
        <v>269</v>
      </c>
      <c r="J434" s="230" t="s">
        <v>3275</v>
      </c>
      <c r="K434" s="230" t="s">
        <v>213</v>
      </c>
      <c r="L434" s="230" t="s">
        <v>1301</v>
      </c>
      <c r="M434" s="230" t="s">
        <v>3954</v>
      </c>
      <c r="N434" s="230" t="s">
        <v>819</v>
      </c>
      <c r="O434" s="158" t="s">
        <v>204</v>
      </c>
      <c r="P434" s="92"/>
      <c r="Q434" s="146" t="s">
        <v>204</v>
      </c>
      <c r="R434" s="92"/>
      <c r="S434" s="146" t="s">
        <v>204</v>
      </c>
      <c r="T434" s="92"/>
      <c r="U434" s="146" t="s">
        <v>204</v>
      </c>
      <c r="V434" s="92"/>
      <c r="W434" s="146" t="s">
        <v>204</v>
      </c>
      <c r="X434" s="92"/>
      <c r="Y434" s="146" t="s">
        <v>204</v>
      </c>
      <c r="Z434" s="186" t="str">
        <f t="shared" si="28"/>
        <v>C</v>
      </c>
      <c r="AA434" s="217" t="str">
        <f t="shared" si="27"/>
        <v>UTILIZOU O PDA CORRETAMENTE</v>
      </c>
      <c r="AB434" s="92" t="s">
        <v>204</v>
      </c>
      <c r="AC434" s="164" t="s">
        <v>6</v>
      </c>
      <c r="AD434" s="151" t="str">
        <f t="shared" si="29"/>
        <v>GUARULHOS</v>
      </c>
      <c r="AE434" s="96" t="s">
        <v>63</v>
      </c>
      <c r="AF434" s="53">
        <v>0.18972591952029688</v>
      </c>
      <c r="AG434" s="53" t="str" cm="1">
        <f t="array" ref="AG434">IF(OR(O434&lt;&gt;"", SUMPRODUCT(($AH$2:$AH$4999=AH434)*($AF$2:$AF$4999&lt;=AF434)) &lt;= (COUNTIF($AH$2:$AH$4999,AH434)*0.3)), "SORTEADO", "-")</f>
        <v>SORTEADO</v>
      </c>
      <c r="AH434" s="257" t="str">
        <f t="shared" si="30"/>
        <v>16/04/2026</v>
      </c>
    </row>
    <row r="435" spans="1:34" ht="30" hidden="1" customHeight="1" x14ac:dyDescent="0.2">
      <c r="A435" s="230" t="s">
        <v>197</v>
      </c>
      <c r="B435" s="230">
        <v>2690770585</v>
      </c>
      <c r="C435" s="230" t="s">
        <v>127</v>
      </c>
      <c r="D435" s="230" t="s">
        <v>63</v>
      </c>
      <c r="E435" s="230" t="s">
        <v>198</v>
      </c>
      <c r="F435" s="230" t="s">
        <v>1315</v>
      </c>
      <c r="G435" s="230">
        <v>146</v>
      </c>
      <c r="H435" s="230" t="s">
        <v>276</v>
      </c>
      <c r="I435" s="230" t="s">
        <v>315</v>
      </c>
      <c r="J435" s="230" t="s">
        <v>3275</v>
      </c>
      <c r="K435" s="230" t="s">
        <v>213</v>
      </c>
      <c r="L435" s="230" t="s">
        <v>1301</v>
      </c>
      <c r="M435" s="230" t="s">
        <v>3955</v>
      </c>
      <c r="N435" s="230" t="s">
        <v>3276</v>
      </c>
      <c r="O435" s="158"/>
      <c r="P435" s="92"/>
      <c r="Q435" s="146"/>
      <c r="R435" s="92"/>
      <c r="S435" s="146"/>
      <c r="T435" s="92"/>
      <c r="U435" s="146"/>
      <c r="V435" s="92"/>
      <c r="W435" s="146"/>
      <c r="X435" s="92"/>
      <c r="Y435" s="146"/>
      <c r="Z435" s="186" t="str">
        <f t="shared" si="28"/>
        <v/>
      </c>
      <c r="AA435" s="217" t="b">
        <f t="shared" si="27"/>
        <v>0</v>
      </c>
      <c r="AB435" s="92"/>
      <c r="AC435" s="164" t="s">
        <v>6</v>
      </c>
      <c r="AD435" s="151" t="str">
        <f t="shared" si="29"/>
        <v>GUARULHOS</v>
      </c>
      <c r="AE435" s="96" t="s">
        <v>63</v>
      </c>
      <c r="AF435" s="53">
        <v>0.61132370783856049</v>
      </c>
      <c r="AG435" s="53" t="str" cm="1">
        <f t="array" ref="AG435">IF(OR(O435&lt;&gt;"", SUMPRODUCT(($AH$2:$AH$4999=AH435)*($AF$2:$AF$4999&lt;=AF435)) &lt;= (COUNTIF($AH$2:$AH$4999,AH435)*0.3)), "SORTEADO", "-")</f>
        <v>-</v>
      </c>
      <c r="AH435" s="257" t="str">
        <f t="shared" si="30"/>
        <v>16/04/2026</v>
      </c>
    </row>
    <row r="436" spans="1:34" ht="30" hidden="1" customHeight="1" x14ac:dyDescent="0.2">
      <c r="A436" s="230" t="s">
        <v>197</v>
      </c>
      <c r="B436" s="230">
        <v>2616176131</v>
      </c>
      <c r="C436" s="230" t="s">
        <v>127</v>
      </c>
      <c r="D436" s="230" t="s">
        <v>63</v>
      </c>
      <c r="E436" s="230" t="s">
        <v>198</v>
      </c>
      <c r="F436" s="230" t="s">
        <v>3956</v>
      </c>
      <c r="G436" s="230">
        <v>259</v>
      </c>
      <c r="H436" s="230" t="s">
        <v>3957</v>
      </c>
      <c r="I436" s="230" t="s">
        <v>1587</v>
      </c>
      <c r="J436" s="230" t="s">
        <v>3271</v>
      </c>
      <c r="K436" s="230" t="s">
        <v>213</v>
      </c>
      <c r="L436" s="230" t="s">
        <v>1301</v>
      </c>
      <c r="M436" s="230" t="s">
        <v>3958</v>
      </c>
      <c r="N436" s="230" t="s">
        <v>1099</v>
      </c>
      <c r="O436" s="158"/>
      <c r="P436" s="92"/>
      <c r="Q436" s="146"/>
      <c r="R436" s="92"/>
      <c r="S436" s="146"/>
      <c r="T436" s="92"/>
      <c r="U436" s="146"/>
      <c r="V436" s="92"/>
      <c r="W436" s="146"/>
      <c r="X436" s="92"/>
      <c r="Y436" s="146"/>
      <c r="Z436" s="186" t="str">
        <f t="shared" si="28"/>
        <v/>
      </c>
      <c r="AA436" s="217" t="b">
        <f t="shared" si="27"/>
        <v>0</v>
      </c>
      <c r="AB436" s="92"/>
      <c r="AC436" s="164" t="s">
        <v>6</v>
      </c>
      <c r="AD436" s="151" t="str">
        <f t="shared" si="29"/>
        <v>GUARULHOS</v>
      </c>
      <c r="AE436" s="96" t="s">
        <v>63</v>
      </c>
      <c r="AF436" s="53">
        <v>0.58860434676304096</v>
      </c>
      <c r="AG436" s="53" t="str" cm="1">
        <f t="array" ref="AG436">IF(OR(O436&lt;&gt;"", SUMPRODUCT(($AH$2:$AH$4999=AH436)*($AF$2:$AF$4999&lt;=AF436)) &lt;= (COUNTIF($AH$2:$AH$4999,AH436)*0.3)), "SORTEADO", "-")</f>
        <v>-</v>
      </c>
      <c r="AH436" s="257" t="str">
        <f t="shared" si="30"/>
        <v>16/04/2026</v>
      </c>
    </row>
    <row r="437" spans="1:34" ht="30" hidden="1" customHeight="1" x14ac:dyDescent="0.2">
      <c r="A437" s="230" t="s">
        <v>197</v>
      </c>
      <c r="B437" s="230">
        <v>2690716047</v>
      </c>
      <c r="C437" s="230" t="s">
        <v>133</v>
      </c>
      <c r="D437" s="230" t="s">
        <v>124</v>
      </c>
      <c r="E437" s="230" t="s">
        <v>198</v>
      </c>
      <c r="F437" s="230" t="s">
        <v>3660</v>
      </c>
      <c r="G437" s="230">
        <v>370</v>
      </c>
      <c r="H437" s="230" t="s">
        <v>1565</v>
      </c>
      <c r="I437" s="230" t="s">
        <v>3662</v>
      </c>
      <c r="J437" s="230" t="s">
        <v>3275</v>
      </c>
      <c r="K437" s="230" t="s">
        <v>3959</v>
      </c>
      <c r="L437" s="230" t="s">
        <v>1301</v>
      </c>
      <c r="M437" s="230" t="s">
        <v>3960</v>
      </c>
      <c r="N437" s="230" t="s">
        <v>3289</v>
      </c>
      <c r="O437" s="233" t="s">
        <v>61</v>
      </c>
      <c r="P437" s="169"/>
      <c r="Q437" s="144" t="s">
        <v>61</v>
      </c>
      <c r="R437" s="56"/>
      <c r="S437" s="144" t="s">
        <v>61</v>
      </c>
      <c r="T437" s="56"/>
      <c r="U437" s="144" t="s">
        <v>61</v>
      </c>
      <c r="V437" s="56"/>
      <c r="W437" s="144" t="s">
        <v>61</v>
      </c>
      <c r="X437" s="56"/>
      <c r="Y437" s="144" t="s">
        <v>61</v>
      </c>
      <c r="Z437" s="186" t="str">
        <f t="shared" si="28"/>
        <v>NA</v>
      </c>
      <c r="AA437" s="217" t="str">
        <f t="shared" si="27"/>
        <v>NÃO AVALIADO POR FALHA DE SINCRONISMO</v>
      </c>
      <c r="AB437" s="92" t="s">
        <v>204</v>
      </c>
      <c r="AC437" s="164" t="s">
        <v>6</v>
      </c>
      <c r="AD437" s="151" t="str">
        <f t="shared" si="29"/>
        <v>GUARULHOS</v>
      </c>
      <c r="AE437" s="96" t="s">
        <v>63</v>
      </c>
      <c r="AF437" s="53">
        <v>-8.72E-2</v>
      </c>
      <c r="AG437" s="53" t="str" cm="1">
        <f t="array" ref="AG437">IF(OR(O437&lt;&gt;"", SUMPRODUCT(($AH$2:$AH$4999=AH437)*($AF$2:$AF$4999&lt;=AF437)) &lt;= (COUNTIF($AH$2:$AH$4999,AH437)*0.3)), "SORTEADO", "-")</f>
        <v>SORTEADO</v>
      </c>
      <c r="AH437" s="257" t="str">
        <f t="shared" si="30"/>
        <v>16/04/2026</v>
      </c>
    </row>
    <row r="438" spans="1:34" ht="30" hidden="1" customHeight="1" x14ac:dyDescent="0.2">
      <c r="A438" s="230" t="s">
        <v>197</v>
      </c>
      <c r="B438" s="230">
        <v>2690770743</v>
      </c>
      <c r="C438" s="230" t="s">
        <v>133</v>
      </c>
      <c r="D438" s="230" t="s">
        <v>124</v>
      </c>
      <c r="E438" s="230" t="s">
        <v>198</v>
      </c>
      <c r="F438" s="230" t="s">
        <v>2753</v>
      </c>
      <c r="G438" s="230">
        <v>406</v>
      </c>
      <c r="H438" s="230" t="s">
        <v>213</v>
      </c>
      <c r="I438" s="230" t="s">
        <v>394</v>
      </c>
      <c r="J438" s="230" t="s">
        <v>3275</v>
      </c>
      <c r="K438" s="230" t="s">
        <v>213</v>
      </c>
      <c r="L438" s="230" t="s">
        <v>1301</v>
      </c>
      <c r="M438" s="230" t="s">
        <v>3961</v>
      </c>
      <c r="N438" s="230" t="s">
        <v>294</v>
      </c>
      <c r="O438" s="158"/>
      <c r="P438" s="92"/>
      <c r="Q438" s="146"/>
      <c r="R438" s="92"/>
      <c r="S438" s="146"/>
      <c r="T438" s="92"/>
      <c r="U438" s="146"/>
      <c r="V438" s="92"/>
      <c r="W438" s="146"/>
      <c r="X438" s="92"/>
      <c r="Y438" s="146"/>
      <c r="Z438" s="186" t="str">
        <f t="shared" si="28"/>
        <v/>
      </c>
      <c r="AA438" s="217" t="b">
        <f t="shared" si="27"/>
        <v>0</v>
      </c>
      <c r="AB438" s="92"/>
      <c r="AC438" s="164" t="s">
        <v>6</v>
      </c>
      <c r="AD438" s="151" t="str">
        <f t="shared" si="29"/>
        <v>GUARULHOS</v>
      </c>
      <c r="AE438" s="96" t="s">
        <v>63</v>
      </c>
      <c r="AF438" s="53">
        <v>0.56877725062079221</v>
      </c>
      <c r="AG438" s="53" t="str" cm="1">
        <f t="array" ref="AG438">IF(OR(O438&lt;&gt;"", SUMPRODUCT(($AH$2:$AH$4999=AH438)*($AF$2:$AF$4999&lt;=AF438)) &lt;= (COUNTIF($AH$2:$AH$4999,AH438)*0.3)), "SORTEADO", "-")</f>
        <v>-</v>
      </c>
      <c r="AH438" s="257" t="str">
        <f t="shared" si="30"/>
        <v>16/04/2026</v>
      </c>
    </row>
    <row r="439" spans="1:34" ht="30" hidden="1" customHeight="1" x14ac:dyDescent="0.2">
      <c r="A439" s="230" t="s">
        <v>197</v>
      </c>
      <c r="B439" s="230">
        <v>2690720165</v>
      </c>
      <c r="C439" s="230" t="s">
        <v>133</v>
      </c>
      <c r="D439" s="230" t="s">
        <v>124</v>
      </c>
      <c r="E439" s="230" t="s">
        <v>198</v>
      </c>
      <c r="F439" s="230" t="s">
        <v>383</v>
      </c>
      <c r="G439" s="230">
        <v>82</v>
      </c>
      <c r="H439" s="230" t="s">
        <v>3962</v>
      </c>
      <c r="I439" s="230" t="s">
        <v>394</v>
      </c>
      <c r="J439" s="230" t="s">
        <v>3275</v>
      </c>
      <c r="K439" s="230"/>
      <c r="L439" s="230" t="s">
        <v>1301</v>
      </c>
      <c r="M439" s="230" t="s">
        <v>3963</v>
      </c>
      <c r="N439" s="230" t="s">
        <v>294</v>
      </c>
      <c r="O439" s="158"/>
      <c r="P439" s="92"/>
      <c r="Q439" s="146"/>
      <c r="R439" s="92"/>
      <c r="S439" s="146"/>
      <c r="T439" s="92"/>
      <c r="U439" s="146"/>
      <c r="V439" s="92"/>
      <c r="W439" s="146"/>
      <c r="X439" s="92"/>
      <c r="Y439" s="146"/>
      <c r="Z439" s="186" t="str">
        <f t="shared" si="28"/>
        <v/>
      </c>
      <c r="AA439" s="217" t="b">
        <f t="shared" si="27"/>
        <v>0</v>
      </c>
      <c r="AB439" s="92"/>
      <c r="AC439" s="164" t="s">
        <v>6</v>
      </c>
      <c r="AD439" s="151" t="str">
        <f t="shared" si="29"/>
        <v>GUARULHOS</v>
      </c>
      <c r="AE439" s="96" t="s">
        <v>63</v>
      </c>
      <c r="AF439" s="53">
        <v>0.81040318481517493</v>
      </c>
      <c r="AG439" s="53" t="str" cm="1">
        <f t="array" ref="AG439">IF(OR(O439&lt;&gt;"", SUMPRODUCT(($AH$2:$AH$4999=AH439)*($AF$2:$AF$4999&lt;=AF439)) &lt;= (COUNTIF($AH$2:$AH$4999,AH439)*0.3)), "SORTEADO", "-")</f>
        <v>-</v>
      </c>
      <c r="AH439" s="257" t="str">
        <f t="shared" si="30"/>
        <v>16/04/2026</v>
      </c>
    </row>
    <row r="440" spans="1:34" ht="30" hidden="1" customHeight="1" x14ac:dyDescent="0.2">
      <c r="A440" s="230" t="s">
        <v>197</v>
      </c>
      <c r="B440" s="230">
        <v>2615952524</v>
      </c>
      <c r="C440" s="230" t="s">
        <v>133</v>
      </c>
      <c r="D440" s="230" t="s">
        <v>124</v>
      </c>
      <c r="E440" s="230" t="s">
        <v>198</v>
      </c>
      <c r="F440" s="230" t="s">
        <v>3964</v>
      </c>
      <c r="G440" s="230">
        <v>10</v>
      </c>
      <c r="H440" s="230" t="s">
        <v>213</v>
      </c>
      <c r="I440" s="230" t="s">
        <v>611</v>
      </c>
      <c r="J440" s="230" t="s">
        <v>3275</v>
      </c>
      <c r="K440" s="230" t="s">
        <v>3344</v>
      </c>
      <c r="L440" s="230" t="s">
        <v>1301</v>
      </c>
      <c r="M440" s="230" t="s">
        <v>3965</v>
      </c>
      <c r="N440" s="230" t="s">
        <v>3289</v>
      </c>
      <c r="O440" s="158"/>
      <c r="P440" s="92"/>
      <c r="Q440" s="146"/>
      <c r="R440" s="92"/>
      <c r="S440" s="146"/>
      <c r="T440" s="92"/>
      <c r="U440" s="146"/>
      <c r="V440" s="92"/>
      <c r="W440" s="146"/>
      <c r="X440" s="92"/>
      <c r="Y440" s="146"/>
      <c r="Z440" s="186" t="str">
        <f t="shared" si="28"/>
        <v/>
      </c>
      <c r="AA440" s="217" t="b">
        <f t="shared" si="27"/>
        <v>0</v>
      </c>
      <c r="AB440" s="92"/>
      <c r="AC440" s="164" t="s">
        <v>6</v>
      </c>
      <c r="AD440" s="151" t="str">
        <f t="shared" si="29"/>
        <v>GUARULHOS</v>
      </c>
      <c r="AE440" s="96" t="s">
        <v>63</v>
      </c>
      <c r="AF440" s="53">
        <v>0.37882036889719706</v>
      </c>
      <c r="AG440" s="53" t="str" cm="1">
        <f t="array" ref="AG440">IF(OR(O440&lt;&gt;"", SUMPRODUCT(($AH$2:$AH$4999=AH440)*($AF$2:$AF$4999&lt;=AF440)) &lt;= (COUNTIF($AH$2:$AH$4999,AH440)*0.3)), "SORTEADO", "-")</f>
        <v>-</v>
      </c>
      <c r="AH440" s="257" t="str">
        <f t="shared" si="30"/>
        <v>16/04/2026</v>
      </c>
    </row>
    <row r="441" spans="1:34" ht="30" hidden="1" customHeight="1" x14ac:dyDescent="0.2">
      <c r="A441" s="230" t="s">
        <v>197</v>
      </c>
      <c r="B441" s="230">
        <v>2615894449</v>
      </c>
      <c r="C441" s="230" t="s">
        <v>133</v>
      </c>
      <c r="D441" s="230" t="s">
        <v>124</v>
      </c>
      <c r="E441" s="230" t="s">
        <v>198</v>
      </c>
      <c r="F441" s="230" t="s">
        <v>3397</v>
      </c>
      <c r="G441" s="230">
        <v>161</v>
      </c>
      <c r="H441" s="230" t="s">
        <v>252</v>
      </c>
      <c r="I441" s="230" t="s">
        <v>3399</v>
      </c>
      <c r="J441" s="230" t="s">
        <v>3275</v>
      </c>
      <c r="K441" s="230" t="s">
        <v>3303</v>
      </c>
      <c r="L441" s="230" t="s">
        <v>1301</v>
      </c>
      <c r="M441" s="230" t="s">
        <v>3966</v>
      </c>
      <c r="N441" s="230" t="s">
        <v>819</v>
      </c>
      <c r="O441" s="158"/>
      <c r="P441" s="92"/>
      <c r="Q441" s="146"/>
      <c r="R441" s="92"/>
      <c r="S441" s="146"/>
      <c r="T441" s="92"/>
      <c r="U441" s="146"/>
      <c r="V441" s="92"/>
      <c r="W441" s="146"/>
      <c r="X441" s="92"/>
      <c r="Y441" s="146"/>
      <c r="Z441" s="186" t="str">
        <f t="shared" si="28"/>
        <v/>
      </c>
      <c r="AA441" s="217" t="b">
        <f t="shared" si="27"/>
        <v>0</v>
      </c>
      <c r="AB441" s="92"/>
      <c r="AC441" s="164" t="s">
        <v>6</v>
      </c>
      <c r="AD441" s="151" t="str">
        <f t="shared" si="29"/>
        <v>GUARULHOS</v>
      </c>
      <c r="AE441" s="96" t="s">
        <v>63</v>
      </c>
      <c r="AF441" s="53">
        <v>0.83045017443652291</v>
      </c>
      <c r="AG441" s="53" t="str" cm="1">
        <f t="array" ref="AG441">IF(OR(O441&lt;&gt;"", SUMPRODUCT(($AH$2:$AH$4999=AH441)*($AF$2:$AF$4999&lt;=AF441)) &lt;= (COUNTIF($AH$2:$AH$4999,AH441)*0.3)), "SORTEADO", "-")</f>
        <v>-</v>
      </c>
      <c r="AH441" s="257" t="str">
        <f t="shared" si="30"/>
        <v>16/04/2026</v>
      </c>
    </row>
    <row r="442" spans="1:34" ht="30" hidden="1" customHeight="1" x14ac:dyDescent="0.2">
      <c r="A442" s="230" t="s">
        <v>197</v>
      </c>
      <c r="B442" s="230">
        <v>2690711416</v>
      </c>
      <c r="C442" s="230" t="s">
        <v>133</v>
      </c>
      <c r="D442" s="230" t="s">
        <v>124</v>
      </c>
      <c r="E442" s="230" t="s">
        <v>198</v>
      </c>
      <c r="F442" s="230" t="s">
        <v>3967</v>
      </c>
      <c r="G442" s="230">
        <v>73</v>
      </c>
      <c r="H442" s="230" t="s">
        <v>459</v>
      </c>
      <c r="I442" s="230" t="s">
        <v>2063</v>
      </c>
      <c r="J442" s="230" t="s">
        <v>3275</v>
      </c>
      <c r="K442" s="230" t="s">
        <v>3303</v>
      </c>
      <c r="L442" s="230" t="s">
        <v>1301</v>
      </c>
      <c r="M442" s="230" t="s">
        <v>3968</v>
      </c>
      <c r="N442" s="230" t="s">
        <v>819</v>
      </c>
      <c r="O442" s="158"/>
      <c r="P442" s="92"/>
      <c r="Q442" s="146"/>
      <c r="R442" s="92"/>
      <c r="S442" s="146"/>
      <c r="T442" s="92"/>
      <c r="U442" s="146"/>
      <c r="V442" s="92"/>
      <c r="W442" s="146"/>
      <c r="X442" s="92"/>
      <c r="Y442" s="146"/>
      <c r="Z442" s="186" t="str">
        <f t="shared" si="28"/>
        <v/>
      </c>
      <c r="AA442" s="217" t="b">
        <f t="shared" si="27"/>
        <v>0</v>
      </c>
      <c r="AB442" s="92"/>
      <c r="AC442" s="164" t="s">
        <v>6</v>
      </c>
      <c r="AD442" s="151" t="str">
        <f t="shared" si="29"/>
        <v>GUARULHOS</v>
      </c>
      <c r="AE442" s="96" t="s">
        <v>63</v>
      </c>
      <c r="AF442" s="53">
        <v>0.65313948518314024</v>
      </c>
      <c r="AG442" s="53" t="str" cm="1">
        <f t="array" ref="AG442">IF(OR(O442&lt;&gt;"", SUMPRODUCT(($AH$2:$AH$4999=AH442)*($AF$2:$AF$4999&lt;=AF442)) &lt;= (COUNTIF($AH$2:$AH$4999,AH442)*0.3)), "SORTEADO", "-")</f>
        <v>-</v>
      </c>
      <c r="AH442" s="257" t="str">
        <f t="shared" si="30"/>
        <v>16/04/2026</v>
      </c>
    </row>
    <row r="443" spans="1:34" ht="30" hidden="1" customHeight="1" x14ac:dyDescent="0.2">
      <c r="A443" s="230" t="s">
        <v>197</v>
      </c>
      <c r="B443" s="230">
        <v>2690775405</v>
      </c>
      <c r="C443" s="230" t="s">
        <v>127</v>
      </c>
      <c r="D443" s="230" t="s">
        <v>63</v>
      </c>
      <c r="E443" s="230" t="s">
        <v>198</v>
      </c>
      <c r="F443" s="230" t="s">
        <v>3969</v>
      </c>
      <c r="G443" s="230">
        <v>75</v>
      </c>
      <c r="H443" s="230" t="s">
        <v>3970</v>
      </c>
      <c r="I443" s="230" t="s">
        <v>411</v>
      </c>
      <c r="J443" s="230" t="s">
        <v>3275</v>
      </c>
      <c r="K443" s="230"/>
      <c r="L443" s="230" t="s">
        <v>1301</v>
      </c>
      <c r="M443" s="230" t="s">
        <v>3971</v>
      </c>
      <c r="N443" s="230" t="s">
        <v>819</v>
      </c>
      <c r="O443" s="158"/>
      <c r="P443" s="92"/>
      <c r="Q443" s="146"/>
      <c r="R443" s="92"/>
      <c r="S443" s="146"/>
      <c r="T443" s="92"/>
      <c r="U443" s="146"/>
      <c r="V443" s="92"/>
      <c r="W443" s="146"/>
      <c r="X443" s="92"/>
      <c r="Y443" s="146"/>
      <c r="Z443" s="186" t="str">
        <f t="shared" si="28"/>
        <v/>
      </c>
      <c r="AA443" s="217" t="b">
        <f t="shared" si="27"/>
        <v>0</v>
      </c>
      <c r="AB443" s="92"/>
      <c r="AC443" s="164" t="s">
        <v>6</v>
      </c>
      <c r="AD443" s="151" t="str">
        <f t="shared" si="29"/>
        <v>GUARULHOS</v>
      </c>
      <c r="AE443" s="96" t="s">
        <v>63</v>
      </c>
      <c r="AF443" s="53">
        <v>0.60393152015353746</v>
      </c>
      <c r="AG443" s="53" t="str" cm="1">
        <f t="array" ref="AG443">IF(OR(O443&lt;&gt;"", SUMPRODUCT(($AH$2:$AH$4999=AH443)*($AF$2:$AF$4999&lt;=AF443)) &lt;= (COUNTIF($AH$2:$AH$4999,AH443)*0.3)), "SORTEADO", "-")</f>
        <v>-</v>
      </c>
      <c r="AH443" s="257" t="str">
        <f t="shared" si="30"/>
        <v>16/04/2026</v>
      </c>
    </row>
    <row r="444" spans="1:34" ht="30" hidden="1" customHeight="1" x14ac:dyDescent="0.2">
      <c r="A444" s="230" t="s">
        <v>197</v>
      </c>
      <c r="B444" s="230">
        <v>2690778263</v>
      </c>
      <c r="C444" s="230" t="s">
        <v>127</v>
      </c>
      <c r="D444" s="230" t="s">
        <v>63</v>
      </c>
      <c r="E444" s="230" t="s">
        <v>198</v>
      </c>
      <c r="F444" s="230" t="s">
        <v>743</v>
      </c>
      <c r="G444" s="230">
        <v>47</v>
      </c>
      <c r="H444" s="230" t="s">
        <v>213</v>
      </c>
      <c r="I444" s="230" t="s">
        <v>531</v>
      </c>
      <c r="J444" s="230" t="s">
        <v>3275</v>
      </c>
      <c r="K444" s="230" t="s">
        <v>213</v>
      </c>
      <c r="L444" s="230" t="s">
        <v>1301</v>
      </c>
      <c r="M444" s="230" t="s">
        <v>3972</v>
      </c>
      <c r="N444" s="230" t="s">
        <v>819</v>
      </c>
      <c r="O444" s="158"/>
      <c r="P444" s="92"/>
      <c r="Q444" s="146"/>
      <c r="R444" s="92"/>
      <c r="S444" s="146"/>
      <c r="T444" s="92"/>
      <c r="U444" s="146"/>
      <c r="V444" s="92"/>
      <c r="W444" s="146"/>
      <c r="X444" s="92"/>
      <c r="Y444" s="146"/>
      <c r="Z444" s="186" t="str">
        <f t="shared" si="28"/>
        <v/>
      </c>
      <c r="AA444" s="217" t="b">
        <f t="shared" si="27"/>
        <v>0</v>
      </c>
      <c r="AB444" s="92"/>
      <c r="AC444" s="164" t="s">
        <v>6</v>
      </c>
      <c r="AD444" s="151" t="str">
        <f t="shared" si="29"/>
        <v>GUARULHOS</v>
      </c>
      <c r="AE444" s="96" t="s">
        <v>63</v>
      </c>
      <c r="AF444" s="53">
        <v>0.67355406398679629</v>
      </c>
      <c r="AG444" s="53" t="str" cm="1">
        <f t="array" ref="AG444">IF(OR(O444&lt;&gt;"", SUMPRODUCT(($AH$2:$AH$4999=AH444)*($AF$2:$AF$4999&lt;=AF444)) &lt;= (COUNTIF($AH$2:$AH$4999,AH444)*0.3)), "SORTEADO", "-")</f>
        <v>-</v>
      </c>
      <c r="AH444" s="257" t="str">
        <f t="shared" si="30"/>
        <v>16/04/2026</v>
      </c>
    </row>
    <row r="445" spans="1:34" ht="30" hidden="1" customHeight="1" x14ac:dyDescent="0.2">
      <c r="A445" s="230" t="s">
        <v>197</v>
      </c>
      <c r="B445" s="230">
        <v>2616199816</v>
      </c>
      <c r="C445" s="230" t="s">
        <v>3717</v>
      </c>
      <c r="D445" s="230" t="s">
        <v>124</v>
      </c>
      <c r="E445" s="230" t="s">
        <v>198</v>
      </c>
      <c r="F445" s="230" t="s">
        <v>3973</v>
      </c>
      <c r="G445" s="230">
        <v>44</v>
      </c>
      <c r="H445" s="230" t="s">
        <v>211</v>
      </c>
      <c r="I445" s="230" t="s">
        <v>797</v>
      </c>
      <c r="J445" s="230" t="s">
        <v>3719</v>
      </c>
      <c r="K445" s="230"/>
      <c r="L445" s="230" t="s">
        <v>1301</v>
      </c>
      <c r="M445" s="230" t="s">
        <v>3974</v>
      </c>
      <c r="N445" s="230" t="s">
        <v>3282</v>
      </c>
      <c r="O445" s="158"/>
      <c r="P445" s="92"/>
      <c r="Q445" s="146"/>
      <c r="R445" s="92"/>
      <c r="S445" s="146"/>
      <c r="T445" s="92"/>
      <c r="U445" s="146"/>
      <c r="V445" s="92"/>
      <c r="W445" s="146"/>
      <c r="X445" s="92"/>
      <c r="Y445" s="146"/>
      <c r="Z445" s="186" t="str">
        <f t="shared" si="28"/>
        <v/>
      </c>
      <c r="AA445" s="217" t="b">
        <f t="shared" si="27"/>
        <v>0</v>
      </c>
      <c r="AB445" s="92"/>
      <c r="AC445" s="164" t="s">
        <v>6</v>
      </c>
      <c r="AD445" s="151" t="str">
        <f t="shared" si="29"/>
        <v>GUARULHOS</v>
      </c>
      <c r="AE445" s="96" t="s">
        <v>63</v>
      </c>
      <c r="AF445" s="53">
        <v>0.70485117163984445</v>
      </c>
      <c r="AG445" s="53" t="str" cm="1">
        <f t="array" ref="AG445">IF(OR(O445&lt;&gt;"", SUMPRODUCT(($AH$2:$AH$4999=AH445)*($AF$2:$AF$4999&lt;=AF445)) &lt;= (COUNTIF($AH$2:$AH$4999,AH445)*0.3)), "SORTEADO", "-")</f>
        <v>-</v>
      </c>
      <c r="AH445" s="257" t="str">
        <f t="shared" si="30"/>
        <v>16/04/2026</v>
      </c>
    </row>
    <row r="446" spans="1:34" ht="30" hidden="1" customHeight="1" x14ac:dyDescent="0.2">
      <c r="A446" s="230" t="s">
        <v>197</v>
      </c>
      <c r="B446" s="230">
        <v>2690771822</v>
      </c>
      <c r="C446" s="230" t="s">
        <v>127</v>
      </c>
      <c r="D446" s="230" t="s">
        <v>63</v>
      </c>
      <c r="E446" s="230" t="s">
        <v>198</v>
      </c>
      <c r="F446" s="230" t="s">
        <v>3975</v>
      </c>
      <c r="G446" s="230">
        <v>263</v>
      </c>
      <c r="H446" s="230" t="s">
        <v>3976</v>
      </c>
      <c r="I446" s="230" t="s">
        <v>335</v>
      </c>
      <c r="J446" s="230" t="s">
        <v>3275</v>
      </c>
      <c r="K446" s="230" t="s">
        <v>213</v>
      </c>
      <c r="L446" s="230" t="s">
        <v>1301</v>
      </c>
      <c r="M446" s="230" t="s">
        <v>3977</v>
      </c>
      <c r="N446" s="230" t="s">
        <v>3276</v>
      </c>
      <c r="O446" s="158"/>
      <c r="P446" s="92"/>
      <c r="Q446" s="146"/>
      <c r="R446" s="92"/>
      <c r="S446" s="146"/>
      <c r="T446" s="92"/>
      <c r="U446" s="146"/>
      <c r="V446" s="92"/>
      <c r="W446" s="146"/>
      <c r="X446" s="92"/>
      <c r="Y446" s="146"/>
      <c r="Z446" s="186" t="str">
        <f t="shared" si="28"/>
        <v/>
      </c>
      <c r="AA446" s="217" t="b">
        <f t="shared" si="27"/>
        <v>0</v>
      </c>
      <c r="AB446" s="92"/>
      <c r="AC446" s="164" t="s">
        <v>6</v>
      </c>
      <c r="AD446" s="151" t="str">
        <f t="shared" si="29"/>
        <v>GUARULHOS</v>
      </c>
      <c r="AE446" s="96" t="s">
        <v>63</v>
      </c>
      <c r="AF446" s="53">
        <v>0.68966069837699351</v>
      </c>
      <c r="AG446" s="53" t="str" cm="1">
        <f t="array" ref="AG446">IF(OR(O446&lt;&gt;"", SUMPRODUCT(($AH$2:$AH$4999=AH446)*($AF$2:$AF$4999&lt;=AF446)) &lt;= (COUNTIF($AH$2:$AH$4999,AH446)*0.3)), "SORTEADO", "-")</f>
        <v>-</v>
      </c>
      <c r="AH446" s="257" t="str">
        <f t="shared" si="30"/>
        <v>16/04/2026</v>
      </c>
    </row>
    <row r="447" spans="1:34" ht="30" customHeight="1" x14ac:dyDescent="0.2">
      <c r="A447" s="230" t="s">
        <v>197</v>
      </c>
      <c r="B447" s="230">
        <v>2690778579</v>
      </c>
      <c r="C447" s="230" t="s">
        <v>127</v>
      </c>
      <c r="D447" s="230" t="s">
        <v>63</v>
      </c>
      <c r="E447" s="230" t="s">
        <v>198</v>
      </c>
      <c r="F447" s="230" t="s">
        <v>2531</v>
      </c>
      <c r="G447" s="230">
        <v>599</v>
      </c>
      <c r="H447" s="230" t="s">
        <v>206</v>
      </c>
      <c r="I447" s="230" t="s">
        <v>200</v>
      </c>
      <c r="J447" s="230" t="s">
        <v>3275</v>
      </c>
      <c r="K447" s="230"/>
      <c r="L447" s="230" t="s">
        <v>1301</v>
      </c>
      <c r="M447" s="230" t="s">
        <v>3978</v>
      </c>
      <c r="N447" s="230" t="s">
        <v>3276</v>
      </c>
      <c r="O447" s="158" t="s">
        <v>204</v>
      </c>
      <c r="P447" s="92"/>
      <c r="Q447" s="146" t="s">
        <v>204</v>
      </c>
      <c r="R447" s="92"/>
      <c r="S447" s="146" t="s">
        <v>204</v>
      </c>
      <c r="T447" s="92"/>
      <c r="U447" s="146" t="s">
        <v>204</v>
      </c>
      <c r="V447" s="92"/>
      <c r="W447" s="146" t="s">
        <v>204</v>
      </c>
      <c r="X447" s="92"/>
      <c r="Y447" s="146" t="s">
        <v>204</v>
      </c>
      <c r="Z447" s="186" t="str">
        <f t="shared" si="28"/>
        <v>C</v>
      </c>
      <c r="AA447" s="217" t="str">
        <f t="shared" si="27"/>
        <v>UTILIZOU O PDA CORRETAMENTE</v>
      </c>
      <c r="AB447" s="92" t="s">
        <v>204</v>
      </c>
      <c r="AC447" s="164" t="s">
        <v>6</v>
      </c>
      <c r="AD447" s="151" t="str">
        <f t="shared" si="29"/>
        <v>GUARULHOS</v>
      </c>
      <c r="AE447" s="96" t="s">
        <v>63</v>
      </c>
      <c r="AF447" s="53">
        <v>1.6327020273957629E-2</v>
      </c>
      <c r="AG447" s="53" t="str" cm="1">
        <f t="array" ref="AG447">IF(OR(O447&lt;&gt;"", SUMPRODUCT(($AH$2:$AH$4999=AH447)*($AF$2:$AF$4999&lt;=AF447)) &lt;= (COUNTIF($AH$2:$AH$4999,AH447)*0.3)), "SORTEADO", "-")</f>
        <v>SORTEADO</v>
      </c>
      <c r="AH447" s="257" t="str">
        <f t="shared" si="30"/>
        <v>16/04/2026</v>
      </c>
    </row>
    <row r="448" spans="1:34" ht="30" hidden="1" customHeight="1" x14ac:dyDescent="0.2">
      <c r="A448" s="230" t="s">
        <v>197</v>
      </c>
      <c r="B448" s="230">
        <v>2690772080</v>
      </c>
      <c r="C448" s="230" t="s">
        <v>127</v>
      </c>
      <c r="D448" s="230" t="s">
        <v>63</v>
      </c>
      <c r="E448" s="230" t="s">
        <v>198</v>
      </c>
      <c r="F448" s="230" t="s">
        <v>882</v>
      </c>
      <c r="G448" s="230">
        <v>905</v>
      </c>
      <c r="H448" s="230" t="s">
        <v>3979</v>
      </c>
      <c r="I448" s="230" t="s">
        <v>301</v>
      </c>
      <c r="J448" s="230" t="s">
        <v>3275</v>
      </c>
      <c r="K448" s="230" t="s">
        <v>213</v>
      </c>
      <c r="L448" s="230" t="s">
        <v>1301</v>
      </c>
      <c r="M448" s="230" t="s">
        <v>3980</v>
      </c>
      <c r="N448" s="230" t="s">
        <v>294</v>
      </c>
      <c r="O448" s="158"/>
      <c r="P448" s="92"/>
      <c r="Q448" s="146"/>
      <c r="R448" s="92"/>
      <c r="S448" s="146"/>
      <c r="T448" s="92"/>
      <c r="U448" s="146"/>
      <c r="V448" s="92"/>
      <c r="W448" s="146"/>
      <c r="X448" s="92"/>
      <c r="Y448" s="146"/>
      <c r="Z448" s="186" t="str">
        <f t="shared" si="28"/>
        <v/>
      </c>
      <c r="AA448" s="217" t="b">
        <f t="shared" si="27"/>
        <v>0</v>
      </c>
      <c r="AB448" s="92"/>
      <c r="AC448" s="164" t="s">
        <v>6</v>
      </c>
      <c r="AD448" s="151" t="str">
        <f t="shared" si="29"/>
        <v>GUARULHOS</v>
      </c>
      <c r="AE448" s="96" t="s">
        <v>63</v>
      </c>
      <c r="AF448" s="53">
        <v>0.4810726456416704</v>
      </c>
      <c r="AG448" s="53" t="str" cm="1">
        <f t="array" ref="AG448">IF(OR(O448&lt;&gt;"", SUMPRODUCT(($AH$2:$AH$4999=AH448)*($AF$2:$AF$4999&lt;=AF448)) &lt;= (COUNTIF($AH$2:$AH$4999,AH448)*0.3)), "SORTEADO", "-")</f>
        <v>-</v>
      </c>
      <c r="AH448" s="257" t="str">
        <f t="shared" si="30"/>
        <v>16/04/2026</v>
      </c>
    </row>
    <row r="449" spans="1:34" ht="30" customHeight="1" x14ac:dyDescent="0.2">
      <c r="A449" s="230" t="s">
        <v>197</v>
      </c>
      <c r="B449" s="230">
        <v>2690724882</v>
      </c>
      <c r="C449" s="230" t="s">
        <v>133</v>
      </c>
      <c r="D449" s="230" t="s">
        <v>124</v>
      </c>
      <c r="E449" s="230" t="s">
        <v>198</v>
      </c>
      <c r="F449" s="230" t="s">
        <v>3981</v>
      </c>
      <c r="G449" s="230">
        <v>330</v>
      </c>
      <c r="H449" s="230"/>
      <c r="I449" s="230" t="s">
        <v>2105</v>
      </c>
      <c r="J449" s="230" t="s">
        <v>3275</v>
      </c>
      <c r="K449" s="230"/>
      <c r="L449" s="230" t="s">
        <v>1301</v>
      </c>
      <c r="M449" s="230" t="s">
        <v>2869</v>
      </c>
      <c r="N449" s="230" t="s">
        <v>228</v>
      </c>
      <c r="O449" s="158" t="s">
        <v>204</v>
      </c>
      <c r="P449" s="92"/>
      <c r="Q449" s="146" t="s">
        <v>204</v>
      </c>
      <c r="R449" s="92"/>
      <c r="S449" s="146" t="s">
        <v>204</v>
      </c>
      <c r="T449" s="92"/>
      <c r="U449" s="146" t="s">
        <v>204</v>
      </c>
      <c r="V449" s="92"/>
      <c r="W449" s="146" t="s">
        <v>204</v>
      </c>
      <c r="X449" s="92"/>
      <c r="Y449" s="146" t="s">
        <v>204</v>
      </c>
      <c r="Z449" s="186" t="str">
        <f t="shared" si="28"/>
        <v>C</v>
      </c>
      <c r="AA449" s="217" t="str">
        <f t="shared" ref="AA449:AA512" si="31">IF(AND(Y449="C",Z449="C"),"UTILIZOU O PDA CORRETAMENTE",IF(AND(Y449="C",Z449="NC"),"UTILIZOU O PDA CORRETAMENTE. NÃO HÁ FOTOS DE TODAS AS ETAPAS",IF(AND(Y449="NC",Z449="NC"),"NÃO UTILIZOU O PDA",IF(AND(Y449="NA",Z449="NA"),"NÃO AVALIADO POR FALHA DE SINCRONISMO"))))</f>
        <v>UTILIZOU O PDA CORRETAMENTE</v>
      </c>
      <c r="AB449" s="92" t="s">
        <v>204</v>
      </c>
      <c r="AC449" s="164" t="s">
        <v>6</v>
      </c>
      <c r="AD449" s="151" t="str">
        <f t="shared" si="29"/>
        <v>GUARULHOS</v>
      </c>
      <c r="AE449" s="96" t="s">
        <v>63</v>
      </c>
      <c r="AF449" s="53">
        <v>0.12438270496039081</v>
      </c>
      <c r="AG449" s="53" t="str" cm="1">
        <f t="array" ref="AG449">IF(OR(O449&lt;&gt;"", SUMPRODUCT(($AH$2:$AH$4999=AH449)*($AF$2:$AF$4999&lt;=AF449)) &lt;= (COUNTIF($AH$2:$AH$4999,AH449)*0.3)), "SORTEADO", "-")</f>
        <v>SORTEADO</v>
      </c>
      <c r="AH449" s="257" t="str">
        <f t="shared" si="30"/>
        <v>16/04/2026</v>
      </c>
    </row>
    <row r="450" spans="1:34" ht="30" customHeight="1" x14ac:dyDescent="0.2">
      <c r="A450" s="230" t="s">
        <v>197</v>
      </c>
      <c r="B450" s="230">
        <v>2615903230</v>
      </c>
      <c r="C450" s="230" t="s">
        <v>127</v>
      </c>
      <c r="D450" s="230" t="s">
        <v>63</v>
      </c>
      <c r="E450" s="230" t="s">
        <v>198</v>
      </c>
      <c r="F450" s="230" t="s">
        <v>877</v>
      </c>
      <c r="G450" s="230">
        <v>359</v>
      </c>
      <c r="H450" s="230" t="s">
        <v>3982</v>
      </c>
      <c r="I450" s="230" t="s">
        <v>588</v>
      </c>
      <c r="J450" s="230" t="s">
        <v>3271</v>
      </c>
      <c r="K450" s="230" t="s">
        <v>749</v>
      </c>
      <c r="L450" s="230" t="s">
        <v>1301</v>
      </c>
      <c r="M450" s="230" t="s">
        <v>3983</v>
      </c>
      <c r="N450" s="230" t="s">
        <v>244</v>
      </c>
      <c r="O450" s="158" t="s">
        <v>204</v>
      </c>
      <c r="P450" s="92"/>
      <c r="Q450" s="146" t="s">
        <v>204</v>
      </c>
      <c r="R450" s="92"/>
      <c r="S450" s="146" t="s">
        <v>204</v>
      </c>
      <c r="T450" s="92"/>
      <c r="U450" s="146" t="s">
        <v>204</v>
      </c>
      <c r="V450" s="92"/>
      <c r="W450" s="146" t="s">
        <v>204</v>
      </c>
      <c r="X450" s="92"/>
      <c r="Y450" s="146" t="s">
        <v>204</v>
      </c>
      <c r="Z450" s="186" t="str">
        <f t="shared" ref="Z450:Z513" si="32">IF(AND(O450="",Q450="",S450="",U450="",W450=""),"",IF(OR(AND(O450&lt;&gt;"NA",O450&lt;&gt;"C",O450&lt;&gt;"NC",O450&lt;&gt;"SF",O450&lt;&gt;""),AND(Q450&lt;&gt;"NA",Q450&lt;&gt;"C",Q450&lt;&gt;"NC",Q450&lt;&gt;"SF",Q450&lt;&gt;""),AND(S450&lt;&gt;"NA",S450&lt;&gt;"C",S450&lt;&gt;"NC",S450&lt;&gt;"SF",S450&lt;&gt;""),AND(U450&lt;&gt;"NA",U450&lt;&gt;"C",U450&lt;&gt;"NC",U450&lt;&gt;"SF",U450&lt;&gt;""),AND(W450&lt;&gt;"NA",W450&lt;&gt;"C",W450&lt;&gt;"NC",W450&lt;&gt;"SF",W450&lt;&gt;"")),"FALSO",IF(AND(O450="NA",Q450="NA",S450="NA",U450="NA",W450="NA"),"NA",IF(OR(O450="NC",Q450="NC",S450="NC",U450="NC",W450="NC",O450="SF",Q450="SF",S450="SF",U450="SF",W450="SF"),"NC",IF(OR(O450="C",Q450="C",S450="C",U450="C",W450="C"),"C","")))))</f>
        <v>C</v>
      </c>
      <c r="AA450" s="217" t="str">
        <f t="shared" si="31"/>
        <v>UTILIZOU O PDA CORRETAMENTE</v>
      </c>
      <c r="AB450" s="92" t="s">
        <v>204</v>
      </c>
      <c r="AC450" s="164" t="s">
        <v>6</v>
      </c>
      <c r="AD450" s="151" t="str">
        <f t="shared" si="29"/>
        <v>GUARULHOS</v>
      </c>
      <c r="AE450" s="96" t="s">
        <v>63</v>
      </c>
      <c r="AF450" s="53">
        <v>0.3225531610957017</v>
      </c>
      <c r="AG450" s="53" t="str" cm="1">
        <f t="array" ref="AG450">IF(OR(O450&lt;&gt;"", SUMPRODUCT(($AH$2:$AH$4999=AH450)*($AF$2:$AF$4999&lt;=AF450)) &lt;= (COUNTIF($AH$2:$AH$4999,AH450)*0.3)), "SORTEADO", "-")</f>
        <v>SORTEADO</v>
      </c>
      <c r="AH450" s="257" t="str">
        <f t="shared" si="30"/>
        <v>16/04/2026</v>
      </c>
    </row>
    <row r="451" spans="1:34" ht="30" customHeight="1" x14ac:dyDescent="0.2">
      <c r="A451" s="230" t="s">
        <v>197</v>
      </c>
      <c r="B451" s="230">
        <v>2690758097</v>
      </c>
      <c r="C451" s="230" t="s">
        <v>133</v>
      </c>
      <c r="D451" s="230" t="s">
        <v>124</v>
      </c>
      <c r="E451" s="230" t="s">
        <v>198</v>
      </c>
      <c r="F451" s="230" t="s">
        <v>3984</v>
      </c>
      <c r="G451" s="230">
        <v>29</v>
      </c>
      <c r="H451" s="230" t="s">
        <v>1917</v>
      </c>
      <c r="I451" s="230" t="s">
        <v>1575</v>
      </c>
      <c r="J451" s="230" t="s">
        <v>3275</v>
      </c>
      <c r="K451" s="230" t="s">
        <v>3344</v>
      </c>
      <c r="L451" s="230" t="s">
        <v>1301</v>
      </c>
      <c r="M451" s="230" t="s">
        <v>3985</v>
      </c>
      <c r="N451" s="230" t="s">
        <v>3289</v>
      </c>
      <c r="O451" s="158" t="s">
        <v>204</v>
      </c>
      <c r="P451" s="92"/>
      <c r="Q451" s="146" t="s">
        <v>204</v>
      </c>
      <c r="R451" s="92"/>
      <c r="S451" s="146" t="s">
        <v>204</v>
      </c>
      <c r="T451" s="92"/>
      <c r="U451" s="146" t="s">
        <v>204</v>
      </c>
      <c r="V451" s="92"/>
      <c r="W451" s="146" t="s">
        <v>204</v>
      </c>
      <c r="X451" s="92"/>
      <c r="Y451" s="146" t="s">
        <v>204</v>
      </c>
      <c r="Z451" s="186" t="str">
        <f t="shared" si="32"/>
        <v>C</v>
      </c>
      <c r="AA451" s="217" t="str">
        <f t="shared" si="31"/>
        <v>UTILIZOU O PDA CORRETAMENTE</v>
      </c>
      <c r="AB451" s="92" t="s">
        <v>204</v>
      </c>
      <c r="AC451" s="164" t="s">
        <v>6</v>
      </c>
      <c r="AD451" s="151" t="str">
        <f t="shared" si="29"/>
        <v>GUARULHOS</v>
      </c>
      <c r="AE451" s="96" t="s">
        <v>63</v>
      </c>
      <c r="AF451" s="53">
        <v>9.4818715757412658E-2</v>
      </c>
      <c r="AG451" s="53" t="str" cm="1">
        <f t="array" ref="AG451">IF(OR(O451&lt;&gt;"", SUMPRODUCT(($AH$2:$AH$4999=AH451)*($AF$2:$AF$4999&lt;=AF451)) &lt;= (COUNTIF($AH$2:$AH$4999,AH451)*0.3)), "SORTEADO", "-")</f>
        <v>SORTEADO</v>
      </c>
      <c r="AH451" s="257" t="str">
        <f t="shared" si="30"/>
        <v>16/04/2026</v>
      </c>
    </row>
    <row r="452" spans="1:34" ht="30" hidden="1" customHeight="1" x14ac:dyDescent="0.2">
      <c r="A452" s="230" t="s">
        <v>197</v>
      </c>
      <c r="B452" s="230">
        <v>2690778329</v>
      </c>
      <c r="C452" s="230" t="s">
        <v>133</v>
      </c>
      <c r="D452" s="230" t="s">
        <v>124</v>
      </c>
      <c r="E452" s="230" t="s">
        <v>198</v>
      </c>
      <c r="F452" s="230" t="s">
        <v>542</v>
      </c>
      <c r="G452" s="230">
        <v>294</v>
      </c>
      <c r="H452" s="230" t="s">
        <v>3406</v>
      </c>
      <c r="I452" s="230" t="s">
        <v>335</v>
      </c>
      <c r="J452" s="230" t="s">
        <v>3275</v>
      </c>
      <c r="K452" s="230" t="s">
        <v>3986</v>
      </c>
      <c r="L452" s="230" t="s">
        <v>1301</v>
      </c>
      <c r="M452" s="230" t="s">
        <v>1408</v>
      </c>
      <c r="N452" s="230" t="s">
        <v>3276</v>
      </c>
      <c r="O452" s="158"/>
      <c r="P452" s="92"/>
      <c r="Q452" s="146"/>
      <c r="R452" s="92"/>
      <c r="S452" s="146"/>
      <c r="T452" s="92"/>
      <c r="U452" s="146"/>
      <c r="V452" s="92"/>
      <c r="W452" s="146"/>
      <c r="X452" s="92"/>
      <c r="Y452" s="146"/>
      <c r="Z452" s="186" t="str">
        <f t="shared" si="32"/>
        <v/>
      </c>
      <c r="AA452" s="217" t="b">
        <f t="shared" si="31"/>
        <v>0</v>
      </c>
      <c r="AB452" s="92"/>
      <c r="AC452" s="164" t="s">
        <v>6</v>
      </c>
      <c r="AD452" s="151" t="str">
        <f t="shared" si="29"/>
        <v>GUARULHOS</v>
      </c>
      <c r="AE452" s="96" t="s">
        <v>63</v>
      </c>
      <c r="AF452" s="53">
        <v>0.70315483101807197</v>
      </c>
      <c r="AG452" s="53" t="str" cm="1">
        <f t="array" ref="AG452">IF(OR(O452&lt;&gt;"", SUMPRODUCT(($AH$2:$AH$4999=AH452)*($AF$2:$AF$4999&lt;=AF452)) &lt;= (COUNTIF($AH$2:$AH$4999,AH452)*0.3)), "SORTEADO", "-")</f>
        <v>-</v>
      </c>
      <c r="AH452" s="257" t="str">
        <f t="shared" si="30"/>
        <v>16/04/2026</v>
      </c>
    </row>
    <row r="453" spans="1:34" ht="30" customHeight="1" x14ac:dyDescent="0.2">
      <c r="A453" s="230" t="s">
        <v>197</v>
      </c>
      <c r="B453" s="230">
        <v>2615935709</v>
      </c>
      <c r="C453" s="230" t="s">
        <v>135</v>
      </c>
      <c r="D453" s="230" t="s">
        <v>124</v>
      </c>
      <c r="E453" s="230" t="s">
        <v>198</v>
      </c>
      <c r="F453" s="230" t="s">
        <v>1424</v>
      </c>
      <c r="G453" s="230">
        <v>62</v>
      </c>
      <c r="H453" s="230" t="s">
        <v>1426</v>
      </c>
      <c r="I453" s="230" t="s">
        <v>258</v>
      </c>
      <c r="J453" s="230" t="s">
        <v>3280</v>
      </c>
      <c r="K453" s="230"/>
      <c r="L453" s="230" t="s">
        <v>1301</v>
      </c>
      <c r="M453" s="230" t="s">
        <v>1411</v>
      </c>
      <c r="N453" s="230" t="s">
        <v>260</v>
      </c>
      <c r="O453" s="158" t="s">
        <v>204</v>
      </c>
      <c r="P453" s="92"/>
      <c r="Q453" s="146" t="s">
        <v>204</v>
      </c>
      <c r="R453" s="92"/>
      <c r="S453" s="146" t="s">
        <v>204</v>
      </c>
      <c r="T453" s="92"/>
      <c r="U453" s="146" t="s">
        <v>204</v>
      </c>
      <c r="V453" s="92"/>
      <c r="W453" s="146" t="s">
        <v>204</v>
      </c>
      <c r="X453" s="92"/>
      <c r="Y453" s="146" t="s">
        <v>204</v>
      </c>
      <c r="Z453" s="186" t="str">
        <f t="shared" si="32"/>
        <v>C</v>
      </c>
      <c r="AA453" s="217" t="str">
        <f t="shared" si="31"/>
        <v>UTILIZOU O PDA CORRETAMENTE</v>
      </c>
      <c r="AB453" s="92" t="s">
        <v>204</v>
      </c>
      <c r="AC453" s="164" t="s">
        <v>6</v>
      </c>
      <c r="AD453" s="151" t="str">
        <f t="shared" si="29"/>
        <v>GUARULHOS</v>
      </c>
      <c r="AE453" s="96" t="s">
        <v>63</v>
      </c>
      <c r="AF453" s="53">
        <v>0.31121607690807535</v>
      </c>
      <c r="AG453" s="53" t="str" cm="1">
        <f t="array" ref="AG453">IF(OR(O453&lt;&gt;"", SUMPRODUCT(($AH$2:$AH$4999=AH453)*($AF$2:$AF$4999&lt;=AF453)) &lt;= (COUNTIF($AH$2:$AH$4999,AH453)*0.3)), "SORTEADO", "-")</f>
        <v>SORTEADO</v>
      </c>
      <c r="AH453" s="257" t="str">
        <f t="shared" si="30"/>
        <v>16/04/2026</v>
      </c>
    </row>
    <row r="454" spans="1:34" ht="30" hidden="1" customHeight="1" x14ac:dyDescent="0.2">
      <c r="A454" s="230" t="s">
        <v>197</v>
      </c>
      <c r="B454" s="230">
        <v>2690748178</v>
      </c>
      <c r="C454" s="230" t="s">
        <v>135</v>
      </c>
      <c r="D454" s="230" t="s">
        <v>124</v>
      </c>
      <c r="E454" s="230" t="s">
        <v>198</v>
      </c>
      <c r="F454" s="230" t="s">
        <v>1433</v>
      </c>
      <c r="G454" s="230">
        <v>31</v>
      </c>
      <c r="H454" s="230" t="s">
        <v>1434</v>
      </c>
      <c r="I454" s="230" t="s">
        <v>1435</v>
      </c>
      <c r="J454" s="230" t="s">
        <v>3280</v>
      </c>
      <c r="K454" s="230" t="s">
        <v>1436</v>
      </c>
      <c r="L454" s="230" t="s">
        <v>1301</v>
      </c>
      <c r="M454" s="230" t="s">
        <v>3958</v>
      </c>
      <c r="N454" s="230" t="s">
        <v>271</v>
      </c>
      <c r="O454" s="158"/>
      <c r="P454" s="92"/>
      <c r="Q454" s="146"/>
      <c r="R454" s="92"/>
      <c r="S454" s="146"/>
      <c r="T454" s="92"/>
      <c r="U454" s="146"/>
      <c r="V454" s="92"/>
      <c r="W454" s="146"/>
      <c r="X454" s="92"/>
      <c r="Y454" s="146"/>
      <c r="Z454" s="186" t="str">
        <f t="shared" si="32"/>
        <v/>
      </c>
      <c r="AA454" s="217" t="b">
        <f t="shared" si="31"/>
        <v>0</v>
      </c>
      <c r="AB454" s="92"/>
      <c r="AC454" s="164" t="s">
        <v>6</v>
      </c>
      <c r="AD454" s="151" t="str">
        <f t="shared" si="29"/>
        <v>GUARULHOS</v>
      </c>
      <c r="AE454" s="96" t="s">
        <v>63</v>
      </c>
      <c r="AF454" s="53">
        <v>0.52265718766551883</v>
      </c>
      <c r="AG454" s="53" t="str" cm="1">
        <f t="array" ref="AG454">IF(OR(O454&lt;&gt;"", SUMPRODUCT(($AH$2:$AH$4999=AH454)*($AF$2:$AF$4999&lt;=AF454)) &lt;= (COUNTIF($AH$2:$AH$4999,AH454)*0.3)), "SORTEADO", "-")</f>
        <v>-</v>
      </c>
      <c r="AH454" s="257" t="str">
        <f t="shared" si="30"/>
        <v>16/04/2026</v>
      </c>
    </row>
    <row r="455" spans="1:34" ht="30" hidden="1" customHeight="1" x14ac:dyDescent="0.2">
      <c r="A455" s="230" t="s">
        <v>197</v>
      </c>
      <c r="B455" s="230">
        <v>2690776346</v>
      </c>
      <c r="C455" s="230" t="s">
        <v>127</v>
      </c>
      <c r="D455" s="230" t="s">
        <v>63</v>
      </c>
      <c r="E455" s="230" t="s">
        <v>198</v>
      </c>
      <c r="F455" s="230" t="s">
        <v>3987</v>
      </c>
      <c r="G455" s="230">
        <v>274</v>
      </c>
      <c r="H455" s="230" t="s">
        <v>3002</v>
      </c>
      <c r="I455" s="230" t="s">
        <v>331</v>
      </c>
      <c r="J455" s="230" t="s">
        <v>3271</v>
      </c>
      <c r="K455" s="230" t="s">
        <v>3988</v>
      </c>
      <c r="L455" s="230" t="s">
        <v>1301</v>
      </c>
      <c r="M455" s="230" t="s">
        <v>3989</v>
      </c>
      <c r="N455" s="230" t="s">
        <v>615</v>
      </c>
      <c r="O455" s="158"/>
      <c r="P455" s="92"/>
      <c r="Q455" s="146"/>
      <c r="R455" s="92"/>
      <c r="S455" s="146"/>
      <c r="T455" s="92"/>
      <c r="U455" s="146"/>
      <c r="V455" s="92"/>
      <c r="W455" s="146"/>
      <c r="X455" s="92"/>
      <c r="Y455" s="146"/>
      <c r="Z455" s="186" t="str">
        <f t="shared" si="32"/>
        <v/>
      </c>
      <c r="AA455" s="217" t="b">
        <f t="shared" si="31"/>
        <v>0</v>
      </c>
      <c r="AB455" s="92"/>
      <c r="AC455" s="164" t="s">
        <v>6</v>
      </c>
      <c r="AD455" s="151" t="str">
        <f t="shared" si="29"/>
        <v>GUARULHOS</v>
      </c>
      <c r="AE455" s="96" t="s">
        <v>63</v>
      </c>
      <c r="AF455" s="53">
        <v>0.91347987377376239</v>
      </c>
      <c r="AG455" s="53" t="str" cm="1">
        <f t="array" ref="AG455">IF(OR(O455&lt;&gt;"", SUMPRODUCT(($AH$2:$AH$4999=AH455)*($AF$2:$AF$4999&lt;=AF455)) &lt;= (COUNTIF($AH$2:$AH$4999,AH455)*0.3)), "SORTEADO", "-")</f>
        <v>-</v>
      </c>
      <c r="AH455" s="257" t="str">
        <f t="shared" si="30"/>
        <v>16/04/2026</v>
      </c>
    </row>
    <row r="456" spans="1:34" ht="30" hidden="1" customHeight="1" x14ac:dyDescent="0.2">
      <c r="A456" s="230" t="s">
        <v>197</v>
      </c>
      <c r="B456" s="230">
        <v>2690790577</v>
      </c>
      <c r="C456" s="230" t="s">
        <v>127</v>
      </c>
      <c r="D456" s="230" t="s">
        <v>63</v>
      </c>
      <c r="E456" s="230" t="s">
        <v>198</v>
      </c>
      <c r="F456" s="230" t="s">
        <v>3990</v>
      </c>
      <c r="G456" s="230">
        <v>51</v>
      </c>
      <c r="H456" s="230" t="s">
        <v>213</v>
      </c>
      <c r="I456" s="230" t="s">
        <v>1150</v>
      </c>
      <c r="J456" s="230" t="s">
        <v>3275</v>
      </c>
      <c r="K456" s="230" t="s">
        <v>3991</v>
      </c>
      <c r="L456" s="230" t="s">
        <v>1442</v>
      </c>
      <c r="M456" s="230" t="s">
        <v>3992</v>
      </c>
      <c r="N456" s="230" t="s">
        <v>3296</v>
      </c>
      <c r="O456" s="158"/>
      <c r="P456" s="92"/>
      <c r="Q456" s="146"/>
      <c r="R456" s="92"/>
      <c r="S456" s="146"/>
      <c r="T456" s="92"/>
      <c r="U456" s="146"/>
      <c r="V456" s="92"/>
      <c r="W456" s="146"/>
      <c r="X456" s="92"/>
      <c r="Y456" s="146"/>
      <c r="Z456" s="186" t="str">
        <f t="shared" si="32"/>
        <v/>
      </c>
      <c r="AA456" s="217" t="b">
        <f t="shared" si="31"/>
        <v>0</v>
      </c>
      <c r="AB456" s="92"/>
      <c r="AC456" s="164" t="s">
        <v>6</v>
      </c>
      <c r="AD456" s="151" t="str">
        <f t="shared" si="29"/>
        <v>GUARULHOS</v>
      </c>
      <c r="AE456" s="96" t="s">
        <v>63</v>
      </c>
      <c r="AF456" s="53">
        <v>0.90381437272488996</v>
      </c>
      <c r="AG456" s="53" t="str" cm="1">
        <f t="array" ref="AG456">IF(OR(O456&lt;&gt;"", SUMPRODUCT(($AH$2:$AH$4999=AH456)*($AF$2:$AF$4999&lt;=AF456)) &lt;= (COUNTIF($AH$2:$AH$4999,AH456)*0.3)), "SORTEADO", "-")</f>
        <v>-</v>
      </c>
      <c r="AH456" s="257" t="str">
        <f t="shared" si="30"/>
        <v>17/04/2026</v>
      </c>
    </row>
    <row r="457" spans="1:34" ht="30" hidden="1" customHeight="1" x14ac:dyDescent="0.2">
      <c r="A457" s="230" t="s">
        <v>197</v>
      </c>
      <c r="B457" s="230">
        <v>2616220828</v>
      </c>
      <c r="C457" s="230" t="s">
        <v>127</v>
      </c>
      <c r="D457" s="230" t="s">
        <v>63</v>
      </c>
      <c r="E457" s="230" t="s">
        <v>198</v>
      </c>
      <c r="F457" s="230" t="s">
        <v>3993</v>
      </c>
      <c r="G457" s="230">
        <v>81</v>
      </c>
      <c r="H457" s="230" t="s">
        <v>213</v>
      </c>
      <c r="I457" s="230" t="s">
        <v>746</v>
      </c>
      <c r="J457" s="230" t="s">
        <v>3275</v>
      </c>
      <c r="K457" s="230" t="s">
        <v>213</v>
      </c>
      <c r="L457" s="230" t="s">
        <v>1442</v>
      </c>
      <c r="M457" s="230" t="s">
        <v>3994</v>
      </c>
      <c r="N457" s="230" t="s">
        <v>3296</v>
      </c>
      <c r="O457" s="158"/>
      <c r="P457" s="92"/>
      <c r="Q457" s="146"/>
      <c r="R457" s="92"/>
      <c r="S457" s="146"/>
      <c r="T457" s="92"/>
      <c r="U457" s="146"/>
      <c r="V457" s="92"/>
      <c r="W457" s="146"/>
      <c r="X457" s="92"/>
      <c r="Y457" s="146"/>
      <c r="Z457" s="186" t="str">
        <f t="shared" si="32"/>
        <v/>
      </c>
      <c r="AA457" s="217" t="b">
        <f t="shared" si="31"/>
        <v>0</v>
      </c>
      <c r="AB457" s="92"/>
      <c r="AC457" s="164" t="s">
        <v>6</v>
      </c>
      <c r="AD457" s="151" t="str">
        <f t="shared" si="29"/>
        <v>GUARULHOS</v>
      </c>
      <c r="AE457" s="96" t="s">
        <v>63</v>
      </c>
      <c r="AF457" s="53">
        <v>0.6199927082755905</v>
      </c>
      <c r="AG457" s="53" t="str" cm="1">
        <f t="array" ref="AG457">IF(OR(O457&lt;&gt;"", SUMPRODUCT(($AH$2:$AH$4999=AH457)*($AF$2:$AF$4999&lt;=AF457)) &lt;= (COUNTIF($AH$2:$AH$4999,AH457)*0.3)), "SORTEADO", "-")</f>
        <v>-</v>
      </c>
      <c r="AH457" s="257" t="str">
        <f t="shared" si="30"/>
        <v>17/04/2026</v>
      </c>
    </row>
    <row r="458" spans="1:34" ht="30" hidden="1" customHeight="1" x14ac:dyDescent="0.2">
      <c r="A458" s="230" t="s">
        <v>197</v>
      </c>
      <c r="B458" s="230">
        <v>2690826184</v>
      </c>
      <c r="C458" s="230" t="s">
        <v>127</v>
      </c>
      <c r="D458" s="230" t="s">
        <v>63</v>
      </c>
      <c r="E458" s="230" t="s">
        <v>198</v>
      </c>
      <c r="F458" s="230" t="s">
        <v>3995</v>
      </c>
      <c r="G458" s="230">
        <v>819</v>
      </c>
      <c r="H458" s="230"/>
      <c r="I458" s="230" t="s">
        <v>1744</v>
      </c>
      <c r="J458" s="230" t="s">
        <v>3271</v>
      </c>
      <c r="K458" s="230"/>
      <c r="L458" s="230" t="s">
        <v>1442</v>
      </c>
      <c r="M458" s="230" t="s">
        <v>3996</v>
      </c>
      <c r="N458" s="230" t="s">
        <v>1099</v>
      </c>
      <c r="O458" s="158"/>
      <c r="P458" s="92"/>
      <c r="Q458" s="146"/>
      <c r="R458" s="92"/>
      <c r="S458" s="146"/>
      <c r="T458" s="92"/>
      <c r="U458" s="146"/>
      <c r="V458" s="92"/>
      <c r="W458" s="146"/>
      <c r="X458" s="92"/>
      <c r="Y458" s="146"/>
      <c r="Z458" s="186" t="str">
        <f t="shared" si="32"/>
        <v/>
      </c>
      <c r="AA458" s="217" t="b">
        <f t="shared" si="31"/>
        <v>0</v>
      </c>
      <c r="AB458" s="92"/>
      <c r="AC458" s="164" t="s">
        <v>6</v>
      </c>
      <c r="AD458" s="151" t="str">
        <f t="shared" si="29"/>
        <v>GUARULHOS</v>
      </c>
      <c r="AE458" s="96" t="s">
        <v>63</v>
      </c>
      <c r="AF458" s="53">
        <v>0.58484955125051263</v>
      </c>
      <c r="AG458" s="53" t="str" cm="1">
        <f t="array" ref="AG458">IF(OR(O458&lt;&gt;"", SUMPRODUCT(($AH$2:$AH$4999=AH458)*($AF$2:$AF$4999&lt;=AF458)) &lt;= (COUNTIF($AH$2:$AH$4999,AH458)*0.3)), "SORTEADO", "-")</f>
        <v>-</v>
      </c>
      <c r="AH458" s="257" t="str">
        <f t="shared" si="30"/>
        <v>17/04/2026</v>
      </c>
    </row>
    <row r="459" spans="1:34" ht="30" hidden="1" customHeight="1" x14ac:dyDescent="0.2">
      <c r="A459" s="230" t="s">
        <v>197</v>
      </c>
      <c r="B459" s="230">
        <v>2690809737</v>
      </c>
      <c r="C459" s="230" t="s">
        <v>127</v>
      </c>
      <c r="D459" s="230" t="s">
        <v>63</v>
      </c>
      <c r="E459" s="230" t="s">
        <v>198</v>
      </c>
      <c r="F459" s="230" t="s">
        <v>3995</v>
      </c>
      <c r="G459" s="230">
        <v>804</v>
      </c>
      <c r="H459" s="230" t="s">
        <v>3997</v>
      </c>
      <c r="I459" s="230" t="s">
        <v>1744</v>
      </c>
      <c r="J459" s="230" t="s">
        <v>3271</v>
      </c>
      <c r="K459" s="230" t="s">
        <v>213</v>
      </c>
      <c r="L459" s="230" t="s">
        <v>1442</v>
      </c>
      <c r="M459" s="230" t="s">
        <v>3998</v>
      </c>
      <c r="N459" s="230" t="s">
        <v>1099</v>
      </c>
      <c r="O459" s="158"/>
      <c r="P459" s="92"/>
      <c r="Q459" s="146"/>
      <c r="R459" s="92"/>
      <c r="S459" s="146"/>
      <c r="T459" s="92"/>
      <c r="U459" s="146"/>
      <c r="V459" s="92"/>
      <c r="W459" s="146"/>
      <c r="X459" s="92"/>
      <c r="Y459" s="146"/>
      <c r="Z459" s="186" t="str">
        <f t="shared" si="32"/>
        <v/>
      </c>
      <c r="AA459" s="217" t="b">
        <f t="shared" si="31"/>
        <v>0</v>
      </c>
      <c r="AB459" s="92"/>
      <c r="AC459" s="164" t="s">
        <v>6</v>
      </c>
      <c r="AD459" s="151" t="str">
        <f t="shared" si="29"/>
        <v>GUARULHOS</v>
      </c>
      <c r="AE459" s="96" t="s">
        <v>63</v>
      </c>
      <c r="AF459" s="53">
        <v>0.89711798932684184</v>
      </c>
      <c r="AG459" s="53" t="str" cm="1">
        <f t="array" ref="AG459">IF(OR(O459&lt;&gt;"", SUMPRODUCT(($AH$2:$AH$4999=AH459)*($AF$2:$AF$4999&lt;=AF459)) &lt;= (COUNTIF($AH$2:$AH$4999,AH459)*0.3)), "SORTEADO", "-")</f>
        <v>-</v>
      </c>
      <c r="AH459" s="257" t="str">
        <f t="shared" si="30"/>
        <v>17/04/2026</v>
      </c>
    </row>
    <row r="460" spans="1:34" ht="30" customHeight="1" x14ac:dyDescent="0.2">
      <c r="A460" s="230" t="s">
        <v>197</v>
      </c>
      <c r="B460" s="230">
        <v>2690789928</v>
      </c>
      <c r="C460" s="230" t="s">
        <v>127</v>
      </c>
      <c r="D460" s="230" t="s">
        <v>63</v>
      </c>
      <c r="E460" s="230" t="s">
        <v>198</v>
      </c>
      <c r="F460" s="230" t="s">
        <v>3492</v>
      </c>
      <c r="G460" s="230">
        <v>167</v>
      </c>
      <c r="H460" s="230" t="s">
        <v>276</v>
      </c>
      <c r="I460" s="230" t="s">
        <v>1750</v>
      </c>
      <c r="J460" s="230" t="s">
        <v>3271</v>
      </c>
      <c r="K460" s="230"/>
      <c r="L460" s="230" t="s">
        <v>1442</v>
      </c>
      <c r="M460" s="230" t="s">
        <v>3999</v>
      </c>
      <c r="N460" s="230" t="s">
        <v>1099</v>
      </c>
      <c r="O460" s="158" t="s">
        <v>204</v>
      </c>
      <c r="P460" s="92"/>
      <c r="Q460" s="146" t="s">
        <v>204</v>
      </c>
      <c r="R460" s="92"/>
      <c r="S460" s="146" t="s">
        <v>204</v>
      </c>
      <c r="T460" s="92"/>
      <c r="U460" s="146" t="s">
        <v>204</v>
      </c>
      <c r="V460" s="92"/>
      <c r="W460" s="146" t="s">
        <v>204</v>
      </c>
      <c r="X460" s="92"/>
      <c r="Y460" s="146" t="s">
        <v>204</v>
      </c>
      <c r="Z460" s="186" t="str">
        <f t="shared" si="32"/>
        <v>C</v>
      </c>
      <c r="AA460" s="217" t="str">
        <f t="shared" si="31"/>
        <v>UTILIZOU O PDA CORRETAMENTE</v>
      </c>
      <c r="AB460" s="92" t="s">
        <v>204</v>
      </c>
      <c r="AC460" s="164" t="s">
        <v>6</v>
      </c>
      <c r="AD460" s="151" t="str">
        <f t="shared" si="29"/>
        <v>GUARULHOS</v>
      </c>
      <c r="AE460" s="96" t="s">
        <v>63</v>
      </c>
      <c r="AF460" s="53">
        <v>0.24488263977926492</v>
      </c>
      <c r="AG460" s="53" t="str" cm="1">
        <f t="array" ref="AG460">IF(OR(O460&lt;&gt;"", SUMPRODUCT(($AH$2:$AH$4999=AH460)*($AF$2:$AF$4999&lt;=AF460)) &lt;= (COUNTIF($AH$2:$AH$4999,AH460)*0.3)), "SORTEADO", "-")</f>
        <v>SORTEADO</v>
      </c>
      <c r="AH460" s="257" t="str">
        <f t="shared" si="30"/>
        <v>17/04/2026</v>
      </c>
    </row>
    <row r="461" spans="1:34" ht="30" hidden="1" customHeight="1" x14ac:dyDescent="0.2">
      <c r="A461" s="230" t="s">
        <v>197</v>
      </c>
      <c r="B461" s="230">
        <v>2616226384</v>
      </c>
      <c r="C461" s="230" t="s">
        <v>127</v>
      </c>
      <c r="D461" s="230" t="s">
        <v>63</v>
      </c>
      <c r="E461" s="230" t="s">
        <v>198</v>
      </c>
      <c r="F461" s="230" t="s">
        <v>1835</v>
      </c>
      <c r="G461" s="230">
        <v>34</v>
      </c>
      <c r="H461" s="230" t="s">
        <v>4000</v>
      </c>
      <c r="I461" s="230" t="s">
        <v>207</v>
      </c>
      <c r="J461" s="230" t="s">
        <v>3275</v>
      </c>
      <c r="K461" s="230" t="s">
        <v>213</v>
      </c>
      <c r="L461" s="230" t="s">
        <v>1442</v>
      </c>
      <c r="M461" s="230" t="s">
        <v>4001</v>
      </c>
      <c r="N461" s="230" t="s">
        <v>3282</v>
      </c>
      <c r="O461" s="158"/>
      <c r="P461" s="92"/>
      <c r="Q461" s="146"/>
      <c r="R461" s="92"/>
      <c r="S461" s="146"/>
      <c r="T461" s="92"/>
      <c r="U461" s="146"/>
      <c r="V461" s="92"/>
      <c r="W461" s="146"/>
      <c r="X461" s="92"/>
      <c r="Y461" s="146"/>
      <c r="Z461" s="186" t="str">
        <f t="shared" si="32"/>
        <v/>
      </c>
      <c r="AA461" s="217" t="b">
        <f t="shared" si="31"/>
        <v>0</v>
      </c>
      <c r="AB461" s="92"/>
      <c r="AC461" s="164" t="s">
        <v>6</v>
      </c>
      <c r="AD461" s="151" t="str">
        <f t="shared" si="29"/>
        <v>GUARULHOS</v>
      </c>
      <c r="AE461" s="96" t="s">
        <v>63</v>
      </c>
      <c r="AF461" s="53">
        <v>0.99980284738339287</v>
      </c>
      <c r="AG461" s="53" t="str" cm="1">
        <f t="array" ref="AG461">IF(OR(O461&lt;&gt;"", SUMPRODUCT(($AH$2:$AH$4999=AH461)*($AF$2:$AF$4999&lt;=AF461)) &lt;= (COUNTIF($AH$2:$AH$4999,AH461)*0.3)), "SORTEADO", "-")</f>
        <v>-</v>
      </c>
      <c r="AH461" s="257" t="str">
        <f t="shared" si="30"/>
        <v>17/04/2026</v>
      </c>
    </row>
    <row r="462" spans="1:34" ht="30" customHeight="1" x14ac:dyDescent="0.2">
      <c r="A462" s="230" t="s">
        <v>197</v>
      </c>
      <c r="B462" s="230">
        <v>2616208451</v>
      </c>
      <c r="C462" s="230" t="s">
        <v>127</v>
      </c>
      <c r="D462" s="230" t="s">
        <v>63</v>
      </c>
      <c r="E462" s="230" t="s">
        <v>198</v>
      </c>
      <c r="F462" s="230" t="s">
        <v>4002</v>
      </c>
      <c r="G462" s="230">
        <v>73</v>
      </c>
      <c r="H462" s="230" t="s">
        <v>4003</v>
      </c>
      <c r="I462" s="230" t="s">
        <v>285</v>
      </c>
      <c r="J462" s="230" t="s">
        <v>3275</v>
      </c>
      <c r="K462" s="230"/>
      <c r="L462" s="230" t="s">
        <v>1442</v>
      </c>
      <c r="M462" s="230" t="s">
        <v>4004</v>
      </c>
      <c r="N462" s="230" t="s">
        <v>3282</v>
      </c>
      <c r="O462" s="158" t="s">
        <v>204</v>
      </c>
      <c r="P462" s="92"/>
      <c r="Q462" s="146" t="s">
        <v>204</v>
      </c>
      <c r="R462" s="92"/>
      <c r="S462" s="146" t="s">
        <v>204</v>
      </c>
      <c r="T462" s="92"/>
      <c r="U462" s="146" t="s">
        <v>204</v>
      </c>
      <c r="V462" s="92"/>
      <c r="W462" s="146" t="s">
        <v>204</v>
      </c>
      <c r="X462" s="92"/>
      <c r="Y462" s="146" t="s">
        <v>204</v>
      </c>
      <c r="Z462" s="186" t="str">
        <f t="shared" si="32"/>
        <v>C</v>
      </c>
      <c r="AA462" s="217" t="str">
        <f t="shared" si="31"/>
        <v>UTILIZOU O PDA CORRETAMENTE</v>
      </c>
      <c r="AB462" s="92" t="s">
        <v>204</v>
      </c>
      <c r="AC462" s="164" t="s">
        <v>6</v>
      </c>
      <c r="AD462" s="151" t="str">
        <f t="shared" si="29"/>
        <v>GUARULHOS</v>
      </c>
      <c r="AE462" s="96" t="s">
        <v>63</v>
      </c>
      <c r="AF462" s="53">
        <v>0.46473279239191606</v>
      </c>
      <c r="AG462" s="53" t="str" cm="1">
        <f t="array" ref="AG462">IF(OR(O462&lt;&gt;"", SUMPRODUCT(($AH$2:$AH$4999=AH462)*($AF$2:$AF$4999&lt;=AF462)) &lt;= (COUNTIF($AH$2:$AH$4999,AH462)*0.3)), "SORTEADO", "-")</f>
        <v>SORTEADO</v>
      </c>
      <c r="AH462" s="257" t="str">
        <f t="shared" si="30"/>
        <v>17/04/2026</v>
      </c>
    </row>
    <row r="463" spans="1:34" ht="30" hidden="1" customHeight="1" x14ac:dyDescent="0.2">
      <c r="A463" s="230" t="s">
        <v>197</v>
      </c>
      <c r="B463" s="230">
        <v>2690829948</v>
      </c>
      <c r="C463" s="230" t="s">
        <v>130</v>
      </c>
      <c r="D463" s="230" t="s">
        <v>63</v>
      </c>
      <c r="E463" s="230" t="s">
        <v>198</v>
      </c>
      <c r="F463" s="230" t="s">
        <v>4005</v>
      </c>
      <c r="G463" s="230">
        <v>122</v>
      </c>
      <c r="H463" s="230" t="s">
        <v>4006</v>
      </c>
      <c r="I463" s="230" t="s">
        <v>1768</v>
      </c>
      <c r="J463" s="230" t="s">
        <v>3271</v>
      </c>
      <c r="K463" s="230" t="s">
        <v>213</v>
      </c>
      <c r="L463" s="230" t="s">
        <v>1442</v>
      </c>
      <c r="M463" s="230" t="s">
        <v>4007</v>
      </c>
      <c r="N463" s="230" t="s">
        <v>3436</v>
      </c>
      <c r="O463" s="158"/>
      <c r="P463" s="92"/>
      <c r="Q463" s="146"/>
      <c r="R463" s="92"/>
      <c r="S463" s="146"/>
      <c r="T463" s="92"/>
      <c r="U463" s="146"/>
      <c r="V463" s="92"/>
      <c r="W463" s="146"/>
      <c r="X463" s="92"/>
      <c r="Y463" s="146"/>
      <c r="Z463" s="186" t="str">
        <f t="shared" si="32"/>
        <v/>
      </c>
      <c r="AA463" s="217" t="b">
        <f t="shared" si="31"/>
        <v>0</v>
      </c>
      <c r="AB463" s="92"/>
      <c r="AC463" s="164" t="s">
        <v>6</v>
      </c>
      <c r="AD463" s="151" t="str">
        <f t="shared" si="29"/>
        <v>GUARULHOS</v>
      </c>
      <c r="AE463" s="96" t="s">
        <v>63</v>
      </c>
      <c r="AF463" s="53">
        <v>0.78608330045461983</v>
      </c>
      <c r="AG463" s="53" t="str" cm="1">
        <f t="array" ref="AG463">IF(OR(O463&lt;&gt;"", SUMPRODUCT(($AH$2:$AH$4999=AH463)*($AF$2:$AF$4999&lt;=AF463)) &lt;= (COUNTIF($AH$2:$AH$4999,AH463)*0.3)), "SORTEADO", "-")</f>
        <v>-</v>
      </c>
      <c r="AH463" s="257" t="str">
        <f t="shared" si="30"/>
        <v>17/04/2026</v>
      </c>
    </row>
    <row r="464" spans="1:34" ht="30" hidden="1" customHeight="1" x14ac:dyDescent="0.2">
      <c r="A464" s="230" t="s">
        <v>197</v>
      </c>
      <c r="B464" s="230">
        <v>2690812960</v>
      </c>
      <c r="C464" s="230" t="s">
        <v>130</v>
      </c>
      <c r="D464" s="230" t="s">
        <v>63</v>
      </c>
      <c r="E464" s="230" t="s">
        <v>198</v>
      </c>
      <c r="F464" s="230" t="s">
        <v>835</v>
      </c>
      <c r="G464" s="230">
        <v>282</v>
      </c>
      <c r="H464" s="230"/>
      <c r="I464" s="230" t="s">
        <v>683</v>
      </c>
      <c r="J464" s="230" t="s">
        <v>3271</v>
      </c>
      <c r="K464" s="230"/>
      <c r="L464" s="230" t="s">
        <v>1442</v>
      </c>
      <c r="M464" s="230" t="s">
        <v>4008</v>
      </c>
      <c r="N464" s="230" t="s">
        <v>3436</v>
      </c>
      <c r="O464" s="158"/>
      <c r="P464" s="92"/>
      <c r="Q464" s="146"/>
      <c r="R464" s="92"/>
      <c r="S464" s="146"/>
      <c r="T464" s="92"/>
      <c r="U464" s="146"/>
      <c r="V464" s="92"/>
      <c r="W464" s="146"/>
      <c r="X464" s="92"/>
      <c r="Y464" s="146"/>
      <c r="Z464" s="186" t="str">
        <f t="shared" si="32"/>
        <v/>
      </c>
      <c r="AA464" s="217" t="b">
        <f t="shared" si="31"/>
        <v>0</v>
      </c>
      <c r="AB464" s="92"/>
      <c r="AC464" s="164" t="s">
        <v>6</v>
      </c>
      <c r="AD464" s="151" t="str">
        <f t="shared" si="29"/>
        <v>GUARULHOS</v>
      </c>
      <c r="AE464" s="96" t="s">
        <v>63</v>
      </c>
      <c r="AF464" s="53">
        <v>0.57452522409319162</v>
      </c>
      <c r="AG464" s="53" t="str" cm="1">
        <f t="array" ref="AG464">IF(OR(O464&lt;&gt;"", SUMPRODUCT(($AH$2:$AH$4999=AH464)*($AF$2:$AF$4999&lt;=AF464)) &lt;= (COUNTIF($AH$2:$AH$4999,AH464)*0.3)), "SORTEADO", "-")</f>
        <v>-</v>
      </c>
      <c r="AH464" s="257" t="str">
        <f t="shared" si="30"/>
        <v>17/04/2026</v>
      </c>
    </row>
    <row r="465" spans="1:34" ht="30" customHeight="1" x14ac:dyDescent="0.2">
      <c r="A465" s="230" t="s">
        <v>197</v>
      </c>
      <c r="B465" s="230">
        <v>2690816730</v>
      </c>
      <c r="C465" s="230" t="s">
        <v>127</v>
      </c>
      <c r="D465" s="230" t="s">
        <v>63</v>
      </c>
      <c r="E465" s="230" t="s">
        <v>198</v>
      </c>
      <c r="F465" s="230" t="s">
        <v>423</v>
      </c>
      <c r="G465" s="230">
        <v>476</v>
      </c>
      <c r="H465" s="230" t="s">
        <v>2863</v>
      </c>
      <c r="I465" s="230" t="s">
        <v>425</v>
      </c>
      <c r="J465" s="230" t="s">
        <v>3275</v>
      </c>
      <c r="K465" s="230" t="s">
        <v>213</v>
      </c>
      <c r="L465" s="230" t="s">
        <v>1442</v>
      </c>
      <c r="M465" s="230" t="s">
        <v>3999</v>
      </c>
      <c r="N465" s="230" t="s">
        <v>3436</v>
      </c>
      <c r="O465" s="158" t="s">
        <v>204</v>
      </c>
      <c r="P465" s="92"/>
      <c r="Q465" s="146" t="s">
        <v>204</v>
      </c>
      <c r="R465" s="92"/>
      <c r="S465" s="146" t="s">
        <v>204</v>
      </c>
      <c r="T465" s="92"/>
      <c r="U465" s="146" t="s">
        <v>204</v>
      </c>
      <c r="V465" s="92"/>
      <c r="W465" s="146" t="s">
        <v>204</v>
      </c>
      <c r="X465" s="92"/>
      <c r="Y465" s="146" t="s">
        <v>204</v>
      </c>
      <c r="Z465" s="186" t="str">
        <f t="shared" si="32"/>
        <v>C</v>
      </c>
      <c r="AA465" s="217" t="str">
        <f t="shared" si="31"/>
        <v>UTILIZOU O PDA CORRETAMENTE</v>
      </c>
      <c r="AB465" s="92" t="s">
        <v>204</v>
      </c>
      <c r="AC465" s="164" t="s">
        <v>6</v>
      </c>
      <c r="AD465" s="151" t="str">
        <f t="shared" si="29"/>
        <v>GUARULHOS</v>
      </c>
      <c r="AE465" s="96" t="s">
        <v>63</v>
      </c>
      <c r="AF465" s="53">
        <v>0.13583795551508809</v>
      </c>
      <c r="AG465" s="53" t="str" cm="1">
        <f t="array" ref="AG465">IF(OR(O465&lt;&gt;"", SUMPRODUCT(($AH$2:$AH$4999=AH465)*($AF$2:$AF$4999&lt;=AF465)) &lt;= (COUNTIF($AH$2:$AH$4999,AH465)*0.3)), "SORTEADO", "-")</f>
        <v>SORTEADO</v>
      </c>
      <c r="AH465" s="257" t="str">
        <f t="shared" si="30"/>
        <v>17/04/2026</v>
      </c>
    </row>
    <row r="466" spans="1:34" ht="30" hidden="1" customHeight="1" x14ac:dyDescent="0.2">
      <c r="A466" s="230" t="s">
        <v>197</v>
      </c>
      <c r="B466" s="230">
        <v>2690812229</v>
      </c>
      <c r="C466" s="230" t="s">
        <v>127</v>
      </c>
      <c r="D466" s="230" t="s">
        <v>63</v>
      </c>
      <c r="E466" s="230" t="s">
        <v>198</v>
      </c>
      <c r="F466" s="230" t="s">
        <v>593</v>
      </c>
      <c r="G466" s="230">
        <v>23</v>
      </c>
      <c r="H466" s="230" t="s">
        <v>4009</v>
      </c>
      <c r="I466" s="230" t="s">
        <v>253</v>
      </c>
      <c r="J466" s="230" t="s">
        <v>3275</v>
      </c>
      <c r="K466" s="230"/>
      <c r="L466" s="230" t="s">
        <v>1442</v>
      </c>
      <c r="M466" s="230" t="s">
        <v>4010</v>
      </c>
      <c r="N466" s="230" t="s">
        <v>3276</v>
      </c>
      <c r="O466" s="158"/>
      <c r="P466" s="92"/>
      <c r="Q466" s="146"/>
      <c r="R466" s="92"/>
      <c r="S466" s="146"/>
      <c r="T466" s="92"/>
      <c r="U466" s="146"/>
      <c r="V466" s="92"/>
      <c r="W466" s="146"/>
      <c r="X466" s="92"/>
      <c r="Y466" s="146"/>
      <c r="Z466" s="186" t="str">
        <f t="shared" si="32"/>
        <v/>
      </c>
      <c r="AA466" s="217" t="b">
        <f t="shared" si="31"/>
        <v>0</v>
      </c>
      <c r="AB466" s="92"/>
      <c r="AC466" s="164" t="s">
        <v>6</v>
      </c>
      <c r="AD466" s="151" t="str">
        <f t="shared" si="29"/>
        <v>GUARULHOS</v>
      </c>
      <c r="AE466" s="96" t="s">
        <v>63</v>
      </c>
      <c r="AF466" s="53">
        <v>0.49765896109667701</v>
      </c>
      <c r="AG466" s="53" t="str" cm="1">
        <f t="array" ref="AG466">IF(OR(O466&lt;&gt;"", SUMPRODUCT(($AH$2:$AH$4999=AH466)*($AF$2:$AF$4999&lt;=AF466)) &lt;= (COUNTIF($AH$2:$AH$4999,AH466)*0.3)), "SORTEADO", "-")</f>
        <v>-</v>
      </c>
      <c r="AH466" s="257" t="str">
        <f t="shared" si="30"/>
        <v>17/04/2026</v>
      </c>
    </row>
    <row r="467" spans="1:34" ht="30" hidden="1" customHeight="1" x14ac:dyDescent="0.2">
      <c r="A467" s="230" t="s">
        <v>197</v>
      </c>
      <c r="B467" s="230">
        <v>2616235712</v>
      </c>
      <c r="C467" s="230" t="s">
        <v>127</v>
      </c>
      <c r="D467" s="230" t="s">
        <v>63</v>
      </c>
      <c r="E467" s="230" t="s">
        <v>198</v>
      </c>
      <c r="F467" s="230" t="s">
        <v>718</v>
      </c>
      <c r="G467" s="230">
        <v>357</v>
      </c>
      <c r="H467" s="230" t="s">
        <v>1334</v>
      </c>
      <c r="I467" s="230" t="s">
        <v>315</v>
      </c>
      <c r="J467" s="230" t="s">
        <v>3275</v>
      </c>
      <c r="K467" s="230" t="s">
        <v>213</v>
      </c>
      <c r="L467" s="230" t="s">
        <v>1442</v>
      </c>
      <c r="M467" s="230" t="s">
        <v>4011</v>
      </c>
      <c r="N467" s="230" t="s">
        <v>3276</v>
      </c>
      <c r="O467" s="158"/>
      <c r="P467" s="92"/>
      <c r="Q467" s="146"/>
      <c r="R467" s="92"/>
      <c r="S467" s="146"/>
      <c r="T467" s="92"/>
      <c r="U467" s="146"/>
      <c r="V467" s="92"/>
      <c r="W467" s="146"/>
      <c r="X467" s="92"/>
      <c r="Y467" s="146"/>
      <c r="Z467" s="186" t="str">
        <f t="shared" si="32"/>
        <v/>
      </c>
      <c r="AA467" s="217" t="b">
        <f t="shared" si="31"/>
        <v>0</v>
      </c>
      <c r="AB467" s="92"/>
      <c r="AC467" s="164" t="s">
        <v>6</v>
      </c>
      <c r="AD467" s="151" t="str">
        <f t="shared" si="29"/>
        <v>GUARULHOS</v>
      </c>
      <c r="AE467" s="96" t="s">
        <v>63</v>
      </c>
      <c r="AF467" s="53">
        <v>0.65501603773413497</v>
      </c>
      <c r="AG467" s="53" t="str" cm="1">
        <f t="array" ref="AG467">IF(OR(O467&lt;&gt;"", SUMPRODUCT(($AH$2:$AH$4999=AH467)*($AF$2:$AF$4999&lt;=AF467)) &lt;= (COUNTIF($AH$2:$AH$4999,AH467)*0.3)), "SORTEADO", "-")</f>
        <v>-</v>
      </c>
      <c r="AH467" s="257" t="str">
        <f t="shared" si="30"/>
        <v>17/04/2026</v>
      </c>
    </row>
    <row r="468" spans="1:34" ht="30" hidden="1" customHeight="1" x14ac:dyDescent="0.2">
      <c r="A468" s="230" t="s">
        <v>197</v>
      </c>
      <c r="B468" s="230">
        <v>2690797258</v>
      </c>
      <c r="C468" s="230" t="s">
        <v>127</v>
      </c>
      <c r="D468" s="230" t="s">
        <v>63</v>
      </c>
      <c r="E468" s="230" t="s">
        <v>198</v>
      </c>
      <c r="F468" s="230" t="s">
        <v>4012</v>
      </c>
      <c r="G468" s="230">
        <v>33</v>
      </c>
      <c r="H468" s="230" t="s">
        <v>362</v>
      </c>
      <c r="I468" s="230" t="s">
        <v>200</v>
      </c>
      <c r="J468" s="230" t="s">
        <v>3275</v>
      </c>
      <c r="K468" s="230"/>
      <c r="L468" s="230" t="s">
        <v>1442</v>
      </c>
      <c r="M468" s="230" t="s">
        <v>4013</v>
      </c>
      <c r="N468" s="230" t="s">
        <v>3276</v>
      </c>
      <c r="O468" s="158"/>
      <c r="P468" s="92"/>
      <c r="Q468" s="146"/>
      <c r="R468" s="92"/>
      <c r="S468" s="146"/>
      <c r="T468" s="92"/>
      <c r="U468" s="146"/>
      <c r="V468" s="92"/>
      <c r="W468" s="146"/>
      <c r="X468" s="92"/>
      <c r="Y468" s="146"/>
      <c r="Z468" s="186" t="str">
        <f t="shared" si="32"/>
        <v/>
      </c>
      <c r="AA468" s="217" t="b">
        <f t="shared" si="31"/>
        <v>0</v>
      </c>
      <c r="AB468" s="92"/>
      <c r="AC468" s="164" t="s">
        <v>6</v>
      </c>
      <c r="AD468" s="151" t="str">
        <f t="shared" si="29"/>
        <v>GUARULHOS</v>
      </c>
      <c r="AE468" s="96" t="s">
        <v>63</v>
      </c>
      <c r="AF468" s="53">
        <v>0.53388531443463838</v>
      </c>
      <c r="AG468" s="53" t="str" cm="1">
        <f t="array" ref="AG468">IF(OR(O468&lt;&gt;"", SUMPRODUCT(($AH$2:$AH$4999=AH468)*($AF$2:$AF$4999&lt;=AF468)) &lt;= (COUNTIF($AH$2:$AH$4999,AH468)*0.3)), "SORTEADO", "-")</f>
        <v>-</v>
      </c>
      <c r="AH468" s="257" t="str">
        <f t="shared" si="30"/>
        <v>17/04/2026</v>
      </c>
    </row>
    <row r="469" spans="1:34" ht="30" hidden="1" customHeight="1" x14ac:dyDescent="0.2">
      <c r="A469" s="230" t="s">
        <v>197</v>
      </c>
      <c r="B469" s="230">
        <v>2616236626</v>
      </c>
      <c r="C469" s="230" t="s">
        <v>135</v>
      </c>
      <c r="D469" s="230" t="s">
        <v>124</v>
      </c>
      <c r="E469" s="230" t="s">
        <v>198</v>
      </c>
      <c r="F469" s="230" t="s">
        <v>3938</v>
      </c>
      <c r="G469" s="230">
        <v>17</v>
      </c>
      <c r="H469" s="230" t="s">
        <v>854</v>
      </c>
      <c r="I469" s="230" t="s">
        <v>1671</v>
      </c>
      <c r="J469" s="230" t="s">
        <v>3280</v>
      </c>
      <c r="K469" s="230" t="s">
        <v>4014</v>
      </c>
      <c r="L469" s="230" t="s">
        <v>1442</v>
      </c>
      <c r="M469" s="230" t="s">
        <v>4015</v>
      </c>
      <c r="N469" s="230" t="s">
        <v>408</v>
      </c>
      <c r="O469" s="158"/>
      <c r="P469" s="92"/>
      <c r="Q469" s="146"/>
      <c r="R469" s="92"/>
      <c r="S469" s="146"/>
      <c r="T469" s="92"/>
      <c r="U469" s="146"/>
      <c r="V469" s="92"/>
      <c r="W469" s="146"/>
      <c r="X469" s="92"/>
      <c r="Y469" s="146"/>
      <c r="Z469" s="186" t="str">
        <f t="shared" si="32"/>
        <v/>
      </c>
      <c r="AA469" s="217" t="b">
        <f t="shared" si="31"/>
        <v>0</v>
      </c>
      <c r="AB469" s="92"/>
      <c r="AC469" s="164" t="s">
        <v>6</v>
      </c>
      <c r="AD469" s="151" t="str">
        <f t="shared" si="29"/>
        <v>GUARULHOS</v>
      </c>
      <c r="AE469" s="96" t="s">
        <v>63</v>
      </c>
      <c r="AF469" s="53">
        <v>0.85819892915515461</v>
      </c>
      <c r="AG469" s="53" t="str" cm="1">
        <f t="array" ref="AG469">IF(OR(O469&lt;&gt;"", SUMPRODUCT(($AH$2:$AH$4999=AH469)*($AF$2:$AF$4999&lt;=AF469)) &lt;= (COUNTIF($AH$2:$AH$4999,AH469)*0.3)), "SORTEADO", "-")</f>
        <v>-</v>
      </c>
      <c r="AH469" s="257" t="str">
        <f t="shared" si="30"/>
        <v>17/04/2026</v>
      </c>
    </row>
    <row r="470" spans="1:34" ht="30" hidden="1" customHeight="1" x14ac:dyDescent="0.2">
      <c r="A470" s="230" t="s">
        <v>197</v>
      </c>
      <c r="B470" s="230">
        <v>2615573391</v>
      </c>
      <c r="C470" s="230" t="s">
        <v>135</v>
      </c>
      <c r="D470" s="230" t="s">
        <v>124</v>
      </c>
      <c r="E470" s="230" t="s">
        <v>198</v>
      </c>
      <c r="F470" s="230" t="s">
        <v>2552</v>
      </c>
      <c r="G470" s="230">
        <v>15</v>
      </c>
      <c r="H470" s="230">
        <v>600</v>
      </c>
      <c r="I470" s="230" t="s">
        <v>2553</v>
      </c>
      <c r="J470" s="230" t="s">
        <v>3280</v>
      </c>
      <c r="K470" s="230" t="s">
        <v>4016</v>
      </c>
      <c r="L470" s="230" t="s">
        <v>1442</v>
      </c>
      <c r="M470" s="230" t="s">
        <v>4017</v>
      </c>
      <c r="N470" s="230" t="s">
        <v>408</v>
      </c>
      <c r="O470" s="158"/>
      <c r="P470" s="92"/>
      <c r="Q470" s="146"/>
      <c r="R470" s="92"/>
      <c r="S470" s="146"/>
      <c r="T470" s="92"/>
      <c r="U470" s="146"/>
      <c r="V470" s="92"/>
      <c r="W470" s="146"/>
      <c r="X470" s="92"/>
      <c r="Y470" s="146"/>
      <c r="Z470" s="186" t="str">
        <f t="shared" si="32"/>
        <v/>
      </c>
      <c r="AA470" s="217" t="b">
        <f t="shared" si="31"/>
        <v>0</v>
      </c>
      <c r="AB470" s="92"/>
      <c r="AC470" s="164" t="s">
        <v>6</v>
      </c>
      <c r="AD470" s="151" t="str">
        <f t="shared" si="29"/>
        <v>GUARULHOS</v>
      </c>
      <c r="AE470" s="96" t="s">
        <v>63</v>
      </c>
      <c r="AF470" s="53">
        <v>0.60262517316069109</v>
      </c>
      <c r="AG470" s="53" t="str" cm="1">
        <f t="array" ref="AG470">IF(OR(O470&lt;&gt;"", SUMPRODUCT(($AH$2:$AH$4999=AH470)*($AF$2:$AF$4999&lt;=AF470)) &lt;= (COUNTIF($AH$2:$AH$4999,AH470)*0.3)), "SORTEADO", "-")</f>
        <v>-</v>
      </c>
      <c r="AH470" s="257" t="str">
        <f t="shared" si="30"/>
        <v>17/04/2026</v>
      </c>
    </row>
    <row r="471" spans="1:34" ht="30" hidden="1" customHeight="1" x14ac:dyDescent="0.2">
      <c r="A471" s="230" t="s">
        <v>197</v>
      </c>
      <c r="B471" s="230">
        <v>2615572837</v>
      </c>
      <c r="C471" s="230" t="s">
        <v>135</v>
      </c>
      <c r="D471" s="230" t="s">
        <v>124</v>
      </c>
      <c r="E471" s="230" t="s">
        <v>198</v>
      </c>
      <c r="F471" s="230" t="s">
        <v>1315</v>
      </c>
      <c r="G471" s="230">
        <v>13</v>
      </c>
      <c r="H471" s="230" t="s">
        <v>827</v>
      </c>
      <c r="I471" s="230" t="s">
        <v>315</v>
      </c>
      <c r="J471" s="230" t="s">
        <v>3280</v>
      </c>
      <c r="K471" s="230" t="s">
        <v>213</v>
      </c>
      <c r="L471" s="230" t="s">
        <v>1442</v>
      </c>
      <c r="M471" s="230" t="s">
        <v>4018</v>
      </c>
      <c r="N471" s="230" t="s">
        <v>203</v>
      </c>
      <c r="O471" s="158"/>
      <c r="P471" s="92"/>
      <c r="Q471" s="146"/>
      <c r="R471" s="92"/>
      <c r="S471" s="146"/>
      <c r="T471" s="92"/>
      <c r="U471" s="146"/>
      <c r="V471" s="92"/>
      <c r="W471" s="146"/>
      <c r="X471" s="92"/>
      <c r="Y471" s="146"/>
      <c r="Z471" s="186" t="str">
        <f t="shared" si="32"/>
        <v/>
      </c>
      <c r="AA471" s="217" t="b">
        <f t="shared" si="31"/>
        <v>0</v>
      </c>
      <c r="AB471" s="92"/>
      <c r="AC471" s="164" t="s">
        <v>6</v>
      </c>
      <c r="AD471" s="151" t="str">
        <f t="shared" si="29"/>
        <v>GUARULHOS</v>
      </c>
      <c r="AE471" s="96" t="s">
        <v>63</v>
      </c>
      <c r="AF471" s="53">
        <v>0.58944687513975236</v>
      </c>
      <c r="AG471" s="53" t="str" cm="1">
        <f t="array" ref="AG471">IF(OR(O471&lt;&gt;"", SUMPRODUCT(($AH$2:$AH$4999=AH471)*($AF$2:$AF$4999&lt;=AF471)) &lt;= (COUNTIF($AH$2:$AH$4999,AH471)*0.3)), "SORTEADO", "-")</f>
        <v>-</v>
      </c>
      <c r="AH471" s="257" t="str">
        <f t="shared" si="30"/>
        <v>17/04/2026</v>
      </c>
    </row>
    <row r="472" spans="1:34" ht="30" hidden="1" customHeight="1" x14ac:dyDescent="0.2">
      <c r="A472" s="230" t="s">
        <v>197</v>
      </c>
      <c r="B472" s="230">
        <v>2616238569</v>
      </c>
      <c r="C472" s="230" t="s">
        <v>127</v>
      </c>
      <c r="D472" s="230" t="s">
        <v>63</v>
      </c>
      <c r="E472" s="230" t="s">
        <v>198</v>
      </c>
      <c r="F472" s="230" t="s">
        <v>4019</v>
      </c>
      <c r="G472" s="230">
        <v>393</v>
      </c>
      <c r="H472" s="230" t="s">
        <v>4020</v>
      </c>
      <c r="I472" s="230" t="s">
        <v>368</v>
      </c>
      <c r="J472" s="230" t="s">
        <v>3275</v>
      </c>
      <c r="K472" s="230" t="s">
        <v>4021</v>
      </c>
      <c r="L472" s="230" t="s">
        <v>1442</v>
      </c>
      <c r="M472" s="230" t="s">
        <v>4022</v>
      </c>
      <c r="N472" s="230" t="s">
        <v>408</v>
      </c>
      <c r="O472" s="158"/>
      <c r="P472" s="92"/>
      <c r="Q472" s="146"/>
      <c r="R472" s="92"/>
      <c r="S472" s="146"/>
      <c r="T472" s="92"/>
      <c r="U472" s="146"/>
      <c r="V472" s="92"/>
      <c r="W472" s="146"/>
      <c r="X472" s="92"/>
      <c r="Y472" s="146"/>
      <c r="Z472" s="186" t="str">
        <f t="shared" si="32"/>
        <v/>
      </c>
      <c r="AA472" s="217" t="b">
        <f t="shared" si="31"/>
        <v>0</v>
      </c>
      <c r="AB472" s="92"/>
      <c r="AC472" s="164" t="s">
        <v>6</v>
      </c>
      <c r="AD472" s="151" t="str">
        <f t="shared" si="29"/>
        <v>GUARULHOS</v>
      </c>
      <c r="AE472" s="96" t="s">
        <v>63</v>
      </c>
      <c r="AF472" s="53">
        <v>0.5104605063926092</v>
      </c>
      <c r="AG472" s="53" t="str" cm="1">
        <f t="array" ref="AG472">IF(OR(O472&lt;&gt;"", SUMPRODUCT(($AH$2:$AH$4999=AH472)*($AF$2:$AF$4999&lt;=AF472)) &lt;= (COUNTIF($AH$2:$AH$4999,AH472)*0.3)), "SORTEADO", "-")</f>
        <v>-</v>
      </c>
      <c r="AH472" s="257" t="str">
        <f t="shared" si="30"/>
        <v>17/04/2026</v>
      </c>
    </row>
    <row r="473" spans="1:34" ht="30" hidden="1" customHeight="1" x14ac:dyDescent="0.2">
      <c r="A473" s="230" t="s">
        <v>197</v>
      </c>
      <c r="B473" s="230">
        <v>2690845164</v>
      </c>
      <c r="C473" s="230" t="s">
        <v>127</v>
      </c>
      <c r="D473" s="230" t="s">
        <v>63</v>
      </c>
      <c r="E473" s="230" t="s">
        <v>198</v>
      </c>
      <c r="F473" s="230" t="s">
        <v>4023</v>
      </c>
      <c r="G473" s="230">
        <v>430</v>
      </c>
      <c r="H473" s="230" t="s">
        <v>206</v>
      </c>
      <c r="I473" s="230" t="s">
        <v>1445</v>
      </c>
      <c r="J473" s="230" t="s">
        <v>3275</v>
      </c>
      <c r="K473" s="230" t="s">
        <v>213</v>
      </c>
      <c r="L473" s="230" t="s">
        <v>1442</v>
      </c>
      <c r="M473" s="230" t="s">
        <v>2896</v>
      </c>
      <c r="N473" s="230" t="s">
        <v>294</v>
      </c>
      <c r="O473" s="158"/>
      <c r="P473" s="92"/>
      <c r="Q473" s="146"/>
      <c r="R473" s="92"/>
      <c r="S473" s="146"/>
      <c r="T473" s="92"/>
      <c r="U473" s="146"/>
      <c r="V473" s="92"/>
      <c r="W473" s="146"/>
      <c r="X473" s="92"/>
      <c r="Y473" s="146"/>
      <c r="Z473" s="186" t="str">
        <f t="shared" si="32"/>
        <v/>
      </c>
      <c r="AA473" s="217" t="b">
        <f t="shared" si="31"/>
        <v>0</v>
      </c>
      <c r="AB473" s="92"/>
      <c r="AC473" s="164" t="s">
        <v>6</v>
      </c>
      <c r="AD473" s="151" t="str">
        <f t="shared" si="29"/>
        <v>GUARULHOS</v>
      </c>
      <c r="AE473" s="96" t="s">
        <v>63</v>
      </c>
      <c r="AF473" s="53">
        <v>0.66402031513917115</v>
      </c>
      <c r="AG473" s="53" t="str" cm="1">
        <f t="array" ref="AG473">IF(OR(O473&lt;&gt;"", SUMPRODUCT(($AH$2:$AH$4999=AH473)*($AF$2:$AF$4999&lt;=AF473)) &lt;= (COUNTIF($AH$2:$AH$4999,AH473)*0.3)), "SORTEADO", "-")</f>
        <v>-</v>
      </c>
      <c r="AH473" s="257" t="str">
        <f t="shared" si="30"/>
        <v>17/04/2026</v>
      </c>
    </row>
    <row r="474" spans="1:34" ht="30" customHeight="1" x14ac:dyDescent="0.2">
      <c r="A474" s="230" t="s">
        <v>197</v>
      </c>
      <c r="B474" s="230">
        <v>2690847248</v>
      </c>
      <c r="C474" s="230" t="s">
        <v>127</v>
      </c>
      <c r="D474" s="230" t="s">
        <v>63</v>
      </c>
      <c r="E474" s="230" t="s">
        <v>198</v>
      </c>
      <c r="F474" s="230" t="s">
        <v>1283</v>
      </c>
      <c r="G474" s="230">
        <v>123</v>
      </c>
      <c r="H474" s="230" t="s">
        <v>1284</v>
      </c>
      <c r="I474" s="230" t="s">
        <v>1285</v>
      </c>
      <c r="J474" s="230" t="s">
        <v>3275</v>
      </c>
      <c r="K474" s="230" t="s">
        <v>4024</v>
      </c>
      <c r="L474" s="230" t="s">
        <v>1442</v>
      </c>
      <c r="M474" s="230" t="s">
        <v>4025</v>
      </c>
      <c r="N474" s="230" t="s">
        <v>819</v>
      </c>
      <c r="O474" s="158" t="s">
        <v>204</v>
      </c>
      <c r="P474" s="92"/>
      <c r="Q474" s="146" t="s">
        <v>204</v>
      </c>
      <c r="R474" s="92"/>
      <c r="S474" s="146" t="s">
        <v>204</v>
      </c>
      <c r="T474" s="92"/>
      <c r="U474" s="146" t="s">
        <v>204</v>
      </c>
      <c r="V474" s="92"/>
      <c r="W474" s="146" t="s">
        <v>204</v>
      </c>
      <c r="X474" s="92"/>
      <c r="Y474" s="146" t="s">
        <v>204</v>
      </c>
      <c r="Z474" s="186" t="str">
        <f t="shared" si="32"/>
        <v>C</v>
      </c>
      <c r="AA474" s="217" t="str">
        <f t="shared" si="31"/>
        <v>UTILIZOU O PDA CORRETAMENTE</v>
      </c>
      <c r="AB474" s="92" t="s">
        <v>204</v>
      </c>
      <c r="AC474" s="164" t="s">
        <v>6</v>
      </c>
      <c r="AD474" s="151" t="str">
        <f t="shared" si="29"/>
        <v>GUARULHOS</v>
      </c>
      <c r="AE474" s="96" t="s">
        <v>63</v>
      </c>
      <c r="AF474" s="53">
        <v>8.6701478763098777E-2</v>
      </c>
      <c r="AG474" s="53" t="str" cm="1">
        <f t="array" ref="AG474">IF(OR(O474&lt;&gt;"", SUMPRODUCT(($AH$2:$AH$4999=AH474)*($AF$2:$AF$4999&lt;=AF474)) &lt;= (COUNTIF($AH$2:$AH$4999,AH474)*0.3)), "SORTEADO", "-")</f>
        <v>SORTEADO</v>
      </c>
      <c r="AH474" s="257" t="str">
        <f t="shared" si="30"/>
        <v>17/04/2026</v>
      </c>
    </row>
    <row r="475" spans="1:34" ht="30" hidden="1" customHeight="1" x14ac:dyDescent="0.2">
      <c r="A475" s="230" t="s">
        <v>197</v>
      </c>
      <c r="B475" s="230">
        <v>2690791880</v>
      </c>
      <c r="C475" s="230" t="s">
        <v>133</v>
      </c>
      <c r="D475" s="230" t="s">
        <v>124</v>
      </c>
      <c r="E475" s="230" t="s">
        <v>198</v>
      </c>
      <c r="F475" s="230" t="s">
        <v>3423</v>
      </c>
      <c r="G475" s="230">
        <v>189</v>
      </c>
      <c r="H475" s="230" t="s">
        <v>235</v>
      </c>
      <c r="I475" s="230" t="s">
        <v>231</v>
      </c>
      <c r="J475" s="230" t="s">
        <v>3275</v>
      </c>
      <c r="K475" s="230" t="s">
        <v>3344</v>
      </c>
      <c r="L475" s="230" t="s">
        <v>1442</v>
      </c>
      <c r="M475" s="230" t="s">
        <v>4026</v>
      </c>
      <c r="N475" s="230" t="s">
        <v>3289</v>
      </c>
      <c r="O475" s="158"/>
      <c r="P475" s="92"/>
      <c r="Q475" s="146"/>
      <c r="R475" s="92"/>
      <c r="S475" s="146"/>
      <c r="T475" s="92"/>
      <c r="U475" s="146"/>
      <c r="V475" s="92"/>
      <c r="W475" s="146"/>
      <c r="X475" s="92"/>
      <c r="Y475" s="146"/>
      <c r="Z475" s="186" t="str">
        <f t="shared" si="32"/>
        <v/>
      </c>
      <c r="AA475" s="217" t="b">
        <f t="shared" si="31"/>
        <v>0</v>
      </c>
      <c r="AB475" s="92"/>
      <c r="AC475" s="164" t="s">
        <v>6</v>
      </c>
      <c r="AD475" s="151" t="str">
        <f t="shared" si="29"/>
        <v>GUARULHOS</v>
      </c>
      <c r="AE475" s="96" t="s">
        <v>63</v>
      </c>
      <c r="AF475" s="53">
        <v>0.92276195414206819</v>
      </c>
      <c r="AG475" s="53" t="str" cm="1">
        <f t="array" ref="AG475">IF(OR(O475&lt;&gt;"", SUMPRODUCT(($AH$2:$AH$4999=AH475)*($AF$2:$AF$4999&lt;=AF475)) &lt;= (COUNTIF($AH$2:$AH$4999,AH475)*0.3)), "SORTEADO", "-")</f>
        <v>-</v>
      </c>
      <c r="AH475" s="257" t="str">
        <f t="shared" si="30"/>
        <v>17/04/2026</v>
      </c>
    </row>
    <row r="476" spans="1:34" ht="30" hidden="1" customHeight="1" x14ac:dyDescent="0.2">
      <c r="A476" s="230" t="s">
        <v>197</v>
      </c>
      <c r="B476" s="230">
        <v>2690850865</v>
      </c>
      <c r="C476" s="230" t="s">
        <v>127</v>
      </c>
      <c r="D476" s="230" t="s">
        <v>63</v>
      </c>
      <c r="E476" s="230" t="s">
        <v>198</v>
      </c>
      <c r="F476" s="230" t="s">
        <v>4027</v>
      </c>
      <c r="G476" s="230">
        <v>99</v>
      </c>
      <c r="H476" s="230" t="s">
        <v>4028</v>
      </c>
      <c r="I476" s="230" t="s">
        <v>269</v>
      </c>
      <c r="J476" s="230" t="s">
        <v>3275</v>
      </c>
      <c r="K476" s="230"/>
      <c r="L476" s="230" t="s">
        <v>1442</v>
      </c>
      <c r="M476" s="230" t="s">
        <v>4029</v>
      </c>
      <c r="N476" s="230" t="s">
        <v>819</v>
      </c>
      <c r="O476" s="158"/>
      <c r="P476" s="92"/>
      <c r="Q476" s="146"/>
      <c r="R476" s="92"/>
      <c r="S476" s="146"/>
      <c r="T476" s="92"/>
      <c r="U476" s="146"/>
      <c r="V476" s="92"/>
      <c r="W476" s="146"/>
      <c r="X476" s="92"/>
      <c r="Y476" s="146"/>
      <c r="Z476" s="186" t="str">
        <f t="shared" si="32"/>
        <v/>
      </c>
      <c r="AA476" s="217" t="b">
        <f t="shared" si="31"/>
        <v>0</v>
      </c>
      <c r="AB476" s="92"/>
      <c r="AC476" s="164" t="s">
        <v>6</v>
      </c>
      <c r="AD476" s="151" t="str">
        <f t="shared" si="29"/>
        <v>GUARULHOS</v>
      </c>
      <c r="AE476" s="96" t="s">
        <v>63</v>
      </c>
      <c r="AF476" s="53">
        <v>0.62478848089839978</v>
      </c>
      <c r="AG476" s="53" t="str" cm="1">
        <f t="array" ref="AG476">IF(OR(O476&lt;&gt;"", SUMPRODUCT(($AH$2:$AH$4999=AH476)*($AF$2:$AF$4999&lt;=AF476)) &lt;= (COUNTIF($AH$2:$AH$4999,AH476)*0.3)), "SORTEADO", "-")</f>
        <v>-</v>
      </c>
      <c r="AH476" s="257" t="str">
        <f t="shared" si="30"/>
        <v>17/04/2026</v>
      </c>
    </row>
    <row r="477" spans="1:34" ht="30" customHeight="1" x14ac:dyDescent="0.2">
      <c r="A477" s="230" t="s">
        <v>197</v>
      </c>
      <c r="B477" s="230">
        <v>2616333648</v>
      </c>
      <c r="C477" s="230" t="s">
        <v>133</v>
      </c>
      <c r="D477" s="230" t="s">
        <v>124</v>
      </c>
      <c r="E477" s="230" t="s">
        <v>198</v>
      </c>
      <c r="F477" s="230" t="s">
        <v>4030</v>
      </c>
      <c r="G477" s="230">
        <v>340</v>
      </c>
      <c r="H477" s="230" t="s">
        <v>4031</v>
      </c>
      <c r="I477" s="230" t="s">
        <v>331</v>
      </c>
      <c r="J477" s="230" t="s">
        <v>3275</v>
      </c>
      <c r="K477" s="230"/>
      <c r="L477" s="230" t="s">
        <v>1442</v>
      </c>
      <c r="M477" s="230" t="s">
        <v>4032</v>
      </c>
      <c r="N477" s="230" t="s">
        <v>294</v>
      </c>
      <c r="O477" s="158" t="s">
        <v>204</v>
      </c>
      <c r="P477" s="92"/>
      <c r="Q477" s="146" t="s">
        <v>204</v>
      </c>
      <c r="R477" s="92"/>
      <c r="S477" s="146" t="s">
        <v>204</v>
      </c>
      <c r="T477" s="92"/>
      <c r="U477" s="146" t="s">
        <v>204</v>
      </c>
      <c r="V477" s="92"/>
      <c r="W477" s="146" t="s">
        <v>204</v>
      </c>
      <c r="X477" s="92"/>
      <c r="Y477" s="146" t="s">
        <v>204</v>
      </c>
      <c r="Z477" s="186" t="str">
        <f t="shared" si="32"/>
        <v>C</v>
      </c>
      <c r="AA477" s="217" t="str">
        <f t="shared" si="31"/>
        <v>UTILIZOU O PDA CORRETAMENTE</v>
      </c>
      <c r="AB477" s="92" t="s">
        <v>204</v>
      </c>
      <c r="AC477" s="164" t="s">
        <v>6</v>
      </c>
      <c r="AD477" s="151" t="str">
        <f t="shared" si="29"/>
        <v>GUARULHOS</v>
      </c>
      <c r="AE477" s="96" t="s">
        <v>63</v>
      </c>
      <c r="AF477" s="53">
        <v>0.15108040527727812</v>
      </c>
      <c r="AG477" s="53" t="str" cm="1">
        <f t="array" ref="AG477">IF(OR(O477&lt;&gt;"", SUMPRODUCT(($AH$2:$AH$4999=AH477)*($AF$2:$AF$4999&lt;=AF477)) &lt;= (COUNTIF($AH$2:$AH$4999,AH477)*0.3)), "SORTEADO", "-")</f>
        <v>SORTEADO</v>
      </c>
      <c r="AH477" s="257" t="str">
        <f t="shared" si="30"/>
        <v>17/04/2026</v>
      </c>
    </row>
    <row r="478" spans="1:34" ht="30" customHeight="1" x14ac:dyDescent="0.2">
      <c r="A478" s="230" t="s">
        <v>197</v>
      </c>
      <c r="B478" s="230">
        <v>2690858150</v>
      </c>
      <c r="C478" s="230" t="s">
        <v>127</v>
      </c>
      <c r="D478" s="230" t="s">
        <v>63</v>
      </c>
      <c r="E478" s="230" t="s">
        <v>198</v>
      </c>
      <c r="F478" s="230" t="s">
        <v>224</v>
      </c>
      <c r="G478" s="230">
        <v>43</v>
      </c>
      <c r="H478" s="230" t="s">
        <v>4033</v>
      </c>
      <c r="I478" s="230" t="s">
        <v>436</v>
      </c>
      <c r="J478" s="230" t="s">
        <v>3275</v>
      </c>
      <c r="K478" s="230" t="s">
        <v>213</v>
      </c>
      <c r="L478" s="230" t="s">
        <v>1442</v>
      </c>
      <c r="M478" s="230" t="s">
        <v>4034</v>
      </c>
      <c r="N478" s="230" t="s">
        <v>3282</v>
      </c>
      <c r="O478" s="158" t="s">
        <v>204</v>
      </c>
      <c r="P478" s="92"/>
      <c r="Q478" s="146" t="s">
        <v>204</v>
      </c>
      <c r="R478" s="92"/>
      <c r="S478" s="146" t="s">
        <v>204</v>
      </c>
      <c r="T478" s="92"/>
      <c r="U478" s="146" t="s">
        <v>204</v>
      </c>
      <c r="V478" s="92"/>
      <c r="W478" s="146" t="s">
        <v>204</v>
      </c>
      <c r="X478" s="92"/>
      <c r="Y478" s="146" t="s">
        <v>204</v>
      </c>
      <c r="Z478" s="186" t="str">
        <f t="shared" si="32"/>
        <v>C</v>
      </c>
      <c r="AA478" s="217" t="str">
        <f t="shared" si="31"/>
        <v>UTILIZOU O PDA CORRETAMENTE</v>
      </c>
      <c r="AB478" s="92" t="s">
        <v>204</v>
      </c>
      <c r="AC478" s="164" t="s">
        <v>6</v>
      </c>
      <c r="AD478" s="151" t="str">
        <f t="shared" si="29"/>
        <v>GUARULHOS</v>
      </c>
      <c r="AE478" s="96" t="s">
        <v>63</v>
      </c>
      <c r="AF478" s="53">
        <v>0.32213620572306312</v>
      </c>
      <c r="AG478" s="53" t="str" cm="1">
        <f t="array" ref="AG478">IF(OR(O478&lt;&gt;"", SUMPRODUCT(($AH$2:$AH$4999=AH478)*($AF$2:$AF$4999&lt;=AF478)) &lt;= (COUNTIF($AH$2:$AH$4999,AH478)*0.3)), "SORTEADO", "-")</f>
        <v>SORTEADO</v>
      </c>
      <c r="AH478" s="257" t="str">
        <f t="shared" si="30"/>
        <v>17/04/2026</v>
      </c>
    </row>
    <row r="479" spans="1:34" ht="30" hidden="1" customHeight="1" x14ac:dyDescent="0.2">
      <c r="A479" s="230" t="s">
        <v>197</v>
      </c>
      <c r="B479" s="230">
        <v>2690858882</v>
      </c>
      <c r="C479" s="230" t="s">
        <v>127</v>
      </c>
      <c r="D479" s="230" t="s">
        <v>63</v>
      </c>
      <c r="E479" s="230" t="s">
        <v>198</v>
      </c>
      <c r="F479" s="230" t="s">
        <v>3194</v>
      </c>
      <c r="G479" s="230">
        <v>135</v>
      </c>
      <c r="H479" s="230" t="s">
        <v>4035</v>
      </c>
      <c r="I479" s="230" t="s">
        <v>3195</v>
      </c>
      <c r="J479" s="230" t="s">
        <v>3271</v>
      </c>
      <c r="K479" s="230" t="s">
        <v>213</v>
      </c>
      <c r="L479" s="230" t="s">
        <v>1442</v>
      </c>
      <c r="M479" s="230" t="s">
        <v>4036</v>
      </c>
      <c r="N479" s="230" t="s">
        <v>1099</v>
      </c>
      <c r="O479" s="158"/>
      <c r="P479" s="92"/>
      <c r="Q479" s="146"/>
      <c r="R479" s="92"/>
      <c r="S479" s="146"/>
      <c r="T479" s="92"/>
      <c r="U479" s="146"/>
      <c r="V479" s="92"/>
      <c r="W479" s="146"/>
      <c r="X479" s="92"/>
      <c r="Y479" s="146"/>
      <c r="Z479" s="186" t="str">
        <f t="shared" si="32"/>
        <v/>
      </c>
      <c r="AA479" s="217" t="b">
        <f t="shared" si="31"/>
        <v>0</v>
      </c>
      <c r="AB479" s="92"/>
      <c r="AC479" s="164" t="s">
        <v>6</v>
      </c>
      <c r="AD479" s="151" t="str">
        <f t="shared" si="29"/>
        <v>GUARULHOS</v>
      </c>
      <c r="AE479" s="96" t="s">
        <v>63</v>
      </c>
      <c r="AF479" s="53">
        <v>0.6129731003254687</v>
      </c>
      <c r="AG479" s="53" t="str" cm="1">
        <f t="array" ref="AG479">IF(OR(O479&lt;&gt;"", SUMPRODUCT(($AH$2:$AH$4999=AH479)*($AF$2:$AF$4999&lt;=AF479)) &lt;= (COUNTIF($AH$2:$AH$4999,AH479)*0.3)), "SORTEADO", "-")</f>
        <v>-</v>
      </c>
      <c r="AH479" s="257" t="str">
        <f t="shared" si="30"/>
        <v>17/04/2026</v>
      </c>
    </row>
    <row r="480" spans="1:34" ht="30" customHeight="1" x14ac:dyDescent="0.2">
      <c r="A480" s="230" t="s">
        <v>197</v>
      </c>
      <c r="B480" s="230">
        <v>2690799752</v>
      </c>
      <c r="C480" s="230" t="s">
        <v>133</v>
      </c>
      <c r="D480" s="230" t="s">
        <v>124</v>
      </c>
      <c r="E480" s="230" t="s">
        <v>198</v>
      </c>
      <c r="F480" s="230" t="s">
        <v>587</v>
      </c>
      <c r="G480" s="230">
        <v>14</v>
      </c>
      <c r="H480" s="230"/>
      <c r="I480" s="230" t="s">
        <v>588</v>
      </c>
      <c r="J480" s="230" t="s">
        <v>3275</v>
      </c>
      <c r="K480" s="230" t="s">
        <v>3363</v>
      </c>
      <c r="L480" s="230" t="s">
        <v>1442</v>
      </c>
      <c r="M480" s="230" t="s">
        <v>4037</v>
      </c>
      <c r="N480" s="230" t="s">
        <v>3276</v>
      </c>
      <c r="O480" s="158" t="s">
        <v>204</v>
      </c>
      <c r="P480" s="92"/>
      <c r="Q480" s="146" t="s">
        <v>204</v>
      </c>
      <c r="R480" s="92"/>
      <c r="S480" s="146" t="s">
        <v>204</v>
      </c>
      <c r="T480" s="92"/>
      <c r="U480" s="146" t="s">
        <v>204</v>
      </c>
      <c r="V480" s="92"/>
      <c r="W480" s="146" t="s">
        <v>204</v>
      </c>
      <c r="X480" s="92"/>
      <c r="Y480" s="146" t="s">
        <v>204</v>
      </c>
      <c r="Z480" s="186" t="str">
        <f t="shared" si="32"/>
        <v>C</v>
      </c>
      <c r="AA480" s="217" t="str">
        <f t="shared" si="31"/>
        <v>UTILIZOU O PDA CORRETAMENTE</v>
      </c>
      <c r="AB480" s="92" t="s">
        <v>204</v>
      </c>
      <c r="AC480" s="164" t="s">
        <v>6</v>
      </c>
      <c r="AD480" s="151" t="str">
        <f t="shared" si="29"/>
        <v>GUARULHOS</v>
      </c>
      <c r="AE480" s="96" t="s">
        <v>63</v>
      </c>
      <c r="AF480" s="53">
        <v>0.32820443371763325</v>
      </c>
      <c r="AG480" s="53" t="str" cm="1">
        <f t="array" ref="AG480">IF(OR(O480&lt;&gt;"", SUMPRODUCT(($AH$2:$AH$4999=AH480)*($AF$2:$AF$4999&lt;=AF480)) &lt;= (COUNTIF($AH$2:$AH$4999,AH480)*0.3)), "SORTEADO", "-")</f>
        <v>SORTEADO</v>
      </c>
      <c r="AH480" s="257" t="str">
        <f t="shared" si="30"/>
        <v>17/04/2026</v>
      </c>
    </row>
    <row r="481" spans="1:34" ht="30" hidden="1" customHeight="1" x14ac:dyDescent="0.2">
      <c r="A481" s="230" t="s">
        <v>197</v>
      </c>
      <c r="B481" s="230">
        <v>2616355693</v>
      </c>
      <c r="C481" s="230" t="s">
        <v>133</v>
      </c>
      <c r="D481" s="230" t="s">
        <v>124</v>
      </c>
      <c r="E481" s="230" t="s">
        <v>198</v>
      </c>
      <c r="F481" s="230" t="s">
        <v>4038</v>
      </c>
      <c r="G481" s="230">
        <v>12</v>
      </c>
      <c r="H481" s="230" t="s">
        <v>4039</v>
      </c>
      <c r="I481" s="230" t="s">
        <v>730</v>
      </c>
      <c r="J481" s="230" t="s">
        <v>3275</v>
      </c>
      <c r="K481" s="230" t="s">
        <v>213</v>
      </c>
      <c r="L481" s="230" t="s">
        <v>1442</v>
      </c>
      <c r="M481" s="230" t="s">
        <v>4040</v>
      </c>
      <c r="N481" s="230" t="s">
        <v>294</v>
      </c>
      <c r="O481" s="158"/>
      <c r="P481" s="92"/>
      <c r="Q481" s="146"/>
      <c r="R481" s="92"/>
      <c r="S481" s="146"/>
      <c r="T481" s="92"/>
      <c r="U481" s="146"/>
      <c r="V481" s="92"/>
      <c r="W481" s="146"/>
      <c r="X481" s="92"/>
      <c r="Y481" s="146"/>
      <c r="Z481" s="186" t="str">
        <f t="shared" si="32"/>
        <v/>
      </c>
      <c r="AA481" s="217" t="b">
        <f t="shared" si="31"/>
        <v>0</v>
      </c>
      <c r="AB481" s="92"/>
      <c r="AC481" s="164" t="s">
        <v>6</v>
      </c>
      <c r="AD481" s="151" t="str">
        <f t="shared" ref="AD481:AD544" si="33">E481</f>
        <v>GUARULHOS</v>
      </c>
      <c r="AE481" s="96" t="s">
        <v>63</v>
      </c>
      <c r="AF481" s="53">
        <v>0.56546489576323045</v>
      </c>
      <c r="AG481" s="53" t="str" cm="1">
        <f t="array" ref="AG481">IF(OR(O481&lt;&gt;"", SUMPRODUCT(($AH$2:$AH$4999=AH481)*($AF$2:$AF$4999&lt;=AF481)) &lt;= (COUNTIF($AH$2:$AH$4999,AH481)*0.3)), "SORTEADO", "-")</f>
        <v>-</v>
      </c>
      <c r="AH481" s="257" t="str">
        <f t="shared" si="30"/>
        <v>17/04/2026</v>
      </c>
    </row>
    <row r="482" spans="1:34" ht="30" customHeight="1" x14ac:dyDescent="0.2">
      <c r="A482" s="230" t="s">
        <v>197</v>
      </c>
      <c r="B482" s="230">
        <v>2616333386</v>
      </c>
      <c r="C482" s="230" t="s">
        <v>135</v>
      </c>
      <c r="D482" s="230" t="s">
        <v>124</v>
      </c>
      <c r="E482" s="230" t="s">
        <v>198</v>
      </c>
      <c r="F482" s="230" t="s">
        <v>4041</v>
      </c>
      <c r="G482" s="230">
        <v>8</v>
      </c>
      <c r="H482" s="230"/>
      <c r="I482" s="230" t="s">
        <v>476</v>
      </c>
      <c r="J482" s="230" t="s">
        <v>3280</v>
      </c>
      <c r="K482" s="230" t="s">
        <v>4042</v>
      </c>
      <c r="L482" s="230" t="s">
        <v>1442</v>
      </c>
      <c r="M482" s="230" t="s">
        <v>4043</v>
      </c>
      <c r="N482" s="230" t="s">
        <v>209</v>
      </c>
      <c r="O482" s="158" t="s">
        <v>204</v>
      </c>
      <c r="P482" s="92"/>
      <c r="Q482" s="146" t="s">
        <v>204</v>
      </c>
      <c r="R482" s="92"/>
      <c r="S482" s="146" t="s">
        <v>204</v>
      </c>
      <c r="T482" s="92"/>
      <c r="U482" s="146" t="s">
        <v>204</v>
      </c>
      <c r="V482" s="92"/>
      <c r="W482" s="146" t="s">
        <v>204</v>
      </c>
      <c r="X482" s="92"/>
      <c r="Y482" s="146" t="s">
        <v>204</v>
      </c>
      <c r="Z482" s="186" t="str">
        <f t="shared" si="32"/>
        <v>C</v>
      </c>
      <c r="AA482" s="217" t="str">
        <f t="shared" si="31"/>
        <v>UTILIZOU O PDA CORRETAMENTE</v>
      </c>
      <c r="AB482" s="92" t="s">
        <v>204</v>
      </c>
      <c r="AC482" s="164" t="s">
        <v>6</v>
      </c>
      <c r="AD482" s="151" t="str">
        <f t="shared" si="33"/>
        <v>GUARULHOS</v>
      </c>
      <c r="AE482" s="96" t="s">
        <v>63</v>
      </c>
      <c r="AF482" s="53">
        <v>0.19020416385354624</v>
      </c>
      <c r="AG482" s="53" t="str" cm="1">
        <f t="array" ref="AG482">IF(OR(O482&lt;&gt;"", SUMPRODUCT(($AH$2:$AH$4999=AH482)*($AF$2:$AF$4999&lt;=AF482)) &lt;= (COUNTIF($AH$2:$AH$4999,AH482)*0.3)), "SORTEADO", "-")</f>
        <v>SORTEADO</v>
      </c>
      <c r="AH482" s="257" t="str">
        <f t="shared" si="30"/>
        <v>17/04/2026</v>
      </c>
    </row>
    <row r="483" spans="1:34" ht="30" hidden="1" customHeight="1" x14ac:dyDescent="0.2">
      <c r="A483" s="230" t="s">
        <v>197</v>
      </c>
      <c r="B483" s="230">
        <v>2616368339</v>
      </c>
      <c r="C483" s="230" t="s">
        <v>135</v>
      </c>
      <c r="D483" s="230" t="s">
        <v>124</v>
      </c>
      <c r="E483" s="230" t="s">
        <v>198</v>
      </c>
      <c r="F483" s="230" t="s">
        <v>585</v>
      </c>
      <c r="G483" s="230">
        <v>415</v>
      </c>
      <c r="H483" s="230" t="s">
        <v>4044</v>
      </c>
      <c r="I483" s="230" t="s">
        <v>247</v>
      </c>
      <c r="J483" s="230" t="s">
        <v>3280</v>
      </c>
      <c r="K483" s="230" t="s">
        <v>213</v>
      </c>
      <c r="L483" s="230" t="s">
        <v>1442</v>
      </c>
      <c r="M483" s="230" t="s">
        <v>4045</v>
      </c>
      <c r="N483" s="230" t="s">
        <v>3276</v>
      </c>
      <c r="O483" s="158"/>
      <c r="P483" s="92"/>
      <c r="Q483" s="146"/>
      <c r="R483" s="92"/>
      <c r="S483" s="146"/>
      <c r="T483" s="92"/>
      <c r="U483" s="146"/>
      <c r="V483" s="92"/>
      <c r="W483" s="146"/>
      <c r="X483" s="92"/>
      <c r="Y483" s="146"/>
      <c r="Z483" s="186" t="str">
        <f t="shared" si="32"/>
        <v/>
      </c>
      <c r="AA483" s="217" t="b">
        <f t="shared" si="31"/>
        <v>0</v>
      </c>
      <c r="AB483" s="92"/>
      <c r="AC483" s="164" t="s">
        <v>6</v>
      </c>
      <c r="AD483" s="151" t="str">
        <f t="shared" si="33"/>
        <v>GUARULHOS</v>
      </c>
      <c r="AE483" s="96" t="s">
        <v>63</v>
      </c>
      <c r="AF483" s="53">
        <v>0.51807338162679917</v>
      </c>
      <c r="AG483" s="53" t="str" cm="1">
        <f t="array" ref="AG483">IF(OR(O483&lt;&gt;"", SUMPRODUCT(($AH$2:$AH$4999=AH483)*($AF$2:$AF$4999&lt;=AF483)) &lt;= (COUNTIF($AH$2:$AH$4999,AH483)*0.3)), "SORTEADO", "-")</f>
        <v>-</v>
      </c>
      <c r="AH483" s="257" t="str">
        <f t="shared" si="30"/>
        <v>17/04/2026</v>
      </c>
    </row>
    <row r="484" spans="1:34" ht="30" hidden="1" customHeight="1" x14ac:dyDescent="0.2">
      <c r="A484" s="230" t="s">
        <v>197</v>
      </c>
      <c r="B484" s="230">
        <v>2690863374</v>
      </c>
      <c r="C484" s="230" t="s">
        <v>126</v>
      </c>
      <c r="D484" s="230" t="s">
        <v>63</v>
      </c>
      <c r="E484" s="230" t="s">
        <v>198</v>
      </c>
      <c r="F484" s="230" t="s">
        <v>966</v>
      </c>
      <c r="G484" s="230">
        <v>500</v>
      </c>
      <c r="H484" s="230" t="s">
        <v>4046</v>
      </c>
      <c r="I484" s="230" t="s">
        <v>588</v>
      </c>
      <c r="J484" s="230" t="s">
        <v>3271</v>
      </c>
      <c r="K484" s="230"/>
      <c r="L484" s="230" t="s">
        <v>1442</v>
      </c>
      <c r="M484" s="230" t="s">
        <v>4047</v>
      </c>
      <c r="N484" s="230" t="s">
        <v>260</v>
      </c>
      <c r="O484" s="158"/>
      <c r="P484" s="92"/>
      <c r="Q484" s="146"/>
      <c r="R484" s="92"/>
      <c r="S484" s="146"/>
      <c r="T484" s="92"/>
      <c r="U484" s="146"/>
      <c r="V484" s="92"/>
      <c r="W484" s="146"/>
      <c r="X484" s="92"/>
      <c r="Y484" s="146"/>
      <c r="Z484" s="186" t="str">
        <f t="shared" si="32"/>
        <v/>
      </c>
      <c r="AA484" s="217" t="b">
        <f t="shared" si="31"/>
        <v>0</v>
      </c>
      <c r="AB484" s="92"/>
      <c r="AC484" s="164" t="s">
        <v>6</v>
      </c>
      <c r="AD484" s="151" t="str">
        <f t="shared" si="33"/>
        <v>GUARULHOS</v>
      </c>
      <c r="AE484" s="96" t="s">
        <v>63</v>
      </c>
      <c r="AF484" s="53">
        <v>0.61907881014146737</v>
      </c>
      <c r="AG484" s="53" t="str" cm="1">
        <f t="array" ref="AG484">IF(OR(O484&lt;&gt;"", SUMPRODUCT(($AH$2:$AH$4999=AH484)*($AF$2:$AF$4999&lt;=AF484)) &lt;= (COUNTIF($AH$2:$AH$4999,AH484)*0.3)), "SORTEADO", "-")</f>
        <v>-</v>
      </c>
      <c r="AH484" s="257" t="str">
        <f t="shared" si="30"/>
        <v>17/04/2026</v>
      </c>
    </row>
    <row r="485" spans="1:34" ht="30" customHeight="1" x14ac:dyDescent="0.2">
      <c r="A485" s="230" t="s">
        <v>197</v>
      </c>
      <c r="B485" s="230">
        <v>2690847767</v>
      </c>
      <c r="C485" s="230" t="s">
        <v>133</v>
      </c>
      <c r="D485" s="230" t="s">
        <v>124</v>
      </c>
      <c r="E485" s="230" t="s">
        <v>198</v>
      </c>
      <c r="F485" s="230" t="s">
        <v>1907</v>
      </c>
      <c r="G485" s="230">
        <v>238</v>
      </c>
      <c r="H485" s="230" t="s">
        <v>276</v>
      </c>
      <c r="I485" s="230" t="s">
        <v>1575</v>
      </c>
      <c r="J485" s="230" t="s">
        <v>3275</v>
      </c>
      <c r="K485" s="230" t="s">
        <v>4048</v>
      </c>
      <c r="L485" s="230" t="s">
        <v>1442</v>
      </c>
      <c r="M485" s="230" t="s">
        <v>1469</v>
      </c>
      <c r="N485" s="230" t="s">
        <v>3289</v>
      </c>
      <c r="O485" s="158" t="s">
        <v>204</v>
      </c>
      <c r="P485" s="92"/>
      <c r="Q485" s="146" t="s">
        <v>204</v>
      </c>
      <c r="R485" s="92"/>
      <c r="S485" s="146" t="s">
        <v>204</v>
      </c>
      <c r="T485" s="92"/>
      <c r="U485" s="146" t="s">
        <v>204</v>
      </c>
      <c r="V485" s="92"/>
      <c r="W485" s="146" t="s">
        <v>204</v>
      </c>
      <c r="X485" s="92"/>
      <c r="Y485" s="146" t="s">
        <v>204</v>
      </c>
      <c r="Z485" s="186" t="str">
        <f t="shared" si="32"/>
        <v>C</v>
      </c>
      <c r="AA485" s="217" t="str">
        <f t="shared" si="31"/>
        <v>UTILIZOU O PDA CORRETAMENTE</v>
      </c>
      <c r="AB485" s="92" t="s">
        <v>204</v>
      </c>
      <c r="AC485" s="164" t="s">
        <v>6</v>
      </c>
      <c r="AD485" s="151" t="str">
        <f t="shared" si="33"/>
        <v>GUARULHOS</v>
      </c>
      <c r="AE485" s="96" t="s">
        <v>63</v>
      </c>
      <c r="AF485" s="53">
        <v>0.22748010599658347</v>
      </c>
      <c r="AG485" s="53" t="str" cm="1">
        <f t="array" ref="AG485">IF(OR(O485&lt;&gt;"", SUMPRODUCT(($AH$2:$AH$4999=AH485)*($AF$2:$AF$4999&lt;=AF485)) &lt;= (COUNTIF($AH$2:$AH$4999,AH485)*0.3)), "SORTEADO", "-")</f>
        <v>SORTEADO</v>
      </c>
      <c r="AH485" s="257" t="str">
        <f t="shared" si="30"/>
        <v>17/04/2026</v>
      </c>
    </row>
    <row r="486" spans="1:34" ht="30" hidden="1" customHeight="1" x14ac:dyDescent="0.2">
      <c r="A486" s="230" t="s">
        <v>197</v>
      </c>
      <c r="B486" s="230">
        <v>2690848591</v>
      </c>
      <c r="C486" s="230" t="s">
        <v>133</v>
      </c>
      <c r="D486" s="230" t="s">
        <v>124</v>
      </c>
      <c r="E486" s="230" t="s">
        <v>198</v>
      </c>
      <c r="F486" s="230" t="s">
        <v>1562</v>
      </c>
      <c r="G486" s="230">
        <v>3839</v>
      </c>
      <c r="H486" s="230" t="s">
        <v>4049</v>
      </c>
      <c r="I486" s="230" t="s">
        <v>1397</v>
      </c>
      <c r="J486" s="230" t="s">
        <v>3275</v>
      </c>
      <c r="K486" s="230" t="s">
        <v>4050</v>
      </c>
      <c r="L486" s="230" t="s">
        <v>1442</v>
      </c>
      <c r="M486" s="230" t="s">
        <v>4051</v>
      </c>
      <c r="N486" s="230" t="s">
        <v>3289</v>
      </c>
      <c r="O486" s="158"/>
      <c r="P486" s="92"/>
      <c r="Q486" s="146"/>
      <c r="R486" s="92"/>
      <c r="S486" s="146"/>
      <c r="T486" s="92"/>
      <c r="U486" s="146"/>
      <c r="V486" s="92"/>
      <c r="W486" s="146"/>
      <c r="X486" s="92"/>
      <c r="Y486" s="146"/>
      <c r="Z486" s="186" t="str">
        <f t="shared" si="32"/>
        <v/>
      </c>
      <c r="AA486" s="217" t="b">
        <f t="shared" si="31"/>
        <v>0</v>
      </c>
      <c r="AB486" s="92"/>
      <c r="AC486" s="164" t="s">
        <v>6</v>
      </c>
      <c r="AD486" s="151" t="str">
        <f t="shared" si="33"/>
        <v>GUARULHOS</v>
      </c>
      <c r="AE486" s="96" t="s">
        <v>63</v>
      </c>
      <c r="AF486" s="53">
        <v>0.91234458316319145</v>
      </c>
      <c r="AG486" s="53" t="str" cm="1">
        <f t="array" ref="AG486">IF(OR(O486&lt;&gt;"", SUMPRODUCT(($AH$2:$AH$4999=AH486)*($AF$2:$AF$4999&lt;=AF486)) &lt;= (COUNTIF($AH$2:$AH$4999,AH486)*0.3)), "SORTEADO", "-")</f>
        <v>-</v>
      </c>
      <c r="AH486" s="257" t="str">
        <f t="shared" si="30"/>
        <v>17/04/2026</v>
      </c>
    </row>
    <row r="487" spans="1:34" ht="30" customHeight="1" x14ac:dyDescent="0.2">
      <c r="A487" s="230" t="s">
        <v>197</v>
      </c>
      <c r="B487" s="230">
        <v>2690884534</v>
      </c>
      <c r="C487" s="230" t="s">
        <v>127</v>
      </c>
      <c r="D487" s="230" t="s">
        <v>63</v>
      </c>
      <c r="E487" s="230" t="s">
        <v>198</v>
      </c>
      <c r="F487" s="230" t="s">
        <v>4052</v>
      </c>
      <c r="G487" s="230">
        <v>195</v>
      </c>
      <c r="H487" s="230" t="s">
        <v>2949</v>
      </c>
      <c r="I487" s="230" t="s">
        <v>335</v>
      </c>
      <c r="J487" s="230" t="s">
        <v>3273</v>
      </c>
      <c r="K487" s="230" t="s">
        <v>213</v>
      </c>
      <c r="L487" s="230" t="s">
        <v>1531</v>
      </c>
      <c r="M487" s="230" t="s">
        <v>4053</v>
      </c>
      <c r="N487" s="230" t="s">
        <v>3341</v>
      </c>
      <c r="O487" s="158" t="s">
        <v>204</v>
      </c>
      <c r="P487" s="92"/>
      <c r="Q487" s="146" t="s">
        <v>204</v>
      </c>
      <c r="R487" s="92"/>
      <c r="S487" s="146" t="s">
        <v>204</v>
      </c>
      <c r="T487" s="92"/>
      <c r="U487" s="146" t="s">
        <v>204</v>
      </c>
      <c r="V487" s="92"/>
      <c r="W487" s="146" t="s">
        <v>204</v>
      </c>
      <c r="X487" s="92"/>
      <c r="Y487" s="146" t="s">
        <v>204</v>
      </c>
      <c r="Z487" s="186" t="str">
        <f t="shared" si="32"/>
        <v>C</v>
      </c>
      <c r="AA487" s="217" t="str">
        <f t="shared" si="31"/>
        <v>UTILIZOU O PDA CORRETAMENTE</v>
      </c>
      <c r="AB487" s="92" t="s">
        <v>204</v>
      </c>
      <c r="AC487" s="164" t="s">
        <v>6</v>
      </c>
      <c r="AD487" s="151" t="str">
        <f t="shared" si="33"/>
        <v>GUARULHOS</v>
      </c>
      <c r="AE487" s="96" t="s">
        <v>63</v>
      </c>
      <c r="AF487" s="53">
        <v>0.19345454331769005</v>
      </c>
      <c r="AG487" s="53" t="str" cm="1">
        <f t="array" ref="AG487">IF(OR(O487&lt;&gt;"", SUMPRODUCT(($AH$2:$AH$4999=AH487)*($AF$2:$AF$4999&lt;=AF487)) &lt;= (COUNTIF($AH$2:$AH$4999,AH487)*0.3)), "SORTEADO", "-")</f>
        <v>SORTEADO</v>
      </c>
      <c r="AH487" s="257" t="str">
        <f t="shared" si="30"/>
        <v>18/04/2026</v>
      </c>
    </row>
    <row r="488" spans="1:34" ht="30" hidden="1" customHeight="1" x14ac:dyDescent="0.2">
      <c r="A488" s="230" t="s">
        <v>197</v>
      </c>
      <c r="B488" s="230">
        <v>2690867964</v>
      </c>
      <c r="C488" s="230" t="s">
        <v>130</v>
      </c>
      <c r="D488" s="230" t="s">
        <v>63</v>
      </c>
      <c r="E488" s="230" t="s">
        <v>198</v>
      </c>
      <c r="F488" s="230" t="s">
        <v>4054</v>
      </c>
      <c r="G488" s="230">
        <v>11</v>
      </c>
      <c r="H488" s="230"/>
      <c r="I488" s="230" t="s">
        <v>1039</v>
      </c>
      <c r="J488" s="230" t="s">
        <v>3273</v>
      </c>
      <c r="K488" s="230"/>
      <c r="L488" s="230" t="s">
        <v>1531</v>
      </c>
      <c r="M488" s="230" t="s">
        <v>4055</v>
      </c>
      <c r="N488" s="230" t="s">
        <v>3341</v>
      </c>
      <c r="O488" s="158"/>
      <c r="P488" s="92"/>
      <c r="Q488" s="146"/>
      <c r="R488" s="92"/>
      <c r="S488" s="146"/>
      <c r="T488" s="92"/>
      <c r="U488" s="146"/>
      <c r="V488" s="92"/>
      <c r="W488" s="146"/>
      <c r="X488" s="92"/>
      <c r="Y488" s="146"/>
      <c r="Z488" s="186" t="str">
        <f t="shared" si="32"/>
        <v/>
      </c>
      <c r="AA488" s="217" t="b">
        <f t="shared" si="31"/>
        <v>0</v>
      </c>
      <c r="AB488" s="92"/>
      <c r="AC488" s="164" t="s">
        <v>6</v>
      </c>
      <c r="AD488" s="151" t="str">
        <f t="shared" si="33"/>
        <v>GUARULHOS</v>
      </c>
      <c r="AE488" s="96" t="s">
        <v>63</v>
      </c>
      <c r="AF488" s="53">
        <v>0.53866176407628963</v>
      </c>
      <c r="AG488" s="53" t="str" cm="1">
        <f t="array" ref="AG488">IF(OR(O488&lt;&gt;"", SUMPRODUCT(($AH$2:$AH$4999=AH488)*($AF$2:$AF$4999&lt;=AF488)) &lt;= (COUNTIF($AH$2:$AH$4999,AH488)*0.3)), "SORTEADO", "-")</f>
        <v>-</v>
      </c>
      <c r="AH488" s="257" t="str">
        <f t="shared" ref="AH488:AH551" si="34">TEXT(L488, "dd/mm/aaaa")</f>
        <v>18/04/2026</v>
      </c>
    </row>
    <row r="489" spans="1:34" ht="30" hidden="1" customHeight="1" x14ac:dyDescent="0.2">
      <c r="A489" s="230" t="s">
        <v>197</v>
      </c>
      <c r="B489" s="230">
        <v>2616385595</v>
      </c>
      <c r="C489" s="230" t="s">
        <v>127</v>
      </c>
      <c r="D489" s="230" t="s">
        <v>63</v>
      </c>
      <c r="E489" s="230" t="s">
        <v>198</v>
      </c>
      <c r="F489" s="230" t="s">
        <v>4056</v>
      </c>
      <c r="G489" s="230">
        <v>91</v>
      </c>
      <c r="H489" s="230" t="s">
        <v>252</v>
      </c>
      <c r="I489" s="230" t="s">
        <v>1809</v>
      </c>
      <c r="J489" s="230" t="s">
        <v>3271</v>
      </c>
      <c r="K489" s="230"/>
      <c r="L489" s="230" t="s">
        <v>1531</v>
      </c>
      <c r="M489" s="230" t="s">
        <v>4057</v>
      </c>
      <c r="N489" s="230" t="s">
        <v>3341</v>
      </c>
      <c r="O489" s="158"/>
      <c r="P489" s="92"/>
      <c r="Q489" s="146"/>
      <c r="R489" s="92"/>
      <c r="S489" s="146"/>
      <c r="T489" s="92"/>
      <c r="U489" s="146"/>
      <c r="V489" s="92"/>
      <c r="W489" s="146"/>
      <c r="X489" s="92"/>
      <c r="Y489" s="146"/>
      <c r="Z489" s="186" t="str">
        <f t="shared" si="32"/>
        <v/>
      </c>
      <c r="AA489" s="217" t="b">
        <f t="shared" si="31"/>
        <v>0</v>
      </c>
      <c r="AB489" s="92"/>
      <c r="AC489" s="164" t="s">
        <v>6</v>
      </c>
      <c r="AD489" s="151" t="str">
        <f t="shared" si="33"/>
        <v>GUARULHOS</v>
      </c>
      <c r="AE489" s="96" t="s">
        <v>63</v>
      </c>
      <c r="AF489" s="53">
        <v>0.62159258800728034</v>
      </c>
      <c r="AG489" s="53" t="str" cm="1">
        <f t="array" ref="AG489">IF(OR(O489&lt;&gt;"", SUMPRODUCT(($AH$2:$AH$4999=AH489)*($AF$2:$AF$4999&lt;=AF489)) &lt;= (COUNTIF($AH$2:$AH$4999,AH489)*0.3)), "SORTEADO", "-")</f>
        <v>-</v>
      </c>
      <c r="AH489" s="257" t="str">
        <f t="shared" si="34"/>
        <v>18/04/2026</v>
      </c>
    </row>
    <row r="490" spans="1:34" ht="30" customHeight="1" x14ac:dyDescent="0.2">
      <c r="A490" s="230" t="s">
        <v>197</v>
      </c>
      <c r="B490" s="230">
        <v>2690881123</v>
      </c>
      <c r="C490" s="230" t="s">
        <v>127</v>
      </c>
      <c r="D490" s="230" t="s">
        <v>63</v>
      </c>
      <c r="E490" s="230" t="s">
        <v>198</v>
      </c>
      <c r="F490" s="230" t="s">
        <v>4058</v>
      </c>
      <c r="G490" s="230">
        <v>315</v>
      </c>
      <c r="H490" s="230" t="s">
        <v>4059</v>
      </c>
      <c r="I490" s="230" t="s">
        <v>411</v>
      </c>
      <c r="J490" s="230" t="s">
        <v>3275</v>
      </c>
      <c r="K490" s="230" t="s">
        <v>213</v>
      </c>
      <c r="L490" s="230" t="s">
        <v>1531</v>
      </c>
      <c r="M490" s="230" t="s">
        <v>4060</v>
      </c>
      <c r="N490" s="230" t="s">
        <v>819</v>
      </c>
      <c r="O490" s="158" t="s">
        <v>204</v>
      </c>
      <c r="P490" s="92"/>
      <c r="Q490" s="146" t="s">
        <v>204</v>
      </c>
      <c r="R490" s="92"/>
      <c r="S490" s="146" t="s">
        <v>204</v>
      </c>
      <c r="T490" s="92"/>
      <c r="U490" s="146" t="s">
        <v>204</v>
      </c>
      <c r="V490" s="92"/>
      <c r="W490" s="146" t="s">
        <v>204</v>
      </c>
      <c r="X490" s="92"/>
      <c r="Y490" s="146" t="s">
        <v>204</v>
      </c>
      <c r="Z490" s="186" t="str">
        <f t="shared" si="32"/>
        <v>C</v>
      </c>
      <c r="AA490" s="217" t="str">
        <f t="shared" si="31"/>
        <v>UTILIZOU O PDA CORRETAMENTE</v>
      </c>
      <c r="AB490" s="92" t="s">
        <v>204</v>
      </c>
      <c r="AC490" s="164" t="s">
        <v>6</v>
      </c>
      <c r="AD490" s="151" t="str">
        <f t="shared" si="33"/>
        <v>GUARULHOS</v>
      </c>
      <c r="AE490" s="96" t="s">
        <v>63</v>
      </c>
      <c r="AF490" s="53">
        <v>7.5980053233857828E-2</v>
      </c>
      <c r="AG490" s="53" t="str" cm="1">
        <f t="array" ref="AG490">IF(OR(O490&lt;&gt;"", SUMPRODUCT(($AH$2:$AH$4999=AH490)*($AF$2:$AF$4999&lt;=AF490)) &lt;= (COUNTIF($AH$2:$AH$4999,AH490)*0.3)), "SORTEADO", "-")</f>
        <v>SORTEADO</v>
      </c>
      <c r="AH490" s="257" t="str">
        <f t="shared" si="34"/>
        <v>18/04/2026</v>
      </c>
    </row>
    <row r="491" spans="1:34" ht="30" hidden="1" customHeight="1" x14ac:dyDescent="0.2">
      <c r="A491" s="230" t="s">
        <v>197</v>
      </c>
      <c r="B491" s="230">
        <v>2690882234</v>
      </c>
      <c r="C491" s="230" t="s">
        <v>127</v>
      </c>
      <c r="D491" s="230" t="s">
        <v>63</v>
      </c>
      <c r="E491" s="230" t="s">
        <v>198</v>
      </c>
      <c r="F491" s="230" t="s">
        <v>2511</v>
      </c>
      <c r="G491" s="230">
        <v>284</v>
      </c>
      <c r="H491" s="230" t="s">
        <v>4061</v>
      </c>
      <c r="I491" s="230" t="s">
        <v>730</v>
      </c>
      <c r="J491" s="230" t="s">
        <v>3275</v>
      </c>
      <c r="K491" s="230" t="s">
        <v>213</v>
      </c>
      <c r="L491" s="230" t="s">
        <v>1531</v>
      </c>
      <c r="M491" s="230" t="s">
        <v>4062</v>
      </c>
      <c r="N491" s="230" t="s">
        <v>294</v>
      </c>
      <c r="O491" s="158"/>
      <c r="P491" s="92"/>
      <c r="Q491" s="146"/>
      <c r="R491" s="92"/>
      <c r="S491" s="146"/>
      <c r="T491" s="92"/>
      <c r="U491" s="146"/>
      <c r="V491" s="92"/>
      <c r="W491" s="146"/>
      <c r="X491" s="92"/>
      <c r="Y491" s="146"/>
      <c r="Z491" s="186" t="str">
        <f t="shared" si="32"/>
        <v/>
      </c>
      <c r="AA491" s="217" t="b">
        <f t="shared" si="31"/>
        <v>0</v>
      </c>
      <c r="AB491" s="92"/>
      <c r="AC491" s="164" t="s">
        <v>6</v>
      </c>
      <c r="AD491" s="151" t="str">
        <f t="shared" si="33"/>
        <v>GUARULHOS</v>
      </c>
      <c r="AE491" s="96" t="s">
        <v>63</v>
      </c>
      <c r="AF491" s="53">
        <v>0.35879392616915129</v>
      </c>
      <c r="AG491" s="53" t="str" cm="1">
        <f t="array" ref="AG491">IF(OR(O491&lt;&gt;"", SUMPRODUCT(($AH$2:$AH$4999=AH491)*($AF$2:$AF$4999&lt;=AF491)) &lt;= (COUNTIF($AH$2:$AH$4999,AH491)*0.3)), "SORTEADO", "-")</f>
        <v>-</v>
      </c>
      <c r="AH491" s="257" t="str">
        <f t="shared" si="34"/>
        <v>18/04/2026</v>
      </c>
    </row>
    <row r="492" spans="1:34" ht="30" customHeight="1" x14ac:dyDescent="0.2">
      <c r="A492" s="230" t="s">
        <v>197</v>
      </c>
      <c r="B492" s="230">
        <v>2616383338</v>
      </c>
      <c r="C492" s="230" t="s">
        <v>128</v>
      </c>
      <c r="D492" s="230" t="s">
        <v>124</v>
      </c>
      <c r="E492" s="230" t="s">
        <v>198</v>
      </c>
      <c r="F492" s="230" t="s">
        <v>2547</v>
      </c>
      <c r="G492" s="230">
        <v>231</v>
      </c>
      <c r="H492" s="230" t="s">
        <v>211</v>
      </c>
      <c r="I492" s="230" t="s">
        <v>2548</v>
      </c>
      <c r="J492" s="230" t="s">
        <v>3385</v>
      </c>
      <c r="K492" s="230"/>
      <c r="L492" s="230" t="s">
        <v>1531</v>
      </c>
      <c r="M492" s="230" t="s">
        <v>1550</v>
      </c>
      <c r="N492" s="230" t="s">
        <v>1099</v>
      </c>
      <c r="O492" s="158" t="s">
        <v>204</v>
      </c>
      <c r="P492" s="92"/>
      <c r="Q492" s="146" t="s">
        <v>204</v>
      </c>
      <c r="R492" s="92"/>
      <c r="S492" s="146" t="s">
        <v>204</v>
      </c>
      <c r="T492" s="92"/>
      <c r="U492" s="146" t="s">
        <v>204</v>
      </c>
      <c r="V492" s="92"/>
      <c r="W492" s="146" t="s">
        <v>204</v>
      </c>
      <c r="X492" s="92"/>
      <c r="Y492" s="146" t="s">
        <v>204</v>
      </c>
      <c r="Z492" s="186" t="str">
        <f t="shared" si="32"/>
        <v>C</v>
      </c>
      <c r="AA492" s="217" t="str">
        <f t="shared" si="31"/>
        <v>UTILIZOU O PDA CORRETAMENTE</v>
      </c>
      <c r="AB492" s="92" t="s">
        <v>204</v>
      </c>
      <c r="AC492" s="164" t="s">
        <v>6</v>
      </c>
      <c r="AD492" s="151" t="str">
        <f t="shared" si="33"/>
        <v>GUARULHOS</v>
      </c>
      <c r="AE492" s="96" t="s">
        <v>63</v>
      </c>
      <c r="AF492" s="53">
        <v>3.2451158014976507E-2</v>
      </c>
      <c r="AG492" s="53" t="str" cm="1">
        <f t="array" ref="AG492">IF(OR(O492&lt;&gt;"", SUMPRODUCT(($AH$2:$AH$4999=AH492)*($AF$2:$AF$4999&lt;=AF492)) &lt;= (COUNTIF($AH$2:$AH$4999,AH492)*0.3)), "SORTEADO", "-")</f>
        <v>SORTEADO</v>
      </c>
      <c r="AH492" s="257" t="str">
        <f t="shared" si="34"/>
        <v>18/04/2026</v>
      </c>
    </row>
    <row r="493" spans="1:34" ht="30" hidden="1" customHeight="1" x14ac:dyDescent="0.2">
      <c r="A493" s="230" t="s">
        <v>197</v>
      </c>
      <c r="B493" s="230">
        <v>2690915121</v>
      </c>
      <c r="C493" s="230" t="s">
        <v>127</v>
      </c>
      <c r="D493" s="230" t="s">
        <v>63</v>
      </c>
      <c r="E493" s="230" t="s">
        <v>198</v>
      </c>
      <c r="F493" s="230" t="s">
        <v>383</v>
      </c>
      <c r="G493" s="230">
        <v>82</v>
      </c>
      <c r="H493" s="230" t="s">
        <v>3962</v>
      </c>
      <c r="I493" s="230" t="s">
        <v>394</v>
      </c>
      <c r="J493" s="230" t="s">
        <v>3275</v>
      </c>
      <c r="K493" s="230" t="s">
        <v>213</v>
      </c>
      <c r="L493" s="230" t="s">
        <v>1531</v>
      </c>
      <c r="M493" s="230" t="s">
        <v>4063</v>
      </c>
      <c r="N493" s="230" t="s">
        <v>294</v>
      </c>
      <c r="O493" s="158"/>
      <c r="P493" s="92"/>
      <c r="Q493" s="146"/>
      <c r="R493" s="92"/>
      <c r="S493" s="146"/>
      <c r="T493" s="92"/>
      <c r="U493" s="146"/>
      <c r="V493" s="92"/>
      <c r="W493" s="146"/>
      <c r="X493" s="92"/>
      <c r="Y493" s="146"/>
      <c r="Z493" s="186" t="str">
        <f t="shared" si="32"/>
        <v/>
      </c>
      <c r="AA493" s="217" t="b">
        <f t="shared" si="31"/>
        <v>0</v>
      </c>
      <c r="AB493" s="92"/>
      <c r="AC493" s="164" t="s">
        <v>6</v>
      </c>
      <c r="AD493" s="151" t="str">
        <f t="shared" si="33"/>
        <v>GUARULHOS</v>
      </c>
      <c r="AE493" s="96" t="s">
        <v>63</v>
      </c>
      <c r="AF493" s="53">
        <v>0.27258329471140824</v>
      </c>
      <c r="AG493" s="53" t="str" cm="1">
        <f t="array" ref="AG493">IF(OR(O493&lt;&gt;"", SUMPRODUCT(($AH$2:$AH$4999=AH493)*($AF$2:$AF$4999&lt;=AF493)) &lt;= (COUNTIF($AH$2:$AH$4999,AH493)*0.3)), "SORTEADO", "-")</f>
        <v>-</v>
      </c>
      <c r="AH493" s="257" t="str">
        <f t="shared" si="34"/>
        <v>18/04/2026</v>
      </c>
    </row>
    <row r="494" spans="1:34" ht="30" hidden="1" customHeight="1" x14ac:dyDescent="0.2">
      <c r="A494" s="230" t="s">
        <v>197</v>
      </c>
      <c r="B494" s="230">
        <v>2616217014</v>
      </c>
      <c r="C494" s="230" t="s">
        <v>135</v>
      </c>
      <c r="D494" s="230" t="s">
        <v>124</v>
      </c>
      <c r="E494" s="230" t="s">
        <v>198</v>
      </c>
      <c r="F494" s="230" t="s">
        <v>4064</v>
      </c>
      <c r="G494" s="230">
        <v>21</v>
      </c>
      <c r="H494" s="230" t="s">
        <v>213</v>
      </c>
      <c r="I494" s="230" t="s">
        <v>3540</v>
      </c>
      <c r="J494" s="230" t="s">
        <v>3280</v>
      </c>
      <c r="K494" s="230" t="s">
        <v>213</v>
      </c>
      <c r="L494" s="230" t="s">
        <v>1531</v>
      </c>
      <c r="M494" s="230" t="s">
        <v>4065</v>
      </c>
      <c r="N494" s="230" t="s">
        <v>209</v>
      </c>
      <c r="O494" s="158"/>
      <c r="P494" s="92"/>
      <c r="Q494" s="146"/>
      <c r="R494" s="92"/>
      <c r="S494" s="146"/>
      <c r="T494" s="92"/>
      <c r="U494" s="146"/>
      <c r="V494" s="92"/>
      <c r="W494" s="146"/>
      <c r="X494" s="92"/>
      <c r="Y494" s="146"/>
      <c r="Z494" s="186" t="str">
        <f t="shared" si="32"/>
        <v/>
      </c>
      <c r="AA494" s="217" t="b">
        <f t="shared" si="31"/>
        <v>0</v>
      </c>
      <c r="AB494" s="92"/>
      <c r="AC494" s="164" t="s">
        <v>6</v>
      </c>
      <c r="AD494" s="151" t="str">
        <f t="shared" si="33"/>
        <v>GUARULHOS</v>
      </c>
      <c r="AE494" s="96" t="s">
        <v>63</v>
      </c>
      <c r="AF494" s="53">
        <v>0.20672293363009342</v>
      </c>
      <c r="AG494" s="53" t="str" cm="1">
        <f t="array" ref="AG494">IF(OR(O494&lt;&gt;"", SUMPRODUCT(($AH$2:$AH$4999=AH494)*($AF$2:$AF$4999&lt;=AF494)) &lt;= (COUNTIF($AH$2:$AH$4999,AH494)*0.3)), "SORTEADO", "-")</f>
        <v>-</v>
      </c>
      <c r="AH494" s="257" t="str">
        <f t="shared" si="34"/>
        <v>18/04/2026</v>
      </c>
    </row>
    <row r="495" spans="1:34" ht="30" hidden="1" customHeight="1" x14ac:dyDescent="0.2">
      <c r="A495" s="230" t="s">
        <v>197</v>
      </c>
      <c r="B495" s="230">
        <v>2615737770</v>
      </c>
      <c r="C495" s="230" t="s">
        <v>135</v>
      </c>
      <c r="D495" s="230" t="s">
        <v>124</v>
      </c>
      <c r="E495" s="230" t="s">
        <v>198</v>
      </c>
      <c r="F495" s="230" t="s">
        <v>4066</v>
      </c>
      <c r="G495" s="230">
        <v>189</v>
      </c>
      <c r="H495" s="230"/>
      <c r="I495" s="230" t="s">
        <v>356</v>
      </c>
      <c r="J495" s="230" t="s">
        <v>3280</v>
      </c>
      <c r="K495" s="230"/>
      <c r="L495" s="230" t="s">
        <v>1531</v>
      </c>
      <c r="M495" s="230" t="s">
        <v>4067</v>
      </c>
      <c r="N495" s="230" t="s">
        <v>209</v>
      </c>
      <c r="O495" s="158"/>
      <c r="P495" s="92"/>
      <c r="Q495" s="146"/>
      <c r="R495" s="92"/>
      <c r="S495" s="146"/>
      <c r="T495" s="92"/>
      <c r="U495" s="146"/>
      <c r="V495" s="92"/>
      <c r="W495" s="146"/>
      <c r="X495" s="92"/>
      <c r="Y495" s="146"/>
      <c r="Z495" s="186" t="str">
        <f t="shared" si="32"/>
        <v/>
      </c>
      <c r="AA495" s="217" t="b">
        <f t="shared" si="31"/>
        <v>0</v>
      </c>
      <c r="AB495" s="92"/>
      <c r="AC495" s="164" t="s">
        <v>6</v>
      </c>
      <c r="AD495" s="151" t="str">
        <f t="shared" si="33"/>
        <v>GUARULHOS</v>
      </c>
      <c r="AE495" s="96" t="s">
        <v>63</v>
      </c>
      <c r="AF495" s="53">
        <v>0.75928459311580365</v>
      </c>
      <c r="AG495" s="53" t="str" cm="1">
        <f t="array" ref="AG495">IF(OR(O495&lt;&gt;"", SUMPRODUCT(($AH$2:$AH$4999=AH495)*($AF$2:$AF$4999&lt;=AF495)) &lt;= (COUNTIF($AH$2:$AH$4999,AH495)*0.3)), "SORTEADO", "-")</f>
        <v>-</v>
      </c>
      <c r="AH495" s="257" t="str">
        <f t="shared" si="34"/>
        <v>18/04/2026</v>
      </c>
    </row>
    <row r="496" spans="1:34" ht="30" hidden="1" customHeight="1" x14ac:dyDescent="0.2">
      <c r="A496" s="230" t="s">
        <v>197</v>
      </c>
      <c r="B496" s="230">
        <v>2690953016</v>
      </c>
      <c r="C496" s="230" t="s">
        <v>127</v>
      </c>
      <c r="D496" s="230" t="s">
        <v>63</v>
      </c>
      <c r="E496" s="230" t="s">
        <v>198</v>
      </c>
      <c r="F496" s="230" t="s">
        <v>4068</v>
      </c>
      <c r="G496" s="230">
        <v>53</v>
      </c>
      <c r="H496" s="230" t="s">
        <v>4069</v>
      </c>
      <c r="I496" s="230" t="s">
        <v>398</v>
      </c>
      <c r="J496" s="230" t="s">
        <v>3271</v>
      </c>
      <c r="K496" s="230" t="s">
        <v>4070</v>
      </c>
      <c r="L496" s="230" t="s">
        <v>1531</v>
      </c>
      <c r="M496" s="230" t="s">
        <v>4071</v>
      </c>
      <c r="N496" s="230" t="s">
        <v>1099</v>
      </c>
      <c r="O496" s="233" t="s">
        <v>61</v>
      </c>
      <c r="P496" s="169"/>
      <c r="Q496" s="144" t="s">
        <v>61</v>
      </c>
      <c r="R496" s="56"/>
      <c r="S496" s="144" t="s">
        <v>61</v>
      </c>
      <c r="T496" s="56"/>
      <c r="U496" s="144" t="s">
        <v>61</v>
      </c>
      <c r="V496" s="56"/>
      <c r="W496" s="144" t="s">
        <v>61</v>
      </c>
      <c r="X496" s="56"/>
      <c r="Y496" s="144" t="s">
        <v>61</v>
      </c>
      <c r="Z496" s="186" t="str">
        <f t="shared" si="32"/>
        <v>NA</v>
      </c>
      <c r="AA496" s="217" t="str">
        <f t="shared" si="31"/>
        <v>NÃO AVALIADO POR FALHA DE SINCRONISMO</v>
      </c>
      <c r="AB496" s="92" t="s">
        <v>204</v>
      </c>
      <c r="AC496" s="164" t="s">
        <v>6</v>
      </c>
      <c r="AD496" s="151" t="str">
        <f t="shared" si="33"/>
        <v>GUARULHOS</v>
      </c>
      <c r="AE496" s="96" t="s">
        <v>63</v>
      </c>
      <c r="AF496" s="53">
        <v>-9.9000000000000005E-2</v>
      </c>
      <c r="AG496" s="53" t="str" cm="1">
        <f t="array" ref="AG496">IF(OR(O496&lt;&gt;"", SUMPRODUCT(($AH$2:$AH$4999=AH496)*($AF$2:$AF$4999&lt;=AF496)) &lt;= (COUNTIF($AH$2:$AH$4999,AH496)*0.3)), "SORTEADO", "-")</f>
        <v>SORTEADO</v>
      </c>
      <c r="AH496" s="257" t="str">
        <f t="shared" si="34"/>
        <v>18/04/2026</v>
      </c>
    </row>
    <row r="497" spans="1:34" ht="30" hidden="1" customHeight="1" x14ac:dyDescent="0.2">
      <c r="A497" s="230" t="s">
        <v>197</v>
      </c>
      <c r="B497" s="230">
        <v>2690953615</v>
      </c>
      <c r="C497" s="230" t="s">
        <v>127</v>
      </c>
      <c r="D497" s="230" t="s">
        <v>63</v>
      </c>
      <c r="E497" s="230" t="s">
        <v>198</v>
      </c>
      <c r="F497" s="230" t="s">
        <v>3594</v>
      </c>
      <c r="G497" s="230">
        <v>543</v>
      </c>
      <c r="H497" s="230" t="s">
        <v>3293</v>
      </c>
      <c r="I497" s="230" t="s">
        <v>335</v>
      </c>
      <c r="J497" s="230" t="s">
        <v>3271</v>
      </c>
      <c r="K497" s="230"/>
      <c r="L497" s="230" t="s">
        <v>1531</v>
      </c>
      <c r="M497" s="230" t="s">
        <v>4072</v>
      </c>
      <c r="N497" s="230" t="s">
        <v>3341</v>
      </c>
      <c r="O497" s="158"/>
      <c r="P497" s="92"/>
      <c r="Q497" s="146"/>
      <c r="R497" s="92"/>
      <c r="S497" s="146"/>
      <c r="T497" s="92"/>
      <c r="U497" s="146"/>
      <c r="V497" s="92"/>
      <c r="W497" s="146"/>
      <c r="X497" s="92"/>
      <c r="Y497" s="146"/>
      <c r="Z497" s="186" t="str">
        <f t="shared" si="32"/>
        <v/>
      </c>
      <c r="AA497" s="217" t="b">
        <f t="shared" si="31"/>
        <v>0</v>
      </c>
      <c r="AB497" s="92"/>
      <c r="AC497" s="164" t="s">
        <v>6</v>
      </c>
      <c r="AD497" s="151" t="str">
        <f t="shared" si="33"/>
        <v>GUARULHOS</v>
      </c>
      <c r="AE497" s="96" t="s">
        <v>63</v>
      </c>
      <c r="AF497" s="53">
        <v>0.90030070031123877</v>
      </c>
      <c r="AG497" s="53" t="str" cm="1">
        <f t="array" ref="AG497">IF(OR(O497&lt;&gt;"", SUMPRODUCT(($AH$2:$AH$4999=AH497)*($AF$2:$AF$4999&lt;=AF497)) &lt;= (COUNTIF($AH$2:$AH$4999,AH497)*0.3)), "SORTEADO", "-")</f>
        <v>-</v>
      </c>
      <c r="AH497" s="257" t="str">
        <f t="shared" si="34"/>
        <v>18/04/2026</v>
      </c>
    </row>
    <row r="498" spans="1:34" ht="30" customHeight="1" x14ac:dyDescent="0.2">
      <c r="A498" s="230" t="s">
        <v>197</v>
      </c>
      <c r="B498" s="230">
        <v>2690895410</v>
      </c>
      <c r="C498" s="230" t="s">
        <v>133</v>
      </c>
      <c r="D498" s="230" t="s">
        <v>124</v>
      </c>
      <c r="E498" s="230" t="s">
        <v>198</v>
      </c>
      <c r="F498" s="230" t="s">
        <v>1344</v>
      </c>
      <c r="G498" s="230">
        <v>317</v>
      </c>
      <c r="H498" s="230" t="s">
        <v>276</v>
      </c>
      <c r="I498" s="230" t="s">
        <v>447</v>
      </c>
      <c r="J498" s="230" t="s">
        <v>3275</v>
      </c>
      <c r="K498" s="230" t="s">
        <v>3303</v>
      </c>
      <c r="L498" s="230" t="s">
        <v>1531</v>
      </c>
      <c r="M498" s="230" t="s">
        <v>4073</v>
      </c>
      <c r="N498" s="230" t="s">
        <v>819</v>
      </c>
      <c r="O498" s="158" t="s">
        <v>204</v>
      </c>
      <c r="P498" s="92"/>
      <c r="Q498" s="146" t="s">
        <v>204</v>
      </c>
      <c r="R498" s="92"/>
      <c r="S498" s="146" t="s">
        <v>204</v>
      </c>
      <c r="T498" s="92"/>
      <c r="U498" s="146" t="s">
        <v>204</v>
      </c>
      <c r="V498" s="92"/>
      <c r="W498" s="146" t="s">
        <v>204</v>
      </c>
      <c r="X498" s="92"/>
      <c r="Y498" s="146" t="s">
        <v>204</v>
      </c>
      <c r="Z498" s="186" t="str">
        <f t="shared" si="32"/>
        <v>C</v>
      </c>
      <c r="AA498" s="217" t="str">
        <f t="shared" si="31"/>
        <v>UTILIZOU O PDA CORRETAMENTE</v>
      </c>
      <c r="AB498" s="92" t="s">
        <v>204</v>
      </c>
      <c r="AC498" s="164" t="s">
        <v>6</v>
      </c>
      <c r="AD498" s="151" t="str">
        <f t="shared" si="33"/>
        <v>GUARULHOS</v>
      </c>
      <c r="AE498" s="96" t="s">
        <v>63</v>
      </c>
      <c r="AF498" s="53">
        <v>3.325937636906473E-2</v>
      </c>
      <c r="AG498" s="53" t="str" cm="1">
        <f t="array" ref="AG498">IF(OR(O498&lt;&gt;"", SUMPRODUCT(($AH$2:$AH$4999=AH498)*($AF$2:$AF$4999&lt;=AF498)) &lt;= (COUNTIF($AH$2:$AH$4999,AH498)*0.3)), "SORTEADO", "-")</f>
        <v>SORTEADO</v>
      </c>
      <c r="AH498" s="257" t="str">
        <f t="shared" si="34"/>
        <v>18/04/2026</v>
      </c>
    </row>
    <row r="499" spans="1:34" ht="30" hidden="1" customHeight="1" x14ac:dyDescent="0.2">
      <c r="A499" s="230" t="s">
        <v>197</v>
      </c>
      <c r="B499" s="230">
        <v>2616363982</v>
      </c>
      <c r="C499" s="230" t="s">
        <v>133</v>
      </c>
      <c r="D499" s="230" t="s">
        <v>124</v>
      </c>
      <c r="E499" s="230" t="s">
        <v>198</v>
      </c>
      <c r="F499" s="230" t="s">
        <v>4074</v>
      </c>
      <c r="G499" s="230">
        <v>316</v>
      </c>
      <c r="H499" s="230" t="s">
        <v>211</v>
      </c>
      <c r="I499" s="230" t="s">
        <v>531</v>
      </c>
      <c r="J499" s="230" t="s">
        <v>3275</v>
      </c>
      <c r="K499" s="230" t="s">
        <v>3303</v>
      </c>
      <c r="L499" s="230" t="s">
        <v>1531</v>
      </c>
      <c r="M499" s="230" t="s">
        <v>4075</v>
      </c>
      <c r="N499" s="230" t="s">
        <v>819</v>
      </c>
      <c r="O499" s="158"/>
      <c r="P499" s="92"/>
      <c r="Q499" s="146"/>
      <c r="R499" s="92"/>
      <c r="S499" s="146"/>
      <c r="T499" s="92"/>
      <c r="U499" s="146"/>
      <c r="V499" s="92"/>
      <c r="W499" s="146"/>
      <c r="X499" s="92"/>
      <c r="Y499" s="146"/>
      <c r="Z499" s="186" t="str">
        <f t="shared" si="32"/>
        <v/>
      </c>
      <c r="AA499" s="217" t="b">
        <f t="shared" si="31"/>
        <v>0</v>
      </c>
      <c r="AB499" s="92"/>
      <c r="AC499" s="164" t="s">
        <v>6</v>
      </c>
      <c r="AD499" s="151" t="str">
        <f t="shared" si="33"/>
        <v>GUARULHOS</v>
      </c>
      <c r="AE499" s="96" t="s">
        <v>63</v>
      </c>
      <c r="AF499" s="53">
        <v>0.3818681841092495</v>
      </c>
      <c r="AG499" s="53" t="str" cm="1">
        <f t="array" ref="AG499">IF(OR(O499&lt;&gt;"", SUMPRODUCT(($AH$2:$AH$4999=AH499)*($AF$2:$AF$4999&lt;=AF499)) &lt;= (COUNTIF($AH$2:$AH$4999,AH499)*0.3)), "SORTEADO", "-")</f>
        <v>-</v>
      </c>
      <c r="AH499" s="257" t="str">
        <f t="shared" si="34"/>
        <v>18/04/2026</v>
      </c>
    </row>
    <row r="500" spans="1:34" ht="30" hidden="1" customHeight="1" x14ac:dyDescent="0.2">
      <c r="A500" s="230" t="s">
        <v>197</v>
      </c>
      <c r="B500" s="230">
        <v>2690967974</v>
      </c>
      <c r="C500" s="230" t="s">
        <v>127</v>
      </c>
      <c r="D500" s="230" t="s">
        <v>63</v>
      </c>
      <c r="E500" s="230" t="s">
        <v>198</v>
      </c>
      <c r="F500" s="230" t="s">
        <v>4076</v>
      </c>
      <c r="G500" s="230">
        <v>31</v>
      </c>
      <c r="H500" s="230"/>
      <c r="I500" s="230" t="s">
        <v>840</v>
      </c>
      <c r="J500" s="230" t="s">
        <v>3275</v>
      </c>
      <c r="K500" s="230"/>
      <c r="L500" s="230" t="s">
        <v>1531</v>
      </c>
      <c r="M500" s="230" t="s">
        <v>4077</v>
      </c>
      <c r="N500" s="230" t="s">
        <v>819</v>
      </c>
      <c r="O500" s="158"/>
      <c r="P500" s="92"/>
      <c r="Q500" s="146"/>
      <c r="R500" s="92"/>
      <c r="S500" s="146"/>
      <c r="T500" s="92"/>
      <c r="U500" s="146"/>
      <c r="V500" s="92"/>
      <c r="W500" s="146"/>
      <c r="X500" s="92"/>
      <c r="Y500" s="146"/>
      <c r="Z500" s="186" t="str">
        <f t="shared" si="32"/>
        <v/>
      </c>
      <c r="AA500" s="217" t="b">
        <f t="shared" si="31"/>
        <v>0</v>
      </c>
      <c r="AB500" s="92"/>
      <c r="AC500" s="164" t="s">
        <v>6</v>
      </c>
      <c r="AD500" s="151" t="str">
        <f t="shared" si="33"/>
        <v>GUARULHOS</v>
      </c>
      <c r="AE500" s="96" t="s">
        <v>63</v>
      </c>
      <c r="AF500" s="53">
        <v>0.58478788626916811</v>
      </c>
      <c r="AG500" s="53" t="str" cm="1">
        <f t="array" ref="AG500">IF(OR(O500&lt;&gt;"", SUMPRODUCT(($AH$2:$AH$4999=AH500)*($AF$2:$AF$4999&lt;=AF500)) &lt;= (COUNTIF($AH$2:$AH$4999,AH500)*0.3)), "SORTEADO", "-")</f>
        <v>-</v>
      </c>
      <c r="AH500" s="257" t="str">
        <f t="shared" si="34"/>
        <v>18/04/2026</v>
      </c>
    </row>
    <row r="501" spans="1:34" ht="30" hidden="1" customHeight="1" x14ac:dyDescent="0.2">
      <c r="A501" s="230" t="s">
        <v>197</v>
      </c>
      <c r="B501" s="230">
        <v>2690968991</v>
      </c>
      <c r="C501" s="230" t="s">
        <v>127</v>
      </c>
      <c r="D501" s="230" t="s">
        <v>63</v>
      </c>
      <c r="E501" s="230" t="s">
        <v>198</v>
      </c>
      <c r="F501" s="230" t="s">
        <v>4078</v>
      </c>
      <c r="G501" s="230">
        <v>93</v>
      </c>
      <c r="H501" s="230" t="s">
        <v>206</v>
      </c>
      <c r="I501" s="230" t="s">
        <v>683</v>
      </c>
      <c r="J501" s="230" t="s">
        <v>3275</v>
      </c>
      <c r="K501" s="230" t="s">
        <v>3727</v>
      </c>
      <c r="L501" s="230" t="s">
        <v>1531</v>
      </c>
      <c r="M501" s="230" t="s">
        <v>1534</v>
      </c>
      <c r="N501" s="230" t="s">
        <v>819</v>
      </c>
      <c r="O501" s="158"/>
      <c r="P501" s="92"/>
      <c r="Q501" s="146"/>
      <c r="R501" s="92"/>
      <c r="S501" s="146"/>
      <c r="T501" s="92"/>
      <c r="U501" s="146"/>
      <c r="V501" s="92"/>
      <c r="W501" s="146"/>
      <c r="X501" s="92"/>
      <c r="Y501" s="146"/>
      <c r="Z501" s="186" t="str">
        <f t="shared" si="32"/>
        <v/>
      </c>
      <c r="AA501" s="217" t="b">
        <f t="shared" si="31"/>
        <v>0</v>
      </c>
      <c r="AB501" s="92"/>
      <c r="AC501" s="164" t="s">
        <v>6</v>
      </c>
      <c r="AD501" s="151" t="str">
        <f t="shared" si="33"/>
        <v>GUARULHOS</v>
      </c>
      <c r="AE501" s="96" t="s">
        <v>63</v>
      </c>
      <c r="AF501" s="53">
        <v>0.43605708407396893</v>
      </c>
      <c r="AG501" s="53" t="str" cm="1">
        <f t="array" ref="AG501">IF(OR(O501&lt;&gt;"", SUMPRODUCT(($AH$2:$AH$4999=AH501)*($AF$2:$AF$4999&lt;=AF501)) &lt;= (COUNTIF($AH$2:$AH$4999,AH501)*0.3)), "SORTEADO", "-")</f>
        <v>-</v>
      </c>
      <c r="AH501" s="257" t="str">
        <f t="shared" si="34"/>
        <v>18/04/2026</v>
      </c>
    </row>
    <row r="502" spans="1:34" ht="30" hidden="1" customHeight="1" x14ac:dyDescent="0.2">
      <c r="A502" s="230" t="s">
        <v>197</v>
      </c>
      <c r="B502" s="230">
        <v>2690896602</v>
      </c>
      <c r="C502" s="230" t="s">
        <v>133</v>
      </c>
      <c r="D502" s="230" t="s">
        <v>124</v>
      </c>
      <c r="E502" s="230" t="s">
        <v>198</v>
      </c>
      <c r="F502" s="230" t="s">
        <v>4079</v>
      </c>
      <c r="G502" s="230">
        <v>132</v>
      </c>
      <c r="H502" s="230" t="s">
        <v>1353</v>
      </c>
      <c r="I502" s="230" t="s">
        <v>509</v>
      </c>
      <c r="J502" s="230" t="s">
        <v>3275</v>
      </c>
      <c r="K502" s="230" t="s">
        <v>213</v>
      </c>
      <c r="L502" s="230" t="s">
        <v>1531</v>
      </c>
      <c r="M502" s="230" t="s">
        <v>4080</v>
      </c>
      <c r="N502" s="230" t="s">
        <v>3338</v>
      </c>
      <c r="O502" s="158"/>
      <c r="P502" s="92"/>
      <c r="Q502" s="146"/>
      <c r="R502" s="92"/>
      <c r="S502" s="146"/>
      <c r="T502" s="92"/>
      <c r="U502" s="146"/>
      <c r="V502" s="92"/>
      <c r="W502" s="146"/>
      <c r="X502" s="92"/>
      <c r="Y502" s="146"/>
      <c r="Z502" s="186" t="str">
        <f t="shared" si="32"/>
        <v/>
      </c>
      <c r="AA502" s="217" t="b">
        <f t="shared" si="31"/>
        <v>0</v>
      </c>
      <c r="AB502" s="92"/>
      <c r="AC502" s="164" t="s">
        <v>6</v>
      </c>
      <c r="AD502" s="151" t="str">
        <f t="shared" si="33"/>
        <v>GUARULHOS</v>
      </c>
      <c r="AE502" s="96" t="s">
        <v>63</v>
      </c>
      <c r="AF502" s="53">
        <v>0.43139463557477642</v>
      </c>
      <c r="AG502" s="53" t="str" cm="1">
        <f t="array" ref="AG502">IF(OR(O502&lt;&gt;"", SUMPRODUCT(($AH$2:$AH$4999=AH502)*($AF$2:$AF$4999&lt;=AF502)) &lt;= (COUNTIF($AH$2:$AH$4999,AH502)*0.3)), "SORTEADO", "-")</f>
        <v>-</v>
      </c>
      <c r="AH502" s="257" t="str">
        <f t="shared" si="34"/>
        <v>18/04/2026</v>
      </c>
    </row>
    <row r="503" spans="1:34" ht="30" hidden="1" customHeight="1" x14ac:dyDescent="0.2">
      <c r="A503" s="230" t="s">
        <v>197</v>
      </c>
      <c r="B503" s="230">
        <v>2690888303</v>
      </c>
      <c r="C503" s="230" t="s">
        <v>133</v>
      </c>
      <c r="D503" s="230" t="s">
        <v>124</v>
      </c>
      <c r="E503" s="230" t="s">
        <v>198</v>
      </c>
      <c r="F503" s="230" t="s">
        <v>2269</v>
      </c>
      <c r="G503" s="230">
        <v>224</v>
      </c>
      <c r="H503" s="230"/>
      <c r="I503" s="230" t="s">
        <v>509</v>
      </c>
      <c r="J503" s="230" t="s">
        <v>3275</v>
      </c>
      <c r="K503" s="230"/>
      <c r="L503" s="230" t="s">
        <v>1531</v>
      </c>
      <c r="M503" s="230" t="s">
        <v>4081</v>
      </c>
      <c r="N503" s="230" t="s">
        <v>3338</v>
      </c>
      <c r="O503" s="158"/>
      <c r="P503" s="92"/>
      <c r="Q503" s="146"/>
      <c r="R503" s="92"/>
      <c r="S503" s="146"/>
      <c r="T503" s="92"/>
      <c r="U503" s="146"/>
      <c r="V503" s="92"/>
      <c r="W503" s="146"/>
      <c r="X503" s="92"/>
      <c r="Y503" s="146"/>
      <c r="Z503" s="186" t="str">
        <f t="shared" si="32"/>
        <v/>
      </c>
      <c r="AA503" s="217" t="b">
        <f t="shared" si="31"/>
        <v>0</v>
      </c>
      <c r="AB503" s="92"/>
      <c r="AC503" s="164" t="s">
        <v>6</v>
      </c>
      <c r="AD503" s="151" t="str">
        <f t="shared" si="33"/>
        <v>GUARULHOS</v>
      </c>
      <c r="AE503" s="96" t="s">
        <v>63</v>
      </c>
      <c r="AF503" s="53">
        <v>0.66360707859560664</v>
      </c>
      <c r="AG503" s="53" t="str" cm="1">
        <f t="array" ref="AG503">IF(OR(O503&lt;&gt;"", SUMPRODUCT(($AH$2:$AH$4999=AH503)*($AF$2:$AF$4999&lt;=AF503)) &lt;= (COUNTIF($AH$2:$AH$4999,AH503)*0.3)), "SORTEADO", "-")</f>
        <v>-</v>
      </c>
      <c r="AH503" s="257" t="str">
        <f t="shared" si="34"/>
        <v>18/04/2026</v>
      </c>
    </row>
    <row r="504" spans="1:34" ht="30" hidden="1" customHeight="1" x14ac:dyDescent="0.2">
      <c r="A504" s="230" t="s">
        <v>197</v>
      </c>
      <c r="B504" s="230">
        <v>2616539515</v>
      </c>
      <c r="C504" s="230" t="s">
        <v>133</v>
      </c>
      <c r="D504" s="230" t="s">
        <v>124</v>
      </c>
      <c r="E504" s="230" t="s">
        <v>198</v>
      </c>
      <c r="F504" s="230" t="s">
        <v>632</v>
      </c>
      <c r="G504" s="230">
        <v>282</v>
      </c>
      <c r="H504" s="230" t="s">
        <v>4082</v>
      </c>
      <c r="I504" s="230" t="s">
        <v>301</v>
      </c>
      <c r="J504" s="230" t="s">
        <v>3275</v>
      </c>
      <c r="K504" s="230"/>
      <c r="L504" s="230" t="s">
        <v>1531</v>
      </c>
      <c r="M504" s="230" t="s">
        <v>4083</v>
      </c>
      <c r="N504" s="230" t="s">
        <v>3338</v>
      </c>
      <c r="O504" s="158"/>
      <c r="P504" s="92"/>
      <c r="Q504" s="146"/>
      <c r="R504" s="92"/>
      <c r="S504" s="146"/>
      <c r="T504" s="92"/>
      <c r="U504" s="146"/>
      <c r="V504" s="92"/>
      <c r="W504" s="146"/>
      <c r="X504" s="92"/>
      <c r="Y504" s="146"/>
      <c r="Z504" s="186" t="str">
        <f t="shared" si="32"/>
        <v/>
      </c>
      <c r="AA504" s="217" t="b">
        <f t="shared" si="31"/>
        <v>0</v>
      </c>
      <c r="AB504" s="92"/>
      <c r="AC504" s="164" t="s">
        <v>6</v>
      </c>
      <c r="AD504" s="151" t="str">
        <f t="shared" si="33"/>
        <v>GUARULHOS</v>
      </c>
      <c r="AE504" s="96" t="s">
        <v>63</v>
      </c>
      <c r="AF504" s="53">
        <v>0.2943028309732128</v>
      </c>
      <c r="AG504" s="53" t="str" cm="1">
        <f t="array" ref="AG504">IF(OR(O504&lt;&gt;"", SUMPRODUCT(($AH$2:$AH$4999=AH504)*($AF$2:$AF$4999&lt;=AF504)) &lt;= (COUNTIF($AH$2:$AH$4999,AH504)*0.3)), "SORTEADO", "-")</f>
        <v>-</v>
      </c>
      <c r="AH504" s="257" t="str">
        <f t="shared" si="34"/>
        <v>18/04/2026</v>
      </c>
    </row>
    <row r="505" spans="1:34" ht="30" hidden="1" customHeight="1" x14ac:dyDescent="0.2">
      <c r="A505" s="230" t="s">
        <v>197</v>
      </c>
      <c r="B505" s="230">
        <v>2616531629</v>
      </c>
      <c r="C505" s="230" t="s">
        <v>127</v>
      </c>
      <c r="D505" s="230" t="s">
        <v>63</v>
      </c>
      <c r="E505" s="230" t="s">
        <v>198</v>
      </c>
      <c r="F505" s="230" t="s">
        <v>1544</v>
      </c>
      <c r="G505" s="230">
        <v>95</v>
      </c>
      <c r="H505" s="230" t="s">
        <v>246</v>
      </c>
      <c r="I505" s="230" t="s">
        <v>1546</v>
      </c>
      <c r="J505" s="230" t="s">
        <v>3275</v>
      </c>
      <c r="K505" s="230" t="s">
        <v>213</v>
      </c>
      <c r="L505" s="230" t="s">
        <v>1531</v>
      </c>
      <c r="M505" s="230" t="s">
        <v>4084</v>
      </c>
      <c r="N505" s="230" t="s">
        <v>294</v>
      </c>
      <c r="O505" s="158"/>
      <c r="P505" s="92"/>
      <c r="Q505" s="146"/>
      <c r="R505" s="92"/>
      <c r="S505" s="146"/>
      <c r="T505" s="92"/>
      <c r="U505" s="146"/>
      <c r="V505" s="92"/>
      <c r="W505" s="146"/>
      <c r="X505" s="92"/>
      <c r="Y505" s="146"/>
      <c r="Z505" s="186" t="str">
        <f t="shared" si="32"/>
        <v/>
      </c>
      <c r="AA505" s="217" t="b">
        <f t="shared" si="31"/>
        <v>0</v>
      </c>
      <c r="AB505" s="92"/>
      <c r="AC505" s="164" t="s">
        <v>6</v>
      </c>
      <c r="AD505" s="151" t="str">
        <f t="shared" si="33"/>
        <v>GUARULHOS</v>
      </c>
      <c r="AE505" s="96" t="s">
        <v>63</v>
      </c>
      <c r="AF505" s="53">
        <v>0.52098801981663256</v>
      </c>
      <c r="AG505" s="53" t="str" cm="1">
        <f t="array" ref="AG505">IF(OR(O505&lt;&gt;"", SUMPRODUCT(($AH$2:$AH$4999=AH505)*($AF$2:$AF$4999&lt;=AF505)) &lt;= (COUNTIF($AH$2:$AH$4999,AH505)*0.3)), "SORTEADO", "-")</f>
        <v>-</v>
      </c>
      <c r="AH505" s="257" t="str">
        <f t="shared" si="34"/>
        <v>18/04/2026</v>
      </c>
    </row>
    <row r="506" spans="1:34" ht="30" customHeight="1" x14ac:dyDescent="0.2">
      <c r="A506" s="230" t="s">
        <v>197</v>
      </c>
      <c r="B506" s="230">
        <v>2616540543</v>
      </c>
      <c r="C506" s="230" t="s">
        <v>128</v>
      </c>
      <c r="D506" s="230" t="s">
        <v>124</v>
      </c>
      <c r="E506" s="230" t="s">
        <v>198</v>
      </c>
      <c r="F506" s="230" t="s">
        <v>4085</v>
      </c>
      <c r="G506" s="230">
        <v>131</v>
      </c>
      <c r="H506" s="230" t="s">
        <v>2521</v>
      </c>
      <c r="I506" s="230" t="s">
        <v>509</v>
      </c>
      <c r="J506" s="230" t="s">
        <v>3385</v>
      </c>
      <c r="K506" s="230" t="s">
        <v>4086</v>
      </c>
      <c r="L506" s="230" t="s">
        <v>1563</v>
      </c>
      <c r="M506" s="230" t="s">
        <v>4087</v>
      </c>
      <c r="N506" s="230" t="s">
        <v>3296</v>
      </c>
      <c r="O506" s="158" t="s">
        <v>204</v>
      </c>
      <c r="P506" s="92"/>
      <c r="Q506" s="146" t="s">
        <v>204</v>
      </c>
      <c r="R506" s="92"/>
      <c r="S506" s="146" t="s">
        <v>204</v>
      </c>
      <c r="T506" s="92"/>
      <c r="U506" s="146" t="s">
        <v>204</v>
      </c>
      <c r="V506" s="92"/>
      <c r="W506" s="146" t="s">
        <v>204</v>
      </c>
      <c r="X506" s="92"/>
      <c r="Y506" s="146" t="s">
        <v>204</v>
      </c>
      <c r="Z506" s="186" t="str">
        <f t="shared" si="32"/>
        <v>C</v>
      </c>
      <c r="AA506" s="217" t="str">
        <f t="shared" si="31"/>
        <v>UTILIZOU O PDA CORRETAMENTE</v>
      </c>
      <c r="AB506" s="92" t="s">
        <v>204</v>
      </c>
      <c r="AC506" s="164" t="s">
        <v>6</v>
      </c>
      <c r="AD506" s="151" t="str">
        <f t="shared" si="33"/>
        <v>GUARULHOS</v>
      </c>
      <c r="AE506" s="96" t="s">
        <v>63</v>
      </c>
      <c r="AF506" s="53">
        <v>8.3230544677791922E-4</v>
      </c>
      <c r="AG506" s="53" t="str" cm="1">
        <f t="array" ref="AG506">IF(OR(O506&lt;&gt;"", SUMPRODUCT(($AH$2:$AH$4999=AH506)*($AF$2:$AF$4999&lt;=AF506)) &lt;= (COUNTIF($AH$2:$AH$4999,AH506)*0.3)), "SORTEADO", "-")</f>
        <v>SORTEADO</v>
      </c>
      <c r="AH506" s="257" t="str">
        <f t="shared" si="34"/>
        <v>19/04/2026</v>
      </c>
    </row>
    <row r="507" spans="1:34" ht="30" hidden="1" customHeight="1" x14ac:dyDescent="0.2">
      <c r="A507" s="230" t="s">
        <v>197</v>
      </c>
      <c r="B507" s="230">
        <v>2690999054</v>
      </c>
      <c r="C507" s="230" t="s">
        <v>127</v>
      </c>
      <c r="D507" s="230" t="s">
        <v>63</v>
      </c>
      <c r="E507" s="230" t="s">
        <v>198</v>
      </c>
      <c r="F507" s="230" t="s">
        <v>3379</v>
      </c>
      <c r="G507" s="230">
        <v>141</v>
      </c>
      <c r="H507" s="230" t="s">
        <v>4088</v>
      </c>
      <c r="I507" s="230" t="s">
        <v>1150</v>
      </c>
      <c r="J507" s="230" t="s">
        <v>3275</v>
      </c>
      <c r="K507" s="230" t="s">
        <v>213</v>
      </c>
      <c r="L507" s="230" t="s">
        <v>1563</v>
      </c>
      <c r="M507" s="230" t="s">
        <v>4089</v>
      </c>
      <c r="N507" s="230" t="s">
        <v>3296</v>
      </c>
      <c r="O507" s="158"/>
      <c r="P507" s="92"/>
      <c r="Q507" s="146"/>
      <c r="R507" s="92"/>
      <c r="S507" s="146"/>
      <c r="T507" s="92"/>
      <c r="U507" s="146"/>
      <c r="V507" s="92"/>
      <c r="W507" s="146"/>
      <c r="X507" s="92"/>
      <c r="Y507" s="146"/>
      <c r="Z507" s="186" t="str">
        <f t="shared" si="32"/>
        <v/>
      </c>
      <c r="AA507" s="217" t="b">
        <f t="shared" si="31"/>
        <v>0</v>
      </c>
      <c r="AB507" s="92"/>
      <c r="AC507" s="164" t="s">
        <v>6</v>
      </c>
      <c r="AD507" s="151" t="str">
        <f t="shared" si="33"/>
        <v>GUARULHOS</v>
      </c>
      <c r="AE507" s="96" t="s">
        <v>63</v>
      </c>
      <c r="AF507" s="53">
        <v>0.93492789633070728</v>
      </c>
      <c r="AG507" s="53" t="str" cm="1">
        <f t="array" ref="AG507">IF(OR(O507&lt;&gt;"", SUMPRODUCT(($AH$2:$AH$4999=AH507)*($AF$2:$AF$4999&lt;=AF507)) &lt;= (COUNTIF($AH$2:$AH$4999,AH507)*0.3)), "SORTEADO", "-")</f>
        <v>-</v>
      </c>
      <c r="AH507" s="257" t="str">
        <f t="shared" si="34"/>
        <v>19/04/2026</v>
      </c>
    </row>
    <row r="508" spans="1:34" ht="30" hidden="1" customHeight="1" x14ac:dyDescent="0.2">
      <c r="A508" s="230" t="s">
        <v>197</v>
      </c>
      <c r="B508" s="230">
        <v>2616545440</v>
      </c>
      <c r="C508" s="230" t="s">
        <v>127</v>
      </c>
      <c r="D508" s="230" t="s">
        <v>63</v>
      </c>
      <c r="E508" s="230" t="s">
        <v>198</v>
      </c>
      <c r="F508" s="230" t="s">
        <v>4090</v>
      </c>
      <c r="G508" s="230">
        <v>86</v>
      </c>
      <c r="H508" s="230"/>
      <c r="I508" s="230" t="s">
        <v>331</v>
      </c>
      <c r="J508" s="230" t="s">
        <v>3275</v>
      </c>
      <c r="K508" s="230" t="s">
        <v>4091</v>
      </c>
      <c r="L508" s="230" t="s">
        <v>1563</v>
      </c>
      <c r="M508" s="230" t="s">
        <v>4092</v>
      </c>
      <c r="N508" s="230" t="s">
        <v>819</v>
      </c>
      <c r="O508" s="158"/>
      <c r="P508" s="92"/>
      <c r="Q508" s="146"/>
      <c r="R508" s="92"/>
      <c r="S508" s="146"/>
      <c r="T508" s="92"/>
      <c r="U508" s="146"/>
      <c r="V508" s="92"/>
      <c r="W508" s="146"/>
      <c r="X508" s="92"/>
      <c r="Y508" s="146"/>
      <c r="Z508" s="186" t="str">
        <f t="shared" si="32"/>
        <v/>
      </c>
      <c r="AA508" s="217" t="b">
        <f t="shared" si="31"/>
        <v>0</v>
      </c>
      <c r="AB508" s="92"/>
      <c r="AC508" s="164" t="s">
        <v>6</v>
      </c>
      <c r="AD508" s="151" t="str">
        <f t="shared" si="33"/>
        <v>GUARULHOS</v>
      </c>
      <c r="AE508" s="96" t="s">
        <v>63</v>
      </c>
      <c r="AF508" s="53">
        <v>0.92857791934128953</v>
      </c>
      <c r="AG508" s="53" t="str" cm="1">
        <f t="array" ref="AG508">IF(OR(O508&lt;&gt;"", SUMPRODUCT(($AH$2:$AH$4999=AH508)*($AF$2:$AF$4999&lt;=AF508)) &lt;= (COUNTIF($AH$2:$AH$4999,AH508)*0.3)), "SORTEADO", "-")</f>
        <v>-</v>
      </c>
      <c r="AH508" s="257" t="str">
        <f t="shared" si="34"/>
        <v>19/04/2026</v>
      </c>
    </row>
    <row r="509" spans="1:34" ht="30" hidden="1" customHeight="1" x14ac:dyDescent="0.2">
      <c r="A509" s="230" t="s">
        <v>197</v>
      </c>
      <c r="B509" s="230">
        <v>2690999950</v>
      </c>
      <c r="C509" s="230" t="s">
        <v>127</v>
      </c>
      <c r="D509" s="230" t="s">
        <v>63</v>
      </c>
      <c r="E509" s="230" t="s">
        <v>198</v>
      </c>
      <c r="F509" s="230" t="s">
        <v>1544</v>
      </c>
      <c r="G509" s="230">
        <v>86</v>
      </c>
      <c r="H509" s="230" t="s">
        <v>461</v>
      </c>
      <c r="I509" s="230" t="s">
        <v>1546</v>
      </c>
      <c r="J509" s="230" t="s">
        <v>3275</v>
      </c>
      <c r="K509" s="230" t="s">
        <v>4093</v>
      </c>
      <c r="L509" s="230" t="s">
        <v>1563</v>
      </c>
      <c r="M509" s="230" t="s">
        <v>4094</v>
      </c>
      <c r="N509" s="230" t="s">
        <v>3338</v>
      </c>
      <c r="O509" s="158"/>
      <c r="P509" s="92"/>
      <c r="Q509" s="146"/>
      <c r="R509" s="92"/>
      <c r="S509" s="146"/>
      <c r="T509" s="92"/>
      <c r="U509" s="146"/>
      <c r="V509" s="92"/>
      <c r="W509" s="146"/>
      <c r="X509" s="92"/>
      <c r="Y509" s="146"/>
      <c r="Z509" s="186" t="str">
        <f t="shared" si="32"/>
        <v/>
      </c>
      <c r="AA509" s="217" t="b">
        <f t="shared" si="31"/>
        <v>0</v>
      </c>
      <c r="AB509" s="92"/>
      <c r="AC509" s="164" t="s">
        <v>6</v>
      </c>
      <c r="AD509" s="151" t="str">
        <f t="shared" si="33"/>
        <v>GUARULHOS</v>
      </c>
      <c r="AE509" s="96" t="s">
        <v>63</v>
      </c>
      <c r="AF509" s="53">
        <v>0.59514591507027004</v>
      </c>
      <c r="AG509" s="53" t="str" cm="1">
        <f t="array" ref="AG509">IF(OR(O509&lt;&gt;"", SUMPRODUCT(($AH$2:$AH$4999=AH509)*($AF$2:$AF$4999&lt;=AF509)) &lt;= (COUNTIF($AH$2:$AH$4999,AH509)*0.3)), "SORTEADO", "-")</f>
        <v>-</v>
      </c>
      <c r="AH509" s="257" t="str">
        <f t="shared" si="34"/>
        <v>19/04/2026</v>
      </c>
    </row>
    <row r="510" spans="1:34" ht="30" customHeight="1" x14ac:dyDescent="0.2">
      <c r="A510" s="230" t="s">
        <v>197</v>
      </c>
      <c r="B510" s="230">
        <v>2616359385</v>
      </c>
      <c r="C510" s="230" t="s">
        <v>135</v>
      </c>
      <c r="D510" s="230" t="s">
        <v>124</v>
      </c>
      <c r="E510" s="230" t="s">
        <v>198</v>
      </c>
      <c r="F510" s="230" t="s">
        <v>205</v>
      </c>
      <c r="G510" s="230">
        <v>389</v>
      </c>
      <c r="H510" s="230" t="s">
        <v>213</v>
      </c>
      <c r="I510" s="230" t="s">
        <v>207</v>
      </c>
      <c r="J510" s="230" t="s">
        <v>3280</v>
      </c>
      <c r="K510" s="230" t="s">
        <v>213</v>
      </c>
      <c r="L510" s="230" t="s">
        <v>1563</v>
      </c>
      <c r="M510" s="230" t="s">
        <v>4095</v>
      </c>
      <c r="N510" s="230" t="s">
        <v>209</v>
      </c>
      <c r="O510" s="158" t="s">
        <v>204</v>
      </c>
      <c r="P510" s="92"/>
      <c r="Q510" s="146" t="s">
        <v>204</v>
      </c>
      <c r="R510" s="92"/>
      <c r="S510" s="146" t="s">
        <v>204</v>
      </c>
      <c r="T510" s="92"/>
      <c r="U510" s="146" t="s">
        <v>204</v>
      </c>
      <c r="V510" s="92"/>
      <c r="W510" s="146" t="s">
        <v>204</v>
      </c>
      <c r="X510" s="92"/>
      <c r="Y510" s="146" t="s">
        <v>204</v>
      </c>
      <c r="Z510" s="186" t="str">
        <f t="shared" si="32"/>
        <v>C</v>
      </c>
      <c r="AA510" s="217" t="str">
        <f t="shared" si="31"/>
        <v>UTILIZOU O PDA CORRETAMENTE</v>
      </c>
      <c r="AB510" s="92" t="s">
        <v>204</v>
      </c>
      <c r="AC510" s="164" t="s">
        <v>6</v>
      </c>
      <c r="AD510" s="151" t="str">
        <f t="shared" si="33"/>
        <v>GUARULHOS</v>
      </c>
      <c r="AE510" s="96" t="s">
        <v>63</v>
      </c>
      <c r="AF510" s="53">
        <v>2.2854725518150366E-2</v>
      </c>
      <c r="AG510" s="53" t="str" cm="1">
        <f t="array" ref="AG510">IF(OR(O510&lt;&gt;"", SUMPRODUCT(($AH$2:$AH$4999=AH510)*($AF$2:$AF$4999&lt;=AF510)) &lt;= (COUNTIF($AH$2:$AH$4999,AH510)*0.3)), "SORTEADO", "-")</f>
        <v>SORTEADO</v>
      </c>
      <c r="AH510" s="257" t="str">
        <f t="shared" si="34"/>
        <v>19/04/2026</v>
      </c>
    </row>
    <row r="511" spans="1:34" ht="30" hidden="1" customHeight="1" x14ac:dyDescent="0.2">
      <c r="A511" s="230" t="s">
        <v>197</v>
      </c>
      <c r="B511" s="230">
        <v>2690996300</v>
      </c>
      <c r="C511" s="230" t="s">
        <v>127</v>
      </c>
      <c r="D511" s="230" t="s">
        <v>63</v>
      </c>
      <c r="E511" s="230" t="s">
        <v>198</v>
      </c>
      <c r="F511" s="230" t="s">
        <v>4096</v>
      </c>
      <c r="G511" s="230">
        <v>30</v>
      </c>
      <c r="H511" s="230" t="s">
        <v>213</v>
      </c>
      <c r="I511" s="230" t="s">
        <v>207</v>
      </c>
      <c r="J511" s="230" t="s">
        <v>3271</v>
      </c>
      <c r="K511" s="230" t="s">
        <v>213</v>
      </c>
      <c r="L511" s="230" t="s">
        <v>1563</v>
      </c>
      <c r="M511" s="230" t="s">
        <v>4097</v>
      </c>
      <c r="N511" s="230" t="s">
        <v>1099</v>
      </c>
      <c r="O511" s="158"/>
      <c r="P511" s="92"/>
      <c r="Q511" s="146"/>
      <c r="R511" s="92"/>
      <c r="S511" s="146"/>
      <c r="T511" s="92"/>
      <c r="U511" s="146"/>
      <c r="V511" s="92"/>
      <c r="W511" s="146"/>
      <c r="X511" s="92"/>
      <c r="Y511" s="146"/>
      <c r="Z511" s="186" t="str">
        <f t="shared" si="32"/>
        <v/>
      </c>
      <c r="AA511" s="217" t="b">
        <f t="shared" si="31"/>
        <v>0</v>
      </c>
      <c r="AB511" s="92"/>
      <c r="AC511" s="164" t="s">
        <v>6</v>
      </c>
      <c r="AD511" s="151" t="str">
        <f t="shared" si="33"/>
        <v>GUARULHOS</v>
      </c>
      <c r="AE511" s="96" t="s">
        <v>63</v>
      </c>
      <c r="AF511" s="53">
        <v>0.72198543268549631</v>
      </c>
      <c r="AG511" s="53" t="str" cm="1">
        <f t="array" ref="AG511">IF(OR(O511&lt;&gt;"", SUMPRODUCT(($AH$2:$AH$4999=AH511)*($AF$2:$AF$4999&lt;=AF511)) &lt;= (COUNTIF($AH$2:$AH$4999,AH511)*0.3)), "SORTEADO", "-")</f>
        <v>-</v>
      </c>
      <c r="AH511" s="257" t="str">
        <f t="shared" si="34"/>
        <v>19/04/2026</v>
      </c>
    </row>
    <row r="512" spans="1:34" ht="30" hidden="1" customHeight="1" x14ac:dyDescent="0.2">
      <c r="A512" s="230" t="s">
        <v>197</v>
      </c>
      <c r="B512" s="230">
        <v>2691001399</v>
      </c>
      <c r="C512" s="230" t="s">
        <v>127</v>
      </c>
      <c r="D512" s="230" t="s">
        <v>63</v>
      </c>
      <c r="E512" s="230" t="s">
        <v>198</v>
      </c>
      <c r="F512" s="230" t="s">
        <v>4098</v>
      </c>
      <c r="G512" s="230">
        <v>9</v>
      </c>
      <c r="H512" s="230" t="s">
        <v>3421</v>
      </c>
      <c r="I512" s="230" t="s">
        <v>732</v>
      </c>
      <c r="J512" s="230" t="s">
        <v>3275</v>
      </c>
      <c r="K512" s="230"/>
      <c r="L512" s="230" t="s">
        <v>1563</v>
      </c>
      <c r="M512" s="230" t="s">
        <v>4099</v>
      </c>
      <c r="N512" s="230" t="s">
        <v>3338</v>
      </c>
      <c r="O512" s="158"/>
      <c r="P512" s="92"/>
      <c r="Q512" s="146"/>
      <c r="R512" s="92"/>
      <c r="S512" s="146"/>
      <c r="T512" s="92"/>
      <c r="U512" s="146"/>
      <c r="V512" s="92"/>
      <c r="W512" s="146"/>
      <c r="X512" s="92"/>
      <c r="Y512" s="146"/>
      <c r="Z512" s="186" t="str">
        <f t="shared" si="32"/>
        <v/>
      </c>
      <c r="AA512" s="217" t="b">
        <f t="shared" si="31"/>
        <v>0</v>
      </c>
      <c r="AB512" s="92"/>
      <c r="AC512" s="164" t="s">
        <v>6</v>
      </c>
      <c r="AD512" s="151" t="str">
        <f t="shared" si="33"/>
        <v>GUARULHOS</v>
      </c>
      <c r="AE512" s="96" t="s">
        <v>63</v>
      </c>
      <c r="AF512" s="53">
        <v>0.62058618987228098</v>
      </c>
      <c r="AG512" s="53" t="str" cm="1">
        <f t="array" ref="AG512">IF(OR(O512&lt;&gt;"", SUMPRODUCT(($AH$2:$AH$4999=AH512)*($AF$2:$AF$4999&lt;=AF512)) &lt;= (COUNTIF($AH$2:$AH$4999,AH512)*0.3)), "SORTEADO", "-")</f>
        <v>-</v>
      </c>
      <c r="AH512" s="257" t="str">
        <f t="shared" si="34"/>
        <v>19/04/2026</v>
      </c>
    </row>
    <row r="513" spans="1:34" ht="30" hidden="1" customHeight="1" x14ac:dyDescent="0.2">
      <c r="A513" s="230" t="s">
        <v>197</v>
      </c>
      <c r="B513" s="230">
        <v>2690980295</v>
      </c>
      <c r="C513" s="230" t="s">
        <v>133</v>
      </c>
      <c r="D513" s="230" t="s">
        <v>124</v>
      </c>
      <c r="E513" s="230" t="s">
        <v>198</v>
      </c>
      <c r="F513" s="230" t="s">
        <v>3417</v>
      </c>
      <c r="G513" s="230">
        <v>158</v>
      </c>
      <c r="H513" s="230" t="s">
        <v>213</v>
      </c>
      <c r="I513" s="230" t="s">
        <v>315</v>
      </c>
      <c r="J513" s="230" t="s">
        <v>3275</v>
      </c>
      <c r="K513" s="230" t="s">
        <v>3303</v>
      </c>
      <c r="L513" s="230" t="s">
        <v>1563</v>
      </c>
      <c r="M513" s="230" t="s">
        <v>4100</v>
      </c>
      <c r="N513" s="230" t="s">
        <v>819</v>
      </c>
      <c r="O513" s="158"/>
      <c r="P513" s="92"/>
      <c r="Q513" s="146"/>
      <c r="R513" s="92"/>
      <c r="S513" s="146"/>
      <c r="T513" s="92"/>
      <c r="U513" s="146"/>
      <c r="V513" s="92"/>
      <c r="W513" s="146"/>
      <c r="X513" s="92"/>
      <c r="Y513" s="146"/>
      <c r="Z513" s="186" t="str">
        <f t="shared" si="32"/>
        <v/>
      </c>
      <c r="AA513" s="217" t="b">
        <f t="shared" ref="AA513:AA576" si="35">IF(AND(Y513="C",Z513="C"),"UTILIZOU O PDA CORRETAMENTE",IF(AND(Y513="C",Z513="NC"),"UTILIZOU O PDA CORRETAMENTE. NÃO HÁ FOTOS DE TODAS AS ETAPAS",IF(AND(Y513="NC",Z513="NC"),"NÃO UTILIZOU O PDA",IF(AND(Y513="NA",Z513="NA"),"NÃO AVALIADO POR FALHA DE SINCRONISMO"))))</f>
        <v>0</v>
      </c>
      <c r="AB513" s="92"/>
      <c r="AC513" s="164" t="s">
        <v>6</v>
      </c>
      <c r="AD513" s="151" t="str">
        <f t="shared" si="33"/>
        <v>GUARULHOS</v>
      </c>
      <c r="AE513" s="96" t="s">
        <v>63</v>
      </c>
      <c r="AF513" s="53">
        <v>0.28748874569999927</v>
      </c>
      <c r="AG513" s="53" t="str" cm="1">
        <f t="array" ref="AG513">IF(OR(O513&lt;&gt;"", SUMPRODUCT(($AH$2:$AH$4999=AH513)*($AF$2:$AF$4999&lt;=AF513)) &lt;= (COUNTIF($AH$2:$AH$4999,AH513)*0.3)), "SORTEADO", "-")</f>
        <v>-</v>
      </c>
      <c r="AH513" s="257" t="str">
        <f t="shared" si="34"/>
        <v>19/04/2026</v>
      </c>
    </row>
    <row r="514" spans="1:34" ht="30" hidden="1" customHeight="1" x14ac:dyDescent="0.2">
      <c r="A514" s="230" t="s">
        <v>197</v>
      </c>
      <c r="B514" s="230">
        <v>2690989714</v>
      </c>
      <c r="C514" s="230" t="s">
        <v>133</v>
      </c>
      <c r="D514" s="230" t="s">
        <v>124</v>
      </c>
      <c r="E514" s="230" t="s">
        <v>198</v>
      </c>
      <c r="F514" s="230" t="s">
        <v>1208</v>
      </c>
      <c r="G514" s="230">
        <v>489</v>
      </c>
      <c r="H514" s="230" t="s">
        <v>4101</v>
      </c>
      <c r="I514" s="230" t="s">
        <v>1210</v>
      </c>
      <c r="J514" s="230" t="s">
        <v>3275</v>
      </c>
      <c r="K514" s="230" t="s">
        <v>3344</v>
      </c>
      <c r="L514" s="230" t="s">
        <v>1563</v>
      </c>
      <c r="M514" s="230" t="s">
        <v>2933</v>
      </c>
      <c r="N514" s="230" t="s">
        <v>3289</v>
      </c>
      <c r="O514" s="158"/>
      <c r="P514" s="92"/>
      <c r="Q514" s="146"/>
      <c r="R514" s="92"/>
      <c r="S514" s="146"/>
      <c r="T514" s="92"/>
      <c r="U514" s="146"/>
      <c r="V514" s="92"/>
      <c r="W514" s="146"/>
      <c r="X514" s="92"/>
      <c r="Y514" s="146"/>
      <c r="Z514" s="186" t="str">
        <f t="shared" ref="Z514:Z577" si="36">IF(AND(O514="",Q514="",S514="",U514="",W514=""),"",IF(OR(AND(O514&lt;&gt;"NA",O514&lt;&gt;"C",O514&lt;&gt;"NC",O514&lt;&gt;"SF",O514&lt;&gt;""),AND(Q514&lt;&gt;"NA",Q514&lt;&gt;"C",Q514&lt;&gt;"NC",Q514&lt;&gt;"SF",Q514&lt;&gt;""),AND(S514&lt;&gt;"NA",S514&lt;&gt;"C",S514&lt;&gt;"NC",S514&lt;&gt;"SF",S514&lt;&gt;""),AND(U514&lt;&gt;"NA",U514&lt;&gt;"C",U514&lt;&gt;"NC",U514&lt;&gt;"SF",U514&lt;&gt;""),AND(W514&lt;&gt;"NA",W514&lt;&gt;"C",W514&lt;&gt;"NC",W514&lt;&gt;"SF",W514&lt;&gt;"")),"FALSO",IF(AND(O514="NA",Q514="NA",S514="NA",U514="NA",W514="NA"),"NA",IF(OR(O514="NC",Q514="NC",S514="NC",U514="NC",W514="NC",O514="SF",Q514="SF",S514="SF",U514="SF",W514="SF"),"NC",IF(OR(O514="C",Q514="C",S514="C",U514="C",W514="C"),"C","")))))</f>
        <v/>
      </c>
      <c r="AA514" s="217" t="b">
        <f t="shared" si="35"/>
        <v>0</v>
      </c>
      <c r="AB514" s="92"/>
      <c r="AC514" s="164" t="s">
        <v>6</v>
      </c>
      <c r="AD514" s="151" t="str">
        <f t="shared" si="33"/>
        <v>GUARULHOS</v>
      </c>
      <c r="AE514" s="96" t="s">
        <v>63</v>
      </c>
      <c r="AF514" s="53">
        <v>0.98668260294630372</v>
      </c>
      <c r="AG514" s="53" t="str" cm="1">
        <f t="array" ref="AG514">IF(OR(O514&lt;&gt;"", SUMPRODUCT(($AH$2:$AH$4999=AH514)*($AF$2:$AF$4999&lt;=AF514)) &lt;= (COUNTIF($AH$2:$AH$4999,AH514)*0.3)), "SORTEADO", "-")</f>
        <v>-</v>
      </c>
      <c r="AH514" s="257" t="str">
        <f t="shared" si="34"/>
        <v>19/04/2026</v>
      </c>
    </row>
    <row r="515" spans="1:34" ht="30" hidden="1" customHeight="1" x14ac:dyDescent="0.2">
      <c r="A515" s="230" t="s">
        <v>197</v>
      </c>
      <c r="B515" s="230">
        <v>2690984358</v>
      </c>
      <c r="C515" s="230" t="s">
        <v>133</v>
      </c>
      <c r="D515" s="230" t="s">
        <v>124</v>
      </c>
      <c r="E515" s="230" t="s">
        <v>198</v>
      </c>
      <c r="F515" s="230" t="s">
        <v>4102</v>
      </c>
      <c r="G515" s="230">
        <v>76</v>
      </c>
      <c r="H515" s="230" t="s">
        <v>4103</v>
      </c>
      <c r="I515" s="230" t="s">
        <v>335</v>
      </c>
      <c r="J515" s="230" t="s">
        <v>3275</v>
      </c>
      <c r="K515" s="230" t="s">
        <v>4104</v>
      </c>
      <c r="L515" s="230" t="s">
        <v>1563</v>
      </c>
      <c r="M515" s="230" t="s">
        <v>4105</v>
      </c>
      <c r="N515" s="230" t="s">
        <v>3289</v>
      </c>
      <c r="O515" s="158"/>
      <c r="P515" s="92"/>
      <c r="Q515" s="146"/>
      <c r="R515" s="92"/>
      <c r="S515" s="146"/>
      <c r="T515" s="92"/>
      <c r="U515" s="146"/>
      <c r="V515" s="92"/>
      <c r="W515" s="146"/>
      <c r="X515" s="92"/>
      <c r="Y515" s="146"/>
      <c r="Z515" s="186" t="str">
        <f t="shared" si="36"/>
        <v/>
      </c>
      <c r="AA515" s="217" t="b">
        <f t="shared" si="35"/>
        <v>0</v>
      </c>
      <c r="AB515" s="92"/>
      <c r="AC515" s="164" t="s">
        <v>6</v>
      </c>
      <c r="AD515" s="151" t="str">
        <f t="shared" si="33"/>
        <v>GUARULHOS</v>
      </c>
      <c r="AE515" s="96" t="s">
        <v>63</v>
      </c>
      <c r="AF515" s="53">
        <v>0.99489656850853625</v>
      </c>
      <c r="AG515" s="53" t="str" cm="1">
        <f t="array" ref="AG515">IF(OR(O515&lt;&gt;"", SUMPRODUCT(($AH$2:$AH$4999=AH515)*($AF$2:$AF$4999&lt;=AF515)) &lt;= (COUNTIF($AH$2:$AH$4999,AH515)*0.3)), "SORTEADO", "-")</f>
        <v>-</v>
      </c>
      <c r="AH515" s="257" t="str">
        <f t="shared" si="34"/>
        <v>19/04/2026</v>
      </c>
    </row>
    <row r="516" spans="1:34" ht="30" hidden="1" customHeight="1" x14ac:dyDescent="0.2">
      <c r="A516" s="230" t="s">
        <v>197</v>
      </c>
      <c r="B516" s="230">
        <v>2690988578</v>
      </c>
      <c r="C516" s="230" t="s">
        <v>126</v>
      </c>
      <c r="D516" s="230" t="s">
        <v>63</v>
      </c>
      <c r="E516" s="230" t="s">
        <v>198</v>
      </c>
      <c r="F516" s="230" t="s">
        <v>1226</v>
      </c>
      <c r="G516" s="230">
        <v>544</v>
      </c>
      <c r="H516" s="230" t="s">
        <v>276</v>
      </c>
      <c r="I516" s="230" t="s">
        <v>416</v>
      </c>
      <c r="J516" s="230" t="s">
        <v>3271</v>
      </c>
      <c r="K516" s="230"/>
      <c r="L516" s="230" t="s">
        <v>1563</v>
      </c>
      <c r="M516" s="230" t="s">
        <v>4106</v>
      </c>
      <c r="N516" s="230" t="s">
        <v>260</v>
      </c>
      <c r="O516" s="158"/>
      <c r="P516" s="92"/>
      <c r="Q516" s="146"/>
      <c r="R516" s="92"/>
      <c r="S516" s="146"/>
      <c r="T516" s="92"/>
      <c r="U516" s="146"/>
      <c r="V516" s="92"/>
      <c r="W516" s="146"/>
      <c r="X516" s="92"/>
      <c r="Y516" s="146"/>
      <c r="Z516" s="186" t="str">
        <f t="shared" si="36"/>
        <v/>
      </c>
      <c r="AA516" s="217" t="b">
        <f t="shared" si="35"/>
        <v>0</v>
      </c>
      <c r="AB516" s="92"/>
      <c r="AC516" s="164" t="s">
        <v>6</v>
      </c>
      <c r="AD516" s="151" t="str">
        <f t="shared" si="33"/>
        <v>GUARULHOS</v>
      </c>
      <c r="AE516" s="96" t="s">
        <v>63</v>
      </c>
      <c r="AF516" s="53">
        <v>0.81012337276801505</v>
      </c>
      <c r="AG516" s="53" t="str" cm="1">
        <f t="array" ref="AG516">IF(OR(O516&lt;&gt;"", SUMPRODUCT(($AH$2:$AH$4999=AH516)*($AF$2:$AF$4999&lt;=AF516)) &lt;= (COUNTIF($AH$2:$AH$4999,AH516)*0.3)), "SORTEADO", "-")</f>
        <v>-</v>
      </c>
      <c r="AH516" s="257" t="str">
        <f t="shared" si="34"/>
        <v>19/04/2026</v>
      </c>
    </row>
    <row r="517" spans="1:34" ht="30" hidden="1" customHeight="1" x14ac:dyDescent="0.2">
      <c r="A517" s="230" t="s">
        <v>197</v>
      </c>
      <c r="B517" s="230">
        <v>2691001137</v>
      </c>
      <c r="C517" s="230" t="s">
        <v>133</v>
      </c>
      <c r="D517" s="230" t="s">
        <v>124</v>
      </c>
      <c r="E517" s="230" t="s">
        <v>198</v>
      </c>
      <c r="F517" s="230" t="s">
        <v>672</v>
      </c>
      <c r="G517" s="230">
        <v>314</v>
      </c>
      <c r="H517" s="230" t="s">
        <v>4107</v>
      </c>
      <c r="I517" s="230" t="s">
        <v>509</v>
      </c>
      <c r="J517" s="230" t="s">
        <v>3275</v>
      </c>
      <c r="K517" s="230" t="s">
        <v>3499</v>
      </c>
      <c r="L517" s="230" t="s">
        <v>1563</v>
      </c>
      <c r="M517" s="230" t="s">
        <v>4108</v>
      </c>
      <c r="N517" s="230" t="s">
        <v>3296</v>
      </c>
      <c r="O517" s="158"/>
      <c r="P517" s="92"/>
      <c r="Q517" s="146"/>
      <c r="R517" s="92"/>
      <c r="S517" s="146"/>
      <c r="T517" s="92"/>
      <c r="U517" s="146"/>
      <c r="V517" s="92"/>
      <c r="W517" s="146"/>
      <c r="X517" s="92"/>
      <c r="Y517" s="146"/>
      <c r="Z517" s="186" t="str">
        <f t="shared" si="36"/>
        <v/>
      </c>
      <c r="AA517" s="217" t="b">
        <f t="shared" si="35"/>
        <v>0</v>
      </c>
      <c r="AB517" s="92"/>
      <c r="AC517" s="164" t="s">
        <v>6</v>
      </c>
      <c r="AD517" s="151" t="str">
        <f t="shared" si="33"/>
        <v>GUARULHOS</v>
      </c>
      <c r="AE517" s="96" t="s">
        <v>63</v>
      </c>
      <c r="AF517" s="53">
        <v>0.43281549012535059</v>
      </c>
      <c r="AG517" s="53" t="str" cm="1">
        <f t="array" ref="AG517">IF(OR(O517&lt;&gt;"", SUMPRODUCT(($AH$2:$AH$4999=AH517)*($AF$2:$AF$4999&lt;=AF517)) &lt;= (COUNTIF($AH$2:$AH$4999,AH517)*0.3)), "SORTEADO", "-")</f>
        <v>-</v>
      </c>
      <c r="AH517" s="257" t="str">
        <f t="shared" si="34"/>
        <v>19/04/2026</v>
      </c>
    </row>
    <row r="518" spans="1:34" ht="30" customHeight="1" x14ac:dyDescent="0.2">
      <c r="A518" s="230" t="s">
        <v>197</v>
      </c>
      <c r="B518" s="230">
        <v>2690980796</v>
      </c>
      <c r="C518" s="230" t="s">
        <v>133</v>
      </c>
      <c r="D518" s="230" t="s">
        <v>124</v>
      </c>
      <c r="E518" s="230" t="s">
        <v>198</v>
      </c>
      <c r="F518" s="230" t="s">
        <v>3737</v>
      </c>
      <c r="G518" s="230">
        <v>125</v>
      </c>
      <c r="H518" s="230" t="s">
        <v>390</v>
      </c>
      <c r="I518" s="230" t="s">
        <v>664</v>
      </c>
      <c r="J518" s="230" t="s">
        <v>3275</v>
      </c>
      <c r="K518" s="230" t="s">
        <v>3344</v>
      </c>
      <c r="L518" s="230" t="s">
        <v>1563</v>
      </c>
      <c r="M518" s="230" t="s">
        <v>4109</v>
      </c>
      <c r="N518" s="230" t="s">
        <v>3289</v>
      </c>
      <c r="O518" s="158" t="s">
        <v>204</v>
      </c>
      <c r="P518" s="92"/>
      <c r="Q518" s="146" t="s">
        <v>204</v>
      </c>
      <c r="R518" s="92"/>
      <c r="S518" s="146" t="s">
        <v>204</v>
      </c>
      <c r="T518" s="92"/>
      <c r="U518" s="146" t="s">
        <v>204</v>
      </c>
      <c r="V518" s="92"/>
      <c r="W518" s="146" t="s">
        <v>204</v>
      </c>
      <c r="X518" s="92"/>
      <c r="Y518" s="146" t="s">
        <v>204</v>
      </c>
      <c r="Z518" s="186" t="str">
        <f t="shared" si="36"/>
        <v>C</v>
      </c>
      <c r="AA518" s="217" t="str">
        <f t="shared" si="35"/>
        <v>UTILIZOU O PDA CORRETAMENTE</v>
      </c>
      <c r="AB518" s="92" t="s">
        <v>204</v>
      </c>
      <c r="AC518" s="164" t="s">
        <v>6</v>
      </c>
      <c r="AD518" s="151" t="str">
        <f t="shared" si="33"/>
        <v>GUARULHOS</v>
      </c>
      <c r="AE518" s="96" t="s">
        <v>63</v>
      </c>
      <c r="AF518" s="53">
        <v>0.1026266863371038</v>
      </c>
      <c r="AG518" s="53" t="str" cm="1">
        <f t="array" ref="AG518">IF(OR(O518&lt;&gt;"", SUMPRODUCT(($AH$2:$AH$4999=AH518)*($AF$2:$AF$4999&lt;=AF518)) &lt;= (COUNTIF($AH$2:$AH$4999,AH518)*0.3)), "SORTEADO", "-")</f>
        <v>SORTEADO</v>
      </c>
      <c r="AH518" s="257" t="str">
        <f t="shared" si="34"/>
        <v>19/04/2026</v>
      </c>
    </row>
    <row r="519" spans="1:34" ht="30" hidden="1" customHeight="1" x14ac:dyDescent="0.2">
      <c r="A519" s="230" t="s">
        <v>197</v>
      </c>
      <c r="B519" s="230">
        <v>2691012266</v>
      </c>
      <c r="C519" s="230" t="s">
        <v>127</v>
      </c>
      <c r="D519" s="230" t="s">
        <v>63</v>
      </c>
      <c r="E519" s="230" t="s">
        <v>198</v>
      </c>
      <c r="F519" s="230" t="s">
        <v>786</v>
      </c>
      <c r="G519" s="230">
        <v>313</v>
      </c>
      <c r="H519" s="230" t="s">
        <v>4110</v>
      </c>
      <c r="I519" s="230" t="s">
        <v>787</v>
      </c>
      <c r="J519" s="230" t="s">
        <v>3275</v>
      </c>
      <c r="K519" s="230"/>
      <c r="L519" s="230" t="s">
        <v>1616</v>
      </c>
      <c r="M519" s="230" t="s">
        <v>4111</v>
      </c>
      <c r="N519" s="230" t="s">
        <v>3296</v>
      </c>
      <c r="O519" s="158"/>
      <c r="P519" s="92"/>
      <c r="Q519" s="146"/>
      <c r="R519" s="92"/>
      <c r="S519" s="146"/>
      <c r="T519" s="92"/>
      <c r="U519" s="146"/>
      <c r="V519" s="92"/>
      <c r="W519" s="146"/>
      <c r="X519" s="92"/>
      <c r="Y519" s="146"/>
      <c r="Z519" s="186" t="str">
        <f t="shared" si="36"/>
        <v/>
      </c>
      <c r="AA519" s="217" t="b">
        <f t="shared" si="35"/>
        <v>0</v>
      </c>
      <c r="AB519" s="92"/>
      <c r="AC519" s="164" t="s">
        <v>6</v>
      </c>
      <c r="AD519" s="151" t="str">
        <f t="shared" si="33"/>
        <v>GUARULHOS</v>
      </c>
      <c r="AE519" s="96" t="s">
        <v>63</v>
      </c>
      <c r="AF519" s="53">
        <v>0.78620919630196562</v>
      </c>
      <c r="AG519" s="53" t="str" cm="1">
        <f t="array" ref="AG519">IF(OR(O519&lt;&gt;"", SUMPRODUCT(($AH$2:$AH$4999=AH519)*($AF$2:$AF$4999&lt;=AF519)) &lt;= (COUNTIF($AH$2:$AH$4999,AH519)*0.3)), "SORTEADO", "-")</f>
        <v>-</v>
      </c>
      <c r="AH519" s="257" t="str">
        <f t="shared" si="34"/>
        <v>20/04/2026</v>
      </c>
    </row>
    <row r="520" spans="1:34" ht="30" hidden="1" customHeight="1" x14ac:dyDescent="0.2">
      <c r="A520" s="230" t="s">
        <v>197</v>
      </c>
      <c r="B520" s="230">
        <v>2691024123</v>
      </c>
      <c r="C520" s="230" t="s">
        <v>127</v>
      </c>
      <c r="D520" s="230" t="s">
        <v>63</v>
      </c>
      <c r="E520" s="230" t="s">
        <v>198</v>
      </c>
      <c r="F520" s="230" t="s">
        <v>4112</v>
      </c>
      <c r="G520" s="230">
        <v>179</v>
      </c>
      <c r="H520" s="230" t="s">
        <v>4113</v>
      </c>
      <c r="I520" s="230" t="s">
        <v>466</v>
      </c>
      <c r="J520" s="230" t="s">
        <v>3275</v>
      </c>
      <c r="K520" s="230" t="s">
        <v>213</v>
      </c>
      <c r="L520" s="230" t="s">
        <v>1616</v>
      </c>
      <c r="M520" s="230" t="s">
        <v>4114</v>
      </c>
      <c r="N520" s="230" t="s">
        <v>3296</v>
      </c>
      <c r="O520" s="158"/>
      <c r="P520" s="92"/>
      <c r="Q520" s="146"/>
      <c r="R520" s="92"/>
      <c r="S520" s="146"/>
      <c r="T520" s="92"/>
      <c r="U520" s="146"/>
      <c r="V520" s="92"/>
      <c r="W520" s="146"/>
      <c r="X520" s="92"/>
      <c r="Y520" s="146"/>
      <c r="Z520" s="186" t="str">
        <f t="shared" si="36"/>
        <v/>
      </c>
      <c r="AA520" s="217" t="b">
        <f t="shared" si="35"/>
        <v>0</v>
      </c>
      <c r="AB520" s="92"/>
      <c r="AC520" s="164" t="s">
        <v>6</v>
      </c>
      <c r="AD520" s="151" t="str">
        <f t="shared" si="33"/>
        <v>GUARULHOS</v>
      </c>
      <c r="AE520" s="96" t="s">
        <v>63</v>
      </c>
      <c r="AF520" s="53">
        <v>0.45068331337705853</v>
      </c>
      <c r="AG520" s="53" t="str" cm="1">
        <f t="array" ref="AG520">IF(OR(O520&lt;&gt;"", SUMPRODUCT(($AH$2:$AH$4999=AH520)*($AF$2:$AF$4999&lt;=AF520)) &lt;= (COUNTIF($AH$2:$AH$4999,AH520)*0.3)), "SORTEADO", "-")</f>
        <v>-</v>
      </c>
      <c r="AH520" s="257" t="str">
        <f t="shared" si="34"/>
        <v>20/04/2026</v>
      </c>
    </row>
    <row r="521" spans="1:34" ht="30" customHeight="1" x14ac:dyDescent="0.2">
      <c r="A521" s="230" t="s">
        <v>197</v>
      </c>
      <c r="B521" s="230">
        <v>2691012304</v>
      </c>
      <c r="C521" s="230" t="s">
        <v>127</v>
      </c>
      <c r="D521" s="230" t="s">
        <v>63</v>
      </c>
      <c r="E521" s="230" t="s">
        <v>198</v>
      </c>
      <c r="F521" s="230" t="s">
        <v>3041</v>
      </c>
      <c r="G521" s="230">
        <v>48</v>
      </c>
      <c r="H521" s="230" t="s">
        <v>390</v>
      </c>
      <c r="I521" s="230" t="s">
        <v>356</v>
      </c>
      <c r="J521" s="230" t="s">
        <v>3275</v>
      </c>
      <c r="K521" s="230"/>
      <c r="L521" s="230" t="s">
        <v>1616</v>
      </c>
      <c r="M521" s="230" t="s">
        <v>4115</v>
      </c>
      <c r="N521" s="230" t="s">
        <v>3282</v>
      </c>
      <c r="O521" s="158" t="s">
        <v>204</v>
      </c>
      <c r="P521" s="92"/>
      <c r="Q521" s="146" t="s">
        <v>204</v>
      </c>
      <c r="R521" s="92"/>
      <c r="S521" s="146" t="s">
        <v>204</v>
      </c>
      <c r="T521" s="92"/>
      <c r="U521" s="146" t="s">
        <v>204</v>
      </c>
      <c r="V521" s="92"/>
      <c r="W521" s="146" t="s">
        <v>204</v>
      </c>
      <c r="X521" s="92"/>
      <c r="Y521" s="146" t="s">
        <v>204</v>
      </c>
      <c r="Z521" s="186" t="str">
        <f t="shared" si="36"/>
        <v>C</v>
      </c>
      <c r="AA521" s="217" t="str">
        <f t="shared" si="35"/>
        <v>UTILIZOU O PDA CORRETAMENTE</v>
      </c>
      <c r="AB521" s="92" t="s">
        <v>204</v>
      </c>
      <c r="AC521" s="164" t="s">
        <v>6</v>
      </c>
      <c r="AD521" s="151" t="str">
        <f t="shared" si="33"/>
        <v>GUARULHOS</v>
      </c>
      <c r="AE521" s="96" t="s">
        <v>63</v>
      </c>
      <c r="AF521" s="53">
        <v>0.10055841066757409</v>
      </c>
      <c r="AG521" s="53" t="str" cm="1">
        <f t="array" ref="AG521">IF(OR(O521&lt;&gt;"", SUMPRODUCT(($AH$2:$AH$4999=AH521)*($AF$2:$AF$4999&lt;=AF521)) &lt;= (COUNTIF($AH$2:$AH$4999,AH521)*0.3)), "SORTEADO", "-")</f>
        <v>SORTEADO</v>
      </c>
      <c r="AH521" s="257" t="str">
        <f t="shared" si="34"/>
        <v>20/04/2026</v>
      </c>
    </row>
    <row r="522" spans="1:34" ht="30" customHeight="1" x14ac:dyDescent="0.2">
      <c r="A522" s="230" t="s">
        <v>197</v>
      </c>
      <c r="B522" s="230">
        <v>2616571540</v>
      </c>
      <c r="C522" s="230" t="s">
        <v>127</v>
      </c>
      <c r="D522" s="230" t="s">
        <v>63</v>
      </c>
      <c r="E522" s="230" t="s">
        <v>198</v>
      </c>
      <c r="F522" s="230" t="s">
        <v>4116</v>
      </c>
      <c r="G522" s="230">
        <v>79</v>
      </c>
      <c r="H522" s="230"/>
      <c r="I522" s="230" t="s">
        <v>480</v>
      </c>
      <c r="J522" s="230" t="s">
        <v>3275</v>
      </c>
      <c r="K522" s="230"/>
      <c r="L522" s="230" t="s">
        <v>1616</v>
      </c>
      <c r="M522" s="230" t="s">
        <v>4117</v>
      </c>
      <c r="N522" s="230" t="s">
        <v>3282</v>
      </c>
      <c r="O522" s="158" t="s">
        <v>204</v>
      </c>
      <c r="P522" s="92"/>
      <c r="Q522" s="146" t="s">
        <v>204</v>
      </c>
      <c r="R522" s="92"/>
      <c r="S522" s="146" t="s">
        <v>204</v>
      </c>
      <c r="T522" s="92"/>
      <c r="U522" s="146" t="s">
        <v>204</v>
      </c>
      <c r="V522" s="92"/>
      <c r="W522" s="146" t="s">
        <v>204</v>
      </c>
      <c r="X522" s="92"/>
      <c r="Y522" s="146" t="s">
        <v>204</v>
      </c>
      <c r="Z522" s="186" t="str">
        <f t="shared" si="36"/>
        <v>C</v>
      </c>
      <c r="AA522" s="217" t="str">
        <f t="shared" si="35"/>
        <v>UTILIZOU O PDA CORRETAMENTE</v>
      </c>
      <c r="AB522" s="92" t="s">
        <v>204</v>
      </c>
      <c r="AC522" s="164" t="s">
        <v>6</v>
      </c>
      <c r="AD522" s="151" t="str">
        <f t="shared" si="33"/>
        <v>GUARULHOS</v>
      </c>
      <c r="AE522" s="96" t="s">
        <v>63</v>
      </c>
      <c r="AF522" s="53">
        <v>0.17022339904836889</v>
      </c>
      <c r="AG522" s="53" t="str" cm="1">
        <f t="array" ref="AG522">IF(OR(O522&lt;&gt;"", SUMPRODUCT(($AH$2:$AH$4999=AH522)*($AF$2:$AF$4999&lt;=AF522)) &lt;= (COUNTIF($AH$2:$AH$4999,AH522)*0.3)), "SORTEADO", "-")</f>
        <v>SORTEADO</v>
      </c>
      <c r="AH522" s="257" t="str">
        <f t="shared" si="34"/>
        <v>20/04/2026</v>
      </c>
    </row>
    <row r="523" spans="1:34" ht="30" hidden="1" customHeight="1" x14ac:dyDescent="0.2">
      <c r="A523" s="230" t="s">
        <v>197</v>
      </c>
      <c r="B523" s="230">
        <v>2691026005</v>
      </c>
      <c r="C523" s="230" t="s">
        <v>127</v>
      </c>
      <c r="D523" s="230" t="s">
        <v>63</v>
      </c>
      <c r="E523" s="230" t="s">
        <v>198</v>
      </c>
      <c r="F523" s="230" t="s">
        <v>4118</v>
      </c>
      <c r="G523" s="230">
        <v>71</v>
      </c>
      <c r="H523" s="230" t="s">
        <v>213</v>
      </c>
      <c r="I523" s="230" t="s">
        <v>822</v>
      </c>
      <c r="J523" s="230" t="s">
        <v>3275</v>
      </c>
      <c r="K523" s="230" t="s">
        <v>213</v>
      </c>
      <c r="L523" s="230" t="s">
        <v>1616</v>
      </c>
      <c r="M523" s="230" t="s">
        <v>4111</v>
      </c>
      <c r="N523" s="230" t="s">
        <v>3276</v>
      </c>
      <c r="O523" s="158"/>
      <c r="P523" s="92"/>
      <c r="Q523" s="146"/>
      <c r="R523" s="92"/>
      <c r="S523" s="146"/>
      <c r="T523" s="92"/>
      <c r="U523" s="146"/>
      <c r="V523" s="92"/>
      <c r="W523" s="146"/>
      <c r="X523" s="92"/>
      <c r="Y523" s="146"/>
      <c r="Z523" s="186" t="str">
        <f t="shared" si="36"/>
        <v/>
      </c>
      <c r="AA523" s="217" t="b">
        <f t="shared" si="35"/>
        <v>0</v>
      </c>
      <c r="AB523" s="92"/>
      <c r="AC523" s="164" t="s">
        <v>6</v>
      </c>
      <c r="AD523" s="151" t="str">
        <f t="shared" si="33"/>
        <v>GUARULHOS</v>
      </c>
      <c r="AE523" s="96" t="s">
        <v>63</v>
      </c>
      <c r="AF523" s="53">
        <v>0.40956733146986674</v>
      </c>
      <c r="AG523" s="53" t="str" cm="1">
        <f t="array" ref="AG523">IF(OR(O523&lt;&gt;"", SUMPRODUCT(($AH$2:$AH$4999=AH523)*($AF$2:$AF$4999&lt;=AF523)) &lt;= (COUNTIF($AH$2:$AH$4999,AH523)*0.3)), "SORTEADO", "-")</f>
        <v>-</v>
      </c>
      <c r="AH523" s="257" t="str">
        <f t="shared" si="34"/>
        <v>20/04/2026</v>
      </c>
    </row>
    <row r="524" spans="1:34" ht="30" hidden="1" customHeight="1" x14ac:dyDescent="0.2">
      <c r="A524" s="230" t="s">
        <v>197</v>
      </c>
      <c r="B524" s="230">
        <v>2615884841</v>
      </c>
      <c r="C524" s="230" t="s">
        <v>135</v>
      </c>
      <c r="D524" s="230" t="s">
        <v>124</v>
      </c>
      <c r="E524" s="230" t="s">
        <v>198</v>
      </c>
      <c r="F524" s="230" t="s">
        <v>4119</v>
      </c>
      <c r="G524" s="230">
        <v>59</v>
      </c>
      <c r="H524" s="230" t="s">
        <v>1664</v>
      </c>
      <c r="I524" s="230" t="s">
        <v>708</v>
      </c>
      <c r="J524" s="230" t="s">
        <v>3280</v>
      </c>
      <c r="K524" s="230"/>
      <c r="L524" s="230" t="s">
        <v>1616</v>
      </c>
      <c r="M524" s="230" t="s">
        <v>4120</v>
      </c>
      <c r="N524" s="230" t="s">
        <v>215</v>
      </c>
      <c r="O524" s="158"/>
      <c r="P524" s="92"/>
      <c r="Q524" s="146"/>
      <c r="R524" s="92"/>
      <c r="S524" s="146"/>
      <c r="T524" s="92"/>
      <c r="U524" s="146"/>
      <c r="V524" s="92"/>
      <c r="W524" s="146"/>
      <c r="X524" s="92"/>
      <c r="Y524" s="146"/>
      <c r="Z524" s="186" t="str">
        <f t="shared" si="36"/>
        <v/>
      </c>
      <c r="AA524" s="217" t="b">
        <f t="shared" si="35"/>
        <v>0</v>
      </c>
      <c r="AB524" s="92"/>
      <c r="AC524" s="164" t="s">
        <v>6</v>
      </c>
      <c r="AD524" s="151" t="str">
        <f t="shared" si="33"/>
        <v>GUARULHOS</v>
      </c>
      <c r="AE524" s="96" t="s">
        <v>63</v>
      </c>
      <c r="AF524" s="53">
        <v>0.71844387251963038</v>
      </c>
      <c r="AG524" s="53" t="str" cm="1">
        <f t="array" ref="AG524">IF(OR(O524&lt;&gt;"", SUMPRODUCT(($AH$2:$AH$4999=AH524)*($AF$2:$AF$4999&lt;=AF524)) &lt;= (COUNTIF($AH$2:$AH$4999,AH524)*0.3)), "SORTEADO", "-")</f>
        <v>-</v>
      </c>
      <c r="AH524" s="257" t="str">
        <f t="shared" si="34"/>
        <v>20/04/2026</v>
      </c>
    </row>
    <row r="525" spans="1:34" ht="30" customHeight="1" x14ac:dyDescent="0.2">
      <c r="A525" s="230" t="s">
        <v>197</v>
      </c>
      <c r="B525" s="230">
        <v>2616235729</v>
      </c>
      <c r="C525" s="230" t="s">
        <v>135</v>
      </c>
      <c r="D525" s="230" t="s">
        <v>124</v>
      </c>
      <c r="E525" s="230" t="s">
        <v>198</v>
      </c>
      <c r="F525" s="230" t="s">
        <v>4121</v>
      </c>
      <c r="G525" s="230">
        <v>37</v>
      </c>
      <c r="H525" s="230" t="s">
        <v>3412</v>
      </c>
      <c r="I525" s="230" t="s">
        <v>791</v>
      </c>
      <c r="J525" s="230" t="s">
        <v>3280</v>
      </c>
      <c r="K525" s="230" t="s">
        <v>4122</v>
      </c>
      <c r="L525" s="230" t="s">
        <v>1616</v>
      </c>
      <c r="M525" s="230" t="s">
        <v>4123</v>
      </c>
      <c r="N525" s="230" t="s">
        <v>215</v>
      </c>
      <c r="O525" s="158" t="s">
        <v>204</v>
      </c>
      <c r="P525" s="92"/>
      <c r="Q525" s="146" t="s">
        <v>204</v>
      </c>
      <c r="R525" s="92"/>
      <c r="S525" s="146" t="s">
        <v>204</v>
      </c>
      <c r="T525" s="92"/>
      <c r="U525" s="146" t="s">
        <v>204</v>
      </c>
      <c r="V525" s="92"/>
      <c r="W525" s="146" t="s">
        <v>204</v>
      </c>
      <c r="X525" s="92"/>
      <c r="Y525" s="146" t="s">
        <v>204</v>
      </c>
      <c r="Z525" s="186" t="str">
        <f t="shared" si="36"/>
        <v>C</v>
      </c>
      <c r="AA525" s="217" t="str">
        <f t="shared" si="35"/>
        <v>UTILIZOU O PDA CORRETAMENTE</v>
      </c>
      <c r="AB525" s="92" t="s">
        <v>204</v>
      </c>
      <c r="AC525" s="164" t="s">
        <v>6</v>
      </c>
      <c r="AD525" s="151" t="str">
        <f t="shared" si="33"/>
        <v>GUARULHOS</v>
      </c>
      <c r="AE525" s="96" t="s">
        <v>63</v>
      </c>
      <c r="AF525" s="53">
        <v>0.36628599059931377</v>
      </c>
      <c r="AG525" s="53" t="str" cm="1">
        <f t="array" ref="AG525">IF(OR(O525&lt;&gt;"", SUMPRODUCT(($AH$2:$AH$4999=AH525)*($AF$2:$AF$4999&lt;=AF525)) &lt;= (COUNTIF($AH$2:$AH$4999,AH525)*0.3)), "SORTEADO", "-")</f>
        <v>SORTEADO</v>
      </c>
      <c r="AH525" s="257" t="str">
        <f t="shared" si="34"/>
        <v>20/04/2026</v>
      </c>
    </row>
    <row r="526" spans="1:34" ht="30" hidden="1" customHeight="1" x14ac:dyDescent="0.2">
      <c r="A526" s="230" t="s">
        <v>197</v>
      </c>
      <c r="B526" s="230">
        <v>2613858605</v>
      </c>
      <c r="C526" s="230" t="s">
        <v>134</v>
      </c>
      <c r="D526" s="230" t="s">
        <v>124</v>
      </c>
      <c r="E526" s="230" t="s">
        <v>198</v>
      </c>
      <c r="F526" s="230" t="s">
        <v>4124</v>
      </c>
      <c r="G526" s="230">
        <v>187</v>
      </c>
      <c r="H526" s="230"/>
      <c r="I526" s="230" t="s">
        <v>366</v>
      </c>
      <c r="J526" s="230" t="s">
        <v>3285</v>
      </c>
      <c r="K526" s="230"/>
      <c r="L526" s="230" t="s">
        <v>1616</v>
      </c>
      <c r="M526" s="230" t="s">
        <v>4125</v>
      </c>
      <c r="N526" s="230" t="s">
        <v>215</v>
      </c>
      <c r="O526" s="158"/>
      <c r="P526" s="92"/>
      <c r="Q526" s="146"/>
      <c r="R526" s="92"/>
      <c r="S526" s="146"/>
      <c r="T526" s="92"/>
      <c r="U526" s="146"/>
      <c r="V526" s="92"/>
      <c r="W526" s="146"/>
      <c r="X526" s="92"/>
      <c r="Y526" s="146"/>
      <c r="Z526" s="186" t="str">
        <f t="shared" si="36"/>
        <v/>
      </c>
      <c r="AA526" s="217" t="b">
        <f t="shared" si="35"/>
        <v>0</v>
      </c>
      <c r="AB526" s="92"/>
      <c r="AC526" s="164" t="s">
        <v>6</v>
      </c>
      <c r="AD526" s="151" t="str">
        <f t="shared" si="33"/>
        <v>GUARULHOS</v>
      </c>
      <c r="AE526" s="96" t="s">
        <v>63</v>
      </c>
      <c r="AF526" s="53">
        <v>0.70614996582661604</v>
      </c>
      <c r="AG526" s="53" t="str" cm="1">
        <f t="array" ref="AG526">IF(OR(O526&lt;&gt;"", SUMPRODUCT(($AH$2:$AH$4999=AH526)*($AF$2:$AF$4999&lt;=AF526)) &lt;= (COUNTIF($AH$2:$AH$4999,AH526)*0.3)), "SORTEADO", "-")</f>
        <v>-</v>
      </c>
      <c r="AH526" s="257" t="str">
        <f t="shared" si="34"/>
        <v>20/04/2026</v>
      </c>
    </row>
    <row r="527" spans="1:34" ht="30" hidden="1" customHeight="1" x14ac:dyDescent="0.2">
      <c r="A527" s="230" t="s">
        <v>197</v>
      </c>
      <c r="B527" s="230">
        <v>2691033170</v>
      </c>
      <c r="C527" s="230" t="s">
        <v>127</v>
      </c>
      <c r="D527" s="230" t="s">
        <v>63</v>
      </c>
      <c r="E527" s="230" t="s">
        <v>198</v>
      </c>
      <c r="F527" s="230" t="s">
        <v>4126</v>
      </c>
      <c r="G527" s="230">
        <v>155</v>
      </c>
      <c r="H527" s="230" t="s">
        <v>3970</v>
      </c>
      <c r="I527" s="230" t="s">
        <v>2548</v>
      </c>
      <c r="J527" s="230" t="s">
        <v>3275</v>
      </c>
      <c r="K527" s="230" t="s">
        <v>213</v>
      </c>
      <c r="L527" s="230" t="s">
        <v>1616</v>
      </c>
      <c r="M527" s="230" t="s">
        <v>4127</v>
      </c>
      <c r="N527" s="230" t="s">
        <v>3282</v>
      </c>
      <c r="O527" s="158"/>
      <c r="P527" s="92"/>
      <c r="Q527" s="146"/>
      <c r="R527" s="92"/>
      <c r="S527" s="146"/>
      <c r="T527" s="92"/>
      <c r="U527" s="146"/>
      <c r="V527" s="92"/>
      <c r="W527" s="146"/>
      <c r="X527" s="92"/>
      <c r="Y527" s="146"/>
      <c r="Z527" s="186" t="str">
        <f t="shared" si="36"/>
        <v/>
      </c>
      <c r="AA527" s="217" t="b">
        <f t="shared" si="35"/>
        <v>0</v>
      </c>
      <c r="AB527" s="92"/>
      <c r="AC527" s="164" t="s">
        <v>6</v>
      </c>
      <c r="AD527" s="151" t="str">
        <f t="shared" si="33"/>
        <v>GUARULHOS</v>
      </c>
      <c r="AE527" s="96" t="s">
        <v>63</v>
      </c>
      <c r="AF527" s="53">
        <v>0.66517368849438452</v>
      </c>
      <c r="AG527" s="53" t="str" cm="1">
        <f t="array" ref="AG527">IF(OR(O527&lt;&gt;"", SUMPRODUCT(($AH$2:$AH$4999=AH527)*($AF$2:$AF$4999&lt;=AF527)) &lt;= (COUNTIF($AH$2:$AH$4999,AH527)*0.3)), "SORTEADO", "-")</f>
        <v>-</v>
      </c>
      <c r="AH527" s="257" t="str">
        <f t="shared" si="34"/>
        <v>20/04/2026</v>
      </c>
    </row>
    <row r="528" spans="1:34" ht="30" hidden="1" customHeight="1" x14ac:dyDescent="0.2">
      <c r="A528" s="230" t="s">
        <v>197</v>
      </c>
      <c r="B528" s="230">
        <v>2691037822</v>
      </c>
      <c r="C528" s="230" t="s">
        <v>127</v>
      </c>
      <c r="D528" s="230" t="s">
        <v>63</v>
      </c>
      <c r="E528" s="230" t="s">
        <v>198</v>
      </c>
      <c r="F528" s="230" t="s">
        <v>1021</v>
      </c>
      <c r="G528" s="230">
        <v>432</v>
      </c>
      <c r="H528" s="230"/>
      <c r="I528" s="230" t="s">
        <v>269</v>
      </c>
      <c r="J528" s="230" t="s">
        <v>3275</v>
      </c>
      <c r="K528" s="230"/>
      <c r="L528" s="230" t="s">
        <v>1616</v>
      </c>
      <c r="M528" s="230" t="s">
        <v>4128</v>
      </c>
      <c r="N528" s="230" t="s">
        <v>819</v>
      </c>
      <c r="O528" s="158"/>
      <c r="P528" s="92"/>
      <c r="Q528" s="146"/>
      <c r="R528" s="92"/>
      <c r="S528" s="146"/>
      <c r="T528" s="92"/>
      <c r="U528" s="146"/>
      <c r="V528" s="92"/>
      <c r="W528" s="146"/>
      <c r="X528" s="92"/>
      <c r="Y528" s="146"/>
      <c r="Z528" s="186" t="str">
        <f t="shared" si="36"/>
        <v/>
      </c>
      <c r="AA528" s="217" t="b">
        <f t="shared" si="35"/>
        <v>0</v>
      </c>
      <c r="AB528" s="92"/>
      <c r="AC528" s="164" t="s">
        <v>6</v>
      </c>
      <c r="AD528" s="151" t="str">
        <f t="shared" si="33"/>
        <v>GUARULHOS</v>
      </c>
      <c r="AE528" s="96" t="s">
        <v>63</v>
      </c>
      <c r="AF528" s="53">
        <v>0.94320871498913883</v>
      </c>
      <c r="AG528" s="53" t="str" cm="1">
        <f t="array" ref="AG528">IF(OR(O528&lt;&gt;"", SUMPRODUCT(($AH$2:$AH$4999=AH528)*($AF$2:$AF$4999&lt;=AF528)) &lt;= (COUNTIF($AH$2:$AH$4999,AH528)*0.3)), "SORTEADO", "-")</f>
        <v>-</v>
      </c>
      <c r="AH528" s="257" t="str">
        <f t="shared" si="34"/>
        <v>20/04/2026</v>
      </c>
    </row>
    <row r="529" spans="1:34" ht="30" hidden="1" customHeight="1" x14ac:dyDescent="0.2">
      <c r="A529" s="230" t="s">
        <v>197</v>
      </c>
      <c r="B529" s="230">
        <v>2691041589</v>
      </c>
      <c r="C529" s="230" t="s">
        <v>127</v>
      </c>
      <c r="D529" s="230" t="s">
        <v>63</v>
      </c>
      <c r="E529" s="230" t="s">
        <v>198</v>
      </c>
      <c r="F529" s="230" t="s">
        <v>4129</v>
      </c>
      <c r="G529" s="230">
        <v>132</v>
      </c>
      <c r="H529" s="230" t="s">
        <v>2062</v>
      </c>
      <c r="I529" s="230" t="s">
        <v>335</v>
      </c>
      <c r="J529" s="230" t="s">
        <v>3275</v>
      </c>
      <c r="K529" s="230" t="s">
        <v>213</v>
      </c>
      <c r="L529" s="230" t="s">
        <v>1616</v>
      </c>
      <c r="M529" s="230" t="s">
        <v>4130</v>
      </c>
      <c r="N529" s="230" t="s">
        <v>3276</v>
      </c>
      <c r="O529" s="158"/>
      <c r="P529" s="92"/>
      <c r="Q529" s="146"/>
      <c r="R529" s="92"/>
      <c r="S529" s="146"/>
      <c r="T529" s="92"/>
      <c r="U529" s="146"/>
      <c r="V529" s="92"/>
      <c r="W529" s="146"/>
      <c r="X529" s="92"/>
      <c r="Y529" s="146"/>
      <c r="Z529" s="186" t="str">
        <f t="shared" si="36"/>
        <v/>
      </c>
      <c r="AA529" s="217" t="b">
        <f t="shared" si="35"/>
        <v>0</v>
      </c>
      <c r="AB529" s="92"/>
      <c r="AC529" s="164" t="s">
        <v>6</v>
      </c>
      <c r="AD529" s="151" t="str">
        <f t="shared" si="33"/>
        <v>GUARULHOS</v>
      </c>
      <c r="AE529" s="96" t="s">
        <v>63</v>
      </c>
      <c r="AF529" s="53">
        <v>0.76295773207603346</v>
      </c>
      <c r="AG529" s="53" t="str" cm="1">
        <f t="array" ref="AG529">IF(OR(O529&lt;&gt;"", SUMPRODUCT(($AH$2:$AH$4999=AH529)*($AF$2:$AF$4999&lt;=AF529)) &lt;= (COUNTIF($AH$2:$AH$4999,AH529)*0.3)), "SORTEADO", "-")</f>
        <v>-</v>
      </c>
      <c r="AH529" s="257" t="str">
        <f t="shared" si="34"/>
        <v>20/04/2026</v>
      </c>
    </row>
    <row r="530" spans="1:34" ht="30" customHeight="1" x14ac:dyDescent="0.2">
      <c r="A530" s="230" t="s">
        <v>197</v>
      </c>
      <c r="B530" s="230">
        <v>2691015468</v>
      </c>
      <c r="C530" s="230" t="s">
        <v>133</v>
      </c>
      <c r="D530" s="230" t="s">
        <v>124</v>
      </c>
      <c r="E530" s="230" t="s">
        <v>198</v>
      </c>
      <c r="F530" s="230" t="s">
        <v>1085</v>
      </c>
      <c r="G530" s="230">
        <v>67</v>
      </c>
      <c r="H530" s="230" t="s">
        <v>337</v>
      </c>
      <c r="I530" s="230" t="s">
        <v>253</v>
      </c>
      <c r="J530" s="230" t="s">
        <v>3275</v>
      </c>
      <c r="K530" s="230" t="s">
        <v>3363</v>
      </c>
      <c r="L530" s="230" t="s">
        <v>1616</v>
      </c>
      <c r="M530" s="230" t="s">
        <v>4131</v>
      </c>
      <c r="N530" s="230" t="s">
        <v>3276</v>
      </c>
      <c r="O530" s="158" t="s">
        <v>204</v>
      </c>
      <c r="P530" s="92"/>
      <c r="Q530" s="146" t="s">
        <v>204</v>
      </c>
      <c r="R530" s="92"/>
      <c r="S530" s="146" t="s">
        <v>204</v>
      </c>
      <c r="T530" s="92"/>
      <c r="U530" s="146" t="s">
        <v>204</v>
      </c>
      <c r="V530" s="92"/>
      <c r="W530" s="146" t="s">
        <v>204</v>
      </c>
      <c r="X530" s="92"/>
      <c r="Y530" s="146" t="s">
        <v>204</v>
      </c>
      <c r="Z530" s="186" t="str">
        <f t="shared" si="36"/>
        <v>C</v>
      </c>
      <c r="AA530" s="217" t="str">
        <f t="shared" si="35"/>
        <v>UTILIZOU O PDA CORRETAMENTE</v>
      </c>
      <c r="AB530" s="92" t="s">
        <v>204</v>
      </c>
      <c r="AC530" s="164" t="s">
        <v>6</v>
      </c>
      <c r="AD530" s="151" t="str">
        <f t="shared" si="33"/>
        <v>GUARULHOS</v>
      </c>
      <c r="AE530" s="96" t="s">
        <v>63</v>
      </c>
      <c r="AF530" s="53">
        <v>0.33469326659101378</v>
      </c>
      <c r="AG530" s="53" t="str" cm="1">
        <f t="array" ref="AG530">IF(OR(O530&lt;&gt;"", SUMPRODUCT(($AH$2:$AH$4999=AH530)*($AF$2:$AF$4999&lt;=AF530)) &lt;= (COUNTIF($AH$2:$AH$4999,AH530)*0.3)), "SORTEADO", "-")</f>
        <v>SORTEADO</v>
      </c>
      <c r="AH530" s="257" t="str">
        <f t="shared" si="34"/>
        <v>20/04/2026</v>
      </c>
    </row>
    <row r="531" spans="1:34" ht="30" customHeight="1" x14ac:dyDescent="0.2">
      <c r="A531" s="230" t="s">
        <v>197</v>
      </c>
      <c r="B531" s="230">
        <v>2691030232</v>
      </c>
      <c r="C531" s="230" t="s">
        <v>133</v>
      </c>
      <c r="D531" s="230" t="s">
        <v>124</v>
      </c>
      <c r="E531" s="230" t="s">
        <v>198</v>
      </c>
      <c r="F531" s="230" t="s">
        <v>238</v>
      </c>
      <c r="G531" s="230">
        <v>3293</v>
      </c>
      <c r="H531" s="230" t="s">
        <v>461</v>
      </c>
      <c r="I531" s="230" t="s">
        <v>368</v>
      </c>
      <c r="J531" s="230" t="s">
        <v>3275</v>
      </c>
      <c r="K531" s="230"/>
      <c r="L531" s="230" t="s">
        <v>1616</v>
      </c>
      <c r="M531" s="230" t="s">
        <v>1617</v>
      </c>
      <c r="N531" s="230" t="s">
        <v>294</v>
      </c>
      <c r="O531" s="158" t="s">
        <v>204</v>
      </c>
      <c r="P531" s="92"/>
      <c r="Q531" s="146" t="s">
        <v>204</v>
      </c>
      <c r="R531" s="92"/>
      <c r="S531" s="146" t="s">
        <v>204</v>
      </c>
      <c r="T531" s="92"/>
      <c r="U531" s="146" t="s">
        <v>204</v>
      </c>
      <c r="V531" s="92"/>
      <c r="W531" s="146" t="s">
        <v>204</v>
      </c>
      <c r="X531" s="92"/>
      <c r="Y531" s="146" t="s">
        <v>204</v>
      </c>
      <c r="Z531" s="186" t="str">
        <f t="shared" si="36"/>
        <v>C</v>
      </c>
      <c r="AA531" s="217" t="str">
        <f t="shared" si="35"/>
        <v>UTILIZOU O PDA CORRETAMENTE</v>
      </c>
      <c r="AB531" s="92" t="s">
        <v>204</v>
      </c>
      <c r="AC531" s="164" t="s">
        <v>6</v>
      </c>
      <c r="AD531" s="151" t="str">
        <f t="shared" si="33"/>
        <v>GUARULHOS</v>
      </c>
      <c r="AE531" s="96" t="s">
        <v>63</v>
      </c>
      <c r="AF531" s="53">
        <v>0.33014570093654844</v>
      </c>
      <c r="AG531" s="53" t="str" cm="1">
        <f t="array" ref="AG531">IF(OR(O531&lt;&gt;"", SUMPRODUCT(($AH$2:$AH$4999=AH531)*($AF$2:$AF$4999&lt;=AF531)) &lt;= (COUNTIF($AH$2:$AH$4999,AH531)*0.3)), "SORTEADO", "-")</f>
        <v>SORTEADO</v>
      </c>
      <c r="AH531" s="257" t="str">
        <f t="shared" si="34"/>
        <v>20/04/2026</v>
      </c>
    </row>
    <row r="532" spans="1:34" ht="30" hidden="1" customHeight="1" x14ac:dyDescent="0.2">
      <c r="A532" s="230" t="s">
        <v>197</v>
      </c>
      <c r="B532" s="230">
        <v>2616614891</v>
      </c>
      <c r="C532" s="230" t="s">
        <v>133</v>
      </c>
      <c r="D532" s="230" t="s">
        <v>124</v>
      </c>
      <c r="E532" s="230" t="s">
        <v>198</v>
      </c>
      <c r="F532" s="230" t="s">
        <v>3467</v>
      </c>
      <c r="G532" s="230">
        <v>112</v>
      </c>
      <c r="H532" s="230" t="s">
        <v>1153</v>
      </c>
      <c r="I532" s="230" t="s">
        <v>736</v>
      </c>
      <c r="J532" s="230" t="s">
        <v>3275</v>
      </c>
      <c r="K532" s="230" t="s">
        <v>3344</v>
      </c>
      <c r="L532" s="230" t="s">
        <v>1616</v>
      </c>
      <c r="M532" s="230" t="s">
        <v>4132</v>
      </c>
      <c r="N532" s="230" t="s">
        <v>3289</v>
      </c>
      <c r="O532" s="158"/>
      <c r="P532" s="92"/>
      <c r="Q532" s="146"/>
      <c r="R532" s="92"/>
      <c r="S532" s="146"/>
      <c r="T532" s="92"/>
      <c r="U532" s="146"/>
      <c r="V532" s="92"/>
      <c r="W532" s="146"/>
      <c r="X532" s="92"/>
      <c r="Y532" s="146"/>
      <c r="Z532" s="186" t="str">
        <f t="shared" si="36"/>
        <v/>
      </c>
      <c r="AA532" s="217" t="b">
        <f t="shared" si="35"/>
        <v>0</v>
      </c>
      <c r="AB532" s="92"/>
      <c r="AC532" s="164" t="s">
        <v>6</v>
      </c>
      <c r="AD532" s="151" t="str">
        <f t="shared" si="33"/>
        <v>GUARULHOS</v>
      </c>
      <c r="AE532" s="96" t="s">
        <v>63</v>
      </c>
      <c r="AF532" s="53">
        <v>0.48830053428920417</v>
      </c>
      <c r="AG532" s="53" t="str" cm="1">
        <f t="array" ref="AG532">IF(OR(O532&lt;&gt;"", SUMPRODUCT(($AH$2:$AH$4999=AH532)*($AF$2:$AF$4999&lt;=AF532)) &lt;= (COUNTIF($AH$2:$AH$4999,AH532)*0.3)), "SORTEADO", "-")</f>
        <v>-</v>
      </c>
      <c r="AH532" s="257" t="str">
        <f t="shared" si="34"/>
        <v>20/04/2026</v>
      </c>
    </row>
    <row r="533" spans="1:34" ht="30" hidden="1" customHeight="1" x14ac:dyDescent="0.2">
      <c r="A533" s="230" t="s">
        <v>197</v>
      </c>
      <c r="B533" s="230">
        <v>2691010557</v>
      </c>
      <c r="C533" s="230" t="s">
        <v>133</v>
      </c>
      <c r="D533" s="230" t="s">
        <v>124</v>
      </c>
      <c r="E533" s="230" t="s">
        <v>198</v>
      </c>
      <c r="F533" s="230" t="s">
        <v>2246</v>
      </c>
      <c r="G533" s="230">
        <v>499</v>
      </c>
      <c r="H533" s="230" t="s">
        <v>276</v>
      </c>
      <c r="I533" s="230" t="s">
        <v>797</v>
      </c>
      <c r="J533" s="230" t="s">
        <v>3275</v>
      </c>
      <c r="K533" s="230" t="s">
        <v>3344</v>
      </c>
      <c r="L533" s="230" t="s">
        <v>1616</v>
      </c>
      <c r="M533" s="230" t="s">
        <v>4133</v>
      </c>
      <c r="N533" s="230" t="s">
        <v>3289</v>
      </c>
      <c r="O533" s="158"/>
      <c r="P533" s="92"/>
      <c r="Q533" s="146"/>
      <c r="R533" s="92"/>
      <c r="S533" s="146"/>
      <c r="T533" s="92"/>
      <c r="U533" s="146"/>
      <c r="V533" s="92"/>
      <c r="W533" s="146"/>
      <c r="X533" s="92"/>
      <c r="Y533" s="146"/>
      <c r="Z533" s="186" t="str">
        <f t="shared" si="36"/>
        <v/>
      </c>
      <c r="AA533" s="217" t="b">
        <f t="shared" si="35"/>
        <v>0</v>
      </c>
      <c r="AB533" s="92"/>
      <c r="AC533" s="164" t="s">
        <v>6</v>
      </c>
      <c r="AD533" s="151" t="str">
        <f t="shared" si="33"/>
        <v>GUARULHOS</v>
      </c>
      <c r="AE533" s="96" t="s">
        <v>63</v>
      </c>
      <c r="AF533" s="53">
        <v>0.61295615675669946</v>
      </c>
      <c r="AG533" s="53" t="str" cm="1">
        <f t="array" ref="AG533">IF(OR(O533&lt;&gt;"", SUMPRODUCT(($AH$2:$AH$4999=AH533)*($AF$2:$AF$4999&lt;=AF533)) &lt;= (COUNTIF($AH$2:$AH$4999,AH533)*0.3)), "SORTEADO", "-")</f>
        <v>-</v>
      </c>
      <c r="AH533" s="257" t="str">
        <f t="shared" si="34"/>
        <v>20/04/2026</v>
      </c>
    </row>
    <row r="534" spans="1:34" ht="30" customHeight="1" x14ac:dyDescent="0.2">
      <c r="A534" s="230" t="s">
        <v>197</v>
      </c>
      <c r="B534" s="230">
        <v>2616615624</v>
      </c>
      <c r="C534" s="230" t="s">
        <v>133</v>
      </c>
      <c r="D534" s="230" t="s">
        <v>124</v>
      </c>
      <c r="E534" s="230" t="s">
        <v>198</v>
      </c>
      <c r="F534" s="230" t="s">
        <v>2246</v>
      </c>
      <c r="G534" s="230">
        <v>431</v>
      </c>
      <c r="H534" s="230" t="s">
        <v>213</v>
      </c>
      <c r="I534" s="230" t="s">
        <v>797</v>
      </c>
      <c r="J534" s="230" t="s">
        <v>3275</v>
      </c>
      <c r="K534" s="230" t="s">
        <v>4134</v>
      </c>
      <c r="L534" s="230" t="s">
        <v>1616</v>
      </c>
      <c r="M534" s="230" t="s">
        <v>4135</v>
      </c>
      <c r="N534" s="230" t="s">
        <v>3289</v>
      </c>
      <c r="O534" s="158" t="s">
        <v>204</v>
      </c>
      <c r="P534" s="92"/>
      <c r="Q534" s="146" t="s">
        <v>204</v>
      </c>
      <c r="R534" s="92"/>
      <c r="S534" s="146" t="s">
        <v>204</v>
      </c>
      <c r="T534" s="92"/>
      <c r="U534" s="146" t="s">
        <v>204</v>
      </c>
      <c r="V534" s="92"/>
      <c r="W534" s="146" t="s">
        <v>204</v>
      </c>
      <c r="X534" s="92"/>
      <c r="Y534" s="146" t="s">
        <v>204</v>
      </c>
      <c r="Z534" s="186" t="str">
        <f t="shared" si="36"/>
        <v>C</v>
      </c>
      <c r="AA534" s="217" t="str">
        <f t="shared" si="35"/>
        <v>UTILIZOU O PDA CORRETAMENTE</v>
      </c>
      <c r="AB534" s="92" t="s">
        <v>204</v>
      </c>
      <c r="AC534" s="164" t="s">
        <v>6</v>
      </c>
      <c r="AD534" s="151" t="str">
        <f t="shared" si="33"/>
        <v>GUARULHOS</v>
      </c>
      <c r="AE534" s="96" t="s">
        <v>63</v>
      </c>
      <c r="AF534" s="53">
        <v>0.26122004669618143</v>
      </c>
      <c r="AG534" s="53" t="str" cm="1">
        <f t="array" ref="AG534">IF(OR(O534&lt;&gt;"", SUMPRODUCT(($AH$2:$AH$4999=AH534)*($AF$2:$AF$4999&lt;=AF534)) &lt;= (COUNTIF($AH$2:$AH$4999,AH534)*0.3)), "SORTEADO", "-")</f>
        <v>SORTEADO</v>
      </c>
      <c r="AH534" s="257" t="str">
        <f t="shared" si="34"/>
        <v>20/04/2026</v>
      </c>
    </row>
    <row r="535" spans="1:34" ht="30" hidden="1" customHeight="1" x14ac:dyDescent="0.2">
      <c r="A535" s="230" t="s">
        <v>197</v>
      </c>
      <c r="B535" s="230">
        <v>2691042994</v>
      </c>
      <c r="C535" s="230" t="s">
        <v>133</v>
      </c>
      <c r="D535" s="230" t="s">
        <v>124</v>
      </c>
      <c r="E535" s="230" t="s">
        <v>198</v>
      </c>
      <c r="F535" s="230" t="s">
        <v>4136</v>
      </c>
      <c r="G535" s="230">
        <v>71</v>
      </c>
      <c r="H535" s="230" t="s">
        <v>235</v>
      </c>
      <c r="I535" s="230" t="s">
        <v>379</v>
      </c>
      <c r="J535" s="230" t="s">
        <v>3275</v>
      </c>
      <c r="K535" s="230"/>
      <c r="L535" s="230" t="s">
        <v>1616</v>
      </c>
      <c r="M535" s="230" t="s">
        <v>4137</v>
      </c>
      <c r="N535" s="230" t="s">
        <v>294</v>
      </c>
      <c r="O535" s="158"/>
      <c r="P535" s="92"/>
      <c r="Q535" s="146"/>
      <c r="R535" s="92"/>
      <c r="S535" s="146"/>
      <c r="T535" s="92"/>
      <c r="U535" s="146"/>
      <c r="V535" s="92"/>
      <c r="W535" s="146"/>
      <c r="X535" s="92"/>
      <c r="Y535" s="146"/>
      <c r="Z535" s="186" t="str">
        <f t="shared" si="36"/>
        <v/>
      </c>
      <c r="AA535" s="217" t="b">
        <f t="shared" si="35"/>
        <v>0</v>
      </c>
      <c r="AB535" s="92"/>
      <c r="AC535" s="164" t="s">
        <v>6</v>
      </c>
      <c r="AD535" s="151" t="str">
        <f t="shared" si="33"/>
        <v>GUARULHOS</v>
      </c>
      <c r="AE535" s="96" t="s">
        <v>63</v>
      </c>
      <c r="AF535" s="53">
        <v>0.61547043700143189</v>
      </c>
      <c r="AG535" s="53" t="str" cm="1">
        <f t="array" ref="AG535">IF(OR(O535&lt;&gt;"", SUMPRODUCT(($AH$2:$AH$4999=AH535)*($AF$2:$AF$4999&lt;=AF535)) &lt;= (COUNTIF($AH$2:$AH$4999,AH535)*0.3)), "SORTEADO", "-")</f>
        <v>-</v>
      </c>
      <c r="AH535" s="257" t="str">
        <f t="shared" si="34"/>
        <v>20/04/2026</v>
      </c>
    </row>
    <row r="536" spans="1:34" ht="30" hidden="1" customHeight="1" x14ac:dyDescent="0.2">
      <c r="A536" s="230" t="s">
        <v>197</v>
      </c>
      <c r="B536" s="230">
        <v>2613867776</v>
      </c>
      <c r="C536" s="230" t="s">
        <v>134</v>
      </c>
      <c r="D536" s="230" t="s">
        <v>124</v>
      </c>
      <c r="E536" s="230" t="s">
        <v>198</v>
      </c>
      <c r="F536" s="230" t="s">
        <v>1478</v>
      </c>
      <c r="G536" s="230">
        <v>1139</v>
      </c>
      <c r="H536" s="230" t="s">
        <v>4138</v>
      </c>
      <c r="I536" s="230" t="s">
        <v>253</v>
      </c>
      <c r="J536" s="230" t="s">
        <v>3285</v>
      </c>
      <c r="K536" s="230" t="s">
        <v>4139</v>
      </c>
      <c r="L536" s="230" t="s">
        <v>1616</v>
      </c>
      <c r="M536" s="230" t="s">
        <v>4140</v>
      </c>
      <c r="N536" s="230" t="s">
        <v>203</v>
      </c>
      <c r="O536" s="158"/>
      <c r="P536" s="92"/>
      <c r="Q536" s="146"/>
      <c r="R536" s="92"/>
      <c r="S536" s="146"/>
      <c r="T536" s="92"/>
      <c r="U536" s="146"/>
      <c r="V536" s="92"/>
      <c r="W536" s="146"/>
      <c r="X536" s="92"/>
      <c r="Y536" s="146"/>
      <c r="Z536" s="186" t="str">
        <f t="shared" si="36"/>
        <v/>
      </c>
      <c r="AA536" s="217" t="b">
        <f t="shared" si="35"/>
        <v>0</v>
      </c>
      <c r="AB536" s="92"/>
      <c r="AC536" s="164" t="s">
        <v>6</v>
      </c>
      <c r="AD536" s="151" t="str">
        <f t="shared" si="33"/>
        <v>GUARULHOS</v>
      </c>
      <c r="AE536" s="96" t="s">
        <v>63</v>
      </c>
      <c r="AF536" s="53">
        <v>0.56642058580470922</v>
      </c>
      <c r="AG536" s="53" t="str" cm="1">
        <f t="array" ref="AG536">IF(OR(O536&lt;&gt;"", SUMPRODUCT(($AH$2:$AH$4999=AH536)*($AF$2:$AF$4999&lt;=AF536)) &lt;= (COUNTIF($AH$2:$AH$4999,AH536)*0.3)), "SORTEADO", "-")</f>
        <v>-</v>
      </c>
      <c r="AH536" s="257" t="str">
        <f t="shared" si="34"/>
        <v>20/04/2026</v>
      </c>
    </row>
    <row r="537" spans="1:34" ht="30" hidden="1" customHeight="1" x14ac:dyDescent="0.2">
      <c r="A537" s="230" t="s">
        <v>197</v>
      </c>
      <c r="B537" s="230">
        <v>2616385028</v>
      </c>
      <c r="C537" s="230" t="s">
        <v>135</v>
      </c>
      <c r="D537" s="230" t="s">
        <v>124</v>
      </c>
      <c r="E537" s="230" t="s">
        <v>198</v>
      </c>
      <c r="F537" s="230" t="s">
        <v>4141</v>
      </c>
      <c r="G537" s="230">
        <v>45</v>
      </c>
      <c r="H537" s="230" t="s">
        <v>252</v>
      </c>
      <c r="I537" s="230" t="s">
        <v>200</v>
      </c>
      <c r="J537" s="230" t="s">
        <v>3280</v>
      </c>
      <c r="K537" s="230" t="s">
        <v>4142</v>
      </c>
      <c r="L537" s="230" t="s">
        <v>1616</v>
      </c>
      <c r="M537" s="230" t="s">
        <v>1665</v>
      </c>
      <c r="N537" s="230" t="s">
        <v>203</v>
      </c>
      <c r="O537" s="158"/>
      <c r="P537" s="92"/>
      <c r="Q537" s="146"/>
      <c r="R537" s="92"/>
      <c r="S537" s="146"/>
      <c r="T537" s="92"/>
      <c r="U537" s="146"/>
      <c r="V537" s="92"/>
      <c r="W537" s="146"/>
      <c r="X537" s="92"/>
      <c r="Y537" s="146"/>
      <c r="Z537" s="186" t="str">
        <f t="shared" si="36"/>
        <v/>
      </c>
      <c r="AA537" s="217" t="b">
        <f t="shared" si="35"/>
        <v>0</v>
      </c>
      <c r="AB537" s="92"/>
      <c r="AC537" s="164" t="s">
        <v>6</v>
      </c>
      <c r="AD537" s="151" t="str">
        <f t="shared" si="33"/>
        <v>GUARULHOS</v>
      </c>
      <c r="AE537" s="96" t="s">
        <v>63</v>
      </c>
      <c r="AF537" s="53">
        <v>0.89030421704788287</v>
      </c>
      <c r="AG537" s="53" t="str" cm="1">
        <f t="array" ref="AG537">IF(OR(O537&lt;&gt;"", SUMPRODUCT(($AH$2:$AH$4999=AH537)*($AF$2:$AF$4999&lt;=AF537)) &lt;= (COUNTIF($AH$2:$AH$4999,AH537)*0.3)), "SORTEADO", "-")</f>
        <v>-</v>
      </c>
      <c r="AH537" s="257" t="str">
        <f t="shared" si="34"/>
        <v>20/04/2026</v>
      </c>
    </row>
    <row r="538" spans="1:34" ht="30" hidden="1" customHeight="1" x14ac:dyDescent="0.2">
      <c r="A538" s="230" t="s">
        <v>197</v>
      </c>
      <c r="B538" s="230">
        <v>2615537888</v>
      </c>
      <c r="C538" s="230" t="s">
        <v>134</v>
      </c>
      <c r="D538" s="230" t="s">
        <v>124</v>
      </c>
      <c r="E538" s="230" t="s">
        <v>198</v>
      </c>
      <c r="F538" s="230" t="s">
        <v>1478</v>
      </c>
      <c r="G538" s="230">
        <v>1139</v>
      </c>
      <c r="H538" s="230" t="s">
        <v>4143</v>
      </c>
      <c r="I538" s="230" t="s">
        <v>253</v>
      </c>
      <c r="J538" s="230" t="s">
        <v>3285</v>
      </c>
      <c r="K538" s="230" t="s">
        <v>4144</v>
      </c>
      <c r="L538" s="230" t="s">
        <v>1616</v>
      </c>
      <c r="M538" s="230" t="s">
        <v>4145</v>
      </c>
      <c r="N538" s="230" t="s">
        <v>203</v>
      </c>
      <c r="O538" s="158"/>
      <c r="P538" s="92"/>
      <c r="Q538" s="146"/>
      <c r="R538" s="92"/>
      <c r="S538" s="146"/>
      <c r="T538" s="92"/>
      <c r="U538" s="146"/>
      <c r="V538" s="92"/>
      <c r="W538" s="146"/>
      <c r="X538" s="92"/>
      <c r="Y538" s="146"/>
      <c r="Z538" s="186" t="str">
        <f t="shared" si="36"/>
        <v/>
      </c>
      <c r="AA538" s="217" t="b">
        <f t="shared" si="35"/>
        <v>0</v>
      </c>
      <c r="AB538" s="92"/>
      <c r="AC538" s="164" t="s">
        <v>6</v>
      </c>
      <c r="AD538" s="151" t="str">
        <f t="shared" si="33"/>
        <v>GUARULHOS</v>
      </c>
      <c r="AE538" s="96" t="s">
        <v>63</v>
      </c>
      <c r="AF538" s="53">
        <v>0.67287676241417138</v>
      </c>
      <c r="AG538" s="53" t="str" cm="1">
        <f t="array" ref="AG538">IF(OR(O538&lt;&gt;"", SUMPRODUCT(($AH$2:$AH$4999=AH538)*($AF$2:$AF$4999&lt;=AF538)) &lt;= (COUNTIF($AH$2:$AH$4999,AH538)*0.3)), "SORTEADO", "-")</f>
        <v>-</v>
      </c>
      <c r="AH538" s="257" t="str">
        <f t="shared" si="34"/>
        <v>20/04/2026</v>
      </c>
    </row>
    <row r="539" spans="1:34" ht="30" customHeight="1" x14ac:dyDescent="0.2">
      <c r="A539" s="230" t="s">
        <v>197</v>
      </c>
      <c r="B539" s="230">
        <v>2616236490</v>
      </c>
      <c r="C539" s="230" t="s">
        <v>134</v>
      </c>
      <c r="D539" s="230" t="s">
        <v>124</v>
      </c>
      <c r="E539" s="230" t="s">
        <v>198</v>
      </c>
      <c r="F539" s="230" t="s">
        <v>4146</v>
      </c>
      <c r="G539" s="230">
        <v>88</v>
      </c>
      <c r="H539" s="230" t="s">
        <v>3207</v>
      </c>
      <c r="I539" s="230" t="s">
        <v>200</v>
      </c>
      <c r="J539" s="230" t="s">
        <v>3285</v>
      </c>
      <c r="K539" s="230"/>
      <c r="L539" s="230" t="s">
        <v>1616</v>
      </c>
      <c r="M539" s="230" t="s">
        <v>4147</v>
      </c>
      <c r="N539" s="230" t="s">
        <v>203</v>
      </c>
      <c r="O539" s="158" t="s">
        <v>204</v>
      </c>
      <c r="P539" s="92"/>
      <c r="Q539" s="146" t="s">
        <v>204</v>
      </c>
      <c r="R539" s="92"/>
      <c r="S539" s="146" t="s">
        <v>204</v>
      </c>
      <c r="T539" s="92"/>
      <c r="U539" s="146" t="s">
        <v>204</v>
      </c>
      <c r="V539" s="92"/>
      <c r="W539" s="146" t="s">
        <v>204</v>
      </c>
      <c r="X539" s="92"/>
      <c r="Y539" s="146" t="s">
        <v>204</v>
      </c>
      <c r="Z539" s="186" t="str">
        <f t="shared" si="36"/>
        <v>C</v>
      </c>
      <c r="AA539" s="217" t="str">
        <f t="shared" si="35"/>
        <v>UTILIZOU O PDA CORRETAMENTE</v>
      </c>
      <c r="AB539" s="92" t="s">
        <v>204</v>
      </c>
      <c r="AC539" s="164" t="s">
        <v>6</v>
      </c>
      <c r="AD539" s="151" t="str">
        <f t="shared" si="33"/>
        <v>GUARULHOS</v>
      </c>
      <c r="AE539" s="96" t="s">
        <v>63</v>
      </c>
      <c r="AF539" s="53">
        <v>0.35047870158996725</v>
      </c>
      <c r="AG539" s="53" t="str" cm="1">
        <f t="array" ref="AG539">IF(OR(O539&lt;&gt;"", SUMPRODUCT(($AH$2:$AH$4999=AH539)*($AF$2:$AF$4999&lt;=AF539)) &lt;= (COUNTIF($AH$2:$AH$4999,AH539)*0.3)), "SORTEADO", "-")</f>
        <v>SORTEADO</v>
      </c>
      <c r="AH539" s="257" t="str">
        <f t="shared" si="34"/>
        <v>20/04/2026</v>
      </c>
    </row>
    <row r="540" spans="1:34" ht="30" hidden="1" customHeight="1" x14ac:dyDescent="0.2">
      <c r="A540" s="230" t="s">
        <v>197</v>
      </c>
      <c r="B540" s="230">
        <v>2691032983</v>
      </c>
      <c r="C540" s="230" t="s">
        <v>133</v>
      </c>
      <c r="D540" s="230" t="s">
        <v>124</v>
      </c>
      <c r="E540" s="230" t="s">
        <v>198</v>
      </c>
      <c r="F540" s="230" t="s">
        <v>3570</v>
      </c>
      <c r="G540" s="230">
        <v>197</v>
      </c>
      <c r="H540" s="230" t="s">
        <v>213</v>
      </c>
      <c r="I540" s="230" t="s">
        <v>557</v>
      </c>
      <c r="J540" s="230" t="s">
        <v>3275</v>
      </c>
      <c r="K540" s="230" t="s">
        <v>4148</v>
      </c>
      <c r="L540" s="230" t="s">
        <v>1616</v>
      </c>
      <c r="M540" s="230" t="s">
        <v>4149</v>
      </c>
      <c r="N540" s="230" t="s">
        <v>3289</v>
      </c>
      <c r="O540" s="158"/>
      <c r="P540" s="92"/>
      <c r="Q540" s="146"/>
      <c r="R540" s="92"/>
      <c r="S540" s="146"/>
      <c r="T540" s="92"/>
      <c r="U540" s="146"/>
      <c r="V540" s="92"/>
      <c r="W540" s="146"/>
      <c r="X540" s="92"/>
      <c r="Y540" s="146"/>
      <c r="Z540" s="186" t="str">
        <f t="shared" si="36"/>
        <v/>
      </c>
      <c r="AA540" s="217" t="b">
        <f t="shared" si="35"/>
        <v>0</v>
      </c>
      <c r="AB540" s="92"/>
      <c r="AC540" s="164" t="s">
        <v>6</v>
      </c>
      <c r="AD540" s="151" t="str">
        <f t="shared" si="33"/>
        <v>GUARULHOS</v>
      </c>
      <c r="AE540" s="96" t="s">
        <v>63</v>
      </c>
      <c r="AF540" s="53">
        <v>0.77448257557770528</v>
      </c>
      <c r="AG540" s="53" t="str" cm="1">
        <f t="array" ref="AG540">IF(OR(O540&lt;&gt;"", SUMPRODUCT(($AH$2:$AH$4999=AH540)*($AF$2:$AF$4999&lt;=AF540)) &lt;= (COUNTIF($AH$2:$AH$4999,AH540)*0.3)), "SORTEADO", "-")</f>
        <v>-</v>
      </c>
      <c r="AH540" s="257" t="str">
        <f t="shared" si="34"/>
        <v>20/04/2026</v>
      </c>
    </row>
    <row r="541" spans="1:34" ht="30" hidden="1" customHeight="1" x14ac:dyDescent="0.2">
      <c r="A541" s="230" t="s">
        <v>197</v>
      </c>
      <c r="B541" s="230">
        <v>2691038153</v>
      </c>
      <c r="C541" s="230" t="s">
        <v>133</v>
      </c>
      <c r="D541" s="230" t="s">
        <v>124</v>
      </c>
      <c r="E541" s="230" t="s">
        <v>198</v>
      </c>
      <c r="F541" s="230" t="s">
        <v>4150</v>
      </c>
      <c r="G541" s="230">
        <v>9</v>
      </c>
      <c r="H541" s="230" t="s">
        <v>4151</v>
      </c>
      <c r="I541" s="230" t="s">
        <v>4152</v>
      </c>
      <c r="J541" s="230" t="s">
        <v>3275</v>
      </c>
      <c r="K541" s="230" t="s">
        <v>4148</v>
      </c>
      <c r="L541" s="230" t="s">
        <v>1616</v>
      </c>
      <c r="M541" s="230" t="s">
        <v>4153</v>
      </c>
      <c r="N541" s="230" t="s">
        <v>3289</v>
      </c>
      <c r="O541" s="158"/>
      <c r="P541" s="92"/>
      <c r="Q541" s="146"/>
      <c r="R541" s="92"/>
      <c r="S541" s="146"/>
      <c r="T541" s="92"/>
      <c r="U541" s="146"/>
      <c r="V541" s="92"/>
      <c r="W541" s="146"/>
      <c r="X541" s="92"/>
      <c r="Y541" s="146"/>
      <c r="Z541" s="186" t="str">
        <f t="shared" si="36"/>
        <v/>
      </c>
      <c r="AA541" s="217" t="b">
        <f t="shared" si="35"/>
        <v>0</v>
      </c>
      <c r="AB541" s="92"/>
      <c r="AC541" s="164" t="s">
        <v>6</v>
      </c>
      <c r="AD541" s="151" t="str">
        <f t="shared" si="33"/>
        <v>GUARULHOS</v>
      </c>
      <c r="AE541" s="96" t="s">
        <v>63</v>
      </c>
      <c r="AF541" s="53">
        <v>0.61329296519859389</v>
      </c>
      <c r="AG541" s="53" t="str" cm="1">
        <f t="array" ref="AG541">IF(OR(O541&lt;&gt;"", SUMPRODUCT(($AH$2:$AH$4999=AH541)*($AF$2:$AF$4999&lt;=AF541)) &lt;= (COUNTIF($AH$2:$AH$4999,AH541)*0.3)), "SORTEADO", "-")</f>
        <v>-</v>
      </c>
      <c r="AH541" s="257" t="str">
        <f t="shared" si="34"/>
        <v>20/04/2026</v>
      </c>
    </row>
    <row r="542" spans="1:34" ht="30" hidden="1" customHeight="1" x14ac:dyDescent="0.2">
      <c r="A542" s="230" t="s">
        <v>197</v>
      </c>
      <c r="B542" s="230">
        <v>2616609087</v>
      </c>
      <c r="C542" s="230" t="s">
        <v>133</v>
      </c>
      <c r="D542" s="230" t="s">
        <v>124</v>
      </c>
      <c r="E542" s="230" t="s">
        <v>198</v>
      </c>
      <c r="F542" s="230" t="s">
        <v>4154</v>
      </c>
      <c r="G542" s="230">
        <v>143</v>
      </c>
      <c r="H542" s="230" t="s">
        <v>2002</v>
      </c>
      <c r="I542" s="230" t="s">
        <v>893</v>
      </c>
      <c r="J542" s="230" t="s">
        <v>3275</v>
      </c>
      <c r="K542" s="230" t="s">
        <v>4155</v>
      </c>
      <c r="L542" s="230" t="s">
        <v>1616</v>
      </c>
      <c r="M542" s="230" t="s">
        <v>4156</v>
      </c>
      <c r="N542" s="230" t="s">
        <v>3289</v>
      </c>
      <c r="O542" s="158"/>
      <c r="P542" s="92"/>
      <c r="Q542" s="146"/>
      <c r="R542" s="92"/>
      <c r="S542" s="146"/>
      <c r="T542" s="92"/>
      <c r="U542" s="146"/>
      <c r="V542" s="92"/>
      <c r="W542" s="146"/>
      <c r="X542" s="92"/>
      <c r="Y542" s="146"/>
      <c r="Z542" s="186" t="str">
        <f t="shared" si="36"/>
        <v/>
      </c>
      <c r="AA542" s="217" t="b">
        <f t="shared" si="35"/>
        <v>0</v>
      </c>
      <c r="AB542" s="92"/>
      <c r="AC542" s="164" t="s">
        <v>6</v>
      </c>
      <c r="AD542" s="151" t="str">
        <f t="shared" si="33"/>
        <v>GUARULHOS</v>
      </c>
      <c r="AE542" s="96" t="s">
        <v>63</v>
      </c>
      <c r="AF542" s="53">
        <v>0.62123740410526462</v>
      </c>
      <c r="AG542" s="53" t="str" cm="1">
        <f t="array" ref="AG542">IF(OR(O542&lt;&gt;"", SUMPRODUCT(($AH$2:$AH$4999=AH542)*($AF$2:$AF$4999&lt;=AF542)) &lt;= (COUNTIF($AH$2:$AH$4999,AH542)*0.3)), "SORTEADO", "-")</f>
        <v>-</v>
      </c>
      <c r="AH542" s="257" t="str">
        <f t="shared" si="34"/>
        <v>20/04/2026</v>
      </c>
    </row>
    <row r="543" spans="1:34" ht="30" customHeight="1" x14ac:dyDescent="0.2">
      <c r="A543" s="230" t="s">
        <v>197</v>
      </c>
      <c r="B543" s="230">
        <v>2616642502</v>
      </c>
      <c r="C543" s="230" t="s">
        <v>127</v>
      </c>
      <c r="D543" s="230" t="s">
        <v>63</v>
      </c>
      <c r="E543" s="230" t="s">
        <v>198</v>
      </c>
      <c r="F543" s="230" t="s">
        <v>1660</v>
      </c>
      <c r="G543" s="230">
        <v>9</v>
      </c>
      <c r="H543" s="230" t="s">
        <v>1661</v>
      </c>
      <c r="I543" s="230" t="s">
        <v>200</v>
      </c>
      <c r="J543" s="230" t="s">
        <v>3275</v>
      </c>
      <c r="K543" s="230" t="s">
        <v>213</v>
      </c>
      <c r="L543" s="230" t="s">
        <v>1706</v>
      </c>
      <c r="M543" s="230" t="s">
        <v>4157</v>
      </c>
      <c r="N543" s="230" t="s">
        <v>3276</v>
      </c>
      <c r="O543" s="158" t="s">
        <v>204</v>
      </c>
      <c r="P543" s="92"/>
      <c r="Q543" s="146" t="s">
        <v>204</v>
      </c>
      <c r="R543" s="92"/>
      <c r="S543" s="146" t="s">
        <v>204</v>
      </c>
      <c r="T543" s="92"/>
      <c r="U543" s="146" t="s">
        <v>204</v>
      </c>
      <c r="V543" s="92"/>
      <c r="W543" s="146" t="s">
        <v>204</v>
      </c>
      <c r="X543" s="92"/>
      <c r="Y543" s="146" t="s">
        <v>204</v>
      </c>
      <c r="Z543" s="186" t="str">
        <f t="shared" si="36"/>
        <v>C</v>
      </c>
      <c r="AA543" s="217" t="str">
        <f t="shared" si="35"/>
        <v>UTILIZOU O PDA CORRETAMENTE</v>
      </c>
      <c r="AB543" s="92" t="s">
        <v>204</v>
      </c>
      <c r="AC543" s="164" t="s">
        <v>6</v>
      </c>
      <c r="AD543" s="151" t="str">
        <f t="shared" si="33"/>
        <v>GUARULHOS</v>
      </c>
      <c r="AE543" s="96" t="s">
        <v>63</v>
      </c>
      <c r="AF543" s="53">
        <v>0.15429953744099326</v>
      </c>
      <c r="AG543" s="53" t="str" cm="1">
        <f t="array" ref="AG543">IF(OR(O543&lt;&gt;"", SUMPRODUCT(($AH$2:$AH$4999=AH543)*($AF$2:$AF$4999&lt;=AF543)) &lt;= (COUNTIF($AH$2:$AH$4999,AH543)*0.3)), "SORTEADO", "-")</f>
        <v>SORTEADO</v>
      </c>
      <c r="AH543" s="257" t="str">
        <f t="shared" si="34"/>
        <v>21/04/2026</v>
      </c>
    </row>
    <row r="544" spans="1:34" ht="30" customHeight="1" x14ac:dyDescent="0.2">
      <c r="A544" s="230" t="s">
        <v>197</v>
      </c>
      <c r="B544" s="230">
        <v>2691062016</v>
      </c>
      <c r="C544" s="230" t="s">
        <v>127</v>
      </c>
      <c r="D544" s="230" t="s">
        <v>63</v>
      </c>
      <c r="E544" s="230" t="s">
        <v>198</v>
      </c>
      <c r="F544" s="230" t="s">
        <v>714</v>
      </c>
      <c r="G544" s="230">
        <v>33</v>
      </c>
      <c r="H544" s="230" t="s">
        <v>715</v>
      </c>
      <c r="I544" s="230" t="s">
        <v>716</v>
      </c>
      <c r="J544" s="230" t="s">
        <v>3275</v>
      </c>
      <c r="K544" s="230"/>
      <c r="L544" s="230" t="s">
        <v>1706</v>
      </c>
      <c r="M544" s="230" t="s">
        <v>4158</v>
      </c>
      <c r="N544" s="230" t="s">
        <v>3338</v>
      </c>
      <c r="O544" s="158" t="s">
        <v>204</v>
      </c>
      <c r="P544" s="92"/>
      <c r="Q544" s="146" t="s">
        <v>204</v>
      </c>
      <c r="R544" s="92"/>
      <c r="S544" s="146" t="s">
        <v>204</v>
      </c>
      <c r="T544" s="92"/>
      <c r="U544" s="146" t="s">
        <v>204</v>
      </c>
      <c r="V544" s="92"/>
      <c r="W544" s="146" t="s">
        <v>204</v>
      </c>
      <c r="X544" s="92"/>
      <c r="Y544" s="146" t="s">
        <v>204</v>
      </c>
      <c r="Z544" s="186" t="str">
        <f t="shared" si="36"/>
        <v>C</v>
      </c>
      <c r="AA544" s="217" t="str">
        <f t="shared" si="35"/>
        <v>UTILIZOU O PDA CORRETAMENTE</v>
      </c>
      <c r="AB544" s="92" t="s">
        <v>204</v>
      </c>
      <c r="AC544" s="164" t="s">
        <v>6</v>
      </c>
      <c r="AD544" s="151" t="str">
        <f t="shared" si="33"/>
        <v>GUARULHOS</v>
      </c>
      <c r="AE544" s="96" t="s">
        <v>63</v>
      </c>
      <c r="AF544" s="53">
        <v>0.12914628648791293</v>
      </c>
      <c r="AG544" s="53" t="str" cm="1">
        <f t="array" ref="AG544">IF(OR(O544&lt;&gt;"", SUMPRODUCT(($AH$2:$AH$4999=AH544)*($AF$2:$AF$4999&lt;=AF544)) &lt;= (COUNTIF($AH$2:$AH$4999,AH544)*0.3)), "SORTEADO", "-")</f>
        <v>SORTEADO</v>
      </c>
      <c r="AH544" s="257" t="str">
        <f t="shared" si="34"/>
        <v>21/04/2026</v>
      </c>
    </row>
    <row r="545" spans="1:34" ht="30" hidden="1" customHeight="1" x14ac:dyDescent="0.2">
      <c r="A545" s="230" t="s">
        <v>197</v>
      </c>
      <c r="B545" s="230">
        <v>2691094809</v>
      </c>
      <c r="C545" s="230" t="s">
        <v>127</v>
      </c>
      <c r="D545" s="230" t="s">
        <v>63</v>
      </c>
      <c r="E545" s="230" t="s">
        <v>198</v>
      </c>
      <c r="F545" s="230" t="s">
        <v>4159</v>
      </c>
      <c r="G545" s="230">
        <v>15</v>
      </c>
      <c r="H545" s="230" t="s">
        <v>213</v>
      </c>
      <c r="I545" s="230" t="s">
        <v>4160</v>
      </c>
      <c r="J545" s="230" t="s">
        <v>3275</v>
      </c>
      <c r="K545" s="230" t="s">
        <v>213</v>
      </c>
      <c r="L545" s="230" t="s">
        <v>1706</v>
      </c>
      <c r="M545" s="230" t="s">
        <v>4161</v>
      </c>
      <c r="N545" s="230" t="s">
        <v>3338</v>
      </c>
      <c r="O545" s="158"/>
      <c r="P545" s="92"/>
      <c r="Q545" s="146"/>
      <c r="R545" s="92"/>
      <c r="S545" s="146"/>
      <c r="T545" s="92"/>
      <c r="U545" s="146"/>
      <c r="V545" s="92"/>
      <c r="W545" s="146"/>
      <c r="X545" s="92"/>
      <c r="Y545" s="146"/>
      <c r="Z545" s="186" t="str">
        <f t="shared" si="36"/>
        <v/>
      </c>
      <c r="AA545" s="217" t="b">
        <f t="shared" si="35"/>
        <v>0</v>
      </c>
      <c r="AB545" s="92"/>
      <c r="AC545" s="164" t="s">
        <v>6</v>
      </c>
      <c r="AD545" s="151" t="str">
        <f t="shared" ref="AD545:AD606" si="37">E545</f>
        <v>GUARULHOS</v>
      </c>
      <c r="AE545" s="96" t="s">
        <v>63</v>
      </c>
      <c r="AF545" s="53">
        <v>0.51744830424438648</v>
      </c>
      <c r="AG545" s="53" t="str" cm="1">
        <f t="array" ref="AG545">IF(OR(O545&lt;&gt;"", SUMPRODUCT(($AH$2:$AH$4999=AH545)*($AF$2:$AF$4999&lt;=AF545)) &lt;= (COUNTIF($AH$2:$AH$4999,AH545)*0.3)), "SORTEADO", "-")</f>
        <v>-</v>
      </c>
      <c r="AH545" s="257" t="str">
        <f t="shared" si="34"/>
        <v>21/04/2026</v>
      </c>
    </row>
    <row r="546" spans="1:34" ht="30" hidden="1" customHeight="1" x14ac:dyDescent="0.2">
      <c r="A546" s="230" t="s">
        <v>197</v>
      </c>
      <c r="B546" s="230">
        <v>2691081808</v>
      </c>
      <c r="C546" s="230" t="s">
        <v>127</v>
      </c>
      <c r="D546" s="230" t="s">
        <v>63</v>
      </c>
      <c r="E546" s="230" t="s">
        <v>198</v>
      </c>
      <c r="F546" s="230" t="s">
        <v>873</v>
      </c>
      <c r="G546" s="230">
        <v>353</v>
      </c>
      <c r="H546" s="230" t="s">
        <v>3336</v>
      </c>
      <c r="I546" s="230" t="s">
        <v>531</v>
      </c>
      <c r="J546" s="230" t="s">
        <v>3275</v>
      </c>
      <c r="K546" s="230"/>
      <c r="L546" s="230" t="s">
        <v>1706</v>
      </c>
      <c r="M546" s="230" t="s">
        <v>4157</v>
      </c>
      <c r="N546" s="230" t="s">
        <v>819</v>
      </c>
      <c r="O546" s="158"/>
      <c r="P546" s="92"/>
      <c r="Q546" s="146"/>
      <c r="R546" s="92"/>
      <c r="S546" s="146"/>
      <c r="T546" s="92"/>
      <c r="U546" s="146"/>
      <c r="V546" s="92"/>
      <c r="W546" s="146"/>
      <c r="X546" s="92"/>
      <c r="Y546" s="146"/>
      <c r="Z546" s="186" t="str">
        <f t="shared" si="36"/>
        <v/>
      </c>
      <c r="AA546" s="217" t="b">
        <f t="shared" si="35"/>
        <v>0</v>
      </c>
      <c r="AB546" s="92"/>
      <c r="AC546" s="164" t="s">
        <v>6</v>
      </c>
      <c r="AD546" s="151" t="str">
        <f t="shared" si="37"/>
        <v>GUARULHOS</v>
      </c>
      <c r="AE546" s="96" t="s">
        <v>63</v>
      </c>
      <c r="AF546" s="53">
        <v>0.90046817976410687</v>
      </c>
      <c r="AG546" s="53" t="str" cm="1">
        <f t="array" ref="AG546">IF(OR(O546&lt;&gt;"", SUMPRODUCT(($AH$2:$AH$4999=AH546)*($AF$2:$AF$4999&lt;=AF546)) &lt;= (COUNTIF($AH$2:$AH$4999,AH546)*0.3)), "SORTEADO", "-")</f>
        <v>-</v>
      </c>
      <c r="AH546" s="257" t="str">
        <f t="shared" si="34"/>
        <v>21/04/2026</v>
      </c>
    </row>
    <row r="547" spans="1:34" ht="30" hidden="1" customHeight="1" x14ac:dyDescent="0.2">
      <c r="A547" s="230" t="s">
        <v>197</v>
      </c>
      <c r="B547" s="230">
        <v>2691062497</v>
      </c>
      <c r="C547" s="230" t="s">
        <v>127</v>
      </c>
      <c r="D547" s="230" t="s">
        <v>63</v>
      </c>
      <c r="E547" s="230" t="s">
        <v>198</v>
      </c>
      <c r="F547" s="230" t="s">
        <v>1603</v>
      </c>
      <c r="G547" s="230">
        <v>305</v>
      </c>
      <c r="H547" s="230" t="s">
        <v>4162</v>
      </c>
      <c r="I547" s="230" t="s">
        <v>1277</v>
      </c>
      <c r="J547" s="230" t="s">
        <v>3275</v>
      </c>
      <c r="K547" s="230" t="s">
        <v>213</v>
      </c>
      <c r="L547" s="230" t="s">
        <v>1706</v>
      </c>
      <c r="M547" s="230" t="s">
        <v>4163</v>
      </c>
      <c r="N547" s="230" t="s">
        <v>3296</v>
      </c>
      <c r="O547" s="158"/>
      <c r="P547" s="92"/>
      <c r="Q547" s="146"/>
      <c r="R547" s="92"/>
      <c r="S547" s="146"/>
      <c r="T547" s="92"/>
      <c r="U547" s="146"/>
      <c r="V547" s="92"/>
      <c r="W547" s="146"/>
      <c r="X547" s="92"/>
      <c r="Y547" s="146"/>
      <c r="Z547" s="186" t="str">
        <f t="shared" si="36"/>
        <v/>
      </c>
      <c r="AA547" s="217" t="b">
        <f t="shared" si="35"/>
        <v>0</v>
      </c>
      <c r="AB547" s="92"/>
      <c r="AC547" s="164" t="s">
        <v>6</v>
      </c>
      <c r="AD547" s="151" t="str">
        <f t="shared" si="37"/>
        <v>GUARULHOS</v>
      </c>
      <c r="AE547" s="96" t="s">
        <v>63</v>
      </c>
      <c r="AF547" s="53">
        <v>0.82027425247548114</v>
      </c>
      <c r="AG547" s="53" t="str" cm="1">
        <f t="array" ref="AG547">IF(OR(O547&lt;&gt;"", SUMPRODUCT(($AH$2:$AH$4999=AH547)*($AF$2:$AF$4999&lt;=AF547)) &lt;= (COUNTIF($AH$2:$AH$4999,AH547)*0.3)), "SORTEADO", "-")</f>
        <v>-</v>
      </c>
      <c r="AH547" s="257" t="str">
        <f t="shared" si="34"/>
        <v>21/04/2026</v>
      </c>
    </row>
    <row r="548" spans="1:34" ht="30" hidden="1" customHeight="1" x14ac:dyDescent="0.2">
      <c r="A548" s="230" t="s">
        <v>197</v>
      </c>
      <c r="B548" s="230">
        <v>2691100404</v>
      </c>
      <c r="C548" s="230" t="s">
        <v>127</v>
      </c>
      <c r="D548" s="230" t="s">
        <v>63</v>
      </c>
      <c r="E548" s="230" t="s">
        <v>198</v>
      </c>
      <c r="F548" s="230" t="s">
        <v>2839</v>
      </c>
      <c r="G548" s="230">
        <v>86</v>
      </c>
      <c r="H548" s="230" t="s">
        <v>4164</v>
      </c>
      <c r="I548" s="230" t="s">
        <v>1277</v>
      </c>
      <c r="J548" s="230" t="s">
        <v>3275</v>
      </c>
      <c r="K548" s="230"/>
      <c r="L548" s="230" t="s">
        <v>1706</v>
      </c>
      <c r="M548" s="230" t="s">
        <v>4165</v>
      </c>
      <c r="N548" s="230" t="s">
        <v>3296</v>
      </c>
      <c r="O548" s="158"/>
      <c r="P548" s="92"/>
      <c r="Q548" s="146"/>
      <c r="R548" s="92"/>
      <c r="S548" s="146"/>
      <c r="T548" s="92"/>
      <c r="U548" s="146"/>
      <c r="V548" s="92"/>
      <c r="W548" s="146"/>
      <c r="X548" s="92"/>
      <c r="Y548" s="146"/>
      <c r="Z548" s="186" t="str">
        <f t="shared" si="36"/>
        <v/>
      </c>
      <c r="AA548" s="217" t="b">
        <f t="shared" si="35"/>
        <v>0</v>
      </c>
      <c r="AB548" s="92"/>
      <c r="AC548" s="164" t="s">
        <v>6</v>
      </c>
      <c r="AD548" s="151" t="str">
        <f t="shared" si="37"/>
        <v>GUARULHOS</v>
      </c>
      <c r="AE548" s="96" t="s">
        <v>63</v>
      </c>
      <c r="AF548" s="53">
        <v>0.37908001537902414</v>
      </c>
      <c r="AG548" s="53" t="str" cm="1">
        <f t="array" ref="AG548">IF(OR(O548&lt;&gt;"", SUMPRODUCT(($AH$2:$AH$4999=AH548)*($AF$2:$AF$4999&lt;=AF548)) &lt;= (COUNTIF($AH$2:$AH$4999,AH548)*0.3)), "SORTEADO", "-")</f>
        <v>-</v>
      </c>
      <c r="AH548" s="257" t="str">
        <f t="shared" si="34"/>
        <v>21/04/2026</v>
      </c>
    </row>
    <row r="549" spans="1:34" ht="30" hidden="1" customHeight="1" x14ac:dyDescent="0.2">
      <c r="A549" s="230" t="s">
        <v>197</v>
      </c>
      <c r="B549" s="230">
        <v>2616346959</v>
      </c>
      <c r="C549" s="230" t="s">
        <v>134</v>
      </c>
      <c r="D549" s="230" t="s">
        <v>124</v>
      </c>
      <c r="E549" s="230" t="s">
        <v>198</v>
      </c>
      <c r="F549" s="230" t="s">
        <v>1722</v>
      </c>
      <c r="G549" s="230">
        <v>53</v>
      </c>
      <c r="H549" s="230" t="s">
        <v>4166</v>
      </c>
      <c r="I549" s="230" t="s">
        <v>214</v>
      </c>
      <c r="J549" s="230" t="s">
        <v>3285</v>
      </c>
      <c r="K549" s="230" t="s">
        <v>213</v>
      </c>
      <c r="L549" s="230" t="s">
        <v>1706</v>
      </c>
      <c r="M549" s="230" t="s">
        <v>4167</v>
      </c>
      <c r="N549" s="230" t="s">
        <v>215</v>
      </c>
      <c r="O549" s="158"/>
      <c r="P549" s="92"/>
      <c r="Q549" s="146"/>
      <c r="R549" s="92"/>
      <c r="S549" s="146"/>
      <c r="T549" s="92"/>
      <c r="U549" s="146"/>
      <c r="V549" s="92"/>
      <c r="W549" s="146"/>
      <c r="X549" s="92"/>
      <c r="Y549" s="146"/>
      <c r="Z549" s="186" t="str">
        <f t="shared" si="36"/>
        <v/>
      </c>
      <c r="AA549" s="217" t="b">
        <f t="shared" si="35"/>
        <v>0</v>
      </c>
      <c r="AB549" s="92"/>
      <c r="AC549" s="164" t="s">
        <v>6</v>
      </c>
      <c r="AD549" s="151" t="str">
        <f t="shared" si="37"/>
        <v>GUARULHOS</v>
      </c>
      <c r="AE549" s="96" t="s">
        <v>63</v>
      </c>
      <c r="AF549" s="53">
        <v>0.55873941878400835</v>
      </c>
      <c r="AG549" s="53" t="str" cm="1">
        <f t="array" ref="AG549">IF(OR(O549&lt;&gt;"", SUMPRODUCT(($AH$2:$AH$4999=AH549)*($AF$2:$AF$4999&lt;=AF549)) &lt;= (COUNTIF($AH$2:$AH$4999,AH549)*0.3)), "SORTEADO", "-")</f>
        <v>-</v>
      </c>
      <c r="AH549" s="257" t="str">
        <f t="shared" si="34"/>
        <v>21/04/2026</v>
      </c>
    </row>
    <row r="550" spans="1:34" ht="30" customHeight="1" x14ac:dyDescent="0.2">
      <c r="A550" s="230" t="s">
        <v>197</v>
      </c>
      <c r="B550" s="230">
        <v>2616658179</v>
      </c>
      <c r="C550" s="230" t="s">
        <v>127</v>
      </c>
      <c r="D550" s="230" t="s">
        <v>63</v>
      </c>
      <c r="E550" s="230" t="s">
        <v>198</v>
      </c>
      <c r="F550" s="230" t="s">
        <v>567</v>
      </c>
      <c r="G550" s="230">
        <v>3504</v>
      </c>
      <c r="H550" s="230" t="s">
        <v>4168</v>
      </c>
      <c r="I550" s="230" t="s">
        <v>281</v>
      </c>
      <c r="J550" s="230" t="s">
        <v>3275</v>
      </c>
      <c r="K550" s="230" t="s">
        <v>4169</v>
      </c>
      <c r="L550" s="230" t="s">
        <v>1706</v>
      </c>
      <c r="M550" s="230" t="s">
        <v>4170</v>
      </c>
      <c r="N550" s="230" t="s">
        <v>3338</v>
      </c>
      <c r="O550" s="158" t="s">
        <v>204</v>
      </c>
      <c r="P550" s="92"/>
      <c r="Q550" s="146" t="s">
        <v>204</v>
      </c>
      <c r="R550" s="92"/>
      <c r="S550" s="146" t="s">
        <v>204</v>
      </c>
      <c r="T550" s="92"/>
      <c r="U550" s="146" t="s">
        <v>204</v>
      </c>
      <c r="V550" s="92"/>
      <c r="W550" s="146" t="s">
        <v>204</v>
      </c>
      <c r="X550" s="92"/>
      <c r="Y550" s="146" t="s">
        <v>204</v>
      </c>
      <c r="Z550" s="186" t="str">
        <f t="shared" si="36"/>
        <v>C</v>
      </c>
      <c r="AA550" s="217" t="str">
        <f t="shared" si="35"/>
        <v>UTILIZOU O PDA CORRETAMENTE</v>
      </c>
      <c r="AB550" s="92" t="s">
        <v>204</v>
      </c>
      <c r="AC550" s="164" t="s">
        <v>6</v>
      </c>
      <c r="AD550" s="151" t="str">
        <f t="shared" si="37"/>
        <v>GUARULHOS</v>
      </c>
      <c r="AE550" s="96" t="s">
        <v>63</v>
      </c>
      <c r="AF550" s="53">
        <v>1.3898503031011427E-2</v>
      </c>
      <c r="AG550" s="53" t="str" cm="1">
        <f t="array" ref="AG550">IF(OR(O550&lt;&gt;"", SUMPRODUCT(($AH$2:$AH$4999=AH550)*($AF$2:$AF$4999&lt;=AF550)) &lt;= (COUNTIF($AH$2:$AH$4999,AH550)*0.3)), "SORTEADO", "-")</f>
        <v>SORTEADO</v>
      </c>
      <c r="AH550" s="257" t="str">
        <f t="shared" si="34"/>
        <v>21/04/2026</v>
      </c>
    </row>
    <row r="551" spans="1:34" ht="30" hidden="1" customHeight="1" x14ac:dyDescent="0.2">
      <c r="A551" s="230" t="s">
        <v>197</v>
      </c>
      <c r="B551" s="230">
        <v>2691110790</v>
      </c>
      <c r="C551" s="230" t="s">
        <v>127</v>
      </c>
      <c r="D551" s="230" t="s">
        <v>63</v>
      </c>
      <c r="E551" s="230" t="s">
        <v>198</v>
      </c>
      <c r="F551" s="230" t="s">
        <v>4171</v>
      </c>
      <c r="G551" s="230">
        <v>178</v>
      </c>
      <c r="H551" s="230" t="s">
        <v>4172</v>
      </c>
      <c r="I551" s="230" t="s">
        <v>622</v>
      </c>
      <c r="J551" s="230" t="s">
        <v>3275</v>
      </c>
      <c r="K551" s="230"/>
      <c r="L551" s="230" t="s">
        <v>1706</v>
      </c>
      <c r="M551" s="230" t="s">
        <v>4173</v>
      </c>
      <c r="N551" s="230" t="s">
        <v>819</v>
      </c>
      <c r="O551" s="158"/>
      <c r="P551" s="92"/>
      <c r="Q551" s="146"/>
      <c r="R551" s="92"/>
      <c r="S551" s="146"/>
      <c r="T551" s="92"/>
      <c r="U551" s="146"/>
      <c r="V551" s="92"/>
      <c r="W551" s="146"/>
      <c r="X551" s="92"/>
      <c r="Y551" s="146"/>
      <c r="Z551" s="186" t="str">
        <f t="shared" si="36"/>
        <v/>
      </c>
      <c r="AA551" s="217" t="b">
        <f t="shared" si="35"/>
        <v>0</v>
      </c>
      <c r="AB551" s="92"/>
      <c r="AC551" s="164" t="s">
        <v>6</v>
      </c>
      <c r="AD551" s="151" t="str">
        <f t="shared" si="37"/>
        <v>GUARULHOS</v>
      </c>
      <c r="AE551" s="96" t="s">
        <v>63</v>
      </c>
      <c r="AF551" s="53">
        <v>0.80548415358895542</v>
      </c>
      <c r="AG551" s="53" t="str" cm="1">
        <f t="array" ref="AG551">IF(OR(O551&lt;&gt;"", SUMPRODUCT(($AH$2:$AH$4999=AH551)*($AF$2:$AF$4999&lt;=AF551)) &lt;= (COUNTIF($AH$2:$AH$4999,AH551)*0.3)), "SORTEADO", "-")</f>
        <v>-</v>
      </c>
      <c r="AH551" s="257" t="str">
        <f t="shared" si="34"/>
        <v>21/04/2026</v>
      </c>
    </row>
    <row r="552" spans="1:34" ht="30" hidden="1" customHeight="1" x14ac:dyDescent="0.2">
      <c r="A552" s="230" t="s">
        <v>197</v>
      </c>
      <c r="B552" s="230">
        <v>2616634623</v>
      </c>
      <c r="C552" s="230" t="s">
        <v>135</v>
      </c>
      <c r="D552" s="230" t="s">
        <v>124</v>
      </c>
      <c r="E552" s="230" t="s">
        <v>198</v>
      </c>
      <c r="F552" s="230" t="s">
        <v>1524</v>
      </c>
      <c r="G552" s="230">
        <v>655</v>
      </c>
      <c r="H552" s="230" t="s">
        <v>4174</v>
      </c>
      <c r="I552" s="230" t="s">
        <v>791</v>
      </c>
      <c r="J552" s="230" t="s">
        <v>3280</v>
      </c>
      <c r="K552" s="230" t="s">
        <v>4175</v>
      </c>
      <c r="L552" s="230" t="s">
        <v>1706</v>
      </c>
      <c r="M552" s="230" t="s">
        <v>4176</v>
      </c>
      <c r="N552" s="230" t="s">
        <v>348</v>
      </c>
      <c r="O552" s="158"/>
      <c r="P552" s="92"/>
      <c r="Q552" s="146"/>
      <c r="R552" s="92"/>
      <c r="S552" s="146"/>
      <c r="T552" s="92"/>
      <c r="U552" s="146"/>
      <c r="V552" s="92"/>
      <c r="W552" s="146"/>
      <c r="X552" s="92"/>
      <c r="Y552" s="146"/>
      <c r="Z552" s="186" t="str">
        <f t="shared" si="36"/>
        <v/>
      </c>
      <c r="AA552" s="217" t="b">
        <f t="shared" si="35"/>
        <v>0</v>
      </c>
      <c r="AB552" s="92"/>
      <c r="AC552" s="164" t="s">
        <v>6</v>
      </c>
      <c r="AD552" s="151" t="str">
        <f t="shared" si="37"/>
        <v>GUARULHOS</v>
      </c>
      <c r="AE552" s="96" t="s">
        <v>63</v>
      </c>
      <c r="AF552" s="53">
        <v>0.35179573336134218</v>
      </c>
      <c r="AG552" s="53" t="str" cm="1">
        <f t="array" ref="AG552">IF(OR(O552&lt;&gt;"", SUMPRODUCT(($AH$2:$AH$4999=AH552)*($AF$2:$AF$4999&lt;=AF552)) &lt;= (COUNTIF($AH$2:$AH$4999,AH552)*0.3)), "SORTEADO", "-")</f>
        <v>-</v>
      </c>
      <c r="AH552" s="257" t="str">
        <f t="shared" ref="AH552:AH615" si="38">TEXT(L552, "dd/mm/aaaa")</f>
        <v>21/04/2026</v>
      </c>
    </row>
    <row r="553" spans="1:34" ht="30" hidden="1" customHeight="1" x14ac:dyDescent="0.2">
      <c r="A553" s="230" t="s">
        <v>197</v>
      </c>
      <c r="B553" s="230">
        <v>2691134522</v>
      </c>
      <c r="C553" s="230" t="s">
        <v>127</v>
      </c>
      <c r="D553" s="230" t="s">
        <v>63</v>
      </c>
      <c r="E553" s="230" t="s">
        <v>198</v>
      </c>
      <c r="F553" s="230" t="s">
        <v>520</v>
      </c>
      <c r="G553" s="230">
        <v>65</v>
      </c>
      <c r="H553" s="230" t="s">
        <v>3619</v>
      </c>
      <c r="I553" s="230" t="s">
        <v>521</v>
      </c>
      <c r="J553" s="230" t="s">
        <v>3275</v>
      </c>
      <c r="K553" s="230"/>
      <c r="L553" s="230" t="s">
        <v>1706</v>
      </c>
      <c r="M553" s="230" t="s">
        <v>4177</v>
      </c>
      <c r="N553" s="230" t="s">
        <v>819</v>
      </c>
      <c r="O553" s="158"/>
      <c r="P553" s="92"/>
      <c r="Q553" s="146"/>
      <c r="R553" s="92"/>
      <c r="S553" s="146"/>
      <c r="T553" s="92"/>
      <c r="U553" s="146"/>
      <c r="V553" s="92"/>
      <c r="W553" s="146"/>
      <c r="X553" s="92"/>
      <c r="Y553" s="146"/>
      <c r="Z553" s="186" t="str">
        <f t="shared" si="36"/>
        <v/>
      </c>
      <c r="AA553" s="217" t="b">
        <f t="shared" si="35"/>
        <v>0</v>
      </c>
      <c r="AB553" s="92"/>
      <c r="AC553" s="164" t="s">
        <v>6</v>
      </c>
      <c r="AD553" s="151" t="str">
        <f t="shared" si="37"/>
        <v>GUARULHOS</v>
      </c>
      <c r="AE553" s="96" t="s">
        <v>63</v>
      </c>
      <c r="AF553" s="53">
        <v>0.3073430327312825</v>
      </c>
      <c r="AG553" s="53" t="str" cm="1">
        <f t="array" ref="AG553">IF(OR(O553&lt;&gt;"", SUMPRODUCT(($AH$2:$AH$4999=AH553)*($AF$2:$AF$4999&lt;=AF553)) &lt;= (COUNTIF($AH$2:$AH$4999,AH553)*0.3)), "SORTEADO", "-")</f>
        <v>-</v>
      </c>
      <c r="AH553" s="257" t="str">
        <f t="shared" si="38"/>
        <v>21/04/2026</v>
      </c>
    </row>
    <row r="554" spans="1:34" ht="30" hidden="1" customHeight="1" x14ac:dyDescent="0.2">
      <c r="A554" s="230" t="s">
        <v>197</v>
      </c>
      <c r="B554" s="230">
        <v>2691065557</v>
      </c>
      <c r="C554" s="230" t="s">
        <v>133</v>
      </c>
      <c r="D554" s="230" t="s">
        <v>124</v>
      </c>
      <c r="E554" s="230" t="s">
        <v>198</v>
      </c>
      <c r="F554" s="230" t="s">
        <v>718</v>
      </c>
      <c r="G554" s="230">
        <v>307</v>
      </c>
      <c r="H554" s="230" t="s">
        <v>4178</v>
      </c>
      <c r="I554" s="230" t="s">
        <v>315</v>
      </c>
      <c r="J554" s="230" t="s">
        <v>3275</v>
      </c>
      <c r="K554" s="230" t="s">
        <v>3363</v>
      </c>
      <c r="L554" s="230" t="s">
        <v>1706</v>
      </c>
      <c r="M554" s="230" t="s">
        <v>4179</v>
      </c>
      <c r="N554" s="230" t="s">
        <v>3276</v>
      </c>
      <c r="O554" s="158"/>
      <c r="P554" s="92"/>
      <c r="Q554" s="146"/>
      <c r="R554" s="92"/>
      <c r="S554" s="146"/>
      <c r="T554" s="92"/>
      <c r="U554" s="146"/>
      <c r="V554" s="92"/>
      <c r="W554" s="146"/>
      <c r="X554" s="92"/>
      <c r="Y554" s="146"/>
      <c r="Z554" s="186" t="str">
        <f t="shared" si="36"/>
        <v/>
      </c>
      <c r="AA554" s="217" t="b">
        <f t="shared" si="35"/>
        <v>0</v>
      </c>
      <c r="AB554" s="92"/>
      <c r="AC554" s="164" t="s">
        <v>6</v>
      </c>
      <c r="AD554" s="151" t="str">
        <f t="shared" si="37"/>
        <v>GUARULHOS</v>
      </c>
      <c r="AE554" s="96" t="s">
        <v>63</v>
      </c>
      <c r="AF554" s="53">
        <v>0.83469861975266346</v>
      </c>
      <c r="AG554" s="53" t="str" cm="1">
        <f t="array" ref="AG554">IF(OR(O554&lt;&gt;"", SUMPRODUCT(($AH$2:$AH$4999=AH554)*($AF$2:$AF$4999&lt;=AF554)) &lt;= (COUNTIF($AH$2:$AH$4999,AH554)*0.3)), "SORTEADO", "-")</f>
        <v>-</v>
      </c>
      <c r="AH554" s="257" t="str">
        <f t="shared" si="38"/>
        <v>21/04/2026</v>
      </c>
    </row>
    <row r="555" spans="1:34" ht="30" hidden="1" customHeight="1" x14ac:dyDescent="0.2">
      <c r="A555" s="230" t="s">
        <v>197</v>
      </c>
      <c r="B555" s="230">
        <v>2691125012</v>
      </c>
      <c r="C555" s="230" t="s">
        <v>126</v>
      </c>
      <c r="D555" s="230" t="s">
        <v>63</v>
      </c>
      <c r="E555" s="230" t="s">
        <v>198</v>
      </c>
      <c r="F555" s="230" t="s">
        <v>1752</v>
      </c>
      <c r="G555" s="230">
        <v>663</v>
      </c>
      <c r="H555" s="230"/>
      <c r="I555" s="230" t="s">
        <v>1753</v>
      </c>
      <c r="J555" s="230" t="s">
        <v>3275</v>
      </c>
      <c r="K555" s="230"/>
      <c r="L555" s="230" t="s">
        <v>1706</v>
      </c>
      <c r="M555" s="230" t="s">
        <v>4180</v>
      </c>
      <c r="N555" s="230" t="s">
        <v>260</v>
      </c>
      <c r="O555" s="158"/>
      <c r="P555" s="92"/>
      <c r="Q555" s="146"/>
      <c r="R555" s="92"/>
      <c r="S555" s="146"/>
      <c r="T555" s="92"/>
      <c r="U555" s="146"/>
      <c r="V555" s="92"/>
      <c r="W555" s="146"/>
      <c r="X555" s="92"/>
      <c r="Y555" s="146"/>
      <c r="Z555" s="186" t="str">
        <f t="shared" si="36"/>
        <v/>
      </c>
      <c r="AA555" s="217" t="b">
        <f t="shared" si="35"/>
        <v>0</v>
      </c>
      <c r="AB555" s="92"/>
      <c r="AC555" s="164" t="s">
        <v>6</v>
      </c>
      <c r="AD555" s="151" t="str">
        <f t="shared" si="37"/>
        <v>GUARULHOS</v>
      </c>
      <c r="AE555" s="96" t="s">
        <v>63</v>
      </c>
      <c r="AF555" s="53">
        <v>0.78154845357666525</v>
      </c>
      <c r="AG555" s="53" t="str" cm="1">
        <f t="array" ref="AG555">IF(OR(O555&lt;&gt;"", SUMPRODUCT(($AH$2:$AH$4999=AH555)*($AF$2:$AF$4999&lt;=AF555)) &lt;= (COUNTIF($AH$2:$AH$4999,AH555)*0.3)), "SORTEADO", "-")</f>
        <v>-</v>
      </c>
      <c r="AH555" s="257" t="str">
        <f t="shared" si="38"/>
        <v>21/04/2026</v>
      </c>
    </row>
    <row r="556" spans="1:34" ht="30" hidden="1" customHeight="1" x14ac:dyDescent="0.2">
      <c r="A556" s="230" t="s">
        <v>197</v>
      </c>
      <c r="B556" s="230">
        <v>2691134100</v>
      </c>
      <c r="C556" s="230" t="s">
        <v>129</v>
      </c>
      <c r="D556" s="230" t="s">
        <v>124</v>
      </c>
      <c r="E556" s="230" t="s">
        <v>198</v>
      </c>
      <c r="F556" s="230" t="s">
        <v>3413</v>
      </c>
      <c r="G556" s="230">
        <v>196</v>
      </c>
      <c r="H556" s="230" t="s">
        <v>213</v>
      </c>
      <c r="I556" s="230" t="s">
        <v>1445</v>
      </c>
      <c r="J556" s="230" t="s">
        <v>3307</v>
      </c>
      <c r="K556" s="230" t="s">
        <v>1154</v>
      </c>
      <c r="L556" s="230" t="s">
        <v>1706</v>
      </c>
      <c r="M556" s="230" t="s">
        <v>4181</v>
      </c>
      <c r="N556" s="230" t="s">
        <v>241</v>
      </c>
      <c r="O556" s="158"/>
      <c r="P556" s="92"/>
      <c r="Q556" s="146"/>
      <c r="R556" s="92"/>
      <c r="S556" s="146"/>
      <c r="T556" s="92"/>
      <c r="U556" s="146"/>
      <c r="V556" s="92"/>
      <c r="W556" s="146"/>
      <c r="X556" s="92"/>
      <c r="Y556" s="146"/>
      <c r="Z556" s="186" t="str">
        <f t="shared" si="36"/>
        <v/>
      </c>
      <c r="AA556" s="217" t="b">
        <f t="shared" si="35"/>
        <v>0</v>
      </c>
      <c r="AB556" s="92"/>
      <c r="AC556" s="164" t="s">
        <v>6</v>
      </c>
      <c r="AD556" s="151" t="str">
        <f t="shared" si="37"/>
        <v>GUARULHOS</v>
      </c>
      <c r="AE556" s="96" t="s">
        <v>63</v>
      </c>
      <c r="AF556" s="53">
        <v>0.72416336099027079</v>
      </c>
      <c r="AG556" s="53" t="str" cm="1">
        <f t="array" ref="AG556">IF(OR(O556&lt;&gt;"", SUMPRODUCT(($AH$2:$AH$4999=AH556)*($AF$2:$AF$4999&lt;=AF556)) &lt;= (COUNTIF($AH$2:$AH$4999,AH556)*0.3)), "SORTEADO", "-")</f>
        <v>-</v>
      </c>
      <c r="AH556" s="257" t="str">
        <f t="shared" si="38"/>
        <v>21/04/2026</v>
      </c>
    </row>
    <row r="557" spans="1:34" ht="30" hidden="1" customHeight="1" x14ac:dyDescent="0.2">
      <c r="A557" s="230" t="s">
        <v>197</v>
      </c>
      <c r="B557" s="230">
        <v>2691065745</v>
      </c>
      <c r="C557" s="230" t="s">
        <v>133</v>
      </c>
      <c r="D557" s="230" t="s">
        <v>124</v>
      </c>
      <c r="E557" s="230" t="s">
        <v>198</v>
      </c>
      <c r="F557" s="230" t="s">
        <v>4182</v>
      </c>
      <c r="G557" s="230">
        <v>78</v>
      </c>
      <c r="H557" s="230" t="s">
        <v>4183</v>
      </c>
      <c r="I557" s="230" t="s">
        <v>791</v>
      </c>
      <c r="J557" s="230" t="s">
        <v>3275</v>
      </c>
      <c r="K557" s="230" t="s">
        <v>3610</v>
      </c>
      <c r="L557" s="230" t="s">
        <v>1706</v>
      </c>
      <c r="M557" s="230" t="s">
        <v>4184</v>
      </c>
      <c r="N557" s="230" t="s">
        <v>3296</v>
      </c>
      <c r="O557" s="158"/>
      <c r="P557" s="92"/>
      <c r="Q557" s="146"/>
      <c r="R557" s="92"/>
      <c r="S557" s="146"/>
      <c r="T557" s="92"/>
      <c r="U557" s="146"/>
      <c r="V557" s="92"/>
      <c r="W557" s="146"/>
      <c r="X557" s="92"/>
      <c r="Y557" s="146"/>
      <c r="Z557" s="186" t="str">
        <f t="shared" si="36"/>
        <v/>
      </c>
      <c r="AA557" s="217" t="b">
        <f t="shared" si="35"/>
        <v>0</v>
      </c>
      <c r="AB557" s="92"/>
      <c r="AC557" s="164" t="s">
        <v>6</v>
      </c>
      <c r="AD557" s="151" t="str">
        <f t="shared" si="37"/>
        <v>GUARULHOS</v>
      </c>
      <c r="AE557" s="96" t="s">
        <v>63</v>
      </c>
      <c r="AF557" s="53">
        <v>0.88401504074783022</v>
      </c>
      <c r="AG557" s="53" t="str" cm="1">
        <f t="array" ref="AG557">IF(OR(O557&lt;&gt;"", SUMPRODUCT(($AH$2:$AH$4999=AH557)*($AF$2:$AF$4999&lt;=AF557)) &lt;= (COUNTIF($AH$2:$AH$4999,AH557)*0.3)), "SORTEADO", "-")</f>
        <v>-</v>
      </c>
      <c r="AH557" s="257" t="str">
        <f t="shared" si="38"/>
        <v>21/04/2026</v>
      </c>
    </row>
    <row r="558" spans="1:34" ht="30" hidden="1" customHeight="1" x14ac:dyDescent="0.2">
      <c r="A558" s="230" t="s">
        <v>197</v>
      </c>
      <c r="B558" s="230">
        <v>2691140106</v>
      </c>
      <c r="C558" s="230" t="s">
        <v>133</v>
      </c>
      <c r="D558" s="230" t="s">
        <v>124</v>
      </c>
      <c r="E558" s="230" t="s">
        <v>198</v>
      </c>
      <c r="F558" s="230" t="s">
        <v>4185</v>
      </c>
      <c r="G558" s="230">
        <v>153</v>
      </c>
      <c r="H558" s="230" t="s">
        <v>246</v>
      </c>
      <c r="I558" s="230" t="s">
        <v>269</v>
      </c>
      <c r="J558" s="230" t="s">
        <v>3275</v>
      </c>
      <c r="K558" s="230" t="s">
        <v>3303</v>
      </c>
      <c r="L558" s="230" t="s">
        <v>1706</v>
      </c>
      <c r="M558" s="230" t="s">
        <v>4186</v>
      </c>
      <c r="N558" s="230" t="s">
        <v>819</v>
      </c>
      <c r="O558" s="158"/>
      <c r="P558" s="92"/>
      <c r="Q558" s="146"/>
      <c r="R558" s="92"/>
      <c r="S558" s="146"/>
      <c r="T558" s="92"/>
      <c r="U558" s="146"/>
      <c r="V558" s="92"/>
      <c r="W558" s="146"/>
      <c r="X558" s="92"/>
      <c r="Y558" s="146"/>
      <c r="Z558" s="186" t="str">
        <f t="shared" si="36"/>
        <v/>
      </c>
      <c r="AA558" s="217" t="b">
        <f t="shared" si="35"/>
        <v>0</v>
      </c>
      <c r="AB558" s="92"/>
      <c r="AC558" s="164" t="s">
        <v>6</v>
      </c>
      <c r="AD558" s="151" t="str">
        <f t="shared" si="37"/>
        <v>GUARULHOS</v>
      </c>
      <c r="AE558" s="96" t="s">
        <v>63</v>
      </c>
      <c r="AF558" s="53">
        <v>0.89898936398687235</v>
      </c>
      <c r="AG558" s="53" t="str" cm="1">
        <f t="array" ref="AG558">IF(OR(O558&lt;&gt;"", SUMPRODUCT(($AH$2:$AH$4999=AH558)*($AF$2:$AF$4999&lt;=AF558)) &lt;= (COUNTIF($AH$2:$AH$4999,AH558)*0.3)), "SORTEADO", "-")</f>
        <v>-</v>
      </c>
      <c r="AH558" s="257" t="str">
        <f t="shared" si="38"/>
        <v>21/04/2026</v>
      </c>
    </row>
    <row r="559" spans="1:34" ht="30" hidden="1" customHeight="1" x14ac:dyDescent="0.2">
      <c r="A559" s="230" t="s">
        <v>197</v>
      </c>
      <c r="B559" s="230">
        <v>2616615280</v>
      </c>
      <c r="C559" s="230" t="s">
        <v>129</v>
      </c>
      <c r="D559" s="230" t="s">
        <v>124</v>
      </c>
      <c r="E559" s="230" t="s">
        <v>198</v>
      </c>
      <c r="F559" s="230" t="s">
        <v>1924</v>
      </c>
      <c r="G559" s="230">
        <v>34</v>
      </c>
      <c r="H559" s="230"/>
      <c r="I559" s="230" t="s">
        <v>277</v>
      </c>
      <c r="J559" s="230" t="s">
        <v>3307</v>
      </c>
      <c r="K559" s="230"/>
      <c r="L559" s="230" t="s">
        <v>1706</v>
      </c>
      <c r="M559" s="230" t="s">
        <v>4187</v>
      </c>
      <c r="N559" s="230" t="s">
        <v>237</v>
      </c>
      <c r="O559" s="158"/>
      <c r="P559" s="92"/>
      <c r="Q559" s="146"/>
      <c r="R559" s="92"/>
      <c r="S559" s="146"/>
      <c r="T559" s="92"/>
      <c r="U559" s="146"/>
      <c r="V559" s="92"/>
      <c r="W559" s="146"/>
      <c r="X559" s="92"/>
      <c r="Y559" s="146"/>
      <c r="Z559" s="186" t="str">
        <f t="shared" si="36"/>
        <v/>
      </c>
      <c r="AA559" s="217" t="b">
        <f t="shared" si="35"/>
        <v>0</v>
      </c>
      <c r="AB559" s="92"/>
      <c r="AC559" s="164" t="s">
        <v>6</v>
      </c>
      <c r="AD559" s="151" t="str">
        <f t="shared" si="37"/>
        <v>GUARULHOS</v>
      </c>
      <c r="AE559" s="96" t="s">
        <v>63</v>
      </c>
      <c r="AF559" s="53">
        <v>0.33250613512562832</v>
      </c>
      <c r="AG559" s="53" t="str" cm="1">
        <f t="array" ref="AG559">IF(OR(O559&lt;&gt;"", SUMPRODUCT(($AH$2:$AH$4999=AH559)*($AF$2:$AF$4999&lt;=AF559)) &lt;= (COUNTIF($AH$2:$AH$4999,AH559)*0.3)), "SORTEADO", "-")</f>
        <v>-</v>
      </c>
      <c r="AH559" s="257" t="str">
        <f t="shared" si="38"/>
        <v>21/04/2026</v>
      </c>
    </row>
    <row r="560" spans="1:34" ht="30" customHeight="1" x14ac:dyDescent="0.2">
      <c r="A560" s="230" t="s">
        <v>197</v>
      </c>
      <c r="B560" s="230">
        <v>2616751572</v>
      </c>
      <c r="C560" s="230" t="s">
        <v>133</v>
      </c>
      <c r="D560" s="230" t="s">
        <v>124</v>
      </c>
      <c r="E560" s="230" t="s">
        <v>198</v>
      </c>
      <c r="F560" s="230" t="s">
        <v>778</v>
      </c>
      <c r="G560" s="230">
        <v>25</v>
      </c>
      <c r="H560" s="230" t="s">
        <v>4188</v>
      </c>
      <c r="I560" s="230" t="s">
        <v>214</v>
      </c>
      <c r="J560" s="230" t="s">
        <v>3275</v>
      </c>
      <c r="K560" s="230" t="s">
        <v>3303</v>
      </c>
      <c r="L560" s="230" t="s">
        <v>1706</v>
      </c>
      <c r="M560" s="230" t="s">
        <v>4189</v>
      </c>
      <c r="N560" s="230" t="s">
        <v>819</v>
      </c>
      <c r="O560" s="158" t="s">
        <v>204</v>
      </c>
      <c r="P560" s="92"/>
      <c r="Q560" s="146" t="s">
        <v>204</v>
      </c>
      <c r="R560" s="92"/>
      <c r="S560" s="146" t="s">
        <v>204</v>
      </c>
      <c r="T560" s="92"/>
      <c r="U560" s="146" t="s">
        <v>204</v>
      </c>
      <c r="V560" s="92"/>
      <c r="W560" s="146" t="s">
        <v>204</v>
      </c>
      <c r="X560" s="92"/>
      <c r="Y560" s="146" t="s">
        <v>204</v>
      </c>
      <c r="Z560" s="186" t="str">
        <f t="shared" si="36"/>
        <v>C</v>
      </c>
      <c r="AA560" s="217" t="str">
        <f t="shared" si="35"/>
        <v>UTILIZOU O PDA CORRETAMENTE</v>
      </c>
      <c r="AB560" s="92" t="s">
        <v>204</v>
      </c>
      <c r="AC560" s="164" t="s">
        <v>6</v>
      </c>
      <c r="AD560" s="151" t="str">
        <f t="shared" si="37"/>
        <v>GUARULHOS</v>
      </c>
      <c r="AE560" s="96" t="s">
        <v>63</v>
      </c>
      <c r="AF560" s="53">
        <v>0.1916553407379139</v>
      </c>
      <c r="AG560" s="53" t="str" cm="1">
        <f t="array" ref="AG560">IF(OR(O560&lt;&gt;"", SUMPRODUCT(($AH$2:$AH$4999=AH560)*($AF$2:$AF$4999&lt;=AF560)) &lt;= (COUNTIF($AH$2:$AH$4999,AH560)*0.3)), "SORTEADO", "-")</f>
        <v>SORTEADO</v>
      </c>
      <c r="AH560" s="257" t="str">
        <f t="shared" si="38"/>
        <v>21/04/2026</v>
      </c>
    </row>
    <row r="561" spans="1:34" ht="30" customHeight="1" x14ac:dyDescent="0.2">
      <c r="A561" s="242" t="s">
        <v>197</v>
      </c>
      <c r="B561" s="242">
        <v>2616616138</v>
      </c>
      <c r="C561" s="242" t="s">
        <v>133</v>
      </c>
      <c r="D561" s="242" t="s">
        <v>124</v>
      </c>
      <c r="E561" s="242" t="s">
        <v>198</v>
      </c>
      <c r="F561" s="242" t="s">
        <v>1347</v>
      </c>
      <c r="G561" s="242">
        <v>268</v>
      </c>
      <c r="H561" s="242" t="s">
        <v>1778</v>
      </c>
      <c r="I561" s="242" t="s">
        <v>281</v>
      </c>
      <c r="J561" s="242" t="s">
        <v>3275</v>
      </c>
      <c r="K561" s="242" t="s">
        <v>4190</v>
      </c>
      <c r="L561" s="242" t="s">
        <v>1706</v>
      </c>
      <c r="M561" s="242" t="s">
        <v>4191</v>
      </c>
      <c r="N561" s="242" t="s">
        <v>271</v>
      </c>
      <c r="O561" s="158" t="s">
        <v>204</v>
      </c>
      <c r="P561" s="92"/>
      <c r="Q561" s="146" t="s">
        <v>204</v>
      </c>
      <c r="R561" s="92"/>
      <c r="S561" s="146" t="s">
        <v>204</v>
      </c>
      <c r="T561" s="92"/>
      <c r="U561" s="146" t="s">
        <v>204</v>
      </c>
      <c r="V561" s="92"/>
      <c r="W561" s="146" t="s">
        <v>204</v>
      </c>
      <c r="X561" s="92"/>
      <c r="Y561" s="146" t="s">
        <v>204</v>
      </c>
      <c r="Z561" s="186" t="str">
        <f t="shared" si="36"/>
        <v>C</v>
      </c>
      <c r="AA561" s="217" t="str">
        <f t="shared" si="35"/>
        <v>UTILIZOU O PDA CORRETAMENTE</v>
      </c>
      <c r="AB561" s="92" t="s">
        <v>204</v>
      </c>
      <c r="AC561" s="164" t="s">
        <v>6</v>
      </c>
      <c r="AD561" s="151" t="str">
        <f t="shared" si="37"/>
        <v>GUARULHOS</v>
      </c>
      <c r="AE561" s="96" t="s">
        <v>63</v>
      </c>
      <c r="AF561" s="53">
        <v>0.21703017776634667</v>
      </c>
      <c r="AG561" s="53" t="str" cm="1">
        <f t="array" ref="AG561">IF(OR(O561&lt;&gt;"", SUMPRODUCT(($AH$2:$AH$4999=AH561)*($AF$2:$AF$4999&lt;=AF561)) &lt;= (COUNTIF($AH$2:$AH$4999,AH561)*0.3)), "SORTEADO", "-")</f>
        <v>SORTEADO</v>
      </c>
      <c r="AH561" s="257" t="str">
        <f t="shared" si="38"/>
        <v>21/04/2026</v>
      </c>
    </row>
    <row r="562" spans="1:34" ht="30" hidden="1" customHeight="1" x14ac:dyDescent="0.2">
      <c r="A562" s="230" t="s">
        <v>197</v>
      </c>
      <c r="B562" s="230">
        <v>2691158571</v>
      </c>
      <c r="C562" s="230" t="s">
        <v>127</v>
      </c>
      <c r="D562" s="230" t="s">
        <v>63</v>
      </c>
      <c r="E562" s="230" t="s">
        <v>198</v>
      </c>
      <c r="F562" s="230" t="s">
        <v>1315</v>
      </c>
      <c r="G562" s="230">
        <v>248</v>
      </c>
      <c r="H562" s="230" t="s">
        <v>4192</v>
      </c>
      <c r="I562" s="230" t="s">
        <v>315</v>
      </c>
      <c r="J562" s="230" t="s">
        <v>3275</v>
      </c>
      <c r="K562" s="230"/>
      <c r="L562" s="230" t="s">
        <v>1785</v>
      </c>
      <c r="M562" s="230" t="s">
        <v>4193</v>
      </c>
      <c r="N562" s="230" t="s">
        <v>3276</v>
      </c>
      <c r="O562" s="158"/>
      <c r="P562" s="92"/>
      <c r="Q562" s="146"/>
      <c r="R562" s="92"/>
      <c r="S562" s="146"/>
      <c r="T562" s="92"/>
      <c r="U562" s="146"/>
      <c r="V562" s="92"/>
      <c r="W562" s="146"/>
      <c r="X562" s="92"/>
      <c r="Y562" s="146"/>
      <c r="Z562" s="186" t="str">
        <f t="shared" si="36"/>
        <v/>
      </c>
      <c r="AA562" s="217" t="b">
        <f t="shared" si="35"/>
        <v>0</v>
      </c>
      <c r="AB562" s="92"/>
      <c r="AC562" s="164" t="s">
        <v>6</v>
      </c>
      <c r="AD562" s="151" t="str">
        <f t="shared" si="37"/>
        <v>GUARULHOS</v>
      </c>
      <c r="AE562" s="96" t="s">
        <v>63</v>
      </c>
      <c r="AF562" s="53">
        <v>0.48737657190024447</v>
      </c>
      <c r="AG562" s="53" t="str" cm="1">
        <f t="array" ref="AG562">IF(OR(O562&lt;&gt;"", SUMPRODUCT(($AH$2:$AH$4999=AH562)*($AF$2:$AF$4999&lt;=AF562)) &lt;= (COUNTIF($AH$2:$AH$4999,AH562)*0.3)), "SORTEADO", "-")</f>
        <v>-</v>
      </c>
      <c r="AH562" s="257" t="str">
        <f t="shared" si="38"/>
        <v>22/04/2026</v>
      </c>
    </row>
    <row r="563" spans="1:34" ht="30" customHeight="1" x14ac:dyDescent="0.2">
      <c r="A563" s="230" t="s">
        <v>197</v>
      </c>
      <c r="B563" s="230">
        <v>2614609154</v>
      </c>
      <c r="C563" s="230" t="s">
        <v>134</v>
      </c>
      <c r="D563" s="230" t="s">
        <v>124</v>
      </c>
      <c r="E563" s="230" t="s">
        <v>198</v>
      </c>
      <c r="F563" s="230" t="s">
        <v>4194</v>
      </c>
      <c r="G563" s="230">
        <v>10</v>
      </c>
      <c r="H563" s="230" t="s">
        <v>362</v>
      </c>
      <c r="I563" s="230" t="s">
        <v>345</v>
      </c>
      <c r="J563" s="230" t="s">
        <v>3285</v>
      </c>
      <c r="K563" s="230"/>
      <c r="L563" s="230" t="s">
        <v>1785</v>
      </c>
      <c r="M563" s="230" t="s">
        <v>4195</v>
      </c>
      <c r="N563" s="230" t="s">
        <v>215</v>
      </c>
      <c r="O563" s="158" t="s">
        <v>204</v>
      </c>
      <c r="P563" s="92"/>
      <c r="Q563" s="146" t="s">
        <v>204</v>
      </c>
      <c r="R563" s="92"/>
      <c r="S563" s="146" t="s">
        <v>204</v>
      </c>
      <c r="T563" s="92"/>
      <c r="U563" s="146" t="s">
        <v>204</v>
      </c>
      <c r="V563" s="92"/>
      <c r="W563" s="146" t="s">
        <v>204</v>
      </c>
      <c r="X563" s="92"/>
      <c r="Y563" s="146" t="s">
        <v>204</v>
      </c>
      <c r="Z563" s="186" t="str">
        <f t="shared" si="36"/>
        <v>C</v>
      </c>
      <c r="AA563" s="217" t="str">
        <f t="shared" si="35"/>
        <v>UTILIZOU O PDA CORRETAMENTE</v>
      </c>
      <c r="AB563" s="92" t="s">
        <v>204</v>
      </c>
      <c r="AC563" s="164" t="s">
        <v>6</v>
      </c>
      <c r="AD563" s="151" t="str">
        <f t="shared" si="37"/>
        <v>GUARULHOS</v>
      </c>
      <c r="AE563" s="96" t="s">
        <v>63</v>
      </c>
      <c r="AF563" s="53">
        <v>2.6105874336191026E-3</v>
      </c>
      <c r="AG563" s="53" t="str" cm="1">
        <f t="array" ref="AG563">IF(OR(O563&lt;&gt;"", SUMPRODUCT(($AH$2:$AH$4999=AH563)*($AF$2:$AF$4999&lt;=AF563)) &lt;= (COUNTIF($AH$2:$AH$4999,AH563)*0.3)), "SORTEADO", "-")</f>
        <v>SORTEADO</v>
      </c>
      <c r="AH563" s="257" t="str">
        <f t="shared" si="38"/>
        <v>22/04/2026</v>
      </c>
    </row>
    <row r="564" spans="1:34" ht="30" hidden="1" customHeight="1" x14ac:dyDescent="0.2">
      <c r="A564" s="230" t="s">
        <v>197</v>
      </c>
      <c r="B564" s="230">
        <v>2691175941</v>
      </c>
      <c r="C564" s="230" t="s">
        <v>127</v>
      </c>
      <c r="D564" s="230" t="s">
        <v>63</v>
      </c>
      <c r="E564" s="230" t="s">
        <v>198</v>
      </c>
      <c r="F564" s="230" t="s">
        <v>4196</v>
      </c>
      <c r="G564" s="230">
        <v>153</v>
      </c>
      <c r="H564" s="230" t="s">
        <v>4197</v>
      </c>
      <c r="I564" s="230" t="s">
        <v>1587</v>
      </c>
      <c r="J564" s="230" t="s">
        <v>3271</v>
      </c>
      <c r="K564" s="230"/>
      <c r="L564" s="230" t="s">
        <v>1785</v>
      </c>
      <c r="M564" s="230" t="s">
        <v>4198</v>
      </c>
      <c r="N564" s="230" t="s">
        <v>1099</v>
      </c>
      <c r="O564" s="158"/>
      <c r="P564" s="92"/>
      <c r="Q564" s="146"/>
      <c r="R564" s="92"/>
      <c r="S564" s="146"/>
      <c r="T564" s="92"/>
      <c r="U564" s="146"/>
      <c r="V564" s="92"/>
      <c r="W564" s="146"/>
      <c r="X564" s="92"/>
      <c r="Y564" s="146"/>
      <c r="Z564" s="186" t="str">
        <f t="shared" si="36"/>
        <v/>
      </c>
      <c r="AA564" s="217" t="b">
        <f t="shared" si="35"/>
        <v>0</v>
      </c>
      <c r="AB564" s="92"/>
      <c r="AC564" s="164" t="s">
        <v>6</v>
      </c>
      <c r="AD564" s="151" t="str">
        <f t="shared" si="37"/>
        <v>GUARULHOS</v>
      </c>
      <c r="AE564" s="96" t="s">
        <v>63</v>
      </c>
      <c r="AF564" s="53">
        <v>0.84120229262408452</v>
      </c>
      <c r="AG564" s="53" t="str" cm="1">
        <f t="array" ref="AG564">IF(OR(O564&lt;&gt;"", SUMPRODUCT(($AH$2:$AH$4999=AH564)*($AF$2:$AF$4999&lt;=AF564)) &lt;= (COUNTIF($AH$2:$AH$4999,AH564)*0.3)), "SORTEADO", "-")</f>
        <v>-</v>
      </c>
      <c r="AH564" s="257" t="str">
        <f t="shared" si="38"/>
        <v>22/04/2026</v>
      </c>
    </row>
    <row r="565" spans="1:34" ht="30" customHeight="1" x14ac:dyDescent="0.2">
      <c r="A565" s="230" t="s">
        <v>197</v>
      </c>
      <c r="B565" s="230">
        <v>2616756713</v>
      </c>
      <c r="C565" s="230" t="s">
        <v>127</v>
      </c>
      <c r="D565" s="230" t="s">
        <v>63</v>
      </c>
      <c r="E565" s="230" t="s">
        <v>198</v>
      </c>
      <c r="F565" s="230" t="s">
        <v>4199</v>
      </c>
      <c r="G565" s="230">
        <v>72</v>
      </c>
      <c r="H565" s="230" t="s">
        <v>206</v>
      </c>
      <c r="I565" s="230" t="s">
        <v>240</v>
      </c>
      <c r="J565" s="230" t="s">
        <v>3275</v>
      </c>
      <c r="K565" s="230" t="s">
        <v>4200</v>
      </c>
      <c r="L565" s="230" t="s">
        <v>1785</v>
      </c>
      <c r="M565" s="230" t="s">
        <v>1807</v>
      </c>
      <c r="N565" s="230" t="s">
        <v>3296</v>
      </c>
      <c r="O565" s="233" t="s">
        <v>328</v>
      </c>
      <c r="P565" s="169"/>
      <c r="Q565" s="144" t="s">
        <v>328</v>
      </c>
      <c r="R565" s="56"/>
      <c r="S565" s="144" t="s">
        <v>328</v>
      </c>
      <c r="T565" s="56"/>
      <c r="U565" s="144" t="s">
        <v>328</v>
      </c>
      <c r="V565" s="56"/>
      <c r="W565" s="144" t="s">
        <v>328</v>
      </c>
      <c r="X565" s="56"/>
      <c r="Y565" s="144" t="s">
        <v>210</v>
      </c>
      <c r="Z565" s="186" t="str">
        <f t="shared" si="36"/>
        <v>NC</v>
      </c>
      <c r="AA565" s="217" t="str">
        <f t="shared" si="35"/>
        <v>NÃO UTILIZOU O PDA</v>
      </c>
      <c r="AB565" s="92" t="s">
        <v>204</v>
      </c>
      <c r="AC565" s="164" t="s">
        <v>6</v>
      </c>
      <c r="AD565" s="151" t="str">
        <f t="shared" si="37"/>
        <v>GUARULHOS</v>
      </c>
      <c r="AE565" s="96" t="s">
        <v>63</v>
      </c>
      <c r="AF565" s="53">
        <v>-0.1128</v>
      </c>
      <c r="AG565" s="53" t="str" cm="1">
        <f t="array" ref="AG565">IF(OR(O565&lt;&gt;"", SUMPRODUCT(($AH$2:$AH$4999=AH565)*($AF$2:$AF$4999&lt;=AF565)) &lt;= (COUNTIF($AH$2:$AH$4999,AH565)*0.3)), "SORTEADO", "-")</f>
        <v>SORTEADO</v>
      </c>
      <c r="AH565" s="257" t="str">
        <f t="shared" si="38"/>
        <v>22/04/2026</v>
      </c>
    </row>
    <row r="566" spans="1:34" ht="30" hidden="1" customHeight="1" x14ac:dyDescent="0.2">
      <c r="A566" s="230" t="s">
        <v>197</v>
      </c>
      <c r="B566" s="230">
        <v>2691141874</v>
      </c>
      <c r="C566" s="230" t="s">
        <v>133</v>
      </c>
      <c r="D566" s="230" t="s">
        <v>124</v>
      </c>
      <c r="E566" s="230" t="s">
        <v>198</v>
      </c>
      <c r="F566" s="230" t="s">
        <v>4201</v>
      </c>
      <c r="G566" s="230">
        <v>15</v>
      </c>
      <c r="H566" s="230" t="s">
        <v>353</v>
      </c>
      <c r="I566" s="230" t="s">
        <v>2455</v>
      </c>
      <c r="J566" s="230" t="s">
        <v>3275</v>
      </c>
      <c r="K566" s="230" t="s">
        <v>3363</v>
      </c>
      <c r="L566" s="230" t="s">
        <v>1785</v>
      </c>
      <c r="M566" s="230" t="s">
        <v>4202</v>
      </c>
      <c r="N566" s="230" t="s">
        <v>3276</v>
      </c>
      <c r="O566" s="158"/>
      <c r="P566" s="92"/>
      <c r="Q566" s="146"/>
      <c r="R566" s="92"/>
      <c r="S566" s="146"/>
      <c r="T566" s="92"/>
      <c r="U566" s="146"/>
      <c r="V566" s="92"/>
      <c r="W566" s="146"/>
      <c r="X566" s="92"/>
      <c r="Y566" s="146"/>
      <c r="Z566" s="186" t="str">
        <f t="shared" si="36"/>
        <v/>
      </c>
      <c r="AA566" s="217" t="b">
        <f t="shared" si="35"/>
        <v>0</v>
      </c>
      <c r="AB566" s="92"/>
      <c r="AC566" s="164" t="s">
        <v>6</v>
      </c>
      <c r="AD566" s="151" t="str">
        <f t="shared" si="37"/>
        <v>GUARULHOS</v>
      </c>
      <c r="AE566" s="96" t="s">
        <v>63</v>
      </c>
      <c r="AF566" s="53">
        <v>0.65273216621831176</v>
      </c>
      <c r="AG566" s="53" t="str" cm="1">
        <f t="array" ref="AG566">IF(OR(O566&lt;&gt;"", SUMPRODUCT(($AH$2:$AH$4999=AH566)*($AF$2:$AF$4999&lt;=AF566)) &lt;= (COUNTIF($AH$2:$AH$4999,AH566)*0.3)), "SORTEADO", "-")</f>
        <v>-</v>
      </c>
      <c r="AH566" s="257" t="str">
        <f t="shared" si="38"/>
        <v>22/04/2026</v>
      </c>
    </row>
    <row r="567" spans="1:34" ht="30" hidden="1" customHeight="1" x14ac:dyDescent="0.2">
      <c r="A567" s="230" t="s">
        <v>197</v>
      </c>
      <c r="B567" s="230">
        <v>2616758664</v>
      </c>
      <c r="C567" s="230" t="s">
        <v>133</v>
      </c>
      <c r="D567" s="230" t="s">
        <v>124</v>
      </c>
      <c r="E567" s="230" t="s">
        <v>198</v>
      </c>
      <c r="F567" s="230" t="s">
        <v>3538</v>
      </c>
      <c r="G567" s="230">
        <v>720</v>
      </c>
      <c r="H567" s="230" t="s">
        <v>4203</v>
      </c>
      <c r="I567" s="230" t="s">
        <v>3540</v>
      </c>
      <c r="J567" s="230" t="s">
        <v>3275</v>
      </c>
      <c r="K567" s="230" t="s">
        <v>4148</v>
      </c>
      <c r="L567" s="230" t="s">
        <v>1785</v>
      </c>
      <c r="M567" s="230" t="s">
        <v>4204</v>
      </c>
      <c r="N567" s="230" t="s">
        <v>3289</v>
      </c>
      <c r="O567" s="158"/>
      <c r="P567" s="92"/>
      <c r="Q567" s="146"/>
      <c r="R567" s="92"/>
      <c r="S567" s="146"/>
      <c r="T567" s="92"/>
      <c r="U567" s="146"/>
      <c r="V567" s="92"/>
      <c r="W567" s="146"/>
      <c r="X567" s="92"/>
      <c r="Y567" s="146"/>
      <c r="Z567" s="186" t="str">
        <f t="shared" si="36"/>
        <v/>
      </c>
      <c r="AA567" s="217" t="b">
        <f t="shared" si="35"/>
        <v>0</v>
      </c>
      <c r="AB567" s="92"/>
      <c r="AC567" s="164" t="s">
        <v>6</v>
      </c>
      <c r="AD567" s="151" t="str">
        <f t="shared" si="37"/>
        <v>GUARULHOS</v>
      </c>
      <c r="AE567" s="96" t="s">
        <v>63</v>
      </c>
      <c r="AF567" s="53">
        <v>0.75957100423413348</v>
      </c>
      <c r="AG567" s="53" t="str" cm="1">
        <f t="array" ref="AG567">IF(OR(O567&lt;&gt;"", SUMPRODUCT(($AH$2:$AH$4999=AH567)*($AF$2:$AF$4999&lt;=AF567)) &lt;= (COUNTIF($AH$2:$AH$4999,AH567)*0.3)), "SORTEADO", "-")</f>
        <v>-</v>
      </c>
      <c r="AH567" s="257" t="str">
        <f t="shared" si="38"/>
        <v>22/04/2026</v>
      </c>
    </row>
    <row r="568" spans="1:34" ht="30" hidden="1" customHeight="1" x14ac:dyDescent="0.2">
      <c r="A568" s="230" t="s">
        <v>197</v>
      </c>
      <c r="B568" s="230">
        <v>2691182009</v>
      </c>
      <c r="C568" s="230" t="s">
        <v>127</v>
      </c>
      <c r="D568" s="230" t="s">
        <v>63</v>
      </c>
      <c r="E568" s="230" t="s">
        <v>198</v>
      </c>
      <c r="F568" s="230" t="s">
        <v>1030</v>
      </c>
      <c r="G568" s="230">
        <v>2151</v>
      </c>
      <c r="H568" s="230" t="s">
        <v>4205</v>
      </c>
      <c r="I568" s="230" t="s">
        <v>1435</v>
      </c>
      <c r="J568" s="230" t="s">
        <v>3275</v>
      </c>
      <c r="K568" s="230"/>
      <c r="L568" s="230" t="s">
        <v>1785</v>
      </c>
      <c r="M568" s="230" t="s">
        <v>4206</v>
      </c>
      <c r="N568" s="230" t="s">
        <v>3282</v>
      </c>
      <c r="O568" s="158"/>
      <c r="P568" s="92"/>
      <c r="Q568" s="146"/>
      <c r="R568" s="92"/>
      <c r="S568" s="146"/>
      <c r="T568" s="92"/>
      <c r="U568" s="146"/>
      <c r="V568" s="92"/>
      <c r="W568" s="146"/>
      <c r="X568" s="92"/>
      <c r="Y568" s="146"/>
      <c r="Z568" s="186" t="str">
        <f t="shared" si="36"/>
        <v/>
      </c>
      <c r="AA568" s="217" t="b">
        <f t="shared" si="35"/>
        <v>0</v>
      </c>
      <c r="AB568" s="92"/>
      <c r="AC568" s="164" t="s">
        <v>6</v>
      </c>
      <c r="AD568" s="151" t="str">
        <f t="shared" si="37"/>
        <v>GUARULHOS</v>
      </c>
      <c r="AE568" s="96" t="s">
        <v>63</v>
      </c>
      <c r="AF568" s="53">
        <v>0.65702928960886819</v>
      </c>
      <c r="AG568" s="53" t="str" cm="1">
        <f t="array" ref="AG568">IF(OR(O568&lt;&gt;"", SUMPRODUCT(($AH$2:$AH$4999=AH568)*($AF$2:$AF$4999&lt;=AF568)) &lt;= (COUNTIF($AH$2:$AH$4999,AH568)*0.3)), "SORTEADO", "-")</f>
        <v>-</v>
      </c>
      <c r="AH568" s="257" t="str">
        <f t="shared" si="38"/>
        <v>22/04/2026</v>
      </c>
    </row>
    <row r="569" spans="1:34" ht="30" hidden="1" customHeight="1" x14ac:dyDescent="0.2">
      <c r="A569" s="230" t="s">
        <v>197</v>
      </c>
      <c r="B569" s="230">
        <v>2691184700</v>
      </c>
      <c r="C569" s="230" t="s">
        <v>127</v>
      </c>
      <c r="D569" s="230" t="s">
        <v>63</v>
      </c>
      <c r="E569" s="230" t="s">
        <v>198</v>
      </c>
      <c r="F569" s="230" t="s">
        <v>1021</v>
      </c>
      <c r="G569" s="230">
        <v>533</v>
      </c>
      <c r="H569" s="230" t="s">
        <v>4207</v>
      </c>
      <c r="I569" s="230" t="s">
        <v>269</v>
      </c>
      <c r="J569" s="230" t="s">
        <v>3275</v>
      </c>
      <c r="K569" s="230" t="s">
        <v>213</v>
      </c>
      <c r="L569" s="230" t="s">
        <v>1785</v>
      </c>
      <c r="M569" s="230" t="s">
        <v>4208</v>
      </c>
      <c r="N569" s="230" t="s">
        <v>3282</v>
      </c>
      <c r="O569" s="158"/>
      <c r="P569" s="92"/>
      <c r="Q569" s="146"/>
      <c r="R569" s="92"/>
      <c r="S569" s="146"/>
      <c r="T569" s="92"/>
      <c r="U569" s="146"/>
      <c r="V569" s="92"/>
      <c r="W569" s="146"/>
      <c r="X569" s="92"/>
      <c r="Y569" s="146"/>
      <c r="Z569" s="186" t="str">
        <f t="shared" si="36"/>
        <v/>
      </c>
      <c r="AA569" s="217" t="b">
        <f t="shared" si="35"/>
        <v>0</v>
      </c>
      <c r="AB569" s="92"/>
      <c r="AC569" s="164" t="s">
        <v>6</v>
      </c>
      <c r="AD569" s="151" t="str">
        <f t="shared" si="37"/>
        <v>GUARULHOS</v>
      </c>
      <c r="AE569" s="96" t="s">
        <v>63</v>
      </c>
      <c r="AF569" s="53">
        <v>0.50293387392355249</v>
      </c>
      <c r="AG569" s="53" t="str" cm="1">
        <f t="array" ref="AG569">IF(OR(O569&lt;&gt;"", SUMPRODUCT(($AH$2:$AH$4999=AH569)*($AF$2:$AF$4999&lt;=AF569)) &lt;= (COUNTIF($AH$2:$AH$4999,AH569)*0.3)), "SORTEADO", "-")</f>
        <v>-</v>
      </c>
      <c r="AH569" s="257" t="str">
        <f t="shared" si="38"/>
        <v>22/04/2026</v>
      </c>
    </row>
    <row r="570" spans="1:34" ht="30" hidden="1" customHeight="1" x14ac:dyDescent="0.2">
      <c r="A570" s="230" t="s">
        <v>197</v>
      </c>
      <c r="B570" s="230">
        <v>2691181153</v>
      </c>
      <c r="C570" s="230" t="s">
        <v>127</v>
      </c>
      <c r="D570" s="230" t="s">
        <v>63</v>
      </c>
      <c r="E570" s="230" t="s">
        <v>198</v>
      </c>
      <c r="F570" s="230" t="s">
        <v>4209</v>
      </c>
      <c r="G570" s="230">
        <v>102</v>
      </c>
      <c r="H570" s="230" t="s">
        <v>4210</v>
      </c>
      <c r="I570" s="230" t="s">
        <v>1944</v>
      </c>
      <c r="J570" s="230" t="s">
        <v>3271</v>
      </c>
      <c r="K570" s="230" t="s">
        <v>213</v>
      </c>
      <c r="L570" s="230" t="s">
        <v>1785</v>
      </c>
      <c r="M570" s="230" t="s">
        <v>4211</v>
      </c>
      <c r="N570" s="230" t="s">
        <v>1099</v>
      </c>
      <c r="O570" s="158"/>
      <c r="P570" s="92"/>
      <c r="Q570" s="146"/>
      <c r="R570" s="92"/>
      <c r="S570" s="146"/>
      <c r="T570" s="92"/>
      <c r="U570" s="146"/>
      <c r="V570" s="92"/>
      <c r="W570" s="146"/>
      <c r="X570" s="92"/>
      <c r="Y570" s="146"/>
      <c r="Z570" s="186" t="str">
        <f t="shared" si="36"/>
        <v/>
      </c>
      <c r="AA570" s="217" t="b">
        <f t="shared" si="35"/>
        <v>0</v>
      </c>
      <c r="AB570" s="92"/>
      <c r="AC570" s="164" t="s">
        <v>6</v>
      </c>
      <c r="AD570" s="151" t="str">
        <f t="shared" si="37"/>
        <v>GUARULHOS</v>
      </c>
      <c r="AE570" s="96" t="s">
        <v>63</v>
      </c>
      <c r="AF570" s="53">
        <v>0.89176952276802957</v>
      </c>
      <c r="AG570" s="53" t="str" cm="1">
        <f t="array" ref="AG570">IF(OR(O570&lt;&gt;"", SUMPRODUCT(($AH$2:$AH$4999=AH570)*($AF$2:$AF$4999&lt;=AF570)) &lt;= (COUNTIF($AH$2:$AH$4999,AH570)*0.3)), "SORTEADO", "-")</f>
        <v>-</v>
      </c>
      <c r="AH570" s="257" t="str">
        <f t="shared" si="38"/>
        <v>22/04/2026</v>
      </c>
    </row>
    <row r="571" spans="1:34" ht="30" hidden="1" customHeight="1" x14ac:dyDescent="0.2">
      <c r="A571" s="230" t="s">
        <v>197</v>
      </c>
      <c r="B571" s="230">
        <v>2691143721</v>
      </c>
      <c r="C571" s="230" t="s">
        <v>133</v>
      </c>
      <c r="D571" s="230" t="s">
        <v>124</v>
      </c>
      <c r="E571" s="230" t="s">
        <v>198</v>
      </c>
      <c r="F571" s="230" t="s">
        <v>4212</v>
      </c>
      <c r="G571" s="230">
        <v>152</v>
      </c>
      <c r="H571" s="230" t="s">
        <v>4213</v>
      </c>
      <c r="I571" s="230" t="s">
        <v>791</v>
      </c>
      <c r="J571" s="230" t="s">
        <v>3275</v>
      </c>
      <c r="K571" s="230" t="s">
        <v>3499</v>
      </c>
      <c r="L571" s="230" t="s">
        <v>1785</v>
      </c>
      <c r="M571" s="230" t="s">
        <v>4214</v>
      </c>
      <c r="N571" s="230" t="s">
        <v>3296</v>
      </c>
      <c r="O571" s="158"/>
      <c r="P571" s="92"/>
      <c r="Q571" s="146"/>
      <c r="R571" s="92"/>
      <c r="S571" s="146"/>
      <c r="T571" s="92"/>
      <c r="U571" s="146"/>
      <c r="V571" s="92"/>
      <c r="W571" s="146"/>
      <c r="X571" s="92"/>
      <c r="Y571" s="146"/>
      <c r="Z571" s="186" t="str">
        <f t="shared" si="36"/>
        <v/>
      </c>
      <c r="AA571" s="217" t="b">
        <f t="shared" si="35"/>
        <v>0</v>
      </c>
      <c r="AB571" s="92"/>
      <c r="AC571" s="164" t="s">
        <v>6</v>
      </c>
      <c r="AD571" s="151" t="str">
        <f t="shared" si="37"/>
        <v>GUARULHOS</v>
      </c>
      <c r="AE571" s="96" t="s">
        <v>63</v>
      </c>
      <c r="AF571" s="53">
        <v>0.97319052334212774</v>
      </c>
      <c r="AG571" s="53" t="str" cm="1">
        <f t="array" ref="AG571">IF(OR(O571&lt;&gt;"", SUMPRODUCT(($AH$2:$AH$4999=AH571)*($AF$2:$AF$4999&lt;=AF571)) &lt;= (COUNTIF($AH$2:$AH$4999,AH571)*0.3)), "SORTEADO", "-")</f>
        <v>-</v>
      </c>
      <c r="AH571" s="257" t="str">
        <f t="shared" si="38"/>
        <v>22/04/2026</v>
      </c>
    </row>
    <row r="572" spans="1:34" ht="30" customHeight="1" x14ac:dyDescent="0.2">
      <c r="A572" s="230" t="s">
        <v>197</v>
      </c>
      <c r="B572" s="230">
        <v>2616833622</v>
      </c>
      <c r="C572" s="230" t="s">
        <v>135</v>
      </c>
      <c r="D572" s="230" t="s">
        <v>124</v>
      </c>
      <c r="E572" s="230" t="s">
        <v>198</v>
      </c>
      <c r="F572" s="230" t="s">
        <v>2241</v>
      </c>
      <c r="G572" s="230">
        <v>413</v>
      </c>
      <c r="H572" s="230" t="s">
        <v>2242</v>
      </c>
      <c r="I572" s="230" t="s">
        <v>394</v>
      </c>
      <c r="J572" s="230" t="s">
        <v>3280</v>
      </c>
      <c r="K572" s="230" t="s">
        <v>4215</v>
      </c>
      <c r="L572" s="230" t="s">
        <v>1785</v>
      </c>
      <c r="M572" s="230" t="s">
        <v>4216</v>
      </c>
      <c r="N572" s="230" t="s">
        <v>348</v>
      </c>
      <c r="O572" s="158" t="s">
        <v>204</v>
      </c>
      <c r="P572" s="92"/>
      <c r="Q572" s="146" t="s">
        <v>328</v>
      </c>
      <c r="R572" s="92"/>
      <c r="S572" s="146" t="s">
        <v>204</v>
      </c>
      <c r="T572" s="92"/>
      <c r="U572" s="146" t="s">
        <v>204</v>
      </c>
      <c r="V572" s="92"/>
      <c r="W572" s="146" t="s">
        <v>210</v>
      </c>
      <c r="X572" s="92" t="s">
        <v>4217</v>
      </c>
      <c r="Y572" s="146" t="s">
        <v>204</v>
      </c>
      <c r="Z572" s="186" t="str">
        <f t="shared" si="36"/>
        <v>NC</v>
      </c>
      <c r="AA572" s="217" t="str">
        <f t="shared" si="35"/>
        <v>UTILIZOU O PDA CORRETAMENTE. NÃO HÁ FOTOS DE TODAS AS ETAPAS</v>
      </c>
      <c r="AB572" s="92" t="s">
        <v>204</v>
      </c>
      <c r="AC572" s="164" t="s">
        <v>6</v>
      </c>
      <c r="AD572" s="151" t="str">
        <f t="shared" si="37"/>
        <v>GUARULHOS</v>
      </c>
      <c r="AE572" s="96" t="s">
        <v>63</v>
      </c>
      <c r="AF572" s="53">
        <v>0.38627466030365742</v>
      </c>
      <c r="AG572" s="53" t="str" cm="1">
        <f t="array" ref="AG572">IF(OR(O572&lt;&gt;"", SUMPRODUCT(($AH$2:$AH$4999=AH572)*($AF$2:$AF$4999&lt;=AF572)) &lt;= (COUNTIF($AH$2:$AH$4999,AH572)*0.3)), "SORTEADO", "-")</f>
        <v>SORTEADO</v>
      </c>
      <c r="AH572" s="257" t="str">
        <f t="shared" si="38"/>
        <v>22/04/2026</v>
      </c>
    </row>
    <row r="573" spans="1:34" ht="30" hidden="1" customHeight="1" x14ac:dyDescent="0.2">
      <c r="A573" s="230" t="s">
        <v>197</v>
      </c>
      <c r="B573" s="230">
        <v>2691192543</v>
      </c>
      <c r="C573" s="230" t="s">
        <v>127</v>
      </c>
      <c r="D573" s="230" t="s">
        <v>63</v>
      </c>
      <c r="E573" s="230" t="s">
        <v>198</v>
      </c>
      <c r="F573" s="230" t="s">
        <v>299</v>
      </c>
      <c r="G573" s="230">
        <v>648</v>
      </c>
      <c r="H573" s="230"/>
      <c r="I573" s="230" t="s">
        <v>301</v>
      </c>
      <c r="J573" s="230" t="s">
        <v>3275</v>
      </c>
      <c r="K573" s="230"/>
      <c r="L573" s="230" t="s">
        <v>1785</v>
      </c>
      <c r="M573" s="230" t="s">
        <v>4218</v>
      </c>
      <c r="N573" s="230" t="s">
        <v>3296</v>
      </c>
      <c r="O573" s="158"/>
      <c r="P573" s="92"/>
      <c r="Q573" s="146"/>
      <c r="R573" s="92"/>
      <c r="S573" s="146"/>
      <c r="T573" s="92"/>
      <c r="U573" s="146"/>
      <c r="V573" s="92"/>
      <c r="W573" s="146"/>
      <c r="X573" s="92"/>
      <c r="Y573" s="146"/>
      <c r="Z573" s="186" t="str">
        <f t="shared" si="36"/>
        <v/>
      </c>
      <c r="AA573" s="217" t="b">
        <f t="shared" si="35"/>
        <v>0</v>
      </c>
      <c r="AB573" s="92"/>
      <c r="AC573" s="164" t="s">
        <v>6</v>
      </c>
      <c r="AD573" s="151" t="str">
        <f t="shared" si="37"/>
        <v>GUARULHOS</v>
      </c>
      <c r="AE573" s="96" t="s">
        <v>63</v>
      </c>
      <c r="AF573" s="53">
        <v>0.44501528729914769</v>
      </c>
      <c r="AG573" s="53" t="str" cm="1">
        <f t="array" ref="AG573">IF(OR(O573&lt;&gt;"", SUMPRODUCT(($AH$2:$AH$4999=AH573)*($AF$2:$AF$4999&lt;=AF573)) &lt;= (COUNTIF($AH$2:$AH$4999,AH573)*0.3)), "SORTEADO", "-")</f>
        <v>-</v>
      </c>
      <c r="AH573" s="257" t="str">
        <f t="shared" si="38"/>
        <v>22/04/2026</v>
      </c>
    </row>
    <row r="574" spans="1:34" ht="30" hidden="1" customHeight="1" x14ac:dyDescent="0.2">
      <c r="A574" s="230" t="s">
        <v>197</v>
      </c>
      <c r="B574" s="230">
        <v>2691185461</v>
      </c>
      <c r="C574" s="230" t="s">
        <v>127</v>
      </c>
      <c r="D574" s="230" t="s">
        <v>63</v>
      </c>
      <c r="E574" s="230" t="s">
        <v>198</v>
      </c>
      <c r="F574" s="230" t="s">
        <v>3156</v>
      </c>
      <c r="G574" s="230">
        <v>410</v>
      </c>
      <c r="H574" s="230" t="s">
        <v>4219</v>
      </c>
      <c r="I574" s="230" t="s">
        <v>509</v>
      </c>
      <c r="J574" s="230" t="s">
        <v>3275</v>
      </c>
      <c r="K574" s="230" t="s">
        <v>4220</v>
      </c>
      <c r="L574" s="230" t="s">
        <v>1785</v>
      </c>
      <c r="M574" s="230" t="s">
        <v>4221</v>
      </c>
      <c r="N574" s="230" t="s">
        <v>3296</v>
      </c>
      <c r="O574" s="158"/>
      <c r="P574" s="92"/>
      <c r="Q574" s="146"/>
      <c r="R574" s="92"/>
      <c r="S574" s="146"/>
      <c r="T574" s="92"/>
      <c r="U574" s="146"/>
      <c r="V574" s="92"/>
      <c r="W574" s="146"/>
      <c r="X574" s="92"/>
      <c r="Y574" s="146"/>
      <c r="Z574" s="186" t="str">
        <f t="shared" si="36"/>
        <v/>
      </c>
      <c r="AA574" s="217" t="b">
        <f t="shared" si="35"/>
        <v>0</v>
      </c>
      <c r="AB574" s="92"/>
      <c r="AC574" s="164" t="s">
        <v>6</v>
      </c>
      <c r="AD574" s="151" t="str">
        <f t="shared" si="37"/>
        <v>GUARULHOS</v>
      </c>
      <c r="AE574" s="96" t="s">
        <v>63</v>
      </c>
      <c r="AF574" s="53">
        <v>0.79985330118751596</v>
      </c>
      <c r="AG574" s="53" t="str" cm="1">
        <f t="array" ref="AG574">IF(OR(O574&lt;&gt;"", SUMPRODUCT(($AH$2:$AH$4999=AH574)*($AF$2:$AF$4999&lt;=AF574)) &lt;= (COUNTIF($AH$2:$AH$4999,AH574)*0.3)), "SORTEADO", "-")</f>
        <v>-</v>
      </c>
      <c r="AH574" s="257" t="str">
        <f t="shared" si="38"/>
        <v>22/04/2026</v>
      </c>
    </row>
    <row r="575" spans="1:34" ht="30" hidden="1" customHeight="1" x14ac:dyDescent="0.2">
      <c r="A575" s="230" t="s">
        <v>197</v>
      </c>
      <c r="B575" s="230">
        <v>2616849661</v>
      </c>
      <c r="C575" s="230" t="s">
        <v>135</v>
      </c>
      <c r="D575" s="230" t="s">
        <v>124</v>
      </c>
      <c r="E575" s="230" t="s">
        <v>198</v>
      </c>
      <c r="F575" s="230" t="s">
        <v>4052</v>
      </c>
      <c r="G575" s="230">
        <v>96</v>
      </c>
      <c r="H575" s="230" t="s">
        <v>4222</v>
      </c>
      <c r="I575" s="230" t="s">
        <v>335</v>
      </c>
      <c r="J575" s="230" t="s">
        <v>3280</v>
      </c>
      <c r="K575" s="230" t="s">
        <v>4223</v>
      </c>
      <c r="L575" s="230" t="s">
        <v>1785</v>
      </c>
      <c r="M575" s="230" t="s">
        <v>4224</v>
      </c>
      <c r="N575" s="230" t="s">
        <v>3276</v>
      </c>
      <c r="O575" s="158"/>
      <c r="P575" s="92"/>
      <c r="Q575" s="146"/>
      <c r="R575" s="92"/>
      <c r="S575" s="146"/>
      <c r="T575" s="92"/>
      <c r="U575" s="146"/>
      <c r="V575" s="92"/>
      <c r="W575" s="146"/>
      <c r="X575" s="92"/>
      <c r="Y575" s="146"/>
      <c r="Z575" s="186" t="str">
        <f t="shared" si="36"/>
        <v/>
      </c>
      <c r="AA575" s="217" t="b">
        <f t="shared" si="35"/>
        <v>0</v>
      </c>
      <c r="AB575" s="92"/>
      <c r="AC575" s="164" t="s">
        <v>6</v>
      </c>
      <c r="AD575" s="151" t="str">
        <f t="shared" si="37"/>
        <v>GUARULHOS</v>
      </c>
      <c r="AE575" s="96" t="s">
        <v>63</v>
      </c>
      <c r="AF575" s="53">
        <v>0.7187297971395441</v>
      </c>
      <c r="AG575" s="53" t="str" cm="1">
        <f t="array" ref="AG575">IF(OR(O575&lt;&gt;"", SUMPRODUCT(($AH$2:$AH$4999=AH575)*($AF$2:$AF$4999&lt;=AF575)) &lt;= (COUNTIF($AH$2:$AH$4999,AH575)*0.3)), "SORTEADO", "-")</f>
        <v>-</v>
      </c>
      <c r="AH575" s="257" t="str">
        <f t="shared" si="38"/>
        <v>22/04/2026</v>
      </c>
    </row>
    <row r="576" spans="1:34" ht="30" hidden="1" customHeight="1" x14ac:dyDescent="0.2">
      <c r="A576" s="230" t="s">
        <v>197</v>
      </c>
      <c r="B576" s="230">
        <v>2691056890</v>
      </c>
      <c r="C576" s="230" t="s">
        <v>133</v>
      </c>
      <c r="D576" s="230" t="s">
        <v>124</v>
      </c>
      <c r="E576" s="230" t="s">
        <v>198</v>
      </c>
      <c r="F576" s="230" t="s">
        <v>3140</v>
      </c>
      <c r="G576" s="230">
        <v>67</v>
      </c>
      <c r="H576" s="230" t="s">
        <v>4225</v>
      </c>
      <c r="I576" s="230" t="s">
        <v>643</v>
      </c>
      <c r="J576" s="230" t="s">
        <v>3275</v>
      </c>
      <c r="K576" s="230" t="s">
        <v>4148</v>
      </c>
      <c r="L576" s="230" t="s">
        <v>1785</v>
      </c>
      <c r="M576" s="230" t="s">
        <v>4226</v>
      </c>
      <c r="N576" s="230" t="s">
        <v>3289</v>
      </c>
      <c r="O576" s="158"/>
      <c r="P576" s="92"/>
      <c r="Q576" s="146"/>
      <c r="R576" s="92"/>
      <c r="S576" s="146"/>
      <c r="T576" s="92"/>
      <c r="U576" s="146"/>
      <c r="V576" s="92"/>
      <c r="W576" s="146"/>
      <c r="X576" s="92"/>
      <c r="Y576" s="146"/>
      <c r="Z576" s="186" t="str">
        <f t="shared" si="36"/>
        <v/>
      </c>
      <c r="AA576" s="217" t="b">
        <f t="shared" si="35"/>
        <v>0</v>
      </c>
      <c r="AB576" s="92"/>
      <c r="AC576" s="164" t="s">
        <v>6</v>
      </c>
      <c r="AD576" s="151" t="str">
        <f t="shared" si="37"/>
        <v>GUARULHOS</v>
      </c>
      <c r="AE576" s="96" t="s">
        <v>63</v>
      </c>
      <c r="AF576" s="53">
        <v>0.43068910309844222</v>
      </c>
      <c r="AG576" s="53" t="str" cm="1">
        <f t="array" ref="AG576">IF(OR(O576&lt;&gt;"", SUMPRODUCT(($AH$2:$AH$4999=AH576)*($AF$2:$AF$4999&lt;=AF576)) &lt;= (COUNTIF($AH$2:$AH$4999,AH576)*0.3)), "SORTEADO", "-")</f>
        <v>-</v>
      </c>
      <c r="AH576" s="257" t="str">
        <f t="shared" si="38"/>
        <v>22/04/2026</v>
      </c>
    </row>
    <row r="577" spans="1:34" ht="30" hidden="1" customHeight="1" x14ac:dyDescent="0.2">
      <c r="A577" s="230" t="s">
        <v>197</v>
      </c>
      <c r="B577" s="230">
        <v>2616845516</v>
      </c>
      <c r="C577" s="230" t="s">
        <v>3717</v>
      </c>
      <c r="D577" s="230" t="s">
        <v>124</v>
      </c>
      <c r="E577" s="230" t="s">
        <v>198</v>
      </c>
      <c r="F577" s="230" t="s">
        <v>1208</v>
      </c>
      <c r="G577" s="230">
        <v>442</v>
      </c>
      <c r="H577" s="230" t="s">
        <v>217</v>
      </c>
      <c r="I577" s="230" t="s">
        <v>1210</v>
      </c>
      <c r="J577" s="230" t="s">
        <v>3719</v>
      </c>
      <c r="K577" s="230" t="s">
        <v>4227</v>
      </c>
      <c r="L577" s="230" t="s">
        <v>1785</v>
      </c>
      <c r="M577" s="230" t="s">
        <v>4228</v>
      </c>
      <c r="N577" s="230" t="s">
        <v>3289</v>
      </c>
      <c r="O577" s="233" t="s">
        <v>61</v>
      </c>
      <c r="P577" s="169"/>
      <c r="Q577" s="144" t="s">
        <v>61</v>
      </c>
      <c r="R577" s="56"/>
      <c r="S577" s="144" t="s">
        <v>61</v>
      </c>
      <c r="T577" s="56"/>
      <c r="U577" s="144" t="s">
        <v>61</v>
      </c>
      <c r="V577" s="56"/>
      <c r="W577" s="144" t="s">
        <v>61</v>
      </c>
      <c r="X577" s="56"/>
      <c r="Y577" s="144" t="s">
        <v>61</v>
      </c>
      <c r="Z577" s="186" t="str">
        <f t="shared" si="36"/>
        <v>NA</v>
      </c>
      <c r="AA577" s="217" t="str">
        <f t="shared" ref="AA577:AA638" si="39">IF(AND(Y577="C",Z577="C"),"UTILIZOU O PDA CORRETAMENTE",IF(AND(Y577="C",Z577="NC"),"UTILIZOU O PDA CORRETAMENTE. NÃO HÁ FOTOS DE TODAS AS ETAPAS",IF(AND(Y577="NC",Z577="NC"),"NÃO UTILIZOU O PDA",IF(AND(Y577="NA",Z577="NA"),"NÃO AVALIADO POR FALHA DE SINCRONISMO"))))</f>
        <v>NÃO AVALIADO POR FALHA DE SINCRONISMO</v>
      </c>
      <c r="AB577" s="92" t="s">
        <v>204</v>
      </c>
      <c r="AC577" s="164" t="s">
        <v>6</v>
      </c>
      <c r="AD577" s="151" t="str">
        <f t="shared" si="37"/>
        <v>GUARULHOS</v>
      </c>
      <c r="AE577" s="96" t="s">
        <v>63</v>
      </c>
      <c r="AF577" s="53">
        <v>-0.1152</v>
      </c>
      <c r="AG577" s="53" t="str" cm="1">
        <f t="array" ref="AG577">IF(OR(O577&lt;&gt;"", SUMPRODUCT(($AH$2:$AH$4999=AH577)*($AF$2:$AF$4999&lt;=AF577)) &lt;= (COUNTIF($AH$2:$AH$4999,AH577)*0.3)), "SORTEADO", "-")</f>
        <v>SORTEADO</v>
      </c>
      <c r="AH577" s="257" t="str">
        <f t="shared" si="38"/>
        <v>22/04/2026</v>
      </c>
    </row>
    <row r="578" spans="1:34" ht="30" customHeight="1" x14ac:dyDescent="0.2">
      <c r="A578" s="230" t="s">
        <v>197</v>
      </c>
      <c r="B578" s="230">
        <v>2691197278</v>
      </c>
      <c r="C578" s="230" t="s">
        <v>127</v>
      </c>
      <c r="D578" s="230" t="s">
        <v>63</v>
      </c>
      <c r="E578" s="230" t="s">
        <v>198</v>
      </c>
      <c r="F578" s="230" t="s">
        <v>4229</v>
      </c>
      <c r="G578" s="230">
        <v>85</v>
      </c>
      <c r="H578" s="230" t="s">
        <v>878</v>
      </c>
      <c r="I578" s="230" t="s">
        <v>4230</v>
      </c>
      <c r="J578" s="230" t="s">
        <v>3275</v>
      </c>
      <c r="K578" s="230"/>
      <c r="L578" s="230" t="s">
        <v>1785</v>
      </c>
      <c r="M578" s="230" t="s">
        <v>4231</v>
      </c>
      <c r="N578" s="230" t="s">
        <v>3282</v>
      </c>
      <c r="O578" s="158" t="s">
        <v>204</v>
      </c>
      <c r="P578" s="92"/>
      <c r="Q578" s="146" t="s">
        <v>204</v>
      </c>
      <c r="R578" s="92"/>
      <c r="S578" s="146" t="s">
        <v>204</v>
      </c>
      <c r="T578" s="92"/>
      <c r="U578" s="146" t="s">
        <v>204</v>
      </c>
      <c r="V578" s="92"/>
      <c r="W578" s="146" t="s">
        <v>204</v>
      </c>
      <c r="X578" s="92"/>
      <c r="Y578" s="146" t="s">
        <v>204</v>
      </c>
      <c r="Z578" s="186" t="str">
        <f t="shared" ref="Z578:Z639" si="40">IF(AND(O578="",Q578="",S578="",U578="",W578=""),"",IF(OR(AND(O578&lt;&gt;"NA",O578&lt;&gt;"C",O578&lt;&gt;"NC",O578&lt;&gt;"SF",O578&lt;&gt;""),AND(Q578&lt;&gt;"NA",Q578&lt;&gt;"C",Q578&lt;&gt;"NC",Q578&lt;&gt;"SF",Q578&lt;&gt;""),AND(S578&lt;&gt;"NA",S578&lt;&gt;"C",S578&lt;&gt;"NC",S578&lt;&gt;"SF",S578&lt;&gt;""),AND(U578&lt;&gt;"NA",U578&lt;&gt;"C",U578&lt;&gt;"NC",U578&lt;&gt;"SF",U578&lt;&gt;""),AND(W578&lt;&gt;"NA",W578&lt;&gt;"C",W578&lt;&gt;"NC",W578&lt;&gt;"SF",W578&lt;&gt;"")),"FALSO",IF(AND(O578="NA",Q578="NA",S578="NA",U578="NA",W578="NA"),"NA",IF(OR(O578="NC",Q578="NC",S578="NC",U578="NC",W578="NC",O578="SF",Q578="SF",S578="SF",U578="SF",W578="SF"),"NC",IF(OR(O578="C",Q578="C",S578="C",U578="C",W578="C"),"C","")))))</f>
        <v>C</v>
      </c>
      <c r="AA578" s="217" t="str">
        <f t="shared" si="39"/>
        <v>UTILIZOU O PDA CORRETAMENTE</v>
      </c>
      <c r="AB578" s="92" t="s">
        <v>204</v>
      </c>
      <c r="AC578" s="164" t="s">
        <v>6</v>
      </c>
      <c r="AD578" s="151" t="str">
        <f t="shared" si="37"/>
        <v>GUARULHOS</v>
      </c>
      <c r="AE578" s="96" t="s">
        <v>63</v>
      </c>
      <c r="AF578" s="53">
        <v>0.13551474388662768</v>
      </c>
      <c r="AG578" s="53" t="str" cm="1">
        <f t="array" ref="AG578">IF(OR(O578&lt;&gt;"", SUMPRODUCT(($AH$2:$AH$4999=AH578)*($AF$2:$AF$4999&lt;=AF578)) &lt;= (COUNTIF($AH$2:$AH$4999,AH578)*0.3)), "SORTEADO", "-")</f>
        <v>SORTEADO</v>
      </c>
      <c r="AH578" s="257" t="str">
        <f t="shared" si="38"/>
        <v>22/04/2026</v>
      </c>
    </row>
    <row r="579" spans="1:34" ht="30" hidden="1" customHeight="1" x14ac:dyDescent="0.2">
      <c r="A579" s="230" t="s">
        <v>197</v>
      </c>
      <c r="B579" s="230">
        <v>2616828378</v>
      </c>
      <c r="C579" s="230" t="s">
        <v>133</v>
      </c>
      <c r="D579" s="230" t="s">
        <v>124</v>
      </c>
      <c r="E579" s="230" t="s">
        <v>198</v>
      </c>
      <c r="F579" s="230" t="s">
        <v>3569</v>
      </c>
      <c r="G579" s="230">
        <v>235</v>
      </c>
      <c r="H579" s="230" t="s">
        <v>3595</v>
      </c>
      <c r="I579" s="230" t="s">
        <v>584</v>
      </c>
      <c r="J579" s="230" t="s">
        <v>3275</v>
      </c>
      <c r="K579" s="230" t="s">
        <v>4148</v>
      </c>
      <c r="L579" s="230" t="s">
        <v>1785</v>
      </c>
      <c r="M579" s="230" t="s">
        <v>4232</v>
      </c>
      <c r="N579" s="230" t="s">
        <v>3289</v>
      </c>
      <c r="O579" s="158"/>
      <c r="P579" s="92"/>
      <c r="Q579" s="146"/>
      <c r="R579" s="92"/>
      <c r="S579" s="146"/>
      <c r="T579" s="92"/>
      <c r="U579" s="146"/>
      <c r="V579" s="92"/>
      <c r="W579" s="146"/>
      <c r="X579" s="92"/>
      <c r="Y579" s="146"/>
      <c r="Z579" s="186" t="str">
        <f t="shared" si="40"/>
        <v/>
      </c>
      <c r="AA579" s="217" t="b">
        <f t="shared" si="39"/>
        <v>0</v>
      </c>
      <c r="AB579" s="92"/>
      <c r="AC579" s="164" t="s">
        <v>6</v>
      </c>
      <c r="AD579" s="151" t="str">
        <f t="shared" si="37"/>
        <v>GUARULHOS</v>
      </c>
      <c r="AE579" s="96" t="s">
        <v>63</v>
      </c>
      <c r="AF579" s="53">
        <v>0.6359134264102515</v>
      </c>
      <c r="AG579" s="53" t="str" cm="1">
        <f t="array" ref="AG579">IF(OR(O579&lt;&gt;"", SUMPRODUCT(($AH$2:$AH$4999=AH579)*($AF$2:$AF$4999&lt;=AF579)) &lt;= (COUNTIF($AH$2:$AH$4999,AH579)*0.3)), "SORTEADO", "-")</f>
        <v>-</v>
      </c>
      <c r="AH579" s="257" t="str">
        <f t="shared" si="38"/>
        <v>22/04/2026</v>
      </c>
    </row>
    <row r="580" spans="1:34" ht="30" customHeight="1" x14ac:dyDescent="0.2">
      <c r="A580" s="230" t="s">
        <v>197</v>
      </c>
      <c r="B580" s="230">
        <v>2691212901</v>
      </c>
      <c r="C580" s="230" t="s">
        <v>126</v>
      </c>
      <c r="D580" s="230" t="s">
        <v>63</v>
      </c>
      <c r="E580" s="230" t="s">
        <v>198</v>
      </c>
      <c r="F580" s="230" t="s">
        <v>940</v>
      </c>
      <c r="G580" s="230">
        <v>63</v>
      </c>
      <c r="H580" s="230"/>
      <c r="I580" s="230" t="s">
        <v>893</v>
      </c>
      <c r="J580" s="230" t="s">
        <v>3271</v>
      </c>
      <c r="K580" s="230" t="s">
        <v>4233</v>
      </c>
      <c r="L580" s="230" t="s">
        <v>1785</v>
      </c>
      <c r="M580" s="230" t="s">
        <v>4234</v>
      </c>
      <c r="N580" s="230" t="s">
        <v>615</v>
      </c>
      <c r="O580" s="158" t="s">
        <v>204</v>
      </c>
      <c r="P580" s="92"/>
      <c r="Q580" s="146" t="s">
        <v>328</v>
      </c>
      <c r="R580" s="92"/>
      <c r="S580" s="146" t="s">
        <v>328</v>
      </c>
      <c r="T580" s="92"/>
      <c r="U580" s="146" t="s">
        <v>328</v>
      </c>
      <c r="V580" s="92"/>
      <c r="W580" s="146" t="s">
        <v>328</v>
      </c>
      <c r="X580" s="92"/>
      <c r="Y580" s="146" t="s">
        <v>204</v>
      </c>
      <c r="Z580" s="186" t="str">
        <f t="shared" si="40"/>
        <v>NC</v>
      </c>
      <c r="AA580" s="217" t="str">
        <f t="shared" si="39"/>
        <v>UTILIZOU O PDA CORRETAMENTE. NÃO HÁ FOTOS DE TODAS AS ETAPAS</v>
      </c>
      <c r="AB580" s="92" t="s">
        <v>204</v>
      </c>
      <c r="AC580" s="164" t="s">
        <v>6</v>
      </c>
      <c r="AD580" s="151" t="str">
        <f t="shared" si="37"/>
        <v>GUARULHOS</v>
      </c>
      <c r="AE580" s="96" t="s">
        <v>63</v>
      </c>
      <c r="AF580" s="53">
        <v>0.1987553563079619</v>
      </c>
      <c r="AG580" s="53" t="str" cm="1">
        <f t="array" ref="AG580">IF(OR(O580&lt;&gt;"", SUMPRODUCT(($AH$2:$AH$4999=AH580)*($AF$2:$AF$4999&lt;=AF580)) &lt;= (COUNTIF($AH$2:$AH$4999,AH580)*0.3)), "SORTEADO", "-")</f>
        <v>SORTEADO</v>
      </c>
      <c r="AH580" s="257" t="str">
        <f t="shared" si="38"/>
        <v>22/04/2026</v>
      </c>
    </row>
    <row r="581" spans="1:34" ht="30" hidden="1" customHeight="1" x14ac:dyDescent="0.2">
      <c r="A581" s="230" t="s">
        <v>197</v>
      </c>
      <c r="B581" s="230">
        <v>2616878989</v>
      </c>
      <c r="C581" s="230" t="s">
        <v>127</v>
      </c>
      <c r="D581" s="230" t="s">
        <v>63</v>
      </c>
      <c r="E581" s="230" t="s">
        <v>198</v>
      </c>
      <c r="F581" s="230" t="s">
        <v>966</v>
      </c>
      <c r="G581" s="230">
        <v>1459</v>
      </c>
      <c r="H581" s="230" t="s">
        <v>4235</v>
      </c>
      <c r="I581" s="230" t="s">
        <v>588</v>
      </c>
      <c r="J581" s="230" t="s">
        <v>3271</v>
      </c>
      <c r="K581" s="230" t="s">
        <v>4236</v>
      </c>
      <c r="L581" s="230" t="s">
        <v>1785</v>
      </c>
      <c r="M581" s="230" t="s">
        <v>4237</v>
      </c>
      <c r="N581" s="230" t="s">
        <v>615</v>
      </c>
      <c r="O581" s="158"/>
      <c r="P581" s="92"/>
      <c r="Q581" s="146"/>
      <c r="R581" s="92"/>
      <c r="S581" s="146"/>
      <c r="T581" s="92"/>
      <c r="U581" s="146"/>
      <c r="V581" s="92"/>
      <c r="W581" s="146"/>
      <c r="X581" s="92"/>
      <c r="Y581" s="146"/>
      <c r="Z581" s="186" t="str">
        <f t="shared" si="40"/>
        <v/>
      </c>
      <c r="AA581" s="217" t="b">
        <f t="shared" si="39"/>
        <v>0</v>
      </c>
      <c r="AB581" s="92"/>
      <c r="AC581" s="164" t="s">
        <v>6</v>
      </c>
      <c r="AD581" s="151" t="str">
        <f t="shared" si="37"/>
        <v>GUARULHOS</v>
      </c>
      <c r="AE581" s="96" t="s">
        <v>63</v>
      </c>
      <c r="AF581" s="53">
        <v>0.78894117552091769</v>
      </c>
      <c r="AG581" s="53" t="str" cm="1">
        <f t="array" ref="AG581">IF(OR(O581&lt;&gt;"", SUMPRODUCT(($AH$2:$AH$4999=AH581)*($AF$2:$AF$4999&lt;=AF581)) &lt;= (COUNTIF($AH$2:$AH$4999,AH581)*0.3)), "SORTEADO", "-")</f>
        <v>-</v>
      </c>
      <c r="AH581" s="257" t="str">
        <f t="shared" si="38"/>
        <v>22/04/2026</v>
      </c>
    </row>
    <row r="582" spans="1:34" ht="30" hidden="1" customHeight="1" x14ac:dyDescent="0.2">
      <c r="A582" s="242" t="s">
        <v>197</v>
      </c>
      <c r="B582" s="242">
        <v>2616904610</v>
      </c>
      <c r="C582" s="242" t="s">
        <v>135</v>
      </c>
      <c r="D582" s="242" t="s">
        <v>124</v>
      </c>
      <c r="E582" s="242" t="s">
        <v>198</v>
      </c>
      <c r="F582" s="242" t="s">
        <v>4019</v>
      </c>
      <c r="G582" s="242">
        <v>759</v>
      </c>
      <c r="H582" s="242"/>
      <c r="I582" s="242" t="s">
        <v>368</v>
      </c>
      <c r="J582" s="242" t="s">
        <v>3280</v>
      </c>
      <c r="K582" s="242" t="s">
        <v>4238</v>
      </c>
      <c r="L582" s="242" t="s">
        <v>1785</v>
      </c>
      <c r="M582" s="242" t="s">
        <v>4239</v>
      </c>
      <c r="N582" s="242" t="s">
        <v>209</v>
      </c>
      <c r="O582" s="158"/>
      <c r="P582" s="92"/>
      <c r="Q582" s="146"/>
      <c r="R582" s="92"/>
      <c r="S582" s="146"/>
      <c r="T582" s="92"/>
      <c r="U582" s="146"/>
      <c r="V582" s="92"/>
      <c r="W582" s="146"/>
      <c r="X582" s="92"/>
      <c r="Y582" s="146"/>
      <c r="Z582" s="186" t="str">
        <f t="shared" si="40"/>
        <v/>
      </c>
      <c r="AA582" s="217" t="b">
        <f t="shared" si="39"/>
        <v>0</v>
      </c>
      <c r="AB582" s="92"/>
      <c r="AC582" s="164" t="s">
        <v>6</v>
      </c>
      <c r="AD582" s="151" t="str">
        <f t="shared" si="37"/>
        <v>GUARULHOS</v>
      </c>
      <c r="AE582" s="96" t="s">
        <v>63</v>
      </c>
      <c r="AF582" s="53">
        <v>0.74506011174701336</v>
      </c>
      <c r="AG582" s="53" t="str" cm="1">
        <f t="array" ref="AG582">IF(OR(O582&lt;&gt;"", SUMPRODUCT(($AH$2:$AH$4999=AH582)*($AF$2:$AF$4999&lt;=AF582)) &lt;= (COUNTIF($AH$2:$AH$4999,AH582)*0.3)), "SORTEADO", "-")</f>
        <v>-</v>
      </c>
      <c r="AH582" s="257" t="str">
        <f t="shared" si="38"/>
        <v>22/04/2026</v>
      </c>
    </row>
    <row r="583" spans="1:34" ht="30" hidden="1" customHeight="1" x14ac:dyDescent="0.2">
      <c r="A583" s="230" t="s">
        <v>197</v>
      </c>
      <c r="B583" s="230">
        <v>2691361381</v>
      </c>
      <c r="C583" s="230" t="s">
        <v>127</v>
      </c>
      <c r="D583" s="230" t="s">
        <v>63</v>
      </c>
      <c r="E583" s="230" t="s">
        <v>198</v>
      </c>
      <c r="F583" s="230" t="s">
        <v>4240</v>
      </c>
      <c r="G583" s="230">
        <v>407</v>
      </c>
      <c r="H583" s="230" t="s">
        <v>4241</v>
      </c>
      <c r="I583" s="230" t="s">
        <v>466</v>
      </c>
      <c r="J583" s="230" t="s">
        <v>3275</v>
      </c>
      <c r="K583" s="230"/>
      <c r="L583" s="230" t="s">
        <v>1888</v>
      </c>
      <c r="M583" s="230" t="s">
        <v>1896</v>
      </c>
      <c r="N583" s="230" t="s">
        <v>3296</v>
      </c>
      <c r="O583" s="158"/>
      <c r="P583" s="92"/>
      <c r="Q583" s="146"/>
      <c r="R583" s="92"/>
      <c r="S583" s="146"/>
      <c r="T583" s="92"/>
      <c r="U583" s="146"/>
      <c r="V583" s="92"/>
      <c r="W583" s="146"/>
      <c r="X583" s="92"/>
      <c r="Y583" s="146"/>
      <c r="Z583" s="186" t="str">
        <f t="shared" si="40"/>
        <v/>
      </c>
      <c r="AA583" s="217" t="b">
        <f t="shared" si="39"/>
        <v>0</v>
      </c>
      <c r="AB583" s="92"/>
      <c r="AC583" s="164" t="s">
        <v>6</v>
      </c>
      <c r="AD583" s="151" t="str">
        <f t="shared" si="37"/>
        <v>GUARULHOS</v>
      </c>
      <c r="AE583" s="96" t="s">
        <v>63</v>
      </c>
      <c r="AF583" s="53">
        <v>0.87877068028963023</v>
      </c>
      <c r="AG583" s="53" t="str" cm="1">
        <f t="array" ref="AG583">IF(OR(O583&lt;&gt;"", SUMPRODUCT(($AH$2:$AH$4999=AH583)*($AF$2:$AF$4999&lt;=AF583)) &lt;= (COUNTIF($AH$2:$AH$4999,AH583)*0.3)), "SORTEADO", "-")</f>
        <v>-</v>
      </c>
      <c r="AH583" s="257" t="str">
        <f t="shared" si="38"/>
        <v>24/04/2026</v>
      </c>
    </row>
    <row r="584" spans="1:34" ht="30" customHeight="1" x14ac:dyDescent="0.2">
      <c r="A584" s="230" t="s">
        <v>197</v>
      </c>
      <c r="B584" s="230">
        <v>2617168616</v>
      </c>
      <c r="C584" s="230" t="s">
        <v>127</v>
      </c>
      <c r="D584" s="230" t="s">
        <v>63</v>
      </c>
      <c r="E584" s="230" t="s">
        <v>198</v>
      </c>
      <c r="F584" s="230" t="s">
        <v>4242</v>
      </c>
      <c r="G584" s="230">
        <v>260</v>
      </c>
      <c r="H584" s="230"/>
      <c r="I584" s="230" t="s">
        <v>708</v>
      </c>
      <c r="J584" s="230" t="s">
        <v>3275</v>
      </c>
      <c r="K584" s="230"/>
      <c r="L584" s="230" t="s">
        <v>1888</v>
      </c>
      <c r="M584" s="230" t="s">
        <v>4243</v>
      </c>
      <c r="N584" s="230" t="s">
        <v>3282</v>
      </c>
      <c r="O584" s="158" t="s">
        <v>204</v>
      </c>
      <c r="P584" s="92"/>
      <c r="Q584" s="146" t="s">
        <v>204</v>
      </c>
      <c r="R584" s="92"/>
      <c r="S584" s="146" t="s">
        <v>204</v>
      </c>
      <c r="T584" s="92"/>
      <c r="U584" s="146" t="s">
        <v>204</v>
      </c>
      <c r="V584" s="92"/>
      <c r="W584" s="146" t="s">
        <v>204</v>
      </c>
      <c r="X584" s="92"/>
      <c r="Y584" s="146" t="s">
        <v>204</v>
      </c>
      <c r="Z584" s="186" t="str">
        <f t="shared" si="40"/>
        <v>C</v>
      </c>
      <c r="AA584" s="217" t="str">
        <f t="shared" si="39"/>
        <v>UTILIZOU O PDA CORRETAMENTE</v>
      </c>
      <c r="AB584" s="92" t="s">
        <v>204</v>
      </c>
      <c r="AC584" s="164" t="s">
        <v>6</v>
      </c>
      <c r="AD584" s="151" t="str">
        <f t="shared" si="37"/>
        <v>GUARULHOS</v>
      </c>
      <c r="AE584" s="96" t="s">
        <v>63</v>
      </c>
      <c r="AF584" s="53">
        <v>0.1234056600664207</v>
      </c>
      <c r="AG584" s="53" t="str" cm="1">
        <f t="array" ref="AG584">IF(OR(O584&lt;&gt;"", SUMPRODUCT(($AH$2:$AH$4999=AH584)*($AF$2:$AF$4999&lt;=AF584)) &lt;= (COUNTIF($AH$2:$AH$4999,AH584)*0.3)), "SORTEADO", "-")</f>
        <v>SORTEADO</v>
      </c>
      <c r="AH584" s="257" t="str">
        <f t="shared" si="38"/>
        <v>24/04/2026</v>
      </c>
    </row>
    <row r="585" spans="1:34" ht="30" hidden="1" customHeight="1" x14ac:dyDescent="0.2">
      <c r="A585" s="230" t="s">
        <v>197</v>
      </c>
      <c r="B585" s="230">
        <v>2691357693</v>
      </c>
      <c r="C585" s="230" t="s">
        <v>127</v>
      </c>
      <c r="D585" s="230" t="s">
        <v>63</v>
      </c>
      <c r="E585" s="230" t="s">
        <v>198</v>
      </c>
      <c r="F585" s="230" t="s">
        <v>4244</v>
      </c>
      <c r="G585" s="230">
        <v>38</v>
      </c>
      <c r="H585" s="230"/>
      <c r="I585" s="230" t="s">
        <v>335</v>
      </c>
      <c r="J585" s="230" t="s">
        <v>3275</v>
      </c>
      <c r="K585" s="230"/>
      <c r="L585" s="230" t="s">
        <v>1888</v>
      </c>
      <c r="M585" s="230" t="s">
        <v>4245</v>
      </c>
      <c r="N585" s="230" t="s">
        <v>3276</v>
      </c>
      <c r="O585" s="158"/>
      <c r="P585" s="92"/>
      <c r="Q585" s="146"/>
      <c r="R585" s="92"/>
      <c r="S585" s="146"/>
      <c r="T585" s="92"/>
      <c r="U585" s="146"/>
      <c r="V585" s="92"/>
      <c r="W585" s="146"/>
      <c r="X585" s="92"/>
      <c r="Y585" s="146"/>
      <c r="Z585" s="186" t="str">
        <f t="shared" si="40"/>
        <v/>
      </c>
      <c r="AA585" s="217" t="b">
        <f t="shared" si="39"/>
        <v>0</v>
      </c>
      <c r="AB585" s="92"/>
      <c r="AC585" s="164" t="s">
        <v>6</v>
      </c>
      <c r="AD585" s="151" t="str">
        <f t="shared" si="37"/>
        <v>GUARULHOS</v>
      </c>
      <c r="AE585" s="96" t="s">
        <v>63</v>
      </c>
      <c r="AF585" s="53">
        <v>0.44101893391844132</v>
      </c>
      <c r="AG585" s="53" t="str" cm="1">
        <f t="array" ref="AG585">IF(OR(O585&lt;&gt;"", SUMPRODUCT(($AH$2:$AH$4999=AH585)*($AF$2:$AF$4999&lt;=AF585)) &lt;= (COUNTIF($AH$2:$AH$4999,AH585)*0.3)), "SORTEADO", "-")</f>
        <v>-</v>
      </c>
      <c r="AH585" s="257" t="str">
        <f t="shared" si="38"/>
        <v>24/04/2026</v>
      </c>
    </row>
    <row r="586" spans="1:34" ht="30" hidden="1" customHeight="1" x14ac:dyDescent="0.2">
      <c r="A586" s="230" t="s">
        <v>197</v>
      </c>
      <c r="B586" s="230">
        <v>2691372429</v>
      </c>
      <c r="C586" s="230" t="s">
        <v>127</v>
      </c>
      <c r="D586" s="230" t="s">
        <v>63</v>
      </c>
      <c r="E586" s="230" t="s">
        <v>198</v>
      </c>
      <c r="F586" s="230" t="s">
        <v>1298</v>
      </c>
      <c r="G586" s="230">
        <v>30</v>
      </c>
      <c r="H586" s="230" t="s">
        <v>1299</v>
      </c>
      <c r="I586" s="230" t="s">
        <v>1300</v>
      </c>
      <c r="J586" s="230" t="s">
        <v>3275</v>
      </c>
      <c r="K586" s="230" t="s">
        <v>213</v>
      </c>
      <c r="L586" s="230" t="s">
        <v>1888</v>
      </c>
      <c r="M586" s="230" t="s">
        <v>1899</v>
      </c>
      <c r="N586" s="230" t="s">
        <v>294</v>
      </c>
      <c r="O586" s="158"/>
      <c r="P586" s="92"/>
      <c r="Q586" s="146"/>
      <c r="R586" s="92"/>
      <c r="S586" s="146"/>
      <c r="T586" s="92"/>
      <c r="U586" s="146"/>
      <c r="V586" s="92"/>
      <c r="W586" s="146"/>
      <c r="X586" s="92"/>
      <c r="Y586" s="146"/>
      <c r="Z586" s="186" t="str">
        <f t="shared" si="40"/>
        <v/>
      </c>
      <c r="AA586" s="217" t="b">
        <f t="shared" si="39"/>
        <v>0</v>
      </c>
      <c r="AB586" s="92"/>
      <c r="AC586" s="164" t="s">
        <v>6</v>
      </c>
      <c r="AD586" s="151" t="str">
        <f t="shared" si="37"/>
        <v>GUARULHOS</v>
      </c>
      <c r="AE586" s="96" t="s">
        <v>63</v>
      </c>
      <c r="AF586" s="53">
        <v>0.95295993536616574</v>
      </c>
      <c r="AG586" s="53" t="str" cm="1">
        <f t="array" ref="AG586">IF(OR(O586&lt;&gt;"", SUMPRODUCT(($AH$2:$AH$4999=AH586)*($AF$2:$AF$4999&lt;=AF586)) &lt;= (COUNTIF($AH$2:$AH$4999,AH586)*0.3)), "SORTEADO", "-")</f>
        <v>-</v>
      </c>
      <c r="AH586" s="257" t="str">
        <f t="shared" si="38"/>
        <v>24/04/2026</v>
      </c>
    </row>
    <row r="587" spans="1:34" ht="30" customHeight="1" x14ac:dyDescent="0.2">
      <c r="A587" s="230" t="s">
        <v>197</v>
      </c>
      <c r="B587" s="230">
        <v>2691369117</v>
      </c>
      <c r="C587" s="230" t="s">
        <v>127</v>
      </c>
      <c r="D587" s="230" t="s">
        <v>63</v>
      </c>
      <c r="E587" s="230" t="s">
        <v>198</v>
      </c>
      <c r="F587" s="230" t="s">
        <v>2320</v>
      </c>
      <c r="G587" s="230">
        <v>98</v>
      </c>
      <c r="H587" s="230" t="s">
        <v>4246</v>
      </c>
      <c r="I587" s="230" t="s">
        <v>335</v>
      </c>
      <c r="J587" s="230" t="s">
        <v>3275</v>
      </c>
      <c r="K587" s="230"/>
      <c r="L587" s="230" t="s">
        <v>1888</v>
      </c>
      <c r="M587" s="230" t="s">
        <v>4247</v>
      </c>
      <c r="N587" s="230" t="s">
        <v>3276</v>
      </c>
      <c r="O587" s="158" t="s">
        <v>204</v>
      </c>
      <c r="P587" s="92"/>
      <c r="Q587" s="146" t="s">
        <v>204</v>
      </c>
      <c r="R587" s="92"/>
      <c r="S587" s="146" t="s">
        <v>204</v>
      </c>
      <c r="T587" s="92"/>
      <c r="U587" s="146" t="s">
        <v>204</v>
      </c>
      <c r="V587" s="92"/>
      <c r="W587" s="146" t="s">
        <v>204</v>
      </c>
      <c r="X587" s="92"/>
      <c r="Y587" s="146" t="s">
        <v>204</v>
      </c>
      <c r="Z587" s="186" t="str">
        <f t="shared" si="40"/>
        <v>C</v>
      </c>
      <c r="AA587" s="217" t="str">
        <f t="shared" si="39"/>
        <v>UTILIZOU O PDA CORRETAMENTE</v>
      </c>
      <c r="AB587" s="92" t="s">
        <v>204</v>
      </c>
      <c r="AC587" s="164" t="s">
        <v>6</v>
      </c>
      <c r="AD587" s="151" t="str">
        <f t="shared" si="37"/>
        <v>GUARULHOS</v>
      </c>
      <c r="AE587" s="96" t="s">
        <v>63</v>
      </c>
      <c r="AF587" s="53">
        <v>0.18673556047138873</v>
      </c>
      <c r="AG587" s="53" t="str" cm="1">
        <f t="array" ref="AG587">IF(OR(O587&lt;&gt;"", SUMPRODUCT(($AH$2:$AH$4999=AH587)*($AF$2:$AF$4999&lt;=AF587)) &lt;= (COUNTIF($AH$2:$AH$4999,AH587)*0.3)), "SORTEADO", "-")</f>
        <v>SORTEADO</v>
      </c>
      <c r="AH587" s="257" t="str">
        <f t="shared" si="38"/>
        <v>24/04/2026</v>
      </c>
    </row>
    <row r="588" spans="1:34" ht="30" hidden="1" customHeight="1" x14ac:dyDescent="0.2">
      <c r="A588" s="230" t="s">
        <v>197</v>
      </c>
      <c r="B588" s="230">
        <v>2691371222</v>
      </c>
      <c r="C588" s="230" t="s">
        <v>127</v>
      </c>
      <c r="D588" s="230" t="s">
        <v>63</v>
      </c>
      <c r="E588" s="230" t="s">
        <v>198</v>
      </c>
      <c r="F588" s="230" t="s">
        <v>4248</v>
      </c>
      <c r="G588" s="230">
        <v>12</v>
      </c>
      <c r="H588" s="230" t="s">
        <v>2179</v>
      </c>
      <c r="I588" s="230" t="s">
        <v>4249</v>
      </c>
      <c r="J588" s="230" t="s">
        <v>3275</v>
      </c>
      <c r="K588" s="230"/>
      <c r="L588" s="230" t="s">
        <v>1888</v>
      </c>
      <c r="M588" s="230" t="s">
        <v>2034</v>
      </c>
      <c r="N588" s="230" t="s">
        <v>294</v>
      </c>
      <c r="O588" s="158"/>
      <c r="P588" s="92"/>
      <c r="Q588" s="146"/>
      <c r="R588" s="92"/>
      <c r="S588" s="146"/>
      <c r="T588" s="92"/>
      <c r="U588" s="146"/>
      <c r="V588" s="92"/>
      <c r="W588" s="146"/>
      <c r="X588" s="92"/>
      <c r="Y588" s="146"/>
      <c r="Z588" s="186" t="str">
        <f t="shared" si="40"/>
        <v/>
      </c>
      <c r="AA588" s="217" t="b">
        <f t="shared" si="39"/>
        <v>0</v>
      </c>
      <c r="AB588" s="92"/>
      <c r="AC588" s="164" t="s">
        <v>6</v>
      </c>
      <c r="AD588" s="151" t="str">
        <f t="shared" si="37"/>
        <v>GUARULHOS</v>
      </c>
      <c r="AE588" s="96" t="s">
        <v>63</v>
      </c>
      <c r="AF588" s="53">
        <v>0.51798624991676079</v>
      </c>
      <c r="AG588" s="53" t="str" cm="1">
        <f t="array" ref="AG588">IF(OR(O588&lt;&gt;"", SUMPRODUCT(($AH$2:$AH$4999=AH588)*($AF$2:$AF$4999&lt;=AF588)) &lt;= (COUNTIF($AH$2:$AH$4999,AH588)*0.3)), "SORTEADO", "-")</f>
        <v>-</v>
      </c>
      <c r="AH588" s="257" t="str">
        <f t="shared" si="38"/>
        <v>24/04/2026</v>
      </c>
    </row>
    <row r="589" spans="1:34" ht="30" hidden="1" customHeight="1" x14ac:dyDescent="0.2">
      <c r="A589" s="230" t="s">
        <v>197</v>
      </c>
      <c r="B589" s="230">
        <v>2691352754</v>
      </c>
      <c r="C589" s="230" t="s">
        <v>127</v>
      </c>
      <c r="D589" s="230" t="s">
        <v>63</v>
      </c>
      <c r="E589" s="230" t="s">
        <v>198</v>
      </c>
      <c r="F589" s="230" t="s">
        <v>3041</v>
      </c>
      <c r="G589" s="230">
        <v>89</v>
      </c>
      <c r="H589" s="230" t="s">
        <v>827</v>
      </c>
      <c r="I589" s="230" t="s">
        <v>356</v>
      </c>
      <c r="J589" s="230" t="s">
        <v>3271</v>
      </c>
      <c r="K589" s="230"/>
      <c r="L589" s="230" t="s">
        <v>1888</v>
      </c>
      <c r="M589" s="230" t="s">
        <v>4250</v>
      </c>
      <c r="N589" s="230" t="s">
        <v>1099</v>
      </c>
      <c r="O589" s="158"/>
      <c r="P589" s="92"/>
      <c r="Q589" s="146"/>
      <c r="R589" s="92"/>
      <c r="S589" s="146"/>
      <c r="T589" s="92"/>
      <c r="U589" s="146"/>
      <c r="V589" s="92"/>
      <c r="W589" s="146"/>
      <c r="X589" s="92"/>
      <c r="Y589" s="146"/>
      <c r="Z589" s="186" t="str">
        <f t="shared" si="40"/>
        <v/>
      </c>
      <c r="AA589" s="217" t="b">
        <f t="shared" si="39"/>
        <v>0</v>
      </c>
      <c r="AB589" s="92"/>
      <c r="AC589" s="164" t="s">
        <v>6</v>
      </c>
      <c r="AD589" s="151" t="str">
        <f t="shared" si="37"/>
        <v>GUARULHOS</v>
      </c>
      <c r="AE589" s="96" t="s">
        <v>63</v>
      </c>
      <c r="AF589" s="53">
        <v>0.70272999091845079</v>
      </c>
      <c r="AG589" s="53" t="str" cm="1">
        <f t="array" ref="AG589">IF(OR(O589&lt;&gt;"", SUMPRODUCT(($AH$2:$AH$4999=AH589)*($AF$2:$AF$4999&lt;=AF589)) &lt;= (COUNTIF($AH$2:$AH$4999,AH589)*0.3)), "SORTEADO", "-")</f>
        <v>-</v>
      </c>
      <c r="AH589" s="257" t="str">
        <f t="shared" si="38"/>
        <v>24/04/2026</v>
      </c>
    </row>
    <row r="590" spans="1:34" ht="30" hidden="1" customHeight="1" x14ac:dyDescent="0.2">
      <c r="A590" s="230" t="s">
        <v>197</v>
      </c>
      <c r="B590" s="230">
        <v>2617160473</v>
      </c>
      <c r="C590" s="230" t="s">
        <v>127</v>
      </c>
      <c r="D590" s="230" t="s">
        <v>63</v>
      </c>
      <c r="E590" s="230" t="s">
        <v>198</v>
      </c>
      <c r="F590" s="230" t="s">
        <v>1632</v>
      </c>
      <c r="G590" s="230">
        <v>630</v>
      </c>
      <c r="H590" s="230" t="s">
        <v>4251</v>
      </c>
      <c r="I590" s="230" t="s">
        <v>1587</v>
      </c>
      <c r="J590" s="230" t="s">
        <v>3273</v>
      </c>
      <c r="K590" s="230" t="s">
        <v>213</v>
      </c>
      <c r="L590" s="230" t="s">
        <v>1888</v>
      </c>
      <c r="M590" s="230" t="s">
        <v>4252</v>
      </c>
      <c r="N590" s="230" t="s">
        <v>1099</v>
      </c>
      <c r="O590" s="158"/>
      <c r="P590" s="92"/>
      <c r="Q590" s="146"/>
      <c r="R590" s="92"/>
      <c r="S590" s="146"/>
      <c r="T590" s="92"/>
      <c r="U590" s="146"/>
      <c r="V590" s="92"/>
      <c r="W590" s="146"/>
      <c r="X590" s="92"/>
      <c r="Y590" s="146"/>
      <c r="Z590" s="186" t="str">
        <f t="shared" si="40"/>
        <v/>
      </c>
      <c r="AA590" s="217" t="b">
        <f t="shared" si="39"/>
        <v>0</v>
      </c>
      <c r="AB590" s="92"/>
      <c r="AC590" s="164" t="s">
        <v>6</v>
      </c>
      <c r="AD590" s="151" t="str">
        <f t="shared" si="37"/>
        <v>GUARULHOS</v>
      </c>
      <c r="AE590" s="96" t="s">
        <v>63</v>
      </c>
      <c r="AF590" s="53">
        <v>0.65236428496934618</v>
      </c>
      <c r="AG590" s="53" t="str" cm="1">
        <f t="array" ref="AG590">IF(OR(O590&lt;&gt;"", SUMPRODUCT(($AH$2:$AH$4999=AH590)*($AF$2:$AF$4999&lt;=AF590)) &lt;= (COUNTIF($AH$2:$AH$4999,AH590)*0.3)), "SORTEADO", "-")</f>
        <v>-</v>
      </c>
      <c r="AH590" s="257" t="str">
        <f t="shared" si="38"/>
        <v>24/04/2026</v>
      </c>
    </row>
    <row r="591" spans="1:34" ht="30" hidden="1" customHeight="1" x14ac:dyDescent="0.2">
      <c r="A591" s="230" t="s">
        <v>197</v>
      </c>
      <c r="B591" s="230">
        <v>2617119339</v>
      </c>
      <c r="C591" s="230" t="s">
        <v>135</v>
      </c>
      <c r="D591" s="230" t="s">
        <v>124</v>
      </c>
      <c r="E591" s="230" t="s">
        <v>198</v>
      </c>
      <c r="F591" s="230" t="s">
        <v>4253</v>
      </c>
      <c r="G591" s="230">
        <v>340</v>
      </c>
      <c r="H591" s="230" t="s">
        <v>4254</v>
      </c>
      <c r="I591" s="230" t="s">
        <v>4255</v>
      </c>
      <c r="J591" s="230" t="s">
        <v>3280</v>
      </c>
      <c r="K591" s="237" t="s">
        <v>4256</v>
      </c>
      <c r="L591" s="230" t="s">
        <v>1888</v>
      </c>
      <c r="M591" s="230" t="s">
        <v>4257</v>
      </c>
      <c r="N591" s="230" t="s">
        <v>203</v>
      </c>
      <c r="O591" s="158"/>
      <c r="P591" s="92"/>
      <c r="Q591" s="146"/>
      <c r="R591" s="92"/>
      <c r="S591" s="146"/>
      <c r="T591" s="92"/>
      <c r="U591" s="146"/>
      <c r="V591" s="92"/>
      <c r="W591" s="146"/>
      <c r="X591" s="92"/>
      <c r="Y591" s="146"/>
      <c r="Z591" s="186" t="str">
        <f t="shared" si="40"/>
        <v/>
      </c>
      <c r="AA591" s="217" t="b">
        <f t="shared" si="39"/>
        <v>0</v>
      </c>
      <c r="AB591" s="92"/>
      <c r="AC591" s="164" t="s">
        <v>6</v>
      </c>
      <c r="AD591" s="151" t="str">
        <f t="shared" si="37"/>
        <v>GUARULHOS</v>
      </c>
      <c r="AE591" s="96" t="s">
        <v>63</v>
      </c>
      <c r="AF591" s="53">
        <v>0.9467329456543031</v>
      </c>
      <c r="AG591" s="53" t="str" cm="1">
        <f t="array" ref="AG591">IF(OR(O591&lt;&gt;"", SUMPRODUCT(($AH$2:$AH$4999=AH591)*($AF$2:$AF$4999&lt;=AF591)) &lt;= (COUNTIF($AH$2:$AH$4999,AH591)*0.3)), "SORTEADO", "-")</f>
        <v>-</v>
      </c>
      <c r="AH591" s="257" t="str">
        <f t="shared" si="38"/>
        <v>24/04/2026</v>
      </c>
    </row>
    <row r="592" spans="1:34" ht="30" hidden="1" customHeight="1" x14ac:dyDescent="0.2">
      <c r="A592" s="230" t="s">
        <v>197</v>
      </c>
      <c r="B592" s="230">
        <v>2617151856</v>
      </c>
      <c r="C592" s="230" t="s">
        <v>135</v>
      </c>
      <c r="D592" s="230" t="s">
        <v>124</v>
      </c>
      <c r="E592" s="230" t="s">
        <v>198</v>
      </c>
      <c r="F592" s="230" t="s">
        <v>4258</v>
      </c>
      <c r="G592" s="230">
        <v>102</v>
      </c>
      <c r="H592" s="230" t="s">
        <v>3515</v>
      </c>
      <c r="I592" s="230" t="s">
        <v>1750</v>
      </c>
      <c r="J592" s="230" t="s">
        <v>3280</v>
      </c>
      <c r="K592" s="230" t="s">
        <v>213</v>
      </c>
      <c r="L592" s="230" t="s">
        <v>1888</v>
      </c>
      <c r="M592" s="230" t="s">
        <v>4259</v>
      </c>
      <c r="N592" s="230" t="s">
        <v>203</v>
      </c>
      <c r="O592" s="158"/>
      <c r="P592" s="92"/>
      <c r="Q592" s="146"/>
      <c r="R592" s="92"/>
      <c r="S592" s="146"/>
      <c r="T592" s="92"/>
      <c r="U592" s="146"/>
      <c r="V592" s="92"/>
      <c r="W592" s="146"/>
      <c r="X592" s="92"/>
      <c r="Y592" s="146"/>
      <c r="Z592" s="186" t="str">
        <f t="shared" si="40"/>
        <v/>
      </c>
      <c r="AA592" s="217" t="b">
        <f t="shared" si="39"/>
        <v>0</v>
      </c>
      <c r="AB592" s="92"/>
      <c r="AC592" s="164" t="s">
        <v>6</v>
      </c>
      <c r="AD592" s="151" t="str">
        <f t="shared" si="37"/>
        <v>GUARULHOS</v>
      </c>
      <c r="AE592" s="96" t="s">
        <v>63</v>
      </c>
      <c r="AF592" s="53">
        <v>0.89487089004670617</v>
      </c>
      <c r="AG592" s="53" t="str" cm="1">
        <f t="array" ref="AG592">IF(OR(O592&lt;&gt;"", SUMPRODUCT(($AH$2:$AH$4999=AH592)*($AF$2:$AF$4999&lt;=AF592)) &lt;= (COUNTIF($AH$2:$AH$4999,AH592)*0.3)), "SORTEADO", "-")</f>
        <v>-</v>
      </c>
      <c r="AH592" s="257" t="str">
        <f t="shared" si="38"/>
        <v>24/04/2026</v>
      </c>
    </row>
    <row r="593" spans="1:34" ht="30" customHeight="1" x14ac:dyDescent="0.2">
      <c r="A593" s="230" t="s">
        <v>197</v>
      </c>
      <c r="B593" s="230">
        <v>2613172888</v>
      </c>
      <c r="C593" s="230" t="s">
        <v>134</v>
      </c>
      <c r="D593" s="230" t="s">
        <v>124</v>
      </c>
      <c r="E593" s="230" t="s">
        <v>198</v>
      </c>
      <c r="F593" s="230" t="s">
        <v>4260</v>
      </c>
      <c r="G593" s="230">
        <v>464</v>
      </c>
      <c r="H593" s="230" t="s">
        <v>4261</v>
      </c>
      <c r="I593" s="230" t="s">
        <v>4262</v>
      </c>
      <c r="J593" s="230" t="s">
        <v>3285</v>
      </c>
      <c r="K593" s="230"/>
      <c r="L593" s="230" t="s">
        <v>1888</v>
      </c>
      <c r="M593" s="230" t="s">
        <v>2003</v>
      </c>
      <c r="N593" s="230" t="s">
        <v>209</v>
      </c>
      <c r="O593" s="158" t="s">
        <v>204</v>
      </c>
      <c r="P593" s="92"/>
      <c r="Q593" s="146" t="s">
        <v>204</v>
      </c>
      <c r="R593" s="92"/>
      <c r="S593" s="146" t="s">
        <v>204</v>
      </c>
      <c r="T593" s="92"/>
      <c r="U593" s="146" t="s">
        <v>204</v>
      </c>
      <c r="V593" s="92"/>
      <c r="W593" s="146" t="s">
        <v>204</v>
      </c>
      <c r="X593" s="92"/>
      <c r="Y593" s="146" t="s">
        <v>204</v>
      </c>
      <c r="Z593" s="186" t="str">
        <f t="shared" si="40"/>
        <v>C</v>
      </c>
      <c r="AA593" s="217" t="str">
        <f t="shared" si="39"/>
        <v>UTILIZOU O PDA CORRETAMENTE</v>
      </c>
      <c r="AB593" s="92" t="s">
        <v>204</v>
      </c>
      <c r="AC593" s="164" t="s">
        <v>6</v>
      </c>
      <c r="AD593" s="151" t="str">
        <f t="shared" si="37"/>
        <v>GUARULHOS</v>
      </c>
      <c r="AE593" s="96" t="s">
        <v>63</v>
      </c>
      <c r="AF593" s="53">
        <v>0.19613056441309967</v>
      </c>
      <c r="AG593" s="53" t="str" cm="1">
        <f t="array" ref="AG593">IF(OR(O593&lt;&gt;"", SUMPRODUCT(($AH$2:$AH$4999=AH593)*($AF$2:$AF$4999&lt;=AF593)) &lt;= (COUNTIF($AH$2:$AH$4999,AH593)*0.3)), "SORTEADO", "-")</f>
        <v>SORTEADO</v>
      </c>
      <c r="AH593" s="257" t="str">
        <f t="shared" si="38"/>
        <v>24/04/2026</v>
      </c>
    </row>
    <row r="594" spans="1:34" ht="30" customHeight="1" x14ac:dyDescent="0.2">
      <c r="A594" s="230" t="s">
        <v>197</v>
      </c>
      <c r="B594" s="230">
        <v>2611631810</v>
      </c>
      <c r="C594" s="230" t="s">
        <v>134</v>
      </c>
      <c r="D594" s="230" t="s">
        <v>124</v>
      </c>
      <c r="E594" s="230" t="s">
        <v>198</v>
      </c>
      <c r="F594" s="230" t="s">
        <v>908</v>
      </c>
      <c r="G594" s="230">
        <v>685</v>
      </c>
      <c r="H594" s="230" t="s">
        <v>246</v>
      </c>
      <c r="I594" s="230" t="s">
        <v>1976</v>
      </c>
      <c r="J594" s="230" t="s">
        <v>3285</v>
      </c>
      <c r="K594" s="230" t="s">
        <v>213</v>
      </c>
      <c r="L594" s="230" t="s">
        <v>1888</v>
      </c>
      <c r="M594" s="230" t="s">
        <v>4263</v>
      </c>
      <c r="N594" s="230" t="s">
        <v>209</v>
      </c>
      <c r="O594" s="158" t="s">
        <v>204</v>
      </c>
      <c r="P594" s="92"/>
      <c r="Q594" s="146" t="s">
        <v>204</v>
      </c>
      <c r="R594" s="92"/>
      <c r="S594" s="146" t="s">
        <v>204</v>
      </c>
      <c r="T594" s="92"/>
      <c r="U594" s="146" t="s">
        <v>204</v>
      </c>
      <c r="V594" s="92"/>
      <c r="W594" s="146" t="s">
        <v>204</v>
      </c>
      <c r="X594" s="92"/>
      <c r="Y594" s="146" t="s">
        <v>204</v>
      </c>
      <c r="Z594" s="186" t="str">
        <f t="shared" si="40"/>
        <v>C</v>
      </c>
      <c r="AA594" s="217" t="str">
        <f t="shared" si="39"/>
        <v>UTILIZOU O PDA CORRETAMENTE</v>
      </c>
      <c r="AB594" s="92" t="s">
        <v>204</v>
      </c>
      <c r="AC594" s="164" t="s">
        <v>6</v>
      </c>
      <c r="AD594" s="151" t="str">
        <f t="shared" si="37"/>
        <v>GUARULHOS</v>
      </c>
      <c r="AE594" s="96" t="s">
        <v>63</v>
      </c>
      <c r="AF594" s="53">
        <v>7.8956607384987013E-2</v>
      </c>
      <c r="AG594" s="53" t="str" cm="1">
        <f t="array" ref="AG594">IF(OR(O594&lt;&gt;"", SUMPRODUCT(($AH$2:$AH$4999=AH594)*($AF$2:$AF$4999&lt;=AF594)) &lt;= (COUNTIF($AH$2:$AH$4999,AH594)*0.3)), "SORTEADO", "-")</f>
        <v>SORTEADO</v>
      </c>
      <c r="AH594" s="257" t="str">
        <f t="shared" si="38"/>
        <v>24/04/2026</v>
      </c>
    </row>
    <row r="595" spans="1:34" ht="30" hidden="1" customHeight="1" x14ac:dyDescent="0.2">
      <c r="A595" s="230" t="s">
        <v>197</v>
      </c>
      <c r="B595" s="230">
        <v>2617175767</v>
      </c>
      <c r="C595" s="230" t="s">
        <v>134</v>
      </c>
      <c r="D595" s="230" t="s">
        <v>124</v>
      </c>
      <c r="E595" s="230" t="s">
        <v>198</v>
      </c>
      <c r="F595" s="230" t="s">
        <v>908</v>
      </c>
      <c r="G595" s="230">
        <v>685</v>
      </c>
      <c r="H595" s="230" t="s">
        <v>1565</v>
      </c>
      <c r="I595" s="230" t="s">
        <v>1976</v>
      </c>
      <c r="J595" s="230" t="s">
        <v>3285</v>
      </c>
      <c r="K595" s="230">
        <v>2611631810</v>
      </c>
      <c r="L595" s="230" t="s">
        <v>1888</v>
      </c>
      <c r="M595" s="230" t="s">
        <v>4264</v>
      </c>
      <c r="N595" s="230" t="s">
        <v>209</v>
      </c>
      <c r="O595" s="158"/>
      <c r="P595" s="92"/>
      <c r="Q595" s="146"/>
      <c r="R595" s="92"/>
      <c r="S595" s="146"/>
      <c r="T595" s="92"/>
      <c r="U595" s="146"/>
      <c r="V595" s="92"/>
      <c r="W595" s="146"/>
      <c r="X595" s="92"/>
      <c r="Y595" s="146"/>
      <c r="Z595" s="186" t="str">
        <f t="shared" si="40"/>
        <v/>
      </c>
      <c r="AA595" s="217" t="b">
        <f t="shared" si="39"/>
        <v>0</v>
      </c>
      <c r="AB595" s="92"/>
      <c r="AC595" s="164" t="s">
        <v>6</v>
      </c>
      <c r="AD595" s="151" t="str">
        <f t="shared" si="37"/>
        <v>GUARULHOS</v>
      </c>
      <c r="AE595" s="96" t="s">
        <v>63</v>
      </c>
      <c r="AF595" s="53">
        <v>0.86301228745106151</v>
      </c>
      <c r="AG595" s="53" t="str" cm="1">
        <f t="array" ref="AG595">IF(OR(O595&lt;&gt;"", SUMPRODUCT(($AH$2:$AH$4999=AH595)*($AF$2:$AF$4999&lt;=AF595)) &lt;= (COUNTIF($AH$2:$AH$4999,AH595)*0.3)), "SORTEADO", "-")</f>
        <v>-</v>
      </c>
      <c r="AH595" s="257" t="str">
        <f t="shared" si="38"/>
        <v>24/04/2026</v>
      </c>
    </row>
    <row r="596" spans="1:34" ht="30" hidden="1" customHeight="1" x14ac:dyDescent="0.2">
      <c r="A596" s="230" t="s">
        <v>197</v>
      </c>
      <c r="B596" s="230">
        <v>2617268884</v>
      </c>
      <c r="C596" s="230" t="s">
        <v>135</v>
      </c>
      <c r="D596" s="230" t="s">
        <v>124</v>
      </c>
      <c r="E596" s="230" t="s">
        <v>198</v>
      </c>
      <c r="F596" s="230" t="s">
        <v>900</v>
      </c>
      <c r="G596" s="230">
        <v>638</v>
      </c>
      <c r="H596" s="230" t="s">
        <v>1565</v>
      </c>
      <c r="I596" s="230" t="s">
        <v>531</v>
      </c>
      <c r="J596" s="230" t="s">
        <v>3280</v>
      </c>
      <c r="K596" s="230" t="s">
        <v>213</v>
      </c>
      <c r="L596" s="230" t="s">
        <v>1888</v>
      </c>
      <c r="M596" s="230" t="s">
        <v>4265</v>
      </c>
      <c r="N596" s="230" t="s">
        <v>819</v>
      </c>
      <c r="O596" s="158"/>
      <c r="P596" s="92"/>
      <c r="Q596" s="146"/>
      <c r="R596" s="92"/>
      <c r="S596" s="146"/>
      <c r="T596" s="92"/>
      <c r="U596" s="146"/>
      <c r="V596" s="92"/>
      <c r="W596" s="146"/>
      <c r="X596" s="92"/>
      <c r="Y596" s="146"/>
      <c r="Z596" s="186" t="str">
        <f t="shared" si="40"/>
        <v/>
      </c>
      <c r="AA596" s="217" t="b">
        <f t="shared" si="39"/>
        <v>0</v>
      </c>
      <c r="AB596" s="92"/>
      <c r="AC596" s="164" t="s">
        <v>6</v>
      </c>
      <c r="AD596" s="151" t="str">
        <f t="shared" si="37"/>
        <v>GUARULHOS</v>
      </c>
      <c r="AE596" s="96" t="s">
        <v>63</v>
      </c>
      <c r="AF596" s="53">
        <v>0.77801578483701472</v>
      </c>
      <c r="AG596" s="53" t="str" cm="1">
        <f t="array" ref="AG596">IF(OR(O596&lt;&gt;"", SUMPRODUCT(($AH$2:$AH$4999=AH596)*($AF$2:$AF$4999&lt;=AF596)) &lt;= (COUNTIF($AH$2:$AH$4999,AH596)*0.3)), "SORTEADO", "-")</f>
        <v>-</v>
      </c>
      <c r="AH596" s="257" t="str">
        <f t="shared" si="38"/>
        <v>24/04/2026</v>
      </c>
    </row>
    <row r="597" spans="1:34" ht="30" customHeight="1" x14ac:dyDescent="0.2">
      <c r="A597" s="230" t="s">
        <v>197</v>
      </c>
      <c r="B597" s="230">
        <v>2691413374</v>
      </c>
      <c r="C597" s="230" t="s">
        <v>127</v>
      </c>
      <c r="D597" s="230" t="s">
        <v>63</v>
      </c>
      <c r="E597" s="230" t="s">
        <v>198</v>
      </c>
      <c r="F597" s="230" t="s">
        <v>352</v>
      </c>
      <c r="G597" s="230">
        <v>170</v>
      </c>
      <c r="H597" s="230" t="s">
        <v>362</v>
      </c>
      <c r="I597" s="230" t="s">
        <v>200</v>
      </c>
      <c r="J597" s="230" t="s">
        <v>3275</v>
      </c>
      <c r="K597" s="230"/>
      <c r="L597" s="230" t="s">
        <v>1888</v>
      </c>
      <c r="M597" s="230" t="s">
        <v>4266</v>
      </c>
      <c r="N597" s="230" t="s">
        <v>3276</v>
      </c>
      <c r="O597" s="158" t="s">
        <v>204</v>
      </c>
      <c r="P597" s="92"/>
      <c r="Q597" s="146" t="s">
        <v>204</v>
      </c>
      <c r="R597" s="92"/>
      <c r="S597" s="146" t="s">
        <v>204</v>
      </c>
      <c r="T597" s="92"/>
      <c r="U597" s="146" t="s">
        <v>204</v>
      </c>
      <c r="V597" s="92"/>
      <c r="W597" s="146" t="s">
        <v>204</v>
      </c>
      <c r="X597" s="92"/>
      <c r="Y597" s="146" t="s">
        <v>204</v>
      </c>
      <c r="Z597" s="186" t="str">
        <f t="shared" si="40"/>
        <v>C</v>
      </c>
      <c r="AA597" s="217" t="str">
        <f t="shared" si="39"/>
        <v>UTILIZOU O PDA CORRETAMENTE</v>
      </c>
      <c r="AB597" s="92" t="s">
        <v>204</v>
      </c>
      <c r="AC597" s="164" t="s">
        <v>6</v>
      </c>
      <c r="AD597" s="151" t="str">
        <f t="shared" si="37"/>
        <v>GUARULHOS</v>
      </c>
      <c r="AE597" s="96" t="s">
        <v>63</v>
      </c>
      <c r="AF597" s="53">
        <v>0.21418557749708658</v>
      </c>
      <c r="AG597" s="53" t="str" cm="1">
        <f t="array" ref="AG597">IF(OR(O597&lt;&gt;"", SUMPRODUCT(($AH$2:$AH$4999=AH597)*($AF$2:$AF$4999&lt;=AF597)) &lt;= (COUNTIF($AH$2:$AH$4999,AH597)*0.3)), "SORTEADO", "-")</f>
        <v>SORTEADO</v>
      </c>
      <c r="AH597" s="257" t="str">
        <f t="shared" si="38"/>
        <v>24/04/2026</v>
      </c>
    </row>
    <row r="598" spans="1:34" ht="30" customHeight="1" x14ac:dyDescent="0.2">
      <c r="A598" s="230" t="s">
        <v>197</v>
      </c>
      <c r="B598" s="230">
        <v>2617148601</v>
      </c>
      <c r="C598" s="230" t="s">
        <v>133</v>
      </c>
      <c r="D598" s="230" t="s">
        <v>124</v>
      </c>
      <c r="E598" s="230" t="s">
        <v>198</v>
      </c>
      <c r="F598" s="230" t="s">
        <v>4267</v>
      </c>
      <c r="G598" s="230">
        <v>14</v>
      </c>
      <c r="H598" s="230" t="s">
        <v>213</v>
      </c>
      <c r="I598" s="230" t="s">
        <v>1445</v>
      </c>
      <c r="J598" s="230" t="s">
        <v>3275</v>
      </c>
      <c r="K598" s="230" t="s">
        <v>213</v>
      </c>
      <c r="L598" s="230" t="s">
        <v>1888</v>
      </c>
      <c r="M598" s="230" t="s">
        <v>4268</v>
      </c>
      <c r="N598" s="230" t="s">
        <v>3338</v>
      </c>
      <c r="O598" s="158" t="s">
        <v>204</v>
      </c>
      <c r="P598" s="92"/>
      <c r="Q598" s="146" t="s">
        <v>204</v>
      </c>
      <c r="R598" s="92"/>
      <c r="S598" s="146" t="s">
        <v>204</v>
      </c>
      <c r="T598" s="92"/>
      <c r="U598" s="146" t="s">
        <v>204</v>
      </c>
      <c r="V598" s="92"/>
      <c r="W598" s="146" t="s">
        <v>204</v>
      </c>
      <c r="X598" s="92"/>
      <c r="Y598" s="146" t="s">
        <v>204</v>
      </c>
      <c r="Z598" s="186" t="str">
        <f t="shared" si="40"/>
        <v>C</v>
      </c>
      <c r="AA598" s="217" t="str">
        <f t="shared" si="39"/>
        <v>UTILIZOU O PDA CORRETAMENTE</v>
      </c>
      <c r="AB598" s="92" t="s">
        <v>204</v>
      </c>
      <c r="AC598" s="164" t="s">
        <v>6</v>
      </c>
      <c r="AD598" s="151" t="str">
        <f t="shared" si="37"/>
        <v>GUARULHOS</v>
      </c>
      <c r="AE598" s="96" t="s">
        <v>63</v>
      </c>
      <c r="AF598" s="53">
        <v>0.11476532120573847</v>
      </c>
      <c r="AG598" s="53" t="str" cm="1">
        <f t="array" ref="AG598">IF(OR(O598&lt;&gt;"", SUMPRODUCT(($AH$2:$AH$4999=AH598)*($AF$2:$AF$4999&lt;=AF598)) &lt;= (COUNTIF($AH$2:$AH$4999,AH598)*0.3)), "SORTEADO", "-")</f>
        <v>SORTEADO</v>
      </c>
      <c r="AH598" s="257" t="str">
        <f t="shared" si="38"/>
        <v>24/04/2026</v>
      </c>
    </row>
    <row r="599" spans="1:34" ht="30" customHeight="1" x14ac:dyDescent="0.2">
      <c r="A599" s="230" t="s">
        <v>197</v>
      </c>
      <c r="B599" s="230">
        <v>2691357296</v>
      </c>
      <c r="C599" s="230" t="s">
        <v>133</v>
      </c>
      <c r="D599" s="230" t="s">
        <v>124</v>
      </c>
      <c r="E599" s="230" t="s">
        <v>198</v>
      </c>
      <c r="F599" s="230" t="s">
        <v>1344</v>
      </c>
      <c r="G599" s="230">
        <v>317</v>
      </c>
      <c r="H599" s="230" t="s">
        <v>276</v>
      </c>
      <c r="I599" s="230" t="s">
        <v>447</v>
      </c>
      <c r="J599" s="230" t="s">
        <v>3275</v>
      </c>
      <c r="K599" s="230" t="s">
        <v>3303</v>
      </c>
      <c r="L599" s="230" t="s">
        <v>1888</v>
      </c>
      <c r="M599" s="230" t="s">
        <v>4269</v>
      </c>
      <c r="N599" s="230" t="s">
        <v>819</v>
      </c>
      <c r="O599" s="158" t="s">
        <v>204</v>
      </c>
      <c r="P599" s="92"/>
      <c r="Q599" s="146" t="s">
        <v>204</v>
      </c>
      <c r="R599" s="92"/>
      <c r="S599" s="146" t="s">
        <v>204</v>
      </c>
      <c r="T599" s="92"/>
      <c r="U599" s="146" t="s">
        <v>204</v>
      </c>
      <c r="V599" s="92"/>
      <c r="W599" s="146" t="s">
        <v>204</v>
      </c>
      <c r="X599" s="92"/>
      <c r="Y599" s="146" t="s">
        <v>204</v>
      </c>
      <c r="Z599" s="186" t="str">
        <f t="shared" si="40"/>
        <v>C</v>
      </c>
      <c r="AA599" s="217" t="str">
        <f t="shared" si="39"/>
        <v>UTILIZOU O PDA CORRETAMENTE</v>
      </c>
      <c r="AB599" s="92" t="s">
        <v>204</v>
      </c>
      <c r="AC599" s="164" t="s">
        <v>6</v>
      </c>
      <c r="AD599" s="151" t="str">
        <f t="shared" si="37"/>
        <v>GUARULHOS</v>
      </c>
      <c r="AE599" s="96" t="s">
        <v>63</v>
      </c>
      <c r="AF599" s="53">
        <v>9.0824182812526452E-2</v>
      </c>
      <c r="AG599" s="53" t="str" cm="1">
        <f t="array" ref="AG599">IF(OR(O599&lt;&gt;"", SUMPRODUCT(($AH$2:$AH$4999=AH599)*($AF$2:$AF$4999&lt;=AF599)) &lt;= (COUNTIF($AH$2:$AH$4999,AH599)*0.3)), "SORTEADO", "-")</f>
        <v>SORTEADO</v>
      </c>
      <c r="AH599" s="257" t="str">
        <f t="shared" si="38"/>
        <v>24/04/2026</v>
      </c>
    </row>
    <row r="600" spans="1:34" ht="30" hidden="1" customHeight="1" x14ac:dyDescent="0.2">
      <c r="A600" s="230" t="s">
        <v>197</v>
      </c>
      <c r="B600" s="230">
        <v>2617158417</v>
      </c>
      <c r="C600" s="230" t="s">
        <v>133</v>
      </c>
      <c r="D600" s="230" t="s">
        <v>124</v>
      </c>
      <c r="E600" s="230" t="s">
        <v>198</v>
      </c>
      <c r="F600" s="230" t="s">
        <v>4270</v>
      </c>
      <c r="G600" s="230">
        <v>251</v>
      </c>
      <c r="H600" s="230" t="s">
        <v>4271</v>
      </c>
      <c r="I600" s="230" t="s">
        <v>1671</v>
      </c>
      <c r="J600" s="230" t="s">
        <v>3275</v>
      </c>
      <c r="K600" s="230" t="s">
        <v>213</v>
      </c>
      <c r="L600" s="230" t="s">
        <v>1888</v>
      </c>
      <c r="M600" s="230" t="s">
        <v>4272</v>
      </c>
      <c r="N600" s="230" t="s">
        <v>3338</v>
      </c>
      <c r="O600" s="158"/>
      <c r="P600" s="92"/>
      <c r="Q600" s="146"/>
      <c r="R600" s="92"/>
      <c r="S600" s="146"/>
      <c r="T600" s="92"/>
      <c r="U600" s="146"/>
      <c r="V600" s="92"/>
      <c r="W600" s="146"/>
      <c r="X600" s="92"/>
      <c r="Y600" s="146"/>
      <c r="Z600" s="186" t="str">
        <f t="shared" si="40"/>
        <v/>
      </c>
      <c r="AA600" s="217" t="b">
        <f t="shared" si="39"/>
        <v>0</v>
      </c>
      <c r="AB600" s="92"/>
      <c r="AC600" s="164" t="s">
        <v>6</v>
      </c>
      <c r="AD600" s="151" t="str">
        <f t="shared" si="37"/>
        <v>GUARULHOS</v>
      </c>
      <c r="AE600" s="96" t="s">
        <v>63</v>
      </c>
      <c r="AF600" s="53">
        <v>0.52085169219867422</v>
      </c>
      <c r="AG600" s="53" t="str" cm="1">
        <f t="array" ref="AG600">IF(OR(O600&lt;&gt;"", SUMPRODUCT(($AH$2:$AH$4999=AH600)*($AF$2:$AF$4999&lt;=AF600)) &lt;= (COUNTIF($AH$2:$AH$4999,AH600)*0.3)), "SORTEADO", "-")</f>
        <v>-</v>
      </c>
      <c r="AH600" s="257" t="str">
        <f t="shared" si="38"/>
        <v>24/04/2026</v>
      </c>
    </row>
    <row r="601" spans="1:34" ht="30" hidden="1" customHeight="1" x14ac:dyDescent="0.2">
      <c r="A601" s="230" t="s">
        <v>197</v>
      </c>
      <c r="B601" s="230">
        <v>2691423623</v>
      </c>
      <c r="C601" s="230" t="s">
        <v>127</v>
      </c>
      <c r="D601" s="230" t="s">
        <v>63</v>
      </c>
      <c r="E601" s="230" t="s">
        <v>198</v>
      </c>
      <c r="F601" s="230" t="s">
        <v>261</v>
      </c>
      <c r="G601" s="230">
        <v>10</v>
      </c>
      <c r="H601" s="230" t="s">
        <v>4273</v>
      </c>
      <c r="I601" s="230" t="s">
        <v>262</v>
      </c>
      <c r="J601" s="230" t="s">
        <v>3271</v>
      </c>
      <c r="K601" s="230" t="s">
        <v>213</v>
      </c>
      <c r="L601" s="230" t="s">
        <v>1888</v>
      </c>
      <c r="M601" s="230" t="s">
        <v>4274</v>
      </c>
      <c r="N601" s="230" t="s">
        <v>1099</v>
      </c>
      <c r="O601" s="158"/>
      <c r="P601" s="92"/>
      <c r="Q601" s="146"/>
      <c r="R601" s="92"/>
      <c r="S601" s="146"/>
      <c r="T601" s="92"/>
      <c r="U601" s="146"/>
      <c r="V601" s="92"/>
      <c r="W601" s="146"/>
      <c r="X601" s="92"/>
      <c r="Y601" s="146"/>
      <c r="Z601" s="186" t="str">
        <f t="shared" si="40"/>
        <v/>
      </c>
      <c r="AA601" s="217" t="b">
        <f t="shared" si="39"/>
        <v>0</v>
      </c>
      <c r="AB601" s="92"/>
      <c r="AC601" s="164" t="s">
        <v>6</v>
      </c>
      <c r="AD601" s="151" t="str">
        <f t="shared" si="37"/>
        <v>GUARULHOS</v>
      </c>
      <c r="AE601" s="96" t="s">
        <v>63</v>
      </c>
      <c r="AF601" s="53">
        <v>0.38924451176258762</v>
      </c>
      <c r="AG601" s="53" t="str" cm="1">
        <f t="array" ref="AG601">IF(OR(O601&lt;&gt;"", SUMPRODUCT(($AH$2:$AH$4999=AH601)*($AF$2:$AF$4999&lt;=AF601)) &lt;= (COUNTIF($AH$2:$AH$4999,AH601)*0.3)), "SORTEADO", "-")</f>
        <v>-</v>
      </c>
      <c r="AH601" s="257" t="str">
        <f t="shared" si="38"/>
        <v>24/04/2026</v>
      </c>
    </row>
    <row r="602" spans="1:34" ht="30" hidden="1" customHeight="1" x14ac:dyDescent="0.2">
      <c r="A602" s="230" t="s">
        <v>197</v>
      </c>
      <c r="B602" s="230">
        <v>2691380145</v>
      </c>
      <c r="C602" s="230" t="s">
        <v>133</v>
      </c>
      <c r="D602" s="230" t="s">
        <v>124</v>
      </c>
      <c r="E602" s="230" t="s">
        <v>198</v>
      </c>
      <c r="F602" s="230" t="s">
        <v>4275</v>
      </c>
      <c r="G602" s="230">
        <v>86</v>
      </c>
      <c r="H602" s="230" t="s">
        <v>1661</v>
      </c>
      <c r="I602" s="230" t="s">
        <v>730</v>
      </c>
      <c r="J602" s="230" t="s">
        <v>3275</v>
      </c>
      <c r="K602" s="230"/>
      <c r="L602" s="230" t="s">
        <v>1888</v>
      </c>
      <c r="M602" s="230" t="s">
        <v>4276</v>
      </c>
      <c r="N602" s="230" t="s">
        <v>294</v>
      </c>
      <c r="O602" s="158"/>
      <c r="P602" s="92"/>
      <c r="Q602" s="146"/>
      <c r="R602" s="92"/>
      <c r="S602" s="146"/>
      <c r="T602" s="92"/>
      <c r="U602" s="146"/>
      <c r="V602" s="92"/>
      <c r="W602" s="146"/>
      <c r="X602" s="92"/>
      <c r="Y602" s="146"/>
      <c r="Z602" s="186" t="str">
        <f t="shared" si="40"/>
        <v/>
      </c>
      <c r="AA602" s="217" t="b">
        <f t="shared" si="39"/>
        <v>0</v>
      </c>
      <c r="AB602" s="92"/>
      <c r="AC602" s="164" t="s">
        <v>6</v>
      </c>
      <c r="AD602" s="151" t="str">
        <f t="shared" si="37"/>
        <v>GUARULHOS</v>
      </c>
      <c r="AE602" s="96" t="s">
        <v>63</v>
      </c>
      <c r="AF602" s="53">
        <v>0.46060153682940774</v>
      </c>
      <c r="AG602" s="53" t="str" cm="1">
        <f t="array" ref="AG602">IF(OR(O602&lt;&gt;"", SUMPRODUCT(($AH$2:$AH$4999=AH602)*($AF$2:$AF$4999&lt;=AF602)) &lt;= (COUNTIF($AH$2:$AH$4999,AH602)*0.3)), "SORTEADO", "-")</f>
        <v>-</v>
      </c>
      <c r="AH602" s="257" t="str">
        <f t="shared" si="38"/>
        <v>24/04/2026</v>
      </c>
    </row>
    <row r="603" spans="1:34" ht="30" customHeight="1" x14ac:dyDescent="0.2">
      <c r="A603" s="230" t="s">
        <v>197</v>
      </c>
      <c r="B603" s="230">
        <v>2691437509</v>
      </c>
      <c r="C603" s="230" t="s">
        <v>127</v>
      </c>
      <c r="D603" s="230" t="s">
        <v>63</v>
      </c>
      <c r="E603" s="230" t="s">
        <v>198</v>
      </c>
      <c r="F603" s="230" t="s">
        <v>4277</v>
      </c>
      <c r="G603" s="230">
        <v>29</v>
      </c>
      <c r="H603" s="230" t="s">
        <v>4278</v>
      </c>
      <c r="I603" s="230" t="s">
        <v>335</v>
      </c>
      <c r="J603" s="230" t="s">
        <v>3275</v>
      </c>
      <c r="K603" s="230"/>
      <c r="L603" s="230" t="s">
        <v>1888</v>
      </c>
      <c r="M603" s="230" t="s">
        <v>4279</v>
      </c>
      <c r="N603" s="230" t="s">
        <v>3276</v>
      </c>
      <c r="O603" s="158" t="s">
        <v>204</v>
      </c>
      <c r="P603" s="92"/>
      <c r="Q603" s="146" t="s">
        <v>204</v>
      </c>
      <c r="R603" s="92"/>
      <c r="S603" s="146" t="s">
        <v>204</v>
      </c>
      <c r="T603" s="92"/>
      <c r="U603" s="146" t="s">
        <v>204</v>
      </c>
      <c r="V603" s="92"/>
      <c r="W603" s="146" t="s">
        <v>204</v>
      </c>
      <c r="X603" s="92"/>
      <c r="Y603" s="146" t="s">
        <v>204</v>
      </c>
      <c r="Z603" s="186" t="str">
        <f t="shared" si="40"/>
        <v>C</v>
      </c>
      <c r="AA603" s="217" t="str">
        <f t="shared" si="39"/>
        <v>UTILIZOU O PDA CORRETAMENTE</v>
      </c>
      <c r="AB603" s="92" t="s">
        <v>204</v>
      </c>
      <c r="AC603" s="164" t="s">
        <v>6</v>
      </c>
      <c r="AD603" s="151" t="str">
        <f t="shared" si="37"/>
        <v>GUARULHOS</v>
      </c>
      <c r="AE603" s="96" t="s">
        <v>63</v>
      </c>
      <c r="AF603" s="53">
        <v>7.8474791518564416E-3</v>
      </c>
      <c r="AG603" s="53" t="str" cm="1">
        <f t="array" ref="AG603">IF(OR(O603&lt;&gt;"", SUMPRODUCT(($AH$2:$AH$4999=AH603)*($AF$2:$AF$4999&lt;=AF603)) &lt;= (COUNTIF($AH$2:$AH$4999,AH603)*0.3)), "SORTEADO", "-")</f>
        <v>SORTEADO</v>
      </c>
      <c r="AH603" s="257" t="str">
        <f t="shared" si="38"/>
        <v>24/04/2026</v>
      </c>
    </row>
    <row r="604" spans="1:34" ht="30" hidden="1" customHeight="1" x14ac:dyDescent="0.2">
      <c r="A604" s="230" t="s">
        <v>197</v>
      </c>
      <c r="B604" s="230">
        <v>2691440278</v>
      </c>
      <c r="C604" s="230" t="s">
        <v>127</v>
      </c>
      <c r="D604" s="230" t="s">
        <v>63</v>
      </c>
      <c r="E604" s="230" t="s">
        <v>198</v>
      </c>
      <c r="F604" s="230" t="s">
        <v>423</v>
      </c>
      <c r="G604" s="230">
        <v>375</v>
      </c>
      <c r="H604" s="230" t="s">
        <v>4280</v>
      </c>
      <c r="I604" s="230" t="s">
        <v>425</v>
      </c>
      <c r="J604" s="230" t="s">
        <v>3275</v>
      </c>
      <c r="K604" s="230" t="s">
        <v>213</v>
      </c>
      <c r="L604" s="230" t="s">
        <v>1888</v>
      </c>
      <c r="M604" s="230" t="s">
        <v>4281</v>
      </c>
      <c r="N604" s="230" t="s">
        <v>819</v>
      </c>
      <c r="O604" s="158"/>
      <c r="P604" s="92"/>
      <c r="Q604" s="146"/>
      <c r="R604" s="92"/>
      <c r="S604" s="146"/>
      <c r="T604" s="92"/>
      <c r="U604" s="146"/>
      <c r="V604" s="92"/>
      <c r="W604" s="146"/>
      <c r="X604" s="92"/>
      <c r="Y604" s="146"/>
      <c r="Z604" s="186" t="str">
        <f t="shared" si="40"/>
        <v/>
      </c>
      <c r="AA604" s="217" t="b">
        <f t="shared" si="39"/>
        <v>0</v>
      </c>
      <c r="AB604" s="92"/>
      <c r="AC604" s="164" t="s">
        <v>6</v>
      </c>
      <c r="AD604" s="151" t="str">
        <f t="shared" si="37"/>
        <v>GUARULHOS</v>
      </c>
      <c r="AE604" s="96" t="s">
        <v>63</v>
      </c>
      <c r="AF604" s="53">
        <v>0.95111826640284114</v>
      </c>
      <c r="AG604" s="53" t="str" cm="1">
        <f t="array" ref="AG604">IF(OR(O604&lt;&gt;"", SUMPRODUCT(($AH$2:$AH$4999=AH604)*($AF$2:$AF$4999&lt;=AF604)) &lt;= (COUNTIF($AH$2:$AH$4999,AH604)*0.3)), "SORTEADO", "-")</f>
        <v>-</v>
      </c>
      <c r="AH604" s="257" t="str">
        <f t="shared" si="38"/>
        <v>24/04/2026</v>
      </c>
    </row>
    <row r="605" spans="1:34" ht="30" customHeight="1" x14ac:dyDescent="0.2">
      <c r="A605" s="230" t="s">
        <v>197</v>
      </c>
      <c r="B605" s="230">
        <v>2691443089</v>
      </c>
      <c r="C605" s="230" t="s">
        <v>127</v>
      </c>
      <c r="D605" s="230" t="s">
        <v>63</v>
      </c>
      <c r="E605" s="230" t="s">
        <v>198</v>
      </c>
      <c r="F605" s="230" t="s">
        <v>4282</v>
      </c>
      <c r="G605" s="230">
        <v>94</v>
      </c>
      <c r="H605" s="230" t="s">
        <v>4283</v>
      </c>
      <c r="I605" s="230" t="s">
        <v>1671</v>
      </c>
      <c r="J605" s="230" t="s">
        <v>3275</v>
      </c>
      <c r="K605" s="230"/>
      <c r="L605" s="230" t="s">
        <v>1888</v>
      </c>
      <c r="M605" s="230" t="s">
        <v>1932</v>
      </c>
      <c r="N605" s="230" t="s">
        <v>294</v>
      </c>
      <c r="O605" s="158" t="s">
        <v>204</v>
      </c>
      <c r="P605" s="92"/>
      <c r="Q605" s="146" t="s">
        <v>204</v>
      </c>
      <c r="R605" s="92"/>
      <c r="S605" s="146" t="s">
        <v>204</v>
      </c>
      <c r="T605" s="92"/>
      <c r="U605" s="146" t="s">
        <v>204</v>
      </c>
      <c r="V605" s="92"/>
      <c r="W605" s="146" t="s">
        <v>204</v>
      </c>
      <c r="X605" s="92"/>
      <c r="Y605" s="146" t="s">
        <v>204</v>
      </c>
      <c r="Z605" s="186" t="str">
        <f t="shared" si="40"/>
        <v>C</v>
      </c>
      <c r="AA605" s="217" t="str">
        <f t="shared" si="39"/>
        <v>UTILIZOU O PDA CORRETAMENTE</v>
      </c>
      <c r="AB605" s="92" t="s">
        <v>204</v>
      </c>
      <c r="AC605" s="164" t="s">
        <v>6</v>
      </c>
      <c r="AD605" s="151" t="str">
        <f t="shared" si="37"/>
        <v>GUARULHOS</v>
      </c>
      <c r="AE605" s="96" t="s">
        <v>63</v>
      </c>
      <c r="AF605" s="53">
        <v>0.22809140129207975</v>
      </c>
      <c r="AG605" s="53" t="str" cm="1">
        <f t="array" ref="AG605">IF(OR(O605&lt;&gt;"", SUMPRODUCT(($AH$2:$AH$4999=AH605)*($AF$2:$AF$4999&lt;=AF605)) &lt;= (COUNTIF($AH$2:$AH$4999,AH605)*0.3)), "SORTEADO", "-")</f>
        <v>SORTEADO</v>
      </c>
      <c r="AH605" s="257" t="str">
        <f t="shared" si="38"/>
        <v>24/04/2026</v>
      </c>
    </row>
    <row r="606" spans="1:34" ht="30" hidden="1" customHeight="1" x14ac:dyDescent="0.2">
      <c r="A606" s="230" t="s">
        <v>197</v>
      </c>
      <c r="B606" s="230">
        <v>2691424462</v>
      </c>
      <c r="C606" s="230" t="s">
        <v>133</v>
      </c>
      <c r="D606" s="230" t="s">
        <v>124</v>
      </c>
      <c r="E606" s="230" t="s">
        <v>198</v>
      </c>
      <c r="F606" s="230" t="s">
        <v>561</v>
      </c>
      <c r="G606" s="230">
        <v>18</v>
      </c>
      <c r="H606" s="230" t="s">
        <v>213</v>
      </c>
      <c r="I606" s="230" t="s">
        <v>485</v>
      </c>
      <c r="J606" s="230" t="s">
        <v>3275</v>
      </c>
      <c r="K606" s="237" t="s">
        <v>4284</v>
      </c>
      <c r="L606" s="230" t="s">
        <v>1888</v>
      </c>
      <c r="M606" s="230" t="s">
        <v>4285</v>
      </c>
      <c r="N606" s="230" t="s">
        <v>3289</v>
      </c>
      <c r="O606" s="158"/>
      <c r="P606" s="92"/>
      <c r="Q606" s="146"/>
      <c r="R606" s="92"/>
      <c r="S606" s="146"/>
      <c r="T606" s="92"/>
      <c r="U606" s="146"/>
      <c r="V606" s="92"/>
      <c r="W606" s="146"/>
      <c r="X606" s="92"/>
      <c r="Y606" s="146"/>
      <c r="Z606" s="186" t="str">
        <f t="shared" si="40"/>
        <v/>
      </c>
      <c r="AA606" s="217" t="b">
        <f t="shared" si="39"/>
        <v>0</v>
      </c>
      <c r="AB606" s="92"/>
      <c r="AC606" s="164" t="s">
        <v>6</v>
      </c>
      <c r="AD606" s="151" t="str">
        <f t="shared" si="37"/>
        <v>GUARULHOS</v>
      </c>
      <c r="AE606" s="96" t="s">
        <v>63</v>
      </c>
      <c r="AF606" s="53">
        <v>0.65393426645341546</v>
      </c>
      <c r="AG606" s="53" t="str" cm="1">
        <f t="array" ref="AG606">IF(OR(O606&lt;&gt;"", SUMPRODUCT(($AH$2:$AH$4999=AH606)*($AF$2:$AF$4999&lt;=AF606)) &lt;= (COUNTIF($AH$2:$AH$4999,AH606)*0.3)), "SORTEADO", "-")</f>
        <v>-</v>
      </c>
      <c r="AH606" s="257" t="str">
        <f t="shared" si="38"/>
        <v>24/04/2026</v>
      </c>
    </row>
    <row r="607" spans="1:34" ht="30" hidden="1" customHeight="1" x14ac:dyDescent="0.2">
      <c r="A607" s="230" t="s">
        <v>197</v>
      </c>
      <c r="B607" s="230">
        <v>2691362107</v>
      </c>
      <c r="C607" s="230" t="s">
        <v>133</v>
      </c>
      <c r="D607" s="230" t="s">
        <v>124</v>
      </c>
      <c r="E607" s="230" t="s">
        <v>198</v>
      </c>
      <c r="F607" s="230" t="s">
        <v>561</v>
      </c>
      <c r="G607" s="230">
        <v>134</v>
      </c>
      <c r="H607" s="230" t="s">
        <v>4286</v>
      </c>
      <c r="I607" s="230" t="s">
        <v>485</v>
      </c>
      <c r="J607" s="230" t="s">
        <v>3275</v>
      </c>
      <c r="K607" s="230" t="s">
        <v>4287</v>
      </c>
      <c r="L607" s="230" t="s">
        <v>1888</v>
      </c>
      <c r="M607" s="230" t="s">
        <v>4250</v>
      </c>
      <c r="N607" s="230" t="s">
        <v>3289</v>
      </c>
      <c r="O607" s="158"/>
      <c r="P607" s="92"/>
      <c r="Q607" s="146"/>
      <c r="R607" s="92"/>
      <c r="S607" s="146"/>
      <c r="T607" s="92"/>
      <c r="U607" s="146"/>
      <c r="V607" s="92"/>
      <c r="W607" s="146"/>
      <c r="X607" s="92"/>
      <c r="Y607" s="146"/>
      <c r="Z607" s="186" t="str">
        <f t="shared" si="40"/>
        <v/>
      </c>
      <c r="AA607" s="217" t="b">
        <f t="shared" si="39"/>
        <v>0</v>
      </c>
      <c r="AB607" s="92"/>
      <c r="AC607" s="164" t="s">
        <v>6</v>
      </c>
      <c r="AD607" s="151" t="str">
        <f t="shared" ref="AD607:AD670" si="41">E607</f>
        <v>GUARULHOS</v>
      </c>
      <c r="AE607" s="96" t="s">
        <v>63</v>
      </c>
      <c r="AF607" s="53">
        <v>0.51627103811912878</v>
      </c>
      <c r="AG607" s="53" t="str" cm="1">
        <f t="array" ref="AG607">IF(OR(O607&lt;&gt;"", SUMPRODUCT(($AH$2:$AH$4999=AH607)*($AF$2:$AF$4999&lt;=AF607)) &lt;= (COUNTIF($AH$2:$AH$4999,AH607)*0.3)), "SORTEADO", "-")</f>
        <v>-</v>
      </c>
      <c r="AH607" s="257" t="str">
        <f t="shared" si="38"/>
        <v>24/04/2026</v>
      </c>
    </row>
    <row r="608" spans="1:34" ht="30" hidden="1" customHeight="1" x14ac:dyDescent="0.2">
      <c r="A608" s="230" t="s">
        <v>197</v>
      </c>
      <c r="B608" s="230">
        <v>2691393450</v>
      </c>
      <c r="C608" s="230" t="s">
        <v>133</v>
      </c>
      <c r="D608" s="230" t="s">
        <v>124</v>
      </c>
      <c r="E608" s="230" t="s">
        <v>198</v>
      </c>
      <c r="F608" s="230" t="s">
        <v>2142</v>
      </c>
      <c r="G608" s="230">
        <v>423</v>
      </c>
      <c r="H608" s="230" t="s">
        <v>2717</v>
      </c>
      <c r="I608" s="230" t="s">
        <v>368</v>
      </c>
      <c r="J608" s="230" t="s">
        <v>3275</v>
      </c>
      <c r="K608" s="230" t="s">
        <v>213</v>
      </c>
      <c r="L608" s="230" t="s">
        <v>1888</v>
      </c>
      <c r="M608" s="230" t="s">
        <v>4288</v>
      </c>
      <c r="N608" s="230" t="s">
        <v>294</v>
      </c>
      <c r="O608" s="158"/>
      <c r="P608" s="92"/>
      <c r="Q608" s="146"/>
      <c r="R608" s="92"/>
      <c r="S608" s="146"/>
      <c r="T608" s="92"/>
      <c r="U608" s="146"/>
      <c r="V608" s="92"/>
      <c r="W608" s="146"/>
      <c r="X608" s="92"/>
      <c r="Y608" s="146"/>
      <c r="Z608" s="186" t="str">
        <f t="shared" si="40"/>
        <v/>
      </c>
      <c r="AA608" s="217" t="b">
        <f t="shared" si="39"/>
        <v>0</v>
      </c>
      <c r="AB608" s="92"/>
      <c r="AC608" s="164" t="s">
        <v>6</v>
      </c>
      <c r="AD608" s="151" t="str">
        <f t="shared" si="41"/>
        <v>GUARULHOS</v>
      </c>
      <c r="AE608" s="96" t="s">
        <v>63</v>
      </c>
      <c r="AF608" s="53">
        <v>0.71281679703855805</v>
      </c>
      <c r="AG608" s="53" t="str" cm="1">
        <f t="array" ref="AG608">IF(OR(O608&lt;&gt;"", SUMPRODUCT(($AH$2:$AH$4999=AH608)*($AF$2:$AF$4999&lt;=AF608)) &lt;= (COUNTIF($AH$2:$AH$4999,AH608)*0.3)), "SORTEADO", "-")</f>
        <v>-</v>
      </c>
      <c r="AH608" s="257" t="str">
        <f t="shared" si="38"/>
        <v>24/04/2026</v>
      </c>
    </row>
    <row r="609" spans="1:34" ht="30" hidden="1" customHeight="1" x14ac:dyDescent="0.2">
      <c r="A609" s="230" t="s">
        <v>197</v>
      </c>
      <c r="B609" s="230">
        <v>2691414982</v>
      </c>
      <c r="C609" s="230" t="s">
        <v>133</v>
      </c>
      <c r="D609" s="230" t="s">
        <v>124</v>
      </c>
      <c r="E609" s="230" t="s">
        <v>198</v>
      </c>
      <c r="F609" s="230" t="s">
        <v>3535</v>
      </c>
      <c r="G609" s="230">
        <v>180</v>
      </c>
      <c r="H609" s="230" t="s">
        <v>4289</v>
      </c>
      <c r="I609" s="230" t="s">
        <v>200</v>
      </c>
      <c r="J609" s="230" t="s">
        <v>3275</v>
      </c>
      <c r="K609" s="230" t="s">
        <v>3986</v>
      </c>
      <c r="L609" s="230" t="s">
        <v>1888</v>
      </c>
      <c r="M609" s="230" t="s">
        <v>4290</v>
      </c>
      <c r="N609" s="230" t="s">
        <v>3276</v>
      </c>
      <c r="O609" s="158"/>
      <c r="P609" s="92"/>
      <c r="Q609" s="146"/>
      <c r="R609" s="92"/>
      <c r="S609" s="146"/>
      <c r="T609" s="92"/>
      <c r="U609" s="146"/>
      <c r="V609" s="92"/>
      <c r="W609" s="146"/>
      <c r="X609" s="92"/>
      <c r="Y609" s="146"/>
      <c r="Z609" s="186" t="str">
        <f t="shared" si="40"/>
        <v/>
      </c>
      <c r="AA609" s="217" t="b">
        <f t="shared" si="39"/>
        <v>0</v>
      </c>
      <c r="AB609" s="92"/>
      <c r="AC609" s="164" t="s">
        <v>6</v>
      </c>
      <c r="AD609" s="151" t="str">
        <f t="shared" si="41"/>
        <v>GUARULHOS</v>
      </c>
      <c r="AE609" s="96" t="s">
        <v>63</v>
      </c>
      <c r="AF609" s="53">
        <v>0.76110550446468539</v>
      </c>
      <c r="AG609" s="53" t="str" cm="1">
        <f t="array" ref="AG609">IF(OR(O609&lt;&gt;"", SUMPRODUCT(($AH$2:$AH$4999=AH609)*($AF$2:$AF$4999&lt;=AF609)) &lt;= (COUNTIF($AH$2:$AH$4999,AH609)*0.3)), "SORTEADO", "-")</f>
        <v>-</v>
      </c>
      <c r="AH609" s="257" t="str">
        <f t="shared" si="38"/>
        <v>24/04/2026</v>
      </c>
    </row>
    <row r="610" spans="1:34" ht="30" hidden="1" customHeight="1" x14ac:dyDescent="0.2">
      <c r="A610" s="230" t="s">
        <v>197</v>
      </c>
      <c r="B610" s="230">
        <v>2617183606</v>
      </c>
      <c r="C610" s="230" t="s">
        <v>127</v>
      </c>
      <c r="D610" s="230" t="s">
        <v>63</v>
      </c>
      <c r="E610" s="230" t="s">
        <v>198</v>
      </c>
      <c r="F610" s="230" t="s">
        <v>4291</v>
      </c>
      <c r="G610" s="230">
        <v>134</v>
      </c>
      <c r="H610" s="230" t="s">
        <v>4292</v>
      </c>
      <c r="I610" s="230" t="s">
        <v>315</v>
      </c>
      <c r="J610" s="230" t="s">
        <v>3271</v>
      </c>
      <c r="K610" s="230" t="s">
        <v>4293</v>
      </c>
      <c r="L610" s="230" t="s">
        <v>1888</v>
      </c>
      <c r="M610" s="230" t="s">
        <v>4294</v>
      </c>
      <c r="N610" s="230" t="s">
        <v>348</v>
      </c>
      <c r="O610" s="158"/>
      <c r="P610" s="92"/>
      <c r="Q610" s="146"/>
      <c r="R610" s="92"/>
      <c r="S610" s="146"/>
      <c r="T610" s="92"/>
      <c r="U610" s="146"/>
      <c r="V610" s="92"/>
      <c r="W610" s="146"/>
      <c r="X610" s="92"/>
      <c r="Y610" s="146"/>
      <c r="Z610" s="186" t="str">
        <f t="shared" si="40"/>
        <v/>
      </c>
      <c r="AA610" s="217" t="b">
        <f t="shared" si="39"/>
        <v>0</v>
      </c>
      <c r="AB610" s="92"/>
      <c r="AC610" s="164" t="s">
        <v>6</v>
      </c>
      <c r="AD610" s="151" t="str">
        <f t="shared" si="41"/>
        <v>GUARULHOS</v>
      </c>
      <c r="AE610" s="96" t="s">
        <v>63</v>
      </c>
      <c r="AF610" s="53">
        <v>0.52709729692052687</v>
      </c>
      <c r="AG610" s="53" t="str" cm="1">
        <f t="array" ref="AG610">IF(OR(O610&lt;&gt;"", SUMPRODUCT(($AH$2:$AH$4999=AH610)*($AF$2:$AF$4999&lt;=AF610)) &lt;= (COUNTIF($AH$2:$AH$4999,AH610)*0.3)), "SORTEADO", "-")</f>
        <v>-</v>
      </c>
      <c r="AH610" s="257" t="str">
        <f t="shared" si="38"/>
        <v>24/04/2026</v>
      </c>
    </row>
    <row r="611" spans="1:34" ht="30" customHeight="1" x14ac:dyDescent="0.2">
      <c r="A611" s="230" t="s">
        <v>197</v>
      </c>
      <c r="B611" s="230">
        <v>2614197910</v>
      </c>
      <c r="C611" s="230" t="s">
        <v>134</v>
      </c>
      <c r="D611" s="230" t="s">
        <v>124</v>
      </c>
      <c r="E611" s="230" t="s">
        <v>198</v>
      </c>
      <c r="F611" s="230" t="s">
        <v>2067</v>
      </c>
      <c r="G611" s="230">
        <v>239</v>
      </c>
      <c r="H611" s="230" t="s">
        <v>4295</v>
      </c>
      <c r="I611" s="230" t="s">
        <v>411</v>
      </c>
      <c r="J611" s="230" t="s">
        <v>3285</v>
      </c>
      <c r="K611" s="230" t="s">
        <v>2072</v>
      </c>
      <c r="L611" s="230" t="s">
        <v>2065</v>
      </c>
      <c r="M611" s="230" t="s">
        <v>4296</v>
      </c>
      <c r="N611" s="230" t="s">
        <v>408</v>
      </c>
      <c r="O611" s="158" t="s">
        <v>204</v>
      </c>
      <c r="P611" s="92"/>
      <c r="Q611" s="146" t="s">
        <v>204</v>
      </c>
      <c r="R611" s="92"/>
      <c r="S611" s="146" t="s">
        <v>204</v>
      </c>
      <c r="T611" s="92"/>
      <c r="U611" s="146" t="s">
        <v>204</v>
      </c>
      <c r="V611" s="92"/>
      <c r="W611" s="146" t="s">
        <v>204</v>
      </c>
      <c r="X611" s="92"/>
      <c r="Y611" s="146" t="s">
        <v>204</v>
      </c>
      <c r="Z611" s="186" t="str">
        <f t="shared" si="40"/>
        <v>C</v>
      </c>
      <c r="AA611" s="217" t="str">
        <f t="shared" si="39"/>
        <v>UTILIZOU O PDA CORRETAMENTE</v>
      </c>
      <c r="AB611" s="92" t="s">
        <v>204</v>
      </c>
      <c r="AC611" s="164" t="s">
        <v>6</v>
      </c>
      <c r="AD611" s="151" t="str">
        <f t="shared" si="41"/>
        <v>GUARULHOS</v>
      </c>
      <c r="AE611" s="96" t="s">
        <v>63</v>
      </c>
      <c r="AF611" s="53">
        <v>5.4529090801902685E-2</v>
      </c>
      <c r="AG611" s="53" t="str" cm="1">
        <f t="array" ref="AG611">IF(OR(O611&lt;&gt;"", SUMPRODUCT(($AH$2:$AH$4999=AH611)*($AF$2:$AF$4999&lt;=AF611)) &lt;= (COUNTIF($AH$2:$AH$4999,AH611)*0.3)), "SORTEADO", "-")</f>
        <v>SORTEADO</v>
      </c>
      <c r="AH611" s="257" t="str">
        <f t="shared" si="38"/>
        <v>25/04/2026</v>
      </c>
    </row>
    <row r="612" spans="1:34" ht="30" hidden="1" customHeight="1" x14ac:dyDescent="0.2">
      <c r="A612" s="230" t="s">
        <v>197</v>
      </c>
      <c r="B612" s="230">
        <v>2691437689</v>
      </c>
      <c r="C612" s="230" t="s">
        <v>133</v>
      </c>
      <c r="D612" s="230" t="s">
        <v>124</v>
      </c>
      <c r="E612" s="230" t="s">
        <v>198</v>
      </c>
      <c r="F612" s="230" t="s">
        <v>4297</v>
      </c>
      <c r="G612" s="230">
        <v>66</v>
      </c>
      <c r="H612" s="230" t="s">
        <v>2981</v>
      </c>
      <c r="I612" s="230" t="s">
        <v>2105</v>
      </c>
      <c r="J612" s="230" t="s">
        <v>3275</v>
      </c>
      <c r="K612" s="230" t="s">
        <v>4298</v>
      </c>
      <c r="L612" s="230" t="s">
        <v>1888</v>
      </c>
      <c r="M612" s="230" t="s">
        <v>2998</v>
      </c>
      <c r="N612" s="230" t="s">
        <v>3289</v>
      </c>
      <c r="O612" s="158"/>
      <c r="P612" s="92"/>
      <c r="Q612" s="146"/>
      <c r="R612" s="92"/>
      <c r="S612" s="146"/>
      <c r="T612" s="92"/>
      <c r="U612" s="146"/>
      <c r="V612" s="92"/>
      <c r="W612" s="146"/>
      <c r="X612" s="92"/>
      <c r="Y612" s="146"/>
      <c r="Z612" s="186" t="str">
        <f t="shared" si="40"/>
        <v/>
      </c>
      <c r="AA612" s="217" t="b">
        <f t="shared" si="39"/>
        <v>0</v>
      </c>
      <c r="AB612" s="92"/>
      <c r="AC612" s="164" t="s">
        <v>6</v>
      </c>
      <c r="AD612" s="151" t="str">
        <f t="shared" si="41"/>
        <v>GUARULHOS</v>
      </c>
      <c r="AE612" s="96" t="s">
        <v>63</v>
      </c>
      <c r="AF612" s="53">
        <v>0.32454687798782317</v>
      </c>
      <c r="AG612" s="53" t="str" cm="1">
        <f t="array" ref="AG612">IF(OR(O612&lt;&gt;"", SUMPRODUCT(($AH$2:$AH$4999=AH612)*($AF$2:$AF$4999&lt;=AF612)) &lt;= (COUNTIF($AH$2:$AH$4999,AH612)*0.3)), "SORTEADO", "-")</f>
        <v>-</v>
      </c>
      <c r="AH612" s="257" t="str">
        <f t="shared" si="38"/>
        <v>24/04/2026</v>
      </c>
    </row>
    <row r="613" spans="1:34" ht="30" hidden="1" customHeight="1" x14ac:dyDescent="0.2">
      <c r="A613" s="230" t="s">
        <v>197</v>
      </c>
      <c r="B613" s="230">
        <v>2691429775</v>
      </c>
      <c r="C613" s="230" t="s">
        <v>127</v>
      </c>
      <c r="D613" s="230" t="s">
        <v>63</v>
      </c>
      <c r="E613" s="230" t="s">
        <v>198</v>
      </c>
      <c r="F613" s="230" t="s">
        <v>2531</v>
      </c>
      <c r="G613" s="230">
        <v>923</v>
      </c>
      <c r="H613" s="230" t="s">
        <v>3595</v>
      </c>
      <c r="I613" s="230" t="s">
        <v>200</v>
      </c>
      <c r="J613" s="230" t="s">
        <v>3271</v>
      </c>
      <c r="K613" s="230" t="s">
        <v>4299</v>
      </c>
      <c r="L613" s="230" t="s">
        <v>1888</v>
      </c>
      <c r="M613" s="230" t="s">
        <v>4300</v>
      </c>
      <c r="N613" s="230" t="s">
        <v>615</v>
      </c>
      <c r="O613" s="158"/>
      <c r="P613" s="92"/>
      <c r="Q613" s="146"/>
      <c r="R613" s="92"/>
      <c r="S613" s="146"/>
      <c r="T613" s="92"/>
      <c r="U613" s="146"/>
      <c r="V613" s="92"/>
      <c r="W613" s="146"/>
      <c r="X613" s="92"/>
      <c r="Y613" s="146"/>
      <c r="Z613" s="186" t="str">
        <f t="shared" si="40"/>
        <v/>
      </c>
      <c r="AA613" s="217" t="b">
        <f t="shared" si="39"/>
        <v>0</v>
      </c>
      <c r="AB613" s="92"/>
      <c r="AC613" s="164" t="s">
        <v>6</v>
      </c>
      <c r="AD613" s="151" t="str">
        <f t="shared" si="41"/>
        <v>GUARULHOS</v>
      </c>
      <c r="AE613" s="96" t="s">
        <v>63</v>
      </c>
      <c r="AF613" s="53">
        <v>0.24187213254465958</v>
      </c>
      <c r="AG613" s="53" t="str" cm="1">
        <f t="array" ref="AG613">IF(OR(O613&lt;&gt;"", SUMPRODUCT(($AH$2:$AH$4999=AH613)*($AF$2:$AF$4999&lt;=AF613)) &lt;= (COUNTIF($AH$2:$AH$4999,AH613)*0.3)), "SORTEADO", "-")</f>
        <v>-</v>
      </c>
      <c r="AH613" s="257" t="str">
        <f t="shared" si="38"/>
        <v>24/04/2026</v>
      </c>
    </row>
    <row r="614" spans="1:34" ht="30" hidden="1" customHeight="1" x14ac:dyDescent="0.2">
      <c r="A614" s="230" t="s">
        <v>197</v>
      </c>
      <c r="B614" s="230">
        <v>2691509816</v>
      </c>
      <c r="C614" s="230" t="s">
        <v>127</v>
      </c>
      <c r="D614" s="230" t="s">
        <v>63</v>
      </c>
      <c r="E614" s="230" t="s">
        <v>198</v>
      </c>
      <c r="F614" s="230" t="s">
        <v>2900</v>
      </c>
      <c r="G614" s="230">
        <v>160</v>
      </c>
      <c r="H614" s="230" t="s">
        <v>461</v>
      </c>
      <c r="I614" s="230" t="s">
        <v>654</v>
      </c>
      <c r="J614" s="230" t="s">
        <v>3271</v>
      </c>
      <c r="K614" s="230"/>
      <c r="L614" s="230" t="s">
        <v>2065</v>
      </c>
      <c r="M614" s="230" t="s">
        <v>4301</v>
      </c>
      <c r="N614" s="230" t="s">
        <v>3433</v>
      </c>
      <c r="O614" s="158"/>
      <c r="P614" s="92"/>
      <c r="Q614" s="146"/>
      <c r="R614" s="92"/>
      <c r="S614" s="146"/>
      <c r="T614" s="92"/>
      <c r="U614" s="146"/>
      <c r="V614" s="92"/>
      <c r="W614" s="146"/>
      <c r="X614" s="92"/>
      <c r="Y614" s="146"/>
      <c r="Z614" s="186" t="str">
        <f t="shared" si="40"/>
        <v/>
      </c>
      <c r="AA614" s="217" t="b">
        <f t="shared" si="39"/>
        <v>0</v>
      </c>
      <c r="AB614" s="92"/>
      <c r="AC614" s="164" t="s">
        <v>6</v>
      </c>
      <c r="AD614" s="151" t="str">
        <f t="shared" si="41"/>
        <v>GUARULHOS</v>
      </c>
      <c r="AE614" s="96" t="s">
        <v>63</v>
      </c>
      <c r="AF614" s="53">
        <v>0.45514820095198705</v>
      </c>
      <c r="AG614" s="53" t="str" cm="1">
        <f t="array" ref="AG614">IF(OR(O614&lt;&gt;"", SUMPRODUCT(($AH$2:$AH$4999=AH614)*($AF$2:$AF$4999&lt;=AF614)) &lt;= (COUNTIF($AH$2:$AH$4999,AH614)*0.3)), "SORTEADO", "-")</f>
        <v>-</v>
      </c>
      <c r="AH614" s="257" t="str">
        <f t="shared" si="38"/>
        <v>25/04/2026</v>
      </c>
    </row>
    <row r="615" spans="1:34" ht="30" customHeight="1" x14ac:dyDescent="0.2">
      <c r="A615" s="230" t="s">
        <v>197</v>
      </c>
      <c r="B615" s="230">
        <v>2691474601</v>
      </c>
      <c r="C615" s="230" t="s">
        <v>127</v>
      </c>
      <c r="D615" s="230" t="s">
        <v>63</v>
      </c>
      <c r="E615" s="230" t="s">
        <v>198</v>
      </c>
      <c r="F615" s="230" t="s">
        <v>4027</v>
      </c>
      <c r="G615" s="230">
        <v>334</v>
      </c>
      <c r="H615" s="230" t="s">
        <v>4302</v>
      </c>
      <c r="I615" s="230" t="s">
        <v>269</v>
      </c>
      <c r="J615" s="230" t="s">
        <v>3271</v>
      </c>
      <c r="K615" s="230" t="s">
        <v>213</v>
      </c>
      <c r="L615" s="230" t="s">
        <v>2065</v>
      </c>
      <c r="M615" s="230" t="s">
        <v>4303</v>
      </c>
      <c r="N615" s="230" t="s">
        <v>3433</v>
      </c>
      <c r="O615" s="158" t="s">
        <v>204</v>
      </c>
      <c r="P615" s="92"/>
      <c r="Q615" s="146" t="s">
        <v>204</v>
      </c>
      <c r="R615" s="92"/>
      <c r="S615" s="146" t="s">
        <v>204</v>
      </c>
      <c r="T615" s="92"/>
      <c r="U615" s="146" t="s">
        <v>204</v>
      </c>
      <c r="V615" s="92"/>
      <c r="W615" s="146" t="s">
        <v>204</v>
      </c>
      <c r="X615" s="92"/>
      <c r="Y615" s="146" t="s">
        <v>204</v>
      </c>
      <c r="Z615" s="186" t="str">
        <f t="shared" si="40"/>
        <v>C</v>
      </c>
      <c r="AA615" s="217" t="str">
        <f t="shared" si="39"/>
        <v>UTILIZOU O PDA CORRETAMENTE</v>
      </c>
      <c r="AB615" s="92" t="s">
        <v>204</v>
      </c>
      <c r="AC615" s="164" t="s">
        <v>6</v>
      </c>
      <c r="AD615" s="151" t="str">
        <f t="shared" si="41"/>
        <v>GUARULHOS</v>
      </c>
      <c r="AE615" s="96" t="s">
        <v>63</v>
      </c>
      <c r="AF615" s="53">
        <v>0.21598402907738887</v>
      </c>
      <c r="AG615" s="53" t="str" cm="1">
        <f t="array" ref="AG615">IF(OR(O615&lt;&gt;"", SUMPRODUCT(($AH$2:$AH$4999=AH615)*($AF$2:$AF$4999&lt;=AF615)) &lt;= (COUNTIF($AH$2:$AH$4999,AH615)*0.3)), "SORTEADO", "-")</f>
        <v>SORTEADO</v>
      </c>
      <c r="AH615" s="257" t="str">
        <f t="shared" si="38"/>
        <v>25/04/2026</v>
      </c>
    </row>
    <row r="616" spans="1:34" ht="30" hidden="1" customHeight="1" x14ac:dyDescent="0.2">
      <c r="A616" s="230" t="s">
        <v>197</v>
      </c>
      <c r="B616" s="230">
        <v>2617322642</v>
      </c>
      <c r="C616" s="230" t="s">
        <v>131</v>
      </c>
      <c r="D616" s="230" t="s">
        <v>63</v>
      </c>
      <c r="E616" s="230" t="s">
        <v>198</v>
      </c>
      <c r="F616" s="230" t="s">
        <v>4304</v>
      </c>
      <c r="G616" s="230">
        <v>159</v>
      </c>
      <c r="H616" s="230" t="s">
        <v>4305</v>
      </c>
      <c r="I616" s="230" t="s">
        <v>531</v>
      </c>
      <c r="J616" s="230" t="s">
        <v>3273</v>
      </c>
      <c r="K616" s="230"/>
      <c r="L616" s="230" t="s">
        <v>2065</v>
      </c>
      <c r="M616" s="230" t="s">
        <v>4306</v>
      </c>
      <c r="N616" s="230" t="s">
        <v>3433</v>
      </c>
      <c r="O616" s="158"/>
      <c r="P616" s="92"/>
      <c r="Q616" s="146"/>
      <c r="R616" s="92"/>
      <c r="S616" s="146"/>
      <c r="T616" s="92"/>
      <c r="U616" s="146"/>
      <c r="V616" s="92"/>
      <c r="W616" s="146"/>
      <c r="X616" s="92"/>
      <c r="Y616" s="146"/>
      <c r="Z616" s="186" t="str">
        <f t="shared" si="40"/>
        <v/>
      </c>
      <c r="AA616" s="217" t="b">
        <f t="shared" si="39"/>
        <v>0</v>
      </c>
      <c r="AB616" s="92"/>
      <c r="AC616" s="164" t="s">
        <v>6</v>
      </c>
      <c r="AD616" s="151" t="str">
        <f t="shared" si="41"/>
        <v>GUARULHOS</v>
      </c>
      <c r="AE616" s="96" t="s">
        <v>63</v>
      </c>
      <c r="AF616" s="53">
        <v>0.83995609483148903</v>
      </c>
      <c r="AG616" s="53" t="str" cm="1">
        <f t="array" ref="AG616">IF(OR(O616&lt;&gt;"", SUMPRODUCT(($AH$2:$AH$4999=AH616)*($AF$2:$AF$4999&lt;=AF616)) &lt;= (COUNTIF($AH$2:$AH$4999,AH616)*0.3)), "SORTEADO", "-")</f>
        <v>-</v>
      </c>
      <c r="AH616" s="257" t="str">
        <f t="shared" ref="AH616:AH679" si="42">TEXT(L616, "dd/mm/aaaa")</f>
        <v>25/04/2026</v>
      </c>
    </row>
    <row r="617" spans="1:34" ht="30" hidden="1" customHeight="1" x14ac:dyDescent="0.2">
      <c r="A617" s="230" t="s">
        <v>197</v>
      </c>
      <c r="B617" s="230">
        <v>2617361910</v>
      </c>
      <c r="C617" s="230" t="s">
        <v>130</v>
      </c>
      <c r="D617" s="230" t="s">
        <v>63</v>
      </c>
      <c r="E617" s="230" t="s">
        <v>198</v>
      </c>
      <c r="F617" s="230" t="s">
        <v>2997</v>
      </c>
      <c r="G617" s="230">
        <v>90</v>
      </c>
      <c r="H617" s="230" t="s">
        <v>217</v>
      </c>
      <c r="I617" s="230" t="s">
        <v>683</v>
      </c>
      <c r="J617" s="230" t="s">
        <v>3271</v>
      </c>
      <c r="K617" s="230" t="s">
        <v>4307</v>
      </c>
      <c r="L617" s="230" t="s">
        <v>2065</v>
      </c>
      <c r="M617" s="230" t="s">
        <v>4308</v>
      </c>
      <c r="N617" s="230" t="s">
        <v>3433</v>
      </c>
      <c r="O617" s="158"/>
      <c r="P617" s="92"/>
      <c r="Q617" s="146"/>
      <c r="R617" s="92"/>
      <c r="S617" s="146"/>
      <c r="T617" s="92"/>
      <c r="U617" s="146"/>
      <c r="V617" s="92"/>
      <c r="W617" s="146"/>
      <c r="X617" s="92"/>
      <c r="Y617" s="146"/>
      <c r="Z617" s="186" t="str">
        <f t="shared" si="40"/>
        <v/>
      </c>
      <c r="AA617" s="217" t="b">
        <f t="shared" si="39"/>
        <v>0</v>
      </c>
      <c r="AB617" s="92"/>
      <c r="AC617" s="164" t="s">
        <v>6</v>
      </c>
      <c r="AD617" s="151" t="str">
        <f t="shared" si="41"/>
        <v>GUARULHOS</v>
      </c>
      <c r="AE617" s="96" t="s">
        <v>63</v>
      </c>
      <c r="AF617" s="53">
        <v>0.86171924290948076</v>
      </c>
      <c r="AG617" s="53" t="str" cm="1">
        <f t="array" ref="AG617">IF(OR(O617&lt;&gt;"", SUMPRODUCT(($AH$2:$AH$4999=AH617)*($AF$2:$AF$4999&lt;=AF617)) &lt;= (COUNTIF($AH$2:$AH$4999,AH617)*0.3)), "SORTEADO", "-")</f>
        <v>-</v>
      </c>
      <c r="AH617" s="257" t="str">
        <f t="shared" si="42"/>
        <v>25/04/2026</v>
      </c>
    </row>
    <row r="618" spans="1:34" ht="30" hidden="1" customHeight="1" x14ac:dyDescent="0.2">
      <c r="A618" s="230" t="s">
        <v>197</v>
      </c>
      <c r="B618" s="230">
        <v>2691491903</v>
      </c>
      <c r="C618" s="230" t="s">
        <v>127</v>
      </c>
      <c r="D618" s="230" t="s">
        <v>63</v>
      </c>
      <c r="E618" s="230" t="s">
        <v>198</v>
      </c>
      <c r="F618" s="230" t="s">
        <v>755</v>
      </c>
      <c r="G618" s="230">
        <v>228</v>
      </c>
      <c r="H618" s="230" t="s">
        <v>2684</v>
      </c>
      <c r="I618" s="230" t="s">
        <v>394</v>
      </c>
      <c r="J618" s="230" t="s">
        <v>3275</v>
      </c>
      <c r="K618" s="230"/>
      <c r="L618" s="230" t="s">
        <v>2065</v>
      </c>
      <c r="M618" s="230" t="s">
        <v>4309</v>
      </c>
      <c r="N618" s="230" t="s">
        <v>3338</v>
      </c>
      <c r="O618" s="158"/>
      <c r="P618" s="92"/>
      <c r="Q618" s="146"/>
      <c r="R618" s="92"/>
      <c r="S618" s="146"/>
      <c r="T618" s="92"/>
      <c r="U618" s="146"/>
      <c r="V618" s="92"/>
      <c r="W618" s="146"/>
      <c r="X618" s="92"/>
      <c r="Y618" s="146"/>
      <c r="Z618" s="186" t="str">
        <f t="shared" si="40"/>
        <v/>
      </c>
      <c r="AA618" s="217" t="b">
        <f t="shared" si="39"/>
        <v>0</v>
      </c>
      <c r="AB618" s="92"/>
      <c r="AC618" s="164" t="s">
        <v>6</v>
      </c>
      <c r="AD618" s="151" t="str">
        <f t="shared" si="41"/>
        <v>GUARULHOS</v>
      </c>
      <c r="AE618" s="96" t="s">
        <v>63</v>
      </c>
      <c r="AF618" s="53">
        <v>0.77122331558420743</v>
      </c>
      <c r="AG618" s="53" t="str" cm="1">
        <f t="array" ref="AG618">IF(OR(O618&lt;&gt;"", SUMPRODUCT(($AH$2:$AH$4999=AH618)*($AF$2:$AF$4999&lt;=AF618)) &lt;= (COUNTIF($AH$2:$AH$4999,AH618)*0.3)), "SORTEADO", "-")</f>
        <v>-</v>
      </c>
      <c r="AH618" s="257" t="str">
        <f t="shared" si="42"/>
        <v>25/04/2026</v>
      </c>
    </row>
    <row r="619" spans="1:34" ht="30" customHeight="1" x14ac:dyDescent="0.2">
      <c r="A619" s="230" t="s">
        <v>197</v>
      </c>
      <c r="B619" s="230">
        <v>2617339576</v>
      </c>
      <c r="C619" s="230" t="s">
        <v>127</v>
      </c>
      <c r="D619" s="230" t="s">
        <v>63</v>
      </c>
      <c r="E619" s="230" t="s">
        <v>198</v>
      </c>
      <c r="F619" s="230" t="s">
        <v>4310</v>
      </c>
      <c r="G619" s="230">
        <v>19</v>
      </c>
      <c r="H619" s="230" t="s">
        <v>1787</v>
      </c>
      <c r="I619" s="230" t="s">
        <v>394</v>
      </c>
      <c r="J619" s="230" t="s">
        <v>3275</v>
      </c>
      <c r="K619" s="230" t="s">
        <v>213</v>
      </c>
      <c r="L619" s="230" t="s">
        <v>2065</v>
      </c>
      <c r="M619" s="230" t="s">
        <v>4311</v>
      </c>
      <c r="N619" s="230" t="s">
        <v>3338</v>
      </c>
      <c r="O619" s="158" t="s">
        <v>204</v>
      </c>
      <c r="P619" s="92"/>
      <c r="Q619" s="146" t="s">
        <v>204</v>
      </c>
      <c r="R619" s="92"/>
      <c r="S619" s="146" t="s">
        <v>204</v>
      </c>
      <c r="T619" s="92"/>
      <c r="U619" s="146" t="s">
        <v>204</v>
      </c>
      <c r="V619" s="92"/>
      <c r="W619" s="146" t="s">
        <v>204</v>
      </c>
      <c r="X619" s="92"/>
      <c r="Y619" s="146" t="s">
        <v>204</v>
      </c>
      <c r="Z619" s="186" t="str">
        <f t="shared" si="40"/>
        <v>C</v>
      </c>
      <c r="AA619" s="217" t="str">
        <f t="shared" si="39"/>
        <v>UTILIZOU O PDA CORRETAMENTE</v>
      </c>
      <c r="AB619" s="92" t="s">
        <v>204</v>
      </c>
      <c r="AC619" s="164" t="s">
        <v>6</v>
      </c>
      <c r="AD619" s="151" t="str">
        <f t="shared" si="41"/>
        <v>GUARULHOS</v>
      </c>
      <c r="AE619" s="96" t="s">
        <v>63</v>
      </c>
      <c r="AF619" s="53">
        <v>0.14262254502707003</v>
      </c>
      <c r="AG619" s="53" t="str" cm="1">
        <f t="array" ref="AG619">IF(OR(O619&lt;&gt;"", SUMPRODUCT(($AH$2:$AH$4999=AH619)*($AF$2:$AF$4999&lt;=AF619)) &lt;= (COUNTIF($AH$2:$AH$4999,AH619)*0.3)), "SORTEADO", "-")</f>
        <v>SORTEADO</v>
      </c>
      <c r="AH619" s="257" t="str">
        <f t="shared" si="42"/>
        <v>25/04/2026</v>
      </c>
    </row>
    <row r="620" spans="1:34" ht="30" hidden="1" customHeight="1" x14ac:dyDescent="0.2">
      <c r="A620" s="230" t="s">
        <v>197</v>
      </c>
      <c r="B620" s="230">
        <v>2691500836</v>
      </c>
      <c r="C620" s="230" t="s">
        <v>127</v>
      </c>
      <c r="D620" s="230" t="s">
        <v>63</v>
      </c>
      <c r="E620" s="230" t="s">
        <v>198</v>
      </c>
      <c r="F620" s="230" t="s">
        <v>2246</v>
      </c>
      <c r="G620" s="230">
        <v>421</v>
      </c>
      <c r="H620" s="230" t="s">
        <v>4312</v>
      </c>
      <c r="I620" s="230" t="s">
        <v>797</v>
      </c>
      <c r="J620" s="230" t="s">
        <v>3275</v>
      </c>
      <c r="K620" s="230" t="s">
        <v>213</v>
      </c>
      <c r="L620" s="230" t="s">
        <v>2065</v>
      </c>
      <c r="M620" s="230" t="s">
        <v>4313</v>
      </c>
      <c r="N620" s="230" t="s">
        <v>3282</v>
      </c>
      <c r="O620" s="158"/>
      <c r="P620" s="92"/>
      <c r="Q620" s="146"/>
      <c r="R620" s="92"/>
      <c r="S620" s="146"/>
      <c r="T620" s="92"/>
      <c r="U620" s="146"/>
      <c r="V620" s="92"/>
      <c r="W620" s="146"/>
      <c r="X620" s="92"/>
      <c r="Y620" s="146"/>
      <c r="Z620" s="186" t="str">
        <f t="shared" si="40"/>
        <v/>
      </c>
      <c r="AA620" s="217" t="b">
        <f t="shared" si="39"/>
        <v>0</v>
      </c>
      <c r="AB620" s="92"/>
      <c r="AC620" s="164" t="s">
        <v>6</v>
      </c>
      <c r="AD620" s="151" t="str">
        <f t="shared" si="41"/>
        <v>GUARULHOS</v>
      </c>
      <c r="AE620" s="96" t="s">
        <v>63</v>
      </c>
      <c r="AF620" s="53">
        <v>0.77826366585496365</v>
      </c>
      <c r="AG620" s="53" t="str" cm="1">
        <f t="array" ref="AG620">IF(OR(O620&lt;&gt;"", SUMPRODUCT(($AH$2:$AH$4999=AH620)*($AF$2:$AF$4999&lt;=AF620)) &lt;= (COUNTIF($AH$2:$AH$4999,AH620)*0.3)), "SORTEADO", "-")</f>
        <v>-</v>
      </c>
      <c r="AH620" s="257" t="str">
        <f t="shared" si="42"/>
        <v>25/04/2026</v>
      </c>
    </row>
    <row r="621" spans="1:34" ht="30" hidden="1" customHeight="1" x14ac:dyDescent="0.2">
      <c r="A621" s="230" t="s">
        <v>197</v>
      </c>
      <c r="B621" s="230">
        <v>2691472309</v>
      </c>
      <c r="C621" s="230" t="s">
        <v>127</v>
      </c>
      <c r="D621" s="230" t="s">
        <v>63</v>
      </c>
      <c r="E621" s="230" t="s">
        <v>198</v>
      </c>
      <c r="F621" s="230" t="s">
        <v>1258</v>
      </c>
      <c r="G621" s="230">
        <v>86</v>
      </c>
      <c r="H621" s="230" t="s">
        <v>4314</v>
      </c>
      <c r="I621" s="230" t="s">
        <v>335</v>
      </c>
      <c r="J621" s="230" t="s">
        <v>3275</v>
      </c>
      <c r="K621" s="230" t="s">
        <v>213</v>
      </c>
      <c r="L621" s="230" t="s">
        <v>2065</v>
      </c>
      <c r="M621" s="230" t="s">
        <v>4315</v>
      </c>
      <c r="N621" s="230" t="s">
        <v>3276</v>
      </c>
      <c r="O621" s="158"/>
      <c r="P621" s="92"/>
      <c r="Q621" s="146"/>
      <c r="R621" s="92"/>
      <c r="S621" s="146"/>
      <c r="T621" s="92"/>
      <c r="U621" s="146"/>
      <c r="V621" s="92"/>
      <c r="W621" s="146"/>
      <c r="X621" s="92"/>
      <c r="Y621" s="146"/>
      <c r="Z621" s="186" t="str">
        <f t="shared" si="40"/>
        <v/>
      </c>
      <c r="AA621" s="217" t="b">
        <f t="shared" si="39"/>
        <v>0</v>
      </c>
      <c r="AB621" s="92"/>
      <c r="AC621" s="164" t="s">
        <v>6</v>
      </c>
      <c r="AD621" s="151" t="str">
        <f t="shared" si="41"/>
        <v>GUARULHOS</v>
      </c>
      <c r="AE621" s="96" t="s">
        <v>63</v>
      </c>
      <c r="AF621" s="53">
        <v>0.67805820121395888</v>
      </c>
      <c r="AG621" s="53" t="str" cm="1">
        <f t="array" ref="AG621">IF(OR(O621&lt;&gt;"", SUMPRODUCT(($AH$2:$AH$4999=AH621)*($AF$2:$AF$4999&lt;=AF621)) &lt;= (COUNTIF($AH$2:$AH$4999,AH621)*0.3)), "SORTEADO", "-")</f>
        <v>-</v>
      </c>
      <c r="AH621" s="257" t="str">
        <f t="shared" si="42"/>
        <v>25/04/2026</v>
      </c>
    </row>
    <row r="622" spans="1:34" ht="30" hidden="1" customHeight="1" x14ac:dyDescent="0.2">
      <c r="A622" s="230" t="s">
        <v>197</v>
      </c>
      <c r="B622" s="230">
        <v>2691519760</v>
      </c>
      <c r="C622" s="230" t="s">
        <v>130</v>
      </c>
      <c r="D622" s="230" t="s">
        <v>63</v>
      </c>
      <c r="E622" s="230" t="s">
        <v>198</v>
      </c>
      <c r="F622" s="230" t="s">
        <v>4119</v>
      </c>
      <c r="G622" s="230">
        <v>207</v>
      </c>
      <c r="H622" s="230" t="s">
        <v>4316</v>
      </c>
      <c r="I622" s="230" t="s">
        <v>708</v>
      </c>
      <c r="J622" s="230" t="s">
        <v>3271</v>
      </c>
      <c r="K622" s="230" t="s">
        <v>213</v>
      </c>
      <c r="L622" s="230" t="s">
        <v>2065</v>
      </c>
      <c r="M622" s="230" t="s">
        <v>4317</v>
      </c>
      <c r="N622" s="230" t="s">
        <v>3436</v>
      </c>
      <c r="O622" s="158"/>
      <c r="P622" s="92"/>
      <c r="Q622" s="146"/>
      <c r="R622" s="92"/>
      <c r="S622" s="146"/>
      <c r="T622" s="92"/>
      <c r="U622" s="146"/>
      <c r="V622" s="92"/>
      <c r="W622" s="146"/>
      <c r="X622" s="92"/>
      <c r="Y622" s="146"/>
      <c r="Z622" s="186" t="str">
        <f t="shared" si="40"/>
        <v/>
      </c>
      <c r="AA622" s="217" t="b">
        <f t="shared" si="39"/>
        <v>0</v>
      </c>
      <c r="AB622" s="92"/>
      <c r="AC622" s="164" t="s">
        <v>6</v>
      </c>
      <c r="AD622" s="151" t="str">
        <f t="shared" si="41"/>
        <v>GUARULHOS</v>
      </c>
      <c r="AE622" s="96" t="s">
        <v>63</v>
      </c>
      <c r="AF622" s="53">
        <v>0.54880291510167789</v>
      </c>
      <c r="AG622" s="53" t="str" cm="1">
        <f t="array" ref="AG622">IF(OR(O622&lt;&gt;"", SUMPRODUCT(($AH$2:$AH$4999=AH622)*($AF$2:$AF$4999&lt;=AF622)) &lt;= (COUNTIF($AH$2:$AH$4999,AH622)*0.3)), "SORTEADO", "-")</f>
        <v>-</v>
      </c>
      <c r="AH622" s="257" t="str">
        <f t="shared" si="42"/>
        <v>25/04/2026</v>
      </c>
    </row>
    <row r="623" spans="1:34" ht="30" hidden="1" customHeight="1" x14ac:dyDescent="0.2">
      <c r="A623" s="230" t="s">
        <v>197</v>
      </c>
      <c r="B623" s="230">
        <v>2691512474</v>
      </c>
      <c r="C623" s="230" t="s">
        <v>130</v>
      </c>
      <c r="D623" s="230" t="s">
        <v>63</v>
      </c>
      <c r="E623" s="230" t="s">
        <v>198</v>
      </c>
      <c r="F623" s="230" t="s">
        <v>4318</v>
      </c>
      <c r="G623" s="230">
        <v>58</v>
      </c>
      <c r="H623" s="230"/>
      <c r="I623" s="230" t="s">
        <v>4319</v>
      </c>
      <c r="J623" s="230" t="s">
        <v>3271</v>
      </c>
      <c r="K623" s="230"/>
      <c r="L623" s="230" t="s">
        <v>2065</v>
      </c>
      <c r="M623" s="230" t="s">
        <v>4320</v>
      </c>
      <c r="N623" s="230" t="s">
        <v>3436</v>
      </c>
      <c r="O623" s="158"/>
      <c r="P623" s="92"/>
      <c r="Q623" s="146"/>
      <c r="R623" s="92"/>
      <c r="S623" s="146"/>
      <c r="T623" s="92"/>
      <c r="U623" s="146"/>
      <c r="V623" s="92"/>
      <c r="W623" s="146"/>
      <c r="X623" s="92"/>
      <c r="Y623" s="146"/>
      <c r="Z623" s="186" t="str">
        <f t="shared" si="40"/>
        <v/>
      </c>
      <c r="AA623" s="217" t="b">
        <f t="shared" si="39"/>
        <v>0</v>
      </c>
      <c r="AB623" s="92"/>
      <c r="AC623" s="164" t="s">
        <v>6</v>
      </c>
      <c r="AD623" s="151" t="str">
        <f t="shared" si="41"/>
        <v>GUARULHOS</v>
      </c>
      <c r="AE623" s="96" t="s">
        <v>63</v>
      </c>
      <c r="AF623" s="53">
        <v>0.55159480607636058</v>
      </c>
      <c r="AG623" s="53" t="str" cm="1">
        <f t="array" ref="AG623">IF(OR(O623&lt;&gt;"", SUMPRODUCT(($AH$2:$AH$4999=AH623)*($AF$2:$AF$4999&lt;=AF623)) &lt;= (COUNTIF($AH$2:$AH$4999,AH623)*0.3)), "SORTEADO", "-")</f>
        <v>-</v>
      </c>
      <c r="AH623" s="257" t="str">
        <f t="shared" si="42"/>
        <v>25/04/2026</v>
      </c>
    </row>
    <row r="624" spans="1:34" ht="30" customHeight="1" x14ac:dyDescent="0.2">
      <c r="A624" s="230" t="s">
        <v>197</v>
      </c>
      <c r="B624" s="230">
        <v>2617160148</v>
      </c>
      <c r="C624" s="230" t="s">
        <v>135</v>
      </c>
      <c r="D624" s="230" t="s">
        <v>124</v>
      </c>
      <c r="E624" s="230" t="s">
        <v>198</v>
      </c>
      <c r="F624" s="230" t="s">
        <v>908</v>
      </c>
      <c r="G624" s="230">
        <v>4201</v>
      </c>
      <c r="H624" s="230" t="s">
        <v>4321</v>
      </c>
      <c r="I624" s="230" t="s">
        <v>509</v>
      </c>
      <c r="J624" s="230" t="s">
        <v>3280</v>
      </c>
      <c r="K624" s="230" t="s">
        <v>4322</v>
      </c>
      <c r="L624" s="230" t="s">
        <v>2065</v>
      </c>
      <c r="M624" s="230" t="s">
        <v>4323</v>
      </c>
      <c r="N624" s="230" t="s">
        <v>408</v>
      </c>
      <c r="O624" s="233" t="s">
        <v>328</v>
      </c>
      <c r="P624" s="169"/>
      <c r="Q624" s="144" t="s">
        <v>328</v>
      </c>
      <c r="R624" s="56"/>
      <c r="S624" s="144" t="s">
        <v>328</v>
      </c>
      <c r="T624" s="56"/>
      <c r="U624" s="144" t="s">
        <v>328</v>
      </c>
      <c r="V624" s="56"/>
      <c r="W624" s="144" t="s">
        <v>328</v>
      </c>
      <c r="X624" s="56"/>
      <c r="Y624" s="144" t="s">
        <v>210</v>
      </c>
      <c r="Z624" s="186" t="str">
        <f t="shared" si="40"/>
        <v>NC</v>
      </c>
      <c r="AA624" s="217" t="str">
        <f t="shared" si="39"/>
        <v>NÃO UTILIZOU O PDA</v>
      </c>
      <c r="AB624" s="92" t="s">
        <v>204</v>
      </c>
      <c r="AC624" s="164" t="s">
        <v>6</v>
      </c>
      <c r="AD624" s="151" t="str">
        <f t="shared" si="41"/>
        <v>GUARULHOS</v>
      </c>
      <c r="AE624" s="96" t="s">
        <v>63</v>
      </c>
      <c r="AF624" s="53">
        <v>0.1045270869149854</v>
      </c>
      <c r="AG624" s="53" t="str" cm="1">
        <f t="array" ref="AG624">IF(OR(O624&lt;&gt;"", SUMPRODUCT(($AH$2:$AH$4999=AH624)*($AF$2:$AF$4999&lt;=AF624)) &lt;= (COUNTIF($AH$2:$AH$4999,AH624)*0.3)), "SORTEADO", "-")</f>
        <v>SORTEADO</v>
      </c>
      <c r="AH624" s="257" t="str">
        <f t="shared" si="42"/>
        <v>25/04/2026</v>
      </c>
    </row>
    <row r="625" spans="1:34" ht="30" hidden="1" customHeight="1" x14ac:dyDescent="0.2">
      <c r="A625" s="230" t="s">
        <v>197</v>
      </c>
      <c r="B625" s="230">
        <v>2691523803</v>
      </c>
      <c r="C625" s="230" t="s">
        <v>127</v>
      </c>
      <c r="D625" s="230" t="s">
        <v>63</v>
      </c>
      <c r="E625" s="230" t="s">
        <v>198</v>
      </c>
      <c r="F625" s="230" t="s">
        <v>4324</v>
      </c>
      <c r="G625" s="230">
        <v>183</v>
      </c>
      <c r="H625" s="230" t="s">
        <v>4325</v>
      </c>
      <c r="I625" s="230" t="s">
        <v>436</v>
      </c>
      <c r="J625" s="230" t="s">
        <v>3275</v>
      </c>
      <c r="K625" s="230"/>
      <c r="L625" s="230" t="s">
        <v>2065</v>
      </c>
      <c r="M625" s="230" t="s">
        <v>4326</v>
      </c>
      <c r="N625" s="230" t="s">
        <v>3436</v>
      </c>
      <c r="O625" s="158"/>
      <c r="P625" s="92"/>
      <c r="Q625" s="146"/>
      <c r="R625" s="92"/>
      <c r="S625" s="146"/>
      <c r="T625" s="92"/>
      <c r="U625" s="146"/>
      <c r="V625" s="92"/>
      <c r="W625" s="146"/>
      <c r="X625" s="92"/>
      <c r="Y625" s="146"/>
      <c r="Z625" s="186" t="str">
        <f t="shared" si="40"/>
        <v/>
      </c>
      <c r="AA625" s="217" t="b">
        <f t="shared" si="39"/>
        <v>0</v>
      </c>
      <c r="AB625" s="92"/>
      <c r="AC625" s="164" t="s">
        <v>6</v>
      </c>
      <c r="AD625" s="151" t="str">
        <f t="shared" si="41"/>
        <v>GUARULHOS</v>
      </c>
      <c r="AE625" s="96" t="s">
        <v>63</v>
      </c>
      <c r="AF625" s="53">
        <v>0.26869657543572645</v>
      </c>
      <c r="AG625" s="53" t="str" cm="1">
        <f t="array" ref="AG625">IF(OR(O625&lt;&gt;"", SUMPRODUCT(($AH$2:$AH$4999=AH625)*($AF$2:$AF$4999&lt;=AF625)) &lt;= (COUNTIF($AH$2:$AH$4999,AH625)*0.3)), "SORTEADO", "-")</f>
        <v>-</v>
      </c>
      <c r="AH625" s="257" t="str">
        <f t="shared" si="42"/>
        <v>25/04/2026</v>
      </c>
    </row>
    <row r="626" spans="1:34" ht="30" hidden="1" customHeight="1" x14ac:dyDescent="0.2">
      <c r="A626" s="230" t="s">
        <v>197</v>
      </c>
      <c r="B626" s="230">
        <v>2617448214</v>
      </c>
      <c r="C626" s="230" t="s">
        <v>135</v>
      </c>
      <c r="D626" s="230" t="s">
        <v>124</v>
      </c>
      <c r="E626" s="230" t="s">
        <v>198</v>
      </c>
      <c r="F626" s="230" t="s">
        <v>1199</v>
      </c>
      <c r="G626" s="230">
        <v>1</v>
      </c>
      <c r="H626" s="230" t="s">
        <v>206</v>
      </c>
      <c r="I626" s="230" t="s">
        <v>685</v>
      </c>
      <c r="J626" s="230" t="s">
        <v>3280</v>
      </c>
      <c r="K626" s="230" t="s">
        <v>4327</v>
      </c>
      <c r="L626" s="230" t="s">
        <v>2065</v>
      </c>
      <c r="M626" s="230" t="s">
        <v>4328</v>
      </c>
      <c r="N626" s="230" t="s">
        <v>3282</v>
      </c>
      <c r="O626" s="158"/>
      <c r="P626" s="92"/>
      <c r="Q626" s="146"/>
      <c r="R626" s="92"/>
      <c r="S626" s="146"/>
      <c r="T626" s="92"/>
      <c r="U626" s="146"/>
      <c r="V626" s="92"/>
      <c r="W626" s="146"/>
      <c r="X626" s="92"/>
      <c r="Y626" s="146"/>
      <c r="Z626" s="186" t="str">
        <f t="shared" si="40"/>
        <v/>
      </c>
      <c r="AA626" s="217" t="b">
        <f t="shared" si="39"/>
        <v>0</v>
      </c>
      <c r="AB626" s="92"/>
      <c r="AC626" s="164" t="s">
        <v>6</v>
      </c>
      <c r="AD626" s="151" t="str">
        <f t="shared" si="41"/>
        <v>GUARULHOS</v>
      </c>
      <c r="AE626" s="96" t="s">
        <v>63</v>
      </c>
      <c r="AF626" s="53">
        <v>0.63253131655706074</v>
      </c>
      <c r="AG626" s="53" t="str" cm="1">
        <f t="array" ref="AG626">IF(OR(O626&lt;&gt;"", SUMPRODUCT(($AH$2:$AH$4999=AH626)*($AF$2:$AF$4999&lt;=AF626)) &lt;= (COUNTIF($AH$2:$AH$4999,AH626)*0.3)), "SORTEADO", "-")</f>
        <v>-</v>
      </c>
      <c r="AH626" s="257" t="str">
        <f t="shared" si="42"/>
        <v>25/04/2026</v>
      </c>
    </row>
    <row r="627" spans="1:34" ht="30" hidden="1" customHeight="1" x14ac:dyDescent="0.2">
      <c r="A627" s="230" t="s">
        <v>197</v>
      </c>
      <c r="B627" s="230">
        <v>2691441110</v>
      </c>
      <c r="C627" s="230" t="s">
        <v>129</v>
      </c>
      <c r="D627" s="230" t="s">
        <v>124</v>
      </c>
      <c r="E627" s="230" t="s">
        <v>198</v>
      </c>
      <c r="F627" s="230" t="s">
        <v>1555</v>
      </c>
      <c r="G627" s="230">
        <v>220</v>
      </c>
      <c r="H627" s="230" t="s">
        <v>4329</v>
      </c>
      <c r="I627" s="230" t="s">
        <v>269</v>
      </c>
      <c r="J627" s="230" t="s">
        <v>3307</v>
      </c>
      <c r="K627" s="230" t="s">
        <v>4330</v>
      </c>
      <c r="L627" s="230" t="s">
        <v>2065</v>
      </c>
      <c r="M627" s="230" t="s">
        <v>4331</v>
      </c>
      <c r="N627" s="230" t="s">
        <v>381</v>
      </c>
      <c r="O627" s="158"/>
      <c r="P627" s="92"/>
      <c r="Q627" s="146"/>
      <c r="R627" s="92"/>
      <c r="S627" s="146"/>
      <c r="T627" s="92"/>
      <c r="U627" s="146"/>
      <c r="V627" s="92"/>
      <c r="W627" s="146"/>
      <c r="X627" s="92"/>
      <c r="Y627" s="146"/>
      <c r="Z627" s="186" t="str">
        <f t="shared" si="40"/>
        <v/>
      </c>
      <c r="AA627" s="217" t="b">
        <f t="shared" si="39"/>
        <v>0</v>
      </c>
      <c r="AB627" s="92"/>
      <c r="AC627" s="164" t="s">
        <v>6</v>
      </c>
      <c r="AD627" s="151" t="str">
        <f t="shared" si="41"/>
        <v>GUARULHOS</v>
      </c>
      <c r="AE627" s="96" t="s">
        <v>63</v>
      </c>
      <c r="AF627" s="53">
        <v>0.58588604904746011</v>
      </c>
      <c r="AG627" s="53" t="str" cm="1">
        <f t="array" ref="AG627">IF(OR(O627&lt;&gt;"", SUMPRODUCT(($AH$2:$AH$4999=AH627)*($AF$2:$AF$4999&lt;=AF627)) &lt;= (COUNTIF($AH$2:$AH$4999,AH627)*0.3)), "SORTEADO", "-")</f>
        <v>-</v>
      </c>
      <c r="AH627" s="257" t="str">
        <f t="shared" si="42"/>
        <v>25/04/2026</v>
      </c>
    </row>
    <row r="628" spans="1:34" ht="30" hidden="1" customHeight="1" x14ac:dyDescent="0.2">
      <c r="A628" s="230" t="s">
        <v>197</v>
      </c>
      <c r="B628" s="230">
        <v>2617452063</v>
      </c>
      <c r="C628" s="230" t="s">
        <v>135</v>
      </c>
      <c r="D628" s="230" t="s">
        <v>124</v>
      </c>
      <c r="E628" s="230" t="s">
        <v>198</v>
      </c>
      <c r="F628" s="230" t="s">
        <v>658</v>
      </c>
      <c r="G628" s="230">
        <v>89</v>
      </c>
      <c r="H628" s="230" t="s">
        <v>206</v>
      </c>
      <c r="I628" s="230" t="s">
        <v>660</v>
      </c>
      <c r="J628" s="230" t="s">
        <v>3280</v>
      </c>
      <c r="K628" s="230" t="s">
        <v>4332</v>
      </c>
      <c r="L628" s="230" t="s">
        <v>2065</v>
      </c>
      <c r="M628" s="230" t="s">
        <v>4333</v>
      </c>
      <c r="N628" s="230" t="s">
        <v>3338</v>
      </c>
      <c r="O628" s="158"/>
      <c r="P628" s="92"/>
      <c r="Q628" s="146"/>
      <c r="R628" s="92"/>
      <c r="S628" s="146"/>
      <c r="T628" s="92"/>
      <c r="U628" s="146"/>
      <c r="V628" s="92"/>
      <c r="W628" s="146"/>
      <c r="X628" s="92"/>
      <c r="Y628" s="146"/>
      <c r="Z628" s="186" t="str">
        <f t="shared" si="40"/>
        <v/>
      </c>
      <c r="AA628" s="217" t="b">
        <f t="shared" si="39"/>
        <v>0</v>
      </c>
      <c r="AB628" s="92"/>
      <c r="AC628" s="164" t="s">
        <v>6</v>
      </c>
      <c r="AD628" s="151" t="str">
        <f t="shared" si="41"/>
        <v>GUARULHOS</v>
      </c>
      <c r="AE628" s="96" t="s">
        <v>63</v>
      </c>
      <c r="AF628" s="53">
        <v>0.80691762545552337</v>
      </c>
      <c r="AG628" s="53" t="str" cm="1">
        <f t="array" ref="AG628">IF(OR(O628&lt;&gt;"", SUMPRODUCT(($AH$2:$AH$4999=AH628)*($AF$2:$AF$4999&lt;=AF628)) &lt;= (COUNTIF($AH$2:$AH$4999,AH628)*0.3)), "SORTEADO", "-")</f>
        <v>-</v>
      </c>
      <c r="AH628" s="257" t="str">
        <f t="shared" si="42"/>
        <v>25/04/2026</v>
      </c>
    </row>
    <row r="629" spans="1:34" ht="30" customHeight="1" x14ac:dyDescent="0.2">
      <c r="A629" s="230" t="s">
        <v>197</v>
      </c>
      <c r="B629" s="230">
        <v>2691533662</v>
      </c>
      <c r="C629" s="230" t="s">
        <v>127</v>
      </c>
      <c r="D629" s="230" t="s">
        <v>63</v>
      </c>
      <c r="E629" s="230" t="s">
        <v>198</v>
      </c>
      <c r="F629" s="230" t="s">
        <v>1424</v>
      </c>
      <c r="G629" s="230">
        <v>112</v>
      </c>
      <c r="H629" s="230" t="s">
        <v>4334</v>
      </c>
      <c r="I629" s="230" t="s">
        <v>258</v>
      </c>
      <c r="J629" s="230" t="s">
        <v>3275</v>
      </c>
      <c r="K629" s="230"/>
      <c r="L629" s="230" t="s">
        <v>2065</v>
      </c>
      <c r="M629" s="230" t="s">
        <v>4335</v>
      </c>
      <c r="N629" s="230" t="s">
        <v>3296</v>
      </c>
      <c r="O629" s="158" t="s">
        <v>204</v>
      </c>
      <c r="P629" s="92"/>
      <c r="Q629" s="146" t="s">
        <v>204</v>
      </c>
      <c r="R629" s="92"/>
      <c r="S629" s="146" t="s">
        <v>204</v>
      </c>
      <c r="T629" s="92"/>
      <c r="U629" s="146" t="s">
        <v>204</v>
      </c>
      <c r="V629" s="92"/>
      <c r="W629" s="146" t="s">
        <v>204</v>
      </c>
      <c r="X629" s="92"/>
      <c r="Y629" s="146" t="s">
        <v>204</v>
      </c>
      <c r="Z629" s="186" t="str">
        <f t="shared" si="40"/>
        <v>C</v>
      </c>
      <c r="AA629" s="217" t="str">
        <f t="shared" si="39"/>
        <v>UTILIZOU O PDA CORRETAMENTE</v>
      </c>
      <c r="AB629" s="92" t="s">
        <v>204</v>
      </c>
      <c r="AC629" s="164" t="s">
        <v>6</v>
      </c>
      <c r="AD629" s="151" t="str">
        <f t="shared" si="41"/>
        <v>GUARULHOS</v>
      </c>
      <c r="AE629" s="96" t="s">
        <v>63</v>
      </c>
      <c r="AF629" s="53">
        <v>0.11347018362046492</v>
      </c>
      <c r="AG629" s="53" t="str" cm="1">
        <f t="array" ref="AG629">IF(OR(O629&lt;&gt;"", SUMPRODUCT(($AH$2:$AH$4999=AH629)*($AF$2:$AF$4999&lt;=AF629)) &lt;= (COUNTIF($AH$2:$AH$4999,AH629)*0.3)), "SORTEADO", "-")</f>
        <v>SORTEADO</v>
      </c>
      <c r="AH629" s="257" t="str">
        <f t="shared" si="42"/>
        <v>25/04/2026</v>
      </c>
    </row>
    <row r="630" spans="1:34" ht="30" customHeight="1" x14ac:dyDescent="0.2">
      <c r="A630" s="230" t="s">
        <v>197</v>
      </c>
      <c r="B630" s="230">
        <v>2691536561</v>
      </c>
      <c r="C630" s="230" t="s">
        <v>127</v>
      </c>
      <c r="D630" s="230" t="s">
        <v>63</v>
      </c>
      <c r="E630" s="230" t="s">
        <v>198</v>
      </c>
      <c r="F630" s="230" t="s">
        <v>4336</v>
      </c>
      <c r="G630" s="230">
        <v>64</v>
      </c>
      <c r="H630" s="230" t="s">
        <v>4337</v>
      </c>
      <c r="I630" s="230" t="s">
        <v>240</v>
      </c>
      <c r="J630" s="230" t="s">
        <v>3275</v>
      </c>
      <c r="K630" s="230" t="s">
        <v>213</v>
      </c>
      <c r="L630" s="230" t="s">
        <v>2065</v>
      </c>
      <c r="M630" s="230" t="s">
        <v>4338</v>
      </c>
      <c r="N630" s="230" t="s">
        <v>3338</v>
      </c>
      <c r="O630" s="158" t="s">
        <v>204</v>
      </c>
      <c r="P630" s="92"/>
      <c r="Q630" s="146" t="s">
        <v>204</v>
      </c>
      <c r="R630" s="92"/>
      <c r="S630" s="146" t="s">
        <v>204</v>
      </c>
      <c r="T630" s="92"/>
      <c r="U630" s="146" t="s">
        <v>204</v>
      </c>
      <c r="V630" s="92"/>
      <c r="W630" s="146" t="s">
        <v>204</v>
      </c>
      <c r="X630" s="92"/>
      <c r="Y630" s="146" t="s">
        <v>204</v>
      </c>
      <c r="Z630" s="186" t="str">
        <f t="shared" si="40"/>
        <v>C</v>
      </c>
      <c r="AA630" s="217" t="str">
        <f t="shared" si="39"/>
        <v>UTILIZOU O PDA CORRETAMENTE</v>
      </c>
      <c r="AB630" s="92" t="s">
        <v>204</v>
      </c>
      <c r="AC630" s="164" t="s">
        <v>6</v>
      </c>
      <c r="AD630" s="151" t="str">
        <f t="shared" si="41"/>
        <v>GUARULHOS</v>
      </c>
      <c r="AE630" s="96" t="s">
        <v>63</v>
      </c>
      <c r="AF630" s="53">
        <v>0.19240313191362077</v>
      </c>
      <c r="AG630" s="53" t="str" cm="1">
        <f t="array" ref="AG630">IF(OR(O630&lt;&gt;"", SUMPRODUCT(($AH$2:$AH$4999=AH630)*($AF$2:$AF$4999&lt;=AF630)) &lt;= (COUNTIF($AH$2:$AH$4999,AH630)*0.3)), "SORTEADO", "-")</f>
        <v>SORTEADO</v>
      </c>
      <c r="AH630" s="257" t="str">
        <f t="shared" si="42"/>
        <v>25/04/2026</v>
      </c>
    </row>
    <row r="631" spans="1:34" ht="30" hidden="1" customHeight="1" x14ac:dyDescent="0.2">
      <c r="A631" s="230" t="s">
        <v>197</v>
      </c>
      <c r="B631" s="230">
        <v>2617451450</v>
      </c>
      <c r="C631" s="230" t="s">
        <v>128</v>
      </c>
      <c r="D631" s="230" t="s">
        <v>124</v>
      </c>
      <c r="E631" s="230" t="s">
        <v>198</v>
      </c>
      <c r="F631" s="230" t="s">
        <v>4339</v>
      </c>
      <c r="G631" s="230">
        <v>192</v>
      </c>
      <c r="H631" s="230" t="s">
        <v>4340</v>
      </c>
      <c r="I631" s="230" t="s">
        <v>207</v>
      </c>
      <c r="J631" s="230" t="s">
        <v>3385</v>
      </c>
      <c r="K631" s="230"/>
      <c r="L631" s="230" t="s">
        <v>2065</v>
      </c>
      <c r="M631" s="230" t="s">
        <v>4341</v>
      </c>
      <c r="N631" s="230" t="s">
        <v>3436</v>
      </c>
      <c r="O631" s="158"/>
      <c r="P631" s="92"/>
      <c r="Q631" s="146"/>
      <c r="R631" s="92"/>
      <c r="S631" s="146"/>
      <c r="T631" s="92"/>
      <c r="U631" s="146"/>
      <c r="V631" s="92"/>
      <c r="W631" s="146"/>
      <c r="X631" s="92"/>
      <c r="Y631" s="146"/>
      <c r="Z631" s="186" t="str">
        <f t="shared" si="40"/>
        <v/>
      </c>
      <c r="AA631" s="217" t="b">
        <f t="shared" si="39"/>
        <v>0</v>
      </c>
      <c r="AB631" s="92"/>
      <c r="AC631" s="164" t="s">
        <v>6</v>
      </c>
      <c r="AD631" s="151" t="str">
        <f t="shared" si="41"/>
        <v>GUARULHOS</v>
      </c>
      <c r="AE631" s="96" t="s">
        <v>63</v>
      </c>
      <c r="AF631" s="53">
        <v>0.89362783725603123</v>
      </c>
      <c r="AG631" s="53" t="str" cm="1">
        <f t="array" ref="AG631">IF(OR(O631&lt;&gt;"", SUMPRODUCT(($AH$2:$AH$4999=AH631)*($AF$2:$AF$4999&lt;=AF631)) &lt;= (COUNTIF($AH$2:$AH$4999,AH631)*0.3)), "SORTEADO", "-")</f>
        <v>-</v>
      </c>
      <c r="AH631" s="257" t="str">
        <f t="shared" si="42"/>
        <v>25/04/2026</v>
      </c>
    </row>
    <row r="632" spans="1:34" ht="30" hidden="1" customHeight="1" x14ac:dyDescent="0.2">
      <c r="A632" s="230" t="s">
        <v>197</v>
      </c>
      <c r="B632" s="230">
        <v>2691535960</v>
      </c>
      <c r="C632" s="230" t="s">
        <v>127</v>
      </c>
      <c r="D632" s="230" t="s">
        <v>63</v>
      </c>
      <c r="E632" s="230" t="s">
        <v>198</v>
      </c>
      <c r="F632" s="230" t="s">
        <v>468</v>
      </c>
      <c r="G632" s="230">
        <v>195</v>
      </c>
      <c r="H632" s="230" t="s">
        <v>206</v>
      </c>
      <c r="I632" s="230" t="s">
        <v>2099</v>
      </c>
      <c r="J632" s="230" t="s">
        <v>3275</v>
      </c>
      <c r="K632" s="230" t="s">
        <v>213</v>
      </c>
      <c r="L632" s="230" t="s">
        <v>2065</v>
      </c>
      <c r="M632" s="230" t="s">
        <v>4342</v>
      </c>
      <c r="N632" s="230" t="s">
        <v>3276</v>
      </c>
      <c r="O632" s="158"/>
      <c r="P632" s="92"/>
      <c r="Q632" s="146"/>
      <c r="R632" s="92"/>
      <c r="S632" s="146"/>
      <c r="T632" s="92"/>
      <c r="U632" s="146"/>
      <c r="V632" s="92"/>
      <c r="W632" s="146"/>
      <c r="X632" s="92"/>
      <c r="Y632" s="146"/>
      <c r="Z632" s="186" t="str">
        <f t="shared" si="40"/>
        <v/>
      </c>
      <c r="AA632" s="217" t="b">
        <f t="shared" si="39"/>
        <v>0</v>
      </c>
      <c r="AB632" s="92"/>
      <c r="AC632" s="164" t="s">
        <v>6</v>
      </c>
      <c r="AD632" s="151" t="str">
        <f t="shared" si="41"/>
        <v>GUARULHOS</v>
      </c>
      <c r="AE632" s="96" t="s">
        <v>63</v>
      </c>
      <c r="AF632" s="53">
        <v>0.69156063425686987</v>
      </c>
      <c r="AG632" s="53" t="str" cm="1">
        <f t="array" ref="AG632">IF(OR(O632&lt;&gt;"", SUMPRODUCT(($AH$2:$AH$4999=AH632)*($AF$2:$AF$4999&lt;=AF632)) &lt;= (COUNTIF($AH$2:$AH$4999,AH632)*0.3)), "SORTEADO", "-")</f>
        <v>-</v>
      </c>
      <c r="AH632" s="257" t="str">
        <f t="shared" si="42"/>
        <v>25/04/2026</v>
      </c>
    </row>
    <row r="633" spans="1:34" ht="30" hidden="1" customHeight="1" x14ac:dyDescent="0.2">
      <c r="A633" s="230" t="s">
        <v>197</v>
      </c>
      <c r="B633" s="230">
        <v>2617444578</v>
      </c>
      <c r="C633" s="230" t="s">
        <v>133</v>
      </c>
      <c r="D633" s="230" t="s">
        <v>124</v>
      </c>
      <c r="E633" s="230" t="s">
        <v>198</v>
      </c>
      <c r="F633" s="230" t="s">
        <v>2103</v>
      </c>
      <c r="G633" s="230">
        <v>35</v>
      </c>
      <c r="H633" s="230"/>
      <c r="I633" s="230" t="s">
        <v>2105</v>
      </c>
      <c r="J633" s="230" t="s">
        <v>3275</v>
      </c>
      <c r="K633" s="230"/>
      <c r="L633" s="230" t="s">
        <v>2065</v>
      </c>
      <c r="M633" s="230" t="s">
        <v>4343</v>
      </c>
      <c r="N633" s="230" t="s">
        <v>3282</v>
      </c>
      <c r="O633" s="158"/>
      <c r="P633" s="92"/>
      <c r="Q633" s="146"/>
      <c r="R633" s="92"/>
      <c r="S633" s="146"/>
      <c r="T633" s="92"/>
      <c r="U633" s="146"/>
      <c r="V633" s="92"/>
      <c r="W633" s="146"/>
      <c r="X633" s="92"/>
      <c r="Y633" s="146"/>
      <c r="Z633" s="186" t="str">
        <f t="shared" si="40"/>
        <v/>
      </c>
      <c r="AA633" s="217" t="b">
        <f t="shared" si="39"/>
        <v>0</v>
      </c>
      <c r="AB633" s="92"/>
      <c r="AC633" s="164" t="s">
        <v>6</v>
      </c>
      <c r="AD633" s="151" t="str">
        <f t="shared" si="41"/>
        <v>GUARULHOS</v>
      </c>
      <c r="AE633" s="96" t="s">
        <v>63</v>
      </c>
      <c r="AF633" s="53">
        <v>0.23065163290512503</v>
      </c>
      <c r="AG633" s="53" t="str" cm="1">
        <f t="array" ref="AG633">IF(OR(O633&lt;&gt;"", SUMPRODUCT(($AH$2:$AH$4999=AH633)*($AF$2:$AF$4999&lt;=AF633)) &lt;= (COUNTIF($AH$2:$AH$4999,AH633)*0.3)), "SORTEADO", "-")</f>
        <v>-</v>
      </c>
      <c r="AH633" s="257" t="str">
        <f t="shared" si="42"/>
        <v>25/04/2026</v>
      </c>
    </row>
    <row r="634" spans="1:34" ht="30" hidden="1" customHeight="1" x14ac:dyDescent="0.2">
      <c r="A634" s="230" t="s">
        <v>197</v>
      </c>
      <c r="B634" s="230">
        <v>2691540433</v>
      </c>
      <c r="C634" s="230" t="s">
        <v>127</v>
      </c>
      <c r="D634" s="230" t="s">
        <v>63</v>
      </c>
      <c r="E634" s="230" t="s">
        <v>198</v>
      </c>
      <c r="F634" s="230" t="s">
        <v>1141</v>
      </c>
      <c r="G634" s="230">
        <v>416</v>
      </c>
      <c r="H634" s="230"/>
      <c r="I634" s="230" t="s">
        <v>893</v>
      </c>
      <c r="J634" s="230" t="s">
        <v>3275</v>
      </c>
      <c r="K634" s="230"/>
      <c r="L634" s="230" t="s">
        <v>1935</v>
      </c>
      <c r="M634" s="230" t="s">
        <v>4344</v>
      </c>
      <c r="N634" s="230" t="s">
        <v>3436</v>
      </c>
      <c r="O634" s="158"/>
      <c r="P634" s="92"/>
      <c r="Q634" s="146"/>
      <c r="R634" s="92"/>
      <c r="S634" s="146"/>
      <c r="T634" s="92"/>
      <c r="U634" s="146"/>
      <c r="V634" s="92"/>
      <c r="W634" s="146"/>
      <c r="X634" s="92"/>
      <c r="Y634" s="146"/>
      <c r="Z634" s="186" t="str">
        <f t="shared" si="40"/>
        <v/>
      </c>
      <c r="AA634" s="217" t="b">
        <f t="shared" si="39"/>
        <v>0</v>
      </c>
      <c r="AB634" s="92"/>
      <c r="AC634" s="164" t="s">
        <v>6</v>
      </c>
      <c r="AD634" s="151" t="str">
        <f t="shared" si="41"/>
        <v>GUARULHOS</v>
      </c>
      <c r="AE634" s="96" t="s">
        <v>63</v>
      </c>
      <c r="AF634" s="53">
        <v>0.5663137475366613</v>
      </c>
      <c r="AG634" s="53" t="str" cm="1">
        <f t="array" ref="AG634">IF(OR(O634&lt;&gt;"", SUMPRODUCT(($AH$2:$AH$4999=AH634)*($AF$2:$AF$4999&lt;=AF634)) &lt;= (COUNTIF($AH$2:$AH$4999,AH634)*0.3)), "SORTEADO", "-")</f>
        <v>-</v>
      </c>
      <c r="AH634" s="257" t="str">
        <f t="shared" si="42"/>
        <v>26/04/2026</v>
      </c>
    </row>
    <row r="635" spans="1:34" ht="30" hidden="1" customHeight="1" x14ac:dyDescent="0.2">
      <c r="A635" s="230" t="s">
        <v>197</v>
      </c>
      <c r="B635" s="230">
        <v>2691554240</v>
      </c>
      <c r="C635" s="230" t="s">
        <v>127</v>
      </c>
      <c r="D635" s="230" t="s">
        <v>63</v>
      </c>
      <c r="E635" s="230" t="s">
        <v>198</v>
      </c>
      <c r="F635" s="230" t="s">
        <v>4345</v>
      </c>
      <c r="G635" s="230">
        <v>68</v>
      </c>
      <c r="H635" s="230" t="s">
        <v>213</v>
      </c>
      <c r="I635" s="230" t="s">
        <v>1944</v>
      </c>
      <c r="J635" s="230" t="s">
        <v>3275</v>
      </c>
      <c r="K635" s="230" t="s">
        <v>213</v>
      </c>
      <c r="L635" s="230" t="s">
        <v>1935</v>
      </c>
      <c r="M635" s="230" t="s">
        <v>4346</v>
      </c>
      <c r="N635" s="230" t="s">
        <v>3436</v>
      </c>
      <c r="O635" s="158"/>
      <c r="P635" s="92"/>
      <c r="Q635" s="146"/>
      <c r="R635" s="92"/>
      <c r="S635" s="146"/>
      <c r="T635" s="92"/>
      <c r="U635" s="146"/>
      <c r="V635" s="92"/>
      <c r="W635" s="146"/>
      <c r="X635" s="92"/>
      <c r="Y635" s="146"/>
      <c r="Z635" s="186" t="str">
        <f t="shared" si="40"/>
        <v/>
      </c>
      <c r="AA635" s="217" t="b">
        <f t="shared" si="39"/>
        <v>0</v>
      </c>
      <c r="AB635" s="92"/>
      <c r="AC635" s="164" t="s">
        <v>6</v>
      </c>
      <c r="AD635" s="151" t="str">
        <f t="shared" si="41"/>
        <v>GUARULHOS</v>
      </c>
      <c r="AE635" s="96" t="s">
        <v>63</v>
      </c>
      <c r="AF635" s="53">
        <v>0.71590692182463467</v>
      </c>
      <c r="AG635" s="53" t="str" cm="1">
        <f t="array" ref="AG635">IF(OR(O635&lt;&gt;"", SUMPRODUCT(($AH$2:$AH$4999=AH635)*($AF$2:$AF$4999&lt;=AF635)) &lt;= (COUNTIF($AH$2:$AH$4999,AH635)*0.3)), "SORTEADO", "-")</f>
        <v>-</v>
      </c>
      <c r="AH635" s="257" t="str">
        <f t="shared" si="42"/>
        <v>26/04/2026</v>
      </c>
    </row>
    <row r="636" spans="1:34" ht="30" customHeight="1" x14ac:dyDescent="0.2">
      <c r="A636" s="230" t="s">
        <v>197</v>
      </c>
      <c r="B636" s="230">
        <v>2617456471</v>
      </c>
      <c r="C636" s="230" t="s">
        <v>127</v>
      </c>
      <c r="D636" s="230" t="s">
        <v>63</v>
      </c>
      <c r="E636" s="230" t="s">
        <v>198</v>
      </c>
      <c r="F636" s="230" t="s">
        <v>4347</v>
      </c>
      <c r="G636" s="230">
        <v>56</v>
      </c>
      <c r="H636" s="230" t="s">
        <v>4348</v>
      </c>
      <c r="I636" s="230" t="s">
        <v>240</v>
      </c>
      <c r="J636" s="230" t="s">
        <v>3275</v>
      </c>
      <c r="K636" s="230"/>
      <c r="L636" s="230" t="s">
        <v>1935</v>
      </c>
      <c r="M636" s="230" t="s">
        <v>4349</v>
      </c>
      <c r="N636" s="230" t="s">
        <v>3338</v>
      </c>
      <c r="O636" s="158" t="s">
        <v>204</v>
      </c>
      <c r="P636" s="92"/>
      <c r="Q636" s="146" t="s">
        <v>204</v>
      </c>
      <c r="R636" s="92"/>
      <c r="S636" s="146" t="s">
        <v>204</v>
      </c>
      <c r="T636" s="92"/>
      <c r="U636" s="146" t="s">
        <v>204</v>
      </c>
      <c r="V636" s="92"/>
      <c r="W636" s="146" t="s">
        <v>204</v>
      </c>
      <c r="X636" s="92"/>
      <c r="Y636" s="146" t="s">
        <v>204</v>
      </c>
      <c r="Z636" s="186" t="str">
        <f t="shared" si="40"/>
        <v>C</v>
      </c>
      <c r="AA636" s="217" t="str">
        <f t="shared" si="39"/>
        <v>UTILIZOU O PDA CORRETAMENTE</v>
      </c>
      <c r="AB636" s="92" t="s">
        <v>204</v>
      </c>
      <c r="AC636" s="164" t="s">
        <v>6</v>
      </c>
      <c r="AD636" s="151" t="str">
        <f t="shared" si="41"/>
        <v>GUARULHOS</v>
      </c>
      <c r="AE636" s="96" t="s">
        <v>63</v>
      </c>
      <c r="AF636" s="53">
        <v>0.19669281022893917</v>
      </c>
      <c r="AG636" s="53" t="str" cm="1">
        <f t="array" ref="AG636">IF(OR(O636&lt;&gt;"", SUMPRODUCT(($AH$2:$AH$4999=AH636)*($AF$2:$AF$4999&lt;=AF636)) &lt;= (COUNTIF($AH$2:$AH$4999,AH636)*0.3)), "SORTEADO", "-")</f>
        <v>SORTEADO</v>
      </c>
      <c r="AH636" s="257" t="str">
        <f t="shared" si="42"/>
        <v>26/04/2026</v>
      </c>
    </row>
    <row r="637" spans="1:34" ht="30" hidden="1" customHeight="1" x14ac:dyDescent="0.2">
      <c r="A637" s="230" t="s">
        <v>197</v>
      </c>
      <c r="B637" s="230">
        <v>2691562253</v>
      </c>
      <c r="C637" s="230" t="s">
        <v>127</v>
      </c>
      <c r="D637" s="230" t="s">
        <v>63</v>
      </c>
      <c r="E637" s="230" t="s">
        <v>198</v>
      </c>
      <c r="F637" s="230" t="s">
        <v>374</v>
      </c>
      <c r="G637" s="230">
        <v>667</v>
      </c>
      <c r="H637" s="230" t="s">
        <v>213</v>
      </c>
      <c r="I637" s="230" t="s">
        <v>200</v>
      </c>
      <c r="J637" s="230" t="s">
        <v>3275</v>
      </c>
      <c r="K637" s="230" t="s">
        <v>213</v>
      </c>
      <c r="L637" s="230" t="s">
        <v>1935</v>
      </c>
      <c r="M637" s="230" t="s">
        <v>4350</v>
      </c>
      <c r="N637" s="230" t="s">
        <v>3276</v>
      </c>
      <c r="O637" s="158"/>
      <c r="P637" s="92"/>
      <c r="Q637" s="146"/>
      <c r="R637" s="92"/>
      <c r="S637" s="146"/>
      <c r="T637" s="92"/>
      <c r="U637" s="146"/>
      <c r="V637" s="92"/>
      <c r="W637" s="146"/>
      <c r="X637" s="92"/>
      <c r="Y637" s="146"/>
      <c r="Z637" s="186" t="str">
        <f t="shared" si="40"/>
        <v/>
      </c>
      <c r="AA637" s="217" t="b">
        <f t="shared" si="39"/>
        <v>0</v>
      </c>
      <c r="AB637" s="92"/>
      <c r="AC637" s="164" t="s">
        <v>6</v>
      </c>
      <c r="AD637" s="151" t="str">
        <f t="shared" si="41"/>
        <v>GUARULHOS</v>
      </c>
      <c r="AE637" s="96" t="s">
        <v>63</v>
      </c>
      <c r="AF637" s="53">
        <v>0.32689301479818911</v>
      </c>
      <c r="AG637" s="53" t="str" cm="1">
        <f t="array" ref="AG637">IF(OR(O637&lt;&gt;"", SUMPRODUCT(($AH$2:$AH$4999=AH637)*($AF$2:$AF$4999&lt;=AF637)) &lt;= (COUNTIF($AH$2:$AH$4999,AH637)*0.3)), "SORTEADO", "-")</f>
        <v>-</v>
      </c>
      <c r="AH637" s="257" t="str">
        <f t="shared" si="42"/>
        <v>26/04/2026</v>
      </c>
    </row>
    <row r="638" spans="1:34" ht="30" hidden="1" customHeight="1" x14ac:dyDescent="0.2">
      <c r="A638" s="230" t="s">
        <v>197</v>
      </c>
      <c r="B638" s="230">
        <v>2691568505</v>
      </c>
      <c r="C638" s="230" t="s">
        <v>127</v>
      </c>
      <c r="D638" s="230" t="s">
        <v>63</v>
      </c>
      <c r="E638" s="230" t="s">
        <v>198</v>
      </c>
      <c r="F638" s="230" t="s">
        <v>4304</v>
      </c>
      <c r="G638" s="230">
        <v>503</v>
      </c>
      <c r="H638" s="230" t="s">
        <v>4351</v>
      </c>
      <c r="I638" s="230" t="s">
        <v>531</v>
      </c>
      <c r="J638" s="230" t="s">
        <v>3275</v>
      </c>
      <c r="K638" s="230"/>
      <c r="L638" s="230" t="s">
        <v>1935</v>
      </c>
      <c r="M638" s="230" t="s">
        <v>4352</v>
      </c>
      <c r="N638" s="230" t="s">
        <v>3276</v>
      </c>
      <c r="O638" s="158"/>
      <c r="P638" s="92"/>
      <c r="Q638" s="146"/>
      <c r="R638" s="92"/>
      <c r="S638" s="146"/>
      <c r="T638" s="92"/>
      <c r="U638" s="146"/>
      <c r="V638" s="92"/>
      <c r="W638" s="146"/>
      <c r="X638" s="92"/>
      <c r="Y638" s="146"/>
      <c r="Z638" s="186" t="str">
        <f t="shared" si="40"/>
        <v/>
      </c>
      <c r="AA638" s="217" t="b">
        <f t="shared" si="39"/>
        <v>0</v>
      </c>
      <c r="AB638" s="92"/>
      <c r="AC638" s="164" t="s">
        <v>6</v>
      </c>
      <c r="AD638" s="151" t="str">
        <f t="shared" si="41"/>
        <v>GUARULHOS</v>
      </c>
      <c r="AE638" s="96" t="s">
        <v>63</v>
      </c>
      <c r="AF638" s="53">
        <v>0.50295560897496627</v>
      </c>
      <c r="AG638" s="53" t="str" cm="1">
        <f t="array" ref="AG638">IF(OR(O638&lt;&gt;"", SUMPRODUCT(($AH$2:$AH$4999=AH638)*($AF$2:$AF$4999&lt;=AF638)) &lt;= (COUNTIF($AH$2:$AH$4999,AH638)*0.3)), "SORTEADO", "-")</f>
        <v>-</v>
      </c>
      <c r="AH638" s="257" t="str">
        <f t="shared" si="42"/>
        <v>26/04/2026</v>
      </c>
    </row>
    <row r="639" spans="1:34" ht="30" customHeight="1" x14ac:dyDescent="0.2">
      <c r="A639" s="230" t="s">
        <v>197</v>
      </c>
      <c r="B639" s="230">
        <v>2617462956</v>
      </c>
      <c r="C639" s="230" t="s">
        <v>135</v>
      </c>
      <c r="D639" s="230" t="s">
        <v>124</v>
      </c>
      <c r="E639" s="230" t="s">
        <v>198</v>
      </c>
      <c r="F639" s="230" t="s">
        <v>4353</v>
      </c>
      <c r="G639" s="230">
        <v>44</v>
      </c>
      <c r="H639" s="230" t="s">
        <v>213</v>
      </c>
      <c r="I639" s="230" t="s">
        <v>207</v>
      </c>
      <c r="J639" s="230" t="s">
        <v>3280</v>
      </c>
      <c r="K639" s="230" t="s">
        <v>4354</v>
      </c>
      <c r="L639" s="230" t="s">
        <v>1935</v>
      </c>
      <c r="M639" s="230" t="s">
        <v>4355</v>
      </c>
      <c r="N639" s="230" t="s">
        <v>3436</v>
      </c>
      <c r="O639" s="158" t="s">
        <v>204</v>
      </c>
      <c r="P639" s="92"/>
      <c r="Q639" s="146" t="s">
        <v>204</v>
      </c>
      <c r="R639" s="92"/>
      <c r="S639" s="146" t="s">
        <v>204</v>
      </c>
      <c r="T639" s="92"/>
      <c r="U639" s="146" t="s">
        <v>204</v>
      </c>
      <c r="V639" s="92"/>
      <c r="W639" s="146" t="s">
        <v>204</v>
      </c>
      <c r="X639" s="92"/>
      <c r="Y639" s="146" t="s">
        <v>204</v>
      </c>
      <c r="Z639" s="186" t="str">
        <f t="shared" si="40"/>
        <v>C</v>
      </c>
      <c r="AA639" s="217" t="str">
        <f t="shared" ref="AA639:AA702" si="43">IF(AND(Y639="C",Z639="C"),"UTILIZOU O PDA CORRETAMENTE",IF(AND(Y639="C",Z639="NC"),"UTILIZOU O PDA CORRETAMENTE. NÃO HÁ FOTOS DE TODAS AS ETAPAS",IF(AND(Y639="NC",Z639="NC"),"NÃO UTILIZOU O PDA",IF(AND(Y639="NA",Z639="NA"),"NÃO AVALIADO POR FALHA DE SINCRONISMO"))))</f>
        <v>UTILIZOU O PDA CORRETAMENTE</v>
      </c>
      <c r="AB639" s="92" t="s">
        <v>204</v>
      </c>
      <c r="AC639" s="164" t="s">
        <v>6</v>
      </c>
      <c r="AD639" s="151" t="str">
        <f t="shared" si="41"/>
        <v>GUARULHOS</v>
      </c>
      <c r="AE639" s="96" t="s">
        <v>63</v>
      </c>
      <c r="AF639" s="53">
        <v>0.1861452136122293</v>
      </c>
      <c r="AG639" s="53" t="str" cm="1">
        <f t="array" ref="AG639">IF(OR(O639&lt;&gt;"", SUMPRODUCT(($AH$2:$AH$4999=AH639)*($AF$2:$AF$4999&lt;=AF639)) &lt;= (COUNTIF($AH$2:$AH$4999,AH639)*0.3)), "SORTEADO", "-")</f>
        <v>SORTEADO</v>
      </c>
      <c r="AH639" s="257" t="str">
        <f t="shared" si="42"/>
        <v>26/04/2026</v>
      </c>
    </row>
    <row r="640" spans="1:34" ht="30" hidden="1" customHeight="1" x14ac:dyDescent="0.2">
      <c r="A640" s="230" t="s">
        <v>197</v>
      </c>
      <c r="B640" s="230">
        <v>2617120048</v>
      </c>
      <c r="C640" s="230" t="s">
        <v>129</v>
      </c>
      <c r="D640" s="230" t="s">
        <v>124</v>
      </c>
      <c r="E640" s="230" t="s">
        <v>198</v>
      </c>
      <c r="F640" s="230" t="s">
        <v>4038</v>
      </c>
      <c r="G640" s="230">
        <v>12</v>
      </c>
      <c r="H640" s="230" t="s">
        <v>4039</v>
      </c>
      <c r="I640" s="230" t="s">
        <v>730</v>
      </c>
      <c r="J640" s="230" t="s">
        <v>3307</v>
      </c>
      <c r="K640" s="230"/>
      <c r="L640" s="230" t="s">
        <v>1935</v>
      </c>
      <c r="M640" s="230" t="s">
        <v>4356</v>
      </c>
      <c r="N640" s="230" t="s">
        <v>237</v>
      </c>
      <c r="O640" s="158"/>
      <c r="P640" s="92"/>
      <c r="Q640" s="146"/>
      <c r="R640" s="92"/>
      <c r="S640" s="146"/>
      <c r="T640" s="92"/>
      <c r="U640" s="146"/>
      <c r="V640" s="92"/>
      <c r="W640" s="146"/>
      <c r="X640" s="92"/>
      <c r="Y640" s="146"/>
      <c r="Z640" s="186" t="str">
        <f t="shared" ref="Z640:Z703" si="44">IF(AND(O640="",Q640="",S640="",U640="",W640=""),"",IF(OR(AND(O640&lt;&gt;"NA",O640&lt;&gt;"C",O640&lt;&gt;"NC",O640&lt;&gt;"SF",O640&lt;&gt;""),AND(Q640&lt;&gt;"NA",Q640&lt;&gt;"C",Q640&lt;&gt;"NC",Q640&lt;&gt;"SF",Q640&lt;&gt;""),AND(S640&lt;&gt;"NA",S640&lt;&gt;"C",S640&lt;&gt;"NC",S640&lt;&gt;"SF",S640&lt;&gt;""),AND(U640&lt;&gt;"NA",U640&lt;&gt;"C",U640&lt;&gt;"NC",U640&lt;&gt;"SF",U640&lt;&gt;""),AND(W640&lt;&gt;"NA",W640&lt;&gt;"C",W640&lt;&gt;"NC",W640&lt;&gt;"SF",W640&lt;&gt;"")),"FALSO",IF(AND(O640="NA",Q640="NA",S640="NA",U640="NA",W640="NA"),"NA",IF(OR(O640="NC",Q640="NC",S640="NC",U640="NC",W640="NC",O640="SF",Q640="SF",S640="SF",U640="SF",W640="SF"),"NC",IF(OR(O640="C",Q640="C",S640="C",U640="C",W640="C"),"C","")))))</f>
        <v/>
      </c>
      <c r="AA640" s="217" t="b">
        <f t="shared" si="43"/>
        <v>0</v>
      </c>
      <c r="AB640" s="92"/>
      <c r="AC640" s="164" t="s">
        <v>6</v>
      </c>
      <c r="AD640" s="151" t="str">
        <f t="shared" si="41"/>
        <v>GUARULHOS</v>
      </c>
      <c r="AE640" s="96" t="s">
        <v>63</v>
      </c>
      <c r="AF640" s="53">
        <v>0.9725517692860407</v>
      </c>
      <c r="AG640" s="53" t="str" cm="1">
        <f t="array" ref="AG640">IF(OR(O640&lt;&gt;"", SUMPRODUCT(($AH$2:$AH$4999=AH640)*($AF$2:$AF$4999&lt;=AF640)) &lt;= (COUNTIF($AH$2:$AH$4999,AH640)*0.3)), "SORTEADO", "-")</f>
        <v>-</v>
      </c>
      <c r="AH640" s="257" t="str">
        <f t="shared" si="42"/>
        <v>26/04/2026</v>
      </c>
    </row>
    <row r="641" spans="1:34" ht="30" hidden="1" customHeight="1" x14ac:dyDescent="0.2">
      <c r="A641" s="230" t="s">
        <v>197</v>
      </c>
      <c r="B641" s="230">
        <v>2691564037</v>
      </c>
      <c r="C641" s="230" t="s">
        <v>133</v>
      </c>
      <c r="D641" s="230" t="s">
        <v>124</v>
      </c>
      <c r="E641" s="230" t="s">
        <v>198</v>
      </c>
      <c r="F641" s="230" t="s">
        <v>3311</v>
      </c>
      <c r="G641" s="230">
        <v>547</v>
      </c>
      <c r="H641" s="230" t="s">
        <v>213</v>
      </c>
      <c r="I641" s="230" t="s">
        <v>269</v>
      </c>
      <c r="J641" s="230" t="s">
        <v>3275</v>
      </c>
      <c r="K641" s="230" t="s">
        <v>3986</v>
      </c>
      <c r="L641" s="230" t="s">
        <v>1935</v>
      </c>
      <c r="M641" s="230" t="s">
        <v>4357</v>
      </c>
      <c r="N641" s="230" t="s">
        <v>3276</v>
      </c>
      <c r="O641" s="158"/>
      <c r="P641" s="92"/>
      <c r="Q641" s="146"/>
      <c r="R641" s="92"/>
      <c r="S641" s="146"/>
      <c r="T641" s="92"/>
      <c r="U641" s="146"/>
      <c r="V641" s="92"/>
      <c r="W641" s="146"/>
      <c r="X641" s="92"/>
      <c r="Y641" s="146"/>
      <c r="Z641" s="186" t="str">
        <f t="shared" si="44"/>
        <v/>
      </c>
      <c r="AA641" s="217" t="b">
        <f t="shared" si="43"/>
        <v>0</v>
      </c>
      <c r="AB641" s="92"/>
      <c r="AC641" s="164" t="s">
        <v>6</v>
      </c>
      <c r="AD641" s="151" t="str">
        <f t="shared" si="41"/>
        <v>GUARULHOS</v>
      </c>
      <c r="AE641" s="96" t="s">
        <v>63</v>
      </c>
      <c r="AF641" s="53">
        <v>0.94194147853503818</v>
      </c>
      <c r="AG641" s="53" t="str" cm="1">
        <f t="array" ref="AG641">IF(OR(O641&lt;&gt;"", SUMPRODUCT(($AH$2:$AH$4999=AH641)*($AF$2:$AF$4999&lt;=AF641)) &lt;= (COUNTIF($AH$2:$AH$4999,AH641)*0.3)), "SORTEADO", "-")</f>
        <v>-</v>
      </c>
      <c r="AH641" s="257" t="str">
        <f t="shared" si="42"/>
        <v>26/04/2026</v>
      </c>
    </row>
    <row r="642" spans="1:34" ht="30" customHeight="1" x14ac:dyDescent="0.2">
      <c r="A642" s="230" t="s">
        <v>197</v>
      </c>
      <c r="B642" s="230">
        <v>2691579120</v>
      </c>
      <c r="C642" s="230" t="s">
        <v>127</v>
      </c>
      <c r="D642" s="230" t="s">
        <v>63</v>
      </c>
      <c r="E642" s="230" t="s">
        <v>198</v>
      </c>
      <c r="F642" s="230" t="s">
        <v>2311</v>
      </c>
      <c r="G642" s="230">
        <v>879</v>
      </c>
      <c r="H642" s="230" t="s">
        <v>4358</v>
      </c>
      <c r="I642" s="230" t="s">
        <v>368</v>
      </c>
      <c r="J642" s="230" t="s">
        <v>3275</v>
      </c>
      <c r="K642" s="230" t="s">
        <v>3632</v>
      </c>
      <c r="L642" s="230" t="s">
        <v>1935</v>
      </c>
      <c r="M642" s="230" t="s">
        <v>4359</v>
      </c>
      <c r="N642" s="230" t="s">
        <v>3296</v>
      </c>
      <c r="O642" s="233" t="s">
        <v>328</v>
      </c>
      <c r="P642" s="169"/>
      <c r="Q642" s="144" t="s">
        <v>328</v>
      </c>
      <c r="R642" s="56"/>
      <c r="S642" s="144" t="s">
        <v>328</v>
      </c>
      <c r="T642" s="56"/>
      <c r="U642" s="144" t="s">
        <v>328</v>
      </c>
      <c r="V642" s="56"/>
      <c r="W642" s="144" t="s">
        <v>328</v>
      </c>
      <c r="X642" s="56"/>
      <c r="Y642" s="144" t="s">
        <v>210</v>
      </c>
      <c r="Z642" s="186" t="str">
        <f t="shared" si="44"/>
        <v>NC</v>
      </c>
      <c r="AA642" s="217" t="str">
        <f t="shared" si="43"/>
        <v>NÃO UTILIZOU O PDA</v>
      </c>
      <c r="AB642" s="92" t="s">
        <v>204</v>
      </c>
      <c r="AC642" s="164" t="s">
        <v>6</v>
      </c>
      <c r="AD642" s="151" t="str">
        <f t="shared" si="41"/>
        <v>GUARULHOS</v>
      </c>
      <c r="AE642" s="96" t="s">
        <v>63</v>
      </c>
      <c r="AF642" s="53">
        <v>0.39441940758210542</v>
      </c>
      <c r="AG642" s="53" t="str" cm="1">
        <f t="array" ref="AG642">IF(OR(O642&lt;&gt;"", SUMPRODUCT(($AH$2:$AH$4999=AH642)*($AF$2:$AF$4999&lt;=AF642)) &lt;= (COUNTIF($AH$2:$AH$4999,AH642)*0.3)), "SORTEADO", "-")</f>
        <v>SORTEADO</v>
      </c>
      <c r="AH642" s="257" t="str">
        <f t="shared" si="42"/>
        <v>26/04/2026</v>
      </c>
    </row>
    <row r="643" spans="1:34" ht="30" hidden="1" customHeight="1" x14ac:dyDescent="0.2">
      <c r="A643" s="230" t="s">
        <v>197</v>
      </c>
      <c r="B643" s="230">
        <v>2691576095</v>
      </c>
      <c r="C643" s="230" t="s">
        <v>127</v>
      </c>
      <c r="D643" s="230" t="s">
        <v>63</v>
      </c>
      <c r="E643" s="230" t="s">
        <v>198</v>
      </c>
      <c r="F643" s="230" t="s">
        <v>593</v>
      </c>
      <c r="G643" s="230">
        <v>352</v>
      </c>
      <c r="H643" s="230" t="s">
        <v>213</v>
      </c>
      <c r="I643" s="230" t="s">
        <v>253</v>
      </c>
      <c r="J643" s="230" t="s">
        <v>3275</v>
      </c>
      <c r="K643" s="230" t="s">
        <v>213</v>
      </c>
      <c r="L643" s="230" t="s">
        <v>1935</v>
      </c>
      <c r="M643" s="230" t="s">
        <v>4360</v>
      </c>
      <c r="N643" s="230" t="s">
        <v>3276</v>
      </c>
      <c r="O643" s="158"/>
      <c r="P643" s="92"/>
      <c r="Q643" s="146"/>
      <c r="R643" s="92"/>
      <c r="S643" s="146"/>
      <c r="T643" s="92"/>
      <c r="U643" s="146"/>
      <c r="V643" s="92"/>
      <c r="W643" s="146"/>
      <c r="X643" s="92"/>
      <c r="Y643" s="146"/>
      <c r="Z643" s="186" t="str">
        <f t="shared" si="44"/>
        <v/>
      </c>
      <c r="AA643" s="217" t="b">
        <f t="shared" si="43"/>
        <v>0</v>
      </c>
      <c r="AB643" s="92"/>
      <c r="AC643" s="164" t="s">
        <v>6</v>
      </c>
      <c r="AD643" s="151" t="str">
        <f t="shared" si="41"/>
        <v>GUARULHOS</v>
      </c>
      <c r="AE643" s="96" t="s">
        <v>63</v>
      </c>
      <c r="AF643" s="53">
        <v>0.70539682842990514</v>
      </c>
      <c r="AG643" s="53" t="str" cm="1">
        <f t="array" ref="AG643">IF(OR(O643&lt;&gt;"", SUMPRODUCT(($AH$2:$AH$4999=AH643)*($AF$2:$AF$4999&lt;=AF643)) &lt;= (COUNTIF($AH$2:$AH$4999,AH643)*0.3)), "SORTEADO", "-")</f>
        <v>-</v>
      </c>
      <c r="AH643" s="257" t="str">
        <f t="shared" si="42"/>
        <v>26/04/2026</v>
      </c>
    </row>
    <row r="644" spans="1:34" ht="30" hidden="1" customHeight="1" x14ac:dyDescent="0.2">
      <c r="A644" s="230" t="s">
        <v>197</v>
      </c>
      <c r="B644" s="230">
        <v>2691579953</v>
      </c>
      <c r="C644" s="230" t="s">
        <v>127</v>
      </c>
      <c r="D644" s="230" t="s">
        <v>63</v>
      </c>
      <c r="E644" s="230" t="s">
        <v>198</v>
      </c>
      <c r="F644" s="230" t="s">
        <v>2754</v>
      </c>
      <c r="G644" s="230">
        <v>153</v>
      </c>
      <c r="H644" s="230" t="s">
        <v>4361</v>
      </c>
      <c r="I644" s="230" t="s">
        <v>335</v>
      </c>
      <c r="J644" s="230" t="s">
        <v>3275</v>
      </c>
      <c r="K644" s="230" t="s">
        <v>213</v>
      </c>
      <c r="L644" s="230" t="s">
        <v>1935</v>
      </c>
      <c r="M644" s="230" t="s">
        <v>4362</v>
      </c>
      <c r="N644" s="230" t="s">
        <v>3276</v>
      </c>
      <c r="O644" s="158"/>
      <c r="P644" s="92"/>
      <c r="Q644" s="146"/>
      <c r="R644" s="92"/>
      <c r="S644" s="146"/>
      <c r="T644" s="92"/>
      <c r="U644" s="146"/>
      <c r="V644" s="92"/>
      <c r="W644" s="146"/>
      <c r="X644" s="92"/>
      <c r="Y644" s="146"/>
      <c r="Z644" s="186" t="str">
        <f t="shared" si="44"/>
        <v/>
      </c>
      <c r="AA644" s="217" t="b">
        <f t="shared" si="43"/>
        <v>0</v>
      </c>
      <c r="AB644" s="92"/>
      <c r="AC644" s="164" t="s">
        <v>6</v>
      </c>
      <c r="AD644" s="151" t="str">
        <f t="shared" si="41"/>
        <v>GUARULHOS</v>
      </c>
      <c r="AE644" s="96" t="s">
        <v>63</v>
      </c>
      <c r="AF644" s="53">
        <v>0.969442349403141</v>
      </c>
      <c r="AG644" s="53" t="str" cm="1">
        <f t="array" ref="AG644">IF(OR(O644&lt;&gt;"", SUMPRODUCT(($AH$2:$AH$4999=AH644)*($AF$2:$AF$4999&lt;=AF644)) &lt;= (COUNTIF($AH$2:$AH$4999,AH644)*0.3)), "SORTEADO", "-")</f>
        <v>-</v>
      </c>
      <c r="AH644" s="257" t="str">
        <f t="shared" si="42"/>
        <v>26/04/2026</v>
      </c>
    </row>
    <row r="645" spans="1:34" ht="30" customHeight="1" x14ac:dyDescent="0.2">
      <c r="A645" s="230" t="s">
        <v>197</v>
      </c>
      <c r="B645" s="230">
        <v>2617483025</v>
      </c>
      <c r="C645" s="230" t="s">
        <v>127</v>
      </c>
      <c r="D645" s="230" t="s">
        <v>63</v>
      </c>
      <c r="E645" s="230" t="s">
        <v>198</v>
      </c>
      <c r="F645" s="230" t="s">
        <v>2067</v>
      </c>
      <c r="G645" s="230">
        <v>239</v>
      </c>
      <c r="H645" s="230" t="s">
        <v>460</v>
      </c>
      <c r="I645" s="230" t="s">
        <v>411</v>
      </c>
      <c r="J645" s="230" t="s">
        <v>3275</v>
      </c>
      <c r="K645" s="230"/>
      <c r="L645" s="230" t="s">
        <v>1935</v>
      </c>
      <c r="M645" s="230" t="s">
        <v>4363</v>
      </c>
      <c r="N645" s="230" t="s">
        <v>3282</v>
      </c>
      <c r="O645" s="158" t="s">
        <v>204</v>
      </c>
      <c r="P645" s="92"/>
      <c r="Q645" s="146" t="s">
        <v>204</v>
      </c>
      <c r="R645" s="92"/>
      <c r="S645" s="146" t="s">
        <v>204</v>
      </c>
      <c r="T645" s="92"/>
      <c r="U645" s="146" t="s">
        <v>204</v>
      </c>
      <c r="V645" s="92"/>
      <c r="W645" s="146" t="s">
        <v>204</v>
      </c>
      <c r="X645" s="92"/>
      <c r="Y645" s="146" t="s">
        <v>204</v>
      </c>
      <c r="Z645" s="186" t="str">
        <f t="shared" si="44"/>
        <v>C</v>
      </c>
      <c r="AA645" s="217" t="str">
        <f t="shared" si="43"/>
        <v>UTILIZOU O PDA CORRETAMENTE</v>
      </c>
      <c r="AB645" s="92" t="s">
        <v>204</v>
      </c>
      <c r="AC645" s="164" t="s">
        <v>6</v>
      </c>
      <c r="AD645" s="151" t="str">
        <f t="shared" si="41"/>
        <v>GUARULHOS</v>
      </c>
      <c r="AE645" s="96" t="s">
        <v>63</v>
      </c>
      <c r="AF645" s="53">
        <v>0.29177159754405768</v>
      </c>
      <c r="AG645" s="53" t="str" cm="1">
        <f t="array" ref="AG645">IF(OR(O645&lt;&gt;"", SUMPRODUCT(($AH$2:$AH$4999=AH645)*($AF$2:$AF$4999&lt;=AF645)) &lt;= (COUNTIF($AH$2:$AH$4999,AH645)*0.3)), "SORTEADO", "-")</f>
        <v>SORTEADO</v>
      </c>
      <c r="AH645" s="257" t="str">
        <f t="shared" si="42"/>
        <v>26/04/2026</v>
      </c>
    </row>
    <row r="646" spans="1:34" ht="30" hidden="1" customHeight="1" x14ac:dyDescent="0.2">
      <c r="A646" s="230" t="s">
        <v>197</v>
      </c>
      <c r="B646" s="230">
        <v>2691582433</v>
      </c>
      <c r="C646" s="230" t="s">
        <v>127</v>
      </c>
      <c r="D646" s="230" t="s">
        <v>63</v>
      </c>
      <c r="E646" s="230" t="s">
        <v>198</v>
      </c>
      <c r="F646" s="230" t="s">
        <v>4364</v>
      </c>
      <c r="G646" s="230">
        <v>94</v>
      </c>
      <c r="H646" s="230" t="s">
        <v>246</v>
      </c>
      <c r="I646" s="230" t="s">
        <v>899</v>
      </c>
      <c r="J646" s="230" t="s">
        <v>3275</v>
      </c>
      <c r="K646" s="230" t="s">
        <v>213</v>
      </c>
      <c r="L646" s="230" t="s">
        <v>1935</v>
      </c>
      <c r="M646" s="230" t="s">
        <v>4365</v>
      </c>
      <c r="N646" s="230" t="s">
        <v>3282</v>
      </c>
      <c r="O646" s="158"/>
      <c r="P646" s="92"/>
      <c r="Q646" s="146"/>
      <c r="R646" s="92"/>
      <c r="S646" s="146"/>
      <c r="T646" s="92"/>
      <c r="U646" s="146"/>
      <c r="V646" s="92"/>
      <c r="W646" s="146"/>
      <c r="X646" s="92"/>
      <c r="Y646" s="146"/>
      <c r="Z646" s="186" t="str">
        <f t="shared" si="44"/>
        <v/>
      </c>
      <c r="AA646" s="217" t="b">
        <f t="shared" si="43"/>
        <v>0</v>
      </c>
      <c r="AB646" s="92"/>
      <c r="AC646" s="164" t="s">
        <v>6</v>
      </c>
      <c r="AD646" s="151" t="str">
        <f t="shared" si="41"/>
        <v>GUARULHOS</v>
      </c>
      <c r="AE646" s="96" t="s">
        <v>63</v>
      </c>
      <c r="AF646" s="53">
        <v>0.64379539655302198</v>
      </c>
      <c r="AG646" s="53" t="str" cm="1">
        <f t="array" ref="AG646">IF(OR(O646&lt;&gt;"", SUMPRODUCT(($AH$2:$AH$4999=AH646)*($AF$2:$AF$4999&lt;=AF646)) &lt;= (COUNTIF($AH$2:$AH$4999,AH646)*0.3)), "SORTEADO", "-")</f>
        <v>-</v>
      </c>
      <c r="AH646" s="257" t="str">
        <f t="shared" si="42"/>
        <v>26/04/2026</v>
      </c>
    </row>
    <row r="647" spans="1:34" ht="30" customHeight="1" x14ac:dyDescent="0.2">
      <c r="A647" s="230" t="s">
        <v>197</v>
      </c>
      <c r="B647" s="230">
        <v>2617459993</v>
      </c>
      <c r="C647" s="230" t="s">
        <v>133</v>
      </c>
      <c r="D647" s="230" t="s">
        <v>124</v>
      </c>
      <c r="E647" s="230" t="s">
        <v>198</v>
      </c>
      <c r="F647" s="230" t="s">
        <v>1877</v>
      </c>
      <c r="G647" s="230">
        <v>413</v>
      </c>
      <c r="H647" s="230" t="s">
        <v>3312</v>
      </c>
      <c r="I647" s="230" t="s">
        <v>822</v>
      </c>
      <c r="J647" s="230" t="s">
        <v>3275</v>
      </c>
      <c r="K647" s="230"/>
      <c r="L647" s="230" t="s">
        <v>1935</v>
      </c>
      <c r="M647" s="230" t="s">
        <v>4366</v>
      </c>
      <c r="N647" s="230" t="s">
        <v>228</v>
      </c>
      <c r="O647" s="158" t="s">
        <v>204</v>
      </c>
      <c r="P647" s="92"/>
      <c r="Q647" s="146" t="s">
        <v>204</v>
      </c>
      <c r="R647" s="92"/>
      <c r="S647" s="146" t="s">
        <v>204</v>
      </c>
      <c r="T647" s="92"/>
      <c r="U647" s="146" t="s">
        <v>204</v>
      </c>
      <c r="V647" s="92"/>
      <c r="W647" s="146" t="s">
        <v>204</v>
      </c>
      <c r="X647" s="92"/>
      <c r="Y647" s="146" t="s">
        <v>204</v>
      </c>
      <c r="Z647" s="186" t="str">
        <f t="shared" si="44"/>
        <v>C</v>
      </c>
      <c r="AA647" s="217" t="str">
        <f t="shared" si="43"/>
        <v>UTILIZOU O PDA CORRETAMENTE</v>
      </c>
      <c r="AB647" s="92" t="s">
        <v>204</v>
      </c>
      <c r="AC647" s="164" t="s">
        <v>6</v>
      </c>
      <c r="AD647" s="151" t="str">
        <f t="shared" si="41"/>
        <v>GUARULHOS</v>
      </c>
      <c r="AE647" s="96" t="s">
        <v>63</v>
      </c>
      <c r="AF647" s="53">
        <v>0.12735453411568926</v>
      </c>
      <c r="AG647" s="53" t="str" cm="1">
        <f t="array" ref="AG647">IF(OR(O647&lt;&gt;"", SUMPRODUCT(($AH$2:$AH$4999=AH647)*($AF$2:$AF$4999&lt;=AF647)) &lt;= (COUNTIF($AH$2:$AH$4999,AH647)*0.3)), "SORTEADO", "-")</f>
        <v>SORTEADO</v>
      </c>
      <c r="AH647" s="257" t="str">
        <f t="shared" si="42"/>
        <v>26/04/2026</v>
      </c>
    </row>
    <row r="648" spans="1:34" ht="30" hidden="1" customHeight="1" x14ac:dyDescent="0.2">
      <c r="A648" s="230" t="s">
        <v>197</v>
      </c>
      <c r="B648" s="230">
        <v>2617331467</v>
      </c>
      <c r="C648" s="230" t="s">
        <v>135</v>
      </c>
      <c r="D648" s="230" t="s">
        <v>124</v>
      </c>
      <c r="E648" s="230" t="s">
        <v>198</v>
      </c>
      <c r="F648" s="230" t="s">
        <v>1400</v>
      </c>
      <c r="G648" s="230">
        <v>312</v>
      </c>
      <c r="H648" s="230" t="s">
        <v>4367</v>
      </c>
      <c r="I648" s="230" t="s">
        <v>214</v>
      </c>
      <c r="J648" s="230" t="s">
        <v>3280</v>
      </c>
      <c r="K648" s="230" t="s">
        <v>4368</v>
      </c>
      <c r="L648" s="230" t="s">
        <v>1935</v>
      </c>
      <c r="M648" s="230" t="s">
        <v>4369</v>
      </c>
      <c r="N648" s="230" t="s">
        <v>228</v>
      </c>
      <c r="O648" s="158"/>
      <c r="P648" s="92"/>
      <c r="Q648" s="146"/>
      <c r="R648" s="92"/>
      <c r="S648" s="146"/>
      <c r="T648" s="92"/>
      <c r="U648" s="146"/>
      <c r="V648" s="92"/>
      <c r="W648" s="146"/>
      <c r="X648" s="92"/>
      <c r="Y648" s="146"/>
      <c r="Z648" s="186" t="str">
        <f t="shared" si="44"/>
        <v/>
      </c>
      <c r="AA648" s="217" t="b">
        <f t="shared" si="43"/>
        <v>0</v>
      </c>
      <c r="AB648" s="92"/>
      <c r="AC648" s="164" t="s">
        <v>6</v>
      </c>
      <c r="AD648" s="151" t="str">
        <f t="shared" si="41"/>
        <v>GUARULHOS</v>
      </c>
      <c r="AE648" s="96" t="s">
        <v>63</v>
      </c>
      <c r="AF648" s="53">
        <v>0.32140007204071208</v>
      </c>
      <c r="AG648" s="53" t="str" cm="1">
        <f t="array" ref="AG648">IF(OR(O648&lt;&gt;"", SUMPRODUCT(($AH$2:$AH$4999=AH648)*($AF$2:$AF$4999&lt;=AF648)) &lt;= (COUNTIF($AH$2:$AH$4999,AH648)*0.3)), "SORTEADO", "-")</f>
        <v>-</v>
      </c>
      <c r="AH648" s="257" t="str">
        <f t="shared" si="42"/>
        <v>26/04/2026</v>
      </c>
    </row>
    <row r="649" spans="1:34" ht="30" customHeight="1" x14ac:dyDescent="0.2">
      <c r="A649" s="230" t="s">
        <v>197</v>
      </c>
      <c r="B649" s="230">
        <v>2617537448</v>
      </c>
      <c r="C649" s="230" t="s">
        <v>135</v>
      </c>
      <c r="D649" s="230" t="s">
        <v>124</v>
      </c>
      <c r="E649" s="230" t="s">
        <v>198</v>
      </c>
      <c r="F649" s="230" t="s">
        <v>355</v>
      </c>
      <c r="G649" s="230">
        <v>377</v>
      </c>
      <c r="H649" s="230"/>
      <c r="I649" s="230" t="s">
        <v>356</v>
      </c>
      <c r="J649" s="230" t="s">
        <v>3280</v>
      </c>
      <c r="K649" s="230" t="s">
        <v>274</v>
      </c>
      <c r="L649" s="230" t="s">
        <v>1935</v>
      </c>
      <c r="M649" s="230" t="s">
        <v>4370</v>
      </c>
      <c r="N649" s="230" t="s">
        <v>237</v>
      </c>
      <c r="O649" s="158" t="s">
        <v>204</v>
      </c>
      <c r="P649" s="92"/>
      <c r="Q649" s="146" t="s">
        <v>204</v>
      </c>
      <c r="R649" s="92"/>
      <c r="S649" s="146" t="s">
        <v>204</v>
      </c>
      <c r="T649" s="92"/>
      <c r="U649" s="146" t="s">
        <v>204</v>
      </c>
      <c r="V649" s="92"/>
      <c r="W649" s="146" t="s">
        <v>204</v>
      </c>
      <c r="X649" s="92"/>
      <c r="Y649" s="146" t="s">
        <v>204</v>
      </c>
      <c r="Z649" s="186" t="str">
        <f t="shared" si="44"/>
        <v>C</v>
      </c>
      <c r="AA649" s="217" t="str">
        <f t="shared" si="43"/>
        <v>UTILIZOU O PDA CORRETAMENTE</v>
      </c>
      <c r="AB649" s="92" t="s">
        <v>204</v>
      </c>
      <c r="AC649" s="164" t="s">
        <v>6</v>
      </c>
      <c r="AD649" s="151" t="str">
        <f t="shared" si="41"/>
        <v>GUARULHOS</v>
      </c>
      <c r="AE649" s="96" t="s">
        <v>63</v>
      </c>
      <c r="AF649" s="53">
        <v>0.20524426666909057</v>
      </c>
      <c r="AG649" s="53" t="str" cm="1">
        <f t="array" ref="AG649">IF(OR(O649&lt;&gt;"", SUMPRODUCT(($AH$2:$AH$4999=AH649)*($AF$2:$AF$4999&lt;=AF649)) &lt;= (COUNTIF($AH$2:$AH$4999,AH649)*0.3)), "SORTEADO", "-")</f>
        <v>SORTEADO</v>
      </c>
      <c r="AH649" s="257" t="str">
        <f t="shared" si="42"/>
        <v>26/04/2026</v>
      </c>
    </row>
    <row r="650" spans="1:34" ht="30" hidden="1" customHeight="1" x14ac:dyDescent="0.2">
      <c r="A650" s="230" t="s">
        <v>197</v>
      </c>
      <c r="B650" s="230">
        <v>2617452967</v>
      </c>
      <c r="C650" s="230" t="s">
        <v>135</v>
      </c>
      <c r="D650" s="230" t="s">
        <v>124</v>
      </c>
      <c r="E650" s="230" t="s">
        <v>198</v>
      </c>
      <c r="F650" s="230" t="s">
        <v>561</v>
      </c>
      <c r="G650" s="230">
        <v>18</v>
      </c>
      <c r="H650" s="230" t="s">
        <v>213</v>
      </c>
      <c r="I650" s="230" t="s">
        <v>485</v>
      </c>
      <c r="J650" s="230" t="s">
        <v>3280</v>
      </c>
      <c r="K650" s="230" t="s">
        <v>213</v>
      </c>
      <c r="L650" s="230" t="s">
        <v>1935</v>
      </c>
      <c r="M650" s="230" t="s">
        <v>4371</v>
      </c>
      <c r="N650" s="230" t="s">
        <v>1104</v>
      </c>
      <c r="O650" s="158"/>
      <c r="P650" s="92"/>
      <c r="Q650" s="146"/>
      <c r="R650" s="92"/>
      <c r="S650" s="146"/>
      <c r="T650" s="92"/>
      <c r="U650" s="146"/>
      <c r="V650" s="92"/>
      <c r="W650" s="146"/>
      <c r="X650" s="92"/>
      <c r="Y650" s="146"/>
      <c r="Z650" s="186" t="str">
        <f t="shared" si="44"/>
        <v/>
      </c>
      <c r="AA650" s="217" t="b">
        <f t="shared" si="43"/>
        <v>0</v>
      </c>
      <c r="AB650" s="92"/>
      <c r="AC650" s="164" t="s">
        <v>6</v>
      </c>
      <c r="AD650" s="151" t="str">
        <f t="shared" si="41"/>
        <v>GUARULHOS</v>
      </c>
      <c r="AE650" s="96" t="s">
        <v>63</v>
      </c>
      <c r="AF650" s="53">
        <v>0.54719798043618606</v>
      </c>
      <c r="AG650" s="53" t="str" cm="1">
        <f t="array" ref="AG650">IF(OR(O650&lt;&gt;"", SUMPRODUCT(($AH$2:$AH$4999=AH650)*($AF$2:$AF$4999&lt;=AF650)) &lt;= (COUNTIF($AH$2:$AH$4999,AH650)*0.3)), "SORTEADO", "-")</f>
        <v>-</v>
      </c>
      <c r="AH650" s="257" t="str">
        <f t="shared" si="42"/>
        <v>26/04/2026</v>
      </c>
    </row>
    <row r="651" spans="1:34" ht="30" hidden="1" customHeight="1" x14ac:dyDescent="0.2">
      <c r="A651" s="230" t="s">
        <v>197</v>
      </c>
      <c r="B651" s="230">
        <v>2617453016</v>
      </c>
      <c r="C651" s="230" t="s">
        <v>129</v>
      </c>
      <c r="D651" s="230" t="s">
        <v>124</v>
      </c>
      <c r="E651" s="230" t="s">
        <v>198</v>
      </c>
      <c r="F651" s="230" t="s">
        <v>212</v>
      </c>
      <c r="G651" s="230">
        <v>242</v>
      </c>
      <c r="H651" s="230"/>
      <c r="I651" s="230" t="s">
        <v>214</v>
      </c>
      <c r="J651" s="230" t="s">
        <v>3307</v>
      </c>
      <c r="K651" s="230" t="s">
        <v>2290</v>
      </c>
      <c r="L651" s="230" t="s">
        <v>1935</v>
      </c>
      <c r="M651" s="230" t="s">
        <v>4372</v>
      </c>
      <c r="N651" s="230" t="s">
        <v>322</v>
      </c>
      <c r="O651" s="158"/>
      <c r="P651" s="92"/>
      <c r="Q651" s="146"/>
      <c r="R651" s="92"/>
      <c r="S651" s="146"/>
      <c r="T651" s="92"/>
      <c r="U651" s="146"/>
      <c r="V651" s="92"/>
      <c r="W651" s="146"/>
      <c r="X651" s="92"/>
      <c r="Y651" s="146"/>
      <c r="Z651" s="186" t="str">
        <f t="shared" si="44"/>
        <v/>
      </c>
      <c r="AA651" s="217" t="b">
        <f t="shared" si="43"/>
        <v>0</v>
      </c>
      <c r="AB651" s="92"/>
      <c r="AC651" s="164" t="s">
        <v>6</v>
      </c>
      <c r="AD651" s="151" t="str">
        <f t="shared" si="41"/>
        <v>GUARULHOS</v>
      </c>
      <c r="AE651" s="96" t="s">
        <v>63</v>
      </c>
      <c r="AF651" s="53">
        <v>0.96194154851321911</v>
      </c>
      <c r="AG651" s="53" t="str" cm="1">
        <f t="array" ref="AG651">IF(OR(O651&lt;&gt;"", SUMPRODUCT(($AH$2:$AH$4999=AH651)*($AF$2:$AF$4999&lt;=AF651)) &lt;= (COUNTIF($AH$2:$AH$4999,AH651)*0.3)), "SORTEADO", "-")</f>
        <v>-</v>
      </c>
      <c r="AH651" s="257" t="str">
        <f t="shared" si="42"/>
        <v>26/04/2026</v>
      </c>
    </row>
    <row r="652" spans="1:34" ht="30" hidden="1" customHeight="1" x14ac:dyDescent="0.2">
      <c r="A652" s="242" t="s">
        <v>197</v>
      </c>
      <c r="B652" s="242">
        <v>2691603404</v>
      </c>
      <c r="C652" s="242" t="s">
        <v>127</v>
      </c>
      <c r="D652" s="242" t="s">
        <v>63</v>
      </c>
      <c r="E652" s="242" t="s">
        <v>198</v>
      </c>
      <c r="F652" s="242" t="s">
        <v>2351</v>
      </c>
      <c r="G652" s="242">
        <v>675</v>
      </c>
      <c r="H652" s="242" t="s">
        <v>4373</v>
      </c>
      <c r="I652" s="242" t="s">
        <v>253</v>
      </c>
      <c r="J652" s="242" t="s">
        <v>3275</v>
      </c>
      <c r="K652" s="242"/>
      <c r="L652" s="242" t="s">
        <v>2165</v>
      </c>
      <c r="M652" s="242" t="s">
        <v>2202</v>
      </c>
      <c r="N652" s="242" t="s">
        <v>3276</v>
      </c>
      <c r="O652" s="158"/>
      <c r="P652" s="92"/>
      <c r="Q652" s="146"/>
      <c r="R652" s="92"/>
      <c r="S652" s="146"/>
      <c r="T652" s="92"/>
      <c r="U652" s="146"/>
      <c r="V652" s="92"/>
      <c r="W652" s="146"/>
      <c r="X652" s="92"/>
      <c r="Y652" s="146"/>
      <c r="Z652" s="186" t="str">
        <f t="shared" si="44"/>
        <v/>
      </c>
      <c r="AA652" s="217" t="b">
        <f t="shared" si="43"/>
        <v>0</v>
      </c>
      <c r="AB652" s="92"/>
      <c r="AC652" s="164" t="s">
        <v>6</v>
      </c>
      <c r="AD652" s="151" t="str">
        <f t="shared" si="41"/>
        <v>GUARULHOS</v>
      </c>
      <c r="AE652" s="96" t="s">
        <v>63</v>
      </c>
      <c r="AF652" s="53">
        <v>0.83985771392217912</v>
      </c>
      <c r="AG652" s="53" t="str" cm="1">
        <f t="array" ref="AG652">IF(OR(O652&lt;&gt;"", SUMPRODUCT(($AH$2:$AH$4999=AH652)*($AF$2:$AF$4999&lt;=AF652)) &lt;= (COUNTIF($AH$2:$AH$4999,AH652)*0.3)), "SORTEADO", "-")</f>
        <v>-</v>
      </c>
      <c r="AH652" s="257" t="str">
        <f t="shared" si="42"/>
        <v>27/04/2026</v>
      </c>
    </row>
    <row r="653" spans="1:34" ht="30" hidden="1" customHeight="1" x14ac:dyDescent="0.2">
      <c r="A653" s="230" t="s">
        <v>197</v>
      </c>
      <c r="B653" s="230">
        <v>2691603404</v>
      </c>
      <c r="C653" s="230" t="s">
        <v>127</v>
      </c>
      <c r="D653" s="230" t="s">
        <v>63</v>
      </c>
      <c r="E653" s="230" t="s">
        <v>198</v>
      </c>
      <c r="F653" s="230" t="s">
        <v>2351</v>
      </c>
      <c r="G653" s="230">
        <v>675</v>
      </c>
      <c r="H653" s="230" t="s">
        <v>4373</v>
      </c>
      <c r="I653" s="230" t="s">
        <v>253</v>
      </c>
      <c r="J653" s="230" t="s">
        <v>3275</v>
      </c>
      <c r="K653" s="230"/>
      <c r="L653" s="230" t="s">
        <v>2165</v>
      </c>
      <c r="M653" s="230" t="s">
        <v>2202</v>
      </c>
      <c r="N653" s="230" t="s">
        <v>3276</v>
      </c>
      <c r="O653" s="158"/>
      <c r="P653" s="92"/>
      <c r="Q653" s="146"/>
      <c r="R653" s="92"/>
      <c r="S653" s="146"/>
      <c r="T653" s="92"/>
      <c r="U653" s="146"/>
      <c r="V653" s="92"/>
      <c r="W653" s="146"/>
      <c r="X653" s="92"/>
      <c r="Y653" s="146"/>
      <c r="Z653" s="186" t="str">
        <f t="shared" si="44"/>
        <v/>
      </c>
      <c r="AA653" s="217" t="b">
        <f t="shared" si="43"/>
        <v>0</v>
      </c>
      <c r="AB653" s="92"/>
      <c r="AC653" s="164" t="s">
        <v>6</v>
      </c>
      <c r="AD653" s="151" t="str">
        <f t="shared" si="41"/>
        <v>GUARULHOS</v>
      </c>
      <c r="AE653" s="96" t="s">
        <v>63</v>
      </c>
      <c r="AF653" s="53">
        <v>0.30707968157049137</v>
      </c>
      <c r="AG653" s="53" t="str" cm="1">
        <f t="array" ref="AG653">IF(OR(O653&lt;&gt;"", SUMPRODUCT(($AH$2:$AH$4999=AH653)*($AF$2:$AF$4999&lt;=AF653)) &lt;= (COUNTIF($AH$2:$AH$4999,AH653)*0.3)), "SORTEADO", "-")</f>
        <v>-</v>
      </c>
      <c r="AH653" s="257" t="str">
        <f t="shared" si="42"/>
        <v>27/04/2026</v>
      </c>
    </row>
    <row r="654" spans="1:34" ht="30" customHeight="1" x14ac:dyDescent="0.2">
      <c r="A654" s="230" t="s">
        <v>197</v>
      </c>
      <c r="B654" s="230">
        <v>2617121560</v>
      </c>
      <c r="C654" s="230" t="s">
        <v>134</v>
      </c>
      <c r="D654" s="230" t="s">
        <v>124</v>
      </c>
      <c r="E654" s="230" t="s">
        <v>198</v>
      </c>
      <c r="F654" s="230" t="s">
        <v>1173</v>
      </c>
      <c r="G654" s="230">
        <v>172</v>
      </c>
      <c r="H654" s="230" t="s">
        <v>390</v>
      </c>
      <c r="I654" s="230" t="s">
        <v>416</v>
      </c>
      <c r="J654" s="230" t="s">
        <v>3285</v>
      </c>
      <c r="K654" s="230" t="s">
        <v>213</v>
      </c>
      <c r="L654" s="230" t="s">
        <v>2165</v>
      </c>
      <c r="M654" s="230" t="s">
        <v>4374</v>
      </c>
      <c r="N654" s="230" t="s">
        <v>215</v>
      </c>
      <c r="O654" s="158" t="s">
        <v>204</v>
      </c>
      <c r="P654" s="92"/>
      <c r="Q654" s="146" t="s">
        <v>204</v>
      </c>
      <c r="R654" s="92"/>
      <c r="S654" s="146" t="s">
        <v>204</v>
      </c>
      <c r="T654" s="92"/>
      <c r="U654" s="146" t="s">
        <v>204</v>
      </c>
      <c r="V654" s="92"/>
      <c r="W654" s="146" t="s">
        <v>204</v>
      </c>
      <c r="X654" s="92"/>
      <c r="Y654" s="146" t="s">
        <v>204</v>
      </c>
      <c r="Z654" s="186" t="str">
        <f t="shared" si="44"/>
        <v>C</v>
      </c>
      <c r="AA654" s="217" t="str">
        <f t="shared" si="43"/>
        <v>UTILIZOU O PDA CORRETAMENTE</v>
      </c>
      <c r="AB654" s="92" t="s">
        <v>204</v>
      </c>
      <c r="AC654" s="164" t="s">
        <v>6</v>
      </c>
      <c r="AD654" s="151" t="str">
        <f t="shared" si="41"/>
        <v>GUARULHOS</v>
      </c>
      <c r="AE654" s="96" t="s">
        <v>63</v>
      </c>
      <c r="AF654" s="53">
        <v>1.6353769813134588E-2</v>
      </c>
      <c r="AG654" s="53" t="str" cm="1">
        <f t="array" ref="AG654">IF(OR(O654&lt;&gt;"", SUMPRODUCT(($AH$2:$AH$4999=AH654)*($AF$2:$AF$4999&lt;=AF654)) &lt;= (COUNTIF($AH$2:$AH$4999,AH654)*0.3)), "SORTEADO", "-")</f>
        <v>SORTEADO</v>
      </c>
      <c r="AH654" s="257" t="str">
        <f t="shared" si="42"/>
        <v>27/04/2026</v>
      </c>
    </row>
    <row r="655" spans="1:34" ht="30" hidden="1" customHeight="1" x14ac:dyDescent="0.2">
      <c r="A655" s="230" t="s">
        <v>197</v>
      </c>
      <c r="B655" s="230">
        <v>2617120817</v>
      </c>
      <c r="C655" s="230" t="s">
        <v>134</v>
      </c>
      <c r="D655" s="230" t="s">
        <v>124</v>
      </c>
      <c r="E655" s="230" t="s">
        <v>198</v>
      </c>
      <c r="F655" s="230" t="s">
        <v>1173</v>
      </c>
      <c r="G655" s="230">
        <v>172</v>
      </c>
      <c r="H655" s="230" t="s">
        <v>276</v>
      </c>
      <c r="I655" s="230" t="s">
        <v>416</v>
      </c>
      <c r="J655" s="230" t="s">
        <v>3285</v>
      </c>
      <c r="K655" s="230"/>
      <c r="L655" s="230" t="s">
        <v>2165</v>
      </c>
      <c r="M655" s="230" t="s">
        <v>4375</v>
      </c>
      <c r="N655" s="230" t="s">
        <v>215</v>
      </c>
      <c r="O655" s="158"/>
      <c r="P655" s="92"/>
      <c r="Q655" s="146"/>
      <c r="R655" s="92"/>
      <c r="S655" s="146"/>
      <c r="T655" s="92"/>
      <c r="U655" s="146"/>
      <c r="V655" s="92"/>
      <c r="W655" s="146"/>
      <c r="X655" s="92"/>
      <c r="Y655" s="146"/>
      <c r="Z655" s="186" t="str">
        <f t="shared" si="44"/>
        <v/>
      </c>
      <c r="AA655" s="217" t="b">
        <f t="shared" si="43"/>
        <v>0</v>
      </c>
      <c r="AB655" s="92"/>
      <c r="AC655" s="164" t="s">
        <v>6</v>
      </c>
      <c r="AD655" s="151" t="str">
        <f t="shared" si="41"/>
        <v>GUARULHOS</v>
      </c>
      <c r="AE655" s="96" t="s">
        <v>63</v>
      </c>
      <c r="AF655" s="53">
        <v>0.91762193523957558</v>
      </c>
      <c r="AG655" s="53" t="str" cm="1">
        <f t="array" ref="AG655">IF(OR(O655&lt;&gt;"", SUMPRODUCT(($AH$2:$AH$4999=AH655)*($AF$2:$AF$4999&lt;=AF655)) &lt;= (COUNTIF($AH$2:$AH$4999,AH655)*0.3)), "SORTEADO", "-")</f>
        <v>-</v>
      </c>
      <c r="AH655" s="257" t="str">
        <f t="shared" si="42"/>
        <v>27/04/2026</v>
      </c>
    </row>
    <row r="656" spans="1:34" ht="30" hidden="1" customHeight="1" x14ac:dyDescent="0.2">
      <c r="A656" s="230" t="s">
        <v>197</v>
      </c>
      <c r="B656" s="230">
        <v>2617120971</v>
      </c>
      <c r="C656" s="230" t="s">
        <v>134</v>
      </c>
      <c r="D656" s="230" t="s">
        <v>124</v>
      </c>
      <c r="E656" s="230" t="s">
        <v>198</v>
      </c>
      <c r="F656" s="230" t="s">
        <v>1173</v>
      </c>
      <c r="G656" s="230">
        <v>172</v>
      </c>
      <c r="H656" s="230" t="s">
        <v>235</v>
      </c>
      <c r="I656" s="230" t="s">
        <v>416</v>
      </c>
      <c r="J656" s="230" t="s">
        <v>3285</v>
      </c>
      <c r="K656" s="230" t="s">
        <v>2218</v>
      </c>
      <c r="L656" s="230" t="s">
        <v>2165</v>
      </c>
      <c r="M656" s="230" t="s">
        <v>4376</v>
      </c>
      <c r="N656" s="230" t="s">
        <v>215</v>
      </c>
      <c r="O656" s="158"/>
      <c r="P656" s="92"/>
      <c r="Q656" s="146"/>
      <c r="R656" s="92"/>
      <c r="S656" s="146"/>
      <c r="T656" s="92"/>
      <c r="U656" s="146"/>
      <c r="V656" s="92"/>
      <c r="W656" s="146"/>
      <c r="X656" s="92"/>
      <c r="Y656" s="146"/>
      <c r="Z656" s="186" t="str">
        <f t="shared" si="44"/>
        <v/>
      </c>
      <c r="AA656" s="217" t="b">
        <f t="shared" si="43"/>
        <v>0</v>
      </c>
      <c r="AB656" s="92"/>
      <c r="AC656" s="164" t="s">
        <v>6</v>
      </c>
      <c r="AD656" s="151" t="str">
        <f t="shared" si="41"/>
        <v>GUARULHOS</v>
      </c>
      <c r="AE656" s="96" t="s">
        <v>63</v>
      </c>
      <c r="AF656" s="53">
        <v>0.39481792570702001</v>
      </c>
      <c r="AG656" s="53" t="str" cm="1">
        <f t="array" ref="AG656">IF(OR(O656&lt;&gt;"", SUMPRODUCT(($AH$2:$AH$4999=AH656)*($AF$2:$AF$4999&lt;=AF656)) &lt;= (COUNTIF($AH$2:$AH$4999,AH656)*0.3)), "SORTEADO", "-")</f>
        <v>-</v>
      </c>
      <c r="AH656" s="257" t="str">
        <f t="shared" si="42"/>
        <v>27/04/2026</v>
      </c>
    </row>
    <row r="657" spans="1:34" ht="30" hidden="1" customHeight="1" x14ac:dyDescent="0.2">
      <c r="A657" s="230" t="s">
        <v>197</v>
      </c>
      <c r="B657" s="230">
        <v>2617562515</v>
      </c>
      <c r="C657" s="230" t="s">
        <v>127</v>
      </c>
      <c r="D657" s="230" t="s">
        <v>63</v>
      </c>
      <c r="E657" s="230" t="s">
        <v>198</v>
      </c>
      <c r="F657" s="230" t="s">
        <v>4377</v>
      </c>
      <c r="G657" s="230">
        <v>200</v>
      </c>
      <c r="H657" s="230" t="s">
        <v>3312</v>
      </c>
      <c r="I657" s="230" t="s">
        <v>236</v>
      </c>
      <c r="J657" s="230" t="s">
        <v>3275</v>
      </c>
      <c r="K657" s="230" t="s">
        <v>4378</v>
      </c>
      <c r="L657" s="230" t="s">
        <v>2165</v>
      </c>
      <c r="M657" s="230" t="s">
        <v>4379</v>
      </c>
      <c r="N657" s="230" t="s">
        <v>819</v>
      </c>
      <c r="O657" s="158"/>
      <c r="P657" s="92"/>
      <c r="Q657" s="146"/>
      <c r="R657" s="92"/>
      <c r="S657" s="146"/>
      <c r="T657" s="92"/>
      <c r="U657" s="146"/>
      <c r="V657" s="92"/>
      <c r="W657" s="146"/>
      <c r="X657" s="92"/>
      <c r="Y657" s="146"/>
      <c r="Z657" s="186" t="str">
        <f t="shared" si="44"/>
        <v/>
      </c>
      <c r="AA657" s="217" t="b">
        <f t="shared" si="43"/>
        <v>0</v>
      </c>
      <c r="AB657" s="92"/>
      <c r="AC657" s="164" t="s">
        <v>6</v>
      </c>
      <c r="AD657" s="151" t="str">
        <f t="shared" si="41"/>
        <v>GUARULHOS</v>
      </c>
      <c r="AE657" s="96" t="s">
        <v>63</v>
      </c>
      <c r="AF657" s="53">
        <v>0.24934331583777411</v>
      </c>
      <c r="AG657" s="53" t="str" cm="1">
        <f t="array" ref="AG657">IF(OR(O657&lt;&gt;"", SUMPRODUCT(($AH$2:$AH$4999=AH657)*($AF$2:$AF$4999&lt;=AF657)) &lt;= (COUNTIF($AH$2:$AH$4999,AH657)*0.3)), "SORTEADO", "-")</f>
        <v>-</v>
      </c>
      <c r="AH657" s="257" t="str">
        <f t="shared" si="42"/>
        <v>27/04/2026</v>
      </c>
    </row>
    <row r="658" spans="1:34" ht="30" hidden="1" customHeight="1" x14ac:dyDescent="0.2">
      <c r="A658" s="230" t="s">
        <v>197</v>
      </c>
      <c r="B658" s="230">
        <v>2617565222</v>
      </c>
      <c r="C658" s="230" t="s">
        <v>127</v>
      </c>
      <c r="D658" s="230" t="s">
        <v>63</v>
      </c>
      <c r="E658" s="230" t="s">
        <v>198</v>
      </c>
      <c r="F658" s="230" t="s">
        <v>3318</v>
      </c>
      <c r="G658" s="230">
        <v>345</v>
      </c>
      <c r="H658" s="230" t="s">
        <v>213</v>
      </c>
      <c r="I658" s="230" t="s">
        <v>531</v>
      </c>
      <c r="J658" s="230" t="s">
        <v>3275</v>
      </c>
      <c r="K658" s="230" t="s">
        <v>213</v>
      </c>
      <c r="L658" s="230" t="s">
        <v>2165</v>
      </c>
      <c r="M658" s="230" t="s">
        <v>4380</v>
      </c>
      <c r="N658" s="230" t="s">
        <v>819</v>
      </c>
      <c r="O658" s="158"/>
      <c r="P658" s="92"/>
      <c r="Q658" s="146"/>
      <c r="R658" s="92"/>
      <c r="S658" s="146"/>
      <c r="T658" s="92"/>
      <c r="U658" s="146"/>
      <c r="V658" s="92"/>
      <c r="W658" s="146"/>
      <c r="X658" s="92"/>
      <c r="Y658" s="146"/>
      <c r="Z658" s="186" t="str">
        <f t="shared" si="44"/>
        <v/>
      </c>
      <c r="AA658" s="217" t="b">
        <f t="shared" si="43"/>
        <v>0</v>
      </c>
      <c r="AB658" s="92"/>
      <c r="AC658" s="164" t="s">
        <v>6</v>
      </c>
      <c r="AD658" s="151" t="str">
        <f t="shared" si="41"/>
        <v>GUARULHOS</v>
      </c>
      <c r="AE658" s="96" t="s">
        <v>63</v>
      </c>
      <c r="AF658" s="53">
        <v>0.6967452091001517</v>
      </c>
      <c r="AG658" s="53" t="str" cm="1">
        <f t="array" ref="AG658">IF(OR(O658&lt;&gt;"", SUMPRODUCT(($AH$2:$AH$4999=AH658)*($AF$2:$AF$4999&lt;=AF658)) &lt;= (COUNTIF($AH$2:$AH$4999,AH658)*0.3)), "SORTEADO", "-")</f>
        <v>-</v>
      </c>
      <c r="AH658" s="257" t="str">
        <f t="shared" si="42"/>
        <v>27/04/2026</v>
      </c>
    </row>
    <row r="659" spans="1:34" ht="30" hidden="1" customHeight="1" x14ac:dyDescent="0.2">
      <c r="A659" s="230" t="s">
        <v>197</v>
      </c>
      <c r="B659" s="230">
        <v>2691611468</v>
      </c>
      <c r="C659" s="230" t="s">
        <v>127</v>
      </c>
      <c r="D659" s="230" t="s">
        <v>63</v>
      </c>
      <c r="E659" s="230" t="s">
        <v>198</v>
      </c>
      <c r="F659" s="230" t="s">
        <v>4381</v>
      </c>
      <c r="G659" s="230">
        <v>28</v>
      </c>
      <c r="H659" s="230"/>
      <c r="I659" s="230" t="s">
        <v>425</v>
      </c>
      <c r="J659" s="230" t="s">
        <v>3275</v>
      </c>
      <c r="K659" s="230"/>
      <c r="L659" s="230" t="s">
        <v>2165</v>
      </c>
      <c r="M659" s="230" t="s">
        <v>2284</v>
      </c>
      <c r="N659" s="230" t="s">
        <v>819</v>
      </c>
      <c r="O659" s="158"/>
      <c r="P659" s="92"/>
      <c r="Q659" s="146"/>
      <c r="R659" s="92"/>
      <c r="S659" s="146"/>
      <c r="T659" s="92"/>
      <c r="U659" s="146"/>
      <c r="V659" s="92"/>
      <c r="W659" s="146"/>
      <c r="X659" s="92"/>
      <c r="Y659" s="146"/>
      <c r="Z659" s="186" t="str">
        <f t="shared" si="44"/>
        <v/>
      </c>
      <c r="AA659" s="217" t="b">
        <f t="shared" si="43"/>
        <v>0</v>
      </c>
      <c r="AB659" s="92"/>
      <c r="AC659" s="164" t="s">
        <v>6</v>
      </c>
      <c r="AD659" s="151" t="str">
        <f t="shared" si="41"/>
        <v>GUARULHOS</v>
      </c>
      <c r="AE659" s="96" t="s">
        <v>63</v>
      </c>
      <c r="AF659" s="53">
        <v>0.52044418755735677</v>
      </c>
      <c r="AG659" s="53" t="str" cm="1">
        <f t="array" ref="AG659">IF(OR(O659&lt;&gt;"", SUMPRODUCT(($AH$2:$AH$4999=AH659)*($AF$2:$AF$4999&lt;=AF659)) &lt;= (COUNTIF($AH$2:$AH$4999,AH659)*0.3)), "SORTEADO", "-")</f>
        <v>-</v>
      </c>
      <c r="AH659" s="257" t="str">
        <f t="shared" si="42"/>
        <v>27/04/2026</v>
      </c>
    </row>
    <row r="660" spans="1:34" ht="30" customHeight="1" x14ac:dyDescent="0.2">
      <c r="A660" s="230" t="s">
        <v>197</v>
      </c>
      <c r="B660" s="230">
        <v>2691612333</v>
      </c>
      <c r="C660" s="230" t="s">
        <v>127</v>
      </c>
      <c r="D660" s="230" t="s">
        <v>63</v>
      </c>
      <c r="E660" s="230" t="s">
        <v>198</v>
      </c>
      <c r="F660" s="230" t="s">
        <v>212</v>
      </c>
      <c r="G660" s="230">
        <v>62</v>
      </c>
      <c r="H660" s="230" t="s">
        <v>213</v>
      </c>
      <c r="I660" s="230" t="s">
        <v>214</v>
      </c>
      <c r="J660" s="230" t="s">
        <v>3275</v>
      </c>
      <c r="K660" s="230" t="s">
        <v>213</v>
      </c>
      <c r="L660" s="230" t="s">
        <v>2165</v>
      </c>
      <c r="M660" s="230" t="s">
        <v>4382</v>
      </c>
      <c r="N660" s="230" t="s">
        <v>3276</v>
      </c>
      <c r="O660" s="158" t="s">
        <v>204</v>
      </c>
      <c r="P660" s="92"/>
      <c r="Q660" s="146" t="s">
        <v>204</v>
      </c>
      <c r="R660" s="92"/>
      <c r="S660" s="146" t="s">
        <v>204</v>
      </c>
      <c r="T660" s="92"/>
      <c r="U660" s="146" t="s">
        <v>204</v>
      </c>
      <c r="V660" s="92"/>
      <c r="W660" s="146" t="s">
        <v>204</v>
      </c>
      <c r="X660" s="92"/>
      <c r="Y660" s="146" t="s">
        <v>204</v>
      </c>
      <c r="Z660" s="186" t="str">
        <f t="shared" si="44"/>
        <v>C</v>
      </c>
      <c r="AA660" s="217" t="str">
        <f t="shared" si="43"/>
        <v>UTILIZOU O PDA CORRETAMENTE</v>
      </c>
      <c r="AB660" s="92" t="s">
        <v>204</v>
      </c>
      <c r="AC660" s="164" t="s">
        <v>6</v>
      </c>
      <c r="AD660" s="151" t="str">
        <f t="shared" si="41"/>
        <v>GUARULHOS</v>
      </c>
      <c r="AE660" s="96" t="s">
        <v>63</v>
      </c>
      <c r="AF660" s="53">
        <v>4.1024999713017769E-2</v>
      </c>
      <c r="AG660" s="53" t="str" cm="1">
        <f t="array" ref="AG660">IF(OR(O660&lt;&gt;"", SUMPRODUCT(($AH$2:$AH$4999=AH660)*($AF$2:$AF$4999&lt;=AF660)) &lt;= (COUNTIF($AH$2:$AH$4999,AH660)*0.3)), "SORTEADO", "-")</f>
        <v>SORTEADO</v>
      </c>
      <c r="AH660" s="257" t="str">
        <f t="shared" si="42"/>
        <v>27/04/2026</v>
      </c>
    </row>
    <row r="661" spans="1:34" ht="30" customHeight="1" x14ac:dyDescent="0.2">
      <c r="A661" s="230" t="s">
        <v>197</v>
      </c>
      <c r="B661" s="230">
        <v>2691616979</v>
      </c>
      <c r="C661" s="230" t="s">
        <v>130</v>
      </c>
      <c r="D661" s="230" t="s">
        <v>63</v>
      </c>
      <c r="E661" s="230" t="s">
        <v>198</v>
      </c>
      <c r="F661" s="230" t="s">
        <v>4383</v>
      </c>
      <c r="G661" s="230">
        <v>46</v>
      </c>
      <c r="H661" s="230" t="s">
        <v>4384</v>
      </c>
      <c r="I661" s="230" t="s">
        <v>436</v>
      </c>
      <c r="J661" s="230" t="s">
        <v>3271</v>
      </c>
      <c r="K661" s="230"/>
      <c r="L661" s="230" t="s">
        <v>2165</v>
      </c>
      <c r="M661" s="230" t="s">
        <v>4385</v>
      </c>
      <c r="N661" s="230" t="s">
        <v>1099</v>
      </c>
      <c r="O661" s="158" t="s">
        <v>204</v>
      </c>
      <c r="P661" s="92"/>
      <c r="Q661" s="146" t="s">
        <v>204</v>
      </c>
      <c r="R661" s="92"/>
      <c r="S661" s="146" t="s">
        <v>204</v>
      </c>
      <c r="T661" s="92"/>
      <c r="U661" s="146" t="s">
        <v>204</v>
      </c>
      <c r="V661" s="92"/>
      <c r="W661" s="146" t="s">
        <v>204</v>
      </c>
      <c r="X661" s="92"/>
      <c r="Y661" s="146" t="s">
        <v>204</v>
      </c>
      <c r="Z661" s="186" t="str">
        <f t="shared" si="44"/>
        <v>C</v>
      </c>
      <c r="AA661" s="217" t="str">
        <f t="shared" si="43"/>
        <v>UTILIZOU O PDA CORRETAMENTE</v>
      </c>
      <c r="AB661" s="92" t="s">
        <v>204</v>
      </c>
      <c r="AC661" s="164" t="s">
        <v>6</v>
      </c>
      <c r="AD661" s="151" t="str">
        <f t="shared" si="41"/>
        <v>GUARULHOS</v>
      </c>
      <c r="AE661" s="96" t="s">
        <v>63</v>
      </c>
      <c r="AF661" s="53">
        <v>0.19021814385752042</v>
      </c>
      <c r="AG661" s="53" t="str" cm="1">
        <f t="array" ref="AG661">IF(OR(O661&lt;&gt;"", SUMPRODUCT(($AH$2:$AH$4999=AH661)*($AF$2:$AF$4999&lt;=AF661)) &lt;= (COUNTIF($AH$2:$AH$4999,AH661)*0.3)), "SORTEADO", "-")</f>
        <v>SORTEADO</v>
      </c>
      <c r="AH661" s="257" t="str">
        <f t="shared" si="42"/>
        <v>27/04/2026</v>
      </c>
    </row>
    <row r="662" spans="1:34" ht="30" hidden="1" customHeight="1" x14ac:dyDescent="0.2">
      <c r="A662" s="230" t="s">
        <v>197</v>
      </c>
      <c r="B662" s="230">
        <v>2691615486</v>
      </c>
      <c r="C662" s="230" t="s">
        <v>130</v>
      </c>
      <c r="D662" s="230" t="s">
        <v>63</v>
      </c>
      <c r="E662" s="230" t="s">
        <v>198</v>
      </c>
      <c r="F662" s="230" t="s">
        <v>2597</v>
      </c>
      <c r="G662" s="230">
        <v>107</v>
      </c>
      <c r="H662" s="230" t="s">
        <v>4386</v>
      </c>
      <c r="I662" s="230" t="s">
        <v>1587</v>
      </c>
      <c r="J662" s="230" t="s">
        <v>3271</v>
      </c>
      <c r="K662" s="230" t="s">
        <v>213</v>
      </c>
      <c r="L662" s="230" t="s">
        <v>2165</v>
      </c>
      <c r="M662" s="230" t="s">
        <v>4387</v>
      </c>
      <c r="N662" s="230" t="s">
        <v>1099</v>
      </c>
      <c r="O662" s="158"/>
      <c r="P662" s="92"/>
      <c r="Q662" s="146"/>
      <c r="R662" s="92"/>
      <c r="S662" s="146"/>
      <c r="T662" s="92"/>
      <c r="U662" s="146"/>
      <c r="V662" s="92"/>
      <c r="W662" s="146"/>
      <c r="X662" s="92"/>
      <c r="Y662" s="146"/>
      <c r="Z662" s="186" t="str">
        <f t="shared" si="44"/>
        <v/>
      </c>
      <c r="AA662" s="217" t="b">
        <f t="shared" si="43"/>
        <v>0</v>
      </c>
      <c r="AB662" s="92"/>
      <c r="AC662" s="164" t="s">
        <v>6</v>
      </c>
      <c r="AD662" s="151" t="str">
        <f t="shared" si="41"/>
        <v>GUARULHOS</v>
      </c>
      <c r="AE662" s="96" t="s">
        <v>63</v>
      </c>
      <c r="AF662" s="53">
        <v>0.3388922463272846</v>
      </c>
      <c r="AG662" s="53" t="str" cm="1">
        <f t="array" ref="AG662">IF(OR(O662&lt;&gt;"", SUMPRODUCT(($AH$2:$AH$4999=AH662)*($AF$2:$AF$4999&lt;=AF662)) &lt;= (COUNTIF($AH$2:$AH$4999,AH662)*0.3)), "SORTEADO", "-")</f>
        <v>-</v>
      </c>
      <c r="AH662" s="257" t="str">
        <f t="shared" si="42"/>
        <v>27/04/2026</v>
      </c>
    </row>
    <row r="663" spans="1:34" ht="30" customHeight="1" x14ac:dyDescent="0.2">
      <c r="A663" s="230" t="s">
        <v>197</v>
      </c>
      <c r="B663" s="230">
        <v>2617574447</v>
      </c>
      <c r="C663" s="230" t="s">
        <v>127</v>
      </c>
      <c r="D663" s="230" t="s">
        <v>63</v>
      </c>
      <c r="E663" s="230" t="s">
        <v>198</v>
      </c>
      <c r="F663" s="230" t="s">
        <v>4388</v>
      </c>
      <c r="G663" s="230">
        <v>183</v>
      </c>
      <c r="H663" s="230" t="s">
        <v>4389</v>
      </c>
      <c r="I663" s="230" t="s">
        <v>791</v>
      </c>
      <c r="J663" s="230" t="s">
        <v>3275</v>
      </c>
      <c r="K663" s="230"/>
      <c r="L663" s="230" t="s">
        <v>2165</v>
      </c>
      <c r="M663" s="230" t="s">
        <v>4390</v>
      </c>
      <c r="N663" s="230" t="s">
        <v>3296</v>
      </c>
      <c r="O663" s="158" t="s">
        <v>204</v>
      </c>
      <c r="P663" s="92"/>
      <c r="Q663" s="146" t="s">
        <v>204</v>
      </c>
      <c r="R663" s="92"/>
      <c r="S663" s="146" t="s">
        <v>204</v>
      </c>
      <c r="T663" s="92"/>
      <c r="U663" s="146" t="s">
        <v>204</v>
      </c>
      <c r="V663" s="92"/>
      <c r="W663" s="146" t="s">
        <v>204</v>
      </c>
      <c r="X663" s="92"/>
      <c r="Y663" s="146" t="s">
        <v>204</v>
      </c>
      <c r="Z663" s="186" t="str">
        <f t="shared" si="44"/>
        <v>C</v>
      </c>
      <c r="AA663" s="217" t="str">
        <f t="shared" si="43"/>
        <v>UTILIZOU O PDA CORRETAMENTE</v>
      </c>
      <c r="AB663" s="92" t="s">
        <v>204</v>
      </c>
      <c r="AC663" s="164" t="s">
        <v>6</v>
      </c>
      <c r="AD663" s="151" t="str">
        <f t="shared" si="41"/>
        <v>GUARULHOS</v>
      </c>
      <c r="AE663" s="96" t="s">
        <v>63</v>
      </c>
      <c r="AF663" s="53">
        <v>0.24306077975270549</v>
      </c>
      <c r="AG663" s="53" t="str" cm="1">
        <f t="array" ref="AG663">IF(OR(O663&lt;&gt;"", SUMPRODUCT(($AH$2:$AH$4999=AH663)*($AF$2:$AF$4999&lt;=AF663)) &lt;= (COUNTIF($AH$2:$AH$4999,AH663)*0.3)), "SORTEADO", "-")</f>
        <v>SORTEADO</v>
      </c>
      <c r="AH663" s="257" t="str">
        <f t="shared" si="42"/>
        <v>27/04/2026</v>
      </c>
    </row>
    <row r="664" spans="1:34" ht="30" hidden="1" customHeight="1" x14ac:dyDescent="0.2">
      <c r="A664" s="230" t="s">
        <v>197</v>
      </c>
      <c r="B664" s="230">
        <v>2691623474</v>
      </c>
      <c r="C664" s="230" t="s">
        <v>127</v>
      </c>
      <c r="D664" s="230" t="s">
        <v>63</v>
      </c>
      <c r="E664" s="230" t="s">
        <v>198</v>
      </c>
      <c r="F664" s="230" t="s">
        <v>718</v>
      </c>
      <c r="G664" s="230">
        <v>331</v>
      </c>
      <c r="H664" s="230" t="s">
        <v>4391</v>
      </c>
      <c r="I664" s="230" t="s">
        <v>315</v>
      </c>
      <c r="J664" s="230" t="s">
        <v>3275</v>
      </c>
      <c r="K664" s="230" t="s">
        <v>213</v>
      </c>
      <c r="L664" s="230" t="s">
        <v>2165</v>
      </c>
      <c r="M664" s="230" t="s">
        <v>4392</v>
      </c>
      <c r="N664" s="230" t="s">
        <v>3276</v>
      </c>
      <c r="O664" s="158"/>
      <c r="P664" s="92"/>
      <c r="Q664" s="146"/>
      <c r="R664" s="92"/>
      <c r="S664" s="146"/>
      <c r="T664" s="92"/>
      <c r="U664" s="146"/>
      <c r="V664" s="92"/>
      <c r="W664" s="146"/>
      <c r="X664" s="92"/>
      <c r="Y664" s="146"/>
      <c r="Z664" s="186" t="str">
        <f t="shared" si="44"/>
        <v/>
      </c>
      <c r="AA664" s="217" t="b">
        <f t="shared" si="43"/>
        <v>0</v>
      </c>
      <c r="AB664" s="92"/>
      <c r="AC664" s="164" t="s">
        <v>6</v>
      </c>
      <c r="AD664" s="151" t="str">
        <f t="shared" si="41"/>
        <v>GUARULHOS</v>
      </c>
      <c r="AE664" s="96" t="s">
        <v>63</v>
      </c>
      <c r="AF664" s="53">
        <v>0.49010796171865567</v>
      </c>
      <c r="AG664" s="53" t="str" cm="1">
        <f t="array" ref="AG664">IF(OR(O664&lt;&gt;"", SUMPRODUCT(($AH$2:$AH$4999=AH664)*($AF$2:$AF$4999&lt;=AF664)) &lt;= (COUNTIF($AH$2:$AH$4999,AH664)*0.3)), "SORTEADO", "-")</f>
        <v>-</v>
      </c>
      <c r="AH664" s="257" t="str">
        <f t="shared" si="42"/>
        <v>27/04/2026</v>
      </c>
    </row>
    <row r="665" spans="1:34" ht="30" hidden="1" customHeight="1" x14ac:dyDescent="0.2">
      <c r="A665" s="230" t="s">
        <v>197</v>
      </c>
      <c r="B665" s="230">
        <v>2691610479</v>
      </c>
      <c r="C665" s="230" t="s">
        <v>133</v>
      </c>
      <c r="D665" s="230" t="s">
        <v>124</v>
      </c>
      <c r="E665" s="230" t="s">
        <v>198</v>
      </c>
      <c r="F665" s="230" t="s">
        <v>627</v>
      </c>
      <c r="G665" s="230">
        <v>2412</v>
      </c>
      <c r="H665" s="230"/>
      <c r="I665" s="230" t="s">
        <v>285</v>
      </c>
      <c r="J665" s="230" t="s">
        <v>3275</v>
      </c>
      <c r="K665" s="230" t="s">
        <v>4298</v>
      </c>
      <c r="L665" s="230" t="s">
        <v>2165</v>
      </c>
      <c r="M665" s="230" t="s">
        <v>4393</v>
      </c>
      <c r="N665" s="230" t="s">
        <v>3289</v>
      </c>
      <c r="O665" s="158"/>
      <c r="P665" s="92"/>
      <c r="Q665" s="146"/>
      <c r="R665" s="92"/>
      <c r="S665" s="146"/>
      <c r="T665" s="92"/>
      <c r="U665" s="146"/>
      <c r="V665" s="92"/>
      <c r="W665" s="146"/>
      <c r="X665" s="92"/>
      <c r="Y665" s="146"/>
      <c r="Z665" s="186" t="str">
        <f t="shared" si="44"/>
        <v/>
      </c>
      <c r="AA665" s="217" t="b">
        <f t="shared" si="43"/>
        <v>0</v>
      </c>
      <c r="AB665" s="92"/>
      <c r="AC665" s="164" t="s">
        <v>6</v>
      </c>
      <c r="AD665" s="151" t="str">
        <f t="shared" si="41"/>
        <v>GUARULHOS</v>
      </c>
      <c r="AE665" s="96" t="s">
        <v>63</v>
      </c>
      <c r="AF665" s="53">
        <v>0.7361347646526033</v>
      </c>
      <c r="AG665" s="53" t="str" cm="1">
        <f t="array" ref="AG665">IF(OR(O665&lt;&gt;"", SUMPRODUCT(($AH$2:$AH$4999=AH665)*($AF$2:$AF$4999&lt;=AF665)) &lt;= (COUNTIF($AH$2:$AH$4999,AH665)*0.3)), "SORTEADO", "-")</f>
        <v>-</v>
      </c>
      <c r="AH665" s="257" t="str">
        <f t="shared" si="42"/>
        <v>27/04/2026</v>
      </c>
    </row>
    <row r="666" spans="1:34" ht="30" hidden="1" customHeight="1" x14ac:dyDescent="0.2">
      <c r="A666" s="230" t="s">
        <v>197</v>
      </c>
      <c r="B666" s="230">
        <v>2691626444</v>
      </c>
      <c r="C666" s="230" t="s">
        <v>127</v>
      </c>
      <c r="D666" s="230" t="s">
        <v>63</v>
      </c>
      <c r="E666" s="230" t="s">
        <v>198</v>
      </c>
      <c r="F666" s="230" t="s">
        <v>3653</v>
      </c>
      <c r="G666" s="230">
        <v>229</v>
      </c>
      <c r="H666" s="230" t="s">
        <v>1434</v>
      </c>
      <c r="I666" s="230" t="s">
        <v>664</v>
      </c>
      <c r="J666" s="230" t="s">
        <v>3275</v>
      </c>
      <c r="K666" s="230" t="s">
        <v>213</v>
      </c>
      <c r="L666" s="230" t="s">
        <v>2165</v>
      </c>
      <c r="M666" s="230" t="s">
        <v>4394</v>
      </c>
      <c r="N666" s="230" t="s">
        <v>3276</v>
      </c>
      <c r="O666" s="158"/>
      <c r="P666" s="92"/>
      <c r="Q666" s="146"/>
      <c r="R666" s="92"/>
      <c r="S666" s="146"/>
      <c r="T666" s="92"/>
      <c r="U666" s="146"/>
      <c r="V666" s="92"/>
      <c r="W666" s="146"/>
      <c r="X666" s="92"/>
      <c r="Y666" s="146"/>
      <c r="Z666" s="186" t="str">
        <f t="shared" si="44"/>
        <v/>
      </c>
      <c r="AA666" s="217" t="b">
        <f t="shared" si="43"/>
        <v>0</v>
      </c>
      <c r="AB666" s="92"/>
      <c r="AC666" s="164" t="s">
        <v>6</v>
      </c>
      <c r="AD666" s="151" t="str">
        <f t="shared" si="41"/>
        <v>GUARULHOS</v>
      </c>
      <c r="AE666" s="96" t="s">
        <v>63</v>
      </c>
      <c r="AF666" s="53">
        <v>0.80751248162337241</v>
      </c>
      <c r="AG666" s="53" t="str" cm="1">
        <f t="array" ref="AG666">IF(OR(O666&lt;&gt;"", SUMPRODUCT(($AH$2:$AH$4999=AH666)*($AF$2:$AF$4999&lt;=AF666)) &lt;= (COUNTIF($AH$2:$AH$4999,AH666)*0.3)), "SORTEADO", "-")</f>
        <v>-</v>
      </c>
      <c r="AH666" s="257" t="str">
        <f t="shared" si="42"/>
        <v>27/04/2026</v>
      </c>
    </row>
    <row r="667" spans="1:34" ht="30" hidden="1" customHeight="1" x14ac:dyDescent="0.2">
      <c r="A667" s="230" t="s">
        <v>197</v>
      </c>
      <c r="B667" s="230">
        <v>2691636614</v>
      </c>
      <c r="C667" s="230" t="s">
        <v>127</v>
      </c>
      <c r="D667" s="230" t="s">
        <v>63</v>
      </c>
      <c r="E667" s="230" t="s">
        <v>198</v>
      </c>
      <c r="F667" s="230" t="s">
        <v>1355</v>
      </c>
      <c r="G667" s="230">
        <v>169</v>
      </c>
      <c r="H667" s="230" t="s">
        <v>3421</v>
      </c>
      <c r="I667" s="230" t="s">
        <v>588</v>
      </c>
      <c r="J667" s="230" t="s">
        <v>3275</v>
      </c>
      <c r="K667" s="230"/>
      <c r="L667" s="230" t="s">
        <v>2165</v>
      </c>
      <c r="M667" s="230" t="s">
        <v>4395</v>
      </c>
      <c r="N667" s="230" t="s">
        <v>3276</v>
      </c>
      <c r="O667" s="158"/>
      <c r="P667" s="92"/>
      <c r="Q667" s="146"/>
      <c r="R667" s="92"/>
      <c r="S667" s="146"/>
      <c r="T667" s="92"/>
      <c r="U667" s="146"/>
      <c r="V667" s="92"/>
      <c r="W667" s="146"/>
      <c r="X667" s="92"/>
      <c r="Y667" s="146"/>
      <c r="Z667" s="186" t="str">
        <f t="shared" si="44"/>
        <v/>
      </c>
      <c r="AA667" s="217" t="b">
        <f t="shared" si="43"/>
        <v>0</v>
      </c>
      <c r="AB667" s="92"/>
      <c r="AC667" s="164" t="s">
        <v>6</v>
      </c>
      <c r="AD667" s="151" t="str">
        <f t="shared" si="41"/>
        <v>GUARULHOS</v>
      </c>
      <c r="AE667" s="96" t="s">
        <v>63</v>
      </c>
      <c r="AF667" s="53">
        <v>0.94192843725337061</v>
      </c>
      <c r="AG667" s="53" t="str" cm="1">
        <f t="array" ref="AG667">IF(OR(O667&lt;&gt;"", SUMPRODUCT(($AH$2:$AH$4999=AH667)*($AF$2:$AF$4999&lt;=AF667)) &lt;= (COUNTIF($AH$2:$AH$4999,AH667)*0.3)), "SORTEADO", "-")</f>
        <v>-</v>
      </c>
      <c r="AH667" s="257" t="str">
        <f t="shared" si="42"/>
        <v>27/04/2026</v>
      </c>
    </row>
    <row r="668" spans="1:34" ht="30" hidden="1" customHeight="1" x14ac:dyDescent="0.2">
      <c r="A668" s="230" t="s">
        <v>197</v>
      </c>
      <c r="B668" s="230">
        <v>2617595020</v>
      </c>
      <c r="C668" s="230" t="s">
        <v>127</v>
      </c>
      <c r="D668" s="230" t="s">
        <v>63</v>
      </c>
      <c r="E668" s="230" t="s">
        <v>198</v>
      </c>
      <c r="F668" s="230" t="s">
        <v>4396</v>
      </c>
      <c r="G668" s="230">
        <v>88</v>
      </c>
      <c r="H668" s="230" t="s">
        <v>4397</v>
      </c>
      <c r="I668" s="230" t="s">
        <v>301</v>
      </c>
      <c r="J668" s="230" t="s">
        <v>3275</v>
      </c>
      <c r="K668" s="230"/>
      <c r="L668" s="230" t="s">
        <v>2165</v>
      </c>
      <c r="M668" s="230" t="s">
        <v>4398</v>
      </c>
      <c r="N668" s="230" t="s">
        <v>3296</v>
      </c>
      <c r="O668" s="158"/>
      <c r="P668" s="92"/>
      <c r="Q668" s="146"/>
      <c r="R668" s="92"/>
      <c r="S668" s="146"/>
      <c r="T668" s="92"/>
      <c r="U668" s="146"/>
      <c r="V668" s="92"/>
      <c r="W668" s="146"/>
      <c r="X668" s="92"/>
      <c r="Y668" s="146"/>
      <c r="Z668" s="186" t="str">
        <f t="shared" si="44"/>
        <v/>
      </c>
      <c r="AA668" s="217" t="b">
        <f t="shared" si="43"/>
        <v>0</v>
      </c>
      <c r="AB668" s="92"/>
      <c r="AC668" s="164" t="s">
        <v>6</v>
      </c>
      <c r="AD668" s="151" t="str">
        <f t="shared" si="41"/>
        <v>GUARULHOS</v>
      </c>
      <c r="AE668" s="96" t="s">
        <v>63</v>
      </c>
      <c r="AF668" s="53">
        <v>0.71581195147654386</v>
      </c>
      <c r="AG668" s="53" t="str" cm="1">
        <f t="array" ref="AG668">IF(OR(O668&lt;&gt;"", SUMPRODUCT(($AH$2:$AH$4999=AH668)*($AF$2:$AF$4999&lt;=AF668)) &lt;= (COUNTIF($AH$2:$AH$4999,AH668)*0.3)), "SORTEADO", "-")</f>
        <v>-</v>
      </c>
      <c r="AH668" s="257" t="str">
        <f t="shared" si="42"/>
        <v>27/04/2026</v>
      </c>
    </row>
    <row r="669" spans="1:34" ht="30" customHeight="1" x14ac:dyDescent="0.2">
      <c r="A669" s="230" t="s">
        <v>197</v>
      </c>
      <c r="B669" s="230">
        <v>2691647644</v>
      </c>
      <c r="C669" s="230" t="s">
        <v>131</v>
      </c>
      <c r="D669" s="230" t="s">
        <v>63</v>
      </c>
      <c r="E669" s="230" t="s">
        <v>198</v>
      </c>
      <c r="F669" s="230" t="s">
        <v>358</v>
      </c>
      <c r="G669" s="230">
        <v>782</v>
      </c>
      <c r="H669" s="230" t="s">
        <v>4399</v>
      </c>
      <c r="I669" s="230" t="s">
        <v>262</v>
      </c>
      <c r="J669" s="230" t="s">
        <v>3273</v>
      </c>
      <c r="K669" s="230"/>
      <c r="L669" s="230" t="s">
        <v>2165</v>
      </c>
      <c r="M669" s="230" t="s">
        <v>4400</v>
      </c>
      <c r="N669" s="230" t="s">
        <v>1099</v>
      </c>
      <c r="O669" s="158" t="s">
        <v>204</v>
      </c>
      <c r="P669" s="92"/>
      <c r="Q669" s="146" t="s">
        <v>204</v>
      </c>
      <c r="R669" s="92"/>
      <c r="S669" s="146" t="s">
        <v>204</v>
      </c>
      <c r="T669" s="92"/>
      <c r="U669" s="146" t="s">
        <v>204</v>
      </c>
      <c r="V669" s="92"/>
      <c r="W669" s="146" t="s">
        <v>204</v>
      </c>
      <c r="X669" s="92"/>
      <c r="Y669" s="146" t="s">
        <v>204</v>
      </c>
      <c r="Z669" s="186" t="str">
        <f t="shared" si="44"/>
        <v>C</v>
      </c>
      <c r="AA669" s="217" t="str">
        <f t="shared" si="43"/>
        <v>UTILIZOU O PDA CORRETAMENTE</v>
      </c>
      <c r="AB669" s="92" t="s">
        <v>204</v>
      </c>
      <c r="AC669" s="164" t="s">
        <v>6</v>
      </c>
      <c r="AD669" s="151" t="str">
        <f t="shared" si="41"/>
        <v>GUARULHOS</v>
      </c>
      <c r="AE669" s="96" t="s">
        <v>63</v>
      </c>
      <c r="AF669" s="53">
        <v>0.21806191847728759</v>
      </c>
      <c r="AG669" s="53" t="str" cm="1">
        <f t="array" ref="AG669">IF(OR(O669&lt;&gt;"", SUMPRODUCT(($AH$2:$AH$4999=AH669)*($AF$2:$AF$4999&lt;=AF669)) &lt;= (COUNTIF($AH$2:$AH$4999,AH669)*0.3)), "SORTEADO", "-")</f>
        <v>SORTEADO</v>
      </c>
      <c r="AH669" s="257" t="str">
        <f t="shared" si="42"/>
        <v>27/04/2026</v>
      </c>
    </row>
    <row r="670" spans="1:34" ht="30" hidden="1" customHeight="1" x14ac:dyDescent="0.2">
      <c r="A670" s="230" t="s">
        <v>197</v>
      </c>
      <c r="B670" s="230">
        <v>2617584855</v>
      </c>
      <c r="C670" s="230" t="s">
        <v>133</v>
      </c>
      <c r="D670" s="230" t="s">
        <v>124</v>
      </c>
      <c r="E670" s="230" t="s">
        <v>198</v>
      </c>
      <c r="F670" s="230" t="s">
        <v>3443</v>
      </c>
      <c r="G670" s="230">
        <v>84</v>
      </c>
      <c r="H670" s="230" t="s">
        <v>4401</v>
      </c>
      <c r="I670" s="230" t="s">
        <v>3444</v>
      </c>
      <c r="J670" s="230" t="s">
        <v>3275</v>
      </c>
      <c r="K670" s="230" t="s">
        <v>4402</v>
      </c>
      <c r="L670" s="230" t="s">
        <v>2165</v>
      </c>
      <c r="M670" s="230" t="s">
        <v>4403</v>
      </c>
      <c r="N670" s="230" t="s">
        <v>3289</v>
      </c>
      <c r="O670" s="158"/>
      <c r="P670" s="92"/>
      <c r="Q670" s="146"/>
      <c r="R670" s="92"/>
      <c r="S670" s="146"/>
      <c r="T670" s="92"/>
      <c r="U670" s="146"/>
      <c r="V670" s="92"/>
      <c r="W670" s="146"/>
      <c r="X670" s="92"/>
      <c r="Y670" s="146"/>
      <c r="Z670" s="186" t="str">
        <f t="shared" si="44"/>
        <v/>
      </c>
      <c r="AA670" s="217" t="b">
        <f t="shared" si="43"/>
        <v>0</v>
      </c>
      <c r="AB670" s="92"/>
      <c r="AC670" s="164" t="s">
        <v>6</v>
      </c>
      <c r="AD670" s="151" t="str">
        <f t="shared" si="41"/>
        <v>GUARULHOS</v>
      </c>
      <c r="AE670" s="96" t="s">
        <v>63</v>
      </c>
      <c r="AF670" s="53">
        <v>0.45176184577679485</v>
      </c>
      <c r="AG670" s="53" t="str" cm="1">
        <f t="array" ref="AG670">IF(OR(O670&lt;&gt;"", SUMPRODUCT(($AH$2:$AH$4999=AH670)*($AF$2:$AF$4999&lt;=AF670)) &lt;= (COUNTIF($AH$2:$AH$4999,AH670)*0.3)), "SORTEADO", "-")</f>
        <v>-</v>
      </c>
      <c r="AH670" s="257" t="str">
        <f t="shared" si="42"/>
        <v>27/04/2026</v>
      </c>
    </row>
    <row r="671" spans="1:34" ht="30" hidden="1" customHeight="1" x14ac:dyDescent="0.2">
      <c r="A671" s="230" t="s">
        <v>197</v>
      </c>
      <c r="B671" s="230">
        <v>2617589568</v>
      </c>
      <c r="C671" s="230" t="s">
        <v>133</v>
      </c>
      <c r="D671" s="230" t="s">
        <v>124</v>
      </c>
      <c r="E671" s="230" t="s">
        <v>198</v>
      </c>
      <c r="F671" s="230" t="s">
        <v>4404</v>
      </c>
      <c r="G671" s="230">
        <v>34</v>
      </c>
      <c r="H671" s="230" t="s">
        <v>4405</v>
      </c>
      <c r="I671" s="230" t="s">
        <v>223</v>
      </c>
      <c r="J671" s="230" t="s">
        <v>3275</v>
      </c>
      <c r="K671" s="230"/>
      <c r="L671" s="230" t="s">
        <v>2165</v>
      </c>
      <c r="M671" s="230" t="s">
        <v>4406</v>
      </c>
      <c r="N671" s="230" t="s">
        <v>3289</v>
      </c>
      <c r="O671" s="158"/>
      <c r="P671" s="92"/>
      <c r="Q671" s="146"/>
      <c r="R671" s="92"/>
      <c r="S671" s="146"/>
      <c r="T671" s="92"/>
      <c r="U671" s="146"/>
      <c r="V671" s="92"/>
      <c r="W671" s="146"/>
      <c r="X671" s="92"/>
      <c r="Y671" s="146"/>
      <c r="Z671" s="186" t="str">
        <f t="shared" si="44"/>
        <v/>
      </c>
      <c r="AA671" s="217" t="b">
        <f t="shared" si="43"/>
        <v>0</v>
      </c>
      <c r="AB671" s="92"/>
      <c r="AC671" s="164" t="s">
        <v>6</v>
      </c>
      <c r="AD671" s="151" t="str">
        <f t="shared" ref="AD671:AD734" si="45">E671</f>
        <v>GUARULHOS</v>
      </c>
      <c r="AE671" s="96" t="s">
        <v>63</v>
      </c>
      <c r="AF671" s="53">
        <v>0.30319125862040752</v>
      </c>
      <c r="AG671" s="53" t="str" cm="1">
        <f t="array" ref="AG671">IF(OR(O671&lt;&gt;"", SUMPRODUCT(($AH$2:$AH$4999=AH671)*($AF$2:$AF$4999&lt;=AF671)) &lt;= (COUNTIF($AH$2:$AH$4999,AH671)*0.3)), "SORTEADO", "-")</f>
        <v>-</v>
      </c>
      <c r="AH671" s="257" t="str">
        <f t="shared" si="42"/>
        <v>27/04/2026</v>
      </c>
    </row>
    <row r="672" spans="1:34" ht="30" customHeight="1" x14ac:dyDescent="0.2">
      <c r="A672" s="230" t="s">
        <v>197</v>
      </c>
      <c r="B672" s="230">
        <v>2691618444</v>
      </c>
      <c r="C672" s="230" t="s">
        <v>133</v>
      </c>
      <c r="D672" s="230" t="s">
        <v>124</v>
      </c>
      <c r="E672" s="230" t="s">
        <v>198</v>
      </c>
      <c r="F672" s="230" t="s">
        <v>2269</v>
      </c>
      <c r="G672" s="230">
        <v>108</v>
      </c>
      <c r="H672" s="230" t="s">
        <v>2952</v>
      </c>
      <c r="I672" s="230" t="s">
        <v>509</v>
      </c>
      <c r="J672" s="230" t="s">
        <v>3275</v>
      </c>
      <c r="K672" s="230" t="s">
        <v>3499</v>
      </c>
      <c r="L672" s="230" t="s">
        <v>2165</v>
      </c>
      <c r="M672" s="230" t="s">
        <v>4407</v>
      </c>
      <c r="N672" s="230" t="s">
        <v>3296</v>
      </c>
      <c r="O672" s="158" t="s">
        <v>204</v>
      </c>
      <c r="P672" s="92"/>
      <c r="Q672" s="146" t="s">
        <v>204</v>
      </c>
      <c r="R672" s="92"/>
      <c r="S672" s="146" t="s">
        <v>204</v>
      </c>
      <c r="T672" s="92"/>
      <c r="U672" s="146" t="s">
        <v>204</v>
      </c>
      <c r="V672" s="92"/>
      <c r="W672" s="146" t="s">
        <v>204</v>
      </c>
      <c r="X672" s="92"/>
      <c r="Y672" s="146" t="s">
        <v>204</v>
      </c>
      <c r="Z672" s="186" t="str">
        <f t="shared" si="44"/>
        <v>C</v>
      </c>
      <c r="AA672" s="217" t="str">
        <f t="shared" si="43"/>
        <v>UTILIZOU O PDA CORRETAMENTE</v>
      </c>
      <c r="AB672" s="92" t="s">
        <v>204</v>
      </c>
      <c r="AC672" s="164" t="s">
        <v>6</v>
      </c>
      <c r="AD672" s="151" t="str">
        <f t="shared" si="45"/>
        <v>GUARULHOS</v>
      </c>
      <c r="AE672" s="96" t="s">
        <v>63</v>
      </c>
      <c r="AF672" s="53">
        <v>0.15742088916327224</v>
      </c>
      <c r="AG672" s="53" t="str" cm="1">
        <f t="array" ref="AG672">IF(OR(O672&lt;&gt;"", SUMPRODUCT(($AH$2:$AH$4999=AH672)*($AF$2:$AF$4999&lt;=AF672)) &lt;= (COUNTIF($AH$2:$AH$4999,AH672)*0.3)), "SORTEADO", "-")</f>
        <v>SORTEADO</v>
      </c>
      <c r="AH672" s="257" t="str">
        <f t="shared" si="42"/>
        <v>27/04/2026</v>
      </c>
    </row>
    <row r="673" spans="1:34" ht="30" hidden="1" customHeight="1" x14ac:dyDescent="0.2">
      <c r="A673" s="230" t="s">
        <v>197</v>
      </c>
      <c r="B673" s="230">
        <v>2617599960</v>
      </c>
      <c r="C673" s="230" t="s">
        <v>133</v>
      </c>
      <c r="D673" s="230" t="s">
        <v>124</v>
      </c>
      <c r="E673" s="230" t="s">
        <v>198</v>
      </c>
      <c r="F673" s="230" t="s">
        <v>4408</v>
      </c>
      <c r="G673" s="230">
        <v>25</v>
      </c>
      <c r="H673" s="230"/>
      <c r="I673" s="230" t="s">
        <v>582</v>
      </c>
      <c r="J673" s="230" t="s">
        <v>3275</v>
      </c>
      <c r="K673" s="230" t="s">
        <v>4409</v>
      </c>
      <c r="L673" s="230" t="s">
        <v>2165</v>
      </c>
      <c r="M673" s="230" t="s">
        <v>4410</v>
      </c>
      <c r="N673" s="230" t="s">
        <v>3289</v>
      </c>
      <c r="O673" s="158"/>
      <c r="P673" s="92"/>
      <c r="Q673" s="146"/>
      <c r="R673" s="92"/>
      <c r="S673" s="146"/>
      <c r="T673" s="92"/>
      <c r="U673" s="146"/>
      <c r="V673" s="92"/>
      <c r="W673" s="146"/>
      <c r="X673" s="92"/>
      <c r="Y673" s="146"/>
      <c r="Z673" s="186" t="str">
        <f t="shared" si="44"/>
        <v/>
      </c>
      <c r="AA673" s="217" t="b">
        <f t="shared" si="43"/>
        <v>0</v>
      </c>
      <c r="AB673" s="92"/>
      <c r="AC673" s="164" t="s">
        <v>6</v>
      </c>
      <c r="AD673" s="151" t="str">
        <f t="shared" si="45"/>
        <v>GUARULHOS</v>
      </c>
      <c r="AE673" s="96" t="s">
        <v>63</v>
      </c>
      <c r="AF673" s="53">
        <v>0.33321396245285612</v>
      </c>
      <c r="AG673" s="53" t="str" cm="1">
        <f t="array" ref="AG673">IF(OR(O673&lt;&gt;"", SUMPRODUCT(($AH$2:$AH$4999=AH673)*($AF$2:$AF$4999&lt;=AF673)) &lt;= (COUNTIF($AH$2:$AH$4999,AH673)*0.3)), "SORTEADO", "-")</f>
        <v>-</v>
      </c>
      <c r="AH673" s="257" t="str">
        <f t="shared" si="42"/>
        <v>27/04/2026</v>
      </c>
    </row>
    <row r="674" spans="1:34" ht="30" hidden="1" customHeight="1" x14ac:dyDescent="0.2">
      <c r="A674" s="242" t="s">
        <v>197</v>
      </c>
      <c r="B674" s="242">
        <v>2691625743</v>
      </c>
      <c r="C674" s="242" t="s">
        <v>133</v>
      </c>
      <c r="D674" s="242" t="s">
        <v>124</v>
      </c>
      <c r="E674" s="242" t="s">
        <v>198</v>
      </c>
      <c r="F674" s="242" t="s">
        <v>3547</v>
      </c>
      <c r="G674" s="242">
        <v>227</v>
      </c>
      <c r="H674" s="242" t="s">
        <v>4411</v>
      </c>
      <c r="I674" s="242" t="s">
        <v>591</v>
      </c>
      <c r="J674" s="242" t="s">
        <v>3275</v>
      </c>
      <c r="K674" s="242" t="s">
        <v>4298</v>
      </c>
      <c r="L674" s="242" t="s">
        <v>2165</v>
      </c>
      <c r="M674" s="242" t="s">
        <v>2229</v>
      </c>
      <c r="N674" s="242" t="s">
        <v>3289</v>
      </c>
      <c r="O674" s="158"/>
      <c r="P674" s="92"/>
      <c r="Q674" s="146"/>
      <c r="R674" s="92"/>
      <c r="S674" s="146"/>
      <c r="T674" s="92"/>
      <c r="U674" s="146"/>
      <c r="V674" s="92"/>
      <c r="W674" s="146"/>
      <c r="X674" s="92"/>
      <c r="Y674" s="146"/>
      <c r="Z674" s="186" t="str">
        <f t="shared" si="44"/>
        <v/>
      </c>
      <c r="AA674" s="217" t="b">
        <f t="shared" si="43"/>
        <v>0</v>
      </c>
      <c r="AB674" s="92"/>
      <c r="AC674" s="164" t="s">
        <v>6</v>
      </c>
      <c r="AD674" s="151" t="str">
        <f t="shared" si="45"/>
        <v>GUARULHOS</v>
      </c>
      <c r="AE674" s="96" t="s">
        <v>63</v>
      </c>
      <c r="AF674" s="53">
        <v>0.69452481320025272</v>
      </c>
      <c r="AG674" s="53" t="str" cm="1">
        <f t="array" ref="AG674">IF(OR(O674&lt;&gt;"", SUMPRODUCT(($AH$2:$AH$4999=AH674)*($AF$2:$AF$4999&lt;=AF674)) &lt;= (COUNTIF($AH$2:$AH$4999,AH674)*0.3)), "SORTEADO", "-")</f>
        <v>-</v>
      </c>
      <c r="AH674" s="257" t="str">
        <f t="shared" si="42"/>
        <v>27/04/2026</v>
      </c>
    </row>
    <row r="675" spans="1:34" ht="30" customHeight="1" x14ac:dyDescent="0.2">
      <c r="A675" s="245" t="s">
        <v>197</v>
      </c>
      <c r="B675" s="245">
        <v>2691690049</v>
      </c>
      <c r="C675" s="245" t="s">
        <v>127</v>
      </c>
      <c r="D675" s="245" t="s">
        <v>63</v>
      </c>
      <c r="E675" s="245" t="s">
        <v>198</v>
      </c>
      <c r="F675" s="245" t="s">
        <v>256</v>
      </c>
      <c r="G675" s="245">
        <v>453</v>
      </c>
      <c r="H675" s="245" t="s">
        <v>4412</v>
      </c>
      <c r="I675" s="245" t="s">
        <v>258</v>
      </c>
      <c r="J675" s="245" t="s">
        <v>3275</v>
      </c>
      <c r="K675" s="245" t="s">
        <v>213</v>
      </c>
      <c r="L675" s="230" t="s">
        <v>2294</v>
      </c>
      <c r="M675" s="245" t="s">
        <v>4413</v>
      </c>
      <c r="N675" s="245" t="s">
        <v>3296</v>
      </c>
      <c r="O675" s="158" t="s">
        <v>204</v>
      </c>
      <c r="P675" s="92"/>
      <c r="Q675" s="146" t="s">
        <v>204</v>
      </c>
      <c r="R675" s="92"/>
      <c r="S675" s="146" t="s">
        <v>204</v>
      </c>
      <c r="T675" s="92"/>
      <c r="U675" s="146" t="s">
        <v>204</v>
      </c>
      <c r="V675" s="92"/>
      <c r="W675" s="146" t="s">
        <v>204</v>
      </c>
      <c r="X675" s="92"/>
      <c r="Y675" s="146" t="s">
        <v>204</v>
      </c>
      <c r="Z675" s="186" t="str">
        <f t="shared" si="44"/>
        <v>C</v>
      </c>
      <c r="AA675" s="217" t="str">
        <f t="shared" si="43"/>
        <v>UTILIZOU O PDA CORRETAMENTE</v>
      </c>
      <c r="AB675" s="92" t="s">
        <v>204</v>
      </c>
      <c r="AC675" s="164" t="s">
        <v>6</v>
      </c>
      <c r="AD675" s="151" t="str">
        <f t="shared" si="45"/>
        <v>GUARULHOS</v>
      </c>
      <c r="AE675" s="96" t="s">
        <v>63</v>
      </c>
      <c r="AF675" s="53">
        <v>8.8169151695900241E-2</v>
      </c>
      <c r="AG675" s="53" t="str" cm="1">
        <f t="array" ref="AG675">IF(OR(O675&lt;&gt;"", SUMPRODUCT(($AH$2:$AH$4999=AH675)*($AF$2:$AF$4999&lt;=AF675)) &lt;= (COUNTIF($AH$2:$AH$4999,AH675)*0.3)), "SORTEADO", "-")</f>
        <v>SORTEADO</v>
      </c>
      <c r="AH675" s="257" t="str">
        <f t="shared" si="42"/>
        <v>28/04/2026</v>
      </c>
    </row>
    <row r="676" spans="1:34" ht="30" hidden="1" customHeight="1" x14ac:dyDescent="0.2">
      <c r="A676" s="245" t="s">
        <v>197</v>
      </c>
      <c r="B676" s="245">
        <v>2691706597</v>
      </c>
      <c r="C676" s="245" t="s">
        <v>127</v>
      </c>
      <c r="D676" s="245" t="s">
        <v>63</v>
      </c>
      <c r="E676" s="245" t="s">
        <v>198</v>
      </c>
      <c r="F676" s="245" t="s">
        <v>3434</v>
      </c>
      <c r="G676" s="245">
        <v>270</v>
      </c>
      <c r="H676" s="245"/>
      <c r="I676" s="245" t="s">
        <v>398</v>
      </c>
      <c r="J676" s="245" t="s">
        <v>3273</v>
      </c>
      <c r="K676" s="245"/>
      <c r="L676" s="230" t="s">
        <v>2294</v>
      </c>
      <c r="M676" s="245" t="s">
        <v>4414</v>
      </c>
      <c r="N676" s="245" t="s">
        <v>1099</v>
      </c>
      <c r="O676" s="158"/>
      <c r="P676" s="92"/>
      <c r="Q676" s="146"/>
      <c r="R676" s="92"/>
      <c r="S676" s="146"/>
      <c r="T676" s="92"/>
      <c r="U676" s="146"/>
      <c r="V676" s="92"/>
      <c r="W676" s="146"/>
      <c r="X676" s="92"/>
      <c r="Y676" s="146"/>
      <c r="Z676" s="186" t="str">
        <f t="shared" si="44"/>
        <v/>
      </c>
      <c r="AA676" s="217" t="b">
        <f t="shared" si="43"/>
        <v>0</v>
      </c>
      <c r="AB676" s="92"/>
      <c r="AC676" s="164" t="s">
        <v>6</v>
      </c>
      <c r="AD676" s="151" t="str">
        <f t="shared" si="45"/>
        <v>GUARULHOS</v>
      </c>
      <c r="AE676" s="96" t="s">
        <v>63</v>
      </c>
      <c r="AF676" s="53">
        <v>0.34428588250513159</v>
      </c>
      <c r="AG676" s="53" t="str" cm="1">
        <f t="array" ref="AG676">IF(OR(O676&lt;&gt;"", SUMPRODUCT(($AH$2:$AH$4999=AH676)*($AF$2:$AF$4999&lt;=AF676)) &lt;= (COUNTIF($AH$2:$AH$4999,AH676)*0.3)), "SORTEADO", "-")</f>
        <v>-</v>
      </c>
      <c r="AH676" s="257" t="str">
        <f t="shared" si="42"/>
        <v>28/04/2026</v>
      </c>
    </row>
    <row r="677" spans="1:34" ht="30" customHeight="1" x14ac:dyDescent="0.2">
      <c r="A677" s="245" t="s">
        <v>197</v>
      </c>
      <c r="B677" s="245">
        <v>2617601434</v>
      </c>
      <c r="C677" s="245" t="s">
        <v>127</v>
      </c>
      <c r="D677" s="245" t="s">
        <v>63</v>
      </c>
      <c r="E677" s="245" t="s">
        <v>198</v>
      </c>
      <c r="F677" s="245" t="s">
        <v>4415</v>
      </c>
      <c r="G677" s="245">
        <v>140</v>
      </c>
      <c r="H677" s="245" t="s">
        <v>4416</v>
      </c>
      <c r="I677" s="245" t="s">
        <v>997</v>
      </c>
      <c r="J677" s="245" t="s">
        <v>3275</v>
      </c>
      <c r="K677" s="245" t="s">
        <v>213</v>
      </c>
      <c r="L677" s="230" t="s">
        <v>2294</v>
      </c>
      <c r="M677" s="245" t="s">
        <v>4417</v>
      </c>
      <c r="N677" s="245" t="s">
        <v>294</v>
      </c>
      <c r="O677" s="158" t="s">
        <v>204</v>
      </c>
      <c r="P677" s="92"/>
      <c r="Q677" s="146" t="s">
        <v>204</v>
      </c>
      <c r="R677" s="92"/>
      <c r="S677" s="146" t="s">
        <v>204</v>
      </c>
      <c r="T677" s="92"/>
      <c r="U677" s="146" t="s">
        <v>204</v>
      </c>
      <c r="V677" s="92"/>
      <c r="W677" s="146" t="s">
        <v>204</v>
      </c>
      <c r="X677" s="92"/>
      <c r="Y677" s="146" t="s">
        <v>204</v>
      </c>
      <c r="Z677" s="186" t="str">
        <f t="shared" si="44"/>
        <v>C</v>
      </c>
      <c r="AA677" s="217" t="str">
        <f t="shared" si="43"/>
        <v>UTILIZOU O PDA CORRETAMENTE</v>
      </c>
      <c r="AB677" s="92" t="s">
        <v>204</v>
      </c>
      <c r="AC677" s="164" t="s">
        <v>6</v>
      </c>
      <c r="AD677" s="151" t="str">
        <f t="shared" si="45"/>
        <v>GUARULHOS</v>
      </c>
      <c r="AE677" s="96" t="s">
        <v>63</v>
      </c>
      <c r="AF677" s="53">
        <v>4.9936985442946183E-2</v>
      </c>
      <c r="AG677" s="53" t="str" cm="1">
        <f t="array" ref="AG677">IF(OR(O677&lt;&gt;"", SUMPRODUCT(($AH$2:$AH$4999=AH677)*($AF$2:$AF$4999&lt;=AF677)) &lt;= (COUNTIF($AH$2:$AH$4999,AH677)*0.3)), "SORTEADO", "-")</f>
        <v>SORTEADO</v>
      </c>
      <c r="AH677" s="257" t="str">
        <f t="shared" si="42"/>
        <v>28/04/2026</v>
      </c>
    </row>
    <row r="678" spans="1:34" ht="30" hidden="1" customHeight="1" x14ac:dyDescent="0.2">
      <c r="A678" s="245" t="s">
        <v>197</v>
      </c>
      <c r="B678" s="245">
        <v>2617187029</v>
      </c>
      <c r="C678" s="245" t="s">
        <v>134</v>
      </c>
      <c r="D678" s="245" t="s">
        <v>124</v>
      </c>
      <c r="E678" s="245" t="s">
        <v>198</v>
      </c>
      <c r="F678" s="245" t="s">
        <v>2326</v>
      </c>
      <c r="G678" s="245">
        <v>151</v>
      </c>
      <c r="H678" s="245" t="s">
        <v>4418</v>
      </c>
      <c r="I678" s="245" t="s">
        <v>2330</v>
      </c>
      <c r="J678" s="245" t="s">
        <v>3285</v>
      </c>
      <c r="K678" s="245" t="s">
        <v>2327</v>
      </c>
      <c r="L678" s="230" t="s">
        <v>2294</v>
      </c>
      <c r="M678" s="245" t="s">
        <v>2328</v>
      </c>
      <c r="N678" s="245" t="s">
        <v>408</v>
      </c>
      <c r="O678" s="158"/>
      <c r="P678" s="92"/>
      <c r="Q678" s="146"/>
      <c r="R678" s="92"/>
      <c r="S678" s="146"/>
      <c r="T678" s="92"/>
      <c r="U678" s="146"/>
      <c r="V678" s="92"/>
      <c r="W678" s="146"/>
      <c r="X678" s="92"/>
      <c r="Y678" s="146"/>
      <c r="Z678" s="186" t="str">
        <f t="shared" si="44"/>
        <v/>
      </c>
      <c r="AA678" s="217" t="b">
        <f t="shared" si="43"/>
        <v>0</v>
      </c>
      <c r="AB678" s="92"/>
      <c r="AC678" s="164" t="s">
        <v>6</v>
      </c>
      <c r="AD678" s="151" t="str">
        <f t="shared" si="45"/>
        <v>GUARULHOS</v>
      </c>
      <c r="AE678" s="96" t="s">
        <v>63</v>
      </c>
      <c r="AF678" s="53">
        <v>0.73729232627925212</v>
      </c>
      <c r="AG678" s="53" t="str" cm="1">
        <f t="array" ref="AG678">IF(OR(O678&lt;&gt;"", SUMPRODUCT(($AH$2:$AH$4999=AH678)*($AF$2:$AF$4999&lt;=AF678)) &lt;= (COUNTIF($AH$2:$AH$4999,AH678)*0.3)), "SORTEADO", "-")</f>
        <v>-</v>
      </c>
      <c r="AH678" s="257" t="str">
        <f t="shared" si="42"/>
        <v>28/04/2026</v>
      </c>
    </row>
    <row r="679" spans="1:34" ht="30" hidden="1" customHeight="1" x14ac:dyDescent="0.2">
      <c r="A679" s="245" t="s">
        <v>197</v>
      </c>
      <c r="B679" s="245">
        <v>2691658593</v>
      </c>
      <c r="C679" s="245" t="s">
        <v>127</v>
      </c>
      <c r="D679" s="245" t="s">
        <v>63</v>
      </c>
      <c r="E679" s="245" t="s">
        <v>198</v>
      </c>
      <c r="F679" s="245" t="s">
        <v>4419</v>
      </c>
      <c r="G679" s="245">
        <v>210</v>
      </c>
      <c r="H679" s="245" t="s">
        <v>4420</v>
      </c>
      <c r="I679" s="245" t="s">
        <v>881</v>
      </c>
      <c r="J679" s="245" t="s">
        <v>3275</v>
      </c>
      <c r="K679" s="245"/>
      <c r="L679" s="230" t="s">
        <v>2294</v>
      </c>
      <c r="M679" s="245" t="s">
        <v>4421</v>
      </c>
      <c r="N679" s="245" t="s">
        <v>3276</v>
      </c>
      <c r="O679" s="158"/>
      <c r="P679" s="92"/>
      <c r="Q679" s="146"/>
      <c r="R679" s="92"/>
      <c r="S679" s="146"/>
      <c r="T679" s="92"/>
      <c r="U679" s="146"/>
      <c r="V679" s="92"/>
      <c r="W679" s="146"/>
      <c r="X679" s="92"/>
      <c r="Y679" s="146"/>
      <c r="Z679" s="186" t="str">
        <f t="shared" si="44"/>
        <v/>
      </c>
      <c r="AA679" s="217" t="b">
        <f t="shared" si="43"/>
        <v>0</v>
      </c>
      <c r="AB679" s="92"/>
      <c r="AC679" s="164" t="s">
        <v>6</v>
      </c>
      <c r="AD679" s="151" t="str">
        <f t="shared" si="45"/>
        <v>GUARULHOS</v>
      </c>
      <c r="AE679" s="96" t="s">
        <v>63</v>
      </c>
      <c r="AF679" s="53">
        <v>0.54355336168369561</v>
      </c>
      <c r="AG679" s="53" t="str" cm="1">
        <f t="array" ref="AG679">IF(OR(O679&lt;&gt;"", SUMPRODUCT(($AH$2:$AH$4999=AH679)*($AF$2:$AF$4999&lt;=AF679)) &lt;= (COUNTIF($AH$2:$AH$4999,AH679)*0.3)), "SORTEADO", "-")</f>
        <v>-</v>
      </c>
      <c r="AH679" s="257" t="str">
        <f t="shared" si="42"/>
        <v>28/04/2026</v>
      </c>
    </row>
    <row r="680" spans="1:34" ht="30" hidden="1" customHeight="1" x14ac:dyDescent="0.2">
      <c r="A680" s="245" t="s">
        <v>197</v>
      </c>
      <c r="B680" s="245">
        <v>2691692825</v>
      </c>
      <c r="C680" s="245" t="s">
        <v>127</v>
      </c>
      <c r="D680" s="245" t="s">
        <v>63</v>
      </c>
      <c r="E680" s="245" t="s">
        <v>198</v>
      </c>
      <c r="F680" s="245" t="s">
        <v>1629</v>
      </c>
      <c r="G680" s="245">
        <v>310</v>
      </c>
      <c r="H680" s="245" t="s">
        <v>4422</v>
      </c>
      <c r="I680" s="245" t="s">
        <v>881</v>
      </c>
      <c r="J680" s="245" t="s">
        <v>3275</v>
      </c>
      <c r="K680" s="245" t="s">
        <v>213</v>
      </c>
      <c r="L680" s="230" t="s">
        <v>2294</v>
      </c>
      <c r="M680" s="245" t="s">
        <v>4423</v>
      </c>
      <c r="N680" s="245" t="s">
        <v>3276</v>
      </c>
      <c r="O680" s="158"/>
      <c r="P680" s="92"/>
      <c r="Q680" s="146"/>
      <c r="R680" s="92"/>
      <c r="S680" s="146"/>
      <c r="T680" s="92"/>
      <c r="U680" s="146"/>
      <c r="V680" s="92"/>
      <c r="W680" s="146"/>
      <c r="X680" s="92"/>
      <c r="Y680" s="146"/>
      <c r="Z680" s="186" t="str">
        <f t="shared" si="44"/>
        <v/>
      </c>
      <c r="AA680" s="217" t="b">
        <f t="shared" si="43"/>
        <v>0</v>
      </c>
      <c r="AB680" s="92"/>
      <c r="AC680" s="164" t="s">
        <v>6</v>
      </c>
      <c r="AD680" s="151" t="str">
        <f t="shared" si="45"/>
        <v>GUARULHOS</v>
      </c>
      <c r="AE680" s="96" t="s">
        <v>63</v>
      </c>
      <c r="AF680" s="53">
        <v>0.4875280519312063</v>
      </c>
      <c r="AG680" s="53" t="str" cm="1">
        <f t="array" ref="AG680">IF(OR(O680&lt;&gt;"", SUMPRODUCT(($AH$2:$AH$4999=AH680)*($AF$2:$AF$4999&lt;=AF680)) &lt;= (COUNTIF($AH$2:$AH$4999,AH680)*0.3)), "SORTEADO", "-")</f>
        <v>-</v>
      </c>
      <c r="AH680" s="257" t="str">
        <f t="shared" ref="AH680:AH743" si="46">TEXT(L680, "dd/mm/aaaa")</f>
        <v>28/04/2026</v>
      </c>
    </row>
    <row r="681" spans="1:34" ht="30" customHeight="1" x14ac:dyDescent="0.2">
      <c r="A681" s="245" t="s">
        <v>197</v>
      </c>
      <c r="B681" s="245">
        <v>2691730781</v>
      </c>
      <c r="C681" s="245" t="s">
        <v>127</v>
      </c>
      <c r="D681" s="245" t="s">
        <v>63</v>
      </c>
      <c r="E681" s="245" t="s">
        <v>198</v>
      </c>
      <c r="F681" s="245" t="s">
        <v>2769</v>
      </c>
      <c r="G681" s="245">
        <v>1054</v>
      </c>
      <c r="H681" s="245" t="s">
        <v>4424</v>
      </c>
      <c r="I681" s="245" t="s">
        <v>200</v>
      </c>
      <c r="J681" s="245" t="s">
        <v>3275</v>
      </c>
      <c r="K681" s="245"/>
      <c r="L681" s="230" t="s">
        <v>2294</v>
      </c>
      <c r="M681" s="245" t="s">
        <v>4425</v>
      </c>
      <c r="N681" s="245" t="s">
        <v>3276</v>
      </c>
      <c r="O681" s="158" t="s">
        <v>204</v>
      </c>
      <c r="P681" s="92"/>
      <c r="Q681" s="146" t="s">
        <v>204</v>
      </c>
      <c r="R681" s="92"/>
      <c r="S681" s="146" t="s">
        <v>204</v>
      </c>
      <c r="T681" s="92"/>
      <c r="U681" s="146" t="s">
        <v>204</v>
      </c>
      <c r="V681" s="92"/>
      <c r="W681" s="146" t="s">
        <v>204</v>
      </c>
      <c r="X681" s="92"/>
      <c r="Y681" s="146" t="s">
        <v>204</v>
      </c>
      <c r="Z681" s="186" t="str">
        <f t="shared" si="44"/>
        <v>C</v>
      </c>
      <c r="AA681" s="217" t="str">
        <f t="shared" si="43"/>
        <v>UTILIZOU O PDA CORRETAMENTE</v>
      </c>
      <c r="AB681" s="92" t="s">
        <v>204</v>
      </c>
      <c r="AC681" s="164" t="s">
        <v>6</v>
      </c>
      <c r="AD681" s="151" t="str">
        <f t="shared" si="45"/>
        <v>GUARULHOS</v>
      </c>
      <c r="AE681" s="96" t="s">
        <v>63</v>
      </c>
      <c r="AF681" s="53">
        <v>0.14991146447792786</v>
      </c>
      <c r="AG681" s="53" t="str" cm="1">
        <f t="array" ref="AG681">IF(OR(O681&lt;&gt;"", SUMPRODUCT(($AH$2:$AH$4999=AH681)*($AF$2:$AF$4999&lt;=AF681)) &lt;= (COUNTIF($AH$2:$AH$4999,AH681)*0.3)), "SORTEADO", "-")</f>
        <v>SORTEADO</v>
      </c>
      <c r="AH681" s="257" t="str">
        <f t="shared" si="46"/>
        <v>28/04/2026</v>
      </c>
    </row>
    <row r="682" spans="1:34" ht="30" customHeight="1" x14ac:dyDescent="0.2">
      <c r="A682" s="245" t="s">
        <v>197</v>
      </c>
      <c r="B682" s="245">
        <v>2617628204</v>
      </c>
      <c r="C682" s="245" t="s">
        <v>127</v>
      </c>
      <c r="D682" s="245" t="s">
        <v>63</v>
      </c>
      <c r="E682" s="245" t="s">
        <v>198</v>
      </c>
      <c r="F682" s="245" t="s">
        <v>3512</v>
      </c>
      <c r="G682" s="245">
        <v>26</v>
      </c>
      <c r="H682" s="245" t="s">
        <v>213</v>
      </c>
      <c r="I682" s="245" t="s">
        <v>363</v>
      </c>
      <c r="J682" s="245" t="s">
        <v>3275</v>
      </c>
      <c r="K682" s="245" t="s">
        <v>213</v>
      </c>
      <c r="L682" s="230" t="s">
        <v>2294</v>
      </c>
      <c r="M682" s="245" t="s">
        <v>2302</v>
      </c>
      <c r="N682" s="245" t="s">
        <v>3276</v>
      </c>
      <c r="O682" s="158" t="s">
        <v>204</v>
      </c>
      <c r="P682" s="92"/>
      <c r="Q682" s="146" t="s">
        <v>204</v>
      </c>
      <c r="R682" s="92"/>
      <c r="S682" s="146" t="s">
        <v>204</v>
      </c>
      <c r="T682" s="92"/>
      <c r="U682" s="146" t="s">
        <v>204</v>
      </c>
      <c r="V682" s="92"/>
      <c r="W682" s="146" t="s">
        <v>204</v>
      </c>
      <c r="X682" s="92"/>
      <c r="Y682" s="146" t="s">
        <v>204</v>
      </c>
      <c r="Z682" s="186" t="str">
        <f t="shared" si="44"/>
        <v>C</v>
      </c>
      <c r="AA682" s="217" t="str">
        <f t="shared" si="43"/>
        <v>UTILIZOU O PDA CORRETAMENTE</v>
      </c>
      <c r="AB682" s="92" t="s">
        <v>204</v>
      </c>
      <c r="AC682" s="164" t="s">
        <v>6</v>
      </c>
      <c r="AD682" s="151" t="str">
        <f t="shared" si="45"/>
        <v>GUARULHOS</v>
      </c>
      <c r="AE682" s="96" t="s">
        <v>63</v>
      </c>
      <c r="AF682" s="53">
        <v>3.9462488496404945E-3</v>
      </c>
      <c r="AG682" s="53" t="str" cm="1">
        <f t="array" ref="AG682">IF(OR(O682&lt;&gt;"", SUMPRODUCT(($AH$2:$AH$4999=AH682)*($AF$2:$AF$4999&lt;=AF682)) &lt;= (COUNTIF($AH$2:$AH$4999,AH682)*0.3)), "SORTEADO", "-")</f>
        <v>SORTEADO</v>
      </c>
      <c r="AH682" s="257" t="str">
        <f t="shared" si="46"/>
        <v>28/04/2026</v>
      </c>
    </row>
    <row r="683" spans="1:34" ht="30" hidden="1" customHeight="1" x14ac:dyDescent="0.2">
      <c r="A683" s="245" t="s">
        <v>197</v>
      </c>
      <c r="B683" s="245">
        <v>2617621281</v>
      </c>
      <c r="C683" s="245" t="s">
        <v>127</v>
      </c>
      <c r="D683" s="245" t="s">
        <v>63</v>
      </c>
      <c r="E683" s="245" t="s">
        <v>198</v>
      </c>
      <c r="F683" s="245" t="s">
        <v>4426</v>
      </c>
      <c r="G683" s="245">
        <v>126</v>
      </c>
      <c r="H683" s="245" t="s">
        <v>4427</v>
      </c>
      <c r="I683" s="245" t="s">
        <v>335</v>
      </c>
      <c r="J683" s="245" t="s">
        <v>3275</v>
      </c>
      <c r="K683" s="245" t="s">
        <v>213</v>
      </c>
      <c r="L683" s="230" t="s">
        <v>2294</v>
      </c>
      <c r="M683" s="245" t="s">
        <v>4428</v>
      </c>
      <c r="N683" s="245" t="s">
        <v>3276</v>
      </c>
      <c r="O683" s="158"/>
      <c r="P683" s="92"/>
      <c r="Q683" s="146"/>
      <c r="R683" s="92"/>
      <c r="S683" s="146"/>
      <c r="T683" s="92"/>
      <c r="U683" s="146"/>
      <c r="V683" s="92"/>
      <c r="W683" s="146"/>
      <c r="X683" s="92"/>
      <c r="Y683" s="146"/>
      <c r="Z683" s="186" t="str">
        <f t="shared" si="44"/>
        <v/>
      </c>
      <c r="AA683" s="217" t="b">
        <f t="shared" si="43"/>
        <v>0</v>
      </c>
      <c r="AB683" s="92"/>
      <c r="AC683" s="164" t="s">
        <v>6</v>
      </c>
      <c r="AD683" s="151" t="str">
        <f t="shared" si="45"/>
        <v>GUARULHOS</v>
      </c>
      <c r="AE683" s="96" t="s">
        <v>63</v>
      </c>
      <c r="AF683" s="53">
        <v>0.51564928304323299</v>
      </c>
      <c r="AG683" s="53" t="str" cm="1">
        <f t="array" ref="AG683">IF(OR(O683&lt;&gt;"", SUMPRODUCT(($AH$2:$AH$4999=AH683)*($AF$2:$AF$4999&lt;=AF683)) &lt;= (COUNTIF($AH$2:$AH$4999,AH683)*0.3)), "SORTEADO", "-")</f>
        <v>-</v>
      </c>
      <c r="AH683" s="257" t="str">
        <f t="shared" si="46"/>
        <v>28/04/2026</v>
      </c>
    </row>
    <row r="684" spans="1:34" ht="30" hidden="1" customHeight="1" x14ac:dyDescent="0.2">
      <c r="A684" s="245" t="s">
        <v>197</v>
      </c>
      <c r="B684" s="245">
        <v>2617185678</v>
      </c>
      <c r="C684" s="245" t="s">
        <v>134</v>
      </c>
      <c r="D684" s="245" t="s">
        <v>124</v>
      </c>
      <c r="E684" s="245" t="s">
        <v>198</v>
      </c>
      <c r="F684" s="245" t="s">
        <v>2342</v>
      </c>
      <c r="G684" s="245">
        <v>29</v>
      </c>
      <c r="H684" s="245" t="s">
        <v>252</v>
      </c>
      <c r="I684" s="245" t="s">
        <v>366</v>
      </c>
      <c r="J684" s="245" t="s">
        <v>3285</v>
      </c>
      <c r="K684" s="245" t="s">
        <v>4429</v>
      </c>
      <c r="L684" s="230" t="s">
        <v>2294</v>
      </c>
      <c r="M684" s="245" t="s">
        <v>4430</v>
      </c>
      <c r="N684" s="245" t="s">
        <v>209</v>
      </c>
      <c r="O684" s="158"/>
      <c r="P684" s="92"/>
      <c r="Q684" s="146"/>
      <c r="R684" s="92"/>
      <c r="S684" s="146"/>
      <c r="T684" s="92"/>
      <c r="U684" s="146"/>
      <c r="V684" s="92"/>
      <c r="W684" s="146"/>
      <c r="X684" s="92"/>
      <c r="Y684" s="146"/>
      <c r="Z684" s="186" t="str">
        <f t="shared" si="44"/>
        <v/>
      </c>
      <c r="AA684" s="217" t="b">
        <f t="shared" si="43"/>
        <v>0</v>
      </c>
      <c r="AB684" s="92"/>
      <c r="AC684" s="164" t="s">
        <v>6</v>
      </c>
      <c r="AD684" s="151" t="str">
        <f t="shared" si="45"/>
        <v>GUARULHOS</v>
      </c>
      <c r="AE684" s="96" t="s">
        <v>63</v>
      </c>
      <c r="AF684" s="53">
        <v>0.78427854509850492</v>
      </c>
      <c r="AG684" s="53" t="str" cm="1">
        <f t="array" ref="AG684">IF(OR(O684&lt;&gt;"", SUMPRODUCT(($AH$2:$AH$4999=AH684)*($AF$2:$AF$4999&lt;=AF684)) &lt;= (COUNTIF($AH$2:$AH$4999,AH684)*0.3)), "SORTEADO", "-")</f>
        <v>-</v>
      </c>
      <c r="AH684" s="257" t="str">
        <f t="shared" si="46"/>
        <v>28/04/2026</v>
      </c>
    </row>
    <row r="685" spans="1:34" ht="30" hidden="1" customHeight="1" x14ac:dyDescent="0.2">
      <c r="A685" s="245" t="s">
        <v>197</v>
      </c>
      <c r="B685" s="245">
        <v>2691747303</v>
      </c>
      <c r="C685" s="245" t="s">
        <v>127</v>
      </c>
      <c r="D685" s="245" t="s">
        <v>63</v>
      </c>
      <c r="E685" s="245" t="s">
        <v>198</v>
      </c>
      <c r="F685" s="245" t="s">
        <v>4431</v>
      </c>
      <c r="G685" s="245">
        <v>671</v>
      </c>
      <c r="H685" s="245" t="s">
        <v>1057</v>
      </c>
      <c r="I685" s="245" t="s">
        <v>1128</v>
      </c>
      <c r="J685" s="245" t="s">
        <v>3275</v>
      </c>
      <c r="K685" s="245"/>
      <c r="L685" s="230" t="s">
        <v>2294</v>
      </c>
      <c r="M685" s="245" t="s">
        <v>4432</v>
      </c>
      <c r="N685" s="245" t="s">
        <v>294</v>
      </c>
      <c r="O685" s="158"/>
      <c r="P685" s="92"/>
      <c r="Q685" s="146"/>
      <c r="R685" s="92"/>
      <c r="S685" s="146"/>
      <c r="T685" s="92"/>
      <c r="U685" s="146"/>
      <c r="V685" s="92"/>
      <c r="W685" s="146"/>
      <c r="X685" s="92"/>
      <c r="Y685" s="146"/>
      <c r="Z685" s="186" t="str">
        <f t="shared" si="44"/>
        <v/>
      </c>
      <c r="AA685" s="217" t="b">
        <f t="shared" si="43"/>
        <v>0</v>
      </c>
      <c r="AB685" s="92"/>
      <c r="AC685" s="164" t="s">
        <v>6</v>
      </c>
      <c r="AD685" s="151" t="str">
        <f t="shared" si="45"/>
        <v>GUARULHOS</v>
      </c>
      <c r="AE685" s="96" t="s">
        <v>63</v>
      </c>
      <c r="AF685" s="53">
        <v>0.38038988881704733</v>
      </c>
      <c r="AG685" s="53" t="str" cm="1">
        <f t="array" ref="AG685">IF(OR(O685&lt;&gt;"", SUMPRODUCT(($AH$2:$AH$4999=AH685)*($AF$2:$AF$4999&lt;=AF685)) &lt;= (COUNTIF($AH$2:$AH$4999,AH685)*0.3)), "SORTEADO", "-")</f>
        <v>-</v>
      </c>
      <c r="AH685" s="257" t="str">
        <f t="shared" si="46"/>
        <v>28/04/2026</v>
      </c>
    </row>
    <row r="686" spans="1:34" ht="30" customHeight="1" x14ac:dyDescent="0.2">
      <c r="A686" s="245" t="s">
        <v>197</v>
      </c>
      <c r="B686" s="245">
        <v>2691748213</v>
      </c>
      <c r="C686" s="245" t="s">
        <v>127</v>
      </c>
      <c r="D686" s="245" t="s">
        <v>63</v>
      </c>
      <c r="E686" s="245" t="s">
        <v>198</v>
      </c>
      <c r="F686" s="245" t="s">
        <v>4433</v>
      </c>
      <c r="G686" s="245">
        <v>42</v>
      </c>
      <c r="H686" s="245" t="s">
        <v>213</v>
      </c>
      <c r="I686" s="245" t="s">
        <v>2616</v>
      </c>
      <c r="J686" s="245" t="s">
        <v>3271</v>
      </c>
      <c r="K686" s="245" t="s">
        <v>213</v>
      </c>
      <c r="L686" s="230" t="s">
        <v>2294</v>
      </c>
      <c r="M686" s="245" t="s">
        <v>4434</v>
      </c>
      <c r="N686" s="245" t="s">
        <v>1099</v>
      </c>
      <c r="O686" s="158" t="s">
        <v>204</v>
      </c>
      <c r="P686" s="92"/>
      <c r="Q686" s="146" t="s">
        <v>204</v>
      </c>
      <c r="R686" s="92"/>
      <c r="S686" s="146" t="s">
        <v>204</v>
      </c>
      <c r="T686" s="92"/>
      <c r="U686" s="146" t="s">
        <v>204</v>
      </c>
      <c r="V686" s="92"/>
      <c r="W686" s="146" t="s">
        <v>204</v>
      </c>
      <c r="X686" s="92"/>
      <c r="Y686" s="146" t="s">
        <v>204</v>
      </c>
      <c r="Z686" s="186" t="str">
        <f t="shared" si="44"/>
        <v>C</v>
      </c>
      <c r="AA686" s="217" t="str">
        <f t="shared" si="43"/>
        <v>UTILIZOU O PDA CORRETAMENTE</v>
      </c>
      <c r="AB686" s="92" t="s">
        <v>204</v>
      </c>
      <c r="AC686" s="164" t="s">
        <v>6</v>
      </c>
      <c r="AD686" s="151" t="str">
        <f t="shared" si="45"/>
        <v>GUARULHOS</v>
      </c>
      <c r="AE686" s="96" t="s">
        <v>63</v>
      </c>
      <c r="AF686" s="53">
        <v>0.19240504137623085</v>
      </c>
      <c r="AG686" s="53" t="str" cm="1">
        <f t="array" ref="AG686">IF(OR(O686&lt;&gt;"", SUMPRODUCT(($AH$2:$AH$4999=AH686)*($AF$2:$AF$4999&lt;=AF686)) &lt;= (COUNTIF($AH$2:$AH$4999,AH686)*0.3)), "SORTEADO", "-")</f>
        <v>SORTEADO</v>
      </c>
      <c r="AH686" s="257" t="str">
        <f t="shared" si="46"/>
        <v>28/04/2026</v>
      </c>
    </row>
    <row r="687" spans="1:34" ht="30" customHeight="1" x14ac:dyDescent="0.2">
      <c r="A687" s="245" t="s">
        <v>197</v>
      </c>
      <c r="B687" s="245">
        <v>2691731379</v>
      </c>
      <c r="C687" s="245" t="s">
        <v>133</v>
      </c>
      <c r="D687" s="245" t="s">
        <v>124</v>
      </c>
      <c r="E687" s="245" t="s">
        <v>198</v>
      </c>
      <c r="F687" s="245" t="s">
        <v>1344</v>
      </c>
      <c r="G687" s="245">
        <v>317</v>
      </c>
      <c r="H687" s="245" t="s">
        <v>276</v>
      </c>
      <c r="I687" s="245" t="s">
        <v>447</v>
      </c>
      <c r="J687" s="245" t="s">
        <v>3275</v>
      </c>
      <c r="K687" s="245" t="s">
        <v>4435</v>
      </c>
      <c r="L687" s="230" t="s">
        <v>2294</v>
      </c>
      <c r="M687" s="245" t="s">
        <v>4436</v>
      </c>
      <c r="N687" s="245" t="s">
        <v>819</v>
      </c>
      <c r="O687" s="158" t="s">
        <v>204</v>
      </c>
      <c r="P687" s="92"/>
      <c r="Q687" s="146" t="s">
        <v>204</v>
      </c>
      <c r="R687" s="92"/>
      <c r="S687" s="146" t="s">
        <v>204</v>
      </c>
      <c r="T687" s="92"/>
      <c r="U687" s="146" t="s">
        <v>204</v>
      </c>
      <c r="V687" s="92"/>
      <c r="W687" s="146" t="s">
        <v>204</v>
      </c>
      <c r="X687" s="92"/>
      <c r="Y687" s="146" t="s">
        <v>204</v>
      </c>
      <c r="Z687" s="186" t="str">
        <f t="shared" si="44"/>
        <v>C</v>
      </c>
      <c r="AA687" s="217" t="str">
        <f t="shared" si="43"/>
        <v>UTILIZOU O PDA CORRETAMENTE</v>
      </c>
      <c r="AB687" s="92" t="s">
        <v>204</v>
      </c>
      <c r="AC687" s="164" t="s">
        <v>6</v>
      </c>
      <c r="AD687" s="151" t="str">
        <f t="shared" si="45"/>
        <v>GUARULHOS</v>
      </c>
      <c r="AE687" s="96" t="s">
        <v>63</v>
      </c>
      <c r="AF687" s="53">
        <v>3.4753332737355105E-3</v>
      </c>
      <c r="AG687" s="53" t="str" cm="1">
        <f t="array" ref="AG687">IF(OR(O687&lt;&gt;"", SUMPRODUCT(($AH$2:$AH$4999=AH687)*($AF$2:$AF$4999&lt;=AF687)) &lt;= (COUNTIF($AH$2:$AH$4999,AH687)*0.3)), "SORTEADO", "-")</f>
        <v>SORTEADO</v>
      </c>
      <c r="AH687" s="257" t="str">
        <f t="shared" si="46"/>
        <v>28/04/2026</v>
      </c>
    </row>
    <row r="688" spans="1:34" ht="30" customHeight="1" x14ac:dyDescent="0.2">
      <c r="A688" s="245" t="s">
        <v>197</v>
      </c>
      <c r="B688" s="245">
        <v>2691675149</v>
      </c>
      <c r="C688" s="245" t="s">
        <v>133</v>
      </c>
      <c r="D688" s="245" t="s">
        <v>124</v>
      </c>
      <c r="E688" s="245" t="s">
        <v>198</v>
      </c>
      <c r="F688" s="245" t="s">
        <v>4437</v>
      </c>
      <c r="G688" s="245">
        <v>75</v>
      </c>
      <c r="H688" s="245" t="s">
        <v>213</v>
      </c>
      <c r="I688" s="245" t="s">
        <v>4438</v>
      </c>
      <c r="J688" s="245" t="s">
        <v>3275</v>
      </c>
      <c r="K688" s="245" t="s">
        <v>213</v>
      </c>
      <c r="L688" s="230" t="s">
        <v>2294</v>
      </c>
      <c r="M688" s="245" t="s">
        <v>4439</v>
      </c>
      <c r="N688" s="245" t="s">
        <v>294</v>
      </c>
      <c r="O688" s="158" t="s">
        <v>204</v>
      </c>
      <c r="P688" s="92"/>
      <c r="Q688" s="146" t="s">
        <v>204</v>
      </c>
      <c r="R688" s="92"/>
      <c r="S688" s="146" t="s">
        <v>204</v>
      </c>
      <c r="T688" s="92"/>
      <c r="U688" s="146" t="s">
        <v>204</v>
      </c>
      <c r="V688" s="92"/>
      <c r="W688" s="146" t="s">
        <v>204</v>
      </c>
      <c r="X688" s="92"/>
      <c r="Y688" s="146" t="s">
        <v>204</v>
      </c>
      <c r="Z688" s="186" t="str">
        <f t="shared" si="44"/>
        <v>C</v>
      </c>
      <c r="AA688" s="217" t="str">
        <f t="shared" si="43"/>
        <v>UTILIZOU O PDA CORRETAMENTE</v>
      </c>
      <c r="AB688" s="92" t="s">
        <v>204</v>
      </c>
      <c r="AC688" s="164" t="s">
        <v>6</v>
      </c>
      <c r="AD688" s="151" t="str">
        <f t="shared" si="45"/>
        <v>GUARULHOS</v>
      </c>
      <c r="AE688" s="96" t="s">
        <v>63</v>
      </c>
      <c r="AF688" s="53">
        <v>0.27018075705891587</v>
      </c>
      <c r="AG688" s="53" t="str" cm="1">
        <f t="array" ref="AG688">IF(OR(O688&lt;&gt;"", SUMPRODUCT(($AH$2:$AH$4999=AH688)*($AF$2:$AF$4999&lt;=AF688)) &lt;= (COUNTIF($AH$2:$AH$4999,AH688)*0.3)), "SORTEADO", "-")</f>
        <v>SORTEADO</v>
      </c>
      <c r="AH688" s="257" t="str">
        <f t="shared" si="46"/>
        <v>28/04/2026</v>
      </c>
    </row>
    <row r="689" spans="1:34" ht="30" hidden="1" customHeight="1" x14ac:dyDescent="0.2">
      <c r="A689" s="245" t="s">
        <v>197</v>
      </c>
      <c r="B689" s="245">
        <v>2691752807</v>
      </c>
      <c r="C689" s="245" t="s">
        <v>127</v>
      </c>
      <c r="D689" s="245" t="s">
        <v>63</v>
      </c>
      <c r="E689" s="245" t="s">
        <v>198</v>
      </c>
      <c r="F689" s="245" t="s">
        <v>658</v>
      </c>
      <c r="G689" s="245">
        <v>89</v>
      </c>
      <c r="H689" s="245" t="s">
        <v>460</v>
      </c>
      <c r="I689" s="245" t="s">
        <v>660</v>
      </c>
      <c r="J689" s="245" t="s">
        <v>3275</v>
      </c>
      <c r="K689" s="245"/>
      <c r="L689" s="230" t="s">
        <v>2294</v>
      </c>
      <c r="M689" s="245" t="s">
        <v>4440</v>
      </c>
      <c r="N689" s="245" t="s">
        <v>294</v>
      </c>
      <c r="O689" s="158"/>
      <c r="P689" s="92"/>
      <c r="Q689" s="146"/>
      <c r="R689" s="92"/>
      <c r="S689" s="146"/>
      <c r="T689" s="92"/>
      <c r="U689" s="146"/>
      <c r="V689" s="92"/>
      <c r="W689" s="146"/>
      <c r="X689" s="92"/>
      <c r="Y689" s="146"/>
      <c r="Z689" s="186" t="str">
        <f t="shared" si="44"/>
        <v/>
      </c>
      <c r="AA689" s="217" t="b">
        <f t="shared" si="43"/>
        <v>0</v>
      </c>
      <c r="AB689" s="92"/>
      <c r="AC689" s="164" t="s">
        <v>6</v>
      </c>
      <c r="AD689" s="151" t="str">
        <f t="shared" si="45"/>
        <v>GUARULHOS</v>
      </c>
      <c r="AE689" s="96" t="s">
        <v>63</v>
      </c>
      <c r="AF689" s="53">
        <v>0.97616666093636117</v>
      </c>
      <c r="AG689" s="53" t="str" cm="1">
        <f t="array" ref="AG689">IF(OR(O689&lt;&gt;"", SUMPRODUCT(($AH$2:$AH$4999=AH689)*($AF$2:$AF$4999&lt;=AF689)) &lt;= (COUNTIF($AH$2:$AH$4999,AH689)*0.3)), "SORTEADO", "-")</f>
        <v>-</v>
      </c>
      <c r="AH689" s="257" t="str">
        <f t="shared" si="46"/>
        <v>28/04/2026</v>
      </c>
    </row>
    <row r="690" spans="1:34" ht="30" hidden="1" customHeight="1" x14ac:dyDescent="0.2">
      <c r="A690" s="245" t="s">
        <v>197</v>
      </c>
      <c r="B690" s="245">
        <v>2691750067</v>
      </c>
      <c r="C690" s="245" t="s">
        <v>127</v>
      </c>
      <c r="D690" s="245" t="s">
        <v>63</v>
      </c>
      <c r="E690" s="245" t="s">
        <v>198</v>
      </c>
      <c r="F690" s="245" t="s">
        <v>4441</v>
      </c>
      <c r="G690" s="245">
        <v>628</v>
      </c>
      <c r="H690" s="245" t="s">
        <v>1261</v>
      </c>
      <c r="I690" s="245" t="s">
        <v>411</v>
      </c>
      <c r="J690" s="245" t="s">
        <v>3275</v>
      </c>
      <c r="K690" s="245" t="s">
        <v>213</v>
      </c>
      <c r="L690" s="230" t="s">
        <v>2294</v>
      </c>
      <c r="M690" s="245" t="s">
        <v>4442</v>
      </c>
      <c r="N690" s="245" t="s">
        <v>819</v>
      </c>
      <c r="O690" s="158"/>
      <c r="P690" s="92"/>
      <c r="Q690" s="146"/>
      <c r="R690" s="92"/>
      <c r="S690" s="146"/>
      <c r="T690" s="92"/>
      <c r="U690" s="146"/>
      <c r="V690" s="92"/>
      <c r="W690" s="146"/>
      <c r="X690" s="92"/>
      <c r="Y690" s="146"/>
      <c r="Z690" s="186" t="str">
        <f t="shared" si="44"/>
        <v/>
      </c>
      <c r="AA690" s="217" t="b">
        <f t="shared" si="43"/>
        <v>0</v>
      </c>
      <c r="AB690" s="92"/>
      <c r="AC690" s="164" t="s">
        <v>6</v>
      </c>
      <c r="AD690" s="151" t="str">
        <f t="shared" si="45"/>
        <v>GUARULHOS</v>
      </c>
      <c r="AE690" s="96" t="s">
        <v>63</v>
      </c>
      <c r="AF690" s="53">
        <v>0.75210068898452132</v>
      </c>
      <c r="AG690" s="53" t="str" cm="1">
        <f t="array" ref="AG690">IF(OR(O690&lt;&gt;"", SUMPRODUCT(($AH$2:$AH$4999=AH690)*($AF$2:$AF$4999&lt;=AF690)) &lt;= (COUNTIF($AH$2:$AH$4999,AH690)*0.3)), "SORTEADO", "-")</f>
        <v>-</v>
      </c>
      <c r="AH690" s="257" t="str">
        <f t="shared" si="46"/>
        <v>28/04/2026</v>
      </c>
    </row>
    <row r="691" spans="1:34" ht="30" hidden="1" customHeight="1" x14ac:dyDescent="0.2">
      <c r="A691" s="245" t="s">
        <v>197</v>
      </c>
      <c r="B691" s="245">
        <v>2691749699</v>
      </c>
      <c r="C691" s="245" t="s">
        <v>127</v>
      </c>
      <c r="D691" s="245" t="s">
        <v>63</v>
      </c>
      <c r="E691" s="245" t="s">
        <v>198</v>
      </c>
      <c r="F691" s="245" t="s">
        <v>1318</v>
      </c>
      <c r="G691" s="245">
        <v>2383</v>
      </c>
      <c r="H691" s="245" t="s">
        <v>4443</v>
      </c>
      <c r="I691" s="245" t="s">
        <v>200</v>
      </c>
      <c r="J691" s="245" t="s">
        <v>3275</v>
      </c>
      <c r="K691" s="245"/>
      <c r="L691" s="230" t="s">
        <v>2294</v>
      </c>
      <c r="M691" s="245" t="s">
        <v>4444</v>
      </c>
      <c r="N691" s="245" t="s">
        <v>3276</v>
      </c>
      <c r="O691" s="158"/>
      <c r="P691" s="92"/>
      <c r="Q691" s="146"/>
      <c r="R691" s="92"/>
      <c r="S691" s="146"/>
      <c r="T691" s="92"/>
      <c r="U691" s="146"/>
      <c r="V691" s="92"/>
      <c r="W691" s="146"/>
      <c r="X691" s="92"/>
      <c r="Y691" s="146"/>
      <c r="Z691" s="186" t="str">
        <f t="shared" si="44"/>
        <v/>
      </c>
      <c r="AA691" s="217" t="b">
        <f t="shared" si="43"/>
        <v>0</v>
      </c>
      <c r="AB691" s="92"/>
      <c r="AC691" s="164" t="s">
        <v>6</v>
      </c>
      <c r="AD691" s="151" t="str">
        <f t="shared" si="45"/>
        <v>GUARULHOS</v>
      </c>
      <c r="AE691" s="96" t="s">
        <v>63</v>
      </c>
      <c r="AF691" s="53">
        <v>0.42600082302343578</v>
      </c>
      <c r="AG691" s="53" t="str" cm="1">
        <f t="array" ref="AG691">IF(OR(O691&lt;&gt;"", SUMPRODUCT(($AH$2:$AH$4999=AH691)*($AF$2:$AF$4999&lt;=AF691)) &lt;= (COUNTIF($AH$2:$AH$4999,AH691)*0.3)), "SORTEADO", "-")</f>
        <v>-</v>
      </c>
      <c r="AH691" s="257" t="str">
        <f t="shared" si="46"/>
        <v>28/04/2026</v>
      </c>
    </row>
    <row r="692" spans="1:34" ht="30" hidden="1" customHeight="1" x14ac:dyDescent="0.2">
      <c r="A692" s="245" t="s">
        <v>197</v>
      </c>
      <c r="B692" s="245">
        <v>2691660453</v>
      </c>
      <c r="C692" s="245" t="s">
        <v>133</v>
      </c>
      <c r="D692" s="245" t="s">
        <v>124</v>
      </c>
      <c r="E692" s="245" t="s">
        <v>198</v>
      </c>
      <c r="F692" s="245" t="s">
        <v>2033</v>
      </c>
      <c r="G692" s="245">
        <v>113</v>
      </c>
      <c r="H692" s="245" t="s">
        <v>276</v>
      </c>
      <c r="I692" s="245" t="s">
        <v>797</v>
      </c>
      <c r="J692" s="245" t="s">
        <v>3275</v>
      </c>
      <c r="K692" s="245" t="s">
        <v>4409</v>
      </c>
      <c r="L692" s="230" t="s">
        <v>2294</v>
      </c>
      <c r="M692" s="245" t="s">
        <v>4414</v>
      </c>
      <c r="N692" s="245" t="s">
        <v>3289</v>
      </c>
      <c r="O692" s="158"/>
      <c r="P692" s="92"/>
      <c r="Q692" s="146"/>
      <c r="R692" s="92"/>
      <c r="S692" s="146"/>
      <c r="T692" s="92"/>
      <c r="U692" s="146"/>
      <c r="V692" s="92"/>
      <c r="W692" s="146"/>
      <c r="X692" s="92"/>
      <c r="Y692" s="146"/>
      <c r="Z692" s="186" t="str">
        <f t="shared" si="44"/>
        <v/>
      </c>
      <c r="AA692" s="217" t="b">
        <f t="shared" si="43"/>
        <v>0</v>
      </c>
      <c r="AB692" s="92"/>
      <c r="AC692" s="164" t="s">
        <v>6</v>
      </c>
      <c r="AD692" s="151" t="str">
        <f t="shared" si="45"/>
        <v>GUARULHOS</v>
      </c>
      <c r="AE692" s="96" t="s">
        <v>63</v>
      </c>
      <c r="AF692" s="53">
        <v>0.96496048522578282</v>
      </c>
      <c r="AG692" s="53" t="str" cm="1">
        <f t="array" ref="AG692">IF(OR(O692&lt;&gt;"", SUMPRODUCT(($AH$2:$AH$4999=AH692)*($AF$2:$AF$4999&lt;=AF692)) &lt;= (COUNTIF($AH$2:$AH$4999,AH692)*0.3)), "SORTEADO", "-")</f>
        <v>-</v>
      </c>
      <c r="AH692" s="257" t="str">
        <f t="shared" si="46"/>
        <v>28/04/2026</v>
      </c>
    </row>
    <row r="693" spans="1:34" ht="30" hidden="1" customHeight="1" x14ac:dyDescent="0.2">
      <c r="A693" s="245" t="s">
        <v>197</v>
      </c>
      <c r="B693" s="245">
        <v>2617611398</v>
      </c>
      <c r="C693" s="245" t="s">
        <v>133</v>
      </c>
      <c r="D693" s="245" t="s">
        <v>124</v>
      </c>
      <c r="E693" s="245" t="s">
        <v>198</v>
      </c>
      <c r="F693" s="245" t="s">
        <v>1930</v>
      </c>
      <c r="G693" s="245">
        <v>999</v>
      </c>
      <c r="H693" s="245" t="s">
        <v>4445</v>
      </c>
      <c r="I693" s="245" t="s">
        <v>650</v>
      </c>
      <c r="J693" s="245" t="s">
        <v>3275</v>
      </c>
      <c r="K693" s="245" t="s">
        <v>3344</v>
      </c>
      <c r="L693" s="230" t="s">
        <v>2294</v>
      </c>
      <c r="M693" s="245" t="s">
        <v>4446</v>
      </c>
      <c r="N693" s="245" t="s">
        <v>3289</v>
      </c>
      <c r="O693" s="158"/>
      <c r="P693" s="92"/>
      <c r="Q693" s="146"/>
      <c r="R693" s="92"/>
      <c r="S693" s="146"/>
      <c r="T693" s="92"/>
      <c r="U693" s="146"/>
      <c r="V693" s="92"/>
      <c r="W693" s="146"/>
      <c r="X693" s="92"/>
      <c r="Y693" s="146"/>
      <c r="Z693" s="186" t="str">
        <f t="shared" si="44"/>
        <v/>
      </c>
      <c r="AA693" s="217" t="b">
        <f t="shared" si="43"/>
        <v>0</v>
      </c>
      <c r="AB693" s="92"/>
      <c r="AC693" s="164" t="s">
        <v>6</v>
      </c>
      <c r="AD693" s="151" t="str">
        <f t="shared" si="45"/>
        <v>GUARULHOS</v>
      </c>
      <c r="AE693" s="96" t="s">
        <v>63</v>
      </c>
      <c r="AF693" s="53">
        <v>0.31401189563329229</v>
      </c>
      <c r="AG693" s="53" t="str" cm="1">
        <f t="array" ref="AG693">IF(OR(O693&lt;&gt;"", SUMPRODUCT(($AH$2:$AH$4999=AH693)*($AF$2:$AF$4999&lt;=AF693)) &lt;= (COUNTIF($AH$2:$AH$4999,AH693)*0.3)), "SORTEADO", "-")</f>
        <v>-</v>
      </c>
      <c r="AH693" s="257" t="str">
        <f t="shared" si="46"/>
        <v>28/04/2026</v>
      </c>
    </row>
    <row r="694" spans="1:34" ht="30" hidden="1" customHeight="1" x14ac:dyDescent="0.2">
      <c r="A694" s="245" t="s">
        <v>197</v>
      </c>
      <c r="B694" s="245">
        <v>2691763330</v>
      </c>
      <c r="C694" s="245" t="s">
        <v>127</v>
      </c>
      <c r="D694" s="245" t="s">
        <v>63</v>
      </c>
      <c r="E694" s="245" t="s">
        <v>198</v>
      </c>
      <c r="F694" s="245" t="s">
        <v>3446</v>
      </c>
      <c r="G694" s="245">
        <v>101</v>
      </c>
      <c r="H694" s="245" t="s">
        <v>4447</v>
      </c>
      <c r="I694" s="245" t="s">
        <v>200</v>
      </c>
      <c r="J694" s="245" t="s">
        <v>3275</v>
      </c>
      <c r="K694" s="245" t="s">
        <v>213</v>
      </c>
      <c r="L694" s="230" t="s">
        <v>2294</v>
      </c>
      <c r="M694" s="245" t="s">
        <v>4448</v>
      </c>
      <c r="N694" s="245" t="s">
        <v>3276</v>
      </c>
      <c r="O694" s="158"/>
      <c r="P694" s="92"/>
      <c r="Q694" s="146"/>
      <c r="R694" s="92"/>
      <c r="S694" s="146"/>
      <c r="T694" s="92"/>
      <c r="U694" s="146"/>
      <c r="V694" s="92"/>
      <c r="W694" s="146"/>
      <c r="X694" s="92"/>
      <c r="Y694" s="146"/>
      <c r="Z694" s="186" t="str">
        <f t="shared" si="44"/>
        <v/>
      </c>
      <c r="AA694" s="217" t="b">
        <f t="shared" si="43"/>
        <v>0</v>
      </c>
      <c r="AB694" s="92"/>
      <c r="AC694" s="164" t="s">
        <v>6</v>
      </c>
      <c r="AD694" s="151" t="str">
        <f t="shared" si="45"/>
        <v>GUARULHOS</v>
      </c>
      <c r="AE694" s="96" t="s">
        <v>63</v>
      </c>
      <c r="AF694" s="53">
        <v>0.96886402303159025</v>
      </c>
      <c r="AG694" s="53" t="str" cm="1">
        <f t="array" ref="AG694">IF(OR(O694&lt;&gt;"", SUMPRODUCT(($AH$2:$AH$4999=AH694)*($AF$2:$AF$4999&lt;=AF694)) &lt;= (COUNTIF($AH$2:$AH$4999,AH694)*0.3)), "SORTEADO", "-")</f>
        <v>-</v>
      </c>
      <c r="AH694" s="257" t="str">
        <f t="shared" si="46"/>
        <v>28/04/2026</v>
      </c>
    </row>
    <row r="695" spans="1:34" ht="30" hidden="1" customHeight="1" x14ac:dyDescent="0.2">
      <c r="A695" s="245" t="s">
        <v>197</v>
      </c>
      <c r="B695" s="245">
        <v>2617599954</v>
      </c>
      <c r="C695" s="245" t="s">
        <v>135</v>
      </c>
      <c r="D695" s="245" t="s">
        <v>124</v>
      </c>
      <c r="E695" s="245" t="s">
        <v>198</v>
      </c>
      <c r="F695" s="245" t="s">
        <v>1233</v>
      </c>
      <c r="G695" s="245">
        <v>402</v>
      </c>
      <c r="H695" s="245" t="s">
        <v>2298</v>
      </c>
      <c r="I695" s="245" t="s">
        <v>801</v>
      </c>
      <c r="J695" s="245" t="s">
        <v>3280</v>
      </c>
      <c r="K695" s="245"/>
      <c r="L695" s="230" t="s">
        <v>2294</v>
      </c>
      <c r="M695" s="245" t="s">
        <v>4449</v>
      </c>
      <c r="N695" s="245" t="s">
        <v>260</v>
      </c>
      <c r="O695" s="158"/>
      <c r="P695" s="92"/>
      <c r="Q695" s="146"/>
      <c r="R695" s="92"/>
      <c r="S695" s="146"/>
      <c r="T695" s="92"/>
      <c r="U695" s="146"/>
      <c r="V695" s="92"/>
      <c r="W695" s="146"/>
      <c r="X695" s="92"/>
      <c r="Y695" s="146"/>
      <c r="Z695" s="186" t="str">
        <f t="shared" si="44"/>
        <v/>
      </c>
      <c r="AA695" s="217" t="b">
        <f t="shared" si="43"/>
        <v>0</v>
      </c>
      <c r="AB695" s="92"/>
      <c r="AC695" s="164" t="s">
        <v>6</v>
      </c>
      <c r="AD695" s="151" t="str">
        <f t="shared" si="45"/>
        <v>GUARULHOS</v>
      </c>
      <c r="AE695" s="96" t="s">
        <v>63</v>
      </c>
      <c r="AF695" s="53">
        <v>0.50163408355199723</v>
      </c>
      <c r="AG695" s="53" t="str" cm="1">
        <f t="array" ref="AG695">IF(OR(O695&lt;&gt;"", SUMPRODUCT(($AH$2:$AH$4999=AH695)*($AF$2:$AF$4999&lt;=AF695)) &lt;= (COUNTIF($AH$2:$AH$4999,AH695)*0.3)), "SORTEADO", "-")</f>
        <v>-</v>
      </c>
      <c r="AH695" s="257" t="str">
        <f t="shared" si="46"/>
        <v>28/04/2026</v>
      </c>
    </row>
    <row r="696" spans="1:34" ht="30" hidden="1" customHeight="1" x14ac:dyDescent="0.2">
      <c r="A696" s="245" t="s">
        <v>197</v>
      </c>
      <c r="B696" s="245">
        <v>2691735896</v>
      </c>
      <c r="C696" s="245" t="s">
        <v>133</v>
      </c>
      <c r="D696" s="245" t="s">
        <v>124</v>
      </c>
      <c r="E696" s="245" t="s">
        <v>198</v>
      </c>
      <c r="F696" s="245" t="s">
        <v>4450</v>
      </c>
      <c r="G696" s="245">
        <v>1098</v>
      </c>
      <c r="H696" s="245" t="s">
        <v>276</v>
      </c>
      <c r="I696" s="245" t="s">
        <v>4451</v>
      </c>
      <c r="J696" s="245" t="s">
        <v>3275</v>
      </c>
      <c r="K696" s="245" t="s">
        <v>213</v>
      </c>
      <c r="L696" s="230" t="s">
        <v>2294</v>
      </c>
      <c r="M696" s="245" t="s">
        <v>4452</v>
      </c>
      <c r="N696" s="245" t="s">
        <v>294</v>
      </c>
      <c r="O696" s="158"/>
      <c r="P696" s="92"/>
      <c r="Q696" s="146"/>
      <c r="R696" s="92"/>
      <c r="S696" s="146"/>
      <c r="T696" s="92"/>
      <c r="U696" s="146"/>
      <c r="V696" s="92"/>
      <c r="W696" s="146"/>
      <c r="X696" s="92"/>
      <c r="Y696" s="146"/>
      <c r="Z696" s="186" t="str">
        <f t="shared" si="44"/>
        <v/>
      </c>
      <c r="AA696" s="217" t="b">
        <f t="shared" si="43"/>
        <v>0</v>
      </c>
      <c r="AB696" s="92"/>
      <c r="AC696" s="164" t="s">
        <v>6</v>
      </c>
      <c r="AD696" s="151" t="str">
        <f t="shared" si="45"/>
        <v>GUARULHOS</v>
      </c>
      <c r="AE696" s="96" t="s">
        <v>63</v>
      </c>
      <c r="AF696" s="53">
        <v>0.84737031304977173</v>
      </c>
      <c r="AG696" s="53" t="str" cm="1">
        <f t="array" ref="AG696">IF(OR(O696&lt;&gt;"", SUMPRODUCT(($AH$2:$AH$4999=AH696)*($AF$2:$AF$4999&lt;=AF696)) &lt;= (COUNTIF($AH$2:$AH$4999,AH696)*0.3)), "SORTEADO", "-")</f>
        <v>-</v>
      </c>
      <c r="AH696" s="257" t="str">
        <f t="shared" si="46"/>
        <v>28/04/2026</v>
      </c>
    </row>
    <row r="697" spans="1:34" ht="30" hidden="1" customHeight="1" x14ac:dyDescent="0.2">
      <c r="A697" s="245" t="s">
        <v>197</v>
      </c>
      <c r="B697" s="245">
        <v>2691749508</v>
      </c>
      <c r="C697" s="245" t="s">
        <v>133</v>
      </c>
      <c r="D697" s="245" t="s">
        <v>124</v>
      </c>
      <c r="E697" s="245" t="s">
        <v>198</v>
      </c>
      <c r="F697" s="245" t="s">
        <v>3655</v>
      </c>
      <c r="G697" s="245">
        <v>153</v>
      </c>
      <c r="H697" s="245" t="s">
        <v>3656</v>
      </c>
      <c r="I697" s="245" t="s">
        <v>664</v>
      </c>
      <c r="J697" s="245" t="s">
        <v>3275</v>
      </c>
      <c r="K697" s="245" t="s">
        <v>3344</v>
      </c>
      <c r="L697" s="230" t="s">
        <v>2294</v>
      </c>
      <c r="M697" s="245" t="s">
        <v>4453</v>
      </c>
      <c r="N697" s="245" t="s">
        <v>3289</v>
      </c>
      <c r="O697" s="158"/>
      <c r="P697" s="92"/>
      <c r="Q697" s="146"/>
      <c r="R697" s="92"/>
      <c r="S697" s="146"/>
      <c r="T697" s="92"/>
      <c r="U697" s="146"/>
      <c r="V697" s="92"/>
      <c r="W697" s="146"/>
      <c r="X697" s="92"/>
      <c r="Y697" s="146"/>
      <c r="Z697" s="186" t="str">
        <f t="shared" si="44"/>
        <v/>
      </c>
      <c r="AA697" s="217" t="b">
        <f t="shared" si="43"/>
        <v>0</v>
      </c>
      <c r="AB697" s="92"/>
      <c r="AC697" s="164" t="s">
        <v>6</v>
      </c>
      <c r="AD697" s="151" t="str">
        <f t="shared" si="45"/>
        <v>GUARULHOS</v>
      </c>
      <c r="AE697" s="96" t="s">
        <v>63</v>
      </c>
      <c r="AF697" s="53">
        <v>0.86207223722430282</v>
      </c>
      <c r="AG697" s="53" t="str" cm="1">
        <f t="array" ref="AG697">IF(OR(O697&lt;&gt;"", SUMPRODUCT(($AH$2:$AH$4999=AH697)*($AF$2:$AF$4999&lt;=AF697)) &lt;= (COUNTIF($AH$2:$AH$4999,AH697)*0.3)), "SORTEADO", "-")</f>
        <v>-</v>
      </c>
      <c r="AH697" s="257" t="str">
        <f t="shared" si="46"/>
        <v>28/04/2026</v>
      </c>
    </row>
    <row r="698" spans="1:34" ht="30" hidden="1" customHeight="1" x14ac:dyDescent="0.2">
      <c r="A698" s="245" t="s">
        <v>197</v>
      </c>
      <c r="B698" s="245">
        <v>2617746493</v>
      </c>
      <c r="C698" s="245" t="s">
        <v>133</v>
      </c>
      <c r="D698" s="245" t="s">
        <v>124</v>
      </c>
      <c r="E698" s="245" t="s">
        <v>198</v>
      </c>
      <c r="F698" s="245" t="s">
        <v>2487</v>
      </c>
      <c r="G698" s="245">
        <v>79</v>
      </c>
      <c r="H698" s="245" t="s">
        <v>2730</v>
      </c>
      <c r="I698" s="245" t="s">
        <v>664</v>
      </c>
      <c r="J698" s="245" t="s">
        <v>3275</v>
      </c>
      <c r="K698" s="245" t="s">
        <v>4298</v>
      </c>
      <c r="L698" s="230" t="s">
        <v>2294</v>
      </c>
      <c r="M698" s="245" t="s">
        <v>4454</v>
      </c>
      <c r="N698" s="245" t="s">
        <v>3289</v>
      </c>
      <c r="O698" s="158"/>
      <c r="P698" s="92"/>
      <c r="Q698" s="146"/>
      <c r="R698" s="92"/>
      <c r="S698" s="146"/>
      <c r="T698" s="92"/>
      <c r="U698" s="146"/>
      <c r="V698" s="92"/>
      <c r="W698" s="146"/>
      <c r="X698" s="92"/>
      <c r="Y698" s="146"/>
      <c r="Z698" s="186" t="str">
        <f t="shared" si="44"/>
        <v/>
      </c>
      <c r="AA698" s="217" t="b">
        <f t="shared" si="43"/>
        <v>0</v>
      </c>
      <c r="AB698" s="92"/>
      <c r="AC698" s="164" t="s">
        <v>6</v>
      </c>
      <c r="AD698" s="151" t="str">
        <f t="shared" si="45"/>
        <v>GUARULHOS</v>
      </c>
      <c r="AE698" s="96" t="s">
        <v>63</v>
      </c>
      <c r="AF698" s="53">
        <v>0.56006474266041917</v>
      </c>
      <c r="AG698" s="53" t="str" cm="1">
        <f t="array" ref="AG698">IF(OR(O698&lt;&gt;"", SUMPRODUCT(($AH$2:$AH$4999=AH698)*($AF$2:$AF$4999&lt;=AF698)) &lt;= (COUNTIF($AH$2:$AH$4999,AH698)*0.3)), "SORTEADO", "-")</f>
        <v>-</v>
      </c>
      <c r="AH698" s="257" t="str">
        <f t="shared" si="46"/>
        <v>28/04/2026</v>
      </c>
    </row>
    <row r="699" spans="1:34" ht="30" hidden="1" customHeight="1" x14ac:dyDescent="0.2">
      <c r="A699" s="253" t="s">
        <v>197</v>
      </c>
      <c r="B699" s="253">
        <v>2691750403</v>
      </c>
      <c r="C699" s="253" t="s">
        <v>126</v>
      </c>
      <c r="D699" s="253" t="s">
        <v>63</v>
      </c>
      <c r="E699" s="253" t="s">
        <v>198</v>
      </c>
      <c r="F699" s="253" t="s">
        <v>1752</v>
      </c>
      <c r="G699" s="253">
        <v>10</v>
      </c>
      <c r="H699" s="253" t="s">
        <v>2582</v>
      </c>
      <c r="I699" s="253" t="s">
        <v>1753</v>
      </c>
      <c r="J699" s="253" t="s">
        <v>3271</v>
      </c>
      <c r="K699" s="253" t="s">
        <v>4455</v>
      </c>
      <c r="L699" s="242" t="s">
        <v>2294</v>
      </c>
      <c r="M699" s="253" t="s">
        <v>4456</v>
      </c>
      <c r="N699" s="253" t="s">
        <v>260</v>
      </c>
      <c r="O699" s="158"/>
      <c r="P699" s="92"/>
      <c r="Q699" s="146"/>
      <c r="R699" s="92"/>
      <c r="S699" s="146"/>
      <c r="T699" s="92"/>
      <c r="U699" s="146"/>
      <c r="V699" s="92"/>
      <c r="W699" s="146"/>
      <c r="X699" s="92"/>
      <c r="Y699" s="146"/>
      <c r="Z699" s="186" t="str">
        <f t="shared" si="44"/>
        <v/>
      </c>
      <c r="AA699" s="217" t="b">
        <f t="shared" si="43"/>
        <v>0</v>
      </c>
      <c r="AB699" s="92"/>
      <c r="AC699" s="164" t="s">
        <v>6</v>
      </c>
      <c r="AD699" s="151" t="str">
        <f t="shared" si="45"/>
        <v>GUARULHOS</v>
      </c>
      <c r="AE699" s="96" t="s">
        <v>63</v>
      </c>
      <c r="AF699" s="53">
        <v>0.99145322613567821</v>
      </c>
      <c r="AG699" s="53" t="str" cm="1">
        <f t="array" ref="AG699">IF(OR(O699&lt;&gt;"", SUMPRODUCT(($AH$2:$AH$4999=AH699)*($AF$2:$AF$4999&lt;=AF699)) &lt;= (COUNTIF($AH$2:$AH$4999,AH699)*0.3)), "SORTEADO", "-")</f>
        <v>-</v>
      </c>
      <c r="AH699" s="257" t="str">
        <f t="shared" si="46"/>
        <v>28/04/2026</v>
      </c>
    </row>
    <row r="700" spans="1:34" ht="30" hidden="1" customHeight="1" x14ac:dyDescent="0.2">
      <c r="A700" s="245" t="s">
        <v>197</v>
      </c>
      <c r="B700" s="245">
        <v>2617783318</v>
      </c>
      <c r="C700" s="245" t="s">
        <v>135</v>
      </c>
      <c r="D700" s="245" t="s">
        <v>124</v>
      </c>
      <c r="E700" s="245" t="s">
        <v>198</v>
      </c>
      <c r="F700" s="245" t="s">
        <v>2376</v>
      </c>
      <c r="G700" s="245">
        <v>197</v>
      </c>
      <c r="H700" s="245" t="s">
        <v>257</v>
      </c>
      <c r="I700" s="245" t="s">
        <v>513</v>
      </c>
      <c r="J700" s="245" t="s">
        <v>3280</v>
      </c>
      <c r="K700" s="245" t="s">
        <v>2377</v>
      </c>
      <c r="L700" s="230" t="s">
        <v>2396</v>
      </c>
      <c r="M700" s="245" t="s">
        <v>4457</v>
      </c>
      <c r="N700" s="245" t="s">
        <v>271</v>
      </c>
      <c r="O700" s="158"/>
      <c r="P700" s="92"/>
      <c r="Q700" s="146"/>
      <c r="R700" s="92"/>
      <c r="S700" s="146"/>
      <c r="T700" s="92"/>
      <c r="U700" s="146"/>
      <c r="V700" s="92"/>
      <c r="W700" s="146"/>
      <c r="X700" s="92"/>
      <c r="Y700" s="146"/>
      <c r="Z700" s="186" t="str">
        <f t="shared" si="44"/>
        <v/>
      </c>
      <c r="AA700" s="217" t="b">
        <f t="shared" si="43"/>
        <v>0</v>
      </c>
      <c r="AB700" s="92"/>
      <c r="AC700" s="164" t="s">
        <v>6</v>
      </c>
      <c r="AD700" s="151" t="str">
        <f t="shared" si="45"/>
        <v>GUARULHOS</v>
      </c>
      <c r="AE700" s="96" t="s">
        <v>63</v>
      </c>
      <c r="AF700" s="53">
        <v>0.79984079614530279</v>
      </c>
      <c r="AG700" s="53" t="str" cm="1">
        <f t="array" ref="AG700">IF(OR(O700&lt;&gt;"", SUMPRODUCT(($AH$2:$AH$4999=AH700)*($AF$2:$AF$4999&lt;=AF700)) &lt;= (COUNTIF($AH$2:$AH$4999,AH700)*0.3)), "SORTEADO", "-")</f>
        <v>-</v>
      </c>
      <c r="AH700" s="257" t="str">
        <f t="shared" si="46"/>
        <v>29/04/2026</v>
      </c>
    </row>
    <row r="701" spans="1:34" ht="30" hidden="1" customHeight="1" x14ac:dyDescent="0.2">
      <c r="A701" s="245" t="s">
        <v>197</v>
      </c>
      <c r="B701" s="245">
        <v>2617776691</v>
      </c>
      <c r="C701" s="245" t="s">
        <v>127</v>
      </c>
      <c r="D701" s="245" t="s">
        <v>63</v>
      </c>
      <c r="E701" s="245" t="s">
        <v>198</v>
      </c>
      <c r="F701" s="245" t="s">
        <v>4458</v>
      </c>
      <c r="G701" s="245">
        <v>95</v>
      </c>
      <c r="H701" s="245" t="s">
        <v>4459</v>
      </c>
      <c r="I701" s="245" t="s">
        <v>4460</v>
      </c>
      <c r="J701" s="245" t="s">
        <v>3275</v>
      </c>
      <c r="K701" s="245" t="s">
        <v>4461</v>
      </c>
      <c r="L701" s="230" t="s">
        <v>2396</v>
      </c>
      <c r="M701" s="245" t="s">
        <v>4462</v>
      </c>
      <c r="N701" s="245" t="s">
        <v>3296</v>
      </c>
      <c r="O701" s="158"/>
      <c r="P701" s="92"/>
      <c r="Q701" s="146"/>
      <c r="R701" s="92"/>
      <c r="S701" s="146"/>
      <c r="T701" s="92"/>
      <c r="U701" s="146"/>
      <c r="V701" s="92"/>
      <c r="W701" s="146"/>
      <c r="X701" s="92"/>
      <c r="Y701" s="146"/>
      <c r="Z701" s="186" t="str">
        <f t="shared" si="44"/>
        <v/>
      </c>
      <c r="AA701" s="217" t="b">
        <f t="shared" si="43"/>
        <v>0</v>
      </c>
      <c r="AB701" s="92"/>
      <c r="AC701" s="164" t="s">
        <v>6</v>
      </c>
      <c r="AD701" s="151" t="str">
        <f t="shared" si="45"/>
        <v>GUARULHOS</v>
      </c>
      <c r="AE701" s="96" t="s">
        <v>63</v>
      </c>
      <c r="AF701" s="53">
        <v>0.34210006269885723</v>
      </c>
      <c r="AG701" s="53" t="str" cm="1">
        <f t="array" ref="AG701">IF(OR(O701&lt;&gt;"", SUMPRODUCT(($AH$2:$AH$4999=AH701)*($AF$2:$AF$4999&lt;=AF701)) &lt;= (COUNTIF($AH$2:$AH$4999,AH701)*0.3)), "SORTEADO", "-")</f>
        <v>-</v>
      </c>
      <c r="AH701" s="257" t="str">
        <f t="shared" si="46"/>
        <v>29/04/2026</v>
      </c>
    </row>
    <row r="702" spans="1:34" ht="30" customHeight="1" x14ac:dyDescent="0.2">
      <c r="A702" s="245" t="s">
        <v>197</v>
      </c>
      <c r="B702" s="245">
        <v>2691813366</v>
      </c>
      <c r="C702" s="245" t="s">
        <v>127</v>
      </c>
      <c r="D702" s="245" t="s">
        <v>63</v>
      </c>
      <c r="E702" s="245" t="s">
        <v>198</v>
      </c>
      <c r="F702" s="245" t="s">
        <v>4463</v>
      </c>
      <c r="G702" s="245">
        <v>54</v>
      </c>
      <c r="H702" s="245" t="s">
        <v>4464</v>
      </c>
      <c r="I702" s="245" t="s">
        <v>787</v>
      </c>
      <c r="J702" s="245" t="s">
        <v>3275</v>
      </c>
      <c r="K702" s="245" t="s">
        <v>213</v>
      </c>
      <c r="L702" s="230" t="s">
        <v>2396</v>
      </c>
      <c r="M702" s="245" t="s">
        <v>4465</v>
      </c>
      <c r="N702" s="245" t="s">
        <v>3296</v>
      </c>
      <c r="O702" s="158" t="s">
        <v>204</v>
      </c>
      <c r="P702" s="92"/>
      <c r="Q702" s="146" t="s">
        <v>204</v>
      </c>
      <c r="R702" s="92"/>
      <c r="S702" s="146" t="s">
        <v>204</v>
      </c>
      <c r="T702" s="92"/>
      <c r="U702" s="146" t="s">
        <v>204</v>
      </c>
      <c r="V702" s="92"/>
      <c r="W702" s="146" t="s">
        <v>204</v>
      </c>
      <c r="X702" s="92"/>
      <c r="Y702" s="146" t="s">
        <v>204</v>
      </c>
      <c r="Z702" s="186" t="str">
        <f t="shared" si="44"/>
        <v>C</v>
      </c>
      <c r="AA702" s="217" t="str">
        <f t="shared" si="43"/>
        <v>UTILIZOU O PDA CORRETAMENTE</v>
      </c>
      <c r="AB702" s="92" t="s">
        <v>204</v>
      </c>
      <c r="AC702" s="164" t="s">
        <v>6</v>
      </c>
      <c r="AD702" s="151" t="str">
        <f t="shared" si="45"/>
        <v>GUARULHOS</v>
      </c>
      <c r="AE702" s="96" t="s">
        <v>63</v>
      </c>
      <c r="AF702" s="53">
        <v>0.25471079487499471</v>
      </c>
      <c r="AG702" s="53" t="str" cm="1">
        <f t="array" ref="AG702">IF(OR(O702&lt;&gt;"", SUMPRODUCT(($AH$2:$AH$4999=AH702)*($AF$2:$AF$4999&lt;=AF702)) &lt;= (COUNTIF($AH$2:$AH$4999,AH702)*0.3)), "SORTEADO", "-")</f>
        <v>SORTEADO</v>
      </c>
      <c r="AH702" s="257" t="str">
        <f t="shared" si="46"/>
        <v>29/04/2026</v>
      </c>
    </row>
    <row r="703" spans="1:34" ht="30" hidden="1" customHeight="1" x14ac:dyDescent="0.2">
      <c r="A703" s="245" t="s">
        <v>197</v>
      </c>
      <c r="B703" s="245">
        <v>2691795072</v>
      </c>
      <c r="C703" s="245" t="s">
        <v>127</v>
      </c>
      <c r="D703" s="245" t="s">
        <v>63</v>
      </c>
      <c r="E703" s="245" t="s">
        <v>198</v>
      </c>
      <c r="F703" s="245" t="s">
        <v>3158</v>
      </c>
      <c r="G703" s="245">
        <v>172</v>
      </c>
      <c r="H703" s="245" t="s">
        <v>288</v>
      </c>
      <c r="I703" s="245" t="s">
        <v>915</v>
      </c>
      <c r="J703" s="245" t="s">
        <v>3275</v>
      </c>
      <c r="K703" s="245"/>
      <c r="L703" s="230" t="s">
        <v>2396</v>
      </c>
      <c r="M703" s="245" t="s">
        <v>2448</v>
      </c>
      <c r="N703" s="245" t="s">
        <v>294</v>
      </c>
      <c r="O703" s="158"/>
      <c r="P703" s="92"/>
      <c r="Q703" s="146"/>
      <c r="R703" s="92"/>
      <c r="S703" s="146"/>
      <c r="T703" s="92"/>
      <c r="U703" s="146"/>
      <c r="V703" s="92"/>
      <c r="W703" s="146"/>
      <c r="X703" s="92"/>
      <c r="Y703" s="146"/>
      <c r="Z703" s="186" t="str">
        <f t="shared" si="44"/>
        <v/>
      </c>
      <c r="AA703" s="217" t="b">
        <f t="shared" ref="AA703:AA765" si="47">IF(AND(Y703="C",Z703="C"),"UTILIZOU O PDA CORRETAMENTE",IF(AND(Y703="C",Z703="NC"),"UTILIZOU O PDA CORRETAMENTE. NÃO HÁ FOTOS DE TODAS AS ETAPAS",IF(AND(Y703="NC",Z703="NC"),"NÃO UTILIZOU O PDA",IF(AND(Y703="NA",Z703="NA"),"NÃO AVALIADO POR FALHA DE SINCRONISMO"))))</f>
        <v>0</v>
      </c>
      <c r="AB703" s="92"/>
      <c r="AC703" s="164" t="s">
        <v>6</v>
      </c>
      <c r="AD703" s="151" t="str">
        <f t="shared" si="45"/>
        <v>GUARULHOS</v>
      </c>
      <c r="AE703" s="96" t="s">
        <v>63</v>
      </c>
      <c r="AF703" s="53">
        <v>0.63732211928043159</v>
      </c>
      <c r="AG703" s="53" t="str" cm="1">
        <f t="array" ref="AG703">IF(OR(O703&lt;&gt;"", SUMPRODUCT(($AH$2:$AH$4999=AH703)*($AF$2:$AF$4999&lt;=AF703)) &lt;= (COUNTIF($AH$2:$AH$4999,AH703)*0.3)), "SORTEADO", "-")</f>
        <v>-</v>
      </c>
      <c r="AH703" s="257" t="str">
        <f t="shared" si="46"/>
        <v>29/04/2026</v>
      </c>
    </row>
    <row r="704" spans="1:34" ht="30" hidden="1" customHeight="1" x14ac:dyDescent="0.2">
      <c r="A704" s="245" t="s">
        <v>197</v>
      </c>
      <c r="B704" s="245">
        <v>2691792821</v>
      </c>
      <c r="C704" s="245" t="s">
        <v>128</v>
      </c>
      <c r="D704" s="245" t="s">
        <v>124</v>
      </c>
      <c r="E704" s="245" t="s">
        <v>198</v>
      </c>
      <c r="F704" s="245" t="s">
        <v>4466</v>
      </c>
      <c r="G704" s="245">
        <v>233</v>
      </c>
      <c r="H704" s="245" t="s">
        <v>213</v>
      </c>
      <c r="I704" s="245" t="s">
        <v>394</v>
      </c>
      <c r="J704" s="245" t="s">
        <v>3385</v>
      </c>
      <c r="K704" s="245" t="s">
        <v>213</v>
      </c>
      <c r="L704" s="230" t="s">
        <v>2396</v>
      </c>
      <c r="M704" s="245" t="s">
        <v>4467</v>
      </c>
      <c r="N704" s="245" t="s">
        <v>294</v>
      </c>
      <c r="O704" s="158"/>
      <c r="P704" s="92"/>
      <c r="Q704" s="146"/>
      <c r="R704" s="92"/>
      <c r="S704" s="146"/>
      <c r="T704" s="92"/>
      <c r="U704" s="146"/>
      <c r="V704" s="92"/>
      <c r="W704" s="146"/>
      <c r="X704" s="92"/>
      <c r="Y704" s="146"/>
      <c r="Z704" s="186" t="str">
        <f t="shared" ref="Z704:Z766" si="48">IF(AND(O704="",Q704="",S704="",U704="",W704=""),"",IF(OR(AND(O704&lt;&gt;"NA",O704&lt;&gt;"C",O704&lt;&gt;"NC",O704&lt;&gt;"SF",O704&lt;&gt;""),AND(Q704&lt;&gt;"NA",Q704&lt;&gt;"C",Q704&lt;&gt;"NC",Q704&lt;&gt;"SF",Q704&lt;&gt;""),AND(S704&lt;&gt;"NA",S704&lt;&gt;"C",S704&lt;&gt;"NC",S704&lt;&gt;"SF",S704&lt;&gt;""),AND(U704&lt;&gt;"NA",U704&lt;&gt;"C",U704&lt;&gt;"NC",U704&lt;&gt;"SF",U704&lt;&gt;""),AND(W704&lt;&gt;"NA",W704&lt;&gt;"C",W704&lt;&gt;"NC",W704&lt;&gt;"SF",W704&lt;&gt;"")),"FALSO",IF(AND(O704="NA",Q704="NA",S704="NA",U704="NA",W704="NA"),"NA",IF(OR(O704="NC",Q704="NC",S704="NC",U704="NC",W704="NC",O704="SF",Q704="SF",S704="SF",U704="SF",W704="SF"),"NC",IF(OR(O704="C",Q704="C",S704="C",U704="C",W704="C"),"C","")))))</f>
        <v/>
      </c>
      <c r="AA704" s="217" t="b">
        <f t="shared" si="47"/>
        <v>0</v>
      </c>
      <c r="AB704" s="92"/>
      <c r="AC704" s="164" t="s">
        <v>6</v>
      </c>
      <c r="AD704" s="151" t="str">
        <f t="shared" si="45"/>
        <v>GUARULHOS</v>
      </c>
      <c r="AE704" s="96" t="s">
        <v>63</v>
      </c>
      <c r="AF704" s="53">
        <v>0.58906592541404268</v>
      </c>
      <c r="AG704" s="53" t="str" cm="1">
        <f t="array" ref="AG704">IF(OR(O704&lt;&gt;"", SUMPRODUCT(($AH$2:$AH$4999=AH704)*($AF$2:$AF$4999&lt;=AF704)) &lt;= (COUNTIF($AH$2:$AH$4999,AH704)*0.3)), "SORTEADO", "-")</f>
        <v>-</v>
      </c>
      <c r="AH704" s="257" t="str">
        <f t="shared" si="46"/>
        <v>29/04/2026</v>
      </c>
    </row>
    <row r="705" spans="1:34" ht="30" hidden="1" customHeight="1" x14ac:dyDescent="0.2">
      <c r="A705" s="245" t="s">
        <v>197</v>
      </c>
      <c r="B705" s="245">
        <v>2691802614</v>
      </c>
      <c r="C705" s="245" t="s">
        <v>127</v>
      </c>
      <c r="D705" s="245" t="s">
        <v>63</v>
      </c>
      <c r="E705" s="245" t="s">
        <v>198</v>
      </c>
      <c r="F705" s="245" t="s">
        <v>4468</v>
      </c>
      <c r="G705" s="245">
        <v>99</v>
      </c>
      <c r="H705" s="245" t="s">
        <v>235</v>
      </c>
      <c r="I705" s="245" t="s">
        <v>1753</v>
      </c>
      <c r="J705" s="245" t="s">
        <v>3275</v>
      </c>
      <c r="K705" s="245"/>
      <c r="L705" s="230" t="s">
        <v>2396</v>
      </c>
      <c r="M705" s="245" t="s">
        <v>4469</v>
      </c>
      <c r="N705" s="245" t="s">
        <v>294</v>
      </c>
      <c r="O705" s="158"/>
      <c r="P705" s="92"/>
      <c r="Q705" s="146"/>
      <c r="R705" s="92"/>
      <c r="S705" s="146"/>
      <c r="T705" s="92"/>
      <c r="U705" s="146"/>
      <c r="V705" s="92"/>
      <c r="W705" s="146"/>
      <c r="X705" s="92"/>
      <c r="Y705" s="146"/>
      <c r="Z705" s="186" t="str">
        <f t="shared" si="48"/>
        <v/>
      </c>
      <c r="AA705" s="217" t="b">
        <f t="shared" si="47"/>
        <v>0</v>
      </c>
      <c r="AB705" s="92"/>
      <c r="AC705" s="164" t="s">
        <v>6</v>
      </c>
      <c r="AD705" s="151" t="str">
        <f t="shared" si="45"/>
        <v>GUARULHOS</v>
      </c>
      <c r="AE705" s="96" t="s">
        <v>63</v>
      </c>
      <c r="AF705" s="53">
        <v>0.86650977979945842</v>
      </c>
      <c r="AG705" s="53" t="str" cm="1">
        <f t="array" ref="AG705">IF(OR(O705&lt;&gt;"", SUMPRODUCT(($AH$2:$AH$4999=AH705)*($AF$2:$AF$4999&lt;=AF705)) &lt;= (COUNTIF($AH$2:$AH$4999,AH705)*0.3)), "SORTEADO", "-")</f>
        <v>-</v>
      </c>
      <c r="AH705" s="257" t="str">
        <f t="shared" si="46"/>
        <v>29/04/2026</v>
      </c>
    </row>
    <row r="706" spans="1:34" ht="30" hidden="1" customHeight="1" x14ac:dyDescent="0.2">
      <c r="A706" s="245" t="s">
        <v>197</v>
      </c>
      <c r="B706" s="245">
        <v>2691832770</v>
      </c>
      <c r="C706" s="245" t="s">
        <v>127</v>
      </c>
      <c r="D706" s="245" t="s">
        <v>63</v>
      </c>
      <c r="E706" s="245" t="s">
        <v>198</v>
      </c>
      <c r="F706" s="245" t="s">
        <v>4470</v>
      </c>
      <c r="G706" s="245">
        <v>69</v>
      </c>
      <c r="H706" s="245" t="s">
        <v>211</v>
      </c>
      <c r="I706" s="245" t="s">
        <v>4471</v>
      </c>
      <c r="J706" s="245" t="s">
        <v>3275</v>
      </c>
      <c r="K706" s="245" t="s">
        <v>213</v>
      </c>
      <c r="L706" s="230" t="s">
        <v>2396</v>
      </c>
      <c r="M706" s="245" t="s">
        <v>4472</v>
      </c>
      <c r="N706" s="245" t="s">
        <v>294</v>
      </c>
      <c r="O706" s="158"/>
      <c r="P706" s="92"/>
      <c r="Q706" s="146"/>
      <c r="R706" s="92"/>
      <c r="S706" s="146"/>
      <c r="T706" s="92"/>
      <c r="U706" s="146"/>
      <c r="V706" s="92"/>
      <c r="W706" s="146"/>
      <c r="X706" s="92"/>
      <c r="Y706" s="146"/>
      <c r="Z706" s="186" t="str">
        <f t="shared" si="48"/>
        <v/>
      </c>
      <c r="AA706" s="217" t="b">
        <f t="shared" si="47"/>
        <v>0</v>
      </c>
      <c r="AB706" s="92"/>
      <c r="AC706" s="164" t="s">
        <v>6</v>
      </c>
      <c r="AD706" s="151" t="str">
        <f t="shared" si="45"/>
        <v>GUARULHOS</v>
      </c>
      <c r="AE706" s="96" t="s">
        <v>63</v>
      </c>
      <c r="AF706" s="53">
        <v>0.87800325528534651</v>
      </c>
      <c r="AG706" s="53" t="str" cm="1">
        <f t="array" ref="AG706">IF(OR(O706&lt;&gt;"", SUMPRODUCT(($AH$2:$AH$4999=AH706)*($AF$2:$AF$4999&lt;=AF706)) &lt;= (COUNTIF($AH$2:$AH$4999,AH706)*0.3)), "SORTEADO", "-")</f>
        <v>-</v>
      </c>
      <c r="AH706" s="257" t="str">
        <f t="shared" si="46"/>
        <v>29/04/2026</v>
      </c>
    </row>
    <row r="707" spans="1:34" ht="30" hidden="1" customHeight="1" x14ac:dyDescent="0.2">
      <c r="A707" s="245" t="s">
        <v>197</v>
      </c>
      <c r="B707" s="245">
        <v>2691816031</v>
      </c>
      <c r="C707" s="245" t="s">
        <v>127</v>
      </c>
      <c r="D707" s="245" t="s">
        <v>63</v>
      </c>
      <c r="E707" s="245" t="s">
        <v>198</v>
      </c>
      <c r="F707" s="245" t="s">
        <v>4473</v>
      </c>
      <c r="G707" s="245">
        <v>271</v>
      </c>
      <c r="H707" s="245" t="s">
        <v>4474</v>
      </c>
      <c r="I707" s="245" t="s">
        <v>730</v>
      </c>
      <c r="J707" s="245" t="s">
        <v>3275</v>
      </c>
      <c r="K707" s="245"/>
      <c r="L707" s="230" t="s">
        <v>2396</v>
      </c>
      <c r="M707" s="245" t="s">
        <v>4475</v>
      </c>
      <c r="N707" s="245" t="s">
        <v>294</v>
      </c>
      <c r="O707" s="158"/>
      <c r="P707" s="92"/>
      <c r="Q707" s="146"/>
      <c r="R707" s="92"/>
      <c r="S707" s="146"/>
      <c r="T707" s="92"/>
      <c r="U707" s="146"/>
      <c r="V707" s="92"/>
      <c r="W707" s="146"/>
      <c r="X707" s="92"/>
      <c r="Y707" s="146"/>
      <c r="Z707" s="186" t="str">
        <f t="shared" si="48"/>
        <v/>
      </c>
      <c r="AA707" s="217" t="b">
        <f t="shared" si="47"/>
        <v>0</v>
      </c>
      <c r="AB707" s="92"/>
      <c r="AC707" s="164" t="s">
        <v>6</v>
      </c>
      <c r="AD707" s="151" t="str">
        <f t="shared" si="45"/>
        <v>GUARULHOS</v>
      </c>
      <c r="AE707" s="96" t="s">
        <v>63</v>
      </c>
      <c r="AF707" s="53">
        <v>0.55383295011367095</v>
      </c>
      <c r="AG707" s="53" t="str" cm="1">
        <f t="array" ref="AG707">IF(OR(O707&lt;&gt;"", SUMPRODUCT(($AH$2:$AH$4999=AH707)*($AF$2:$AF$4999&lt;=AF707)) &lt;= (COUNTIF($AH$2:$AH$4999,AH707)*0.3)), "SORTEADO", "-")</f>
        <v>-</v>
      </c>
      <c r="AH707" s="257" t="str">
        <f t="shared" si="46"/>
        <v>29/04/2026</v>
      </c>
    </row>
    <row r="708" spans="1:34" ht="30" hidden="1" customHeight="1" x14ac:dyDescent="0.2">
      <c r="A708" s="245" t="s">
        <v>197</v>
      </c>
      <c r="B708" s="245">
        <v>2691809332</v>
      </c>
      <c r="C708" s="245" t="s">
        <v>127</v>
      </c>
      <c r="D708" s="245" t="s">
        <v>63</v>
      </c>
      <c r="E708" s="245" t="s">
        <v>198</v>
      </c>
      <c r="F708" s="245" t="s">
        <v>308</v>
      </c>
      <c r="G708" s="245">
        <v>670</v>
      </c>
      <c r="H708" s="245" t="s">
        <v>213</v>
      </c>
      <c r="I708" s="245" t="s">
        <v>262</v>
      </c>
      <c r="J708" s="245" t="s">
        <v>3271</v>
      </c>
      <c r="K708" s="245" t="s">
        <v>213</v>
      </c>
      <c r="L708" s="230" t="s">
        <v>2396</v>
      </c>
      <c r="M708" s="245" t="s">
        <v>4476</v>
      </c>
      <c r="N708" s="245" t="s">
        <v>1099</v>
      </c>
      <c r="O708" s="158"/>
      <c r="P708" s="92"/>
      <c r="Q708" s="146"/>
      <c r="R708" s="92"/>
      <c r="S708" s="146"/>
      <c r="T708" s="92"/>
      <c r="U708" s="146"/>
      <c r="V708" s="92"/>
      <c r="W708" s="146"/>
      <c r="X708" s="92"/>
      <c r="Y708" s="146"/>
      <c r="Z708" s="186" t="str">
        <f t="shared" si="48"/>
        <v/>
      </c>
      <c r="AA708" s="217" t="b">
        <f t="shared" si="47"/>
        <v>0</v>
      </c>
      <c r="AB708" s="92"/>
      <c r="AC708" s="164" t="s">
        <v>6</v>
      </c>
      <c r="AD708" s="151" t="str">
        <f t="shared" si="45"/>
        <v>GUARULHOS</v>
      </c>
      <c r="AE708" s="96" t="s">
        <v>63</v>
      </c>
      <c r="AF708" s="53">
        <v>0.54185354583188894</v>
      </c>
      <c r="AG708" s="53" t="str" cm="1">
        <f t="array" ref="AG708">IF(OR(O708&lt;&gt;"", SUMPRODUCT(($AH$2:$AH$4999=AH708)*($AF$2:$AF$4999&lt;=AF708)) &lt;= (COUNTIF($AH$2:$AH$4999,AH708)*0.3)), "SORTEADO", "-")</f>
        <v>-</v>
      </c>
      <c r="AH708" s="257" t="str">
        <f t="shared" si="46"/>
        <v>29/04/2026</v>
      </c>
    </row>
    <row r="709" spans="1:34" ht="30" customHeight="1" x14ac:dyDescent="0.2">
      <c r="A709" s="245" t="s">
        <v>197</v>
      </c>
      <c r="B709" s="245">
        <v>2691832324</v>
      </c>
      <c r="C709" s="245" t="s">
        <v>131</v>
      </c>
      <c r="D709" s="245" t="s">
        <v>63</v>
      </c>
      <c r="E709" s="245" t="s">
        <v>198</v>
      </c>
      <c r="F709" s="245" t="s">
        <v>863</v>
      </c>
      <c r="G709" s="245">
        <v>1130</v>
      </c>
      <c r="H709" s="245" t="s">
        <v>213</v>
      </c>
      <c r="I709" s="245" t="s">
        <v>436</v>
      </c>
      <c r="J709" s="245" t="s">
        <v>3271</v>
      </c>
      <c r="K709" s="245" t="s">
        <v>213</v>
      </c>
      <c r="L709" s="230" t="s">
        <v>2396</v>
      </c>
      <c r="M709" s="245" t="s">
        <v>4477</v>
      </c>
      <c r="N709" s="245" t="s">
        <v>1099</v>
      </c>
      <c r="O709" s="158" t="s">
        <v>204</v>
      </c>
      <c r="P709" s="92"/>
      <c r="Q709" s="146" t="s">
        <v>204</v>
      </c>
      <c r="R709" s="92"/>
      <c r="S709" s="146" t="s">
        <v>204</v>
      </c>
      <c r="T709" s="92"/>
      <c r="U709" s="146" t="s">
        <v>204</v>
      </c>
      <c r="V709" s="92"/>
      <c r="W709" s="146" t="s">
        <v>204</v>
      </c>
      <c r="X709" s="92"/>
      <c r="Y709" s="146" t="s">
        <v>204</v>
      </c>
      <c r="Z709" s="186" t="str">
        <f t="shared" si="48"/>
        <v>C</v>
      </c>
      <c r="AA709" s="217" t="str">
        <f t="shared" si="47"/>
        <v>UTILIZOU O PDA CORRETAMENTE</v>
      </c>
      <c r="AB709" s="92" t="s">
        <v>204</v>
      </c>
      <c r="AC709" s="164" t="s">
        <v>6</v>
      </c>
      <c r="AD709" s="151" t="str">
        <f t="shared" si="45"/>
        <v>GUARULHOS</v>
      </c>
      <c r="AE709" s="96" t="s">
        <v>63</v>
      </c>
      <c r="AF709" s="53">
        <v>5.0993310699767244E-2</v>
      </c>
      <c r="AG709" s="53" t="str" cm="1">
        <f t="array" ref="AG709">IF(OR(O709&lt;&gt;"", SUMPRODUCT(($AH$2:$AH$4999=AH709)*($AF$2:$AF$4999&lt;=AF709)) &lt;= (COUNTIF($AH$2:$AH$4999,AH709)*0.3)), "SORTEADO", "-")</f>
        <v>SORTEADO</v>
      </c>
      <c r="AH709" s="257" t="str">
        <f t="shared" si="46"/>
        <v>29/04/2026</v>
      </c>
    </row>
    <row r="710" spans="1:34" ht="30" hidden="1" customHeight="1" x14ac:dyDescent="0.2">
      <c r="A710" s="245" t="s">
        <v>197</v>
      </c>
      <c r="B710" s="245">
        <v>2691769952</v>
      </c>
      <c r="C710" s="245" t="s">
        <v>127</v>
      </c>
      <c r="D710" s="245" t="s">
        <v>63</v>
      </c>
      <c r="E710" s="245" t="s">
        <v>198</v>
      </c>
      <c r="F710" s="245" t="s">
        <v>4478</v>
      </c>
      <c r="G710" s="245">
        <v>98</v>
      </c>
      <c r="H710" s="245"/>
      <c r="I710" s="245" t="s">
        <v>3662</v>
      </c>
      <c r="J710" s="245" t="s">
        <v>3275</v>
      </c>
      <c r="K710" s="245"/>
      <c r="L710" s="230" t="s">
        <v>2396</v>
      </c>
      <c r="M710" s="245" t="s">
        <v>4479</v>
      </c>
      <c r="N710" s="245" t="s">
        <v>3289</v>
      </c>
      <c r="O710" s="158"/>
      <c r="P710" s="92"/>
      <c r="Q710" s="146"/>
      <c r="R710" s="92"/>
      <c r="S710" s="146"/>
      <c r="T710" s="92"/>
      <c r="U710" s="146"/>
      <c r="V710" s="92"/>
      <c r="W710" s="146"/>
      <c r="X710" s="92"/>
      <c r="Y710" s="146"/>
      <c r="Z710" s="186" t="str">
        <f t="shared" si="48"/>
        <v/>
      </c>
      <c r="AA710" s="217" t="b">
        <f t="shared" si="47"/>
        <v>0</v>
      </c>
      <c r="AB710" s="92"/>
      <c r="AC710" s="164" t="s">
        <v>6</v>
      </c>
      <c r="AD710" s="151" t="str">
        <f t="shared" si="45"/>
        <v>GUARULHOS</v>
      </c>
      <c r="AE710" s="96" t="s">
        <v>63</v>
      </c>
      <c r="AF710" s="53">
        <v>0.85073176814870677</v>
      </c>
      <c r="AG710" s="53" t="str" cm="1">
        <f t="array" ref="AG710">IF(OR(O710&lt;&gt;"", SUMPRODUCT(($AH$2:$AH$4999=AH710)*($AF$2:$AF$4999&lt;=AF710)) &lt;= (COUNTIF($AH$2:$AH$4999,AH710)*0.3)), "SORTEADO", "-")</f>
        <v>-</v>
      </c>
      <c r="AH710" s="257" t="str">
        <f t="shared" si="46"/>
        <v>29/04/2026</v>
      </c>
    </row>
    <row r="711" spans="1:34" ht="30" hidden="1" customHeight="1" x14ac:dyDescent="0.2">
      <c r="A711" s="245" t="s">
        <v>197</v>
      </c>
      <c r="B711" s="245">
        <v>2691822090</v>
      </c>
      <c r="C711" s="245" t="s">
        <v>127</v>
      </c>
      <c r="D711" s="245" t="s">
        <v>63</v>
      </c>
      <c r="E711" s="245" t="s">
        <v>198</v>
      </c>
      <c r="F711" s="245" t="s">
        <v>4480</v>
      </c>
      <c r="G711" s="245">
        <v>33</v>
      </c>
      <c r="H711" s="245" t="s">
        <v>2537</v>
      </c>
      <c r="I711" s="245" t="s">
        <v>207</v>
      </c>
      <c r="J711" s="245" t="s">
        <v>3271</v>
      </c>
      <c r="K711" s="245" t="s">
        <v>4481</v>
      </c>
      <c r="L711" s="230" t="s">
        <v>2396</v>
      </c>
      <c r="M711" s="245" t="s">
        <v>4482</v>
      </c>
      <c r="N711" s="245" t="s">
        <v>1099</v>
      </c>
      <c r="O711" s="158"/>
      <c r="P711" s="92"/>
      <c r="Q711" s="146"/>
      <c r="R711" s="92"/>
      <c r="S711" s="146"/>
      <c r="T711" s="92"/>
      <c r="U711" s="146"/>
      <c r="V711" s="92"/>
      <c r="W711" s="146"/>
      <c r="X711" s="92"/>
      <c r="Y711" s="146"/>
      <c r="Z711" s="186" t="str">
        <f t="shared" si="48"/>
        <v/>
      </c>
      <c r="AA711" s="217" t="b">
        <f t="shared" si="47"/>
        <v>0</v>
      </c>
      <c r="AB711" s="92"/>
      <c r="AC711" s="164" t="s">
        <v>6</v>
      </c>
      <c r="AD711" s="151" t="str">
        <f t="shared" si="45"/>
        <v>GUARULHOS</v>
      </c>
      <c r="AE711" s="96" t="s">
        <v>63</v>
      </c>
      <c r="AF711" s="53">
        <v>0.88493898973840923</v>
      </c>
      <c r="AG711" s="53" t="str" cm="1">
        <f t="array" ref="AG711">IF(OR(O711&lt;&gt;"", SUMPRODUCT(($AH$2:$AH$4999=AH711)*($AF$2:$AF$4999&lt;=AF711)) &lt;= (COUNTIF($AH$2:$AH$4999,AH711)*0.3)), "SORTEADO", "-")</f>
        <v>-</v>
      </c>
      <c r="AH711" s="257" t="str">
        <f t="shared" si="46"/>
        <v>29/04/2026</v>
      </c>
    </row>
    <row r="712" spans="1:34" ht="30" hidden="1" customHeight="1" x14ac:dyDescent="0.2">
      <c r="A712" s="245" t="s">
        <v>197</v>
      </c>
      <c r="B712" s="245">
        <v>2691834839</v>
      </c>
      <c r="C712" s="245" t="s">
        <v>127</v>
      </c>
      <c r="D712" s="245" t="s">
        <v>63</v>
      </c>
      <c r="E712" s="245" t="s">
        <v>198</v>
      </c>
      <c r="F712" s="245" t="s">
        <v>3995</v>
      </c>
      <c r="G712" s="245">
        <v>819</v>
      </c>
      <c r="H712" s="245"/>
      <c r="I712" s="245" t="s">
        <v>1744</v>
      </c>
      <c r="J712" s="245" t="s">
        <v>3271</v>
      </c>
      <c r="K712" s="246" t="s">
        <v>4483</v>
      </c>
      <c r="L712" s="230" t="s">
        <v>2396</v>
      </c>
      <c r="M712" s="245" t="s">
        <v>2442</v>
      </c>
      <c r="N712" s="245" t="s">
        <v>1099</v>
      </c>
      <c r="O712" s="158"/>
      <c r="P712" s="92"/>
      <c r="Q712" s="146"/>
      <c r="R712" s="92"/>
      <c r="S712" s="146"/>
      <c r="T712" s="92"/>
      <c r="U712" s="146"/>
      <c r="V712" s="92"/>
      <c r="W712" s="146"/>
      <c r="X712" s="92"/>
      <c r="Y712" s="146"/>
      <c r="Z712" s="186" t="str">
        <f t="shared" si="48"/>
        <v/>
      </c>
      <c r="AA712" s="217" t="b">
        <f t="shared" si="47"/>
        <v>0</v>
      </c>
      <c r="AB712" s="92"/>
      <c r="AC712" s="164" t="s">
        <v>6</v>
      </c>
      <c r="AD712" s="151" t="str">
        <f t="shared" si="45"/>
        <v>GUARULHOS</v>
      </c>
      <c r="AE712" s="96" t="s">
        <v>63</v>
      </c>
      <c r="AF712" s="53">
        <v>0.7646750198849761</v>
      </c>
      <c r="AG712" s="53" t="str" cm="1">
        <f t="array" ref="AG712">IF(OR(O712&lt;&gt;"", SUMPRODUCT(($AH$2:$AH$4999=AH712)*($AF$2:$AF$4999&lt;=AF712)) &lt;= (COUNTIF($AH$2:$AH$4999,AH712)*0.3)), "SORTEADO", "-")</f>
        <v>-</v>
      </c>
      <c r="AH712" s="257" t="str">
        <f t="shared" si="46"/>
        <v>29/04/2026</v>
      </c>
    </row>
    <row r="713" spans="1:34" ht="30" hidden="1" customHeight="1" x14ac:dyDescent="0.2">
      <c r="A713" s="245" t="s">
        <v>197</v>
      </c>
      <c r="B713" s="245">
        <v>2691801064</v>
      </c>
      <c r="C713" s="245" t="s">
        <v>127</v>
      </c>
      <c r="D713" s="245" t="s">
        <v>63</v>
      </c>
      <c r="E713" s="245" t="s">
        <v>198</v>
      </c>
      <c r="F713" s="245" t="s">
        <v>3585</v>
      </c>
      <c r="G713" s="245">
        <v>48</v>
      </c>
      <c r="H713" s="245" t="s">
        <v>4484</v>
      </c>
      <c r="I713" s="245" t="s">
        <v>411</v>
      </c>
      <c r="J713" s="245" t="s">
        <v>3275</v>
      </c>
      <c r="K713" s="245" t="s">
        <v>213</v>
      </c>
      <c r="L713" s="230" t="s">
        <v>2396</v>
      </c>
      <c r="M713" s="245" t="s">
        <v>4485</v>
      </c>
      <c r="N713" s="245" t="s">
        <v>819</v>
      </c>
      <c r="O713" s="158"/>
      <c r="P713" s="92"/>
      <c r="Q713" s="146"/>
      <c r="R713" s="92"/>
      <c r="S713" s="146"/>
      <c r="T713" s="92"/>
      <c r="U713" s="146"/>
      <c r="V713" s="92"/>
      <c r="W713" s="146"/>
      <c r="X713" s="92"/>
      <c r="Y713" s="146"/>
      <c r="Z713" s="186" t="str">
        <f t="shared" si="48"/>
        <v/>
      </c>
      <c r="AA713" s="217" t="b">
        <f t="shared" si="47"/>
        <v>0</v>
      </c>
      <c r="AB713" s="92"/>
      <c r="AC713" s="164" t="s">
        <v>6</v>
      </c>
      <c r="AD713" s="151" t="str">
        <f t="shared" si="45"/>
        <v>GUARULHOS</v>
      </c>
      <c r="AE713" s="96" t="s">
        <v>63</v>
      </c>
      <c r="AF713" s="53">
        <v>0.69155337132877626</v>
      </c>
      <c r="AG713" s="53" t="str" cm="1">
        <f t="array" ref="AG713">IF(OR(O713&lt;&gt;"", SUMPRODUCT(($AH$2:$AH$4999=AH713)*($AF$2:$AF$4999&lt;=AF713)) &lt;= (COUNTIF($AH$2:$AH$4999,AH713)*0.3)), "SORTEADO", "-")</f>
        <v>-</v>
      </c>
      <c r="AH713" s="257" t="str">
        <f t="shared" si="46"/>
        <v>29/04/2026</v>
      </c>
    </row>
    <row r="714" spans="1:34" ht="30" hidden="1" customHeight="1" x14ac:dyDescent="0.2">
      <c r="A714" s="245" t="s">
        <v>197</v>
      </c>
      <c r="B714" s="245">
        <v>2691804925</v>
      </c>
      <c r="C714" s="245" t="s">
        <v>127</v>
      </c>
      <c r="D714" s="245" t="s">
        <v>63</v>
      </c>
      <c r="E714" s="245" t="s">
        <v>198</v>
      </c>
      <c r="F714" s="245" t="s">
        <v>4486</v>
      </c>
      <c r="G714" s="245">
        <v>20</v>
      </c>
      <c r="H714" s="245" t="s">
        <v>3145</v>
      </c>
      <c r="I714" s="245" t="s">
        <v>531</v>
      </c>
      <c r="J714" s="245" t="s">
        <v>3275</v>
      </c>
      <c r="K714" s="245"/>
      <c r="L714" s="230" t="s">
        <v>2396</v>
      </c>
      <c r="M714" s="245" t="s">
        <v>4487</v>
      </c>
      <c r="N714" s="245" t="s">
        <v>819</v>
      </c>
      <c r="O714" s="158"/>
      <c r="P714" s="92"/>
      <c r="Q714" s="146"/>
      <c r="R714" s="92"/>
      <c r="S714" s="146"/>
      <c r="T714" s="92"/>
      <c r="U714" s="146"/>
      <c r="V714" s="92"/>
      <c r="W714" s="146"/>
      <c r="X714" s="92"/>
      <c r="Y714" s="146"/>
      <c r="Z714" s="186" t="str">
        <f t="shared" si="48"/>
        <v/>
      </c>
      <c r="AA714" s="217" t="b">
        <f t="shared" si="47"/>
        <v>0</v>
      </c>
      <c r="AB714" s="92"/>
      <c r="AC714" s="164" t="s">
        <v>6</v>
      </c>
      <c r="AD714" s="151" t="str">
        <f t="shared" si="45"/>
        <v>GUARULHOS</v>
      </c>
      <c r="AE714" s="96" t="s">
        <v>63</v>
      </c>
      <c r="AF714" s="53">
        <v>0.79475931021013979</v>
      </c>
      <c r="AG714" s="53" t="str" cm="1">
        <f t="array" ref="AG714">IF(OR(O714&lt;&gt;"", SUMPRODUCT(($AH$2:$AH$4999=AH714)*($AF$2:$AF$4999&lt;=AF714)) &lt;= (COUNTIF($AH$2:$AH$4999,AH714)*0.3)), "SORTEADO", "-")</f>
        <v>-</v>
      </c>
      <c r="AH714" s="257" t="str">
        <f t="shared" si="46"/>
        <v>29/04/2026</v>
      </c>
    </row>
    <row r="715" spans="1:34" ht="30" customHeight="1" x14ac:dyDescent="0.2">
      <c r="A715" s="245" t="s">
        <v>197</v>
      </c>
      <c r="B715" s="245">
        <v>2691772917</v>
      </c>
      <c r="C715" s="245" t="s">
        <v>127</v>
      </c>
      <c r="D715" s="245" t="s">
        <v>63</v>
      </c>
      <c r="E715" s="245" t="s">
        <v>198</v>
      </c>
      <c r="F715" s="245" t="s">
        <v>2211</v>
      </c>
      <c r="G715" s="245">
        <v>121</v>
      </c>
      <c r="H715" s="245" t="s">
        <v>2212</v>
      </c>
      <c r="I715" s="245" t="s">
        <v>947</v>
      </c>
      <c r="J715" s="245" t="s">
        <v>3275</v>
      </c>
      <c r="K715" s="245"/>
      <c r="L715" s="230" t="s">
        <v>2396</v>
      </c>
      <c r="M715" s="245" t="s">
        <v>4488</v>
      </c>
      <c r="N715" s="245" t="s">
        <v>3276</v>
      </c>
      <c r="O715" s="158" t="s">
        <v>204</v>
      </c>
      <c r="P715" s="92"/>
      <c r="Q715" s="146" t="s">
        <v>204</v>
      </c>
      <c r="R715" s="92"/>
      <c r="S715" s="146" t="s">
        <v>204</v>
      </c>
      <c r="T715" s="92"/>
      <c r="U715" s="146" t="s">
        <v>204</v>
      </c>
      <c r="V715" s="92"/>
      <c r="W715" s="146" t="s">
        <v>204</v>
      </c>
      <c r="X715" s="92"/>
      <c r="Y715" s="146" t="s">
        <v>204</v>
      </c>
      <c r="Z715" s="186" t="str">
        <f t="shared" si="48"/>
        <v>C</v>
      </c>
      <c r="AA715" s="217" t="str">
        <f t="shared" si="47"/>
        <v>UTILIZOU O PDA CORRETAMENTE</v>
      </c>
      <c r="AB715" s="92" t="s">
        <v>204</v>
      </c>
      <c r="AC715" s="164" t="s">
        <v>6</v>
      </c>
      <c r="AD715" s="151" t="str">
        <f t="shared" si="45"/>
        <v>GUARULHOS</v>
      </c>
      <c r="AE715" s="96" t="s">
        <v>63</v>
      </c>
      <c r="AF715" s="53">
        <v>0.28737528888218733</v>
      </c>
      <c r="AG715" s="53" t="str" cm="1">
        <f t="array" ref="AG715">IF(OR(O715&lt;&gt;"", SUMPRODUCT(($AH$2:$AH$4999=AH715)*($AF$2:$AF$4999&lt;=AF715)) &lt;= (COUNTIF($AH$2:$AH$4999,AH715)*0.3)), "SORTEADO", "-")</f>
        <v>SORTEADO</v>
      </c>
      <c r="AH715" s="257" t="str">
        <f t="shared" si="46"/>
        <v>29/04/2026</v>
      </c>
    </row>
    <row r="716" spans="1:34" ht="30" hidden="1" customHeight="1" x14ac:dyDescent="0.2">
      <c r="A716" s="245" t="s">
        <v>197</v>
      </c>
      <c r="B716" s="245">
        <v>2691820365</v>
      </c>
      <c r="C716" s="245" t="s">
        <v>128</v>
      </c>
      <c r="D716" s="245" t="s">
        <v>124</v>
      </c>
      <c r="E716" s="245" t="s">
        <v>198</v>
      </c>
      <c r="F716" s="245" t="s">
        <v>313</v>
      </c>
      <c r="G716" s="245">
        <v>175</v>
      </c>
      <c r="H716" s="245" t="s">
        <v>235</v>
      </c>
      <c r="I716" s="245" t="s">
        <v>315</v>
      </c>
      <c r="J716" s="245" t="s">
        <v>3385</v>
      </c>
      <c r="K716" s="245" t="s">
        <v>213</v>
      </c>
      <c r="L716" s="230" t="s">
        <v>2396</v>
      </c>
      <c r="M716" s="245" t="s">
        <v>4489</v>
      </c>
      <c r="N716" s="245" t="s">
        <v>3276</v>
      </c>
      <c r="O716" s="158"/>
      <c r="P716" s="92"/>
      <c r="Q716" s="146"/>
      <c r="R716" s="92"/>
      <c r="S716" s="146"/>
      <c r="T716" s="92"/>
      <c r="U716" s="146"/>
      <c r="V716" s="92"/>
      <c r="W716" s="146"/>
      <c r="X716" s="92"/>
      <c r="Y716" s="146"/>
      <c r="Z716" s="186" t="str">
        <f t="shared" si="48"/>
        <v/>
      </c>
      <c r="AA716" s="217" t="b">
        <f t="shared" si="47"/>
        <v>0</v>
      </c>
      <c r="AB716" s="92"/>
      <c r="AC716" s="164" t="s">
        <v>6</v>
      </c>
      <c r="AD716" s="151" t="str">
        <f t="shared" si="45"/>
        <v>GUARULHOS</v>
      </c>
      <c r="AE716" s="96" t="s">
        <v>63</v>
      </c>
      <c r="AF716" s="53">
        <v>0.7945746202362145</v>
      </c>
      <c r="AG716" s="53" t="str" cm="1">
        <f t="array" ref="AG716">IF(OR(O716&lt;&gt;"", SUMPRODUCT(($AH$2:$AH$4999=AH716)*($AF$2:$AF$4999&lt;=AF716)) &lt;= (COUNTIF($AH$2:$AH$4999,AH716)*0.3)), "SORTEADO", "-")</f>
        <v>-</v>
      </c>
      <c r="AH716" s="257" t="str">
        <f t="shared" si="46"/>
        <v>29/04/2026</v>
      </c>
    </row>
    <row r="717" spans="1:34" ht="30" customHeight="1" x14ac:dyDescent="0.2">
      <c r="A717" s="245" t="s">
        <v>197</v>
      </c>
      <c r="B717" s="245">
        <v>2691765442</v>
      </c>
      <c r="C717" s="245" t="s">
        <v>127</v>
      </c>
      <c r="D717" s="245" t="s">
        <v>63</v>
      </c>
      <c r="E717" s="245" t="s">
        <v>198</v>
      </c>
      <c r="F717" s="245" t="s">
        <v>4490</v>
      </c>
      <c r="G717" s="245">
        <v>895</v>
      </c>
      <c r="H717" s="245" t="s">
        <v>362</v>
      </c>
      <c r="I717" s="245" t="s">
        <v>840</v>
      </c>
      <c r="J717" s="245" t="s">
        <v>3275</v>
      </c>
      <c r="K717" s="245" t="s">
        <v>4491</v>
      </c>
      <c r="L717" s="230" t="s">
        <v>2396</v>
      </c>
      <c r="M717" s="245" t="s">
        <v>4492</v>
      </c>
      <c r="N717" s="245" t="s">
        <v>3276</v>
      </c>
      <c r="O717" s="158" t="s">
        <v>204</v>
      </c>
      <c r="P717" s="92"/>
      <c r="Q717" s="146" t="s">
        <v>204</v>
      </c>
      <c r="R717" s="92"/>
      <c r="S717" s="146" t="s">
        <v>204</v>
      </c>
      <c r="T717" s="92"/>
      <c r="U717" s="146" t="s">
        <v>204</v>
      </c>
      <c r="V717" s="92"/>
      <c r="W717" s="146" t="s">
        <v>204</v>
      </c>
      <c r="X717" s="92"/>
      <c r="Y717" s="146" t="s">
        <v>204</v>
      </c>
      <c r="Z717" s="186" t="str">
        <f t="shared" si="48"/>
        <v>C</v>
      </c>
      <c r="AA717" s="217" t="str">
        <f t="shared" si="47"/>
        <v>UTILIZOU O PDA CORRETAMENTE</v>
      </c>
      <c r="AB717" s="92" t="s">
        <v>204</v>
      </c>
      <c r="AC717" s="164" t="s">
        <v>6</v>
      </c>
      <c r="AD717" s="151" t="str">
        <f t="shared" si="45"/>
        <v>GUARULHOS</v>
      </c>
      <c r="AE717" s="96" t="s">
        <v>63</v>
      </c>
      <c r="AF717" s="53">
        <v>0.20037521712154063</v>
      </c>
      <c r="AG717" s="53" t="str" cm="1">
        <f t="array" ref="AG717">IF(OR(O717&lt;&gt;"", SUMPRODUCT(($AH$2:$AH$4999=AH717)*($AF$2:$AF$4999&lt;=AF717)) &lt;= (COUNTIF($AH$2:$AH$4999,AH717)*0.3)), "SORTEADO", "-")</f>
        <v>SORTEADO</v>
      </c>
      <c r="AH717" s="257" t="str">
        <f t="shared" si="46"/>
        <v>29/04/2026</v>
      </c>
    </row>
    <row r="718" spans="1:34" ht="30" customHeight="1" x14ac:dyDescent="0.2">
      <c r="A718" s="245" t="s">
        <v>197</v>
      </c>
      <c r="B718" s="245">
        <v>2691820193</v>
      </c>
      <c r="C718" s="245" t="s">
        <v>127</v>
      </c>
      <c r="D718" s="245" t="s">
        <v>63</v>
      </c>
      <c r="E718" s="245" t="s">
        <v>198</v>
      </c>
      <c r="F718" s="245" t="s">
        <v>313</v>
      </c>
      <c r="G718" s="245">
        <v>175</v>
      </c>
      <c r="H718" s="245" t="s">
        <v>235</v>
      </c>
      <c r="I718" s="245" t="s">
        <v>315</v>
      </c>
      <c r="J718" s="245" t="s">
        <v>3275</v>
      </c>
      <c r="K718" s="245"/>
      <c r="L718" s="230" t="s">
        <v>2396</v>
      </c>
      <c r="M718" s="245" t="s">
        <v>4493</v>
      </c>
      <c r="N718" s="245" t="s">
        <v>3276</v>
      </c>
      <c r="O718" s="158" t="s">
        <v>204</v>
      </c>
      <c r="P718" s="92"/>
      <c r="Q718" s="146" t="s">
        <v>204</v>
      </c>
      <c r="R718" s="92"/>
      <c r="S718" s="146" t="s">
        <v>204</v>
      </c>
      <c r="T718" s="92"/>
      <c r="U718" s="146" t="s">
        <v>204</v>
      </c>
      <c r="V718" s="92"/>
      <c r="W718" s="146" t="s">
        <v>204</v>
      </c>
      <c r="X718" s="92"/>
      <c r="Y718" s="146" t="s">
        <v>204</v>
      </c>
      <c r="Z718" s="186" t="str">
        <f t="shared" si="48"/>
        <v>C</v>
      </c>
      <c r="AA718" s="217" t="str">
        <f t="shared" si="47"/>
        <v>UTILIZOU O PDA CORRETAMENTE</v>
      </c>
      <c r="AB718" s="92" t="s">
        <v>204</v>
      </c>
      <c r="AC718" s="164" t="s">
        <v>6</v>
      </c>
      <c r="AD718" s="151" t="str">
        <f t="shared" si="45"/>
        <v>GUARULHOS</v>
      </c>
      <c r="AE718" s="96" t="s">
        <v>63</v>
      </c>
      <c r="AF718" s="53">
        <v>0.26298108508334794</v>
      </c>
      <c r="AG718" s="53" t="str" cm="1">
        <f t="array" ref="AG718">IF(OR(O718&lt;&gt;"", SUMPRODUCT(($AH$2:$AH$4999=AH718)*($AF$2:$AF$4999&lt;=AF718)) &lt;= (COUNTIF($AH$2:$AH$4999,AH718)*0.3)), "SORTEADO", "-")</f>
        <v>SORTEADO</v>
      </c>
      <c r="AH718" s="257" t="str">
        <f t="shared" si="46"/>
        <v>29/04/2026</v>
      </c>
    </row>
    <row r="719" spans="1:34" ht="30" hidden="1" customHeight="1" x14ac:dyDescent="0.2">
      <c r="A719" s="245" t="s">
        <v>197</v>
      </c>
      <c r="B719" s="245">
        <v>2691845004</v>
      </c>
      <c r="C719" s="245" t="s">
        <v>127</v>
      </c>
      <c r="D719" s="245" t="s">
        <v>63</v>
      </c>
      <c r="E719" s="245" t="s">
        <v>198</v>
      </c>
      <c r="F719" s="245" t="s">
        <v>3754</v>
      </c>
      <c r="G719" s="245">
        <v>21</v>
      </c>
      <c r="H719" s="245" t="s">
        <v>4494</v>
      </c>
      <c r="I719" s="245" t="s">
        <v>200</v>
      </c>
      <c r="J719" s="245" t="s">
        <v>3275</v>
      </c>
      <c r="K719" s="245"/>
      <c r="L719" s="230" t="s">
        <v>2396</v>
      </c>
      <c r="M719" s="245" t="s">
        <v>4495</v>
      </c>
      <c r="N719" s="245" t="s">
        <v>3276</v>
      </c>
      <c r="O719" s="158"/>
      <c r="P719" s="92"/>
      <c r="Q719" s="146"/>
      <c r="R719" s="92"/>
      <c r="S719" s="146"/>
      <c r="T719" s="92"/>
      <c r="U719" s="146"/>
      <c r="V719" s="92"/>
      <c r="W719" s="146"/>
      <c r="X719" s="92"/>
      <c r="Y719" s="146"/>
      <c r="Z719" s="186" t="str">
        <f t="shared" si="48"/>
        <v/>
      </c>
      <c r="AA719" s="217" t="b">
        <f t="shared" si="47"/>
        <v>0</v>
      </c>
      <c r="AB719" s="92"/>
      <c r="AC719" s="164" t="s">
        <v>6</v>
      </c>
      <c r="AD719" s="151" t="str">
        <f t="shared" si="45"/>
        <v>GUARULHOS</v>
      </c>
      <c r="AE719" s="96" t="s">
        <v>63</v>
      </c>
      <c r="AF719" s="53">
        <v>0.83524368317203312</v>
      </c>
      <c r="AG719" s="53" t="str" cm="1">
        <f t="array" ref="AG719">IF(OR(O719&lt;&gt;"", SUMPRODUCT(($AH$2:$AH$4999=AH719)*($AF$2:$AF$4999&lt;=AF719)) &lt;= (COUNTIF($AH$2:$AH$4999,AH719)*0.3)), "SORTEADO", "-")</f>
        <v>-</v>
      </c>
      <c r="AH719" s="257" t="str">
        <f t="shared" si="46"/>
        <v>29/04/2026</v>
      </c>
    </row>
    <row r="720" spans="1:34" ht="30" hidden="1" customHeight="1" x14ac:dyDescent="0.2">
      <c r="A720" s="245" t="s">
        <v>197</v>
      </c>
      <c r="B720" s="245">
        <v>2617584376</v>
      </c>
      <c r="C720" s="245" t="s">
        <v>135</v>
      </c>
      <c r="D720" s="245" t="s">
        <v>124</v>
      </c>
      <c r="E720" s="245" t="s">
        <v>198</v>
      </c>
      <c r="F720" s="245" t="s">
        <v>4496</v>
      </c>
      <c r="G720" s="245">
        <v>12</v>
      </c>
      <c r="H720" s="245" t="s">
        <v>213</v>
      </c>
      <c r="I720" s="245" t="s">
        <v>565</v>
      </c>
      <c r="J720" s="245" t="s">
        <v>3280</v>
      </c>
      <c r="K720" s="245" t="s">
        <v>213</v>
      </c>
      <c r="L720" s="230" t="s">
        <v>2396</v>
      </c>
      <c r="M720" s="245" t="s">
        <v>4497</v>
      </c>
      <c r="N720" s="245" t="s">
        <v>3296</v>
      </c>
      <c r="O720" s="158"/>
      <c r="P720" s="92"/>
      <c r="Q720" s="146"/>
      <c r="R720" s="92"/>
      <c r="S720" s="146"/>
      <c r="T720" s="92"/>
      <c r="U720" s="146"/>
      <c r="V720" s="92"/>
      <c r="W720" s="146"/>
      <c r="X720" s="92"/>
      <c r="Y720" s="146"/>
      <c r="Z720" s="186" t="str">
        <f t="shared" si="48"/>
        <v/>
      </c>
      <c r="AA720" s="217" t="b">
        <f t="shared" si="47"/>
        <v>0</v>
      </c>
      <c r="AB720" s="92"/>
      <c r="AC720" s="164" t="s">
        <v>6</v>
      </c>
      <c r="AD720" s="151" t="str">
        <f t="shared" si="45"/>
        <v>GUARULHOS</v>
      </c>
      <c r="AE720" s="96" t="s">
        <v>63</v>
      </c>
      <c r="AF720" s="53">
        <v>0.82816016937439041</v>
      </c>
      <c r="AG720" s="53" t="str" cm="1">
        <f t="array" ref="AG720">IF(OR(O720&lt;&gt;"", SUMPRODUCT(($AH$2:$AH$4999=AH720)*($AF$2:$AF$4999&lt;=AF720)) &lt;= (COUNTIF($AH$2:$AH$4999,AH720)*0.3)), "SORTEADO", "-")</f>
        <v>-</v>
      </c>
      <c r="AH720" s="257" t="str">
        <f t="shared" si="46"/>
        <v>29/04/2026</v>
      </c>
    </row>
    <row r="721" spans="1:34" ht="30" customHeight="1" x14ac:dyDescent="0.2">
      <c r="A721" s="245" t="s">
        <v>197</v>
      </c>
      <c r="B721" s="245">
        <v>2617335352</v>
      </c>
      <c r="C721" s="245" t="s">
        <v>135</v>
      </c>
      <c r="D721" s="245" t="s">
        <v>124</v>
      </c>
      <c r="E721" s="245" t="s">
        <v>198</v>
      </c>
      <c r="F721" s="245" t="s">
        <v>410</v>
      </c>
      <c r="G721" s="245">
        <v>420</v>
      </c>
      <c r="H721" s="245" t="s">
        <v>527</v>
      </c>
      <c r="I721" s="245" t="s">
        <v>411</v>
      </c>
      <c r="J721" s="245" t="s">
        <v>3280</v>
      </c>
      <c r="K721" s="245" t="s">
        <v>4498</v>
      </c>
      <c r="L721" s="230" t="s">
        <v>2396</v>
      </c>
      <c r="M721" s="245" t="s">
        <v>4499</v>
      </c>
      <c r="N721" s="245" t="s">
        <v>215</v>
      </c>
      <c r="O721" s="158" t="s">
        <v>204</v>
      </c>
      <c r="P721" s="92"/>
      <c r="Q721" s="146" t="s">
        <v>204</v>
      </c>
      <c r="R721" s="92"/>
      <c r="S721" s="146" t="s">
        <v>204</v>
      </c>
      <c r="T721" s="92"/>
      <c r="U721" s="146" t="s">
        <v>204</v>
      </c>
      <c r="V721" s="92"/>
      <c r="W721" s="146" t="s">
        <v>204</v>
      </c>
      <c r="X721" s="92"/>
      <c r="Y721" s="146" t="s">
        <v>204</v>
      </c>
      <c r="Z721" s="186" t="str">
        <f t="shared" si="48"/>
        <v>C</v>
      </c>
      <c r="AA721" s="217" t="str">
        <f t="shared" si="47"/>
        <v>UTILIZOU O PDA CORRETAMENTE</v>
      </c>
      <c r="AB721" s="92" t="s">
        <v>204</v>
      </c>
      <c r="AC721" s="164" t="s">
        <v>6</v>
      </c>
      <c r="AD721" s="151" t="str">
        <f t="shared" si="45"/>
        <v>GUARULHOS</v>
      </c>
      <c r="AE721" s="96" t="s">
        <v>63</v>
      </c>
      <c r="AF721" s="53">
        <v>0.17549410703732884</v>
      </c>
      <c r="AG721" s="53" t="str" cm="1">
        <f t="array" ref="AG721">IF(OR(O721&lt;&gt;"", SUMPRODUCT(($AH$2:$AH$4999=AH721)*($AF$2:$AF$4999&lt;=AF721)) &lt;= (COUNTIF($AH$2:$AH$4999,AH721)*0.3)), "SORTEADO", "-")</f>
        <v>SORTEADO</v>
      </c>
      <c r="AH721" s="257" t="str">
        <f t="shared" si="46"/>
        <v>29/04/2026</v>
      </c>
    </row>
    <row r="722" spans="1:34" ht="30" hidden="1" customHeight="1" x14ac:dyDescent="0.2">
      <c r="A722" s="245" t="s">
        <v>197</v>
      </c>
      <c r="B722" s="245">
        <v>2691871892</v>
      </c>
      <c r="C722" s="245" t="s">
        <v>127</v>
      </c>
      <c r="D722" s="245" t="s">
        <v>63</v>
      </c>
      <c r="E722" s="245" t="s">
        <v>198</v>
      </c>
      <c r="F722" s="245" t="s">
        <v>2651</v>
      </c>
      <c r="G722" s="245">
        <v>252</v>
      </c>
      <c r="H722" s="245" t="s">
        <v>1787</v>
      </c>
      <c r="I722" s="245" t="s">
        <v>335</v>
      </c>
      <c r="J722" s="245" t="s">
        <v>3275</v>
      </c>
      <c r="K722" s="245" t="s">
        <v>213</v>
      </c>
      <c r="L722" s="230" t="s">
        <v>2396</v>
      </c>
      <c r="M722" s="245" t="s">
        <v>4500</v>
      </c>
      <c r="N722" s="245" t="s">
        <v>3276</v>
      </c>
      <c r="O722" s="158"/>
      <c r="P722" s="92"/>
      <c r="Q722" s="146"/>
      <c r="R722" s="92"/>
      <c r="S722" s="146"/>
      <c r="T722" s="92"/>
      <c r="U722" s="146"/>
      <c r="V722" s="92"/>
      <c r="W722" s="146"/>
      <c r="X722" s="92"/>
      <c r="Y722" s="146"/>
      <c r="Z722" s="186" t="str">
        <f t="shared" si="48"/>
        <v/>
      </c>
      <c r="AA722" s="217" t="b">
        <f t="shared" si="47"/>
        <v>0</v>
      </c>
      <c r="AB722" s="92"/>
      <c r="AC722" s="164" t="s">
        <v>6</v>
      </c>
      <c r="AD722" s="151" t="str">
        <f t="shared" si="45"/>
        <v>GUARULHOS</v>
      </c>
      <c r="AE722" s="96" t="s">
        <v>63</v>
      </c>
      <c r="AF722" s="53">
        <v>0.76926281539965591</v>
      </c>
      <c r="AG722" s="53" t="str" cm="1">
        <f t="array" ref="AG722">IF(OR(O722&lt;&gt;"", SUMPRODUCT(($AH$2:$AH$4999=AH722)*($AF$2:$AF$4999&lt;=AF722)) &lt;= (COUNTIF($AH$2:$AH$4999,AH722)*0.3)), "SORTEADO", "-")</f>
        <v>-</v>
      </c>
      <c r="AH722" s="257" t="str">
        <f t="shared" si="46"/>
        <v>29/04/2026</v>
      </c>
    </row>
    <row r="723" spans="1:34" ht="30" hidden="1" customHeight="1" x14ac:dyDescent="0.2">
      <c r="A723" s="245" t="s">
        <v>197</v>
      </c>
      <c r="B723" s="245">
        <v>2617935962</v>
      </c>
      <c r="C723" s="245" t="s">
        <v>127</v>
      </c>
      <c r="D723" s="245" t="s">
        <v>63</v>
      </c>
      <c r="E723" s="245" t="s">
        <v>198</v>
      </c>
      <c r="F723" s="245" t="s">
        <v>4501</v>
      </c>
      <c r="G723" s="245">
        <v>172</v>
      </c>
      <c r="H723" s="245" t="s">
        <v>4502</v>
      </c>
      <c r="I723" s="245" t="s">
        <v>231</v>
      </c>
      <c r="J723" s="245" t="s">
        <v>3275</v>
      </c>
      <c r="K723" s="245"/>
      <c r="L723" s="230" t="s">
        <v>2396</v>
      </c>
      <c r="M723" s="245" t="s">
        <v>4503</v>
      </c>
      <c r="N723" s="245" t="s">
        <v>3289</v>
      </c>
      <c r="O723" s="158"/>
      <c r="P723" s="92"/>
      <c r="Q723" s="146"/>
      <c r="R723" s="92"/>
      <c r="S723" s="146"/>
      <c r="T723" s="92"/>
      <c r="U723" s="146"/>
      <c r="V723" s="92"/>
      <c r="W723" s="146"/>
      <c r="X723" s="92"/>
      <c r="Y723" s="146"/>
      <c r="Z723" s="186" t="str">
        <f t="shared" si="48"/>
        <v/>
      </c>
      <c r="AA723" s="217" t="b">
        <f t="shared" si="47"/>
        <v>0</v>
      </c>
      <c r="AB723" s="92"/>
      <c r="AC723" s="164" t="s">
        <v>6</v>
      </c>
      <c r="AD723" s="151" t="str">
        <f t="shared" si="45"/>
        <v>GUARULHOS</v>
      </c>
      <c r="AE723" s="96" t="s">
        <v>63</v>
      </c>
      <c r="AF723" s="53">
        <v>0.72473230247690601</v>
      </c>
      <c r="AG723" s="53" t="str" cm="1">
        <f t="array" ref="AG723">IF(OR(O723&lt;&gt;"", SUMPRODUCT(($AH$2:$AH$4999=AH723)*($AF$2:$AF$4999&lt;=AF723)) &lt;= (COUNTIF($AH$2:$AH$4999,AH723)*0.3)), "SORTEADO", "-")</f>
        <v>-</v>
      </c>
      <c r="AH723" s="257" t="str">
        <f t="shared" si="46"/>
        <v>29/04/2026</v>
      </c>
    </row>
    <row r="724" spans="1:34" ht="30" customHeight="1" x14ac:dyDescent="0.2">
      <c r="A724" s="245" t="s">
        <v>197</v>
      </c>
      <c r="B724" s="245">
        <v>2691872848</v>
      </c>
      <c r="C724" s="245" t="s">
        <v>127</v>
      </c>
      <c r="D724" s="245" t="s">
        <v>63</v>
      </c>
      <c r="E724" s="245" t="s">
        <v>198</v>
      </c>
      <c r="F724" s="245" t="s">
        <v>4504</v>
      </c>
      <c r="G724" s="245">
        <v>394</v>
      </c>
      <c r="H724" s="245" t="s">
        <v>4505</v>
      </c>
      <c r="I724" s="245" t="s">
        <v>480</v>
      </c>
      <c r="J724" s="245" t="s">
        <v>3271</v>
      </c>
      <c r="K724" s="245" t="s">
        <v>213</v>
      </c>
      <c r="L724" s="230" t="s">
        <v>2396</v>
      </c>
      <c r="M724" s="245" t="s">
        <v>4506</v>
      </c>
      <c r="N724" s="245" t="s">
        <v>1099</v>
      </c>
      <c r="O724" s="158" t="s">
        <v>204</v>
      </c>
      <c r="P724" s="92"/>
      <c r="Q724" s="146" t="s">
        <v>204</v>
      </c>
      <c r="R724" s="92"/>
      <c r="S724" s="146" t="s">
        <v>204</v>
      </c>
      <c r="T724" s="92"/>
      <c r="U724" s="146" t="s">
        <v>204</v>
      </c>
      <c r="V724" s="92"/>
      <c r="W724" s="146" t="s">
        <v>204</v>
      </c>
      <c r="X724" s="92"/>
      <c r="Y724" s="146" t="s">
        <v>204</v>
      </c>
      <c r="Z724" s="186" t="str">
        <f t="shared" si="48"/>
        <v>C</v>
      </c>
      <c r="AA724" s="217" t="str">
        <f t="shared" si="47"/>
        <v>UTILIZOU O PDA CORRETAMENTE</v>
      </c>
      <c r="AB724" s="92" t="s">
        <v>204</v>
      </c>
      <c r="AC724" s="164" t="s">
        <v>6</v>
      </c>
      <c r="AD724" s="151" t="str">
        <f t="shared" si="45"/>
        <v>GUARULHOS</v>
      </c>
      <c r="AE724" s="96" t="s">
        <v>63</v>
      </c>
      <c r="AF724" s="53">
        <v>0.15666662630295841</v>
      </c>
      <c r="AG724" s="53" t="str" cm="1">
        <f t="array" ref="AG724">IF(OR(O724&lt;&gt;"", SUMPRODUCT(($AH$2:$AH$4999=AH724)*($AF$2:$AF$4999&lt;=AF724)) &lt;= (COUNTIF($AH$2:$AH$4999,AH724)*0.3)), "SORTEADO", "-")</f>
        <v>SORTEADO</v>
      </c>
      <c r="AH724" s="257" t="str">
        <f t="shared" si="46"/>
        <v>29/04/2026</v>
      </c>
    </row>
    <row r="725" spans="1:34" ht="30" customHeight="1" x14ac:dyDescent="0.2">
      <c r="A725" s="245" t="s">
        <v>197</v>
      </c>
      <c r="B725" s="245">
        <v>2691871507</v>
      </c>
      <c r="C725" s="245" t="s">
        <v>127</v>
      </c>
      <c r="D725" s="245" t="s">
        <v>63</v>
      </c>
      <c r="E725" s="245" t="s">
        <v>198</v>
      </c>
      <c r="F725" s="245" t="s">
        <v>4507</v>
      </c>
      <c r="G725" s="245">
        <v>41</v>
      </c>
      <c r="H725" s="245" t="s">
        <v>4508</v>
      </c>
      <c r="I725" s="245" t="s">
        <v>335</v>
      </c>
      <c r="J725" s="245" t="s">
        <v>3275</v>
      </c>
      <c r="K725" s="245"/>
      <c r="L725" s="230" t="s">
        <v>2396</v>
      </c>
      <c r="M725" s="245" t="s">
        <v>4509</v>
      </c>
      <c r="N725" s="245" t="s">
        <v>3276</v>
      </c>
      <c r="O725" s="158" t="s">
        <v>204</v>
      </c>
      <c r="P725" s="92"/>
      <c r="Q725" s="146" t="s">
        <v>204</v>
      </c>
      <c r="R725" s="92"/>
      <c r="S725" s="146" t="s">
        <v>204</v>
      </c>
      <c r="T725" s="92"/>
      <c r="U725" s="146" t="s">
        <v>204</v>
      </c>
      <c r="V725" s="92"/>
      <c r="W725" s="146" t="s">
        <v>204</v>
      </c>
      <c r="X725" s="92"/>
      <c r="Y725" s="146" t="s">
        <v>204</v>
      </c>
      <c r="Z725" s="186" t="str">
        <f t="shared" si="48"/>
        <v>C</v>
      </c>
      <c r="AA725" s="217" t="str">
        <f t="shared" si="47"/>
        <v>UTILIZOU O PDA CORRETAMENTE</v>
      </c>
      <c r="AB725" s="92" t="s">
        <v>204</v>
      </c>
      <c r="AC725" s="164" t="s">
        <v>6</v>
      </c>
      <c r="AD725" s="151" t="str">
        <f t="shared" si="45"/>
        <v>GUARULHOS</v>
      </c>
      <c r="AE725" s="96" t="s">
        <v>63</v>
      </c>
      <c r="AF725" s="53">
        <v>0.18702254272911992</v>
      </c>
      <c r="AG725" s="53" t="str" cm="1">
        <f t="array" ref="AG725">IF(OR(O725&lt;&gt;"", SUMPRODUCT(($AH$2:$AH$4999=AH725)*($AF$2:$AF$4999&lt;=AF725)) &lt;= (COUNTIF($AH$2:$AH$4999,AH725)*0.3)), "SORTEADO", "-")</f>
        <v>SORTEADO</v>
      </c>
      <c r="AH725" s="257" t="str">
        <f t="shared" si="46"/>
        <v>29/04/2026</v>
      </c>
    </row>
    <row r="726" spans="1:34" ht="30" hidden="1" customHeight="1" x14ac:dyDescent="0.2">
      <c r="A726" s="245" t="s">
        <v>197</v>
      </c>
      <c r="B726" s="245">
        <v>2691867735</v>
      </c>
      <c r="C726" s="245" t="s">
        <v>133</v>
      </c>
      <c r="D726" s="245" t="s">
        <v>124</v>
      </c>
      <c r="E726" s="245" t="s">
        <v>198</v>
      </c>
      <c r="F726" s="245" t="s">
        <v>4510</v>
      </c>
      <c r="G726" s="245">
        <v>260</v>
      </c>
      <c r="H726" s="245"/>
      <c r="I726" s="245" t="s">
        <v>4511</v>
      </c>
      <c r="J726" s="245" t="s">
        <v>3275</v>
      </c>
      <c r="K726" s="245" t="s">
        <v>3499</v>
      </c>
      <c r="L726" s="230" t="s">
        <v>2396</v>
      </c>
      <c r="M726" s="245" t="s">
        <v>4512</v>
      </c>
      <c r="N726" s="245" t="s">
        <v>3296</v>
      </c>
      <c r="O726" s="158"/>
      <c r="P726" s="92"/>
      <c r="Q726" s="146"/>
      <c r="R726" s="92"/>
      <c r="S726" s="146"/>
      <c r="T726" s="92"/>
      <c r="U726" s="146"/>
      <c r="V726" s="92"/>
      <c r="W726" s="146"/>
      <c r="X726" s="92"/>
      <c r="Y726" s="146"/>
      <c r="Z726" s="186" t="str">
        <f t="shared" si="48"/>
        <v/>
      </c>
      <c r="AA726" s="217" t="b">
        <f t="shared" si="47"/>
        <v>0</v>
      </c>
      <c r="AB726" s="92"/>
      <c r="AC726" s="164" t="s">
        <v>6</v>
      </c>
      <c r="AD726" s="151" t="str">
        <f t="shared" si="45"/>
        <v>GUARULHOS</v>
      </c>
      <c r="AE726" s="96" t="s">
        <v>63</v>
      </c>
      <c r="AF726" s="53">
        <v>0.61862221948053264</v>
      </c>
      <c r="AG726" s="53" t="str" cm="1">
        <f t="array" ref="AG726">IF(OR(O726&lt;&gt;"", SUMPRODUCT(($AH$2:$AH$4999=AH726)*($AF$2:$AF$4999&lt;=AF726)) &lt;= (COUNTIF($AH$2:$AH$4999,AH726)*0.3)), "SORTEADO", "-")</f>
        <v>-</v>
      </c>
      <c r="AH726" s="257" t="str">
        <f t="shared" si="46"/>
        <v>29/04/2026</v>
      </c>
    </row>
    <row r="727" spans="1:34" ht="30" hidden="1" customHeight="1" x14ac:dyDescent="0.2">
      <c r="A727" s="245" t="s">
        <v>197</v>
      </c>
      <c r="B727" s="245">
        <v>2691890017</v>
      </c>
      <c r="C727" s="245" t="s">
        <v>127</v>
      </c>
      <c r="D727" s="245" t="s">
        <v>63</v>
      </c>
      <c r="E727" s="245" t="s">
        <v>198</v>
      </c>
      <c r="F727" s="245" t="s">
        <v>867</v>
      </c>
      <c r="G727" s="245">
        <v>2555</v>
      </c>
      <c r="H727" s="245" t="s">
        <v>213</v>
      </c>
      <c r="I727" s="245" t="s">
        <v>708</v>
      </c>
      <c r="J727" s="245" t="s">
        <v>3271</v>
      </c>
      <c r="K727" s="245" t="s">
        <v>213</v>
      </c>
      <c r="L727" s="230" t="s">
        <v>2396</v>
      </c>
      <c r="M727" s="245" t="s">
        <v>4513</v>
      </c>
      <c r="N727" s="245" t="s">
        <v>1099</v>
      </c>
      <c r="O727" s="158"/>
      <c r="P727" s="92"/>
      <c r="Q727" s="146"/>
      <c r="R727" s="92"/>
      <c r="S727" s="146"/>
      <c r="T727" s="92"/>
      <c r="U727" s="146"/>
      <c r="V727" s="92"/>
      <c r="W727" s="146"/>
      <c r="X727" s="92"/>
      <c r="Y727" s="146"/>
      <c r="Z727" s="186" t="str">
        <f t="shared" si="48"/>
        <v/>
      </c>
      <c r="AA727" s="217" t="b">
        <f t="shared" si="47"/>
        <v>0</v>
      </c>
      <c r="AB727" s="92"/>
      <c r="AC727" s="164" t="s">
        <v>6</v>
      </c>
      <c r="AD727" s="151" t="str">
        <f t="shared" si="45"/>
        <v>GUARULHOS</v>
      </c>
      <c r="AE727" s="96" t="s">
        <v>63</v>
      </c>
      <c r="AF727" s="53">
        <v>0.64363016171499554</v>
      </c>
      <c r="AG727" s="53" t="str" cm="1">
        <f t="array" ref="AG727">IF(OR(O727&lt;&gt;"", SUMPRODUCT(($AH$2:$AH$4999=AH727)*($AF$2:$AF$4999&lt;=AF727)) &lt;= (COUNTIF($AH$2:$AH$4999,AH727)*0.3)), "SORTEADO", "-")</f>
        <v>-</v>
      </c>
      <c r="AH727" s="257" t="str">
        <f t="shared" si="46"/>
        <v>29/04/2026</v>
      </c>
    </row>
    <row r="728" spans="1:34" ht="30" hidden="1" customHeight="1" x14ac:dyDescent="0.2">
      <c r="A728" s="245" t="s">
        <v>197</v>
      </c>
      <c r="B728" s="245">
        <v>2691844961</v>
      </c>
      <c r="C728" s="245" t="s">
        <v>133</v>
      </c>
      <c r="D728" s="245" t="s">
        <v>124</v>
      </c>
      <c r="E728" s="245" t="s">
        <v>198</v>
      </c>
      <c r="F728" s="245" t="s">
        <v>3689</v>
      </c>
      <c r="G728" s="245">
        <v>54</v>
      </c>
      <c r="H728" s="245"/>
      <c r="I728" s="245" t="s">
        <v>923</v>
      </c>
      <c r="J728" s="245" t="s">
        <v>3275</v>
      </c>
      <c r="K728" s="245" t="s">
        <v>852</v>
      </c>
      <c r="L728" s="230" t="s">
        <v>2396</v>
      </c>
      <c r="M728" s="245" t="s">
        <v>4514</v>
      </c>
      <c r="N728" s="245" t="s">
        <v>432</v>
      </c>
      <c r="O728" s="158"/>
      <c r="P728" s="92"/>
      <c r="Q728" s="146"/>
      <c r="R728" s="92"/>
      <c r="S728" s="146"/>
      <c r="T728" s="92"/>
      <c r="U728" s="146"/>
      <c r="V728" s="92"/>
      <c r="W728" s="146"/>
      <c r="X728" s="92"/>
      <c r="Y728" s="146"/>
      <c r="Z728" s="186" t="str">
        <f t="shared" si="48"/>
        <v/>
      </c>
      <c r="AA728" s="217" t="b">
        <f t="shared" si="47"/>
        <v>0</v>
      </c>
      <c r="AB728" s="92"/>
      <c r="AC728" s="164" t="s">
        <v>6</v>
      </c>
      <c r="AD728" s="151" t="str">
        <f t="shared" si="45"/>
        <v>GUARULHOS</v>
      </c>
      <c r="AE728" s="96" t="s">
        <v>63</v>
      </c>
      <c r="AF728" s="53">
        <v>0.64171697386343152</v>
      </c>
      <c r="AG728" s="53" t="str" cm="1">
        <f t="array" ref="AG728">IF(OR(O728&lt;&gt;"", SUMPRODUCT(($AH$2:$AH$4999=AH728)*($AF$2:$AF$4999&lt;=AF728)) &lt;= (COUNTIF($AH$2:$AH$4999,AH728)*0.3)), "SORTEADO", "-")</f>
        <v>-</v>
      </c>
      <c r="AH728" s="257" t="str">
        <f t="shared" si="46"/>
        <v>29/04/2026</v>
      </c>
    </row>
    <row r="729" spans="1:34" ht="30" hidden="1" customHeight="1" x14ac:dyDescent="0.2">
      <c r="A729" s="245" t="s">
        <v>197</v>
      </c>
      <c r="B729" s="245">
        <v>2691908857</v>
      </c>
      <c r="C729" s="245" t="s">
        <v>127</v>
      </c>
      <c r="D729" s="245" t="s">
        <v>63</v>
      </c>
      <c r="E729" s="245" t="s">
        <v>198</v>
      </c>
      <c r="F729" s="245" t="s">
        <v>4229</v>
      </c>
      <c r="G729" s="245">
        <v>316</v>
      </c>
      <c r="H729" s="245" t="s">
        <v>1709</v>
      </c>
      <c r="I729" s="245" t="s">
        <v>4230</v>
      </c>
      <c r="J729" s="245" t="s">
        <v>3275</v>
      </c>
      <c r="K729" s="245" t="s">
        <v>4515</v>
      </c>
      <c r="L729" s="230" t="s">
        <v>2396</v>
      </c>
      <c r="M729" s="245" t="s">
        <v>4516</v>
      </c>
      <c r="N729" s="245" t="s">
        <v>819</v>
      </c>
      <c r="O729" s="158"/>
      <c r="P729" s="92"/>
      <c r="Q729" s="146"/>
      <c r="R729" s="92"/>
      <c r="S729" s="146"/>
      <c r="T729" s="92"/>
      <c r="U729" s="146"/>
      <c r="V729" s="92"/>
      <c r="W729" s="146"/>
      <c r="X729" s="92"/>
      <c r="Y729" s="146"/>
      <c r="Z729" s="186" t="str">
        <f t="shared" si="48"/>
        <v/>
      </c>
      <c r="AA729" s="217" t="b">
        <f t="shared" si="47"/>
        <v>0</v>
      </c>
      <c r="AB729" s="92"/>
      <c r="AC729" s="164" t="s">
        <v>6</v>
      </c>
      <c r="AD729" s="151" t="str">
        <f t="shared" si="45"/>
        <v>GUARULHOS</v>
      </c>
      <c r="AE729" s="96" t="s">
        <v>63</v>
      </c>
      <c r="AF729" s="53">
        <v>0.33001741587959577</v>
      </c>
      <c r="AG729" s="53" t="str" cm="1">
        <f t="array" ref="AG729">IF(OR(O729&lt;&gt;"", SUMPRODUCT(($AH$2:$AH$4999=AH729)*($AF$2:$AF$4999&lt;=AF729)) &lt;= (COUNTIF($AH$2:$AH$4999,AH729)*0.3)), "SORTEADO", "-")</f>
        <v>-</v>
      </c>
      <c r="AH729" s="257" t="str">
        <f t="shared" si="46"/>
        <v>29/04/2026</v>
      </c>
    </row>
    <row r="730" spans="1:34" ht="30" customHeight="1" x14ac:dyDescent="0.2">
      <c r="A730" s="245" t="s">
        <v>197</v>
      </c>
      <c r="B730" s="245">
        <v>2617966737</v>
      </c>
      <c r="C730" s="245" t="s">
        <v>127</v>
      </c>
      <c r="D730" s="245" t="s">
        <v>63</v>
      </c>
      <c r="E730" s="245" t="s">
        <v>198</v>
      </c>
      <c r="F730" s="245" t="s">
        <v>882</v>
      </c>
      <c r="G730" s="245">
        <v>491</v>
      </c>
      <c r="H730" s="245" t="s">
        <v>4517</v>
      </c>
      <c r="I730" s="245" t="s">
        <v>997</v>
      </c>
      <c r="J730" s="245" t="s">
        <v>3275</v>
      </c>
      <c r="K730" s="245"/>
      <c r="L730" s="230" t="s">
        <v>2396</v>
      </c>
      <c r="M730" s="245" t="s">
        <v>4518</v>
      </c>
      <c r="N730" s="245" t="s">
        <v>294</v>
      </c>
      <c r="O730" s="158" t="s">
        <v>204</v>
      </c>
      <c r="P730" s="92"/>
      <c r="Q730" s="146" t="s">
        <v>204</v>
      </c>
      <c r="R730" s="92"/>
      <c r="S730" s="146" t="s">
        <v>204</v>
      </c>
      <c r="T730" s="92"/>
      <c r="U730" s="146" t="s">
        <v>204</v>
      </c>
      <c r="V730" s="92"/>
      <c r="W730" s="146" t="s">
        <v>204</v>
      </c>
      <c r="X730" s="92"/>
      <c r="Y730" s="146" t="s">
        <v>204</v>
      </c>
      <c r="Z730" s="186" t="str">
        <f t="shared" si="48"/>
        <v>C</v>
      </c>
      <c r="AA730" s="217" t="str">
        <f t="shared" si="47"/>
        <v>UTILIZOU O PDA CORRETAMENTE</v>
      </c>
      <c r="AB730" s="92" t="s">
        <v>204</v>
      </c>
      <c r="AC730" s="164" t="s">
        <v>6</v>
      </c>
      <c r="AD730" s="151" t="str">
        <f t="shared" si="45"/>
        <v>GUARULHOS</v>
      </c>
      <c r="AE730" s="96" t="s">
        <v>63</v>
      </c>
      <c r="AF730" s="53">
        <v>0.11141204832434869</v>
      </c>
      <c r="AG730" s="53" t="str" cm="1">
        <f t="array" ref="AG730">IF(OR(O730&lt;&gt;"", SUMPRODUCT(($AH$2:$AH$4999=AH730)*($AF$2:$AF$4999&lt;=AF730)) &lt;= (COUNTIF($AH$2:$AH$4999,AH730)*0.3)), "SORTEADO", "-")</f>
        <v>SORTEADO</v>
      </c>
      <c r="AH730" s="257" t="str">
        <f t="shared" si="46"/>
        <v>29/04/2026</v>
      </c>
    </row>
    <row r="731" spans="1:34" ht="30" hidden="1" customHeight="1" x14ac:dyDescent="0.2">
      <c r="A731" s="245" t="s">
        <v>197</v>
      </c>
      <c r="B731" s="245">
        <v>2691839366</v>
      </c>
      <c r="C731" s="245" t="s">
        <v>133</v>
      </c>
      <c r="D731" s="245" t="s">
        <v>124</v>
      </c>
      <c r="E731" s="245" t="s">
        <v>198</v>
      </c>
      <c r="F731" s="245" t="s">
        <v>585</v>
      </c>
      <c r="G731" s="245">
        <v>1456</v>
      </c>
      <c r="H731" s="245" t="s">
        <v>213</v>
      </c>
      <c r="I731" s="245" t="s">
        <v>247</v>
      </c>
      <c r="J731" s="245" t="s">
        <v>3275</v>
      </c>
      <c r="K731" s="245" t="s">
        <v>3344</v>
      </c>
      <c r="L731" s="230" t="s">
        <v>2396</v>
      </c>
      <c r="M731" s="245" t="s">
        <v>4519</v>
      </c>
      <c r="N731" s="245" t="s">
        <v>3289</v>
      </c>
      <c r="O731" s="158"/>
      <c r="P731" s="92"/>
      <c r="Q731" s="146"/>
      <c r="R731" s="92"/>
      <c r="S731" s="146"/>
      <c r="T731" s="92"/>
      <c r="U731" s="146"/>
      <c r="V731" s="92"/>
      <c r="W731" s="146"/>
      <c r="X731" s="92"/>
      <c r="Y731" s="146"/>
      <c r="Z731" s="186" t="str">
        <f t="shared" si="48"/>
        <v/>
      </c>
      <c r="AA731" s="217" t="b">
        <f t="shared" si="47"/>
        <v>0</v>
      </c>
      <c r="AB731" s="92"/>
      <c r="AC731" s="164" t="s">
        <v>6</v>
      </c>
      <c r="AD731" s="151" t="str">
        <f t="shared" si="45"/>
        <v>GUARULHOS</v>
      </c>
      <c r="AE731" s="96" t="s">
        <v>63</v>
      </c>
      <c r="AF731" s="53">
        <v>0.35379248314728257</v>
      </c>
      <c r="AG731" s="53" t="str" cm="1">
        <f t="array" ref="AG731">IF(OR(O731&lt;&gt;"", SUMPRODUCT(($AH$2:$AH$4999=AH731)*($AF$2:$AF$4999&lt;=AF731)) &lt;= (COUNTIF($AH$2:$AH$4999,AH731)*0.3)), "SORTEADO", "-")</f>
        <v>-</v>
      </c>
      <c r="AH731" s="257" t="str">
        <f t="shared" si="46"/>
        <v>29/04/2026</v>
      </c>
    </row>
    <row r="732" spans="1:34" ht="30" hidden="1" customHeight="1" x14ac:dyDescent="0.2">
      <c r="A732" s="245" t="s">
        <v>197</v>
      </c>
      <c r="B732" s="245">
        <v>2691781891</v>
      </c>
      <c r="C732" s="245" t="s">
        <v>133</v>
      </c>
      <c r="D732" s="245" t="s">
        <v>124</v>
      </c>
      <c r="E732" s="245" t="s">
        <v>198</v>
      </c>
      <c r="F732" s="245" t="s">
        <v>829</v>
      </c>
      <c r="G732" s="245">
        <v>1218</v>
      </c>
      <c r="H732" s="245" t="s">
        <v>276</v>
      </c>
      <c r="I732" s="245" t="s">
        <v>664</v>
      </c>
      <c r="J732" s="245" t="s">
        <v>3275</v>
      </c>
      <c r="K732" s="245" t="s">
        <v>3344</v>
      </c>
      <c r="L732" s="230" t="s">
        <v>2396</v>
      </c>
      <c r="M732" s="245" t="s">
        <v>4520</v>
      </c>
      <c r="N732" s="245" t="s">
        <v>3289</v>
      </c>
      <c r="O732" s="158"/>
      <c r="P732" s="92"/>
      <c r="Q732" s="146"/>
      <c r="R732" s="92"/>
      <c r="S732" s="146"/>
      <c r="T732" s="92"/>
      <c r="U732" s="146"/>
      <c r="V732" s="92"/>
      <c r="W732" s="146"/>
      <c r="X732" s="92"/>
      <c r="Y732" s="146"/>
      <c r="Z732" s="186" t="str">
        <f t="shared" si="48"/>
        <v/>
      </c>
      <c r="AA732" s="217" t="b">
        <f t="shared" si="47"/>
        <v>0</v>
      </c>
      <c r="AB732" s="92"/>
      <c r="AC732" s="164" t="s">
        <v>6</v>
      </c>
      <c r="AD732" s="151" t="str">
        <f t="shared" si="45"/>
        <v>GUARULHOS</v>
      </c>
      <c r="AE732" s="96" t="s">
        <v>63</v>
      </c>
      <c r="AF732" s="53">
        <v>0.66065901400611604</v>
      </c>
      <c r="AG732" s="53" t="str" cm="1">
        <f t="array" ref="AG732">IF(OR(O732&lt;&gt;"", SUMPRODUCT(($AH$2:$AH$4999=AH732)*($AF$2:$AF$4999&lt;=AF732)) &lt;= (COUNTIF($AH$2:$AH$4999,AH732)*0.3)), "SORTEADO", "-")</f>
        <v>-</v>
      </c>
      <c r="AH732" s="257" t="str">
        <f t="shared" si="46"/>
        <v>29/04/2026</v>
      </c>
    </row>
    <row r="733" spans="1:34" ht="30" hidden="1" customHeight="1" x14ac:dyDescent="0.2">
      <c r="A733" s="245" t="s">
        <v>197</v>
      </c>
      <c r="B733" s="245">
        <v>2691795913</v>
      </c>
      <c r="C733" s="245" t="s">
        <v>133</v>
      </c>
      <c r="D733" s="245" t="s">
        <v>124</v>
      </c>
      <c r="E733" s="245" t="s">
        <v>198</v>
      </c>
      <c r="F733" s="245" t="s">
        <v>1808</v>
      </c>
      <c r="G733" s="245">
        <v>120</v>
      </c>
      <c r="H733" s="245" t="s">
        <v>213</v>
      </c>
      <c r="I733" s="245" t="s">
        <v>1809</v>
      </c>
      <c r="J733" s="245" t="s">
        <v>3275</v>
      </c>
      <c r="K733" s="245" t="s">
        <v>4521</v>
      </c>
      <c r="L733" s="230" t="s">
        <v>2396</v>
      </c>
      <c r="M733" s="245" t="s">
        <v>4522</v>
      </c>
      <c r="N733" s="245" t="s">
        <v>3289</v>
      </c>
      <c r="O733" s="158"/>
      <c r="P733" s="92"/>
      <c r="Q733" s="146"/>
      <c r="R733" s="92"/>
      <c r="S733" s="146"/>
      <c r="T733" s="92"/>
      <c r="U733" s="146"/>
      <c r="V733" s="92"/>
      <c r="W733" s="146"/>
      <c r="X733" s="92"/>
      <c r="Y733" s="146"/>
      <c r="Z733" s="186" t="str">
        <f t="shared" si="48"/>
        <v/>
      </c>
      <c r="AA733" s="217" t="b">
        <f t="shared" si="47"/>
        <v>0</v>
      </c>
      <c r="AB733" s="92"/>
      <c r="AC733" s="164" t="s">
        <v>6</v>
      </c>
      <c r="AD733" s="151" t="str">
        <f t="shared" si="45"/>
        <v>GUARULHOS</v>
      </c>
      <c r="AE733" s="96" t="s">
        <v>63</v>
      </c>
      <c r="AF733" s="53">
        <v>0.5551675841409448</v>
      </c>
      <c r="AG733" s="53" t="str" cm="1">
        <f t="array" ref="AG733">IF(OR(O733&lt;&gt;"", SUMPRODUCT(($AH$2:$AH$4999=AH733)*($AF$2:$AF$4999&lt;=AF733)) &lt;= (COUNTIF($AH$2:$AH$4999,AH733)*0.3)), "SORTEADO", "-")</f>
        <v>-</v>
      </c>
      <c r="AH733" s="257" t="str">
        <f t="shared" si="46"/>
        <v>29/04/2026</v>
      </c>
    </row>
    <row r="734" spans="1:34" ht="30" customHeight="1" x14ac:dyDescent="0.2">
      <c r="A734" s="245" t="s">
        <v>197</v>
      </c>
      <c r="B734" s="245">
        <v>2691838088</v>
      </c>
      <c r="C734" s="245" t="s">
        <v>133</v>
      </c>
      <c r="D734" s="245" t="s">
        <v>124</v>
      </c>
      <c r="E734" s="245" t="s">
        <v>198</v>
      </c>
      <c r="F734" s="245" t="s">
        <v>4523</v>
      </c>
      <c r="G734" s="245">
        <v>237</v>
      </c>
      <c r="H734" s="245" t="s">
        <v>3312</v>
      </c>
      <c r="I734" s="245" t="s">
        <v>4524</v>
      </c>
      <c r="J734" s="245" t="s">
        <v>3275</v>
      </c>
      <c r="K734" s="245" t="s">
        <v>4521</v>
      </c>
      <c r="L734" s="230" t="s">
        <v>2396</v>
      </c>
      <c r="M734" s="245" t="s">
        <v>4525</v>
      </c>
      <c r="N734" s="245" t="s">
        <v>3289</v>
      </c>
      <c r="O734" s="158" t="s">
        <v>204</v>
      </c>
      <c r="P734" s="92"/>
      <c r="Q734" s="146" t="s">
        <v>204</v>
      </c>
      <c r="R734" s="92"/>
      <c r="S734" s="146" t="s">
        <v>204</v>
      </c>
      <c r="T734" s="92"/>
      <c r="U734" s="146" t="s">
        <v>204</v>
      </c>
      <c r="V734" s="92"/>
      <c r="W734" s="146" t="s">
        <v>204</v>
      </c>
      <c r="X734" s="92"/>
      <c r="Y734" s="146" t="s">
        <v>204</v>
      </c>
      <c r="Z734" s="186" t="str">
        <f t="shared" si="48"/>
        <v>C</v>
      </c>
      <c r="AA734" s="217" t="str">
        <f t="shared" si="47"/>
        <v>UTILIZOU O PDA CORRETAMENTE</v>
      </c>
      <c r="AB734" s="92" t="s">
        <v>204</v>
      </c>
      <c r="AC734" s="164" t="s">
        <v>6</v>
      </c>
      <c r="AD734" s="151" t="str">
        <f t="shared" si="45"/>
        <v>GUARULHOS</v>
      </c>
      <c r="AE734" s="96" t="s">
        <v>63</v>
      </c>
      <c r="AF734" s="53">
        <v>0.18087122948014667</v>
      </c>
      <c r="AG734" s="53" t="str" cm="1">
        <f t="array" ref="AG734">IF(OR(O734&lt;&gt;"", SUMPRODUCT(($AH$2:$AH$4999=AH734)*($AF$2:$AF$4999&lt;=AF734)) &lt;= (COUNTIF($AH$2:$AH$4999,AH734)*0.3)), "SORTEADO", "-")</f>
        <v>SORTEADO</v>
      </c>
      <c r="AH734" s="257" t="str">
        <f t="shared" si="46"/>
        <v>29/04/2026</v>
      </c>
    </row>
    <row r="735" spans="1:34" ht="30" hidden="1" customHeight="1" x14ac:dyDescent="0.2">
      <c r="A735" s="245" t="s">
        <v>197</v>
      </c>
      <c r="B735" s="245">
        <v>2691871576</v>
      </c>
      <c r="C735" s="245" t="s">
        <v>133</v>
      </c>
      <c r="D735" s="245" t="s">
        <v>124</v>
      </c>
      <c r="E735" s="245" t="s">
        <v>198</v>
      </c>
      <c r="F735" s="245" t="s">
        <v>4526</v>
      </c>
      <c r="G735" s="245">
        <v>241</v>
      </c>
      <c r="H735" s="245" t="s">
        <v>213</v>
      </c>
      <c r="I735" s="245" t="s">
        <v>557</v>
      </c>
      <c r="J735" s="245" t="s">
        <v>3275</v>
      </c>
      <c r="K735" s="245" t="s">
        <v>213</v>
      </c>
      <c r="L735" s="230" t="s">
        <v>2396</v>
      </c>
      <c r="M735" s="245" t="s">
        <v>2474</v>
      </c>
      <c r="N735" s="245" t="s">
        <v>3289</v>
      </c>
      <c r="O735" s="158"/>
      <c r="P735" s="92"/>
      <c r="Q735" s="146"/>
      <c r="R735" s="92"/>
      <c r="S735" s="146"/>
      <c r="T735" s="92"/>
      <c r="U735" s="146"/>
      <c r="V735" s="92"/>
      <c r="W735" s="146"/>
      <c r="X735" s="92"/>
      <c r="Y735" s="146"/>
      <c r="Z735" s="186" t="str">
        <f t="shared" si="48"/>
        <v/>
      </c>
      <c r="AA735" s="217" t="b">
        <f t="shared" si="47"/>
        <v>0</v>
      </c>
      <c r="AB735" s="92"/>
      <c r="AC735" s="164" t="s">
        <v>6</v>
      </c>
      <c r="AD735" s="151" t="str">
        <f t="shared" ref="AD735:AD774" si="49">E735</f>
        <v>GUARULHOS</v>
      </c>
      <c r="AE735" s="96" t="s">
        <v>63</v>
      </c>
      <c r="AF735" s="53">
        <v>0.68294205809040898</v>
      </c>
      <c r="AG735" s="53" t="str" cm="1">
        <f t="array" ref="AG735">IF(OR(O735&lt;&gt;"", SUMPRODUCT(($AH$2:$AH$4999=AH735)*($AF$2:$AF$4999&lt;=AF735)) &lt;= (COUNTIF($AH$2:$AH$4999,AH735)*0.3)), "SORTEADO", "-")</f>
        <v>-</v>
      </c>
      <c r="AH735" s="257" t="str">
        <f t="shared" si="46"/>
        <v>29/04/2026</v>
      </c>
    </row>
    <row r="736" spans="1:34" ht="30" hidden="1" customHeight="1" x14ac:dyDescent="0.2">
      <c r="A736" s="245" t="s">
        <v>197</v>
      </c>
      <c r="B736" s="245">
        <v>2617788619</v>
      </c>
      <c r="C736" s="245" t="s">
        <v>135</v>
      </c>
      <c r="D736" s="245" t="s">
        <v>124</v>
      </c>
      <c r="E736" s="245" t="s">
        <v>198</v>
      </c>
      <c r="F736" s="245" t="s">
        <v>1424</v>
      </c>
      <c r="G736" s="245">
        <v>16</v>
      </c>
      <c r="H736" s="245"/>
      <c r="I736" s="245" t="s">
        <v>258</v>
      </c>
      <c r="J736" s="245" t="s">
        <v>3280</v>
      </c>
      <c r="K736" s="245" t="s">
        <v>4527</v>
      </c>
      <c r="L736" s="230" t="s">
        <v>2396</v>
      </c>
      <c r="M736" s="245" t="s">
        <v>4509</v>
      </c>
      <c r="N736" s="245" t="s">
        <v>271</v>
      </c>
      <c r="O736" s="158"/>
      <c r="P736" s="92"/>
      <c r="Q736" s="146"/>
      <c r="R736" s="92"/>
      <c r="S736" s="146"/>
      <c r="T736" s="92"/>
      <c r="U736" s="146"/>
      <c r="V736" s="92"/>
      <c r="W736" s="146"/>
      <c r="X736" s="92"/>
      <c r="Y736" s="146"/>
      <c r="Z736" s="186" t="str">
        <f t="shared" si="48"/>
        <v/>
      </c>
      <c r="AA736" s="217" t="b">
        <f t="shared" si="47"/>
        <v>0</v>
      </c>
      <c r="AB736" s="92"/>
      <c r="AC736" s="164" t="s">
        <v>6</v>
      </c>
      <c r="AD736" s="151" t="str">
        <f t="shared" si="49"/>
        <v>GUARULHOS</v>
      </c>
      <c r="AE736" s="96" t="s">
        <v>63</v>
      </c>
      <c r="AF736" s="53">
        <v>0.66866324887216366</v>
      </c>
      <c r="AG736" s="53" t="str" cm="1">
        <f t="array" ref="AG736">IF(OR(O736&lt;&gt;"", SUMPRODUCT(($AH$2:$AH$4999=AH736)*($AF$2:$AF$4999&lt;=AF736)) &lt;= (COUNTIF($AH$2:$AH$4999,AH736)*0.3)), "SORTEADO", "-")</f>
        <v>-</v>
      </c>
      <c r="AH736" s="257" t="str">
        <f t="shared" si="46"/>
        <v>29/04/2026</v>
      </c>
    </row>
    <row r="737" spans="1:34" ht="30" customHeight="1" x14ac:dyDescent="0.2">
      <c r="A737" s="245" t="s">
        <v>197</v>
      </c>
      <c r="B737" s="245">
        <v>2691883072</v>
      </c>
      <c r="C737" s="245" t="s">
        <v>133</v>
      </c>
      <c r="D737" s="245" t="s">
        <v>124</v>
      </c>
      <c r="E737" s="245" t="s">
        <v>198</v>
      </c>
      <c r="F737" s="245" t="s">
        <v>1930</v>
      </c>
      <c r="G737" s="245">
        <v>1157</v>
      </c>
      <c r="H737" s="245" t="s">
        <v>213</v>
      </c>
      <c r="I737" s="245" t="s">
        <v>650</v>
      </c>
      <c r="J737" s="245" t="s">
        <v>3275</v>
      </c>
      <c r="K737" s="245" t="s">
        <v>4528</v>
      </c>
      <c r="L737" s="230" t="s">
        <v>2396</v>
      </c>
      <c r="M737" s="245" t="s">
        <v>4529</v>
      </c>
      <c r="N737" s="245" t="s">
        <v>3289</v>
      </c>
      <c r="O737" s="158" t="s">
        <v>204</v>
      </c>
      <c r="P737" s="92"/>
      <c r="Q737" s="146" t="s">
        <v>204</v>
      </c>
      <c r="R737" s="92"/>
      <c r="S737" s="146" t="s">
        <v>204</v>
      </c>
      <c r="T737" s="92"/>
      <c r="U737" s="146" t="s">
        <v>204</v>
      </c>
      <c r="V737" s="92"/>
      <c r="W737" s="146" t="s">
        <v>204</v>
      </c>
      <c r="X737" s="92"/>
      <c r="Y737" s="146" t="s">
        <v>204</v>
      </c>
      <c r="Z737" s="186" t="str">
        <f t="shared" si="48"/>
        <v>C</v>
      </c>
      <c r="AA737" s="217" t="str">
        <f t="shared" si="47"/>
        <v>UTILIZOU O PDA CORRETAMENTE</v>
      </c>
      <c r="AB737" s="92" t="s">
        <v>204</v>
      </c>
      <c r="AC737" s="164" t="s">
        <v>6</v>
      </c>
      <c r="AD737" s="151" t="str">
        <f t="shared" si="49"/>
        <v>GUARULHOS</v>
      </c>
      <c r="AE737" s="96" t="s">
        <v>63</v>
      </c>
      <c r="AF737" s="53">
        <v>0.20492420400080413</v>
      </c>
      <c r="AG737" s="53" t="str" cm="1">
        <f t="array" ref="AG737">IF(OR(O737&lt;&gt;"", SUMPRODUCT(($AH$2:$AH$4999=AH737)*($AF$2:$AF$4999&lt;=AF737)) &lt;= (COUNTIF($AH$2:$AH$4999,AH737)*0.3)), "SORTEADO", "-")</f>
        <v>SORTEADO</v>
      </c>
      <c r="AH737" s="257" t="str">
        <f t="shared" si="46"/>
        <v>29/04/2026</v>
      </c>
    </row>
    <row r="738" spans="1:34" ht="30" hidden="1" customHeight="1" x14ac:dyDescent="0.2">
      <c r="A738" s="253" t="s">
        <v>197</v>
      </c>
      <c r="B738" s="253">
        <v>2617972201</v>
      </c>
      <c r="C738" s="253" t="s">
        <v>127</v>
      </c>
      <c r="D738" s="253" t="s">
        <v>63</v>
      </c>
      <c r="E738" s="253" t="s">
        <v>198</v>
      </c>
      <c r="F738" s="253" t="s">
        <v>2523</v>
      </c>
      <c r="G738" s="253">
        <v>32</v>
      </c>
      <c r="H738" s="253" t="s">
        <v>4530</v>
      </c>
      <c r="I738" s="253" t="s">
        <v>1150</v>
      </c>
      <c r="J738" s="253" t="s">
        <v>3271</v>
      </c>
      <c r="K738" s="253" t="s">
        <v>4531</v>
      </c>
      <c r="L738" s="242" t="s">
        <v>2396</v>
      </c>
      <c r="M738" s="253" t="s">
        <v>4532</v>
      </c>
      <c r="N738" s="253" t="s">
        <v>615</v>
      </c>
      <c r="O738" s="158"/>
      <c r="P738" s="92"/>
      <c r="Q738" s="146"/>
      <c r="R738" s="92"/>
      <c r="S738" s="146"/>
      <c r="T738" s="92"/>
      <c r="U738" s="146"/>
      <c r="V738" s="92"/>
      <c r="W738" s="146"/>
      <c r="X738" s="92"/>
      <c r="Y738" s="146"/>
      <c r="Z738" s="186" t="str">
        <f t="shared" si="48"/>
        <v/>
      </c>
      <c r="AA738" s="217" t="b">
        <f t="shared" si="47"/>
        <v>0</v>
      </c>
      <c r="AB738" s="92"/>
      <c r="AC738" s="164" t="s">
        <v>6</v>
      </c>
      <c r="AD738" s="151" t="str">
        <f t="shared" si="49"/>
        <v>GUARULHOS</v>
      </c>
      <c r="AE738" s="96" t="s">
        <v>63</v>
      </c>
      <c r="AF738" s="53">
        <v>0.69240576191147218</v>
      </c>
      <c r="AG738" s="53" t="str" cm="1">
        <f t="array" ref="AG738">IF(OR(O738&lt;&gt;"", SUMPRODUCT(($AH$2:$AH$4999=AH738)*($AF$2:$AF$4999&lt;=AF738)) &lt;= (COUNTIF($AH$2:$AH$4999,AH738)*0.3)), "SORTEADO", "-")</f>
        <v>-</v>
      </c>
      <c r="AH738" s="257" t="str">
        <f t="shared" si="46"/>
        <v>29/04/2026</v>
      </c>
    </row>
    <row r="739" spans="1:34" ht="30" hidden="1" customHeight="1" x14ac:dyDescent="0.2">
      <c r="A739" s="245" t="s">
        <v>197</v>
      </c>
      <c r="B739" s="245">
        <v>2617972757</v>
      </c>
      <c r="C739" s="245" t="s">
        <v>126</v>
      </c>
      <c r="D739" s="245" t="s">
        <v>63</v>
      </c>
      <c r="E739" s="245" t="s">
        <v>198</v>
      </c>
      <c r="F739" s="245" t="s">
        <v>4533</v>
      </c>
      <c r="G739" s="245">
        <v>118</v>
      </c>
      <c r="H739" s="245" t="s">
        <v>213</v>
      </c>
      <c r="I739" s="245" t="s">
        <v>2548</v>
      </c>
      <c r="J739" s="245" t="s">
        <v>3273</v>
      </c>
      <c r="K739" s="245" t="s">
        <v>4534</v>
      </c>
      <c r="L739" s="230" t="s">
        <v>2516</v>
      </c>
      <c r="M739" s="245" t="s">
        <v>4535</v>
      </c>
      <c r="N739" s="245" t="s">
        <v>1099</v>
      </c>
      <c r="O739" s="158"/>
      <c r="P739" s="92"/>
      <c r="Q739" s="146"/>
      <c r="R739" s="92"/>
      <c r="S739" s="146"/>
      <c r="T739" s="92"/>
      <c r="U739" s="146"/>
      <c r="V739" s="92"/>
      <c r="W739" s="146"/>
      <c r="X739" s="92"/>
      <c r="Y739" s="146"/>
      <c r="Z739" s="186" t="str">
        <f t="shared" si="48"/>
        <v/>
      </c>
      <c r="AA739" s="217" t="b">
        <f t="shared" si="47"/>
        <v>0</v>
      </c>
      <c r="AB739" s="92"/>
      <c r="AC739" s="164" t="s">
        <v>6</v>
      </c>
      <c r="AD739" s="151" t="str">
        <f t="shared" si="49"/>
        <v>GUARULHOS</v>
      </c>
      <c r="AE739" s="96" t="s">
        <v>63</v>
      </c>
      <c r="AF739" s="53">
        <v>0.93259069375416259</v>
      </c>
      <c r="AG739" s="53" t="str" cm="1">
        <f t="array" ref="AG739">IF(OR(O739&lt;&gt;"", SUMPRODUCT(($AH$2:$AH$4999=AH739)*($AF$2:$AF$4999&lt;=AF739)) &lt;= (COUNTIF($AH$2:$AH$4999,AH739)*0.3)), "SORTEADO", "-")</f>
        <v>-</v>
      </c>
      <c r="AH739" s="257" t="str">
        <f t="shared" si="46"/>
        <v>30/04/2026</v>
      </c>
    </row>
    <row r="740" spans="1:34" ht="30" customHeight="1" x14ac:dyDescent="0.2">
      <c r="A740" s="245" t="s">
        <v>197</v>
      </c>
      <c r="B740" s="245">
        <v>2617973267</v>
      </c>
      <c r="C740" s="245" t="s">
        <v>130</v>
      </c>
      <c r="D740" s="245" t="s">
        <v>63</v>
      </c>
      <c r="E740" s="245" t="s">
        <v>198</v>
      </c>
      <c r="F740" s="245" t="s">
        <v>4536</v>
      </c>
      <c r="G740" s="245">
        <v>101</v>
      </c>
      <c r="H740" s="245"/>
      <c r="I740" s="245" t="s">
        <v>4537</v>
      </c>
      <c r="J740" s="245" t="s">
        <v>3271</v>
      </c>
      <c r="K740" s="245"/>
      <c r="L740" s="230" t="s">
        <v>2516</v>
      </c>
      <c r="M740" s="245" t="s">
        <v>4538</v>
      </c>
      <c r="N740" s="245" t="s">
        <v>1099</v>
      </c>
      <c r="O740" s="158" t="s">
        <v>204</v>
      </c>
      <c r="P740" s="92"/>
      <c r="Q740" s="146" t="s">
        <v>204</v>
      </c>
      <c r="R740" s="92"/>
      <c r="S740" s="146" t="s">
        <v>204</v>
      </c>
      <c r="T740" s="92"/>
      <c r="U740" s="146" t="s">
        <v>204</v>
      </c>
      <c r="V740" s="92"/>
      <c r="W740" s="146" t="s">
        <v>204</v>
      </c>
      <c r="X740" s="92"/>
      <c r="Y740" s="146" t="s">
        <v>204</v>
      </c>
      <c r="Z740" s="186" t="str">
        <f t="shared" si="48"/>
        <v>C</v>
      </c>
      <c r="AA740" s="217" t="str">
        <f t="shared" si="47"/>
        <v>UTILIZOU O PDA CORRETAMENTE</v>
      </c>
      <c r="AB740" s="92" t="s">
        <v>204</v>
      </c>
      <c r="AC740" s="164" t="s">
        <v>6</v>
      </c>
      <c r="AD740" s="151" t="str">
        <f t="shared" si="49"/>
        <v>GUARULHOS</v>
      </c>
      <c r="AE740" s="96" t="s">
        <v>63</v>
      </c>
      <c r="AF740" s="53">
        <v>0.13214709175592668</v>
      </c>
      <c r="AG740" s="53" t="str" cm="1">
        <f t="array" ref="AG740">IF(OR(O740&lt;&gt;"", SUMPRODUCT(($AH$2:$AH$4999=AH740)*($AF$2:$AF$4999&lt;=AF740)) &lt;= (COUNTIF($AH$2:$AH$4999,AH740)*0.3)), "SORTEADO", "-")</f>
        <v>SORTEADO</v>
      </c>
      <c r="AH740" s="257" t="str">
        <f t="shared" si="46"/>
        <v>30/04/2026</v>
      </c>
    </row>
    <row r="741" spans="1:34" ht="30" customHeight="1" x14ac:dyDescent="0.2">
      <c r="A741" s="245" t="s">
        <v>197</v>
      </c>
      <c r="B741" s="245">
        <v>2691949658</v>
      </c>
      <c r="C741" s="245" t="s">
        <v>127</v>
      </c>
      <c r="D741" s="245" t="s">
        <v>63</v>
      </c>
      <c r="E741" s="245" t="s">
        <v>198</v>
      </c>
      <c r="F741" s="245" t="s">
        <v>697</v>
      </c>
      <c r="G741" s="245">
        <v>349</v>
      </c>
      <c r="H741" s="245" t="s">
        <v>235</v>
      </c>
      <c r="I741" s="245" t="s">
        <v>262</v>
      </c>
      <c r="J741" s="245" t="s">
        <v>3271</v>
      </c>
      <c r="K741" s="245"/>
      <c r="L741" s="230" t="s">
        <v>2516</v>
      </c>
      <c r="M741" s="245" t="s">
        <v>2593</v>
      </c>
      <c r="N741" s="245" t="s">
        <v>1099</v>
      </c>
      <c r="O741" s="158" t="s">
        <v>204</v>
      </c>
      <c r="P741" s="92"/>
      <c r="Q741" s="146" t="s">
        <v>204</v>
      </c>
      <c r="R741" s="92"/>
      <c r="S741" s="146" t="s">
        <v>204</v>
      </c>
      <c r="T741" s="92"/>
      <c r="U741" s="146" t="s">
        <v>204</v>
      </c>
      <c r="V741" s="92"/>
      <c r="W741" s="146" t="s">
        <v>204</v>
      </c>
      <c r="X741" s="92"/>
      <c r="Y741" s="146" t="s">
        <v>204</v>
      </c>
      <c r="Z741" s="186" t="str">
        <f t="shared" si="48"/>
        <v>C</v>
      </c>
      <c r="AA741" s="217" t="str">
        <f t="shared" si="47"/>
        <v>UTILIZOU O PDA CORRETAMENTE</v>
      </c>
      <c r="AB741" s="92" t="s">
        <v>204</v>
      </c>
      <c r="AC741" s="164" t="s">
        <v>6</v>
      </c>
      <c r="AD741" s="151" t="str">
        <f t="shared" si="49"/>
        <v>GUARULHOS</v>
      </c>
      <c r="AE741" s="96" t="s">
        <v>63</v>
      </c>
      <c r="AF741" s="53">
        <v>0.21150433446881345</v>
      </c>
      <c r="AG741" s="53" t="str" cm="1">
        <f t="array" ref="AG741">IF(OR(O741&lt;&gt;"", SUMPRODUCT(($AH$2:$AH$4999=AH741)*($AF$2:$AF$4999&lt;=AF741)) &lt;= (COUNTIF($AH$2:$AH$4999,AH741)*0.3)), "SORTEADO", "-")</f>
        <v>SORTEADO</v>
      </c>
      <c r="AH741" s="257" t="str">
        <f t="shared" si="46"/>
        <v>30/04/2026</v>
      </c>
    </row>
    <row r="742" spans="1:34" ht="30" customHeight="1" x14ac:dyDescent="0.2">
      <c r="A742" s="245" t="s">
        <v>197</v>
      </c>
      <c r="B742" s="245">
        <v>2691936347</v>
      </c>
      <c r="C742" s="245" t="s">
        <v>127</v>
      </c>
      <c r="D742" s="245" t="s">
        <v>63</v>
      </c>
      <c r="E742" s="245" t="s">
        <v>198</v>
      </c>
      <c r="F742" s="245" t="s">
        <v>4539</v>
      </c>
      <c r="G742" s="245">
        <v>135</v>
      </c>
      <c r="H742" s="245" t="s">
        <v>4540</v>
      </c>
      <c r="I742" s="245" t="s">
        <v>3299</v>
      </c>
      <c r="J742" s="245" t="s">
        <v>3275</v>
      </c>
      <c r="K742" s="245" t="s">
        <v>213</v>
      </c>
      <c r="L742" s="230" t="s">
        <v>2516</v>
      </c>
      <c r="M742" s="245" t="s">
        <v>2519</v>
      </c>
      <c r="N742" s="245" t="s">
        <v>294</v>
      </c>
      <c r="O742" s="158" t="s">
        <v>204</v>
      </c>
      <c r="P742" s="92"/>
      <c r="Q742" s="146" t="s">
        <v>204</v>
      </c>
      <c r="R742" s="92"/>
      <c r="S742" s="146" t="s">
        <v>204</v>
      </c>
      <c r="T742" s="92"/>
      <c r="U742" s="146" t="s">
        <v>204</v>
      </c>
      <c r="V742" s="92"/>
      <c r="W742" s="146" t="s">
        <v>204</v>
      </c>
      <c r="X742" s="92"/>
      <c r="Y742" s="146" t="s">
        <v>204</v>
      </c>
      <c r="Z742" s="186" t="str">
        <f t="shared" si="48"/>
        <v>C</v>
      </c>
      <c r="AA742" s="217" t="str">
        <f t="shared" si="47"/>
        <v>UTILIZOU O PDA CORRETAMENTE</v>
      </c>
      <c r="AB742" s="92" t="s">
        <v>204</v>
      </c>
      <c r="AC742" s="164" t="s">
        <v>6</v>
      </c>
      <c r="AD742" s="151" t="str">
        <f t="shared" si="49"/>
        <v>GUARULHOS</v>
      </c>
      <c r="AE742" s="96" t="s">
        <v>63</v>
      </c>
      <c r="AF742" s="53">
        <v>6.0588913026512238E-2</v>
      </c>
      <c r="AG742" s="53" t="str" cm="1">
        <f t="array" ref="AG742">IF(OR(O742&lt;&gt;"", SUMPRODUCT(($AH$2:$AH$4999=AH742)*($AF$2:$AF$4999&lt;=AF742)) &lt;= (COUNTIF($AH$2:$AH$4999,AH742)*0.3)), "SORTEADO", "-")</f>
        <v>SORTEADO</v>
      </c>
      <c r="AH742" s="257" t="str">
        <f t="shared" si="46"/>
        <v>30/04/2026</v>
      </c>
    </row>
    <row r="743" spans="1:34" ht="30" hidden="1" customHeight="1" x14ac:dyDescent="0.2">
      <c r="A743" s="245" t="s">
        <v>197</v>
      </c>
      <c r="B743" s="245">
        <v>2691912461</v>
      </c>
      <c r="C743" s="245" t="s">
        <v>127</v>
      </c>
      <c r="D743" s="245" t="s">
        <v>63</v>
      </c>
      <c r="E743" s="245" t="s">
        <v>198</v>
      </c>
      <c r="F743" s="245" t="s">
        <v>4541</v>
      </c>
      <c r="G743" s="245">
        <v>28</v>
      </c>
      <c r="H743" s="245" t="s">
        <v>362</v>
      </c>
      <c r="I743" s="245" t="s">
        <v>200</v>
      </c>
      <c r="J743" s="245" t="s">
        <v>3275</v>
      </c>
      <c r="K743" s="245"/>
      <c r="L743" s="230" t="s">
        <v>2516</v>
      </c>
      <c r="M743" s="245" t="s">
        <v>4542</v>
      </c>
      <c r="N743" s="245" t="s">
        <v>3276</v>
      </c>
      <c r="O743" s="158"/>
      <c r="P743" s="92"/>
      <c r="Q743" s="146"/>
      <c r="R743" s="92"/>
      <c r="S743" s="146"/>
      <c r="T743" s="92"/>
      <c r="U743" s="146"/>
      <c r="V743" s="92"/>
      <c r="W743" s="146"/>
      <c r="X743" s="92"/>
      <c r="Y743" s="146"/>
      <c r="Z743" s="186" t="str">
        <f t="shared" si="48"/>
        <v/>
      </c>
      <c r="AA743" s="217" t="b">
        <f t="shared" si="47"/>
        <v>0</v>
      </c>
      <c r="AB743" s="92"/>
      <c r="AC743" s="164" t="s">
        <v>6</v>
      </c>
      <c r="AD743" s="151" t="str">
        <f t="shared" si="49"/>
        <v>GUARULHOS</v>
      </c>
      <c r="AE743" s="96" t="s">
        <v>63</v>
      </c>
      <c r="AF743" s="53">
        <v>0.45960733820150895</v>
      </c>
      <c r="AG743" s="53" t="str" cm="1">
        <f t="array" ref="AG743">IF(OR(O743&lt;&gt;"", SUMPRODUCT(($AH$2:$AH$4999=AH743)*($AF$2:$AF$4999&lt;=AF743)) &lt;= (COUNTIF($AH$2:$AH$4999,AH743)*0.3)), "SORTEADO", "-")</f>
        <v>-</v>
      </c>
      <c r="AH743" s="257" t="str">
        <f t="shared" si="46"/>
        <v>30/04/2026</v>
      </c>
    </row>
    <row r="744" spans="1:34" ht="30" hidden="1" customHeight="1" x14ac:dyDescent="0.2">
      <c r="A744" s="245" t="s">
        <v>197</v>
      </c>
      <c r="B744" s="245">
        <v>2691990305</v>
      </c>
      <c r="C744" s="245" t="s">
        <v>127</v>
      </c>
      <c r="D744" s="245" t="s">
        <v>63</v>
      </c>
      <c r="E744" s="245" t="s">
        <v>198</v>
      </c>
      <c r="F744" s="245" t="s">
        <v>1318</v>
      </c>
      <c r="G744" s="245">
        <v>398</v>
      </c>
      <c r="H744" s="245" t="s">
        <v>211</v>
      </c>
      <c r="I744" s="245" t="s">
        <v>200</v>
      </c>
      <c r="J744" s="245" t="s">
        <v>3275</v>
      </c>
      <c r="K744" s="245" t="s">
        <v>213</v>
      </c>
      <c r="L744" s="230" t="s">
        <v>2516</v>
      </c>
      <c r="M744" s="245" t="s">
        <v>4543</v>
      </c>
      <c r="N744" s="245" t="s">
        <v>3276</v>
      </c>
      <c r="O744" s="158"/>
      <c r="P744" s="92"/>
      <c r="Q744" s="146"/>
      <c r="R744" s="92"/>
      <c r="S744" s="146"/>
      <c r="T744" s="92"/>
      <c r="U744" s="146"/>
      <c r="V744" s="92"/>
      <c r="W744" s="146"/>
      <c r="X744" s="92"/>
      <c r="Y744" s="146"/>
      <c r="Z744" s="186" t="str">
        <f t="shared" si="48"/>
        <v/>
      </c>
      <c r="AA744" s="217" t="b">
        <f t="shared" si="47"/>
        <v>0</v>
      </c>
      <c r="AB744" s="92"/>
      <c r="AC744" s="164" t="s">
        <v>6</v>
      </c>
      <c r="AD744" s="151" t="str">
        <f t="shared" si="49"/>
        <v>GUARULHOS</v>
      </c>
      <c r="AE744" s="96" t="s">
        <v>63</v>
      </c>
      <c r="AF744" s="53">
        <v>0.76788299228392154</v>
      </c>
      <c r="AG744" s="53" t="str" cm="1">
        <f t="array" ref="AG744">IF(OR(O744&lt;&gt;"", SUMPRODUCT(($AH$2:$AH$4999=AH744)*($AF$2:$AF$4999&lt;=AF744)) &lt;= (COUNTIF($AH$2:$AH$4999,AH744)*0.3)), "SORTEADO", "-")</f>
        <v>-</v>
      </c>
      <c r="AH744" s="257" t="str">
        <f t="shared" ref="AH744:AH774" si="50">TEXT(L744, "dd/mm/aaaa")</f>
        <v>30/04/2026</v>
      </c>
    </row>
    <row r="745" spans="1:34" ht="30" hidden="1" customHeight="1" x14ac:dyDescent="0.2">
      <c r="A745" s="245" t="s">
        <v>197</v>
      </c>
      <c r="B745" s="245">
        <v>2618039581</v>
      </c>
      <c r="C745" s="245" t="s">
        <v>127</v>
      </c>
      <c r="D745" s="245" t="s">
        <v>63</v>
      </c>
      <c r="E745" s="245" t="s">
        <v>198</v>
      </c>
      <c r="F745" s="245" t="s">
        <v>4544</v>
      </c>
      <c r="G745" s="245">
        <v>378</v>
      </c>
      <c r="H745" s="245" t="s">
        <v>415</v>
      </c>
      <c r="I745" s="245" t="s">
        <v>269</v>
      </c>
      <c r="J745" s="245" t="s">
        <v>3275</v>
      </c>
      <c r="K745" s="245" t="s">
        <v>213</v>
      </c>
      <c r="L745" s="230" t="s">
        <v>2516</v>
      </c>
      <c r="M745" s="245" t="s">
        <v>4545</v>
      </c>
      <c r="N745" s="245" t="s">
        <v>819</v>
      </c>
      <c r="O745" s="158"/>
      <c r="P745" s="92"/>
      <c r="Q745" s="146"/>
      <c r="R745" s="92"/>
      <c r="S745" s="146"/>
      <c r="T745" s="92"/>
      <c r="U745" s="146"/>
      <c r="V745" s="92"/>
      <c r="W745" s="146"/>
      <c r="X745" s="92"/>
      <c r="Y745" s="146"/>
      <c r="Z745" s="186" t="str">
        <f t="shared" si="48"/>
        <v/>
      </c>
      <c r="AA745" s="217" t="b">
        <f t="shared" si="47"/>
        <v>0</v>
      </c>
      <c r="AB745" s="92"/>
      <c r="AC745" s="164" t="s">
        <v>6</v>
      </c>
      <c r="AD745" s="151" t="str">
        <f t="shared" si="49"/>
        <v>GUARULHOS</v>
      </c>
      <c r="AE745" s="96" t="s">
        <v>63</v>
      </c>
      <c r="AF745" s="53">
        <v>0.92533904442860548</v>
      </c>
      <c r="AG745" s="53" t="str" cm="1">
        <f t="array" ref="AG745">IF(OR(O745&lt;&gt;"", SUMPRODUCT(($AH$2:$AH$4999=AH745)*($AF$2:$AF$4999&lt;=AF745)) &lt;= (COUNTIF($AH$2:$AH$4999,AH745)*0.3)), "SORTEADO", "-")</f>
        <v>-</v>
      </c>
      <c r="AH745" s="257" t="str">
        <f t="shared" si="50"/>
        <v>30/04/2026</v>
      </c>
    </row>
    <row r="746" spans="1:34" ht="30" customHeight="1" x14ac:dyDescent="0.2">
      <c r="A746" s="245" t="s">
        <v>197</v>
      </c>
      <c r="B746" s="245">
        <v>2691938635</v>
      </c>
      <c r="C746" s="245" t="s">
        <v>127</v>
      </c>
      <c r="D746" s="245" t="s">
        <v>63</v>
      </c>
      <c r="E746" s="245" t="s">
        <v>198</v>
      </c>
      <c r="F746" s="245" t="s">
        <v>3585</v>
      </c>
      <c r="G746" s="245">
        <v>210</v>
      </c>
      <c r="H746" s="245" t="s">
        <v>3976</v>
      </c>
      <c r="I746" s="245" t="s">
        <v>411</v>
      </c>
      <c r="J746" s="245" t="s">
        <v>3275</v>
      </c>
      <c r="K746" s="245"/>
      <c r="L746" s="230" t="s">
        <v>2516</v>
      </c>
      <c r="M746" s="245" t="s">
        <v>4546</v>
      </c>
      <c r="N746" s="245" t="s">
        <v>819</v>
      </c>
      <c r="O746" s="158" t="s">
        <v>204</v>
      </c>
      <c r="P746" s="92"/>
      <c r="Q746" s="146" t="s">
        <v>204</v>
      </c>
      <c r="R746" s="92"/>
      <c r="S746" s="146" t="s">
        <v>204</v>
      </c>
      <c r="T746" s="92"/>
      <c r="U746" s="146" t="s">
        <v>204</v>
      </c>
      <c r="V746" s="92"/>
      <c r="W746" s="146" t="s">
        <v>204</v>
      </c>
      <c r="X746" s="92"/>
      <c r="Y746" s="146" t="s">
        <v>204</v>
      </c>
      <c r="Z746" s="186" t="str">
        <f t="shared" si="48"/>
        <v>C</v>
      </c>
      <c r="AA746" s="217" t="str">
        <f t="shared" si="47"/>
        <v>UTILIZOU O PDA CORRETAMENTE</v>
      </c>
      <c r="AB746" s="92" t="s">
        <v>204</v>
      </c>
      <c r="AC746" s="164" t="s">
        <v>6</v>
      </c>
      <c r="AD746" s="151" t="str">
        <f t="shared" si="49"/>
        <v>GUARULHOS</v>
      </c>
      <c r="AE746" s="96" t="s">
        <v>63</v>
      </c>
      <c r="AF746" s="53">
        <v>1.5948613900669793E-2</v>
      </c>
      <c r="AG746" s="53" t="str" cm="1">
        <f t="array" ref="AG746">IF(OR(O746&lt;&gt;"", SUMPRODUCT(($AH$2:$AH$4999=AH746)*($AF$2:$AF$4999&lt;=AF746)) &lt;= (COUNTIF($AH$2:$AH$4999,AH746)*0.3)), "SORTEADO", "-")</f>
        <v>SORTEADO</v>
      </c>
      <c r="AH746" s="257" t="str">
        <f t="shared" si="50"/>
        <v>30/04/2026</v>
      </c>
    </row>
    <row r="747" spans="1:34" ht="30" customHeight="1" x14ac:dyDescent="0.2">
      <c r="A747" s="245" t="s">
        <v>197</v>
      </c>
      <c r="B747" s="245">
        <v>2617638228</v>
      </c>
      <c r="C747" s="245" t="s">
        <v>135</v>
      </c>
      <c r="D747" s="245" t="s">
        <v>124</v>
      </c>
      <c r="E747" s="245" t="s">
        <v>198</v>
      </c>
      <c r="F747" s="245" t="s">
        <v>4547</v>
      </c>
      <c r="G747" s="245">
        <v>15</v>
      </c>
      <c r="H747" s="245"/>
      <c r="I747" s="245" t="s">
        <v>326</v>
      </c>
      <c r="J747" s="245" t="s">
        <v>3280</v>
      </c>
      <c r="K747" s="245"/>
      <c r="L747" s="230" t="s">
        <v>2516</v>
      </c>
      <c r="M747" s="245" t="s">
        <v>3197</v>
      </c>
      <c r="N747" s="245" t="s">
        <v>819</v>
      </c>
      <c r="O747" s="158" t="s">
        <v>204</v>
      </c>
      <c r="P747" s="92"/>
      <c r="Q747" s="146" t="s">
        <v>204</v>
      </c>
      <c r="R747" s="92"/>
      <c r="S747" s="146" t="s">
        <v>204</v>
      </c>
      <c r="T747" s="92"/>
      <c r="U747" s="146" t="s">
        <v>204</v>
      </c>
      <c r="V747" s="92"/>
      <c r="W747" s="146" t="s">
        <v>204</v>
      </c>
      <c r="X747" s="92"/>
      <c r="Y747" s="146" t="s">
        <v>204</v>
      </c>
      <c r="Z747" s="186" t="str">
        <f t="shared" si="48"/>
        <v>C</v>
      </c>
      <c r="AA747" s="217" t="str">
        <f t="shared" si="47"/>
        <v>UTILIZOU O PDA CORRETAMENTE</v>
      </c>
      <c r="AB747" s="92" t="s">
        <v>204</v>
      </c>
      <c r="AC747" s="164" t="s">
        <v>6</v>
      </c>
      <c r="AD747" s="151" t="str">
        <f t="shared" si="49"/>
        <v>GUARULHOS</v>
      </c>
      <c r="AE747" s="96" t="s">
        <v>63</v>
      </c>
      <c r="AF747" s="53">
        <v>4.7126329646437537E-2</v>
      </c>
      <c r="AG747" s="53" t="str" cm="1">
        <f t="array" ref="AG747">IF(OR(O747&lt;&gt;"", SUMPRODUCT(($AH$2:$AH$4999=AH747)*($AF$2:$AF$4999&lt;=AF747)) &lt;= (COUNTIF($AH$2:$AH$4999,AH747)*0.3)), "SORTEADO", "-")</f>
        <v>SORTEADO</v>
      </c>
      <c r="AH747" s="257" t="str">
        <f t="shared" si="50"/>
        <v>30/04/2026</v>
      </c>
    </row>
    <row r="748" spans="1:34" ht="30" customHeight="1" x14ac:dyDescent="0.2">
      <c r="A748" s="245" t="s">
        <v>197</v>
      </c>
      <c r="B748" s="245">
        <v>2618006811</v>
      </c>
      <c r="C748" s="245" t="s">
        <v>135</v>
      </c>
      <c r="D748" s="245" t="s">
        <v>124</v>
      </c>
      <c r="E748" s="245" t="s">
        <v>198</v>
      </c>
      <c r="F748" s="245" t="s">
        <v>1355</v>
      </c>
      <c r="G748" s="245">
        <v>86</v>
      </c>
      <c r="H748" s="245" t="s">
        <v>827</v>
      </c>
      <c r="I748" s="245" t="s">
        <v>588</v>
      </c>
      <c r="J748" s="245" t="s">
        <v>3280</v>
      </c>
      <c r="K748" s="245" t="s">
        <v>213</v>
      </c>
      <c r="L748" s="230" t="s">
        <v>2516</v>
      </c>
      <c r="M748" s="245" t="s">
        <v>4548</v>
      </c>
      <c r="N748" s="245" t="s">
        <v>3276</v>
      </c>
      <c r="O748" s="158" t="s">
        <v>204</v>
      </c>
      <c r="P748" s="92"/>
      <c r="Q748" s="146" t="s">
        <v>204</v>
      </c>
      <c r="R748" s="92"/>
      <c r="S748" s="146" t="s">
        <v>204</v>
      </c>
      <c r="T748" s="92"/>
      <c r="U748" s="146" t="s">
        <v>204</v>
      </c>
      <c r="V748" s="92"/>
      <c r="W748" s="146" t="s">
        <v>204</v>
      </c>
      <c r="X748" s="92"/>
      <c r="Y748" s="146" t="s">
        <v>204</v>
      </c>
      <c r="Z748" s="186" t="str">
        <f t="shared" si="48"/>
        <v>C</v>
      </c>
      <c r="AA748" s="217" t="str">
        <f t="shared" si="47"/>
        <v>UTILIZOU O PDA CORRETAMENTE</v>
      </c>
      <c r="AB748" s="92" t="s">
        <v>204</v>
      </c>
      <c r="AC748" s="164" t="s">
        <v>6</v>
      </c>
      <c r="AD748" s="151" t="str">
        <f t="shared" si="49"/>
        <v>GUARULHOS</v>
      </c>
      <c r="AE748" s="96" t="s">
        <v>63</v>
      </c>
      <c r="AF748" s="53">
        <v>0.37562659832636208</v>
      </c>
      <c r="AG748" s="53" t="str" cm="1">
        <f t="array" ref="AG748">IF(OR(O748&lt;&gt;"", SUMPRODUCT(($AH$2:$AH$4999=AH748)*($AF$2:$AF$4999&lt;=AF748)) &lt;= (COUNTIF($AH$2:$AH$4999,AH748)*0.3)), "SORTEADO", "-")</f>
        <v>SORTEADO</v>
      </c>
      <c r="AH748" s="257" t="str">
        <f t="shared" si="50"/>
        <v>30/04/2026</v>
      </c>
    </row>
    <row r="749" spans="1:34" ht="30" hidden="1" customHeight="1" x14ac:dyDescent="0.2">
      <c r="A749" s="245" t="s">
        <v>197</v>
      </c>
      <c r="B749" s="245">
        <v>2618013961</v>
      </c>
      <c r="C749" s="245" t="s">
        <v>135</v>
      </c>
      <c r="D749" s="245" t="s">
        <v>124</v>
      </c>
      <c r="E749" s="245" t="s">
        <v>198</v>
      </c>
      <c r="F749" s="245" t="s">
        <v>679</v>
      </c>
      <c r="G749" s="245">
        <v>342</v>
      </c>
      <c r="H749" s="245" t="s">
        <v>4549</v>
      </c>
      <c r="I749" s="245" t="s">
        <v>801</v>
      </c>
      <c r="J749" s="245" t="s">
        <v>3280</v>
      </c>
      <c r="K749" s="245" t="s">
        <v>4550</v>
      </c>
      <c r="L749" s="230" t="s">
        <v>2516</v>
      </c>
      <c r="M749" s="245" t="s">
        <v>4551</v>
      </c>
      <c r="N749" s="245" t="s">
        <v>1099</v>
      </c>
      <c r="O749" s="158"/>
      <c r="P749" s="92"/>
      <c r="Q749" s="146"/>
      <c r="R749" s="92"/>
      <c r="S749" s="146"/>
      <c r="T749" s="92"/>
      <c r="U749" s="146"/>
      <c r="V749" s="92"/>
      <c r="W749" s="146"/>
      <c r="X749" s="92"/>
      <c r="Y749" s="146"/>
      <c r="Z749" s="186" t="str">
        <f t="shared" si="48"/>
        <v/>
      </c>
      <c r="AA749" s="217" t="b">
        <f t="shared" si="47"/>
        <v>0</v>
      </c>
      <c r="AB749" s="92"/>
      <c r="AC749" s="164" t="s">
        <v>6</v>
      </c>
      <c r="AD749" s="151" t="str">
        <f t="shared" si="49"/>
        <v>GUARULHOS</v>
      </c>
      <c r="AE749" s="96" t="s">
        <v>63</v>
      </c>
      <c r="AF749" s="53">
        <v>0.91715694735533282</v>
      </c>
      <c r="AG749" s="53" t="str" cm="1">
        <f t="array" ref="AG749">IF(OR(O749&lt;&gt;"", SUMPRODUCT(($AH$2:$AH$4999=AH749)*($AF$2:$AF$4999&lt;=AF749)) &lt;= (COUNTIF($AH$2:$AH$4999,AH749)*0.3)), "SORTEADO", "-")</f>
        <v>-</v>
      </c>
      <c r="AH749" s="257" t="str">
        <f t="shared" si="50"/>
        <v>30/04/2026</v>
      </c>
    </row>
    <row r="750" spans="1:34" ht="30" hidden="1" customHeight="1" x14ac:dyDescent="0.2">
      <c r="A750" s="245" t="s">
        <v>197</v>
      </c>
      <c r="B750" s="245">
        <v>2617786975</v>
      </c>
      <c r="C750" s="245" t="s">
        <v>135</v>
      </c>
      <c r="D750" s="245" t="s">
        <v>124</v>
      </c>
      <c r="E750" s="245" t="s">
        <v>198</v>
      </c>
      <c r="F750" s="245" t="s">
        <v>4552</v>
      </c>
      <c r="G750" s="245">
        <v>137</v>
      </c>
      <c r="H750" s="245" t="s">
        <v>4553</v>
      </c>
      <c r="I750" s="245" t="s">
        <v>4554</v>
      </c>
      <c r="J750" s="245" t="s">
        <v>3280</v>
      </c>
      <c r="K750" s="245" t="s">
        <v>213</v>
      </c>
      <c r="L750" s="230" t="s">
        <v>2516</v>
      </c>
      <c r="M750" s="245" t="s">
        <v>2519</v>
      </c>
      <c r="N750" s="245" t="s">
        <v>215</v>
      </c>
      <c r="O750" s="158"/>
      <c r="P750" s="92"/>
      <c r="Q750" s="146"/>
      <c r="R750" s="92"/>
      <c r="S750" s="146"/>
      <c r="T750" s="92"/>
      <c r="U750" s="146"/>
      <c r="V750" s="92"/>
      <c r="W750" s="146"/>
      <c r="X750" s="92"/>
      <c r="Y750" s="146"/>
      <c r="Z750" s="186" t="str">
        <f t="shared" si="48"/>
        <v/>
      </c>
      <c r="AA750" s="217" t="b">
        <f t="shared" si="47"/>
        <v>0</v>
      </c>
      <c r="AB750" s="92"/>
      <c r="AC750" s="164" t="s">
        <v>6</v>
      </c>
      <c r="AD750" s="151" t="str">
        <f t="shared" si="49"/>
        <v>GUARULHOS</v>
      </c>
      <c r="AE750" s="96" t="s">
        <v>63</v>
      </c>
      <c r="AF750" s="53">
        <v>0.849374460551788</v>
      </c>
      <c r="AG750" s="53" t="str" cm="1">
        <f t="array" ref="AG750">IF(OR(O750&lt;&gt;"", SUMPRODUCT(($AH$2:$AH$4999=AH750)*($AF$2:$AF$4999&lt;=AF750)) &lt;= (COUNTIF($AH$2:$AH$4999,AH750)*0.3)), "SORTEADO", "-")</f>
        <v>-</v>
      </c>
      <c r="AH750" s="257" t="str">
        <f t="shared" si="50"/>
        <v>30/04/2026</v>
      </c>
    </row>
    <row r="751" spans="1:34" ht="30" hidden="1" customHeight="1" x14ac:dyDescent="0.2">
      <c r="A751" s="245" t="s">
        <v>197</v>
      </c>
      <c r="B751" s="245">
        <v>2617638821</v>
      </c>
      <c r="C751" s="245" t="s">
        <v>135</v>
      </c>
      <c r="D751" s="245" t="s">
        <v>124</v>
      </c>
      <c r="E751" s="245" t="s">
        <v>198</v>
      </c>
      <c r="F751" s="245" t="s">
        <v>4555</v>
      </c>
      <c r="G751" s="245">
        <v>522</v>
      </c>
      <c r="H751" s="245"/>
      <c r="I751" s="245" t="s">
        <v>4556</v>
      </c>
      <c r="J751" s="245" t="s">
        <v>3280</v>
      </c>
      <c r="K751" s="245" t="s">
        <v>4557</v>
      </c>
      <c r="L751" s="230" t="s">
        <v>2516</v>
      </c>
      <c r="M751" s="245" t="s">
        <v>4558</v>
      </c>
      <c r="N751" s="245" t="s">
        <v>215</v>
      </c>
      <c r="O751" s="158"/>
      <c r="P751" s="92"/>
      <c r="Q751" s="146"/>
      <c r="R751" s="92"/>
      <c r="S751" s="146"/>
      <c r="T751" s="92"/>
      <c r="U751" s="146"/>
      <c r="V751" s="92"/>
      <c r="W751" s="146"/>
      <c r="X751" s="92"/>
      <c r="Y751" s="146"/>
      <c r="Z751" s="186" t="str">
        <f t="shared" si="48"/>
        <v/>
      </c>
      <c r="AA751" s="217" t="b">
        <f t="shared" si="47"/>
        <v>0</v>
      </c>
      <c r="AB751" s="92"/>
      <c r="AC751" s="164" t="s">
        <v>6</v>
      </c>
      <c r="AD751" s="151" t="str">
        <f t="shared" si="49"/>
        <v>GUARULHOS</v>
      </c>
      <c r="AE751" s="96" t="s">
        <v>63</v>
      </c>
      <c r="AF751" s="53">
        <v>0.69913063659579966</v>
      </c>
      <c r="AG751" s="53" t="str" cm="1">
        <f t="array" ref="AG751">IF(OR(O751&lt;&gt;"", SUMPRODUCT(($AH$2:$AH$4999=AH751)*($AF$2:$AF$4999&lt;=AF751)) &lt;= (COUNTIF($AH$2:$AH$4999,AH751)*0.3)), "SORTEADO", "-")</f>
        <v>-</v>
      </c>
      <c r="AH751" s="257" t="str">
        <f t="shared" si="50"/>
        <v>30/04/2026</v>
      </c>
    </row>
    <row r="752" spans="1:34" ht="30" hidden="1" customHeight="1" x14ac:dyDescent="0.2">
      <c r="A752" s="245" t="s">
        <v>197</v>
      </c>
      <c r="B752" s="245">
        <v>2615772066</v>
      </c>
      <c r="C752" s="245" t="s">
        <v>134</v>
      </c>
      <c r="D752" s="245" t="s">
        <v>124</v>
      </c>
      <c r="E752" s="245" t="s">
        <v>198</v>
      </c>
      <c r="F752" s="245" t="s">
        <v>4559</v>
      </c>
      <c r="G752" s="245">
        <v>139</v>
      </c>
      <c r="H752" s="245" t="s">
        <v>4560</v>
      </c>
      <c r="I752" s="245" t="s">
        <v>207</v>
      </c>
      <c r="J752" s="245" t="s">
        <v>3285</v>
      </c>
      <c r="K752" s="245" t="s">
        <v>4561</v>
      </c>
      <c r="L752" s="230" t="s">
        <v>2516</v>
      </c>
      <c r="M752" s="245" t="s">
        <v>4545</v>
      </c>
      <c r="N752" s="245" t="s">
        <v>215</v>
      </c>
      <c r="O752" s="158"/>
      <c r="P752" s="92"/>
      <c r="Q752" s="146"/>
      <c r="R752" s="92"/>
      <c r="S752" s="146"/>
      <c r="T752" s="92"/>
      <c r="U752" s="146"/>
      <c r="V752" s="92"/>
      <c r="W752" s="146"/>
      <c r="X752" s="92"/>
      <c r="Y752" s="146"/>
      <c r="Z752" s="186" t="str">
        <f t="shared" si="48"/>
        <v/>
      </c>
      <c r="AA752" s="217" t="b">
        <f t="shared" si="47"/>
        <v>0</v>
      </c>
      <c r="AB752" s="92"/>
      <c r="AC752" s="164" t="s">
        <v>6</v>
      </c>
      <c r="AD752" s="151" t="str">
        <f t="shared" si="49"/>
        <v>GUARULHOS</v>
      </c>
      <c r="AE752" s="96" t="s">
        <v>63</v>
      </c>
      <c r="AF752" s="53">
        <v>0.94188905961921154</v>
      </c>
      <c r="AG752" s="53" t="str" cm="1">
        <f t="array" ref="AG752">IF(OR(O752&lt;&gt;"", SUMPRODUCT(($AH$2:$AH$4999=AH752)*($AF$2:$AF$4999&lt;=AF752)) &lt;= (COUNTIF($AH$2:$AH$4999,AH752)*0.3)), "SORTEADO", "-")</f>
        <v>-</v>
      </c>
      <c r="AH752" s="257" t="str">
        <f t="shared" si="50"/>
        <v>30/04/2026</v>
      </c>
    </row>
    <row r="753" spans="1:34" ht="30" hidden="1" customHeight="1" x14ac:dyDescent="0.2">
      <c r="A753" s="245" t="s">
        <v>197</v>
      </c>
      <c r="B753" s="245">
        <v>2617590465</v>
      </c>
      <c r="C753" s="245" t="s">
        <v>134</v>
      </c>
      <c r="D753" s="245" t="s">
        <v>124</v>
      </c>
      <c r="E753" s="245" t="s">
        <v>198</v>
      </c>
      <c r="F753" s="245" t="s">
        <v>3122</v>
      </c>
      <c r="G753" s="245">
        <v>134</v>
      </c>
      <c r="H753" s="245" t="s">
        <v>3270</v>
      </c>
      <c r="I753" s="245" t="s">
        <v>521</v>
      </c>
      <c r="J753" s="245" t="s">
        <v>3285</v>
      </c>
      <c r="K753" s="245" t="s">
        <v>4562</v>
      </c>
      <c r="L753" s="230" t="s">
        <v>2516</v>
      </c>
      <c r="M753" s="245" t="s">
        <v>4563</v>
      </c>
      <c r="N753" s="245" t="s">
        <v>215</v>
      </c>
      <c r="O753" s="158"/>
      <c r="P753" s="92"/>
      <c r="Q753" s="146"/>
      <c r="R753" s="92"/>
      <c r="S753" s="146"/>
      <c r="T753" s="92"/>
      <c r="U753" s="146"/>
      <c r="V753" s="92"/>
      <c r="W753" s="146"/>
      <c r="X753" s="92"/>
      <c r="Y753" s="146"/>
      <c r="Z753" s="186" t="str">
        <f t="shared" si="48"/>
        <v/>
      </c>
      <c r="AA753" s="217" t="b">
        <f t="shared" si="47"/>
        <v>0</v>
      </c>
      <c r="AB753" s="92"/>
      <c r="AC753" s="164" t="s">
        <v>6</v>
      </c>
      <c r="AD753" s="151" t="str">
        <f t="shared" si="49"/>
        <v>GUARULHOS</v>
      </c>
      <c r="AE753" s="96" t="s">
        <v>63</v>
      </c>
      <c r="AF753" s="53">
        <v>0.56526090042650279</v>
      </c>
      <c r="AG753" s="53" t="str" cm="1">
        <f t="array" ref="AG753">IF(OR(O753&lt;&gt;"", SUMPRODUCT(($AH$2:$AH$4999=AH753)*($AF$2:$AF$4999&lt;=AF753)) &lt;= (COUNTIF($AH$2:$AH$4999,AH753)*0.3)), "SORTEADO", "-")</f>
        <v>-</v>
      </c>
      <c r="AH753" s="257" t="str">
        <f t="shared" si="50"/>
        <v>30/04/2026</v>
      </c>
    </row>
    <row r="754" spans="1:34" ht="30" customHeight="1" x14ac:dyDescent="0.2">
      <c r="A754" s="245" t="s">
        <v>197</v>
      </c>
      <c r="B754" s="245">
        <v>2616650290</v>
      </c>
      <c r="C754" s="245" t="s">
        <v>134</v>
      </c>
      <c r="D754" s="245" t="s">
        <v>124</v>
      </c>
      <c r="E754" s="245" t="s">
        <v>198</v>
      </c>
      <c r="F754" s="245" t="s">
        <v>4005</v>
      </c>
      <c r="G754" s="245">
        <v>103</v>
      </c>
      <c r="H754" s="245" t="s">
        <v>4564</v>
      </c>
      <c r="I754" s="245" t="s">
        <v>1768</v>
      </c>
      <c r="J754" s="245" t="s">
        <v>3285</v>
      </c>
      <c r="K754" s="245" t="s">
        <v>213</v>
      </c>
      <c r="L754" s="230" t="s">
        <v>2516</v>
      </c>
      <c r="M754" s="245" t="s">
        <v>4565</v>
      </c>
      <c r="N754" s="245" t="s">
        <v>215</v>
      </c>
      <c r="O754" s="158" t="s">
        <v>204</v>
      </c>
      <c r="P754" s="92"/>
      <c r="Q754" s="146" t="s">
        <v>204</v>
      </c>
      <c r="R754" s="92"/>
      <c r="S754" s="146" t="s">
        <v>204</v>
      </c>
      <c r="T754" s="92"/>
      <c r="U754" s="146" t="s">
        <v>204</v>
      </c>
      <c r="V754" s="92"/>
      <c r="W754" s="146" t="s">
        <v>204</v>
      </c>
      <c r="X754" s="92"/>
      <c r="Y754" s="146" t="s">
        <v>204</v>
      </c>
      <c r="Z754" s="186" t="str">
        <f t="shared" si="48"/>
        <v>C</v>
      </c>
      <c r="AA754" s="217" t="str">
        <f t="shared" si="47"/>
        <v>UTILIZOU O PDA CORRETAMENTE</v>
      </c>
      <c r="AB754" s="92" t="s">
        <v>204</v>
      </c>
      <c r="AC754" s="164" t="s">
        <v>6</v>
      </c>
      <c r="AD754" s="151" t="str">
        <f t="shared" si="49"/>
        <v>GUARULHOS</v>
      </c>
      <c r="AE754" s="96" t="s">
        <v>63</v>
      </c>
      <c r="AF754" s="53">
        <v>7.5498906139892269E-2</v>
      </c>
      <c r="AG754" s="53" t="str" cm="1">
        <f t="array" ref="AG754">IF(OR(O754&lt;&gt;"", SUMPRODUCT(($AH$2:$AH$4999=AH754)*($AF$2:$AF$4999&lt;=AF754)) &lt;= (COUNTIF($AH$2:$AH$4999,AH754)*0.3)), "SORTEADO", "-")</f>
        <v>SORTEADO</v>
      </c>
      <c r="AH754" s="257" t="str">
        <f t="shared" si="50"/>
        <v>30/04/2026</v>
      </c>
    </row>
    <row r="755" spans="1:34" ht="30" hidden="1" customHeight="1" x14ac:dyDescent="0.2">
      <c r="A755" s="245" t="s">
        <v>197</v>
      </c>
      <c r="B755" s="245">
        <v>2617782678</v>
      </c>
      <c r="C755" s="245" t="s">
        <v>135</v>
      </c>
      <c r="D755" s="245" t="s">
        <v>124</v>
      </c>
      <c r="E755" s="245" t="s">
        <v>198</v>
      </c>
      <c r="F755" s="245" t="s">
        <v>3614</v>
      </c>
      <c r="G755" s="245">
        <v>179</v>
      </c>
      <c r="H755" s="245"/>
      <c r="I755" s="245" t="s">
        <v>557</v>
      </c>
      <c r="J755" s="245" t="s">
        <v>3280</v>
      </c>
      <c r="K755" s="245" t="s">
        <v>4566</v>
      </c>
      <c r="L755" s="230" t="s">
        <v>2516</v>
      </c>
      <c r="M755" s="245" t="s">
        <v>4567</v>
      </c>
      <c r="N755" s="245" t="s">
        <v>215</v>
      </c>
      <c r="O755" s="158"/>
      <c r="P755" s="92"/>
      <c r="Q755" s="146"/>
      <c r="R755" s="92"/>
      <c r="S755" s="146"/>
      <c r="T755" s="92"/>
      <c r="U755" s="146"/>
      <c r="V755" s="92"/>
      <c r="W755" s="146"/>
      <c r="X755" s="92"/>
      <c r="Y755" s="146"/>
      <c r="Z755" s="186" t="str">
        <f t="shared" si="48"/>
        <v/>
      </c>
      <c r="AA755" s="217" t="b">
        <f t="shared" si="47"/>
        <v>0</v>
      </c>
      <c r="AB755" s="92"/>
      <c r="AC755" s="164" t="s">
        <v>6</v>
      </c>
      <c r="AD755" s="151" t="str">
        <f t="shared" si="49"/>
        <v>GUARULHOS</v>
      </c>
      <c r="AE755" s="96" t="s">
        <v>63</v>
      </c>
      <c r="AF755" s="53">
        <v>0.92456261361988001</v>
      </c>
      <c r="AG755" s="53" t="str" cm="1">
        <f t="array" ref="AG755">IF(OR(O755&lt;&gt;"", SUMPRODUCT(($AH$2:$AH$4999=AH755)*($AF$2:$AF$4999&lt;=AF755)) &lt;= (COUNTIF($AH$2:$AH$4999,AH755)*0.3)), "SORTEADO", "-")</f>
        <v>-</v>
      </c>
      <c r="AH755" s="257" t="str">
        <f t="shared" si="50"/>
        <v>30/04/2026</v>
      </c>
    </row>
    <row r="756" spans="1:34" ht="30" hidden="1" customHeight="1" x14ac:dyDescent="0.2">
      <c r="A756" s="245" t="s">
        <v>197</v>
      </c>
      <c r="B756" s="245">
        <v>2617280594</v>
      </c>
      <c r="C756" s="245" t="s">
        <v>134</v>
      </c>
      <c r="D756" s="245" t="s">
        <v>124</v>
      </c>
      <c r="E756" s="245" t="s">
        <v>198</v>
      </c>
      <c r="F756" s="245" t="s">
        <v>251</v>
      </c>
      <c r="G756" s="245">
        <v>64</v>
      </c>
      <c r="H756" s="245" t="s">
        <v>390</v>
      </c>
      <c r="I756" s="245" t="s">
        <v>253</v>
      </c>
      <c r="J756" s="245" t="s">
        <v>3285</v>
      </c>
      <c r="K756" s="245">
        <v>2614608413</v>
      </c>
      <c r="L756" s="230" t="s">
        <v>2516</v>
      </c>
      <c r="M756" s="245" t="s">
        <v>4568</v>
      </c>
      <c r="N756" s="245" t="s">
        <v>209</v>
      </c>
      <c r="O756" s="158"/>
      <c r="P756" s="92"/>
      <c r="Q756" s="146"/>
      <c r="R756" s="92"/>
      <c r="S756" s="146"/>
      <c r="T756" s="92"/>
      <c r="U756" s="146"/>
      <c r="V756" s="92"/>
      <c r="W756" s="146"/>
      <c r="X756" s="92"/>
      <c r="Y756" s="146"/>
      <c r="Z756" s="186" t="str">
        <f t="shared" si="48"/>
        <v/>
      </c>
      <c r="AA756" s="217" t="b">
        <f t="shared" si="47"/>
        <v>0</v>
      </c>
      <c r="AB756" s="92"/>
      <c r="AC756" s="164" t="s">
        <v>6</v>
      </c>
      <c r="AD756" s="151" t="str">
        <f t="shared" si="49"/>
        <v>GUARULHOS</v>
      </c>
      <c r="AE756" s="96" t="s">
        <v>63</v>
      </c>
      <c r="AF756" s="53">
        <v>0.63602355538318855</v>
      </c>
      <c r="AG756" s="53" t="str" cm="1">
        <f t="array" ref="AG756">IF(OR(O756&lt;&gt;"", SUMPRODUCT(($AH$2:$AH$4999=AH756)*($AF$2:$AF$4999&lt;=AF756)) &lt;= (COUNTIF($AH$2:$AH$4999,AH756)*0.3)), "SORTEADO", "-")</f>
        <v>-</v>
      </c>
      <c r="AH756" s="257" t="str">
        <f t="shared" si="50"/>
        <v>30/04/2026</v>
      </c>
    </row>
    <row r="757" spans="1:34" ht="30" hidden="1" customHeight="1" x14ac:dyDescent="0.2">
      <c r="A757" s="245" t="s">
        <v>197</v>
      </c>
      <c r="B757" s="245">
        <v>2617278014</v>
      </c>
      <c r="C757" s="245" t="s">
        <v>134</v>
      </c>
      <c r="D757" s="245" t="s">
        <v>124</v>
      </c>
      <c r="E757" s="245" t="s">
        <v>198</v>
      </c>
      <c r="F757" s="245" t="s">
        <v>251</v>
      </c>
      <c r="G757" s="245">
        <v>64</v>
      </c>
      <c r="H757" s="245" t="s">
        <v>252</v>
      </c>
      <c r="I757" s="245" t="s">
        <v>253</v>
      </c>
      <c r="J757" s="245" t="s">
        <v>3285</v>
      </c>
      <c r="K757" s="245">
        <v>2614608413</v>
      </c>
      <c r="L757" s="230" t="s">
        <v>2516</v>
      </c>
      <c r="M757" s="245" t="s">
        <v>4569</v>
      </c>
      <c r="N757" s="245" t="s">
        <v>209</v>
      </c>
      <c r="O757" s="158"/>
      <c r="P757" s="92"/>
      <c r="Q757" s="146"/>
      <c r="R757" s="92"/>
      <c r="S757" s="146"/>
      <c r="T757" s="92"/>
      <c r="U757" s="146"/>
      <c r="V757" s="92"/>
      <c r="W757" s="146"/>
      <c r="X757" s="92"/>
      <c r="Y757" s="146"/>
      <c r="Z757" s="186" t="str">
        <f t="shared" si="48"/>
        <v/>
      </c>
      <c r="AA757" s="217" t="b">
        <f t="shared" si="47"/>
        <v>0</v>
      </c>
      <c r="AB757" s="92"/>
      <c r="AC757" s="164" t="s">
        <v>6</v>
      </c>
      <c r="AD757" s="151" t="str">
        <f t="shared" si="49"/>
        <v>GUARULHOS</v>
      </c>
      <c r="AE757" s="96" t="s">
        <v>63</v>
      </c>
      <c r="AF757" s="53">
        <v>0.74703888190121892</v>
      </c>
      <c r="AG757" s="53" t="str" cm="1">
        <f t="array" ref="AG757">IF(OR(O757&lt;&gt;"", SUMPRODUCT(($AH$2:$AH$4999=AH757)*($AF$2:$AF$4999&lt;=AF757)) &lt;= (COUNTIF($AH$2:$AH$4999,AH757)*0.3)), "SORTEADO", "-")</f>
        <v>-</v>
      </c>
      <c r="AH757" s="257" t="str">
        <f t="shared" si="50"/>
        <v>30/04/2026</v>
      </c>
    </row>
    <row r="758" spans="1:34" ht="30" hidden="1" customHeight="1" x14ac:dyDescent="0.2">
      <c r="A758" s="245" t="s">
        <v>197</v>
      </c>
      <c r="B758" s="245">
        <v>2617275363</v>
      </c>
      <c r="C758" s="245" t="s">
        <v>134</v>
      </c>
      <c r="D758" s="245" t="s">
        <v>124</v>
      </c>
      <c r="E758" s="245" t="s">
        <v>198</v>
      </c>
      <c r="F758" s="245" t="s">
        <v>251</v>
      </c>
      <c r="G758" s="245">
        <v>64</v>
      </c>
      <c r="H758" s="245" t="s">
        <v>235</v>
      </c>
      <c r="I758" s="245" t="s">
        <v>253</v>
      </c>
      <c r="J758" s="245" t="s">
        <v>3285</v>
      </c>
      <c r="K758" s="245">
        <v>2614608413</v>
      </c>
      <c r="L758" s="230" t="s">
        <v>2516</v>
      </c>
      <c r="M758" s="245" t="s">
        <v>4570</v>
      </c>
      <c r="N758" s="245" t="s">
        <v>209</v>
      </c>
      <c r="O758" s="158"/>
      <c r="P758" s="92"/>
      <c r="Q758" s="146"/>
      <c r="R758" s="92"/>
      <c r="S758" s="146"/>
      <c r="T758" s="92"/>
      <c r="U758" s="146"/>
      <c r="V758" s="92"/>
      <c r="W758" s="146"/>
      <c r="X758" s="92"/>
      <c r="Y758" s="146"/>
      <c r="Z758" s="186" t="str">
        <f t="shared" si="48"/>
        <v/>
      </c>
      <c r="AA758" s="217" t="b">
        <f t="shared" si="47"/>
        <v>0</v>
      </c>
      <c r="AB758" s="92"/>
      <c r="AC758" s="164" t="s">
        <v>6</v>
      </c>
      <c r="AD758" s="151" t="str">
        <f t="shared" si="49"/>
        <v>GUARULHOS</v>
      </c>
      <c r="AE758" s="96" t="s">
        <v>63</v>
      </c>
      <c r="AF758" s="53">
        <v>0.45558623856068398</v>
      </c>
      <c r="AG758" s="53" t="str" cm="1">
        <f t="array" ref="AG758">IF(OR(O758&lt;&gt;"", SUMPRODUCT(($AH$2:$AH$4999=AH758)*($AF$2:$AF$4999&lt;=AF758)) &lt;= (COUNTIF($AH$2:$AH$4999,AH758)*0.3)), "SORTEADO", "-")</f>
        <v>-</v>
      </c>
      <c r="AH758" s="257" t="str">
        <f t="shared" si="50"/>
        <v>30/04/2026</v>
      </c>
    </row>
    <row r="759" spans="1:34" ht="30" hidden="1" customHeight="1" x14ac:dyDescent="0.2">
      <c r="A759" s="245" t="s">
        <v>197</v>
      </c>
      <c r="B759" s="245">
        <v>2617591698</v>
      </c>
      <c r="C759" s="245" t="s">
        <v>134</v>
      </c>
      <c r="D759" s="245" t="s">
        <v>124</v>
      </c>
      <c r="E759" s="245" t="s">
        <v>198</v>
      </c>
      <c r="F759" s="245" t="s">
        <v>3122</v>
      </c>
      <c r="G759" s="245">
        <v>134</v>
      </c>
      <c r="H759" s="245" t="s">
        <v>235</v>
      </c>
      <c r="I759" s="245" t="s">
        <v>521</v>
      </c>
      <c r="J759" s="245" t="s">
        <v>3285</v>
      </c>
      <c r="K759" s="245"/>
      <c r="L759" s="230" t="s">
        <v>2516</v>
      </c>
      <c r="M759" s="245" t="s">
        <v>2621</v>
      </c>
      <c r="N759" s="245" t="s">
        <v>215</v>
      </c>
      <c r="O759" s="158"/>
      <c r="P759" s="92"/>
      <c r="Q759" s="146"/>
      <c r="R759" s="92"/>
      <c r="S759" s="146"/>
      <c r="T759" s="92"/>
      <c r="U759" s="146"/>
      <c r="V759" s="92"/>
      <c r="W759" s="146"/>
      <c r="X759" s="92"/>
      <c r="Y759" s="146"/>
      <c r="Z759" s="186" t="str">
        <f t="shared" si="48"/>
        <v/>
      </c>
      <c r="AA759" s="217" t="b">
        <f t="shared" si="47"/>
        <v>0</v>
      </c>
      <c r="AB759" s="92"/>
      <c r="AC759" s="164" t="s">
        <v>6</v>
      </c>
      <c r="AD759" s="151" t="str">
        <f t="shared" si="49"/>
        <v>GUARULHOS</v>
      </c>
      <c r="AE759" s="96" t="s">
        <v>63</v>
      </c>
      <c r="AF759" s="53">
        <v>0.55315278116419675</v>
      </c>
      <c r="AG759" s="53" t="str" cm="1">
        <f t="array" ref="AG759">IF(OR(O759&lt;&gt;"", SUMPRODUCT(($AH$2:$AH$4999=AH759)*($AF$2:$AF$4999&lt;=AF759)) &lt;= (COUNTIF($AH$2:$AH$4999,AH759)*0.3)), "SORTEADO", "-")</f>
        <v>-</v>
      </c>
      <c r="AH759" s="257" t="str">
        <f t="shared" si="50"/>
        <v>30/04/2026</v>
      </c>
    </row>
    <row r="760" spans="1:34" ht="30" hidden="1" customHeight="1" x14ac:dyDescent="0.2">
      <c r="A760" s="245" t="s">
        <v>197</v>
      </c>
      <c r="B760" s="245">
        <v>2614608413</v>
      </c>
      <c r="C760" s="245" t="s">
        <v>134</v>
      </c>
      <c r="D760" s="245" t="s">
        <v>124</v>
      </c>
      <c r="E760" s="245" t="s">
        <v>198</v>
      </c>
      <c r="F760" s="245" t="s">
        <v>251</v>
      </c>
      <c r="G760" s="245">
        <v>64</v>
      </c>
      <c r="H760" s="245" t="s">
        <v>276</v>
      </c>
      <c r="I760" s="245" t="s">
        <v>253</v>
      </c>
      <c r="J760" s="245" t="s">
        <v>3285</v>
      </c>
      <c r="K760" s="245" t="s">
        <v>4571</v>
      </c>
      <c r="L760" s="230" t="s">
        <v>2516</v>
      </c>
      <c r="M760" s="245" t="s">
        <v>4572</v>
      </c>
      <c r="N760" s="245" t="s">
        <v>209</v>
      </c>
      <c r="O760" s="158"/>
      <c r="P760" s="92"/>
      <c r="Q760" s="146"/>
      <c r="R760" s="92"/>
      <c r="S760" s="146"/>
      <c r="T760" s="92"/>
      <c r="U760" s="146"/>
      <c r="V760" s="92"/>
      <c r="W760" s="146"/>
      <c r="X760" s="92"/>
      <c r="Y760" s="146"/>
      <c r="Z760" s="186" t="str">
        <f t="shared" si="48"/>
        <v/>
      </c>
      <c r="AA760" s="217" t="b">
        <f t="shared" si="47"/>
        <v>0</v>
      </c>
      <c r="AB760" s="92"/>
      <c r="AC760" s="164" t="s">
        <v>6</v>
      </c>
      <c r="AD760" s="151" t="str">
        <f t="shared" si="49"/>
        <v>GUARULHOS</v>
      </c>
      <c r="AE760" s="96" t="s">
        <v>63</v>
      </c>
      <c r="AF760" s="53">
        <v>0.98833340761622746</v>
      </c>
      <c r="AG760" s="53" t="str" cm="1">
        <f t="array" ref="AG760">IF(OR(O760&lt;&gt;"", SUMPRODUCT(($AH$2:$AH$4999=AH760)*($AF$2:$AF$4999&lt;=AF760)) &lt;= (COUNTIF($AH$2:$AH$4999,AH760)*0.3)), "SORTEADO", "-")</f>
        <v>-</v>
      </c>
      <c r="AH760" s="257" t="str">
        <f t="shared" si="50"/>
        <v>30/04/2026</v>
      </c>
    </row>
    <row r="761" spans="1:34" ht="30" hidden="1" customHeight="1" x14ac:dyDescent="0.2">
      <c r="A761" s="245" t="s">
        <v>197</v>
      </c>
      <c r="B761" s="245">
        <v>2614982432</v>
      </c>
      <c r="C761" s="245" t="s">
        <v>134</v>
      </c>
      <c r="D761" s="245" t="s">
        <v>124</v>
      </c>
      <c r="E761" s="245" t="s">
        <v>198</v>
      </c>
      <c r="F761" s="245" t="s">
        <v>2561</v>
      </c>
      <c r="G761" s="245">
        <v>95</v>
      </c>
      <c r="H761" s="245" t="s">
        <v>4573</v>
      </c>
      <c r="I761" s="245" t="s">
        <v>1277</v>
      </c>
      <c r="J761" s="245" t="s">
        <v>3285</v>
      </c>
      <c r="K761" s="245" t="s">
        <v>4574</v>
      </c>
      <c r="L761" s="230" t="s">
        <v>2516</v>
      </c>
      <c r="M761" s="245" t="s">
        <v>2555</v>
      </c>
      <c r="N761" s="245" t="s">
        <v>408</v>
      </c>
      <c r="O761" s="158"/>
      <c r="P761" s="92"/>
      <c r="Q761" s="146"/>
      <c r="R761" s="92"/>
      <c r="S761" s="146"/>
      <c r="T761" s="92"/>
      <c r="U761" s="146"/>
      <c r="V761" s="92"/>
      <c r="W761" s="146"/>
      <c r="X761" s="92"/>
      <c r="Y761" s="146"/>
      <c r="Z761" s="186" t="str">
        <f t="shared" si="48"/>
        <v/>
      </c>
      <c r="AA761" s="217" t="b">
        <f t="shared" si="47"/>
        <v>0</v>
      </c>
      <c r="AB761" s="92"/>
      <c r="AC761" s="164" t="s">
        <v>6</v>
      </c>
      <c r="AD761" s="151" t="str">
        <f t="shared" si="49"/>
        <v>GUARULHOS</v>
      </c>
      <c r="AE761" s="96" t="s">
        <v>63</v>
      </c>
      <c r="AF761" s="53">
        <v>0.78821279046581605</v>
      </c>
      <c r="AG761" s="53" t="str" cm="1">
        <f t="array" ref="AG761">IF(OR(O761&lt;&gt;"", SUMPRODUCT(($AH$2:$AH$4999=AH761)*($AF$2:$AF$4999&lt;=AF761)) &lt;= (COUNTIF($AH$2:$AH$4999,AH761)*0.3)), "SORTEADO", "-")</f>
        <v>-</v>
      </c>
      <c r="AH761" s="257" t="str">
        <f t="shared" si="50"/>
        <v>30/04/2026</v>
      </c>
    </row>
    <row r="762" spans="1:34" ht="30" hidden="1" customHeight="1" x14ac:dyDescent="0.2">
      <c r="A762" s="245" t="s">
        <v>197</v>
      </c>
      <c r="B762" s="245">
        <v>2692000935</v>
      </c>
      <c r="C762" s="245" t="s">
        <v>127</v>
      </c>
      <c r="D762" s="245" t="s">
        <v>63</v>
      </c>
      <c r="E762" s="245" t="s">
        <v>198</v>
      </c>
      <c r="F762" s="245" t="s">
        <v>3448</v>
      </c>
      <c r="G762" s="245">
        <v>487</v>
      </c>
      <c r="H762" s="245" t="s">
        <v>4575</v>
      </c>
      <c r="I762" s="245" t="s">
        <v>411</v>
      </c>
      <c r="J762" s="245" t="s">
        <v>3275</v>
      </c>
      <c r="K762" s="245" t="s">
        <v>213</v>
      </c>
      <c r="L762" s="230" t="s">
        <v>2516</v>
      </c>
      <c r="M762" s="245" t="s">
        <v>4565</v>
      </c>
      <c r="N762" s="245" t="s">
        <v>819</v>
      </c>
      <c r="O762" s="158"/>
      <c r="P762" s="92"/>
      <c r="Q762" s="146"/>
      <c r="R762" s="92"/>
      <c r="S762" s="146"/>
      <c r="T762" s="92"/>
      <c r="U762" s="146"/>
      <c r="V762" s="92"/>
      <c r="W762" s="146"/>
      <c r="X762" s="92"/>
      <c r="Y762" s="146"/>
      <c r="Z762" s="186" t="str">
        <f t="shared" si="48"/>
        <v/>
      </c>
      <c r="AA762" s="217" t="b">
        <f t="shared" si="47"/>
        <v>0</v>
      </c>
      <c r="AB762" s="92"/>
      <c r="AC762" s="164" t="s">
        <v>6</v>
      </c>
      <c r="AD762" s="151" t="str">
        <f t="shared" si="49"/>
        <v>GUARULHOS</v>
      </c>
      <c r="AE762" s="96" t="s">
        <v>63</v>
      </c>
      <c r="AF762" s="53">
        <v>0.6185636921470038</v>
      </c>
      <c r="AG762" s="53" t="str" cm="1">
        <f t="array" ref="AG762">IF(OR(O762&lt;&gt;"", SUMPRODUCT(($AH$2:$AH$4999=AH762)*($AF$2:$AF$4999&lt;=AF762)) &lt;= (COUNTIF($AH$2:$AH$4999,AH762)*0.3)), "SORTEADO", "-")</f>
        <v>-</v>
      </c>
      <c r="AH762" s="257" t="str">
        <f t="shared" si="50"/>
        <v>30/04/2026</v>
      </c>
    </row>
    <row r="763" spans="1:34" ht="30" hidden="1" customHeight="1" x14ac:dyDescent="0.2">
      <c r="A763" s="245" t="s">
        <v>197</v>
      </c>
      <c r="B763" s="245">
        <v>2692003735</v>
      </c>
      <c r="C763" s="245" t="s">
        <v>127</v>
      </c>
      <c r="D763" s="245" t="s">
        <v>63</v>
      </c>
      <c r="E763" s="245" t="s">
        <v>198</v>
      </c>
      <c r="F763" s="245" t="s">
        <v>697</v>
      </c>
      <c r="G763" s="245">
        <v>81</v>
      </c>
      <c r="H763" s="245" t="s">
        <v>213</v>
      </c>
      <c r="I763" s="245" t="s">
        <v>262</v>
      </c>
      <c r="J763" s="245" t="s">
        <v>3271</v>
      </c>
      <c r="K763" s="245" t="s">
        <v>213</v>
      </c>
      <c r="L763" s="230" t="s">
        <v>2516</v>
      </c>
      <c r="M763" s="245" t="s">
        <v>4576</v>
      </c>
      <c r="N763" s="245" t="s">
        <v>1099</v>
      </c>
      <c r="O763" s="158"/>
      <c r="P763" s="92"/>
      <c r="Q763" s="146"/>
      <c r="R763" s="92"/>
      <c r="S763" s="146"/>
      <c r="T763" s="92"/>
      <c r="U763" s="146"/>
      <c r="V763" s="92"/>
      <c r="W763" s="146"/>
      <c r="X763" s="92"/>
      <c r="Y763" s="146"/>
      <c r="Z763" s="186" t="str">
        <f t="shared" si="48"/>
        <v/>
      </c>
      <c r="AA763" s="217" t="b">
        <f t="shared" si="47"/>
        <v>0</v>
      </c>
      <c r="AB763" s="92"/>
      <c r="AC763" s="164" t="s">
        <v>6</v>
      </c>
      <c r="AD763" s="151" t="str">
        <f t="shared" si="49"/>
        <v>GUARULHOS</v>
      </c>
      <c r="AE763" s="96" t="s">
        <v>63</v>
      </c>
      <c r="AF763" s="53">
        <v>0.3817307040040363</v>
      </c>
      <c r="AG763" s="53" t="str" cm="1">
        <f t="array" ref="AG763">IF(OR(O763&lt;&gt;"", SUMPRODUCT(($AH$2:$AH$4999=AH763)*($AF$2:$AF$4999&lt;=AF763)) &lt;= (COUNTIF($AH$2:$AH$4999,AH763)*0.3)), "SORTEADO", "-")</f>
        <v>-</v>
      </c>
      <c r="AH763" s="257" t="str">
        <f t="shared" si="50"/>
        <v>30/04/2026</v>
      </c>
    </row>
    <row r="764" spans="1:34" ht="30" customHeight="1" x14ac:dyDescent="0.2">
      <c r="A764" s="245" t="s">
        <v>197</v>
      </c>
      <c r="B764" s="245">
        <v>2617782200</v>
      </c>
      <c r="C764" s="245" t="s">
        <v>133</v>
      </c>
      <c r="D764" s="245" t="s">
        <v>124</v>
      </c>
      <c r="E764" s="245" t="s">
        <v>198</v>
      </c>
      <c r="F764" s="245" t="s">
        <v>3327</v>
      </c>
      <c r="G764" s="245">
        <v>156</v>
      </c>
      <c r="H764" s="245" t="s">
        <v>4577</v>
      </c>
      <c r="I764" s="245" t="s">
        <v>366</v>
      </c>
      <c r="J764" s="245" t="s">
        <v>3275</v>
      </c>
      <c r="K764" s="245" t="s">
        <v>4521</v>
      </c>
      <c r="L764" s="230" t="s">
        <v>2516</v>
      </c>
      <c r="M764" s="245" t="s">
        <v>4578</v>
      </c>
      <c r="N764" s="245" t="s">
        <v>3289</v>
      </c>
      <c r="O764" s="158" t="s">
        <v>204</v>
      </c>
      <c r="P764" s="92"/>
      <c r="Q764" s="146" t="s">
        <v>204</v>
      </c>
      <c r="R764" s="92"/>
      <c r="S764" s="146" t="s">
        <v>204</v>
      </c>
      <c r="T764" s="92"/>
      <c r="U764" s="146" t="s">
        <v>204</v>
      </c>
      <c r="V764" s="92"/>
      <c r="W764" s="146" t="s">
        <v>204</v>
      </c>
      <c r="X764" s="92"/>
      <c r="Y764" s="146" t="s">
        <v>204</v>
      </c>
      <c r="Z764" s="186" t="str">
        <f t="shared" si="48"/>
        <v>C</v>
      </c>
      <c r="AA764" s="217" t="str">
        <f t="shared" si="47"/>
        <v>UTILIZOU O PDA CORRETAMENTE</v>
      </c>
      <c r="AB764" s="92" t="s">
        <v>204</v>
      </c>
      <c r="AC764" s="164" t="s">
        <v>6</v>
      </c>
      <c r="AD764" s="151" t="str">
        <f t="shared" si="49"/>
        <v>GUARULHOS</v>
      </c>
      <c r="AE764" s="96" t="s">
        <v>63</v>
      </c>
      <c r="AF764" s="53">
        <v>0.10157815472295605</v>
      </c>
      <c r="AG764" s="53" t="str" cm="1">
        <f t="array" ref="AG764">IF(OR(O764&lt;&gt;"", SUMPRODUCT(($AH$2:$AH$4999=AH764)*($AF$2:$AF$4999&lt;=AF764)) &lt;= (COUNTIF($AH$2:$AH$4999,AH764)*0.3)), "SORTEADO", "-")</f>
        <v>SORTEADO</v>
      </c>
      <c r="AH764" s="257" t="str">
        <f t="shared" si="50"/>
        <v>30/04/2026</v>
      </c>
    </row>
    <row r="765" spans="1:34" ht="30" hidden="1" customHeight="1" x14ac:dyDescent="0.2">
      <c r="A765" s="245" t="s">
        <v>197</v>
      </c>
      <c r="B765" s="245">
        <v>2617987535</v>
      </c>
      <c r="C765" s="245" t="s">
        <v>133</v>
      </c>
      <c r="D765" s="245" t="s">
        <v>124</v>
      </c>
      <c r="E765" s="245" t="s">
        <v>198</v>
      </c>
      <c r="F765" s="245" t="s">
        <v>728</v>
      </c>
      <c r="G765" s="245">
        <v>41</v>
      </c>
      <c r="H765" s="245" t="s">
        <v>695</v>
      </c>
      <c r="I765" s="245" t="s">
        <v>730</v>
      </c>
      <c r="J765" s="245" t="s">
        <v>3275</v>
      </c>
      <c r="K765" s="245" t="s">
        <v>213</v>
      </c>
      <c r="L765" s="230" t="s">
        <v>2516</v>
      </c>
      <c r="M765" s="245" t="s">
        <v>4579</v>
      </c>
      <c r="N765" s="245" t="s">
        <v>294</v>
      </c>
      <c r="O765" s="158"/>
      <c r="P765" s="92"/>
      <c r="Q765" s="146"/>
      <c r="R765" s="92"/>
      <c r="S765" s="146"/>
      <c r="T765" s="92"/>
      <c r="U765" s="146"/>
      <c r="V765" s="92"/>
      <c r="W765" s="146"/>
      <c r="X765" s="92"/>
      <c r="Y765" s="146"/>
      <c r="Z765" s="186" t="str">
        <f t="shared" si="48"/>
        <v/>
      </c>
      <c r="AA765" s="217" t="b">
        <f t="shared" si="47"/>
        <v>0</v>
      </c>
      <c r="AB765" s="92"/>
      <c r="AC765" s="164" t="s">
        <v>6</v>
      </c>
      <c r="AD765" s="151" t="str">
        <f t="shared" si="49"/>
        <v>GUARULHOS</v>
      </c>
      <c r="AE765" s="96" t="s">
        <v>63</v>
      </c>
      <c r="AF765" s="53">
        <v>0.89236091846292775</v>
      </c>
      <c r="AG765" s="53" t="str" cm="1">
        <f t="array" ref="AG765">IF(OR(O765&lt;&gt;"", SUMPRODUCT(($AH$2:$AH$4999=AH765)*($AF$2:$AF$4999&lt;=AF765)) &lt;= (COUNTIF($AH$2:$AH$4999,AH765)*0.3)), "SORTEADO", "-")</f>
        <v>-</v>
      </c>
      <c r="AH765" s="257" t="str">
        <f t="shared" si="50"/>
        <v>30/04/2026</v>
      </c>
    </row>
    <row r="766" spans="1:34" ht="30" hidden="1" customHeight="1" x14ac:dyDescent="0.2">
      <c r="A766" s="245" t="s">
        <v>197</v>
      </c>
      <c r="B766" s="245">
        <v>2692026156</v>
      </c>
      <c r="C766" s="245" t="s">
        <v>127</v>
      </c>
      <c r="D766" s="245" t="s">
        <v>63</v>
      </c>
      <c r="E766" s="245" t="s">
        <v>198</v>
      </c>
      <c r="F766" s="245" t="s">
        <v>4580</v>
      </c>
      <c r="G766" s="245">
        <v>270</v>
      </c>
      <c r="H766" s="245" t="s">
        <v>1267</v>
      </c>
      <c r="I766" s="245" t="s">
        <v>801</v>
      </c>
      <c r="J766" s="245" t="s">
        <v>3271</v>
      </c>
      <c r="K766" s="245"/>
      <c r="L766" s="230" t="s">
        <v>2516</v>
      </c>
      <c r="M766" s="245" t="s">
        <v>4581</v>
      </c>
      <c r="N766" s="245" t="s">
        <v>1099</v>
      </c>
      <c r="O766" s="158"/>
      <c r="P766" s="92"/>
      <c r="Q766" s="146"/>
      <c r="R766" s="92"/>
      <c r="S766" s="146"/>
      <c r="T766" s="92"/>
      <c r="U766" s="146"/>
      <c r="V766" s="92"/>
      <c r="W766" s="146"/>
      <c r="X766" s="92"/>
      <c r="Y766" s="146"/>
      <c r="Z766" s="186" t="str">
        <f t="shared" si="48"/>
        <v/>
      </c>
      <c r="AA766" s="217" t="b">
        <f t="shared" ref="AA766:AA774" si="51">IF(AND(Y766="C",Z766="C"),"UTILIZOU O PDA CORRETAMENTE",IF(AND(Y766="C",Z766="NC"),"UTILIZOU O PDA CORRETAMENTE. NÃO HÁ FOTOS DE TODAS AS ETAPAS",IF(AND(Y766="NC",Z766="NC"),"NÃO UTILIZOU O PDA",IF(AND(Y766="NA",Z766="NA"),"NÃO AVALIADO POR FALHA DE SINCRONISMO"))))</f>
        <v>0</v>
      </c>
      <c r="AB766" s="92"/>
      <c r="AC766" s="164" t="s">
        <v>6</v>
      </c>
      <c r="AD766" s="151" t="str">
        <f t="shared" si="49"/>
        <v>GUARULHOS</v>
      </c>
      <c r="AE766" s="96" t="s">
        <v>63</v>
      </c>
      <c r="AF766" s="53">
        <v>0.7560075314478033</v>
      </c>
      <c r="AG766" s="53" t="str" cm="1">
        <f t="array" ref="AG766">IF(OR(O766&lt;&gt;"", SUMPRODUCT(($AH$2:$AH$4999=AH766)*($AF$2:$AF$4999&lt;=AF766)) &lt;= (COUNTIF($AH$2:$AH$4999,AH766)*0.3)), "SORTEADO", "-")</f>
        <v>-</v>
      </c>
      <c r="AH766" s="257" t="str">
        <f t="shared" si="50"/>
        <v>30/04/2026</v>
      </c>
    </row>
    <row r="767" spans="1:34" ht="30" customHeight="1" x14ac:dyDescent="0.2">
      <c r="A767" s="245" t="s">
        <v>197</v>
      </c>
      <c r="B767" s="245">
        <v>2692028903</v>
      </c>
      <c r="C767" s="245" t="s">
        <v>127</v>
      </c>
      <c r="D767" s="245" t="s">
        <v>63</v>
      </c>
      <c r="E767" s="245" t="s">
        <v>198</v>
      </c>
      <c r="F767" s="245" t="s">
        <v>2697</v>
      </c>
      <c r="G767" s="245">
        <v>72</v>
      </c>
      <c r="H767" s="245" t="s">
        <v>1565</v>
      </c>
      <c r="I767" s="245" t="s">
        <v>225</v>
      </c>
      <c r="J767" s="245" t="s">
        <v>3271</v>
      </c>
      <c r="K767" s="245" t="s">
        <v>213</v>
      </c>
      <c r="L767" s="230" t="s">
        <v>2516</v>
      </c>
      <c r="M767" s="245" t="s">
        <v>4582</v>
      </c>
      <c r="N767" s="245" t="s">
        <v>1099</v>
      </c>
      <c r="O767" s="158" t="s">
        <v>204</v>
      </c>
      <c r="P767" s="92"/>
      <c r="Q767" s="146" t="s">
        <v>204</v>
      </c>
      <c r="R767" s="92"/>
      <c r="S767" s="146" t="s">
        <v>204</v>
      </c>
      <c r="T767" s="92"/>
      <c r="U767" s="146" t="s">
        <v>204</v>
      </c>
      <c r="V767" s="92"/>
      <c r="W767" s="146" t="s">
        <v>204</v>
      </c>
      <c r="X767" s="92"/>
      <c r="Y767" s="146" t="s">
        <v>204</v>
      </c>
      <c r="Z767" s="186" t="str">
        <f t="shared" ref="Z767:Z774" si="52">IF(AND(O767="",Q767="",S767="",U767="",W767=""),"",IF(OR(AND(O767&lt;&gt;"NA",O767&lt;&gt;"C",O767&lt;&gt;"NC",O767&lt;&gt;"SF",O767&lt;&gt;""),AND(Q767&lt;&gt;"NA",Q767&lt;&gt;"C",Q767&lt;&gt;"NC",Q767&lt;&gt;"SF",Q767&lt;&gt;""),AND(S767&lt;&gt;"NA",S767&lt;&gt;"C",S767&lt;&gt;"NC",S767&lt;&gt;"SF",S767&lt;&gt;""),AND(U767&lt;&gt;"NA",U767&lt;&gt;"C",U767&lt;&gt;"NC",U767&lt;&gt;"SF",U767&lt;&gt;""),AND(W767&lt;&gt;"NA",W767&lt;&gt;"C",W767&lt;&gt;"NC",W767&lt;&gt;"SF",W767&lt;&gt;"")),"FALSO",IF(AND(O767="NA",Q767="NA",S767="NA",U767="NA",W767="NA"),"NA",IF(OR(O767="NC",Q767="NC",S767="NC",U767="NC",W767="NC",O767="SF",Q767="SF",S767="SF",U767="SF",W767="SF"),"NC",IF(OR(O767="C",Q767="C",S767="C",U767="C",W767="C"),"C","")))))</f>
        <v>C</v>
      </c>
      <c r="AA767" s="217" t="str">
        <f t="shared" si="51"/>
        <v>UTILIZOU O PDA CORRETAMENTE</v>
      </c>
      <c r="AB767" s="92" t="s">
        <v>204</v>
      </c>
      <c r="AC767" s="164" t="s">
        <v>6</v>
      </c>
      <c r="AD767" s="151" t="str">
        <f t="shared" si="49"/>
        <v>GUARULHOS</v>
      </c>
      <c r="AE767" s="96" t="s">
        <v>63</v>
      </c>
      <c r="AF767" s="53">
        <v>0.32676761389232722</v>
      </c>
      <c r="AG767" s="53" t="str" cm="1">
        <f t="array" ref="AG767">IF(OR(O767&lt;&gt;"", SUMPRODUCT(($AH$2:$AH$4999=AH767)*($AF$2:$AF$4999&lt;=AF767)) &lt;= (COUNTIF($AH$2:$AH$4999,AH767)*0.3)), "SORTEADO", "-")</f>
        <v>SORTEADO</v>
      </c>
      <c r="AH767" s="257" t="str">
        <f t="shared" si="50"/>
        <v>30/04/2026</v>
      </c>
    </row>
    <row r="768" spans="1:34" ht="30" hidden="1" customHeight="1" x14ac:dyDescent="0.2">
      <c r="A768" s="245" t="s">
        <v>197</v>
      </c>
      <c r="B768" s="245">
        <v>2691980658</v>
      </c>
      <c r="C768" s="245" t="s">
        <v>133</v>
      </c>
      <c r="D768" s="245" t="s">
        <v>124</v>
      </c>
      <c r="E768" s="245" t="s">
        <v>198</v>
      </c>
      <c r="F768" s="245" t="s">
        <v>4583</v>
      </c>
      <c r="G768" s="245">
        <v>28</v>
      </c>
      <c r="H768" s="245"/>
      <c r="I768" s="245" t="s">
        <v>584</v>
      </c>
      <c r="J768" s="245" t="s">
        <v>3275</v>
      </c>
      <c r="K768" s="245" t="s">
        <v>4521</v>
      </c>
      <c r="L768" s="230" t="s">
        <v>2516</v>
      </c>
      <c r="M768" s="245" t="s">
        <v>4584</v>
      </c>
      <c r="N768" s="245" t="s">
        <v>3289</v>
      </c>
      <c r="O768" s="158"/>
      <c r="P768" s="92"/>
      <c r="Q768" s="146"/>
      <c r="R768" s="92"/>
      <c r="S768" s="146"/>
      <c r="T768" s="92"/>
      <c r="U768" s="146"/>
      <c r="V768" s="92"/>
      <c r="W768" s="146"/>
      <c r="X768" s="92"/>
      <c r="Y768" s="146"/>
      <c r="Z768" s="186" t="str">
        <f t="shared" si="52"/>
        <v/>
      </c>
      <c r="AA768" s="217" t="b">
        <f t="shared" si="51"/>
        <v>0</v>
      </c>
      <c r="AB768" s="92"/>
      <c r="AC768" s="164" t="s">
        <v>6</v>
      </c>
      <c r="AD768" s="151" t="str">
        <f t="shared" si="49"/>
        <v>GUARULHOS</v>
      </c>
      <c r="AE768" s="96" t="s">
        <v>63</v>
      </c>
      <c r="AF768" s="53">
        <v>0.87956079945884447</v>
      </c>
      <c r="AG768" s="53" t="str" cm="1">
        <f t="array" ref="AG768">IF(OR(O768&lt;&gt;"", SUMPRODUCT(($AH$2:$AH$4999=AH768)*($AF$2:$AF$4999&lt;=AF768)) &lt;= (COUNTIF($AH$2:$AH$4999,AH768)*0.3)), "SORTEADO", "-")</f>
        <v>-</v>
      </c>
      <c r="AH768" s="257" t="str">
        <f t="shared" si="50"/>
        <v>30/04/2026</v>
      </c>
    </row>
    <row r="769" spans="1:34" ht="30" hidden="1" customHeight="1" x14ac:dyDescent="0.2">
      <c r="A769" s="245" t="s">
        <v>197</v>
      </c>
      <c r="B769" s="245">
        <v>2692001021</v>
      </c>
      <c r="C769" s="245" t="s">
        <v>127</v>
      </c>
      <c r="D769" s="245" t="s">
        <v>63</v>
      </c>
      <c r="E769" s="245" t="s">
        <v>198</v>
      </c>
      <c r="F769" s="245" t="s">
        <v>1722</v>
      </c>
      <c r="G769" s="245">
        <v>53</v>
      </c>
      <c r="H769" s="245" t="s">
        <v>1723</v>
      </c>
      <c r="I769" s="245" t="s">
        <v>214</v>
      </c>
      <c r="J769" s="245" t="s">
        <v>3275</v>
      </c>
      <c r="K769" s="245" t="s">
        <v>213</v>
      </c>
      <c r="L769" s="230" t="s">
        <v>2516</v>
      </c>
      <c r="M769" s="245" t="s">
        <v>4585</v>
      </c>
      <c r="N769" s="245" t="s">
        <v>3282</v>
      </c>
      <c r="O769" s="158"/>
      <c r="P769" s="92"/>
      <c r="Q769" s="146"/>
      <c r="R769" s="92"/>
      <c r="S769" s="146"/>
      <c r="T769" s="92"/>
      <c r="U769" s="146"/>
      <c r="V769" s="92"/>
      <c r="W769" s="146"/>
      <c r="X769" s="92"/>
      <c r="Y769" s="146"/>
      <c r="Z769" s="186" t="str">
        <f t="shared" si="52"/>
        <v/>
      </c>
      <c r="AA769" s="217" t="b">
        <f t="shared" si="51"/>
        <v>0</v>
      </c>
      <c r="AB769" s="92"/>
      <c r="AC769" s="164" t="s">
        <v>6</v>
      </c>
      <c r="AD769" s="151" t="str">
        <f t="shared" si="49"/>
        <v>GUARULHOS</v>
      </c>
      <c r="AE769" s="96" t="s">
        <v>63</v>
      </c>
      <c r="AF769" s="53">
        <v>0.86404855930316482</v>
      </c>
      <c r="AG769" s="53" t="str" cm="1">
        <f t="array" ref="AG769">IF(OR(O769&lt;&gt;"", SUMPRODUCT(($AH$2:$AH$4999=AH769)*($AF$2:$AF$4999&lt;=AF769)) &lt;= (COUNTIF($AH$2:$AH$4999,AH769)*0.3)), "SORTEADO", "-")</f>
        <v>-</v>
      </c>
      <c r="AH769" s="257" t="str">
        <f t="shared" si="50"/>
        <v>30/04/2026</v>
      </c>
    </row>
    <row r="770" spans="1:34" ht="30" customHeight="1" x14ac:dyDescent="0.2">
      <c r="A770" s="245" t="s">
        <v>197</v>
      </c>
      <c r="B770" s="245">
        <v>2692007763</v>
      </c>
      <c r="C770" s="245" t="s">
        <v>127</v>
      </c>
      <c r="D770" s="245" t="s">
        <v>63</v>
      </c>
      <c r="E770" s="245" t="s">
        <v>198</v>
      </c>
      <c r="F770" s="245" t="s">
        <v>4507</v>
      </c>
      <c r="G770" s="245">
        <v>41</v>
      </c>
      <c r="H770" s="245" t="s">
        <v>4508</v>
      </c>
      <c r="I770" s="245" t="s">
        <v>335</v>
      </c>
      <c r="J770" s="245" t="s">
        <v>3275</v>
      </c>
      <c r="K770" s="245"/>
      <c r="L770" s="230" t="s">
        <v>2516</v>
      </c>
      <c r="M770" s="245" t="s">
        <v>4586</v>
      </c>
      <c r="N770" s="245" t="s">
        <v>3282</v>
      </c>
      <c r="O770" s="158" t="s">
        <v>204</v>
      </c>
      <c r="P770" s="92"/>
      <c r="Q770" s="146" t="s">
        <v>204</v>
      </c>
      <c r="R770" s="92"/>
      <c r="S770" s="146" t="s">
        <v>204</v>
      </c>
      <c r="T770" s="92"/>
      <c r="U770" s="146" t="s">
        <v>204</v>
      </c>
      <c r="V770" s="92"/>
      <c r="W770" s="146" t="s">
        <v>204</v>
      </c>
      <c r="X770" s="92"/>
      <c r="Y770" s="146" t="s">
        <v>204</v>
      </c>
      <c r="Z770" s="186" t="str">
        <f t="shared" si="52"/>
        <v>C</v>
      </c>
      <c r="AA770" s="217" t="str">
        <f t="shared" si="51"/>
        <v>UTILIZOU O PDA CORRETAMENTE</v>
      </c>
      <c r="AB770" s="92" t="s">
        <v>204</v>
      </c>
      <c r="AC770" s="164" t="s">
        <v>6</v>
      </c>
      <c r="AD770" s="151" t="str">
        <f t="shared" si="49"/>
        <v>GUARULHOS</v>
      </c>
      <c r="AE770" s="96" t="s">
        <v>63</v>
      </c>
      <c r="AF770" s="53">
        <v>7.0173461637359829E-3</v>
      </c>
      <c r="AG770" s="53" t="str" cm="1">
        <f t="array" ref="AG770">IF(OR(O770&lt;&gt;"", SUMPRODUCT(($AH$2:$AH$4999=AH770)*($AF$2:$AF$4999&lt;=AF770)) &lt;= (COUNTIF($AH$2:$AH$4999,AH770)*0.3)), "SORTEADO", "-")</f>
        <v>SORTEADO</v>
      </c>
      <c r="AH770" s="257" t="str">
        <f t="shared" si="50"/>
        <v>30/04/2026</v>
      </c>
    </row>
    <row r="771" spans="1:34" ht="30" customHeight="1" x14ac:dyDescent="0.2">
      <c r="A771" s="245" t="s">
        <v>197</v>
      </c>
      <c r="B771" s="245">
        <v>2615316072</v>
      </c>
      <c r="C771" s="245" t="s">
        <v>134</v>
      </c>
      <c r="D771" s="245" t="s">
        <v>124</v>
      </c>
      <c r="E771" s="245" t="s">
        <v>198</v>
      </c>
      <c r="F771" s="245" t="s">
        <v>4587</v>
      </c>
      <c r="G771" s="245">
        <v>128</v>
      </c>
      <c r="H771" s="245" t="s">
        <v>4588</v>
      </c>
      <c r="I771" s="245" t="s">
        <v>664</v>
      </c>
      <c r="J771" s="245" t="s">
        <v>3285</v>
      </c>
      <c r="K771" s="245" t="s">
        <v>4589</v>
      </c>
      <c r="L771" s="230" t="s">
        <v>2516</v>
      </c>
      <c r="M771" s="245" t="s">
        <v>4590</v>
      </c>
      <c r="N771" s="245" t="s">
        <v>408</v>
      </c>
      <c r="O771" s="158" t="s">
        <v>328</v>
      </c>
      <c r="P771" s="92"/>
      <c r="Q771" s="146" t="s">
        <v>328</v>
      </c>
      <c r="R771" s="92"/>
      <c r="S771" s="146" t="s">
        <v>328</v>
      </c>
      <c r="T771" s="92"/>
      <c r="U771" s="146" t="s">
        <v>328</v>
      </c>
      <c r="V771" s="92"/>
      <c r="W771" s="146" t="s">
        <v>328</v>
      </c>
      <c r="X771" s="92"/>
      <c r="Y771" s="146" t="s">
        <v>210</v>
      </c>
      <c r="Z771" s="186" t="str">
        <f t="shared" si="52"/>
        <v>NC</v>
      </c>
      <c r="AA771" s="217" t="str">
        <f t="shared" si="51"/>
        <v>NÃO UTILIZOU O PDA</v>
      </c>
      <c r="AB771" s="92" t="s">
        <v>204</v>
      </c>
      <c r="AC771" s="164" t="s">
        <v>6</v>
      </c>
      <c r="AD771" s="151" t="str">
        <f t="shared" si="49"/>
        <v>GUARULHOS</v>
      </c>
      <c r="AE771" s="96" t="s">
        <v>63</v>
      </c>
      <c r="AF771" s="53">
        <v>0.40729056278495057</v>
      </c>
      <c r="AG771" s="53" t="str" cm="1">
        <f t="array" ref="AG771">IF(OR(O771&lt;&gt;"", SUMPRODUCT(($AH$2:$AH$4999=AH771)*($AF$2:$AF$4999&lt;=AF771)) &lt;= (COUNTIF($AH$2:$AH$4999,AH771)*0.3)), "SORTEADO", "-")</f>
        <v>SORTEADO</v>
      </c>
      <c r="AH771" s="257" t="str">
        <f t="shared" si="50"/>
        <v>30/04/2026</v>
      </c>
    </row>
    <row r="772" spans="1:34" ht="30" hidden="1" customHeight="1" x14ac:dyDescent="0.2">
      <c r="A772" s="245" t="s">
        <v>197</v>
      </c>
      <c r="B772" s="245">
        <v>2692016592</v>
      </c>
      <c r="C772" s="245" t="s">
        <v>133</v>
      </c>
      <c r="D772" s="245" t="s">
        <v>124</v>
      </c>
      <c r="E772" s="245" t="s">
        <v>198</v>
      </c>
      <c r="F772" s="245" t="s">
        <v>4591</v>
      </c>
      <c r="G772" s="245">
        <v>83</v>
      </c>
      <c r="H772" s="245" t="s">
        <v>1599</v>
      </c>
      <c r="I772" s="245" t="s">
        <v>4592</v>
      </c>
      <c r="J772" s="245" t="s">
        <v>3275</v>
      </c>
      <c r="K772" s="245" t="s">
        <v>4521</v>
      </c>
      <c r="L772" s="230" t="s">
        <v>2516</v>
      </c>
      <c r="M772" s="245" t="s">
        <v>4593</v>
      </c>
      <c r="N772" s="245" t="s">
        <v>3289</v>
      </c>
      <c r="O772" s="158"/>
      <c r="P772" s="92"/>
      <c r="Q772" s="146"/>
      <c r="R772" s="92"/>
      <c r="S772" s="146"/>
      <c r="T772" s="92"/>
      <c r="U772" s="146"/>
      <c r="V772" s="92"/>
      <c r="W772" s="146"/>
      <c r="X772" s="92"/>
      <c r="Y772" s="146"/>
      <c r="Z772" s="186" t="str">
        <f t="shared" si="52"/>
        <v/>
      </c>
      <c r="AA772" s="217" t="b">
        <f t="shared" si="51"/>
        <v>0</v>
      </c>
      <c r="AB772" s="92"/>
      <c r="AC772" s="164" t="s">
        <v>6</v>
      </c>
      <c r="AD772" s="151" t="str">
        <f t="shared" si="49"/>
        <v>GUARULHOS</v>
      </c>
      <c r="AE772" s="96" t="s">
        <v>63</v>
      </c>
      <c r="AF772" s="53">
        <v>0.96353780658497479</v>
      </c>
      <c r="AG772" s="53" t="str" cm="1">
        <f t="array" ref="AG772">IF(OR(O772&lt;&gt;"", SUMPRODUCT(($AH$2:$AH$4999=AH772)*($AF$2:$AF$4999&lt;=AF772)) &lt;= (COUNTIF($AH$2:$AH$4999,AH772)*0.3)), "SORTEADO", "-")</f>
        <v>-</v>
      </c>
      <c r="AH772" s="257" t="str">
        <f t="shared" si="50"/>
        <v>30/04/2026</v>
      </c>
    </row>
    <row r="773" spans="1:34" ht="30" customHeight="1" x14ac:dyDescent="0.2">
      <c r="A773" s="245" t="s">
        <v>197</v>
      </c>
      <c r="B773" s="245">
        <v>2692013233</v>
      </c>
      <c r="C773" s="245" t="s">
        <v>133</v>
      </c>
      <c r="D773" s="245" t="s">
        <v>124</v>
      </c>
      <c r="E773" s="245" t="s">
        <v>198</v>
      </c>
      <c r="F773" s="245" t="s">
        <v>807</v>
      </c>
      <c r="G773" s="245">
        <v>403</v>
      </c>
      <c r="H773" s="245" t="s">
        <v>4594</v>
      </c>
      <c r="I773" s="245" t="s">
        <v>285</v>
      </c>
      <c r="J773" s="245" t="s">
        <v>3275</v>
      </c>
      <c r="K773" s="245" t="s">
        <v>4521</v>
      </c>
      <c r="L773" s="230" t="s">
        <v>2516</v>
      </c>
      <c r="M773" s="245" t="s">
        <v>2621</v>
      </c>
      <c r="N773" s="245" t="s">
        <v>3289</v>
      </c>
      <c r="O773" s="158" t="s">
        <v>204</v>
      </c>
      <c r="P773" s="92"/>
      <c r="Q773" s="146" t="s">
        <v>204</v>
      </c>
      <c r="R773" s="92"/>
      <c r="S773" s="146" t="s">
        <v>204</v>
      </c>
      <c r="T773" s="92"/>
      <c r="U773" s="146" t="s">
        <v>204</v>
      </c>
      <c r="V773" s="92"/>
      <c r="W773" s="146" t="s">
        <v>204</v>
      </c>
      <c r="X773" s="92"/>
      <c r="Y773" s="146" t="s">
        <v>204</v>
      </c>
      <c r="Z773" s="186" t="str">
        <f t="shared" si="52"/>
        <v>C</v>
      </c>
      <c r="AA773" s="217" t="str">
        <f t="shared" si="51"/>
        <v>UTILIZOU O PDA CORRETAMENTE</v>
      </c>
      <c r="AB773" s="92" t="s">
        <v>204</v>
      </c>
      <c r="AC773" s="164" t="s">
        <v>6</v>
      </c>
      <c r="AD773" s="151" t="str">
        <f t="shared" si="49"/>
        <v>GUARULHOS</v>
      </c>
      <c r="AE773" s="96" t="s">
        <v>63</v>
      </c>
      <c r="AF773" s="53">
        <v>0.26908106516553215</v>
      </c>
      <c r="AG773" s="53" t="str" cm="1">
        <f t="array" ref="AG773">IF(OR(O773&lt;&gt;"", SUMPRODUCT(($AH$2:$AH$4999=AH773)*($AF$2:$AF$4999&lt;=AF773)) &lt;= (COUNTIF($AH$2:$AH$4999,AH773)*0.3)), "SORTEADO", "-")</f>
        <v>SORTEADO</v>
      </c>
      <c r="AH773" s="257" t="str">
        <f t="shared" si="50"/>
        <v>30/04/2026</v>
      </c>
    </row>
    <row r="774" spans="1:34" ht="30" hidden="1" customHeight="1" x14ac:dyDescent="0.2">
      <c r="A774" s="245" t="s">
        <v>197</v>
      </c>
      <c r="B774" s="245">
        <v>2692027823</v>
      </c>
      <c r="C774" s="245" t="s">
        <v>127</v>
      </c>
      <c r="D774" s="245" t="s">
        <v>63</v>
      </c>
      <c r="E774" s="245" t="s">
        <v>198</v>
      </c>
      <c r="F774" s="245" t="s">
        <v>829</v>
      </c>
      <c r="G774" s="245">
        <v>165</v>
      </c>
      <c r="H774" s="245"/>
      <c r="I774" s="245" t="s">
        <v>664</v>
      </c>
      <c r="J774" s="245" t="s">
        <v>3271</v>
      </c>
      <c r="K774" s="245" t="s">
        <v>1154</v>
      </c>
      <c r="L774" s="230" t="s">
        <v>2516</v>
      </c>
      <c r="M774" s="245" t="s">
        <v>4595</v>
      </c>
      <c r="N774" s="245" t="s">
        <v>241</v>
      </c>
      <c r="O774" s="158"/>
      <c r="P774" s="92"/>
      <c r="Q774" s="146"/>
      <c r="R774" s="92"/>
      <c r="S774" s="146"/>
      <c r="T774" s="92"/>
      <c r="U774" s="146"/>
      <c r="V774" s="92"/>
      <c r="W774" s="146"/>
      <c r="X774" s="92"/>
      <c r="Y774" s="146"/>
      <c r="Z774" s="186" t="str">
        <f t="shared" si="52"/>
        <v/>
      </c>
      <c r="AA774" s="217" t="b">
        <f t="shared" si="51"/>
        <v>0</v>
      </c>
      <c r="AB774" s="92"/>
      <c r="AC774" s="164" t="s">
        <v>6</v>
      </c>
      <c r="AD774" s="151" t="str">
        <f t="shared" si="49"/>
        <v>GUARULHOS</v>
      </c>
      <c r="AE774" s="96" t="s">
        <v>63</v>
      </c>
      <c r="AF774" s="53">
        <v>0.48808434214284063</v>
      </c>
      <c r="AG774" s="53" t="str" cm="1">
        <f t="array" ref="AG774">IF(OR(O774&lt;&gt;"", SUMPRODUCT(($AH$2:$AH$4999=AH774)*($AF$2:$AF$4999&lt;=AF774)) &lt;= (COUNTIF($AH$2:$AH$4999,AH774)*0.3)), "SORTEADO", "-")</f>
        <v>-</v>
      </c>
      <c r="AH774" s="257" t="str">
        <f t="shared" si="50"/>
        <v>30/04/2026</v>
      </c>
    </row>
  </sheetData>
  <autoFilter ref="A1:AH774" xr:uid="{00000000-0001-0000-0B00-000000000000}">
    <filterColumn colId="25">
      <filters>
        <filter val="C"/>
        <filter val="NC"/>
      </filters>
    </filterColumn>
  </autoFilter>
  <conditionalFormatting sqref="A1 C1:E1">
    <cfRule type="duplicateValues" dxfId="37" priority="130" stopIfTrue="1"/>
    <cfRule type="duplicateValues" dxfId="36" priority="131"/>
  </conditionalFormatting>
  <conditionalFormatting sqref="O2:O235 O237:O774">
    <cfRule type="expression" dxfId="35" priority="127">
      <formula>O2=""</formula>
    </cfRule>
    <cfRule type="expression" dxfId="34" priority="128" stopIfTrue="1">
      <formula>NOT(OR(O2="C",O2="NC",O2="SF",O2="NA"))</formula>
    </cfRule>
  </conditionalFormatting>
  <conditionalFormatting sqref="Q2:Q774">
    <cfRule type="expression" dxfId="33" priority="9">
      <formula>Q2=""</formula>
    </cfRule>
    <cfRule type="expression" dxfId="32" priority="10" stopIfTrue="1">
      <formula>NOT(OR(Q2="C",Q2="NC",Q2="SF",Q2="NA"))</formula>
    </cfRule>
  </conditionalFormatting>
  <conditionalFormatting sqref="S2:S774">
    <cfRule type="expression" dxfId="31" priority="7">
      <formula>S2=""</formula>
    </cfRule>
    <cfRule type="expression" dxfId="30" priority="8" stopIfTrue="1">
      <formula>NOT(OR(S2="C",S2="NC",S2="SF",S2="NA"))</formula>
    </cfRule>
  </conditionalFormatting>
  <conditionalFormatting sqref="U2:U774">
    <cfRule type="expression" dxfId="29" priority="5">
      <formula>U2=""</formula>
    </cfRule>
    <cfRule type="expression" dxfId="28" priority="6" stopIfTrue="1">
      <formula>NOT(OR(U2="C",U2="NC",U2="SF",U2="NA"))</formula>
    </cfRule>
  </conditionalFormatting>
  <conditionalFormatting sqref="W2:W774">
    <cfRule type="expression" dxfId="27" priority="3">
      <formula>W2=""</formula>
    </cfRule>
    <cfRule type="expression" dxfId="26" priority="4" stopIfTrue="1">
      <formula>NOT(OR(W2="C",W2="NC",W2="SF",W2="NA"))</formula>
    </cfRule>
  </conditionalFormatting>
  <conditionalFormatting sqref="Y2:Z774">
    <cfRule type="expression" dxfId="25" priority="1">
      <formula>Y2=""</formula>
    </cfRule>
    <cfRule type="expression" dxfId="24" priority="2" stopIfTrue="1">
      <formula>NOT(OR(Y2="C",Y2="NC",Y2="SF",Y2="NA"))</formula>
    </cfRule>
  </conditionalFormatting>
  <conditionalFormatting sqref="AB2:AB60">
    <cfRule type="expression" dxfId="23" priority="89">
      <formula>AB2=""</formula>
    </cfRule>
    <cfRule type="expression" dxfId="22" priority="90" stopIfTrue="1">
      <formula>NOT(OR(AB2="C",AB2="NC",AB2="SF",AB2="NA"))</formula>
    </cfRule>
  </conditionalFormatting>
  <pageMargins left="0.511811024" right="0.511811024" top="0.78740157499999996" bottom="0.78740157499999996" header="0.31496062000000002" footer="0.3149606200000000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7" tint="0.59999389629810485"/>
    <pageSetUpPr fitToPage="1"/>
  </sheetPr>
  <dimension ref="A1:H11"/>
  <sheetViews>
    <sheetView zoomScale="55" zoomScaleNormal="55" zoomScaleSheetLayoutView="70" workbookViewId="0">
      <selection activeCell="B5" sqref="B5:G11"/>
    </sheetView>
  </sheetViews>
  <sheetFormatPr defaultColWidth="9.140625" defaultRowHeight="21" customHeight="1" x14ac:dyDescent="0.3"/>
  <cols>
    <col min="1" max="1" width="5.7109375" style="100" customWidth="1"/>
    <col min="2" max="7" width="30.7109375" style="100" customWidth="1"/>
    <col min="8" max="8" width="5.7109375" style="100" customWidth="1"/>
    <col min="9" max="16384" width="9.140625" style="100"/>
  </cols>
  <sheetData>
    <row r="1" spans="1:8" s="39" customFormat="1" ht="19.899999999999999" customHeight="1" x14ac:dyDescent="0.25">
      <c r="A1" s="350" t="s">
        <v>63</v>
      </c>
      <c r="B1" s="351"/>
      <c r="C1" s="351"/>
      <c r="D1" s="351"/>
      <c r="E1" s="351"/>
      <c r="F1" s="351"/>
      <c r="G1" s="351"/>
      <c r="H1" s="352"/>
    </row>
    <row r="2" spans="1:8" s="20" customFormat="1" ht="19.899999999999999" customHeight="1" x14ac:dyDescent="0.25">
      <c r="A2" s="44"/>
      <c r="B2" s="44"/>
      <c r="C2" s="44"/>
      <c r="D2" s="44"/>
      <c r="E2" s="44"/>
      <c r="F2" s="44"/>
      <c r="G2" s="44"/>
      <c r="H2" s="44"/>
    </row>
    <row r="3" spans="1:8" s="40" customFormat="1" ht="19.899999999999999" customHeight="1" x14ac:dyDescent="0.25">
      <c r="A3" s="346" t="s">
        <v>2623</v>
      </c>
      <c r="B3" s="346"/>
      <c r="C3" s="346"/>
      <c r="D3" s="346"/>
      <c r="E3" s="346"/>
      <c r="F3" s="346"/>
      <c r="G3" s="346"/>
      <c r="H3" s="346"/>
    </row>
    <row r="4" spans="1:8" s="99" customFormat="1" ht="21" customHeight="1" x14ac:dyDescent="0.3">
      <c r="A4" s="100"/>
      <c r="B4" s="100"/>
      <c r="C4" s="100"/>
      <c r="D4" s="100"/>
      <c r="E4" s="100"/>
      <c r="F4" s="100"/>
      <c r="G4" s="100"/>
      <c r="H4" s="100"/>
    </row>
    <row r="5" spans="1:8" ht="21" customHeight="1" x14ac:dyDescent="0.3">
      <c r="B5" s="347" t="str">
        <f>'DADOS - GOPOÚVA'!B189</f>
        <v>ADEMAR JOSE VIANA</v>
      </c>
      <c r="C5" s="347"/>
      <c r="D5" s="347"/>
      <c r="E5" s="347"/>
      <c r="F5" s="347"/>
      <c r="G5" s="347"/>
    </row>
    <row r="6" spans="1:8" ht="21" customHeight="1" x14ac:dyDescent="0.3">
      <c r="B6" s="348" t="s">
        <v>2624</v>
      </c>
      <c r="C6" s="348"/>
      <c r="D6" s="130" t="s">
        <v>56</v>
      </c>
      <c r="E6" s="130" t="s">
        <v>43</v>
      </c>
      <c r="F6" s="130" t="s">
        <v>41</v>
      </c>
      <c r="G6" s="130" t="s">
        <v>42</v>
      </c>
    </row>
    <row r="7" spans="1:8" ht="21" customHeight="1" x14ac:dyDescent="0.3">
      <c r="B7" s="344" t="s">
        <v>46</v>
      </c>
      <c r="C7" s="345"/>
      <c r="D7" s="102">
        <f>F7+G7+E7</f>
        <v>2</v>
      </c>
      <c r="E7" s="102">
        <f>COUNTIFS(CAVALETE!N:N,'EQUIPES - CAVALETE '!B5,CAVALETE!O:O,"SF")</f>
        <v>0</v>
      </c>
      <c r="F7" s="102">
        <f>COUNTIFS(CAVALETE!N:N,'EQUIPES - CAVALETE '!B5,CAVALETE!O:O,"C")</f>
        <v>2</v>
      </c>
      <c r="G7" s="102">
        <f>COUNTIFS(CAVALETE!N:N,'EQUIPES - CAVALETE '!B5,CAVALETE!O:O,"NC")</f>
        <v>0</v>
      </c>
    </row>
    <row r="8" spans="1:8" ht="21" customHeight="1" x14ac:dyDescent="0.3">
      <c r="B8" s="344" t="s">
        <v>64</v>
      </c>
      <c r="C8" s="345"/>
      <c r="D8" s="102">
        <f t="shared" ref="D8:D11" si="0">F8+G8+E8</f>
        <v>2</v>
      </c>
      <c r="E8" s="102">
        <f>COUNTIFS(CAVALETE!N:N,'EQUIPES - CAVALETE '!B5,CAVALETE!Q:Q,"SF")</f>
        <v>0</v>
      </c>
      <c r="F8" s="102">
        <f>COUNTIFS(CAVALETE!N:N,'EQUIPES - CAVALETE '!B5,CAVALETE!Q:Q,"C")</f>
        <v>2</v>
      </c>
      <c r="G8" s="102">
        <f>COUNTIFS(CAVALETE!N:N,'EQUIPES - CAVALETE '!B5,CAVALETE!Q:Q,"NC")</f>
        <v>0</v>
      </c>
    </row>
    <row r="9" spans="1:8" ht="21" customHeight="1" x14ac:dyDescent="0.3">
      <c r="B9" s="344" t="s">
        <v>65</v>
      </c>
      <c r="C9" s="345"/>
      <c r="D9" s="102">
        <f t="shared" si="0"/>
        <v>2</v>
      </c>
      <c r="E9" s="102">
        <f>COUNTIFS(CAVALETE!N:N,'EQUIPES - CAVALETE '!B5,CAVALETE!S:S,"SF")</f>
        <v>0</v>
      </c>
      <c r="F9" s="102">
        <f>COUNTIFS(CAVALETE!N:N,'EQUIPES - CAVALETE '!B5,CAVALETE!S:S,"C")</f>
        <v>2</v>
      </c>
      <c r="G9" s="102">
        <f>COUNTIFS(CAVALETE!N:N,'EQUIPES - CAVALETE '!B5,CAVALETE!S:S,"NC")</f>
        <v>0</v>
      </c>
    </row>
    <row r="10" spans="1:8" ht="21" customHeight="1" x14ac:dyDescent="0.3">
      <c r="B10" s="344" t="s">
        <v>66</v>
      </c>
      <c r="C10" s="345"/>
      <c r="D10" s="102">
        <f t="shared" si="0"/>
        <v>2</v>
      </c>
      <c r="E10" s="102">
        <f>COUNTIFS(CAVALETE!N:N,'EQUIPES - CAVALETE '!B5,CAVALETE!U:U,"SF")</f>
        <v>0</v>
      </c>
      <c r="F10" s="102">
        <f>COUNTIFS(CAVALETE!N:N,'EQUIPES - CAVALETE '!B5,CAVALETE!U:U,"C")</f>
        <v>2</v>
      </c>
      <c r="G10" s="102">
        <f>COUNTIFS(CAVALETE!N:N,'EQUIPES - CAVALETE '!B5,CAVALETE!U:U,"NC")</f>
        <v>0</v>
      </c>
    </row>
    <row r="11" spans="1:8" ht="21" customHeight="1" x14ac:dyDescent="0.3">
      <c r="B11" s="344" t="s">
        <v>53</v>
      </c>
      <c r="C11" s="345"/>
      <c r="D11" s="102">
        <f t="shared" si="0"/>
        <v>2</v>
      </c>
      <c r="E11" s="102">
        <f>COUNTIFS(CAVALETE!N:N,'EQUIPES - CAVALETE '!B5,CAVALETE!W:W,"SF")</f>
        <v>0</v>
      </c>
      <c r="F11" s="102">
        <f>COUNTIFS(CAVALETE!N:N,'EQUIPES - CAVALETE '!B5,CAVALETE!W:W,"C")</f>
        <v>2</v>
      </c>
      <c r="G11" s="102">
        <f>COUNTIFS(CAVALETE!N:N,'EQUIPES - CAVALETE '!B5,CAVALETE!W:W,"NC")</f>
        <v>0</v>
      </c>
    </row>
  </sheetData>
  <mergeCells count="9">
    <mergeCell ref="B8:C8"/>
    <mergeCell ref="B9:C9"/>
    <mergeCell ref="B10:C10"/>
    <mergeCell ref="B11:C11"/>
    <mergeCell ref="A1:H1"/>
    <mergeCell ref="A3:H3"/>
    <mergeCell ref="B5:G5"/>
    <mergeCell ref="B6:C6"/>
    <mergeCell ref="B7:C7"/>
  </mergeCells>
  <pageMargins left="0.25" right="0.25" top="0.75" bottom="0.75" header="0.3" footer="0.3"/>
  <pageSetup paperSize="9" scale="47" fitToHeight="0"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2" tint="-0.249977111117893"/>
    <pageSetUpPr fitToPage="1"/>
  </sheetPr>
  <dimension ref="A1:K118"/>
  <sheetViews>
    <sheetView topLeftCell="A40" zoomScale="55" zoomScaleNormal="55" zoomScaleSheetLayoutView="55" workbookViewId="0">
      <selection activeCell="M97" sqref="M97"/>
    </sheetView>
  </sheetViews>
  <sheetFormatPr defaultColWidth="9.140625" defaultRowHeight="19.899999999999999" customHeight="1" x14ac:dyDescent="0.25"/>
  <cols>
    <col min="1" max="7" width="37.7109375" style="18" customWidth="1"/>
    <col min="8" max="16384" width="9.140625" style="18"/>
  </cols>
  <sheetData>
    <row r="1" spans="1:7" s="2" customFormat="1" ht="35.1" customHeight="1" x14ac:dyDescent="0.25">
      <c r="A1" s="340" t="s">
        <v>157</v>
      </c>
      <c r="B1" s="340"/>
      <c r="C1" s="340"/>
      <c r="D1" s="340"/>
      <c r="E1" s="340"/>
      <c r="F1" s="340"/>
    </row>
    <row r="2" spans="1:7" s="4" customFormat="1" ht="30" customHeight="1" thickBot="1" x14ac:dyDescent="0.2"/>
    <row r="3" spans="1:7" s="3" customFormat="1" ht="30" customHeight="1" x14ac:dyDescent="0.25">
      <c r="B3" s="330" t="s">
        <v>158</v>
      </c>
      <c r="C3" s="331"/>
      <c r="D3" s="330" t="s">
        <v>56</v>
      </c>
      <c r="E3" s="331"/>
    </row>
    <row r="4" spans="1:7" s="3" customFormat="1" ht="30" customHeight="1" thickBot="1" x14ac:dyDescent="0.3">
      <c r="B4" s="328">
        <f>COUNTIF(REPOSIÇÃO!A:A,"ONMG - DIV MANUT SERV OPE GOPOÚVA")</f>
        <v>512</v>
      </c>
      <c r="C4" s="329"/>
      <c r="D4" s="328">
        <f>'DADOS - GOPOÚVA'!C30</f>
        <v>219</v>
      </c>
      <c r="E4" s="329"/>
    </row>
    <row r="5" spans="1:7" s="3" customFormat="1" ht="35.1" customHeight="1" x14ac:dyDescent="0.25">
      <c r="A5" s="24"/>
      <c r="B5" s="88" t="s">
        <v>159</v>
      </c>
      <c r="C5" s="89" t="s">
        <v>160</v>
      </c>
      <c r="D5" s="88" t="s">
        <v>161</v>
      </c>
      <c r="E5" s="89" t="s">
        <v>160</v>
      </c>
    </row>
    <row r="6" spans="1:7" s="3" customFormat="1" ht="35.1" customHeight="1" thickBot="1" x14ac:dyDescent="0.3">
      <c r="A6" s="24"/>
      <c r="B6" s="87">
        <f>'DADOS - GOPOÚVA'!C30+'GRÁFICOS - REPOSIÇÃO'!D8</f>
        <v>257</v>
      </c>
      <c r="C6" s="46">
        <f>IFERROR(B6/B4,"-")</f>
        <v>0.501953125</v>
      </c>
      <c r="D6" s="87">
        <f>COUNTIFS(REPOSIÇÃO!O:O,"SF",REPOSIÇÃO!Q:Q,"SF",REPOSIÇÃO!S:S,"SF",REPOSIÇÃO!U:U,"SF",REPOSIÇÃO!W:W,"SF",REPOSIÇÃO!AA:AA,"SF",REPOSIÇÃO!Y:Y,"SF",REPOSIÇÃO!AC:AC,"SF")</f>
        <v>3</v>
      </c>
      <c r="E6" s="46">
        <f>IFERROR(D6/B4,"-")</f>
        <v>5.859375E-3</v>
      </c>
    </row>
    <row r="7" spans="1:7" s="3" customFormat="1" ht="35.1" customHeight="1" x14ac:dyDescent="0.25">
      <c r="A7" s="24"/>
      <c r="B7" s="88" t="s">
        <v>162</v>
      </c>
      <c r="C7" s="89" t="s">
        <v>160</v>
      </c>
      <c r="D7" s="88" t="s">
        <v>163</v>
      </c>
      <c r="E7" s="89" t="s">
        <v>160</v>
      </c>
      <c r="F7" s="24"/>
    </row>
    <row r="8" spans="1:7" s="3" customFormat="1" ht="35.1" customHeight="1" thickBot="1" x14ac:dyDescent="0.3">
      <c r="A8" s="24"/>
      <c r="B8" s="87">
        <f>B4-B6</f>
        <v>255</v>
      </c>
      <c r="C8" s="46">
        <f>IFERROR(B8/B4,"-")</f>
        <v>0.498046875</v>
      </c>
      <c r="D8" s="87">
        <f>COUNTIFS(REPOSIÇÃO!O:O,"na",REPOSIÇÃO!Q:Q,"na",REPOSIÇÃO!S:S,"na",REPOSIÇÃO!U:U,"na",REPOSIÇÃO!W:W,"na",REPOSIÇÃO!AA:AA,"na",REPOSIÇÃO!Y:Y,"na",REPOSIÇÃO!AC:AC,"na")</f>
        <v>38</v>
      </c>
      <c r="E8" s="46">
        <f>IFERROR(D8/B4,"-")</f>
        <v>7.421875E-2</v>
      </c>
      <c r="F8" s="24"/>
    </row>
    <row r="9" spans="1:7" s="3" customFormat="1" ht="20.100000000000001" customHeight="1" x14ac:dyDescent="0.25">
      <c r="A9" s="24"/>
      <c r="B9" s="48"/>
      <c r="C9" s="49"/>
      <c r="D9" s="48"/>
      <c r="E9" s="49"/>
      <c r="F9" s="24"/>
    </row>
    <row r="10" spans="1:7" s="3" customFormat="1" ht="20.100000000000001" customHeight="1" x14ac:dyDescent="0.25">
      <c r="A10" s="24"/>
      <c r="B10" s="24"/>
      <c r="C10" s="28"/>
      <c r="D10" s="24"/>
      <c r="E10" s="28"/>
      <c r="F10" s="24"/>
    </row>
    <row r="11" spans="1:7" s="3" customFormat="1" ht="35.1" customHeight="1" x14ac:dyDescent="0.25">
      <c r="A11" s="340" t="s">
        <v>164</v>
      </c>
      <c r="B11" s="340"/>
      <c r="C11" s="340"/>
      <c r="D11" s="340"/>
      <c r="E11" s="340"/>
      <c r="F11" s="340"/>
      <c r="G11" s="340"/>
    </row>
    <row r="12" spans="1:7" s="3" customFormat="1" ht="20.100000000000001" customHeight="1" x14ac:dyDescent="0.25">
      <c r="E12" s="24"/>
      <c r="F12" s="28"/>
    </row>
    <row r="13" spans="1:7" s="3" customFormat="1" ht="20.100000000000001" customHeight="1" x14ac:dyDescent="0.25">
      <c r="A13" s="24"/>
      <c r="B13" s="24"/>
      <c r="C13" s="24"/>
      <c r="D13" s="24"/>
      <c r="E13" s="25"/>
      <c r="F13" s="24"/>
    </row>
    <row r="14" spans="1:7" s="1" customFormat="1" ht="20.100000000000001" customHeight="1" x14ac:dyDescent="0.25">
      <c r="A14" s="18"/>
      <c r="B14" s="18"/>
      <c r="C14" s="18"/>
      <c r="D14" s="18"/>
      <c r="E14" s="18"/>
      <c r="F14" s="18"/>
    </row>
    <row r="15" spans="1:7" s="1" customFormat="1" ht="20.100000000000001" customHeight="1" x14ac:dyDescent="0.25">
      <c r="A15" s="18"/>
      <c r="B15" s="18"/>
      <c r="C15" s="18"/>
      <c r="D15" s="18"/>
      <c r="E15" s="18"/>
      <c r="F15" s="18"/>
    </row>
    <row r="16" spans="1:7" s="1" customFormat="1" ht="20.100000000000001" customHeight="1" x14ac:dyDescent="0.25">
      <c r="A16" s="18"/>
      <c r="B16" s="18"/>
      <c r="C16" s="18"/>
      <c r="D16" s="18"/>
      <c r="E16" s="18"/>
      <c r="F16" s="18"/>
    </row>
    <row r="17" spans="1:6" s="1" customFormat="1" ht="20.100000000000001" customHeight="1" x14ac:dyDescent="0.25">
      <c r="A17" s="18"/>
      <c r="B17" s="18"/>
      <c r="C17" s="18"/>
      <c r="D17" s="18"/>
      <c r="E17" s="18"/>
      <c r="F17" s="18"/>
    </row>
    <row r="18" spans="1:6" s="1" customFormat="1" ht="20.100000000000001" customHeight="1" x14ac:dyDescent="0.25">
      <c r="A18" s="18"/>
      <c r="B18" s="18"/>
      <c r="C18" s="18"/>
      <c r="D18" s="18"/>
      <c r="E18" s="18"/>
      <c r="F18" s="18"/>
    </row>
    <row r="19" spans="1:6" s="1" customFormat="1" ht="20.100000000000001" customHeight="1" x14ac:dyDescent="0.25">
      <c r="A19" s="18"/>
      <c r="B19" s="18"/>
      <c r="C19" s="18"/>
      <c r="D19" s="18"/>
      <c r="E19" s="18"/>
      <c r="F19" s="18"/>
    </row>
    <row r="20" spans="1:6" s="1" customFormat="1" ht="20.100000000000001" customHeight="1" x14ac:dyDescent="0.25">
      <c r="A20" s="18"/>
      <c r="B20" s="18"/>
      <c r="C20" s="18"/>
      <c r="D20" s="18"/>
      <c r="E20" s="18"/>
      <c r="F20" s="18"/>
    </row>
    <row r="21" spans="1:6" s="1" customFormat="1" ht="20.100000000000001" customHeight="1" x14ac:dyDescent="0.25">
      <c r="A21" s="18"/>
      <c r="B21" s="18"/>
      <c r="C21" s="18"/>
      <c r="D21" s="18"/>
      <c r="E21" s="18"/>
      <c r="F21" s="18"/>
    </row>
    <row r="22" spans="1:6" s="1" customFormat="1" ht="20.100000000000001" customHeight="1" x14ac:dyDescent="0.25">
      <c r="A22" s="18"/>
      <c r="B22" s="18"/>
      <c r="C22" s="18"/>
      <c r="E22" s="18"/>
      <c r="F22" s="18"/>
    </row>
    <row r="23" spans="1:6" s="1" customFormat="1" ht="20.100000000000001" customHeight="1" x14ac:dyDescent="0.25">
      <c r="A23" s="18"/>
      <c r="B23" s="18"/>
      <c r="C23" s="18"/>
      <c r="D23" s="18"/>
      <c r="E23" s="18"/>
      <c r="F23" s="18"/>
    </row>
    <row r="24" spans="1:6" s="1" customFormat="1" ht="20.100000000000001" customHeight="1" x14ac:dyDescent="0.25">
      <c r="A24" s="18"/>
      <c r="B24" s="18"/>
      <c r="C24" s="18"/>
      <c r="D24" s="18"/>
      <c r="E24" s="18"/>
      <c r="F24" s="18"/>
    </row>
    <row r="25" spans="1:6" s="1" customFormat="1" ht="20.100000000000001" customHeight="1" x14ac:dyDescent="0.25">
      <c r="A25" s="18"/>
      <c r="B25" s="18"/>
      <c r="C25" s="18"/>
      <c r="D25" s="18"/>
      <c r="E25" s="18"/>
      <c r="F25" s="18"/>
    </row>
    <row r="26" spans="1:6" s="1" customFormat="1" ht="20.100000000000001" customHeight="1" x14ac:dyDescent="0.25">
      <c r="A26" s="18"/>
      <c r="B26" s="18"/>
      <c r="C26" s="18"/>
      <c r="D26" s="18"/>
      <c r="E26" s="18"/>
      <c r="F26" s="18"/>
    </row>
    <row r="27" spans="1:6" s="1" customFormat="1" ht="20.100000000000001" customHeight="1" x14ac:dyDescent="0.25">
      <c r="A27" s="18"/>
      <c r="B27" s="18"/>
      <c r="C27" s="18"/>
      <c r="D27" s="18"/>
      <c r="E27" s="18"/>
      <c r="F27" s="18"/>
    </row>
    <row r="28" spans="1:6" s="1" customFormat="1" ht="20.100000000000001" customHeight="1" x14ac:dyDescent="0.25">
      <c r="A28" s="18"/>
      <c r="B28" s="18"/>
      <c r="C28" s="18"/>
      <c r="D28" s="18"/>
      <c r="E28" s="18"/>
      <c r="F28" s="18"/>
    </row>
    <row r="29" spans="1:6" s="1" customFormat="1" ht="20.100000000000001" customHeight="1" x14ac:dyDescent="0.25">
      <c r="A29" s="18"/>
      <c r="B29" s="18"/>
      <c r="C29" s="18"/>
      <c r="D29" s="18"/>
      <c r="E29" s="18"/>
      <c r="F29" s="18"/>
    </row>
    <row r="30" spans="1:6" s="1" customFormat="1" ht="20.100000000000001" customHeight="1" x14ac:dyDescent="0.25">
      <c r="A30" s="18"/>
      <c r="B30" s="18"/>
      <c r="C30" s="18"/>
      <c r="D30" s="18"/>
      <c r="E30" s="18"/>
      <c r="F30" s="18"/>
    </row>
    <row r="31" spans="1:6" s="1" customFormat="1" ht="20.100000000000001" customHeight="1" x14ac:dyDescent="0.25">
      <c r="A31" s="18"/>
      <c r="B31" s="18"/>
      <c r="C31" s="18"/>
      <c r="D31" s="18"/>
      <c r="E31" s="18"/>
      <c r="F31" s="18"/>
    </row>
    <row r="32" spans="1:6" s="1" customFormat="1" ht="20.100000000000001" customHeight="1" x14ac:dyDescent="0.25">
      <c r="A32" s="18"/>
      <c r="B32" s="18"/>
      <c r="C32" s="18"/>
      <c r="D32" s="18"/>
      <c r="E32" s="18"/>
      <c r="F32" s="18"/>
    </row>
    <row r="33" spans="1:7" s="1" customFormat="1" ht="20.100000000000001" customHeight="1" x14ac:dyDescent="0.25">
      <c r="A33" s="18"/>
      <c r="B33" s="18"/>
      <c r="C33" s="18"/>
      <c r="D33" s="18"/>
      <c r="E33" s="18"/>
      <c r="F33" s="18"/>
    </row>
    <row r="34" spans="1:7" s="1" customFormat="1" ht="20.100000000000001" customHeight="1" x14ac:dyDescent="0.25">
      <c r="A34" s="18"/>
      <c r="B34" s="18"/>
      <c r="C34" s="18"/>
      <c r="D34" s="18"/>
      <c r="E34" s="18"/>
      <c r="F34" s="18"/>
    </row>
    <row r="35" spans="1:7" s="1" customFormat="1" ht="20.100000000000001" customHeight="1" x14ac:dyDescent="0.25">
      <c r="A35" s="18"/>
      <c r="B35" s="18"/>
      <c r="C35" s="18"/>
      <c r="D35" s="18"/>
      <c r="E35" s="18"/>
      <c r="F35" s="18"/>
    </row>
    <row r="36" spans="1:7" s="1" customFormat="1" ht="20.100000000000001" customHeight="1" x14ac:dyDescent="0.25">
      <c r="A36" s="18"/>
      <c r="B36" s="18"/>
      <c r="C36" s="18"/>
      <c r="D36" s="18"/>
      <c r="E36" s="18"/>
      <c r="F36" s="18"/>
    </row>
    <row r="37" spans="1:7" s="1" customFormat="1" ht="20.100000000000001" customHeight="1" x14ac:dyDescent="0.25">
      <c r="A37" s="18"/>
      <c r="B37" s="18"/>
      <c r="C37" s="18"/>
      <c r="D37" s="18"/>
      <c r="E37" s="18"/>
      <c r="F37" s="18"/>
    </row>
    <row r="38" spans="1:7" s="1" customFormat="1" ht="20.100000000000001" customHeight="1" x14ac:dyDescent="0.25">
      <c r="A38" s="18"/>
      <c r="B38" s="18"/>
      <c r="C38" s="18"/>
      <c r="D38" s="18"/>
      <c r="E38" s="18"/>
      <c r="F38" s="18"/>
    </row>
    <row r="39" spans="1:7" s="1" customFormat="1" ht="20.100000000000001" customHeight="1" x14ac:dyDescent="0.25">
      <c r="A39" s="18"/>
      <c r="B39" s="18"/>
      <c r="C39" s="18"/>
      <c r="D39" s="18"/>
      <c r="E39" s="18"/>
      <c r="F39" s="18"/>
    </row>
    <row r="40" spans="1:7" s="2" customFormat="1" ht="35.1" customHeight="1" x14ac:dyDescent="0.25">
      <c r="A40" s="340" t="s">
        <v>166</v>
      </c>
      <c r="B40" s="340"/>
      <c r="C40" s="340"/>
      <c r="D40" s="340"/>
      <c r="E40" s="340"/>
      <c r="F40" s="340"/>
      <c r="G40" s="340"/>
    </row>
    <row r="41" spans="1:7" s="1" customFormat="1" ht="20.100000000000001" customHeight="1" x14ac:dyDescent="0.25">
      <c r="A41" s="18"/>
      <c r="B41" s="18"/>
      <c r="C41" s="18"/>
      <c r="D41" s="18"/>
      <c r="E41" s="18"/>
      <c r="F41" s="18"/>
    </row>
    <row r="42" spans="1:7" s="1" customFormat="1" ht="20.100000000000001" customHeight="1" x14ac:dyDescent="0.25">
      <c r="A42" s="18"/>
      <c r="B42" s="18"/>
      <c r="C42" s="18"/>
      <c r="D42" s="18"/>
      <c r="E42" s="18"/>
      <c r="F42" s="18"/>
    </row>
    <row r="43" spans="1:7" s="1" customFormat="1" ht="20.100000000000001" customHeight="1" x14ac:dyDescent="0.25">
      <c r="A43" s="18"/>
      <c r="B43" s="18"/>
      <c r="C43" s="18"/>
      <c r="D43" s="18"/>
      <c r="E43" s="18"/>
      <c r="F43" s="18"/>
    </row>
    <row r="44" spans="1:7" s="1" customFormat="1" ht="20.100000000000001" customHeight="1" x14ac:dyDescent="0.25">
      <c r="A44" s="18"/>
      <c r="B44" s="18"/>
      <c r="C44" s="18"/>
      <c r="D44" s="18"/>
      <c r="E44" s="18"/>
      <c r="F44" s="18"/>
    </row>
    <row r="45" spans="1:7" s="1" customFormat="1" ht="20.100000000000001" customHeight="1" x14ac:dyDescent="0.25">
      <c r="A45" s="18"/>
      <c r="B45" s="18"/>
      <c r="C45" s="18"/>
      <c r="D45" s="18"/>
      <c r="E45" s="18"/>
      <c r="F45" s="18"/>
    </row>
    <row r="46" spans="1:7" s="1" customFormat="1" ht="20.100000000000001" customHeight="1" x14ac:dyDescent="0.25">
      <c r="A46" s="18"/>
      <c r="B46" s="18"/>
      <c r="C46" s="18"/>
      <c r="D46" s="18"/>
      <c r="E46" s="18"/>
      <c r="F46" s="18"/>
    </row>
    <row r="47" spans="1:7" s="1" customFormat="1" ht="20.100000000000001" customHeight="1" x14ac:dyDescent="0.25">
      <c r="A47" s="18"/>
      <c r="B47" s="18"/>
      <c r="C47" s="18"/>
      <c r="D47" s="18"/>
      <c r="E47" s="18"/>
      <c r="F47" s="18"/>
    </row>
    <row r="48" spans="1:7" s="1" customFormat="1" ht="20.100000000000001" customHeight="1" x14ac:dyDescent="0.25">
      <c r="A48" s="18"/>
      <c r="B48" s="18"/>
      <c r="C48" s="18"/>
      <c r="D48" s="18"/>
      <c r="E48" s="18"/>
      <c r="F48" s="18"/>
    </row>
    <row r="49" spans="1:6" s="1" customFormat="1" ht="20.100000000000001" customHeight="1" x14ac:dyDescent="0.25">
      <c r="A49" s="18"/>
      <c r="B49" s="18"/>
      <c r="C49" s="18"/>
      <c r="D49" s="18"/>
      <c r="E49" s="18"/>
      <c r="F49" s="18"/>
    </row>
    <row r="50" spans="1:6" s="1" customFormat="1" ht="20.100000000000001" customHeight="1" x14ac:dyDescent="0.25">
      <c r="A50" s="18"/>
      <c r="B50" s="18"/>
      <c r="C50" s="18"/>
      <c r="D50" s="18"/>
      <c r="E50" s="18"/>
      <c r="F50" s="18"/>
    </row>
    <row r="51" spans="1:6" s="1" customFormat="1" ht="20.100000000000001" customHeight="1" x14ac:dyDescent="0.25">
      <c r="A51" s="18"/>
      <c r="B51" s="18"/>
      <c r="C51" s="18"/>
      <c r="D51" s="18"/>
      <c r="E51" s="18"/>
      <c r="F51" s="18"/>
    </row>
    <row r="52" spans="1:6" s="1" customFormat="1" ht="20.100000000000001" customHeight="1" x14ac:dyDescent="0.25">
      <c r="A52" s="18"/>
      <c r="B52" s="18"/>
      <c r="C52" s="18"/>
      <c r="D52" s="18"/>
      <c r="E52" s="18"/>
      <c r="F52" s="18"/>
    </row>
    <row r="53" spans="1:6" s="1" customFormat="1" ht="20.100000000000001" customHeight="1" x14ac:dyDescent="0.25">
      <c r="A53" s="18"/>
      <c r="B53" s="18"/>
      <c r="C53" s="18"/>
      <c r="D53" s="18"/>
      <c r="E53" s="18"/>
      <c r="F53" s="18"/>
    </row>
    <row r="54" spans="1:6" s="1" customFormat="1" ht="20.100000000000001" customHeight="1" x14ac:dyDescent="0.25">
      <c r="A54" s="18"/>
      <c r="B54" s="18"/>
      <c r="C54" s="18"/>
      <c r="D54" s="18"/>
      <c r="E54" s="18"/>
      <c r="F54" s="18"/>
    </row>
    <row r="55" spans="1:6" s="1" customFormat="1" ht="20.100000000000001" customHeight="1" x14ac:dyDescent="0.25">
      <c r="A55" s="18"/>
      <c r="B55" s="18"/>
      <c r="C55" s="18"/>
      <c r="D55" s="18"/>
      <c r="E55" s="18"/>
      <c r="F55" s="18"/>
    </row>
    <row r="56" spans="1:6" s="1" customFormat="1" ht="20.100000000000001" customHeight="1" x14ac:dyDescent="0.25">
      <c r="A56" s="18"/>
      <c r="B56" s="18"/>
      <c r="C56" s="18"/>
      <c r="D56" s="18"/>
      <c r="E56" s="18"/>
      <c r="F56" s="18"/>
    </row>
    <row r="57" spans="1:6" s="1" customFormat="1" ht="20.100000000000001" customHeight="1" x14ac:dyDescent="0.25">
      <c r="A57" s="18"/>
      <c r="B57" s="18"/>
      <c r="C57" s="18"/>
      <c r="D57" s="18"/>
      <c r="E57" s="18"/>
      <c r="F57" s="18"/>
    </row>
    <row r="58" spans="1:6" s="1" customFormat="1" ht="20.100000000000001" customHeight="1" x14ac:dyDescent="0.25">
      <c r="A58" s="18"/>
      <c r="B58" s="18"/>
      <c r="C58" s="18"/>
      <c r="D58" s="18"/>
      <c r="E58" s="18"/>
      <c r="F58" s="18"/>
    </row>
    <row r="59" spans="1:6" s="1" customFormat="1" ht="20.100000000000001" customHeight="1" x14ac:dyDescent="0.25">
      <c r="A59" s="18"/>
      <c r="B59" s="18"/>
      <c r="C59" s="18"/>
      <c r="D59" s="18"/>
      <c r="E59" s="18"/>
      <c r="F59" s="18"/>
    </row>
    <row r="60" spans="1:6" s="1" customFormat="1" ht="20.100000000000001" customHeight="1" x14ac:dyDescent="0.25">
      <c r="A60" s="18"/>
      <c r="B60" s="18"/>
      <c r="C60" s="18"/>
      <c r="D60" s="18"/>
      <c r="E60" s="18"/>
      <c r="F60" s="18"/>
    </row>
    <row r="61" spans="1:6" s="1" customFormat="1" ht="20.100000000000001" customHeight="1" x14ac:dyDescent="0.25">
      <c r="A61" s="18"/>
      <c r="B61" s="18"/>
      <c r="C61" s="18"/>
      <c r="D61" s="18"/>
      <c r="E61" s="18"/>
      <c r="F61" s="18"/>
    </row>
    <row r="62" spans="1:6" s="1" customFormat="1" ht="20.100000000000001" customHeight="1" x14ac:dyDescent="0.25">
      <c r="A62" s="18"/>
      <c r="B62" s="18"/>
      <c r="C62" s="18"/>
      <c r="D62" s="18"/>
      <c r="E62" s="18"/>
      <c r="F62" s="18"/>
    </row>
    <row r="63" spans="1:6" s="1" customFormat="1" ht="20.100000000000001" customHeight="1" x14ac:dyDescent="0.25">
      <c r="A63" s="18"/>
      <c r="B63" s="18"/>
      <c r="C63" s="18"/>
      <c r="D63" s="18"/>
      <c r="E63" s="18"/>
      <c r="F63" s="18"/>
    </row>
    <row r="64" spans="1:6" s="1" customFormat="1" ht="20.100000000000001" customHeight="1" x14ac:dyDescent="0.25">
      <c r="A64" s="18"/>
      <c r="B64" s="18"/>
      <c r="C64" s="18"/>
      <c r="D64" s="18"/>
      <c r="E64" s="18"/>
      <c r="F64" s="18"/>
    </row>
    <row r="65" spans="1:11" s="1" customFormat="1" ht="20.100000000000001" customHeight="1" x14ac:dyDescent="0.25">
      <c r="A65" s="18"/>
      <c r="B65" s="18"/>
      <c r="C65" s="18"/>
      <c r="D65" s="18"/>
      <c r="E65" s="18"/>
      <c r="F65" s="18"/>
    </row>
    <row r="66" spans="1:11" s="1" customFormat="1" ht="20.100000000000001" customHeight="1" x14ac:dyDescent="0.25">
      <c r="A66" s="18"/>
      <c r="B66" s="18"/>
      <c r="C66" s="18"/>
      <c r="D66" s="18"/>
      <c r="E66" s="18"/>
      <c r="F66" s="18"/>
    </row>
    <row r="67" spans="1:11" s="1" customFormat="1" ht="20.100000000000001" customHeight="1" x14ac:dyDescent="0.25">
      <c r="A67" s="18"/>
      <c r="B67" s="18"/>
      <c r="C67" s="18"/>
      <c r="D67" s="18"/>
      <c r="E67" s="18"/>
      <c r="F67" s="18"/>
    </row>
    <row r="68" spans="1:11" s="1" customFormat="1" ht="20.100000000000001" customHeight="1" x14ac:dyDescent="0.25">
      <c r="A68" s="18"/>
      <c r="B68" s="18"/>
      <c r="C68" s="18"/>
      <c r="D68" s="18"/>
      <c r="E68" s="18"/>
      <c r="F68" s="18"/>
    </row>
    <row r="69" spans="1:11" s="1" customFormat="1" ht="20.100000000000001" customHeight="1" x14ac:dyDescent="0.25">
      <c r="A69" s="18"/>
      <c r="B69" s="18"/>
      <c r="C69" s="18"/>
      <c r="D69" s="18"/>
      <c r="E69" s="18"/>
      <c r="F69" s="18"/>
    </row>
    <row r="70" spans="1:11" s="1" customFormat="1" ht="20.100000000000001" customHeight="1" x14ac:dyDescent="0.25">
      <c r="A70" s="18"/>
      <c r="B70" s="18"/>
      <c r="C70" s="18"/>
      <c r="D70" s="18"/>
      <c r="E70" s="18"/>
      <c r="F70" s="18"/>
    </row>
    <row r="71" spans="1:11" s="1" customFormat="1" ht="20.100000000000001" customHeight="1" x14ac:dyDescent="0.25">
      <c r="A71" s="18"/>
      <c r="B71" s="18"/>
      <c r="C71" s="18"/>
      <c r="D71" s="18"/>
      <c r="E71" s="18"/>
      <c r="F71" s="18"/>
    </row>
    <row r="72" spans="1:11" s="1" customFormat="1" ht="20.100000000000001" customHeight="1" x14ac:dyDescent="0.25">
      <c r="A72" s="18"/>
      <c r="B72" s="18"/>
      <c r="C72" s="18"/>
      <c r="D72" s="18"/>
      <c r="E72" s="18"/>
      <c r="F72" s="18"/>
    </row>
    <row r="73" spans="1:11" s="1" customFormat="1" ht="19.5" x14ac:dyDescent="0.25">
      <c r="A73" s="18"/>
      <c r="B73" s="18"/>
      <c r="C73" s="18"/>
      <c r="D73" s="18"/>
      <c r="E73" s="18"/>
      <c r="F73" s="18"/>
    </row>
    <row r="74" spans="1:11" s="23" customFormat="1" ht="35.1" customHeight="1" x14ac:dyDescent="0.25">
      <c r="A74" s="340" t="s">
        <v>167</v>
      </c>
      <c r="B74" s="340"/>
      <c r="C74" s="340"/>
      <c r="D74" s="340"/>
      <c r="E74" s="340"/>
      <c r="F74" s="340"/>
      <c r="G74" s="340"/>
      <c r="H74" s="340"/>
      <c r="I74" s="340"/>
      <c r="J74" s="340"/>
      <c r="K74" s="340"/>
    </row>
    <row r="75" spans="1:11" s="1" customFormat="1" ht="20.100000000000001" customHeight="1" x14ac:dyDescent="0.25">
      <c r="A75" s="18"/>
      <c r="B75" s="18"/>
      <c r="C75" s="18"/>
      <c r="D75" s="18"/>
      <c r="E75" s="18"/>
      <c r="F75" s="18"/>
    </row>
    <row r="76" spans="1:11" s="1" customFormat="1" ht="20.100000000000001" customHeight="1" x14ac:dyDescent="0.25">
      <c r="A76" s="18"/>
      <c r="B76" s="18"/>
      <c r="C76" s="18"/>
      <c r="D76" s="18"/>
      <c r="E76" s="18"/>
      <c r="F76" s="18"/>
    </row>
    <row r="77" spans="1:11" s="1" customFormat="1" ht="20.100000000000001" customHeight="1" x14ac:dyDescent="0.25">
      <c r="A77" s="18"/>
      <c r="B77" s="18"/>
      <c r="C77" s="18"/>
      <c r="D77" s="18"/>
      <c r="E77" s="18"/>
      <c r="F77" s="18"/>
    </row>
    <row r="78" spans="1:11" s="1" customFormat="1" ht="20.100000000000001" customHeight="1" x14ac:dyDescent="0.25">
      <c r="A78" s="18"/>
      <c r="B78" s="18"/>
      <c r="C78" s="18"/>
      <c r="D78" s="18"/>
      <c r="E78" s="18"/>
      <c r="F78" s="18"/>
    </row>
    <row r="79" spans="1:11" s="1" customFormat="1" ht="20.100000000000001" customHeight="1" x14ac:dyDescent="0.25">
      <c r="A79" s="18"/>
      <c r="B79" s="18"/>
      <c r="C79" s="18"/>
      <c r="D79" s="18"/>
      <c r="E79" s="18"/>
      <c r="F79" s="18"/>
    </row>
    <row r="80" spans="1:11" s="1" customFormat="1" ht="20.100000000000001" customHeight="1" x14ac:dyDescent="0.25">
      <c r="A80" s="18"/>
      <c r="B80" s="18"/>
      <c r="C80" s="18"/>
      <c r="D80" s="18"/>
      <c r="E80" s="18"/>
      <c r="F80" s="18"/>
    </row>
    <row r="81" spans="1:6" s="1" customFormat="1" ht="20.100000000000001" customHeight="1" x14ac:dyDescent="0.25">
      <c r="A81" s="18"/>
      <c r="B81" s="18"/>
      <c r="C81" s="18"/>
      <c r="D81" s="18"/>
      <c r="E81" s="18"/>
      <c r="F81" s="18"/>
    </row>
    <row r="82" spans="1:6" s="1" customFormat="1" ht="20.100000000000001" customHeight="1" x14ac:dyDescent="0.25">
      <c r="A82" s="18"/>
      <c r="B82" s="18"/>
      <c r="C82" s="18"/>
      <c r="D82" s="18"/>
      <c r="E82" s="18"/>
      <c r="F82" s="18"/>
    </row>
    <row r="83" spans="1:6" s="1" customFormat="1" ht="20.100000000000001" customHeight="1" x14ac:dyDescent="0.25">
      <c r="A83" s="18"/>
      <c r="B83" s="18"/>
      <c r="C83" s="18"/>
      <c r="D83" s="18"/>
      <c r="E83" s="18"/>
      <c r="F83" s="18"/>
    </row>
    <row r="84" spans="1:6" s="1" customFormat="1" ht="20.100000000000001" customHeight="1" x14ac:dyDescent="0.25">
      <c r="A84" s="18"/>
      <c r="B84" s="18"/>
      <c r="C84" s="18"/>
      <c r="D84" s="18"/>
      <c r="E84" s="18"/>
      <c r="F84" s="18"/>
    </row>
    <row r="85" spans="1:6" s="1" customFormat="1" ht="20.100000000000001" customHeight="1" x14ac:dyDescent="0.25">
      <c r="A85" s="18"/>
      <c r="B85" s="18"/>
      <c r="C85" s="18"/>
      <c r="D85" s="18"/>
      <c r="E85" s="18"/>
      <c r="F85" s="18"/>
    </row>
    <row r="86" spans="1:6" s="1" customFormat="1" ht="20.100000000000001" customHeight="1" x14ac:dyDescent="0.25">
      <c r="A86" s="18"/>
      <c r="B86" s="18"/>
      <c r="C86" s="18"/>
      <c r="D86" s="18"/>
      <c r="E86" s="18"/>
      <c r="F86" s="18"/>
    </row>
    <row r="87" spans="1:6" s="1" customFormat="1" ht="20.100000000000001" customHeight="1" x14ac:dyDescent="0.25">
      <c r="A87" s="18"/>
      <c r="B87" s="18"/>
      <c r="C87" s="18"/>
      <c r="D87" s="18"/>
      <c r="E87" s="18"/>
      <c r="F87" s="18"/>
    </row>
    <row r="88" spans="1:6" s="1" customFormat="1" ht="20.100000000000001" customHeight="1" x14ac:dyDescent="0.25">
      <c r="A88" s="18"/>
      <c r="B88" s="18"/>
      <c r="C88" s="18"/>
      <c r="D88" s="18"/>
      <c r="E88" s="18"/>
      <c r="F88" s="18"/>
    </row>
    <row r="89" spans="1:6" s="1" customFormat="1" ht="20.100000000000001" customHeight="1" x14ac:dyDescent="0.25">
      <c r="A89" s="18"/>
      <c r="B89" s="18"/>
      <c r="C89" s="18"/>
      <c r="D89" s="18"/>
      <c r="E89" s="18"/>
      <c r="F89" s="18"/>
    </row>
    <row r="90" spans="1:6" s="1" customFormat="1" ht="20.100000000000001" customHeight="1" x14ac:dyDescent="0.25">
      <c r="A90" s="18"/>
      <c r="B90" s="18"/>
      <c r="C90" s="18"/>
      <c r="D90" s="18"/>
      <c r="E90" s="18"/>
      <c r="F90" s="18"/>
    </row>
    <row r="91" spans="1:6" s="1" customFormat="1" ht="20.100000000000001" customHeight="1" x14ac:dyDescent="0.25">
      <c r="A91" s="18"/>
      <c r="B91" s="18"/>
      <c r="C91" s="18"/>
      <c r="D91" s="18"/>
      <c r="E91" s="18"/>
      <c r="F91" s="18"/>
    </row>
    <row r="92" spans="1:6" s="1" customFormat="1" ht="20.100000000000001" customHeight="1" x14ac:dyDescent="0.25">
      <c r="A92" s="18"/>
      <c r="B92" s="18"/>
      <c r="C92" s="18"/>
      <c r="D92" s="18"/>
      <c r="E92" s="18"/>
      <c r="F92" s="18"/>
    </row>
    <row r="93" spans="1:6" s="1" customFormat="1" ht="20.100000000000001" customHeight="1" x14ac:dyDescent="0.25">
      <c r="A93" s="18"/>
      <c r="B93" s="18"/>
      <c r="C93" s="18"/>
      <c r="D93" s="18"/>
      <c r="E93" s="18"/>
      <c r="F93" s="18"/>
    </row>
    <row r="94" spans="1:6" s="1" customFormat="1" ht="20.100000000000001" customHeight="1" x14ac:dyDescent="0.25">
      <c r="A94" s="18"/>
      <c r="B94" s="18"/>
      <c r="C94" s="18"/>
      <c r="D94" s="18"/>
      <c r="E94" s="18"/>
      <c r="F94" s="18"/>
    </row>
    <row r="95" spans="1:6" s="1" customFormat="1" ht="20.100000000000001" customHeight="1" x14ac:dyDescent="0.25">
      <c r="A95" s="18"/>
      <c r="B95" s="18"/>
      <c r="C95" s="18"/>
      <c r="D95" s="18"/>
      <c r="E95" s="18"/>
      <c r="F95" s="18"/>
    </row>
    <row r="96" spans="1:6" s="1" customFormat="1" ht="20.100000000000001" customHeight="1" x14ac:dyDescent="0.25">
      <c r="A96" s="18"/>
      <c r="B96" s="18"/>
      <c r="C96" s="18"/>
      <c r="D96" s="18"/>
      <c r="E96" s="18"/>
      <c r="F96" s="18"/>
    </row>
    <row r="97" spans="1:6" s="1" customFormat="1" ht="20.100000000000001" customHeight="1" x14ac:dyDescent="0.25">
      <c r="A97" s="18"/>
      <c r="B97" s="18"/>
      <c r="C97" s="18"/>
      <c r="D97" s="18"/>
      <c r="E97" s="18"/>
      <c r="F97" s="18"/>
    </row>
    <row r="98" spans="1:6" ht="20.100000000000001" customHeight="1" x14ac:dyDescent="0.25"/>
    <row r="99" spans="1:6" ht="20.100000000000001" customHeight="1" x14ac:dyDescent="0.25"/>
    <row r="100" spans="1:6" ht="20.100000000000001" customHeight="1" x14ac:dyDescent="0.25"/>
    <row r="101" spans="1:6" ht="20.100000000000001" customHeight="1" x14ac:dyDescent="0.25"/>
    <row r="102" spans="1:6" ht="20.100000000000001" customHeight="1" x14ac:dyDescent="0.25"/>
    <row r="103" spans="1:6" ht="20.100000000000001" customHeight="1" x14ac:dyDescent="0.25"/>
    <row r="104" spans="1:6" ht="20.100000000000001" customHeight="1" x14ac:dyDescent="0.25"/>
    <row r="105" spans="1:6" ht="20.100000000000001" customHeight="1" x14ac:dyDescent="0.25"/>
    <row r="106" spans="1:6" ht="20.100000000000001" customHeight="1" x14ac:dyDescent="0.25"/>
    <row r="107" spans="1:6" ht="20.100000000000001" customHeight="1" x14ac:dyDescent="0.25"/>
    <row r="108" spans="1:6" ht="20.100000000000001" customHeight="1" x14ac:dyDescent="0.25"/>
    <row r="109" spans="1:6" ht="20.100000000000001" customHeight="1" x14ac:dyDescent="0.25"/>
    <row r="110" spans="1:6" ht="20.100000000000001" customHeight="1" x14ac:dyDescent="0.25"/>
    <row r="111" spans="1:6" ht="20.100000000000001" customHeight="1" x14ac:dyDescent="0.25"/>
    <row r="112" spans="1:6"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sheetData>
  <sheetProtection formatCells="0" formatColumns="0" formatRows="0" insertColumns="0" insertRows="0" insertHyperlinks="0" deleteColumns="0" deleteRows="0" sort="0" autoFilter="0" pivotTables="0"/>
  <mergeCells count="8">
    <mergeCell ref="A11:G11"/>
    <mergeCell ref="A40:G40"/>
    <mergeCell ref="A74:K74"/>
    <mergeCell ref="A1:F1"/>
    <mergeCell ref="D4:E4"/>
    <mergeCell ref="D3:E3"/>
    <mergeCell ref="B4:C4"/>
    <mergeCell ref="B3:C3"/>
  </mergeCells>
  <pageMargins left="0.511811024" right="0.14000000000000001" top="0.78740157499999996" bottom="0.78740157499999996" header="0.31496062000000002" footer="0.31496062000000002"/>
  <pageSetup paperSize="9" scale="33" fitToHeight="0"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filterMode="1">
    <tabColor theme="2" tint="-0.749992370372631"/>
  </sheetPr>
  <dimension ref="A1:AM513"/>
  <sheetViews>
    <sheetView tabSelected="1" topLeftCell="M1" zoomScale="55" zoomScaleNormal="55" workbookViewId="0">
      <pane ySplit="1" topLeftCell="A336" activePane="bottomLeft" state="frozen"/>
      <selection activeCell="L131" sqref="L131"/>
      <selection pane="bottomLeft" activeCell="O336" sqref="O336"/>
    </sheetView>
  </sheetViews>
  <sheetFormatPr defaultColWidth="9.140625" defaultRowHeight="30" customHeight="1" x14ac:dyDescent="0.25"/>
  <cols>
    <col min="1" max="1" width="61.7109375" style="53" bestFit="1" customWidth="1"/>
    <col min="2" max="2" width="25.28515625" style="53" bestFit="1" customWidth="1"/>
    <col min="3" max="3" width="30.28515625" style="53" bestFit="1" customWidth="1"/>
    <col min="4" max="4" width="20.140625" style="53" bestFit="1" customWidth="1"/>
    <col min="5" max="5" width="23.5703125" style="53" bestFit="1" customWidth="1"/>
    <col min="6" max="6" width="60.140625" style="53" bestFit="1" customWidth="1"/>
    <col min="7" max="7" width="20.7109375" style="53" bestFit="1" customWidth="1"/>
    <col min="8" max="8" width="29.28515625" style="53" bestFit="1" customWidth="1"/>
    <col min="9" max="9" width="18.85546875" style="53" bestFit="1" customWidth="1"/>
    <col min="10" max="10" width="43.140625" style="53" bestFit="1" customWidth="1"/>
    <col min="11" max="11" width="51.5703125" style="53" bestFit="1" customWidth="1"/>
    <col min="12" max="12" width="39.140625" style="53" bestFit="1" customWidth="1"/>
    <col min="13" max="13" width="36.28515625" style="53" bestFit="1" customWidth="1"/>
    <col min="14" max="14" width="46.28515625" style="57" bestFit="1" customWidth="1"/>
    <col min="15" max="15" width="24.85546875" style="53" bestFit="1" customWidth="1"/>
    <col min="16" max="16" width="38.85546875" style="53" bestFit="1" customWidth="1"/>
    <col min="17" max="17" width="29.42578125" style="53" bestFit="1" customWidth="1"/>
    <col min="18" max="18" width="43.7109375" style="53" bestFit="1" customWidth="1"/>
    <col min="19" max="19" width="29.42578125" style="53" bestFit="1" customWidth="1"/>
    <col min="20" max="20" width="43.28515625" style="53" bestFit="1" customWidth="1"/>
    <col min="21" max="21" width="31.5703125" style="53" bestFit="1" customWidth="1"/>
    <col min="22" max="22" width="26.85546875" style="53" bestFit="1" customWidth="1"/>
    <col min="23" max="23" width="23.7109375" style="53" bestFit="1" customWidth="1"/>
    <col min="24" max="24" width="38" style="53" bestFit="1" customWidth="1"/>
    <col min="25" max="25" width="28.42578125" style="53" bestFit="1" customWidth="1"/>
    <col min="26" max="26" width="61.7109375" style="53" bestFit="1" customWidth="1"/>
    <col min="27" max="27" width="39.42578125" style="53" bestFit="1" customWidth="1"/>
    <col min="28" max="28" width="49.42578125" style="53" bestFit="1" customWidth="1"/>
    <col min="29" max="29" width="29.42578125" style="53" bestFit="1" customWidth="1"/>
    <col min="30" max="30" width="43" style="53" bestFit="1" customWidth="1"/>
    <col min="31" max="32" width="42.42578125" style="53" bestFit="1" customWidth="1"/>
    <col min="33" max="33" width="45.7109375" style="57" customWidth="1"/>
    <col min="34" max="34" width="55.42578125" style="53" bestFit="1" customWidth="1"/>
    <col min="35" max="35" width="25.5703125" style="53" customWidth="1"/>
    <col min="36" max="36" width="23.5703125" style="53" bestFit="1" customWidth="1"/>
    <col min="37" max="37" width="13" style="183" customWidth="1"/>
    <col min="38" max="38" width="17.140625" style="53" customWidth="1"/>
    <col min="39" max="39" width="18.28515625" style="53" customWidth="1"/>
    <col min="40" max="16384" width="9.140625" style="53"/>
  </cols>
  <sheetData>
    <row r="1" spans="1:39" ht="33" customHeight="1" x14ac:dyDescent="0.25">
      <c r="A1" s="224" t="s">
        <v>168</v>
      </c>
      <c r="B1" s="224" t="s">
        <v>169</v>
      </c>
      <c r="C1" s="224" t="s">
        <v>170</v>
      </c>
      <c r="D1" s="224" t="s">
        <v>171</v>
      </c>
      <c r="E1" s="224" t="s">
        <v>172</v>
      </c>
      <c r="F1" s="224" t="s">
        <v>173</v>
      </c>
      <c r="G1" s="224" t="s">
        <v>174</v>
      </c>
      <c r="H1" s="224" t="s">
        <v>175</v>
      </c>
      <c r="I1" s="224" t="s">
        <v>176</v>
      </c>
      <c r="J1" s="224" t="s">
        <v>177</v>
      </c>
      <c r="K1" s="224" t="s">
        <v>178</v>
      </c>
      <c r="L1" s="224" t="s">
        <v>179</v>
      </c>
      <c r="M1" s="224" t="s">
        <v>180</v>
      </c>
      <c r="N1" s="225" t="s">
        <v>2626</v>
      </c>
      <c r="O1" s="226" t="s">
        <v>46</v>
      </c>
      <c r="P1" s="192" t="s">
        <v>181</v>
      </c>
      <c r="Q1" s="193" t="s">
        <v>47</v>
      </c>
      <c r="R1" s="192" t="s">
        <v>4596</v>
      </c>
      <c r="S1" s="192" t="s">
        <v>68</v>
      </c>
      <c r="T1" s="192" t="s">
        <v>4597</v>
      </c>
      <c r="U1" s="194" t="s">
        <v>69</v>
      </c>
      <c r="V1" s="194" t="s">
        <v>4598</v>
      </c>
      <c r="W1" s="194" t="s">
        <v>70</v>
      </c>
      <c r="X1" s="192" t="s">
        <v>4599</v>
      </c>
      <c r="Y1" s="194" t="s">
        <v>4600</v>
      </c>
      <c r="Z1" s="192" t="s">
        <v>4601</v>
      </c>
      <c r="AA1" s="192" t="s">
        <v>72</v>
      </c>
      <c r="AB1" s="192" t="s">
        <v>4602</v>
      </c>
      <c r="AC1" s="192" t="s">
        <v>53</v>
      </c>
      <c r="AD1" s="192" t="s">
        <v>189</v>
      </c>
      <c r="AE1" s="195" t="s">
        <v>34</v>
      </c>
      <c r="AF1" s="195" t="s">
        <v>2630</v>
      </c>
      <c r="AG1" s="193" t="s">
        <v>192</v>
      </c>
      <c r="AH1" s="34" t="s">
        <v>196</v>
      </c>
      <c r="AI1" s="34" t="s">
        <v>195</v>
      </c>
      <c r="AJ1" s="34" t="s">
        <v>3268</v>
      </c>
      <c r="AK1" s="53"/>
    </row>
    <row r="2" spans="1:39" ht="30" hidden="1" customHeight="1" x14ac:dyDescent="0.2">
      <c r="A2" s="230" t="s">
        <v>197</v>
      </c>
      <c r="B2" s="231">
        <v>2613561308</v>
      </c>
      <c r="C2" s="231" t="s">
        <v>141</v>
      </c>
      <c r="D2" s="231" t="s">
        <v>67</v>
      </c>
      <c r="E2" s="231" t="s">
        <v>198</v>
      </c>
      <c r="F2" s="231" t="s">
        <v>433</v>
      </c>
      <c r="G2" s="231">
        <v>204</v>
      </c>
      <c r="H2" s="231" t="s">
        <v>213</v>
      </c>
      <c r="I2" s="231" t="s">
        <v>315</v>
      </c>
      <c r="J2" s="231" t="s">
        <v>4603</v>
      </c>
      <c r="K2" s="231" t="s">
        <v>213</v>
      </c>
      <c r="L2" s="232" t="s">
        <v>202</v>
      </c>
      <c r="M2" s="232">
        <v>46026.467361111114</v>
      </c>
      <c r="N2" s="231" t="s">
        <v>4604</v>
      </c>
      <c r="O2" s="144" t="s">
        <v>204</v>
      </c>
      <c r="P2" s="223"/>
      <c r="Q2" s="166" t="s">
        <v>204</v>
      </c>
      <c r="R2" s="186"/>
      <c r="S2" s="166" t="s">
        <v>204</v>
      </c>
      <c r="T2" s="186"/>
      <c r="U2" s="166" t="s">
        <v>204</v>
      </c>
      <c r="V2" s="186"/>
      <c r="W2" s="166" t="s">
        <v>204</v>
      </c>
      <c r="X2" s="186"/>
      <c r="Y2" s="166" t="s">
        <v>204</v>
      </c>
      <c r="Z2" s="186"/>
      <c r="AA2" s="166" t="s">
        <v>204</v>
      </c>
      <c r="AB2" s="186"/>
      <c r="AC2" s="166" t="s">
        <v>204</v>
      </c>
      <c r="AD2" s="186"/>
      <c r="AE2" s="166" t="s">
        <v>204</v>
      </c>
      <c r="AF2" s="215" t="str">
        <f>IF(AND(O2="",Q2="",S2="",U2="",W2="",Y2="",AA2="",AC2=""),"",
IF(OR(    AND(O2&lt;&gt;"NA",O2&lt;&gt;"C",O2&lt;&gt;"NC",O2&lt;&gt;"SF",O2&lt;&gt;""),
    AND(Q2&lt;&gt;"NA",Q2&lt;&gt;"C",Q2&lt;&gt;"NC",Q2&lt;&gt;"SF",Q2&lt;&gt;""),
    AND(S2&lt;&gt;"NA",S2&lt;&gt;"C",S2&lt;&gt;"NC",S2&lt;&gt;"SF",S2&lt;&gt;""),
    AND(U2&lt;&gt;"NA",U2&lt;&gt;"C",U2&lt;&gt;"NC",U2&lt;&gt;"SF",U2&lt;&gt;""),
    AND(W2&lt;&gt;"NA",W2&lt;&gt;"C",W2&lt;&gt;"NC",W2&lt;&gt;"SF",W2&lt;&gt;""),
    AND(Y2&lt;&gt;"NA",Y2&lt;&gt;"C",Y2&lt;&gt;"NC",Y2&lt;&gt;"SF",Y2&lt;&gt;""),
    AND(AA2&lt;&gt;"NA",AA2&lt;&gt;"C",AA2&lt;&gt;"NC",AA2&lt;&gt;"SF",AA2&lt;&gt;""),
    AND(AC2&lt;&gt;"NA",AC2&lt;&gt;"C",AC2&lt;&gt;"NC",AC2&lt;&gt;"SF",AC2&lt;&gt;"")
),"FALSO",
IF(AND(O2="NA",Q2="NA",S2="NA",U2="NA",W2="NA",Y2="NA",AA2="NA",AC2="NA"),"NA",
IF(OR(O2="NC",Q2="NC",S2="NC",U2="NC",W2="NC",Y2="NC",AA2="NC",AC2="NC",
       O2="SF",Q2="SF",S2="SF",U2="SF",W2="SF",Y2="SF",AA2="SF",AC2="SF"),"NC",
IF(SUM(IF(O2="C",1,0),IF(Q2="C",1,0),IF(S2="C",1,0),IF(U2="C",1,0),IF(W2="C",1,0),IF(Y2="C",1,0),IF(AA2="C",1,0),IF(AC2="C",1,0))=1,"C","C")))))</f>
        <v>C</v>
      </c>
      <c r="AG2" s="96" t="str">
        <f t="shared" ref="AG2:AG65" si="0">IF(AND(AE2="C",AF2="C"),"UTILIZOU O PDA CORRETAMENTE",IF(AND(AE2="C",AF2="NC"),"UTILIZOU O PDA CORRETAMENTE. NÃO HÁ FOTOS DE TODAS AS ETAPAS",IF(AND(AE2="NC",AF2="NC"),"NÃO UTILIZOU O PDA",IF(AND(AE2="NA",AF2="NA"),"NÃO AVALIADO POR FALHA DE SINCRONISMO"))))</f>
        <v>UTILIZOU O PDA CORRETAMENTE</v>
      </c>
      <c r="AH2" s="216" t="s">
        <v>39</v>
      </c>
      <c r="AI2" s="190" t="str">
        <f>E2</f>
        <v>GUARULHOS</v>
      </c>
      <c r="AJ2" s="190" t="s">
        <v>6</v>
      </c>
      <c r="AK2" s="53">
        <v>-2.0000000000000001E-4</v>
      </c>
      <c r="AL2" s="53" t="str" cm="1">
        <f t="array" ref="AL2">IF(OR(O2&lt;&gt;"", SUMPRODUCT(($AM$2:$AM$210=AM2)*($AK$2:$AK$210&lt;=AK2)) &lt;= (COUNTIF($AM$2:$AM$210,AM2)*0.1)), "SORTEADO", "-")</f>
        <v>SORTEADO</v>
      </c>
      <c r="AM2" s="53" t="str">
        <f>TEXT(L2, "mm/dd/aaaa")</f>
        <v>04/01/2026</v>
      </c>
    </row>
    <row r="3" spans="1:39" ht="30" hidden="1" customHeight="1" x14ac:dyDescent="0.2">
      <c r="A3" s="231" t="s">
        <v>197</v>
      </c>
      <c r="B3" s="231">
        <v>2613619616</v>
      </c>
      <c r="C3" s="231" t="s">
        <v>140</v>
      </c>
      <c r="D3" s="231" t="s">
        <v>67</v>
      </c>
      <c r="E3" s="231" t="s">
        <v>198</v>
      </c>
      <c r="F3" s="231" t="s">
        <v>583</v>
      </c>
      <c r="G3" s="231">
        <v>143</v>
      </c>
      <c r="H3" s="231" t="s">
        <v>276</v>
      </c>
      <c r="I3" s="231" t="s">
        <v>584</v>
      </c>
      <c r="J3" s="231" t="s">
        <v>4605</v>
      </c>
      <c r="K3" s="231"/>
      <c r="L3" s="232" t="s">
        <v>202</v>
      </c>
      <c r="M3" s="232">
        <v>46026.443749999999</v>
      </c>
      <c r="N3" s="231" t="s">
        <v>4604</v>
      </c>
      <c r="O3" s="144" t="s">
        <v>204</v>
      </c>
      <c r="P3" s="168"/>
      <c r="Q3" s="144" t="s">
        <v>204</v>
      </c>
      <c r="R3" s="143"/>
      <c r="S3" s="144" t="s">
        <v>204</v>
      </c>
      <c r="T3" s="143"/>
      <c r="U3" s="144" t="s">
        <v>204</v>
      </c>
      <c r="V3" s="143"/>
      <c r="W3" s="144" t="s">
        <v>204</v>
      </c>
      <c r="X3" s="143"/>
      <c r="Y3" s="144" t="s">
        <v>204</v>
      </c>
      <c r="Z3" s="143"/>
      <c r="AA3" s="144" t="s">
        <v>204</v>
      </c>
      <c r="AB3" s="143"/>
      <c r="AC3" s="144" t="s">
        <v>204</v>
      </c>
      <c r="AD3" s="143"/>
      <c r="AE3" s="144" t="s">
        <v>204</v>
      </c>
      <c r="AF3" s="215" t="str">
        <f t="shared" ref="AF3:AF66" si="1">IF(AND(O3="",Q3="",S3="",U3="",W3="",Y3="",AA3="",AC3=""),"",
IF(OR(    AND(O3&lt;&gt;"NA",O3&lt;&gt;"C",O3&lt;&gt;"NC",O3&lt;&gt;"SF",O3&lt;&gt;""),
    AND(Q3&lt;&gt;"NA",Q3&lt;&gt;"C",Q3&lt;&gt;"NC",Q3&lt;&gt;"SF",Q3&lt;&gt;""),
    AND(S3&lt;&gt;"NA",S3&lt;&gt;"C",S3&lt;&gt;"NC",S3&lt;&gt;"SF",S3&lt;&gt;""),
    AND(U3&lt;&gt;"NA",U3&lt;&gt;"C",U3&lt;&gt;"NC",U3&lt;&gt;"SF",U3&lt;&gt;""),
    AND(W3&lt;&gt;"NA",W3&lt;&gt;"C",W3&lt;&gt;"NC",W3&lt;&gt;"SF",W3&lt;&gt;""),
    AND(Y3&lt;&gt;"NA",Y3&lt;&gt;"C",Y3&lt;&gt;"NC",Y3&lt;&gt;"SF",Y3&lt;&gt;""),
    AND(AA3&lt;&gt;"NA",AA3&lt;&gt;"C",AA3&lt;&gt;"NC",AA3&lt;&gt;"SF",AA3&lt;&gt;""),
    AND(AC3&lt;&gt;"NA",AC3&lt;&gt;"C",AC3&lt;&gt;"NC",AC3&lt;&gt;"SF",AC3&lt;&gt;"")
),"FALSO",
IF(AND(O3="NA",Q3="NA",S3="NA",U3="NA",W3="NA",Y3="NA",AA3="NA",AC3="NA"),"NA",
IF(OR(O3="NC",Q3="NC",S3="NC",U3="NC",W3="NC",Y3="NC",AA3="NC",AC3="NC",
       O3="SF",Q3="SF",S3="SF",U3="SF",W3="SF",Y3="SF",AA3="SF",AC3="SF"),"NC",
IF(SUM(IF(O3="C",1,0),IF(Q3="C",1,0),IF(S3="C",1,0),IF(U3="C",1,0),IF(W3="C",1,0),IF(Y3="C",1,0),IF(AA3="C",1,0),IF(AC3="C",1,0))=1,"C","C")))))</f>
        <v>C</v>
      </c>
      <c r="AG3" s="96" t="str">
        <f t="shared" si="0"/>
        <v>UTILIZOU O PDA CORRETAMENTE</v>
      </c>
      <c r="AH3" s="169" t="s">
        <v>39</v>
      </c>
      <c r="AI3" s="151" t="str">
        <f t="shared" ref="AI3:AI66" si="2">E3</f>
        <v>GUARULHOS</v>
      </c>
      <c r="AJ3" s="151" t="s">
        <v>6</v>
      </c>
      <c r="AK3" s="53">
        <v>-4.0000000000000002E-4</v>
      </c>
      <c r="AL3" s="53" t="str" cm="1">
        <f t="array" ref="AL3">IF(OR(O3&lt;&gt;"", SUMPRODUCT(($AM$2:$AM$210=AM3)*($AK$2:$AK$210&lt;=AK3)) &lt;= (COUNTIF($AM$2:$AM$210,AM3)*0.1)), "SORTEADO", "-")</f>
        <v>SORTEADO</v>
      </c>
      <c r="AM3" s="53" t="str">
        <f t="shared" ref="AM3:AM66" si="3">TEXT(L3, "mm/dd/aaaa")</f>
        <v>04/01/2026</v>
      </c>
    </row>
    <row r="4" spans="1:39" ht="30" hidden="1" customHeight="1" x14ac:dyDescent="0.2">
      <c r="A4" s="231" t="s">
        <v>197</v>
      </c>
      <c r="B4" s="231">
        <v>2613679257</v>
      </c>
      <c r="C4" s="231" t="s">
        <v>141</v>
      </c>
      <c r="D4" s="231" t="s">
        <v>67</v>
      </c>
      <c r="E4" s="231" t="s">
        <v>198</v>
      </c>
      <c r="F4" s="231" t="s">
        <v>3443</v>
      </c>
      <c r="G4" s="231">
        <v>378</v>
      </c>
      <c r="H4" s="231" t="s">
        <v>4606</v>
      </c>
      <c r="I4" s="231" t="s">
        <v>3444</v>
      </c>
      <c r="J4" s="231" t="s">
        <v>4603</v>
      </c>
      <c r="K4" s="231" t="s">
        <v>213</v>
      </c>
      <c r="L4" s="232" t="s">
        <v>202</v>
      </c>
      <c r="M4" s="232">
        <v>46026.504166666666</v>
      </c>
      <c r="N4" s="231" t="s">
        <v>4604</v>
      </c>
      <c r="O4" s="144" t="s">
        <v>204</v>
      </c>
      <c r="P4" s="168"/>
      <c r="Q4" s="144" t="s">
        <v>204</v>
      </c>
      <c r="R4" s="143"/>
      <c r="S4" s="144" t="s">
        <v>204</v>
      </c>
      <c r="T4" s="143"/>
      <c r="U4" s="144" t="s">
        <v>204</v>
      </c>
      <c r="V4" s="143"/>
      <c r="W4" s="144" t="s">
        <v>204</v>
      </c>
      <c r="X4" s="143"/>
      <c r="Y4" s="144" t="s">
        <v>204</v>
      </c>
      <c r="Z4" s="143"/>
      <c r="AA4" s="144" t="s">
        <v>204</v>
      </c>
      <c r="AB4" s="143"/>
      <c r="AC4" s="144" t="s">
        <v>204</v>
      </c>
      <c r="AD4" s="143"/>
      <c r="AE4" s="144" t="s">
        <v>204</v>
      </c>
      <c r="AF4" s="215" t="str">
        <f t="shared" si="1"/>
        <v>C</v>
      </c>
      <c r="AG4" s="96" t="str">
        <f t="shared" si="0"/>
        <v>UTILIZOU O PDA CORRETAMENTE</v>
      </c>
      <c r="AH4" s="169" t="s">
        <v>39</v>
      </c>
      <c r="AI4" s="151" t="str">
        <f t="shared" si="2"/>
        <v>GUARULHOS</v>
      </c>
      <c r="AJ4" s="151" t="s">
        <v>6</v>
      </c>
      <c r="AK4" s="53">
        <v>-5.9999999999999995E-4</v>
      </c>
      <c r="AL4" s="53" t="str" cm="1">
        <f t="array" ref="AL4">IF(OR(O4&lt;&gt;"", SUMPRODUCT(($AM$2:$AM$210=AM4)*($AK$2:$AK$210&lt;=AK4)) &lt;= (COUNTIF($AM$2:$AM$210,AM4)*0.1)), "SORTEADO", "-")</f>
        <v>SORTEADO</v>
      </c>
      <c r="AM4" s="53" t="str">
        <f t="shared" si="3"/>
        <v>04/01/2026</v>
      </c>
    </row>
    <row r="5" spans="1:39" ht="30" hidden="1" customHeight="1" x14ac:dyDescent="0.2">
      <c r="A5" s="231" t="s">
        <v>197</v>
      </c>
      <c r="B5" s="231">
        <v>2613516334</v>
      </c>
      <c r="C5" s="231" t="s">
        <v>141</v>
      </c>
      <c r="D5" s="231" t="s">
        <v>67</v>
      </c>
      <c r="E5" s="231" t="s">
        <v>198</v>
      </c>
      <c r="F5" s="231" t="s">
        <v>4196</v>
      </c>
      <c r="G5" s="231">
        <v>19</v>
      </c>
      <c r="H5" s="231" t="s">
        <v>4607</v>
      </c>
      <c r="I5" s="231" t="s">
        <v>1587</v>
      </c>
      <c r="J5" s="231" t="s">
        <v>4603</v>
      </c>
      <c r="K5" s="231"/>
      <c r="L5" s="232" t="s">
        <v>202</v>
      </c>
      <c r="M5" s="232">
        <v>46026.365277777775</v>
      </c>
      <c r="N5" s="231" t="s">
        <v>4604</v>
      </c>
      <c r="O5" s="144" t="s">
        <v>204</v>
      </c>
      <c r="P5" s="168"/>
      <c r="Q5" s="144" t="s">
        <v>204</v>
      </c>
      <c r="R5" s="143"/>
      <c r="S5" s="144" t="s">
        <v>204</v>
      </c>
      <c r="T5" s="143"/>
      <c r="U5" s="144" t="s">
        <v>204</v>
      </c>
      <c r="V5" s="143"/>
      <c r="W5" s="144" t="s">
        <v>204</v>
      </c>
      <c r="X5" s="143"/>
      <c r="Y5" s="144" t="s">
        <v>204</v>
      </c>
      <c r="Z5" s="143"/>
      <c r="AA5" s="144" t="s">
        <v>204</v>
      </c>
      <c r="AB5" s="143"/>
      <c r="AC5" s="144" t="s">
        <v>204</v>
      </c>
      <c r="AD5" s="143"/>
      <c r="AE5" s="144" t="s">
        <v>204</v>
      </c>
      <c r="AF5" s="215" t="str">
        <f t="shared" si="1"/>
        <v>C</v>
      </c>
      <c r="AG5" s="96" t="str">
        <f t="shared" si="0"/>
        <v>UTILIZOU O PDA CORRETAMENTE</v>
      </c>
      <c r="AH5" s="169" t="s">
        <v>59</v>
      </c>
      <c r="AI5" s="151" t="str">
        <f t="shared" si="2"/>
        <v>GUARULHOS</v>
      </c>
      <c r="AJ5" s="151" t="s">
        <v>6</v>
      </c>
      <c r="AK5" s="53">
        <v>-8.0000000000000004E-4</v>
      </c>
      <c r="AL5" s="53" t="str" cm="1">
        <f t="array" ref="AL5">IF(OR(O5&lt;&gt;"", SUMPRODUCT(($AM$2:$AM$210=AM5)*($AK$2:$AK$210&lt;=AK5)) &lt;= (COUNTIF($AM$2:$AM$210,AM5)*0.1)), "SORTEADO", "-")</f>
        <v>SORTEADO</v>
      </c>
      <c r="AM5" s="53" t="str">
        <f t="shared" si="3"/>
        <v>04/01/2026</v>
      </c>
    </row>
    <row r="6" spans="1:39" ht="30" hidden="1" customHeight="1" x14ac:dyDescent="0.2">
      <c r="A6" s="231" t="s">
        <v>197</v>
      </c>
      <c r="B6" s="231">
        <v>2610665525</v>
      </c>
      <c r="C6" s="231" t="s">
        <v>139</v>
      </c>
      <c r="D6" s="231" t="s">
        <v>67</v>
      </c>
      <c r="E6" s="231" t="s">
        <v>198</v>
      </c>
      <c r="F6" s="231" t="s">
        <v>3366</v>
      </c>
      <c r="G6" s="231">
        <v>635</v>
      </c>
      <c r="H6" s="231" t="s">
        <v>4502</v>
      </c>
      <c r="I6" s="231" t="s">
        <v>611</v>
      </c>
      <c r="J6" s="231" t="s">
        <v>4603</v>
      </c>
      <c r="K6" s="231" t="s">
        <v>213</v>
      </c>
      <c r="L6" s="232" t="s">
        <v>202</v>
      </c>
      <c r="M6" s="232">
        <v>46026.546527777777</v>
      </c>
      <c r="N6" s="231" t="s">
        <v>4604</v>
      </c>
      <c r="O6" s="144" t="s">
        <v>204</v>
      </c>
      <c r="P6" s="168"/>
      <c r="Q6" s="144" t="s">
        <v>204</v>
      </c>
      <c r="R6" s="143"/>
      <c r="S6" s="144" t="s">
        <v>204</v>
      </c>
      <c r="T6" s="143"/>
      <c r="U6" s="144" t="s">
        <v>204</v>
      </c>
      <c r="V6" s="143"/>
      <c r="W6" s="144" t="s">
        <v>204</v>
      </c>
      <c r="X6" s="143"/>
      <c r="Y6" s="144" t="s">
        <v>204</v>
      </c>
      <c r="Z6" s="143"/>
      <c r="AA6" s="144" t="s">
        <v>204</v>
      </c>
      <c r="AB6" s="143"/>
      <c r="AC6" s="144" t="s">
        <v>204</v>
      </c>
      <c r="AD6" s="143"/>
      <c r="AE6" s="144" t="s">
        <v>204</v>
      </c>
      <c r="AF6" s="215" t="str">
        <f t="shared" si="1"/>
        <v>C</v>
      </c>
      <c r="AG6" s="96" t="str">
        <f t="shared" si="0"/>
        <v>UTILIZOU O PDA CORRETAMENTE</v>
      </c>
      <c r="AH6" s="169" t="s">
        <v>39</v>
      </c>
      <c r="AI6" s="151" t="str">
        <f t="shared" si="2"/>
        <v>GUARULHOS</v>
      </c>
      <c r="AJ6" s="151" t="s">
        <v>6</v>
      </c>
      <c r="AK6" s="53">
        <v>-1E-3</v>
      </c>
      <c r="AL6" s="53" t="str" cm="1">
        <f t="array" ref="AL6">IF(OR(O6&lt;&gt;"", SUMPRODUCT(($AM$2:$AM$210=AM6)*($AK$2:$AK$210&lt;=AK6)) &lt;= (COUNTIF($AM$2:$AM$210,AM6)*0.1)), "SORTEADO", "-")</f>
        <v>SORTEADO</v>
      </c>
      <c r="AM6" s="53" t="str">
        <f t="shared" si="3"/>
        <v>04/01/2026</v>
      </c>
    </row>
    <row r="7" spans="1:39" ht="30" hidden="1" customHeight="1" x14ac:dyDescent="0.2">
      <c r="A7" s="231" t="s">
        <v>197</v>
      </c>
      <c r="B7" s="231">
        <v>2613684491</v>
      </c>
      <c r="C7" s="231" t="s">
        <v>139</v>
      </c>
      <c r="D7" s="231" t="s">
        <v>67</v>
      </c>
      <c r="E7" s="231" t="s">
        <v>198</v>
      </c>
      <c r="F7" s="231" t="s">
        <v>308</v>
      </c>
      <c r="G7" s="231">
        <v>444</v>
      </c>
      <c r="H7" s="231" t="s">
        <v>276</v>
      </c>
      <c r="I7" s="231" t="s">
        <v>262</v>
      </c>
      <c r="J7" s="231" t="s">
        <v>4603</v>
      </c>
      <c r="K7" s="231"/>
      <c r="L7" s="232" t="s">
        <v>202</v>
      </c>
      <c r="M7" s="232">
        <v>46026.401388888888</v>
      </c>
      <c r="N7" s="231" t="s">
        <v>4604</v>
      </c>
      <c r="O7" s="144" t="s">
        <v>204</v>
      </c>
      <c r="P7" s="168"/>
      <c r="Q7" s="144" t="s">
        <v>204</v>
      </c>
      <c r="R7" s="143"/>
      <c r="S7" s="144" t="s">
        <v>204</v>
      </c>
      <c r="T7" s="143"/>
      <c r="U7" s="144" t="s">
        <v>204</v>
      </c>
      <c r="V7" s="143"/>
      <c r="W7" s="144" t="s">
        <v>204</v>
      </c>
      <c r="X7" s="143"/>
      <c r="Y7" s="144" t="s">
        <v>204</v>
      </c>
      <c r="Z7" s="143"/>
      <c r="AA7" s="144" t="s">
        <v>204</v>
      </c>
      <c r="AB7" s="143"/>
      <c r="AC7" s="144" t="s">
        <v>204</v>
      </c>
      <c r="AD7" s="143"/>
      <c r="AE7" s="144" t="s">
        <v>204</v>
      </c>
      <c r="AF7" s="215" t="str">
        <f t="shared" si="1"/>
        <v>C</v>
      </c>
      <c r="AG7" s="96" t="str">
        <f t="shared" si="0"/>
        <v>UTILIZOU O PDA CORRETAMENTE</v>
      </c>
      <c r="AH7" s="169" t="s">
        <v>59</v>
      </c>
      <c r="AI7" s="151" t="str">
        <f t="shared" si="2"/>
        <v>GUARULHOS</v>
      </c>
      <c r="AJ7" s="151" t="s">
        <v>6</v>
      </c>
      <c r="AK7" s="53">
        <v>-1.1999999999999999E-3</v>
      </c>
      <c r="AL7" s="53" t="str" cm="1">
        <f t="array" ref="AL7">IF(OR(O7&lt;&gt;"", SUMPRODUCT(($AM$2:$AM$210=AM7)*($AK$2:$AK$210&lt;=AK7)) &lt;= (COUNTIF($AM$2:$AM$210,AM7)*0.1)), "SORTEADO", "-")</f>
        <v>SORTEADO</v>
      </c>
      <c r="AM7" s="53" t="str">
        <f t="shared" si="3"/>
        <v>04/01/2026</v>
      </c>
    </row>
    <row r="8" spans="1:39" ht="30" hidden="1" customHeight="1" x14ac:dyDescent="0.2">
      <c r="A8" s="231" t="s">
        <v>197</v>
      </c>
      <c r="B8" s="231">
        <v>2613695738</v>
      </c>
      <c r="C8" s="231" t="s">
        <v>138</v>
      </c>
      <c r="D8" s="231" t="s">
        <v>67</v>
      </c>
      <c r="E8" s="231" t="s">
        <v>198</v>
      </c>
      <c r="F8" s="231" t="s">
        <v>4608</v>
      </c>
      <c r="G8" s="231">
        <v>75</v>
      </c>
      <c r="H8" s="231" t="s">
        <v>4609</v>
      </c>
      <c r="I8" s="231" t="s">
        <v>335</v>
      </c>
      <c r="J8" s="231" t="s">
        <v>4605</v>
      </c>
      <c r="K8" s="231" t="s">
        <v>4610</v>
      </c>
      <c r="L8" s="232" t="s">
        <v>202</v>
      </c>
      <c r="M8" s="232">
        <v>46026.489583333336</v>
      </c>
      <c r="N8" s="231" t="s">
        <v>4604</v>
      </c>
      <c r="O8" s="144" t="s">
        <v>204</v>
      </c>
      <c r="P8" s="168"/>
      <c r="Q8" s="144" t="s">
        <v>204</v>
      </c>
      <c r="R8" s="143"/>
      <c r="S8" s="144" t="s">
        <v>204</v>
      </c>
      <c r="T8" s="143"/>
      <c r="U8" s="144" t="s">
        <v>204</v>
      </c>
      <c r="V8" s="143"/>
      <c r="W8" s="144" t="s">
        <v>204</v>
      </c>
      <c r="X8" s="143"/>
      <c r="Y8" s="144" t="s">
        <v>204</v>
      </c>
      <c r="Z8" s="143"/>
      <c r="AA8" s="144" t="s">
        <v>204</v>
      </c>
      <c r="AB8" s="143"/>
      <c r="AC8" s="144" t="s">
        <v>204</v>
      </c>
      <c r="AD8" s="143"/>
      <c r="AE8" s="144" t="s">
        <v>204</v>
      </c>
      <c r="AF8" s="215" t="str">
        <f t="shared" si="1"/>
        <v>C</v>
      </c>
      <c r="AG8" s="96" t="str">
        <f t="shared" si="0"/>
        <v>UTILIZOU O PDA CORRETAMENTE</v>
      </c>
      <c r="AH8" s="63" t="s">
        <v>39</v>
      </c>
      <c r="AI8" s="151" t="str">
        <f t="shared" si="2"/>
        <v>GUARULHOS</v>
      </c>
      <c r="AJ8" s="151" t="s">
        <v>6</v>
      </c>
      <c r="AK8" s="53">
        <v>-1.4E-3</v>
      </c>
      <c r="AL8" s="53" t="str" cm="1">
        <f t="array" ref="AL8">IF(OR(O8&lt;&gt;"", SUMPRODUCT(($AM$2:$AM$210=AM8)*($AK$2:$AK$210&lt;=AK8)) &lt;= (COUNTIF($AM$2:$AM$210,AM8)*0.1)), "SORTEADO", "-")</f>
        <v>SORTEADO</v>
      </c>
      <c r="AM8" s="53" t="str">
        <f t="shared" si="3"/>
        <v>04/01/2026</v>
      </c>
    </row>
    <row r="9" spans="1:39" ht="30" hidden="1" customHeight="1" x14ac:dyDescent="0.2">
      <c r="A9" s="231" t="s">
        <v>197</v>
      </c>
      <c r="B9" s="231">
        <v>2613626746</v>
      </c>
      <c r="C9" s="231" t="s">
        <v>139</v>
      </c>
      <c r="D9" s="231" t="s">
        <v>67</v>
      </c>
      <c r="E9" s="231" t="s">
        <v>198</v>
      </c>
      <c r="F9" s="231" t="s">
        <v>308</v>
      </c>
      <c r="G9" s="231">
        <v>448</v>
      </c>
      <c r="H9" s="231"/>
      <c r="I9" s="231" t="s">
        <v>262</v>
      </c>
      <c r="J9" s="231" t="s">
        <v>4603</v>
      </c>
      <c r="K9" s="231"/>
      <c r="L9" s="232" t="s">
        <v>202</v>
      </c>
      <c r="M9" s="232">
        <v>46026.390277777777</v>
      </c>
      <c r="N9" s="231" t="s">
        <v>4604</v>
      </c>
      <c r="O9" s="144" t="s">
        <v>204</v>
      </c>
      <c r="P9" s="168"/>
      <c r="Q9" s="144" t="s">
        <v>204</v>
      </c>
      <c r="R9" s="143"/>
      <c r="S9" s="144" t="s">
        <v>204</v>
      </c>
      <c r="T9" s="143"/>
      <c r="U9" s="144" t="s">
        <v>204</v>
      </c>
      <c r="V9" s="143"/>
      <c r="W9" s="144" t="s">
        <v>204</v>
      </c>
      <c r="X9" s="143"/>
      <c r="Y9" s="144" t="s">
        <v>204</v>
      </c>
      <c r="Z9" s="143"/>
      <c r="AA9" s="144" t="s">
        <v>204</v>
      </c>
      <c r="AB9" s="143"/>
      <c r="AC9" s="144" t="s">
        <v>204</v>
      </c>
      <c r="AD9" s="143"/>
      <c r="AE9" s="144" t="s">
        <v>204</v>
      </c>
      <c r="AF9" s="215" t="str">
        <f t="shared" si="1"/>
        <v>C</v>
      </c>
      <c r="AG9" s="96" t="str">
        <f t="shared" si="0"/>
        <v>UTILIZOU O PDA CORRETAMENTE</v>
      </c>
      <c r="AH9" s="63" t="s">
        <v>39</v>
      </c>
      <c r="AI9" s="151" t="str">
        <f t="shared" si="2"/>
        <v>GUARULHOS</v>
      </c>
      <c r="AJ9" s="151" t="s">
        <v>6</v>
      </c>
      <c r="AK9" s="53">
        <v>-1.6000000000000001E-3</v>
      </c>
      <c r="AL9" s="53" t="str" cm="1">
        <f t="array" ref="AL9">IF(OR(O9&lt;&gt;"", SUMPRODUCT(($AM$2:$AM$210=AM9)*($AK$2:$AK$210&lt;=AK9)) &lt;= (COUNTIF($AM$2:$AM$210,AM9)*0.1)), "SORTEADO", "-")</f>
        <v>SORTEADO</v>
      </c>
      <c r="AM9" s="53" t="str">
        <f t="shared" si="3"/>
        <v>04/01/2026</v>
      </c>
    </row>
    <row r="10" spans="1:39" ht="30" hidden="1" customHeight="1" x14ac:dyDescent="0.2">
      <c r="A10" s="231" t="s">
        <v>197</v>
      </c>
      <c r="B10" s="231">
        <v>2613737450</v>
      </c>
      <c r="C10" s="231" t="s">
        <v>138</v>
      </c>
      <c r="D10" s="231" t="s">
        <v>67</v>
      </c>
      <c r="E10" s="231" t="s">
        <v>198</v>
      </c>
      <c r="F10" s="231" t="s">
        <v>4504</v>
      </c>
      <c r="G10" s="231">
        <v>68</v>
      </c>
      <c r="H10" s="231" t="s">
        <v>4611</v>
      </c>
      <c r="I10" s="231" t="s">
        <v>480</v>
      </c>
      <c r="J10" s="231" t="s">
        <v>4605</v>
      </c>
      <c r="K10" s="231" t="s">
        <v>4612</v>
      </c>
      <c r="L10" s="232" t="s">
        <v>332</v>
      </c>
      <c r="M10" s="232">
        <v>46057.393750000003</v>
      </c>
      <c r="N10" s="231" t="s">
        <v>4613</v>
      </c>
      <c r="O10" s="144" t="s">
        <v>204</v>
      </c>
      <c r="P10" s="168"/>
      <c r="Q10" s="144" t="s">
        <v>204</v>
      </c>
      <c r="R10" s="143"/>
      <c r="S10" s="144" t="s">
        <v>204</v>
      </c>
      <c r="T10" s="143"/>
      <c r="U10" s="144" t="s">
        <v>204</v>
      </c>
      <c r="V10" s="143"/>
      <c r="W10" s="144" t="s">
        <v>204</v>
      </c>
      <c r="X10" s="143"/>
      <c r="Y10" s="144" t="s">
        <v>204</v>
      </c>
      <c r="Z10" s="143"/>
      <c r="AA10" s="144" t="s">
        <v>204</v>
      </c>
      <c r="AB10" s="143"/>
      <c r="AC10" s="144" t="s">
        <v>204</v>
      </c>
      <c r="AD10" s="143"/>
      <c r="AE10" s="144" t="s">
        <v>204</v>
      </c>
      <c r="AF10" s="215" t="str">
        <f t="shared" si="1"/>
        <v>C</v>
      </c>
      <c r="AG10" s="96" t="str">
        <f t="shared" si="0"/>
        <v>UTILIZOU O PDA CORRETAMENTE</v>
      </c>
      <c r="AH10" s="63" t="s">
        <v>59</v>
      </c>
      <c r="AI10" s="151" t="str">
        <f t="shared" si="2"/>
        <v>GUARULHOS</v>
      </c>
      <c r="AJ10" s="151" t="s">
        <v>6</v>
      </c>
      <c r="AK10" s="53">
        <v>-1.8E-3</v>
      </c>
      <c r="AL10" s="53" t="str" cm="1">
        <f t="array" ref="AL10">IF(OR(O10&lt;&gt;"", SUMPRODUCT(($AM$2:$AM$210=AM10)*($AK$2:$AK$210&lt;=AK10)) &lt;= (COUNTIF($AM$2:$AM$210,AM10)*0.1)), "SORTEADO", "-")</f>
        <v>SORTEADO</v>
      </c>
      <c r="AM10" s="53" t="str">
        <f t="shared" si="3"/>
        <v>04/02/2026</v>
      </c>
    </row>
    <row r="11" spans="1:39" ht="30" hidden="1" customHeight="1" x14ac:dyDescent="0.2">
      <c r="A11" s="231" t="s">
        <v>197</v>
      </c>
      <c r="B11" s="231">
        <v>2613592747</v>
      </c>
      <c r="C11" s="231" t="s">
        <v>139</v>
      </c>
      <c r="D11" s="231" t="s">
        <v>67</v>
      </c>
      <c r="E11" s="231" t="s">
        <v>198</v>
      </c>
      <c r="F11" s="231" t="s">
        <v>4614</v>
      </c>
      <c r="G11" s="231">
        <v>5</v>
      </c>
      <c r="H11" s="231" t="s">
        <v>4615</v>
      </c>
      <c r="I11" s="231" t="s">
        <v>1358</v>
      </c>
      <c r="J11" s="231" t="s">
        <v>4603</v>
      </c>
      <c r="K11" s="231"/>
      <c r="L11" s="232" t="s">
        <v>332</v>
      </c>
      <c r="M11" s="232">
        <v>46057.378472222219</v>
      </c>
      <c r="N11" s="231" t="s">
        <v>4613</v>
      </c>
      <c r="O11" s="144" t="s">
        <v>204</v>
      </c>
      <c r="P11" s="168"/>
      <c r="Q11" s="144" t="s">
        <v>204</v>
      </c>
      <c r="R11" s="143"/>
      <c r="S11" s="144" t="s">
        <v>204</v>
      </c>
      <c r="T11" s="143"/>
      <c r="U11" s="144" t="s">
        <v>204</v>
      </c>
      <c r="V11" s="143"/>
      <c r="W11" s="144" t="s">
        <v>204</v>
      </c>
      <c r="X11" s="143"/>
      <c r="Y11" s="144" t="s">
        <v>204</v>
      </c>
      <c r="Z11" s="143"/>
      <c r="AA11" s="144" t="s">
        <v>204</v>
      </c>
      <c r="AB11" s="143"/>
      <c r="AC11" s="144" t="s">
        <v>204</v>
      </c>
      <c r="AD11" s="143"/>
      <c r="AE11" s="144" t="s">
        <v>204</v>
      </c>
      <c r="AF11" s="215" t="str">
        <f t="shared" si="1"/>
        <v>C</v>
      </c>
      <c r="AG11" s="96" t="str">
        <f t="shared" si="0"/>
        <v>UTILIZOU O PDA CORRETAMENTE</v>
      </c>
      <c r="AH11" s="63" t="s">
        <v>59</v>
      </c>
      <c r="AI11" s="151" t="str">
        <f t="shared" si="2"/>
        <v>GUARULHOS</v>
      </c>
      <c r="AJ11" s="151" t="s">
        <v>6</v>
      </c>
      <c r="AK11" s="53">
        <v>-2E-3</v>
      </c>
      <c r="AL11" s="53" t="str" cm="1">
        <f t="array" ref="AL11">IF(OR(O11&lt;&gt;"", SUMPRODUCT(($AM$2:$AM$210=AM11)*($AK$2:$AK$210&lt;=AK11)) &lt;= (COUNTIF($AM$2:$AM$210,AM11)*0.1)), "SORTEADO", "-")</f>
        <v>SORTEADO</v>
      </c>
      <c r="AM11" s="53" t="str">
        <f t="shared" si="3"/>
        <v>04/02/2026</v>
      </c>
    </row>
    <row r="12" spans="1:39" ht="30" hidden="1" customHeight="1" x14ac:dyDescent="0.2">
      <c r="A12" s="231" t="s">
        <v>197</v>
      </c>
      <c r="B12" s="250">
        <v>2613765928</v>
      </c>
      <c r="C12" s="231" t="s">
        <v>138</v>
      </c>
      <c r="D12" s="231" t="s">
        <v>67</v>
      </c>
      <c r="E12" s="231" t="s">
        <v>198</v>
      </c>
      <c r="F12" s="231" t="s">
        <v>4616</v>
      </c>
      <c r="G12" s="231">
        <v>461</v>
      </c>
      <c r="H12" s="231" t="s">
        <v>4617</v>
      </c>
      <c r="I12" s="231" t="s">
        <v>708</v>
      </c>
      <c r="J12" s="231" t="s">
        <v>4605</v>
      </c>
      <c r="K12" s="231" t="s">
        <v>4612</v>
      </c>
      <c r="L12" s="232" t="s">
        <v>332</v>
      </c>
      <c r="M12" s="232">
        <v>46057.40902777778</v>
      </c>
      <c r="N12" s="231" t="s">
        <v>4613</v>
      </c>
      <c r="O12" s="144" t="s">
        <v>204</v>
      </c>
      <c r="P12" s="168"/>
      <c r="Q12" s="144" t="s">
        <v>204</v>
      </c>
      <c r="R12" s="143"/>
      <c r="S12" s="144" t="s">
        <v>204</v>
      </c>
      <c r="T12" s="143"/>
      <c r="U12" s="144" t="s">
        <v>204</v>
      </c>
      <c r="V12" s="143"/>
      <c r="W12" s="144" t="s">
        <v>204</v>
      </c>
      <c r="X12" s="143"/>
      <c r="Y12" s="144" t="s">
        <v>61</v>
      </c>
      <c r="Z12" s="143"/>
      <c r="AA12" s="144" t="s">
        <v>204</v>
      </c>
      <c r="AB12" s="143"/>
      <c r="AC12" s="144" t="s">
        <v>204</v>
      </c>
      <c r="AD12" s="143"/>
      <c r="AE12" s="144" t="s">
        <v>204</v>
      </c>
      <c r="AF12" s="215" t="str">
        <f t="shared" si="1"/>
        <v>C</v>
      </c>
      <c r="AG12" s="96" t="str">
        <f t="shared" si="0"/>
        <v>UTILIZOU O PDA CORRETAMENTE</v>
      </c>
      <c r="AH12" s="63" t="s">
        <v>59</v>
      </c>
      <c r="AI12" s="151" t="str">
        <f t="shared" si="2"/>
        <v>GUARULHOS</v>
      </c>
      <c r="AJ12" s="151" t="s">
        <v>6</v>
      </c>
      <c r="AK12" s="53">
        <v>-2.2000000000000001E-3</v>
      </c>
      <c r="AL12" s="53" t="str" cm="1">
        <f t="array" ref="AL12">IF(OR(O12&lt;&gt;"", SUMPRODUCT(($AM$2:$AM$210=AM12)*($AK$2:$AK$210&lt;=AK12)) &lt;= (COUNTIF($AM$2:$AM$210,AM12)*0.1)), "SORTEADO", "-")</f>
        <v>SORTEADO</v>
      </c>
      <c r="AM12" s="53" t="str">
        <f t="shared" si="3"/>
        <v>04/02/2026</v>
      </c>
    </row>
    <row r="13" spans="1:39" ht="30" customHeight="1" x14ac:dyDescent="0.2">
      <c r="A13" s="231" t="s">
        <v>197</v>
      </c>
      <c r="B13" s="250">
        <v>2613698364</v>
      </c>
      <c r="C13" s="231" t="s">
        <v>138</v>
      </c>
      <c r="D13" s="231" t="s">
        <v>67</v>
      </c>
      <c r="E13" s="231" t="s">
        <v>198</v>
      </c>
      <c r="F13" s="231" t="s">
        <v>224</v>
      </c>
      <c r="G13" s="231">
        <v>313</v>
      </c>
      <c r="H13" s="231"/>
      <c r="I13" s="231" t="s">
        <v>225</v>
      </c>
      <c r="J13" s="231" t="s">
        <v>4605</v>
      </c>
      <c r="K13" s="231" t="s">
        <v>4618</v>
      </c>
      <c r="L13" s="232" t="s">
        <v>332</v>
      </c>
      <c r="M13" s="232">
        <v>46057.341666666667</v>
      </c>
      <c r="N13" s="231" t="s">
        <v>4613</v>
      </c>
      <c r="O13" s="144" t="s">
        <v>204</v>
      </c>
      <c r="P13" s="168"/>
      <c r="Q13" s="144" t="s">
        <v>328</v>
      </c>
      <c r="R13" s="143"/>
      <c r="S13" s="144" t="s">
        <v>204</v>
      </c>
      <c r="T13" s="143"/>
      <c r="U13" s="144" t="s">
        <v>328</v>
      </c>
      <c r="V13" s="143"/>
      <c r="W13" s="144" t="s">
        <v>328</v>
      </c>
      <c r="X13" s="143"/>
      <c r="Y13" s="144" t="s">
        <v>328</v>
      </c>
      <c r="Z13" s="143"/>
      <c r="AA13" s="144" t="s">
        <v>328</v>
      </c>
      <c r="AB13" s="143"/>
      <c r="AC13" s="144" t="s">
        <v>328</v>
      </c>
      <c r="AD13" s="143"/>
      <c r="AE13" s="144" t="s">
        <v>210</v>
      </c>
      <c r="AF13" s="215" t="str">
        <f t="shared" si="1"/>
        <v>NC</v>
      </c>
      <c r="AG13" s="96" t="str">
        <f t="shared" si="0"/>
        <v>NÃO UTILIZOU O PDA</v>
      </c>
      <c r="AH13" s="63" t="s">
        <v>39</v>
      </c>
      <c r="AI13" s="151" t="str">
        <f t="shared" si="2"/>
        <v>GUARULHOS</v>
      </c>
      <c r="AJ13" s="151" t="s">
        <v>6</v>
      </c>
      <c r="AK13" s="53">
        <v>-2.3999999999999998E-3</v>
      </c>
      <c r="AL13" s="53" t="str" cm="1">
        <f t="array" ref="AL13">IF(OR(O13&lt;&gt;"", SUMPRODUCT(($AM$2:$AM$210=AM13)*($AK$2:$AK$210&lt;=AK13)) &lt;= (COUNTIF($AM$2:$AM$210,AM13)*0.1)), "SORTEADO", "-")</f>
        <v>SORTEADO</v>
      </c>
      <c r="AM13" s="53" t="str">
        <f t="shared" si="3"/>
        <v>04/02/2026</v>
      </c>
    </row>
    <row r="14" spans="1:39" ht="30" hidden="1" customHeight="1" x14ac:dyDescent="0.2">
      <c r="A14" s="231" t="s">
        <v>197</v>
      </c>
      <c r="B14" s="250">
        <v>2613673521</v>
      </c>
      <c r="C14" s="231" t="s">
        <v>141</v>
      </c>
      <c r="D14" s="231" t="s">
        <v>67</v>
      </c>
      <c r="E14" s="231" t="s">
        <v>198</v>
      </c>
      <c r="F14" s="231" t="s">
        <v>4619</v>
      </c>
      <c r="G14" s="231">
        <v>272</v>
      </c>
      <c r="H14" s="231" t="s">
        <v>3301</v>
      </c>
      <c r="I14" s="231" t="s">
        <v>1358</v>
      </c>
      <c r="J14" s="231" t="s">
        <v>4603</v>
      </c>
      <c r="K14" s="231" t="s">
        <v>213</v>
      </c>
      <c r="L14" s="232" t="s">
        <v>332</v>
      </c>
      <c r="M14" s="232">
        <v>46057.359027777777</v>
      </c>
      <c r="N14" s="231" t="s">
        <v>4613</v>
      </c>
      <c r="O14" s="144" t="s">
        <v>204</v>
      </c>
      <c r="P14" s="168"/>
      <c r="Q14" s="144" t="s">
        <v>204</v>
      </c>
      <c r="R14" s="143"/>
      <c r="S14" s="144" t="s">
        <v>204</v>
      </c>
      <c r="T14" s="143"/>
      <c r="U14" s="144" t="s">
        <v>204</v>
      </c>
      <c r="V14" s="143"/>
      <c r="W14" s="144" t="s">
        <v>204</v>
      </c>
      <c r="X14" s="143"/>
      <c r="Y14" s="144" t="s">
        <v>204</v>
      </c>
      <c r="Z14" s="143"/>
      <c r="AA14" s="144" t="s">
        <v>204</v>
      </c>
      <c r="AB14" s="143"/>
      <c r="AC14" s="144" t="s">
        <v>204</v>
      </c>
      <c r="AD14" s="143"/>
      <c r="AE14" s="144" t="s">
        <v>204</v>
      </c>
      <c r="AF14" s="215" t="str">
        <f t="shared" si="1"/>
        <v>C</v>
      </c>
      <c r="AG14" s="96" t="str">
        <f t="shared" si="0"/>
        <v>UTILIZOU O PDA CORRETAMENTE</v>
      </c>
      <c r="AH14" s="63" t="s">
        <v>39</v>
      </c>
      <c r="AI14" s="151" t="str">
        <f t="shared" si="2"/>
        <v>GUARULHOS</v>
      </c>
      <c r="AJ14" s="151" t="s">
        <v>6</v>
      </c>
      <c r="AK14" s="53">
        <v>-2.5999999999999999E-3</v>
      </c>
      <c r="AL14" s="53" t="str" cm="1">
        <f t="array" ref="AL14">IF(OR(O14&lt;&gt;"", SUMPRODUCT(($AM$2:$AM$210=AM14)*($AK$2:$AK$210&lt;=AK14)) &lt;= (COUNTIF($AM$2:$AM$210,AM14)*0.1)), "SORTEADO", "-")</f>
        <v>SORTEADO</v>
      </c>
      <c r="AM14" s="53" t="str">
        <f t="shared" si="3"/>
        <v>04/02/2026</v>
      </c>
    </row>
    <row r="15" spans="1:39" ht="30" customHeight="1" x14ac:dyDescent="0.2">
      <c r="A15" s="231" t="s">
        <v>197</v>
      </c>
      <c r="B15" s="250">
        <v>2613368415</v>
      </c>
      <c r="C15" s="231" t="s">
        <v>139</v>
      </c>
      <c r="D15" s="231" t="s">
        <v>67</v>
      </c>
      <c r="E15" s="231" t="s">
        <v>198</v>
      </c>
      <c r="F15" s="231" t="s">
        <v>205</v>
      </c>
      <c r="G15" s="231">
        <v>419</v>
      </c>
      <c r="H15" s="231" t="s">
        <v>206</v>
      </c>
      <c r="I15" s="231" t="s">
        <v>207</v>
      </c>
      <c r="J15" s="231" t="s">
        <v>4603</v>
      </c>
      <c r="K15" s="231"/>
      <c r="L15" s="232" t="s">
        <v>332</v>
      </c>
      <c r="M15" s="232">
        <v>46057.368750000001</v>
      </c>
      <c r="N15" s="231" t="s">
        <v>4620</v>
      </c>
      <c r="O15" s="144" t="s">
        <v>210</v>
      </c>
      <c r="P15" s="168" t="s">
        <v>413</v>
      </c>
      <c r="Q15" s="144" t="s">
        <v>210</v>
      </c>
      <c r="R15" s="168" t="s">
        <v>413</v>
      </c>
      <c r="S15" s="144" t="s">
        <v>210</v>
      </c>
      <c r="T15" s="168" t="s">
        <v>413</v>
      </c>
      <c r="U15" s="144" t="s">
        <v>210</v>
      </c>
      <c r="V15" s="168" t="s">
        <v>413</v>
      </c>
      <c r="W15" s="144" t="s">
        <v>210</v>
      </c>
      <c r="X15" s="168" t="s">
        <v>413</v>
      </c>
      <c r="Y15" s="144" t="s">
        <v>210</v>
      </c>
      <c r="Z15" s="168" t="s">
        <v>413</v>
      </c>
      <c r="AA15" s="144" t="s">
        <v>210</v>
      </c>
      <c r="AB15" s="168" t="s">
        <v>413</v>
      </c>
      <c r="AC15" s="144" t="s">
        <v>210</v>
      </c>
      <c r="AD15" s="168" t="s">
        <v>413</v>
      </c>
      <c r="AE15" s="144" t="s">
        <v>210</v>
      </c>
      <c r="AF15" s="215" t="str">
        <f t="shared" si="1"/>
        <v>NC</v>
      </c>
      <c r="AG15" s="96" t="str">
        <f t="shared" si="0"/>
        <v>NÃO UTILIZOU O PDA</v>
      </c>
      <c r="AH15" s="63" t="s">
        <v>39</v>
      </c>
      <c r="AI15" s="151" t="str">
        <f t="shared" si="2"/>
        <v>GUARULHOS</v>
      </c>
      <c r="AJ15" s="151" t="s">
        <v>6</v>
      </c>
      <c r="AK15" s="53">
        <v>-2.8E-3</v>
      </c>
      <c r="AL15" s="53" t="str" cm="1">
        <f t="array" ref="AL15">IF(OR(O15&lt;&gt;"", SUMPRODUCT(($AM$2:$AM$210=AM15)*($AK$2:$AK$210&lt;=AK15)) &lt;= (COUNTIF($AM$2:$AM$210,AM15)*0.1)), "SORTEADO", "-")</f>
        <v>SORTEADO</v>
      </c>
      <c r="AM15" s="53" t="str">
        <f t="shared" si="3"/>
        <v>04/02/2026</v>
      </c>
    </row>
    <row r="16" spans="1:39" ht="30" hidden="1" customHeight="1" x14ac:dyDescent="0.2">
      <c r="A16" s="231" t="s">
        <v>197</v>
      </c>
      <c r="B16" s="231">
        <v>2613672375</v>
      </c>
      <c r="C16" s="231" t="s">
        <v>141</v>
      </c>
      <c r="D16" s="231" t="s">
        <v>67</v>
      </c>
      <c r="E16" s="231" t="s">
        <v>198</v>
      </c>
      <c r="F16" s="231" t="s">
        <v>4621</v>
      </c>
      <c r="G16" s="231">
        <v>73</v>
      </c>
      <c r="H16" s="231" t="s">
        <v>4622</v>
      </c>
      <c r="I16" s="231" t="s">
        <v>368</v>
      </c>
      <c r="J16" s="231" t="s">
        <v>4603</v>
      </c>
      <c r="K16" s="231" t="s">
        <v>4623</v>
      </c>
      <c r="L16" s="232" t="s">
        <v>332</v>
      </c>
      <c r="M16" s="232">
        <v>46057.365277777775</v>
      </c>
      <c r="N16" s="231" t="s">
        <v>4620</v>
      </c>
      <c r="O16" s="144" t="s">
        <v>204</v>
      </c>
      <c r="P16" s="168"/>
      <c r="Q16" s="144" t="s">
        <v>204</v>
      </c>
      <c r="R16" s="143"/>
      <c r="S16" s="144" t="s">
        <v>204</v>
      </c>
      <c r="T16" s="143"/>
      <c r="U16" s="144" t="s">
        <v>204</v>
      </c>
      <c r="V16" s="143"/>
      <c r="W16" s="144" t="s">
        <v>204</v>
      </c>
      <c r="X16" s="143"/>
      <c r="Y16" s="144" t="s">
        <v>204</v>
      </c>
      <c r="Z16" s="143"/>
      <c r="AA16" s="144" t="s">
        <v>204</v>
      </c>
      <c r="AB16" s="143"/>
      <c r="AC16" s="144" t="s">
        <v>204</v>
      </c>
      <c r="AD16" s="143"/>
      <c r="AE16" s="144" t="s">
        <v>204</v>
      </c>
      <c r="AF16" s="215" t="str">
        <f t="shared" si="1"/>
        <v>C</v>
      </c>
      <c r="AG16" s="96" t="str">
        <f t="shared" si="0"/>
        <v>UTILIZOU O PDA CORRETAMENTE</v>
      </c>
      <c r="AH16" s="63" t="s">
        <v>39</v>
      </c>
      <c r="AI16" s="151" t="str">
        <f t="shared" si="2"/>
        <v>GUARULHOS</v>
      </c>
      <c r="AJ16" s="151" t="s">
        <v>6</v>
      </c>
      <c r="AK16" s="53">
        <v>-3.0000000000000001E-3</v>
      </c>
      <c r="AL16" s="53" t="str" cm="1">
        <f t="array" ref="AL16">IF(OR(O16&lt;&gt;"", SUMPRODUCT(($AM$2:$AM$210=AM16)*($AK$2:$AK$210&lt;=AK16)) &lt;= (COUNTIF($AM$2:$AM$210,AM16)*0.1)), "SORTEADO", "-")</f>
        <v>SORTEADO</v>
      </c>
      <c r="AM16" s="53" t="str">
        <f t="shared" si="3"/>
        <v>04/02/2026</v>
      </c>
    </row>
    <row r="17" spans="1:39" ht="30" customHeight="1" x14ac:dyDescent="0.2">
      <c r="A17" s="231" t="s">
        <v>197</v>
      </c>
      <c r="B17" s="250">
        <v>2613368415</v>
      </c>
      <c r="C17" s="231" t="s">
        <v>141</v>
      </c>
      <c r="D17" s="231" t="s">
        <v>67</v>
      </c>
      <c r="E17" s="231" t="s">
        <v>198</v>
      </c>
      <c r="F17" s="231" t="s">
        <v>205</v>
      </c>
      <c r="G17" s="231">
        <v>419</v>
      </c>
      <c r="H17" s="231" t="s">
        <v>206</v>
      </c>
      <c r="I17" s="231" t="s">
        <v>207</v>
      </c>
      <c r="J17" s="231" t="s">
        <v>4603</v>
      </c>
      <c r="K17" s="231"/>
      <c r="L17" s="232" t="s">
        <v>332</v>
      </c>
      <c r="M17" s="232">
        <v>46057.363888888889</v>
      </c>
      <c r="N17" s="231" t="s">
        <v>4620</v>
      </c>
      <c r="O17" s="144" t="s">
        <v>210</v>
      </c>
      <c r="P17" s="168" t="s">
        <v>413</v>
      </c>
      <c r="Q17" s="144" t="s">
        <v>210</v>
      </c>
      <c r="R17" s="168" t="s">
        <v>413</v>
      </c>
      <c r="S17" s="144" t="s">
        <v>210</v>
      </c>
      <c r="T17" s="168" t="s">
        <v>413</v>
      </c>
      <c r="U17" s="144" t="s">
        <v>210</v>
      </c>
      <c r="V17" s="168" t="s">
        <v>413</v>
      </c>
      <c r="W17" s="144" t="s">
        <v>210</v>
      </c>
      <c r="X17" s="168" t="s">
        <v>413</v>
      </c>
      <c r="Y17" s="144" t="s">
        <v>210</v>
      </c>
      <c r="Z17" s="168" t="s">
        <v>413</v>
      </c>
      <c r="AA17" s="144" t="s">
        <v>210</v>
      </c>
      <c r="AB17" s="168" t="s">
        <v>413</v>
      </c>
      <c r="AC17" s="144" t="s">
        <v>210</v>
      </c>
      <c r="AD17" s="168" t="s">
        <v>413</v>
      </c>
      <c r="AE17" s="144" t="s">
        <v>210</v>
      </c>
      <c r="AF17" s="215" t="str">
        <f t="shared" si="1"/>
        <v>NC</v>
      </c>
      <c r="AG17" s="96" t="str">
        <f t="shared" si="0"/>
        <v>NÃO UTILIZOU O PDA</v>
      </c>
      <c r="AH17" s="63" t="s">
        <v>39</v>
      </c>
      <c r="AI17" s="151" t="str">
        <f t="shared" si="2"/>
        <v>GUARULHOS</v>
      </c>
      <c r="AJ17" s="151" t="s">
        <v>6</v>
      </c>
      <c r="AK17" s="53">
        <v>-3.2000000000000002E-3</v>
      </c>
      <c r="AL17" s="53" t="str" cm="1">
        <f t="array" ref="AL17">IF(OR(O17&lt;&gt;"", SUMPRODUCT(($AM$2:$AM$210=AM17)*($AK$2:$AK$210&lt;=AK17)) &lt;= (COUNTIF($AM$2:$AM$210,AM17)*0.1)), "SORTEADO", "-")</f>
        <v>SORTEADO</v>
      </c>
      <c r="AM17" s="53" t="str">
        <f t="shared" si="3"/>
        <v>04/02/2026</v>
      </c>
    </row>
    <row r="18" spans="1:39" ht="30" hidden="1" customHeight="1" x14ac:dyDescent="0.2">
      <c r="A18" s="231" t="s">
        <v>197</v>
      </c>
      <c r="B18" s="231">
        <v>2613678510</v>
      </c>
      <c r="C18" s="231" t="s">
        <v>141</v>
      </c>
      <c r="D18" s="231" t="s">
        <v>67</v>
      </c>
      <c r="E18" s="231" t="s">
        <v>198</v>
      </c>
      <c r="F18" s="231" t="s">
        <v>4624</v>
      </c>
      <c r="G18" s="231">
        <v>270</v>
      </c>
      <c r="H18" s="231" t="s">
        <v>4625</v>
      </c>
      <c r="I18" s="231" t="s">
        <v>301</v>
      </c>
      <c r="J18" s="231" t="s">
        <v>4603</v>
      </c>
      <c r="K18" s="231" t="s">
        <v>4623</v>
      </c>
      <c r="L18" s="232" t="s">
        <v>332</v>
      </c>
      <c r="M18" s="232">
        <v>46057.380555555559</v>
      </c>
      <c r="N18" s="231" t="s">
        <v>4620</v>
      </c>
      <c r="O18" s="144" t="s">
        <v>61</v>
      </c>
      <c r="P18" s="168"/>
      <c r="Q18" s="144" t="s">
        <v>61</v>
      </c>
      <c r="R18" s="143"/>
      <c r="S18" s="144" t="s">
        <v>61</v>
      </c>
      <c r="T18" s="143"/>
      <c r="U18" s="144" t="s">
        <v>61</v>
      </c>
      <c r="V18" s="143"/>
      <c r="W18" s="144" t="s">
        <v>61</v>
      </c>
      <c r="X18" s="143"/>
      <c r="Y18" s="144" t="s">
        <v>61</v>
      </c>
      <c r="Z18" s="143"/>
      <c r="AA18" s="144" t="s">
        <v>61</v>
      </c>
      <c r="AB18" s="156"/>
      <c r="AC18" s="144" t="s">
        <v>61</v>
      </c>
      <c r="AD18" s="156"/>
      <c r="AE18" s="144" t="s">
        <v>61</v>
      </c>
      <c r="AF18" s="215" t="str">
        <f t="shared" si="1"/>
        <v>NA</v>
      </c>
      <c r="AG18" s="96" t="str">
        <f t="shared" si="0"/>
        <v>NÃO AVALIADO POR FALHA DE SINCRONISMO</v>
      </c>
      <c r="AH18" s="63" t="s">
        <v>59</v>
      </c>
      <c r="AI18" s="151" t="str">
        <f t="shared" si="2"/>
        <v>GUARULHOS</v>
      </c>
      <c r="AJ18" s="151" t="s">
        <v>6</v>
      </c>
      <c r="AK18" s="53">
        <v>-3.3999999999999998E-3</v>
      </c>
      <c r="AL18" s="53" t="str" cm="1">
        <f t="array" ref="AL18">IF(OR(O18&lt;&gt;"", SUMPRODUCT(($AM$2:$AM$210=AM18)*($AK$2:$AK$210&lt;=AK18)) &lt;= (COUNTIF($AM$2:$AM$210,AM18)*0.1)), "SORTEADO", "-")</f>
        <v>SORTEADO</v>
      </c>
      <c r="AM18" s="53" t="str">
        <f t="shared" si="3"/>
        <v>04/02/2026</v>
      </c>
    </row>
    <row r="19" spans="1:39" ht="30" hidden="1" customHeight="1" x14ac:dyDescent="0.2">
      <c r="A19" s="231" t="s">
        <v>197</v>
      </c>
      <c r="B19" s="231">
        <v>2613744360</v>
      </c>
      <c r="C19" s="231" t="s">
        <v>138</v>
      </c>
      <c r="D19" s="231" t="s">
        <v>67</v>
      </c>
      <c r="E19" s="231" t="s">
        <v>198</v>
      </c>
      <c r="F19" s="231" t="s">
        <v>908</v>
      </c>
      <c r="G19" s="231">
        <v>1823</v>
      </c>
      <c r="H19" s="231"/>
      <c r="I19" s="231" t="s">
        <v>559</v>
      </c>
      <c r="J19" s="231" t="s">
        <v>4605</v>
      </c>
      <c r="K19" s="231" t="s">
        <v>4623</v>
      </c>
      <c r="L19" s="232" t="s">
        <v>332</v>
      </c>
      <c r="M19" s="232">
        <v>46057.375</v>
      </c>
      <c r="N19" s="231" t="s">
        <v>4620</v>
      </c>
      <c r="O19" s="144" t="s">
        <v>204</v>
      </c>
      <c r="P19" s="169"/>
      <c r="Q19" s="144" t="s">
        <v>204</v>
      </c>
      <c r="R19" s="56"/>
      <c r="S19" s="144" t="s">
        <v>204</v>
      </c>
      <c r="T19" s="56"/>
      <c r="U19" s="144" t="s">
        <v>204</v>
      </c>
      <c r="V19" s="56"/>
      <c r="W19" s="144" t="s">
        <v>204</v>
      </c>
      <c r="X19" s="56"/>
      <c r="Y19" s="144" t="s">
        <v>204</v>
      </c>
      <c r="Z19" s="56"/>
      <c r="AA19" s="144" t="s">
        <v>204</v>
      </c>
      <c r="AB19" s="156"/>
      <c r="AC19" s="144" t="s">
        <v>204</v>
      </c>
      <c r="AD19" s="156"/>
      <c r="AE19" s="144" t="s">
        <v>204</v>
      </c>
      <c r="AF19" s="215" t="str">
        <f t="shared" si="1"/>
        <v>C</v>
      </c>
      <c r="AG19" s="96" t="str">
        <f t="shared" si="0"/>
        <v>UTILIZOU O PDA CORRETAMENTE</v>
      </c>
      <c r="AH19" s="63" t="s">
        <v>39</v>
      </c>
      <c r="AI19" s="151" t="str">
        <f t="shared" si="2"/>
        <v>GUARULHOS</v>
      </c>
      <c r="AJ19" s="151" t="s">
        <v>6</v>
      </c>
      <c r="AK19" s="53">
        <v>-3.5999999999999999E-3</v>
      </c>
      <c r="AL19" s="53" t="str" cm="1">
        <f t="array" ref="AL19">IF(OR(O19&lt;&gt;"", SUMPRODUCT(($AM$2:$AM$210=AM19)*($AK$2:$AK$210&lt;=AK19)) &lt;= (COUNTIF($AM$2:$AM$210,AM19)*0.1)), "SORTEADO", "-")</f>
        <v>SORTEADO</v>
      </c>
      <c r="AM19" s="53" t="str">
        <f t="shared" si="3"/>
        <v>04/02/2026</v>
      </c>
    </row>
    <row r="20" spans="1:39" ht="30" hidden="1" customHeight="1" x14ac:dyDescent="0.2">
      <c r="A20" s="231" t="s">
        <v>197</v>
      </c>
      <c r="B20" s="231">
        <v>2689146928</v>
      </c>
      <c r="C20" s="231" t="s">
        <v>138</v>
      </c>
      <c r="D20" s="231" t="s">
        <v>67</v>
      </c>
      <c r="E20" s="231" t="s">
        <v>198</v>
      </c>
      <c r="F20" s="231" t="s">
        <v>861</v>
      </c>
      <c r="G20" s="231">
        <v>398</v>
      </c>
      <c r="H20" s="231" t="s">
        <v>213</v>
      </c>
      <c r="I20" s="231" t="s">
        <v>411</v>
      </c>
      <c r="J20" s="231" t="s">
        <v>4605</v>
      </c>
      <c r="K20" s="231" t="s">
        <v>4623</v>
      </c>
      <c r="L20" s="232" t="s">
        <v>332</v>
      </c>
      <c r="M20" s="232">
        <v>46057.334027777775</v>
      </c>
      <c r="N20" s="231" t="s">
        <v>4620</v>
      </c>
      <c r="O20" s="144" t="s">
        <v>204</v>
      </c>
      <c r="P20" s="169"/>
      <c r="Q20" s="144" t="s">
        <v>204</v>
      </c>
      <c r="R20" s="56"/>
      <c r="S20" s="144" t="s">
        <v>204</v>
      </c>
      <c r="T20" s="56"/>
      <c r="U20" s="144" t="s">
        <v>204</v>
      </c>
      <c r="V20" s="56"/>
      <c r="W20" s="144" t="s">
        <v>204</v>
      </c>
      <c r="X20" s="56"/>
      <c r="Y20" s="144" t="s">
        <v>204</v>
      </c>
      <c r="Z20" s="56"/>
      <c r="AA20" s="144" t="s">
        <v>204</v>
      </c>
      <c r="AB20" s="156"/>
      <c r="AC20" s="144" t="s">
        <v>204</v>
      </c>
      <c r="AD20" s="156"/>
      <c r="AE20" s="144" t="s">
        <v>204</v>
      </c>
      <c r="AF20" s="215" t="str">
        <f t="shared" si="1"/>
        <v>C</v>
      </c>
      <c r="AG20" s="96" t="str">
        <f t="shared" si="0"/>
        <v>UTILIZOU O PDA CORRETAMENTE</v>
      </c>
      <c r="AH20" s="169" t="s">
        <v>39</v>
      </c>
      <c r="AI20" s="151" t="str">
        <f t="shared" si="2"/>
        <v>GUARULHOS</v>
      </c>
      <c r="AJ20" s="151" t="s">
        <v>6</v>
      </c>
      <c r="AK20" s="53">
        <v>-3.8E-3</v>
      </c>
      <c r="AL20" s="53" t="str" cm="1">
        <f t="array" ref="AL20">IF(OR(O20&lt;&gt;"", SUMPRODUCT(($AM$2:$AM$210=AM20)*($AK$2:$AK$210&lt;=AK20)) &lt;= (COUNTIF($AM$2:$AM$210,AM20)*0.1)), "SORTEADO", "-")</f>
        <v>SORTEADO</v>
      </c>
      <c r="AM20" s="53" t="str">
        <f t="shared" si="3"/>
        <v>04/02/2026</v>
      </c>
    </row>
    <row r="21" spans="1:39" ht="30" hidden="1" customHeight="1" x14ac:dyDescent="0.2">
      <c r="A21" s="231" t="s">
        <v>197</v>
      </c>
      <c r="B21" s="231">
        <v>2613756857</v>
      </c>
      <c r="C21" s="231" t="s">
        <v>138</v>
      </c>
      <c r="D21" s="231" t="s">
        <v>67</v>
      </c>
      <c r="E21" s="231" t="s">
        <v>198</v>
      </c>
      <c r="F21" s="231" t="s">
        <v>3531</v>
      </c>
      <c r="G21" s="231">
        <v>119</v>
      </c>
      <c r="H21" s="231" t="s">
        <v>996</v>
      </c>
      <c r="I21" s="231" t="s">
        <v>791</v>
      </c>
      <c r="J21" s="231" t="s">
        <v>4605</v>
      </c>
      <c r="K21" s="231" t="s">
        <v>4623</v>
      </c>
      <c r="L21" s="232" t="s">
        <v>332</v>
      </c>
      <c r="M21" s="232">
        <v>46057.375694444447</v>
      </c>
      <c r="N21" s="231" t="s">
        <v>4620</v>
      </c>
      <c r="O21" s="144" t="s">
        <v>204</v>
      </c>
      <c r="P21" s="169"/>
      <c r="Q21" s="144" t="s">
        <v>204</v>
      </c>
      <c r="R21" s="56"/>
      <c r="S21" s="144" t="s">
        <v>204</v>
      </c>
      <c r="T21" s="56"/>
      <c r="U21" s="144" t="s">
        <v>204</v>
      </c>
      <c r="V21" s="56"/>
      <c r="W21" s="144" t="s">
        <v>204</v>
      </c>
      <c r="X21" s="56"/>
      <c r="Y21" s="144" t="s">
        <v>204</v>
      </c>
      <c r="Z21" s="56"/>
      <c r="AA21" s="144" t="s">
        <v>204</v>
      </c>
      <c r="AB21" s="156"/>
      <c r="AC21" s="144" t="s">
        <v>204</v>
      </c>
      <c r="AD21" s="156"/>
      <c r="AE21" s="144" t="s">
        <v>204</v>
      </c>
      <c r="AF21" s="215" t="str">
        <f t="shared" si="1"/>
        <v>C</v>
      </c>
      <c r="AG21" s="96" t="str">
        <f t="shared" si="0"/>
        <v>UTILIZOU O PDA CORRETAMENTE</v>
      </c>
      <c r="AH21" s="169" t="s">
        <v>39</v>
      </c>
      <c r="AI21" s="151" t="str">
        <f t="shared" si="2"/>
        <v>GUARULHOS</v>
      </c>
      <c r="AJ21" s="151" t="s">
        <v>6</v>
      </c>
      <c r="AK21" s="53">
        <v>-4.0000000000000001E-3</v>
      </c>
      <c r="AL21" s="53" t="str" cm="1">
        <f t="array" ref="AL21">IF(OR(O21&lt;&gt;"", SUMPRODUCT(($AM$2:$AM$210=AM21)*($AK$2:$AK$210&lt;=AK21)) &lt;= (COUNTIF($AM$2:$AM$210,AM21)*0.1)), "SORTEADO", "-")</f>
        <v>SORTEADO</v>
      </c>
      <c r="AM21" s="53" t="str">
        <f t="shared" si="3"/>
        <v>04/02/2026</v>
      </c>
    </row>
    <row r="22" spans="1:39" ht="30" hidden="1" customHeight="1" x14ac:dyDescent="0.2">
      <c r="A22" s="231" t="s">
        <v>197</v>
      </c>
      <c r="B22" s="231">
        <v>2613671727</v>
      </c>
      <c r="C22" s="231" t="s">
        <v>138</v>
      </c>
      <c r="D22" s="231" t="s">
        <v>67</v>
      </c>
      <c r="E22" s="231" t="s">
        <v>198</v>
      </c>
      <c r="F22" s="231" t="s">
        <v>908</v>
      </c>
      <c r="G22" s="231">
        <v>1814</v>
      </c>
      <c r="H22" s="231" t="s">
        <v>4626</v>
      </c>
      <c r="I22" s="231" t="s">
        <v>791</v>
      </c>
      <c r="J22" s="231" t="s">
        <v>4605</v>
      </c>
      <c r="K22" s="231" t="s">
        <v>4623</v>
      </c>
      <c r="L22" s="232" t="s">
        <v>332</v>
      </c>
      <c r="M22" s="232">
        <v>46057.34097222222</v>
      </c>
      <c r="N22" s="231" t="s">
        <v>4620</v>
      </c>
      <c r="O22" s="144" t="s">
        <v>204</v>
      </c>
      <c r="P22" s="169"/>
      <c r="Q22" s="144" t="s">
        <v>204</v>
      </c>
      <c r="R22" s="56"/>
      <c r="S22" s="144" t="s">
        <v>204</v>
      </c>
      <c r="T22" s="56"/>
      <c r="U22" s="144" t="s">
        <v>204</v>
      </c>
      <c r="V22" s="56"/>
      <c r="W22" s="144" t="s">
        <v>204</v>
      </c>
      <c r="X22" s="56"/>
      <c r="Y22" s="144" t="s">
        <v>204</v>
      </c>
      <c r="Z22" s="56"/>
      <c r="AA22" s="144" t="s">
        <v>204</v>
      </c>
      <c r="AB22" s="156"/>
      <c r="AC22" s="144" t="s">
        <v>204</v>
      </c>
      <c r="AD22" s="156"/>
      <c r="AE22" s="144" t="s">
        <v>204</v>
      </c>
      <c r="AF22" s="215" t="str">
        <f t="shared" si="1"/>
        <v>C</v>
      </c>
      <c r="AG22" s="96" t="str">
        <f t="shared" si="0"/>
        <v>UTILIZOU O PDA CORRETAMENTE</v>
      </c>
      <c r="AH22" s="169" t="s">
        <v>39</v>
      </c>
      <c r="AI22" s="151" t="str">
        <f t="shared" si="2"/>
        <v>GUARULHOS</v>
      </c>
      <c r="AJ22" s="151" t="s">
        <v>6</v>
      </c>
      <c r="AK22" s="53">
        <v>-4.1999999999999997E-3</v>
      </c>
      <c r="AL22" s="53" t="str" cm="1">
        <f t="array" ref="AL22">IF(OR(O22&lt;&gt;"", SUMPRODUCT(($AM$2:$AM$210=AM22)*($AK$2:$AK$210&lt;=AK22)) &lt;= (COUNTIF($AM$2:$AM$210,AM22)*0.1)), "SORTEADO", "-")</f>
        <v>SORTEADO</v>
      </c>
      <c r="AM22" s="53" t="str">
        <f t="shared" si="3"/>
        <v>04/02/2026</v>
      </c>
    </row>
    <row r="23" spans="1:39" ht="30" hidden="1" customHeight="1" x14ac:dyDescent="0.2">
      <c r="A23" s="231" t="s">
        <v>197</v>
      </c>
      <c r="B23" s="231">
        <v>2689154922</v>
      </c>
      <c r="C23" s="231" t="s">
        <v>141</v>
      </c>
      <c r="D23" s="231" t="s">
        <v>67</v>
      </c>
      <c r="E23" s="231" t="s">
        <v>198</v>
      </c>
      <c r="F23" s="231" t="s">
        <v>942</v>
      </c>
      <c r="G23" s="231">
        <v>18</v>
      </c>
      <c r="H23" s="231" t="s">
        <v>4627</v>
      </c>
      <c r="I23" s="231" t="s">
        <v>269</v>
      </c>
      <c r="J23" s="231" t="s">
        <v>4603</v>
      </c>
      <c r="K23" s="231" t="s">
        <v>4623</v>
      </c>
      <c r="L23" s="232" t="s">
        <v>332</v>
      </c>
      <c r="M23" s="232">
        <v>46057.368750000001</v>
      </c>
      <c r="N23" s="231" t="s">
        <v>4620</v>
      </c>
      <c r="O23" s="144" t="s">
        <v>204</v>
      </c>
      <c r="P23" s="169"/>
      <c r="Q23" s="144" t="s">
        <v>204</v>
      </c>
      <c r="R23" s="56"/>
      <c r="S23" s="144" t="s">
        <v>204</v>
      </c>
      <c r="T23" s="56"/>
      <c r="U23" s="144" t="s">
        <v>204</v>
      </c>
      <c r="V23" s="56"/>
      <c r="W23" s="144" t="s">
        <v>204</v>
      </c>
      <c r="X23" s="56"/>
      <c r="Y23" s="144" t="s">
        <v>204</v>
      </c>
      <c r="Z23" s="56"/>
      <c r="AA23" s="144" t="s">
        <v>204</v>
      </c>
      <c r="AB23" s="156"/>
      <c r="AC23" s="144" t="s">
        <v>204</v>
      </c>
      <c r="AD23" s="156"/>
      <c r="AE23" s="144" t="s">
        <v>204</v>
      </c>
      <c r="AF23" s="215" t="str">
        <f t="shared" si="1"/>
        <v>C</v>
      </c>
      <c r="AG23" s="96" t="str">
        <f t="shared" si="0"/>
        <v>UTILIZOU O PDA CORRETAMENTE</v>
      </c>
      <c r="AH23" s="169" t="s">
        <v>39</v>
      </c>
      <c r="AI23" s="151" t="str">
        <f t="shared" si="2"/>
        <v>GUARULHOS</v>
      </c>
      <c r="AJ23" s="151" t="s">
        <v>6</v>
      </c>
      <c r="AK23" s="53">
        <v>-4.4000000000000003E-3</v>
      </c>
      <c r="AL23" s="53" t="str" cm="1">
        <f t="array" ref="AL23">IF(OR(O23&lt;&gt;"", SUMPRODUCT(($AM$2:$AM$210=AM23)*($AK$2:$AK$210&lt;=AK23)) &lt;= (COUNTIF($AM$2:$AM$210,AM23)*0.1)), "SORTEADO", "-")</f>
        <v>SORTEADO</v>
      </c>
      <c r="AM23" s="53" t="str">
        <f t="shared" si="3"/>
        <v>04/02/2026</v>
      </c>
    </row>
    <row r="24" spans="1:39" ht="30" hidden="1" customHeight="1" x14ac:dyDescent="0.2">
      <c r="A24" s="231" t="s">
        <v>197</v>
      </c>
      <c r="B24" s="231">
        <v>2613740714</v>
      </c>
      <c r="C24" s="231" t="s">
        <v>141</v>
      </c>
      <c r="D24" s="231" t="s">
        <v>67</v>
      </c>
      <c r="E24" s="231" t="s">
        <v>198</v>
      </c>
      <c r="F24" s="231" t="s">
        <v>4628</v>
      </c>
      <c r="G24" s="231">
        <v>159</v>
      </c>
      <c r="H24" s="231" t="s">
        <v>4629</v>
      </c>
      <c r="I24" s="231" t="s">
        <v>4630</v>
      </c>
      <c r="J24" s="231" t="s">
        <v>4603</v>
      </c>
      <c r="K24" s="231" t="s">
        <v>4623</v>
      </c>
      <c r="L24" s="232" t="s">
        <v>332</v>
      </c>
      <c r="M24" s="232">
        <v>46057.334027777775</v>
      </c>
      <c r="N24" s="231" t="s">
        <v>4620</v>
      </c>
      <c r="O24" s="144" t="s">
        <v>204</v>
      </c>
      <c r="P24" s="169"/>
      <c r="Q24" s="144" t="s">
        <v>204</v>
      </c>
      <c r="R24" s="56"/>
      <c r="S24" s="144" t="s">
        <v>204</v>
      </c>
      <c r="T24" s="56"/>
      <c r="U24" s="144" t="s">
        <v>204</v>
      </c>
      <c r="V24" s="56"/>
      <c r="W24" s="144" t="s">
        <v>204</v>
      </c>
      <c r="X24" s="56"/>
      <c r="Y24" s="144" t="s">
        <v>204</v>
      </c>
      <c r="Z24" s="56"/>
      <c r="AA24" s="144" t="s">
        <v>204</v>
      </c>
      <c r="AB24" s="156"/>
      <c r="AC24" s="144" t="s">
        <v>204</v>
      </c>
      <c r="AD24" s="156"/>
      <c r="AE24" s="144" t="s">
        <v>204</v>
      </c>
      <c r="AF24" s="215" t="str">
        <f t="shared" si="1"/>
        <v>C</v>
      </c>
      <c r="AG24" s="96" t="str">
        <f t="shared" si="0"/>
        <v>UTILIZOU O PDA CORRETAMENTE</v>
      </c>
      <c r="AH24" s="169" t="s">
        <v>39</v>
      </c>
      <c r="AI24" s="151" t="str">
        <f t="shared" si="2"/>
        <v>GUARULHOS</v>
      </c>
      <c r="AJ24" s="151" t="s">
        <v>6</v>
      </c>
      <c r="AK24" s="53">
        <v>-4.5999999999999999E-3</v>
      </c>
      <c r="AL24" s="53" t="str" cm="1">
        <f t="array" ref="AL24">IF(OR(O24&lt;&gt;"", SUMPRODUCT(($AM$2:$AM$210=AM24)*($AK$2:$AK$210&lt;=AK24)) &lt;= (COUNTIF($AM$2:$AM$210,AM24)*0.1)), "SORTEADO", "-")</f>
        <v>SORTEADO</v>
      </c>
      <c r="AM24" s="53" t="str">
        <f t="shared" si="3"/>
        <v>04/02/2026</v>
      </c>
    </row>
    <row r="25" spans="1:39" ht="30" hidden="1" customHeight="1" x14ac:dyDescent="0.2">
      <c r="A25" s="231" t="s">
        <v>197</v>
      </c>
      <c r="B25" s="231">
        <v>2613563065</v>
      </c>
      <c r="C25" s="231" t="s">
        <v>141</v>
      </c>
      <c r="D25" s="231" t="s">
        <v>67</v>
      </c>
      <c r="E25" s="231" t="s">
        <v>198</v>
      </c>
      <c r="F25" s="231" t="s">
        <v>757</v>
      </c>
      <c r="G25" s="231">
        <v>168</v>
      </c>
      <c r="H25" s="231" t="s">
        <v>4631</v>
      </c>
      <c r="I25" s="231" t="s">
        <v>411</v>
      </c>
      <c r="J25" s="231" t="s">
        <v>4603</v>
      </c>
      <c r="K25" s="231" t="s">
        <v>4623</v>
      </c>
      <c r="L25" s="232" t="s">
        <v>332</v>
      </c>
      <c r="M25" s="232">
        <v>46057.368055555555</v>
      </c>
      <c r="N25" s="231" t="s">
        <v>4620</v>
      </c>
      <c r="O25" s="144" t="s">
        <v>204</v>
      </c>
      <c r="P25" s="169"/>
      <c r="Q25" s="144" t="s">
        <v>204</v>
      </c>
      <c r="R25" s="56"/>
      <c r="S25" s="144" t="s">
        <v>204</v>
      </c>
      <c r="T25" s="56"/>
      <c r="U25" s="144" t="s">
        <v>204</v>
      </c>
      <c r="V25" s="56"/>
      <c r="W25" s="144" t="s">
        <v>204</v>
      </c>
      <c r="X25" s="56"/>
      <c r="Y25" s="144" t="s">
        <v>204</v>
      </c>
      <c r="Z25" s="56"/>
      <c r="AA25" s="144" t="s">
        <v>204</v>
      </c>
      <c r="AB25" s="156"/>
      <c r="AC25" s="144" t="s">
        <v>204</v>
      </c>
      <c r="AD25" s="156"/>
      <c r="AE25" s="144" t="s">
        <v>204</v>
      </c>
      <c r="AF25" s="215" t="str">
        <f t="shared" si="1"/>
        <v>C</v>
      </c>
      <c r="AG25" s="96" t="str">
        <f t="shared" si="0"/>
        <v>UTILIZOU O PDA CORRETAMENTE</v>
      </c>
      <c r="AH25" s="169" t="s">
        <v>39</v>
      </c>
      <c r="AI25" s="151" t="str">
        <f t="shared" si="2"/>
        <v>GUARULHOS</v>
      </c>
      <c r="AJ25" s="151" t="s">
        <v>6</v>
      </c>
      <c r="AK25" s="53">
        <v>-4.7999999999999996E-3</v>
      </c>
      <c r="AL25" s="53" t="str" cm="1">
        <f t="array" ref="AL25">IF(OR(O25&lt;&gt;"", SUMPRODUCT(($AM$2:$AM$210=AM25)*($AK$2:$AK$210&lt;=AK25)) &lt;= (COUNTIF($AM$2:$AM$210,AM25)*0.1)), "SORTEADO", "-")</f>
        <v>SORTEADO</v>
      </c>
      <c r="AM25" s="53" t="str">
        <f t="shared" si="3"/>
        <v>04/02/2026</v>
      </c>
    </row>
    <row r="26" spans="1:39" ht="30" hidden="1" customHeight="1" x14ac:dyDescent="0.2">
      <c r="A26" s="231" t="s">
        <v>197</v>
      </c>
      <c r="B26" s="231">
        <v>2613454863</v>
      </c>
      <c r="C26" s="231" t="s">
        <v>139</v>
      </c>
      <c r="D26" s="231" t="s">
        <v>67</v>
      </c>
      <c r="E26" s="231" t="s">
        <v>198</v>
      </c>
      <c r="F26" s="231" t="s">
        <v>4632</v>
      </c>
      <c r="G26" s="231">
        <v>41</v>
      </c>
      <c r="H26" s="231" t="s">
        <v>1801</v>
      </c>
      <c r="I26" s="231" t="s">
        <v>1163</v>
      </c>
      <c r="J26" s="231" t="s">
        <v>4603</v>
      </c>
      <c r="K26" s="231" t="s">
        <v>4633</v>
      </c>
      <c r="L26" s="232" t="s">
        <v>332</v>
      </c>
      <c r="M26" s="232">
        <v>46057.459027777775</v>
      </c>
      <c r="N26" s="231" t="s">
        <v>4604</v>
      </c>
      <c r="O26" s="144" t="s">
        <v>204</v>
      </c>
      <c r="P26" s="169"/>
      <c r="Q26" s="144" t="s">
        <v>204</v>
      </c>
      <c r="R26" s="56"/>
      <c r="S26" s="144" t="s">
        <v>204</v>
      </c>
      <c r="T26" s="56"/>
      <c r="U26" s="144" t="s">
        <v>204</v>
      </c>
      <c r="V26" s="56"/>
      <c r="W26" s="144" t="s">
        <v>204</v>
      </c>
      <c r="X26" s="56"/>
      <c r="Y26" s="144" t="s">
        <v>204</v>
      </c>
      <c r="Z26" s="56"/>
      <c r="AA26" s="144" t="s">
        <v>204</v>
      </c>
      <c r="AB26" s="156"/>
      <c r="AC26" s="144" t="s">
        <v>204</v>
      </c>
      <c r="AD26" s="156"/>
      <c r="AE26" s="144" t="s">
        <v>204</v>
      </c>
      <c r="AF26" s="215" t="str">
        <f t="shared" si="1"/>
        <v>C</v>
      </c>
      <c r="AG26" s="96" t="str">
        <f t="shared" si="0"/>
        <v>UTILIZOU O PDA CORRETAMENTE</v>
      </c>
      <c r="AH26" s="169" t="s">
        <v>39</v>
      </c>
      <c r="AI26" s="151" t="str">
        <f t="shared" si="2"/>
        <v>GUARULHOS</v>
      </c>
      <c r="AJ26" s="151" t="s">
        <v>6</v>
      </c>
      <c r="AK26" s="53">
        <v>-5.0000000000000001E-3</v>
      </c>
      <c r="AL26" s="53" t="str" cm="1">
        <f t="array" ref="AL26">IF(OR(O26&lt;&gt;"", SUMPRODUCT(($AM$2:$AM$210=AM26)*($AK$2:$AK$210&lt;=AK26)) &lt;= (COUNTIF($AM$2:$AM$210,AM26)*0.1)), "SORTEADO", "-")</f>
        <v>SORTEADO</v>
      </c>
      <c r="AM26" s="53" t="str">
        <f t="shared" si="3"/>
        <v>04/02/2026</v>
      </c>
    </row>
    <row r="27" spans="1:39" ht="30" customHeight="1" x14ac:dyDescent="0.2">
      <c r="A27" s="231" t="s">
        <v>197</v>
      </c>
      <c r="B27" s="250">
        <v>2613840742</v>
      </c>
      <c r="C27" s="231" t="s">
        <v>138</v>
      </c>
      <c r="D27" s="231" t="s">
        <v>67</v>
      </c>
      <c r="E27" s="231" t="s">
        <v>198</v>
      </c>
      <c r="F27" s="231" t="s">
        <v>234</v>
      </c>
      <c r="G27" s="231">
        <v>405</v>
      </c>
      <c r="H27" s="231" t="s">
        <v>213</v>
      </c>
      <c r="I27" s="231" t="s">
        <v>236</v>
      </c>
      <c r="J27" s="231" t="s">
        <v>4605</v>
      </c>
      <c r="K27" s="231" t="s">
        <v>213</v>
      </c>
      <c r="L27" s="232" t="s">
        <v>407</v>
      </c>
      <c r="M27" s="232">
        <v>46085.384027777778</v>
      </c>
      <c r="N27" s="231" t="s">
        <v>4620</v>
      </c>
      <c r="O27" s="144" t="s">
        <v>210</v>
      </c>
      <c r="P27" s="168" t="s">
        <v>413</v>
      </c>
      <c r="Q27" s="144" t="s">
        <v>210</v>
      </c>
      <c r="R27" s="168" t="s">
        <v>413</v>
      </c>
      <c r="S27" s="144" t="s">
        <v>210</v>
      </c>
      <c r="T27" s="168" t="s">
        <v>413</v>
      </c>
      <c r="U27" s="144" t="s">
        <v>210</v>
      </c>
      <c r="V27" s="168" t="s">
        <v>413</v>
      </c>
      <c r="W27" s="144" t="s">
        <v>210</v>
      </c>
      <c r="X27" s="168" t="s">
        <v>413</v>
      </c>
      <c r="Y27" s="144" t="s">
        <v>210</v>
      </c>
      <c r="Z27" s="168" t="s">
        <v>413</v>
      </c>
      <c r="AA27" s="144" t="s">
        <v>210</v>
      </c>
      <c r="AB27" s="168" t="s">
        <v>413</v>
      </c>
      <c r="AC27" s="144" t="s">
        <v>210</v>
      </c>
      <c r="AD27" s="168" t="s">
        <v>413</v>
      </c>
      <c r="AE27" s="144" t="s">
        <v>210</v>
      </c>
      <c r="AF27" s="215" t="str">
        <f t="shared" si="1"/>
        <v>NC</v>
      </c>
      <c r="AG27" s="96" t="str">
        <f t="shared" si="0"/>
        <v>NÃO UTILIZOU O PDA</v>
      </c>
      <c r="AH27" s="169" t="s">
        <v>39</v>
      </c>
      <c r="AI27" s="151" t="str">
        <f t="shared" si="2"/>
        <v>GUARULHOS</v>
      </c>
      <c r="AJ27" s="151" t="s">
        <v>6</v>
      </c>
      <c r="AK27" s="53">
        <v>-5.1999999999999998E-3</v>
      </c>
      <c r="AL27" s="53" t="str" cm="1">
        <f t="array" ref="AL27">IF(OR(O27&lt;&gt;"", SUMPRODUCT(($AM$2:$AM$210=AM27)*($AK$2:$AK$210&lt;=AK27)) &lt;= (COUNTIF($AM$2:$AM$210,AM27)*0.1)), "SORTEADO", "-")</f>
        <v>SORTEADO</v>
      </c>
      <c r="AM27" s="53" t="str">
        <f t="shared" si="3"/>
        <v>04/03/2026</v>
      </c>
    </row>
    <row r="28" spans="1:39" ht="30" customHeight="1" x14ac:dyDescent="0.2">
      <c r="A28" s="231" t="s">
        <v>197</v>
      </c>
      <c r="B28" s="250">
        <v>2613868634</v>
      </c>
      <c r="C28" s="231" t="s">
        <v>139</v>
      </c>
      <c r="D28" s="231" t="s">
        <v>67</v>
      </c>
      <c r="E28" s="231" t="s">
        <v>198</v>
      </c>
      <c r="F28" s="231" t="s">
        <v>325</v>
      </c>
      <c r="G28" s="231">
        <v>69</v>
      </c>
      <c r="H28" s="231"/>
      <c r="I28" s="231" t="s">
        <v>326</v>
      </c>
      <c r="J28" s="231" t="s">
        <v>4603</v>
      </c>
      <c r="K28" s="231"/>
      <c r="L28" s="232" t="s">
        <v>407</v>
      </c>
      <c r="M28" s="232">
        <v>46085.404166666667</v>
      </c>
      <c r="N28" s="231" t="s">
        <v>4620</v>
      </c>
      <c r="O28" s="144" t="s">
        <v>210</v>
      </c>
      <c r="P28" s="169" t="s">
        <v>413</v>
      </c>
      <c r="Q28" s="144" t="s">
        <v>210</v>
      </c>
      <c r="R28" s="56" t="s">
        <v>413</v>
      </c>
      <c r="S28" s="144" t="s">
        <v>210</v>
      </c>
      <c r="T28" s="56" t="s">
        <v>413</v>
      </c>
      <c r="U28" s="144" t="s">
        <v>210</v>
      </c>
      <c r="V28" s="56" t="s">
        <v>413</v>
      </c>
      <c r="W28" s="144" t="s">
        <v>210</v>
      </c>
      <c r="X28" s="56" t="s">
        <v>413</v>
      </c>
      <c r="Y28" s="144" t="s">
        <v>210</v>
      </c>
      <c r="Z28" s="56" t="s">
        <v>413</v>
      </c>
      <c r="AA28" s="144" t="s">
        <v>210</v>
      </c>
      <c r="AB28" s="156" t="s">
        <v>413</v>
      </c>
      <c r="AC28" s="144" t="s">
        <v>210</v>
      </c>
      <c r="AD28" s="156" t="s">
        <v>413</v>
      </c>
      <c r="AE28" s="144" t="s">
        <v>210</v>
      </c>
      <c r="AF28" s="215" t="str">
        <f t="shared" si="1"/>
        <v>NC</v>
      </c>
      <c r="AG28" s="96" t="str">
        <f t="shared" si="0"/>
        <v>NÃO UTILIZOU O PDA</v>
      </c>
      <c r="AH28" s="169" t="s">
        <v>39</v>
      </c>
      <c r="AI28" s="151" t="str">
        <f t="shared" si="2"/>
        <v>GUARULHOS</v>
      </c>
      <c r="AJ28" s="151" t="s">
        <v>6</v>
      </c>
      <c r="AK28" s="53">
        <v>-5.4000000000000003E-3</v>
      </c>
      <c r="AL28" s="53" t="str" cm="1">
        <f t="array" ref="AL28">IF(OR(O28&lt;&gt;"", SUMPRODUCT(($AM$2:$AM$210=AM28)*($AK$2:$AK$210&lt;=AK28)) &lt;= (COUNTIF($AM$2:$AM$210,AM28)*0.1)), "SORTEADO", "-")</f>
        <v>SORTEADO</v>
      </c>
      <c r="AM28" s="53" t="str">
        <f t="shared" si="3"/>
        <v>04/03/2026</v>
      </c>
    </row>
    <row r="29" spans="1:39" ht="30" customHeight="1" x14ac:dyDescent="0.2">
      <c r="A29" s="231" t="s">
        <v>197</v>
      </c>
      <c r="B29" s="250">
        <v>2613740920</v>
      </c>
      <c r="C29" s="231" t="s">
        <v>140</v>
      </c>
      <c r="D29" s="231" t="s">
        <v>67</v>
      </c>
      <c r="E29" s="231" t="s">
        <v>198</v>
      </c>
      <c r="F29" s="231" t="s">
        <v>238</v>
      </c>
      <c r="G29" s="231">
        <v>432</v>
      </c>
      <c r="H29" s="231" t="s">
        <v>239</v>
      </c>
      <c r="I29" s="231" t="s">
        <v>240</v>
      </c>
      <c r="J29" s="231" t="s">
        <v>4605</v>
      </c>
      <c r="K29" s="231" t="s">
        <v>213</v>
      </c>
      <c r="L29" s="232" t="s">
        <v>407</v>
      </c>
      <c r="M29" s="232">
        <v>46085.339583333334</v>
      </c>
      <c r="N29" s="231" t="s">
        <v>4620</v>
      </c>
      <c r="O29" s="144" t="s">
        <v>210</v>
      </c>
      <c r="P29" s="169" t="s">
        <v>413</v>
      </c>
      <c r="Q29" s="144" t="s">
        <v>210</v>
      </c>
      <c r="R29" s="56" t="s">
        <v>413</v>
      </c>
      <c r="S29" s="144" t="s">
        <v>210</v>
      </c>
      <c r="T29" s="56" t="s">
        <v>413</v>
      </c>
      <c r="U29" s="144" t="s">
        <v>210</v>
      </c>
      <c r="V29" s="56" t="s">
        <v>413</v>
      </c>
      <c r="W29" s="144" t="s">
        <v>210</v>
      </c>
      <c r="X29" s="56" t="s">
        <v>413</v>
      </c>
      <c r="Y29" s="144" t="s">
        <v>210</v>
      </c>
      <c r="Z29" s="56" t="s">
        <v>413</v>
      </c>
      <c r="AA29" s="144" t="s">
        <v>210</v>
      </c>
      <c r="AB29" s="156" t="s">
        <v>413</v>
      </c>
      <c r="AC29" s="144" t="s">
        <v>210</v>
      </c>
      <c r="AD29" s="156" t="s">
        <v>413</v>
      </c>
      <c r="AE29" s="144" t="s">
        <v>210</v>
      </c>
      <c r="AF29" s="215" t="str">
        <f t="shared" si="1"/>
        <v>NC</v>
      </c>
      <c r="AG29" s="96" t="str">
        <f t="shared" si="0"/>
        <v>NÃO UTILIZOU O PDA</v>
      </c>
      <c r="AH29" s="169" t="s">
        <v>39</v>
      </c>
      <c r="AI29" s="151" t="str">
        <f t="shared" si="2"/>
        <v>GUARULHOS</v>
      </c>
      <c r="AJ29" s="151" t="s">
        <v>6</v>
      </c>
      <c r="AK29" s="53">
        <v>-5.5999999999999999E-3</v>
      </c>
      <c r="AL29" s="53" t="str" cm="1">
        <f t="array" ref="AL29">IF(OR(O29&lt;&gt;"", SUMPRODUCT(($AM$2:$AM$210=AM29)*($AK$2:$AK$210&lt;=AK29)) &lt;= (COUNTIF($AM$2:$AM$210,AM29)*0.1)), "SORTEADO", "-")</f>
        <v>SORTEADO</v>
      </c>
      <c r="AM29" s="53" t="str">
        <f t="shared" si="3"/>
        <v>04/03/2026</v>
      </c>
    </row>
    <row r="30" spans="1:39" ht="30" customHeight="1" x14ac:dyDescent="0.2">
      <c r="A30" s="231" t="s">
        <v>197</v>
      </c>
      <c r="B30" s="250">
        <v>2613640339</v>
      </c>
      <c r="C30" s="231" t="s">
        <v>138</v>
      </c>
      <c r="D30" s="231" t="s">
        <v>67</v>
      </c>
      <c r="E30" s="231" t="s">
        <v>198</v>
      </c>
      <c r="F30" s="231" t="s">
        <v>4634</v>
      </c>
      <c r="G30" s="231">
        <v>55</v>
      </c>
      <c r="H30" s="231" t="s">
        <v>1749</v>
      </c>
      <c r="I30" s="231" t="s">
        <v>4635</v>
      </c>
      <c r="J30" s="231" t="s">
        <v>4605</v>
      </c>
      <c r="K30" s="231"/>
      <c r="L30" s="232" t="s">
        <v>407</v>
      </c>
      <c r="M30" s="232">
        <v>46085.348611111112</v>
      </c>
      <c r="N30" s="231" t="s">
        <v>4620</v>
      </c>
      <c r="O30" s="144" t="s">
        <v>210</v>
      </c>
      <c r="P30" s="169" t="s">
        <v>413</v>
      </c>
      <c r="Q30" s="144" t="s">
        <v>210</v>
      </c>
      <c r="R30" s="56" t="s">
        <v>413</v>
      </c>
      <c r="S30" s="144" t="s">
        <v>210</v>
      </c>
      <c r="T30" s="56" t="s">
        <v>413</v>
      </c>
      <c r="U30" s="144" t="s">
        <v>210</v>
      </c>
      <c r="V30" s="56" t="s">
        <v>413</v>
      </c>
      <c r="W30" s="144" t="s">
        <v>210</v>
      </c>
      <c r="X30" s="56" t="s">
        <v>413</v>
      </c>
      <c r="Y30" s="144" t="s">
        <v>210</v>
      </c>
      <c r="Z30" s="56" t="s">
        <v>413</v>
      </c>
      <c r="AA30" s="144" t="s">
        <v>210</v>
      </c>
      <c r="AB30" s="156" t="s">
        <v>413</v>
      </c>
      <c r="AC30" s="144" t="s">
        <v>210</v>
      </c>
      <c r="AD30" s="156" t="s">
        <v>413</v>
      </c>
      <c r="AE30" s="144" t="s">
        <v>210</v>
      </c>
      <c r="AF30" s="215" t="str">
        <f t="shared" si="1"/>
        <v>NC</v>
      </c>
      <c r="AG30" s="96" t="str">
        <f t="shared" si="0"/>
        <v>NÃO UTILIZOU O PDA</v>
      </c>
      <c r="AH30" s="169" t="s">
        <v>39</v>
      </c>
      <c r="AI30" s="151" t="str">
        <f t="shared" si="2"/>
        <v>GUARULHOS</v>
      </c>
      <c r="AJ30" s="151" t="s">
        <v>6</v>
      </c>
      <c r="AK30" s="53">
        <v>-5.7999999999999996E-3</v>
      </c>
      <c r="AL30" s="53" t="str" cm="1">
        <f t="array" ref="AL30">IF(OR(O30&lt;&gt;"", SUMPRODUCT(($AM$2:$AM$210=AM30)*($AK$2:$AK$210&lt;=AK30)) &lt;= (COUNTIF($AM$2:$AM$210,AM30)*0.1)), "SORTEADO", "-")</f>
        <v>SORTEADO</v>
      </c>
      <c r="AM30" s="53" t="str">
        <f t="shared" si="3"/>
        <v>04/03/2026</v>
      </c>
    </row>
    <row r="31" spans="1:39" ht="30" customHeight="1" x14ac:dyDescent="0.2">
      <c r="A31" s="231" t="s">
        <v>197</v>
      </c>
      <c r="B31" s="250">
        <v>2613859002</v>
      </c>
      <c r="C31" s="231" t="s">
        <v>138</v>
      </c>
      <c r="D31" s="231" t="s">
        <v>67</v>
      </c>
      <c r="E31" s="231" t="s">
        <v>198</v>
      </c>
      <c r="F31" s="231" t="s">
        <v>275</v>
      </c>
      <c r="G31" s="231">
        <v>221</v>
      </c>
      <c r="H31" s="231" t="s">
        <v>276</v>
      </c>
      <c r="I31" s="231" t="s">
        <v>277</v>
      </c>
      <c r="J31" s="231" t="s">
        <v>4605</v>
      </c>
      <c r="K31" s="231" t="s">
        <v>213</v>
      </c>
      <c r="L31" s="232" t="s">
        <v>407</v>
      </c>
      <c r="M31" s="232">
        <v>46085.412499999999</v>
      </c>
      <c r="N31" s="231" t="s">
        <v>4620</v>
      </c>
      <c r="O31" s="144" t="s">
        <v>210</v>
      </c>
      <c r="P31" s="169" t="s">
        <v>413</v>
      </c>
      <c r="Q31" s="144" t="s">
        <v>210</v>
      </c>
      <c r="R31" s="56" t="s">
        <v>413</v>
      </c>
      <c r="S31" s="144" t="s">
        <v>210</v>
      </c>
      <c r="T31" s="56" t="s">
        <v>413</v>
      </c>
      <c r="U31" s="144" t="s">
        <v>210</v>
      </c>
      <c r="V31" s="56" t="s">
        <v>413</v>
      </c>
      <c r="W31" s="144" t="s">
        <v>210</v>
      </c>
      <c r="X31" s="56" t="s">
        <v>413</v>
      </c>
      <c r="Y31" s="144" t="s">
        <v>210</v>
      </c>
      <c r="Z31" s="56" t="s">
        <v>413</v>
      </c>
      <c r="AA31" s="144" t="s">
        <v>210</v>
      </c>
      <c r="AB31" s="156" t="s">
        <v>413</v>
      </c>
      <c r="AC31" s="144" t="s">
        <v>210</v>
      </c>
      <c r="AD31" s="156" t="s">
        <v>413</v>
      </c>
      <c r="AE31" s="144" t="s">
        <v>210</v>
      </c>
      <c r="AF31" s="215" t="str">
        <f t="shared" si="1"/>
        <v>NC</v>
      </c>
      <c r="AG31" s="96" t="str">
        <f t="shared" si="0"/>
        <v>NÃO UTILIZOU O PDA</v>
      </c>
      <c r="AH31" s="169" t="s">
        <v>39</v>
      </c>
      <c r="AI31" s="151" t="str">
        <f t="shared" si="2"/>
        <v>GUARULHOS</v>
      </c>
      <c r="AJ31" s="151" t="s">
        <v>6</v>
      </c>
      <c r="AK31" s="53">
        <v>-6.0000000000000001E-3</v>
      </c>
      <c r="AL31" s="53" t="str" cm="1">
        <f t="array" ref="AL31">IF(OR(O31&lt;&gt;"", SUMPRODUCT(($AM$2:$AM$210=AM31)*($AK$2:$AK$210&lt;=AK31)) &lt;= (COUNTIF($AM$2:$AM$210,AM31)*0.1)), "SORTEADO", "-")</f>
        <v>SORTEADO</v>
      </c>
      <c r="AM31" s="53" t="str">
        <f t="shared" si="3"/>
        <v>04/03/2026</v>
      </c>
    </row>
    <row r="32" spans="1:39" ht="30" customHeight="1" x14ac:dyDescent="0.2">
      <c r="A32" s="231" t="s">
        <v>197</v>
      </c>
      <c r="B32" s="250">
        <v>2689271856</v>
      </c>
      <c r="C32" s="231" t="s">
        <v>141</v>
      </c>
      <c r="D32" s="231" t="s">
        <v>67</v>
      </c>
      <c r="E32" s="231" t="s">
        <v>198</v>
      </c>
      <c r="F32" s="231" t="s">
        <v>295</v>
      </c>
      <c r="G32" s="231">
        <v>28</v>
      </c>
      <c r="H32" s="231" t="s">
        <v>296</v>
      </c>
      <c r="I32" s="231" t="s">
        <v>281</v>
      </c>
      <c r="J32" s="231" t="s">
        <v>4603</v>
      </c>
      <c r="K32" s="231"/>
      <c r="L32" s="232" t="s">
        <v>407</v>
      </c>
      <c r="M32" s="232">
        <v>46085.32708333333</v>
      </c>
      <c r="N32" s="231" t="s">
        <v>4620</v>
      </c>
      <c r="O32" s="144" t="s">
        <v>210</v>
      </c>
      <c r="P32" s="169" t="s">
        <v>413</v>
      </c>
      <c r="Q32" s="144" t="s">
        <v>210</v>
      </c>
      <c r="R32" s="56" t="s">
        <v>413</v>
      </c>
      <c r="S32" s="144" t="s">
        <v>210</v>
      </c>
      <c r="T32" s="56" t="s">
        <v>413</v>
      </c>
      <c r="U32" s="144" t="s">
        <v>210</v>
      </c>
      <c r="V32" s="56" t="s">
        <v>413</v>
      </c>
      <c r="W32" s="144" t="s">
        <v>210</v>
      </c>
      <c r="X32" s="56" t="s">
        <v>413</v>
      </c>
      <c r="Y32" s="144" t="s">
        <v>210</v>
      </c>
      <c r="Z32" s="56" t="s">
        <v>413</v>
      </c>
      <c r="AA32" s="144" t="s">
        <v>210</v>
      </c>
      <c r="AB32" s="156" t="s">
        <v>413</v>
      </c>
      <c r="AC32" s="144" t="s">
        <v>210</v>
      </c>
      <c r="AD32" s="156" t="s">
        <v>413</v>
      </c>
      <c r="AE32" s="144" t="s">
        <v>210</v>
      </c>
      <c r="AF32" s="215" t="str">
        <f t="shared" si="1"/>
        <v>NC</v>
      </c>
      <c r="AG32" s="96" t="str">
        <f t="shared" si="0"/>
        <v>NÃO UTILIZOU O PDA</v>
      </c>
      <c r="AH32" s="169" t="s">
        <v>39</v>
      </c>
      <c r="AI32" s="151" t="str">
        <f t="shared" si="2"/>
        <v>GUARULHOS</v>
      </c>
      <c r="AJ32" s="151" t="s">
        <v>6</v>
      </c>
      <c r="AK32" s="53">
        <v>-6.1999999999999998E-3</v>
      </c>
      <c r="AL32" s="53" t="str" cm="1">
        <f t="array" ref="AL32">IF(OR(O32&lt;&gt;"", SUMPRODUCT(($AM$2:$AM$210=AM32)*($AK$2:$AK$210&lt;=AK32)) &lt;= (COUNTIF($AM$2:$AM$210,AM32)*0.1)), "SORTEADO", "-")</f>
        <v>SORTEADO</v>
      </c>
      <c r="AM32" s="53" t="str">
        <f t="shared" si="3"/>
        <v>04/03/2026</v>
      </c>
    </row>
    <row r="33" spans="1:39" ht="30" hidden="1" customHeight="1" x14ac:dyDescent="0.2">
      <c r="A33" s="231" t="s">
        <v>197</v>
      </c>
      <c r="B33" s="250">
        <v>2613915889</v>
      </c>
      <c r="C33" s="231" t="s">
        <v>139</v>
      </c>
      <c r="D33" s="231" t="s">
        <v>67</v>
      </c>
      <c r="E33" s="231" t="s">
        <v>198</v>
      </c>
      <c r="F33" s="231" t="s">
        <v>313</v>
      </c>
      <c r="G33" s="231">
        <v>238</v>
      </c>
      <c r="H33" s="231" t="s">
        <v>314</v>
      </c>
      <c r="I33" s="231" t="s">
        <v>315</v>
      </c>
      <c r="J33" s="231" t="s">
        <v>4603</v>
      </c>
      <c r="K33" s="231" t="s">
        <v>213</v>
      </c>
      <c r="L33" s="232" t="s">
        <v>407</v>
      </c>
      <c r="M33" s="232">
        <v>46085.45208333333</v>
      </c>
      <c r="N33" s="231" t="s">
        <v>4613</v>
      </c>
      <c r="O33" s="144" t="s">
        <v>204</v>
      </c>
      <c r="P33" s="169"/>
      <c r="Q33" s="144" t="s">
        <v>204</v>
      </c>
      <c r="R33" s="56"/>
      <c r="S33" s="144" t="s">
        <v>204</v>
      </c>
      <c r="T33" s="56"/>
      <c r="U33" s="144" t="s">
        <v>204</v>
      </c>
      <c r="V33" s="56"/>
      <c r="W33" s="144" t="s">
        <v>204</v>
      </c>
      <c r="X33" s="56"/>
      <c r="Y33" s="144" t="s">
        <v>204</v>
      </c>
      <c r="Z33" s="56"/>
      <c r="AA33" s="144" t="s">
        <v>204</v>
      </c>
      <c r="AB33" s="156"/>
      <c r="AC33" s="144" t="s">
        <v>204</v>
      </c>
      <c r="AD33" s="156"/>
      <c r="AE33" s="144" t="s">
        <v>204</v>
      </c>
      <c r="AF33" s="215" t="str">
        <f t="shared" si="1"/>
        <v>C</v>
      </c>
      <c r="AG33" s="96" t="str">
        <f t="shared" si="0"/>
        <v>UTILIZOU O PDA CORRETAMENTE</v>
      </c>
      <c r="AH33" s="169"/>
      <c r="AI33" s="151" t="str">
        <f t="shared" si="2"/>
        <v>GUARULHOS</v>
      </c>
      <c r="AJ33" s="151" t="s">
        <v>6</v>
      </c>
      <c r="AK33" s="53">
        <v>-6.4000000000000003E-3</v>
      </c>
      <c r="AL33" s="53" t="str" cm="1">
        <f t="array" ref="AL33">IF(OR(O33&lt;&gt;"", SUMPRODUCT(($AM$2:$AM$210=AM33)*($AK$2:$AK$210&lt;=AK33)) &lt;= (COUNTIF($AM$2:$AM$210,AM33)*0.1)), "SORTEADO", "-")</f>
        <v>SORTEADO</v>
      </c>
      <c r="AM33" s="53" t="str">
        <f t="shared" si="3"/>
        <v>04/03/2026</v>
      </c>
    </row>
    <row r="34" spans="1:39" ht="30" hidden="1" customHeight="1" x14ac:dyDescent="0.2">
      <c r="A34" s="231" t="s">
        <v>197</v>
      </c>
      <c r="B34" s="250">
        <v>2689203387</v>
      </c>
      <c r="C34" s="231" t="s">
        <v>140</v>
      </c>
      <c r="D34" s="231" t="s">
        <v>67</v>
      </c>
      <c r="E34" s="231" t="s">
        <v>198</v>
      </c>
      <c r="F34" s="231" t="s">
        <v>4636</v>
      </c>
      <c r="G34" s="231">
        <v>90</v>
      </c>
      <c r="H34" s="231"/>
      <c r="I34" s="231" t="s">
        <v>1677</v>
      </c>
      <c r="J34" s="231" t="s">
        <v>4605</v>
      </c>
      <c r="K34" s="231"/>
      <c r="L34" s="232" t="s">
        <v>407</v>
      </c>
      <c r="M34" s="232">
        <v>46085.430555555555</v>
      </c>
      <c r="N34" s="231" t="s">
        <v>4613</v>
      </c>
      <c r="O34" s="144" t="s">
        <v>204</v>
      </c>
      <c r="P34" s="169"/>
      <c r="Q34" s="144" t="s">
        <v>204</v>
      </c>
      <c r="R34" s="56"/>
      <c r="S34" s="144" t="s">
        <v>204</v>
      </c>
      <c r="T34" s="56"/>
      <c r="U34" s="144" t="s">
        <v>204</v>
      </c>
      <c r="V34" s="56"/>
      <c r="W34" s="144" t="s">
        <v>204</v>
      </c>
      <c r="X34" s="56"/>
      <c r="Y34" s="144" t="s">
        <v>204</v>
      </c>
      <c r="Z34" s="56"/>
      <c r="AA34" s="144" t="s">
        <v>204</v>
      </c>
      <c r="AB34" s="156"/>
      <c r="AC34" s="144" t="s">
        <v>204</v>
      </c>
      <c r="AD34" s="156"/>
      <c r="AE34" s="144" t="s">
        <v>204</v>
      </c>
      <c r="AF34" s="215" t="str">
        <f t="shared" si="1"/>
        <v>C</v>
      </c>
      <c r="AG34" s="96" t="str">
        <f t="shared" si="0"/>
        <v>UTILIZOU O PDA CORRETAMENTE</v>
      </c>
      <c r="AH34" s="169" t="s">
        <v>39</v>
      </c>
      <c r="AI34" s="151" t="str">
        <f t="shared" si="2"/>
        <v>GUARULHOS</v>
      </c>
      <c r="AJ34" s="151" t="s">
        <v>6</v>
      </c>
      <c r="AK34" s="53">
        <v>-6.6E-3</v>
      </c>
      <c r="AL34" s="53" t="str" cm="1">
        <f t="array" ref="AL34">IF(OR(O34&lt;&gt;"", SUMPRODUCT(($AM$2:$AM$210=AM34)*($AK$2:$AK$210&lt;=AK34)) &lt;= (COUNTIF($AM$2:$AM$210,AM34)*0.1)), "SORTEADO", "-")</f>
        <v>SORTEADO</v>
      </c>
      <c r="AM34" s="53" t="str">
        <f t="shared" si="3"/>
        <v>04/03/2026</v>
      </c>
    </row>
    <row r="35" spans="1:39" ht="30" hidden="1" customHeight="1" x14ac:dyDescent="0.2">
      <c r="A35" s="231" t="s">
        <v>197</v>
      </c>
      <c r="B35" s="250">
        <v>2613820954</v>
      </c>
      <c r="C35" s="231" t="s">
        <v>141</v>
      </c>
      <c r="D35" s="231" t="s">
        <v>67</v>
      </c>
      <c r="E35" s="231" t="s">
        <v>198</v>
      </c>
      <c r="F35" s="231" t="s">
        <v>2663</v>
      </c>
      <c r="G35" s="231">
        <v>43</v>
      </c>
      <c r="H35" s="231" t="s">
        <v>2664</v>
      </c>
      <c r="I35" s="231" t="s">
        <v>394</v>
      </c>
      <c r="J35" s="231" t="s">
        <v>4603</v>
      </c>
      <c r="K35" s="231" t="s">
        <v>213</v>
      </c>
      <c r="L35" s="232" t="s">
        <v>407</v>
      </c>
      <c r="M35" s="232">
        <v>46085.342361111114</v>
      </c>
      <c r="N35" s="231" t="s">
        <v>4613</v>
      </c>
      <c r="O35" s="144" t="s">
        <v>204</v>
      </c>
      <c r="P35" s="169"/>
      <c r="Q35" s="144" t="s">
        <v>204</v>
      </c>
      <c r="R35" s="56"/>
      <c r="S35" s="144" t="s">
        <v>204</v>
      </c>
      <c r="T35" s="56"/>
      <c r="U35" s="144" t="s">
        <v>204</v>
      </c>
      <c r="V35" s="56"/>
      <c r="W35" s="144" t="s">
        <v>204</v>
      </c>
      <c r="X35" s="56"/>
      <c r="Y35" s="144" t="s">
        <v>204</v>
      </c>
      <c r="Z35" s="56"/>
      <c r="AA35" s="144" t="s">
        <v>204</v>
      </c>
      <c r="AB35" s="156"/>
      <c r="AC35" s="144" t="s">
        <v>204</v>
      </c>
      <c r="AD35" s="156"/>
      <c r="AE35" s="144" t="s">
        <v>204</v>
      </c>
      <c r="AF35" s="215" t="str">
        <f t="shared" si="1"/>
        <v>C</v>
      </c>
      <c r="AG35" s="96" t="str">
        <f t="shared" si="0"/>
        <v>UTILIZOU O PDA CORRETAMENTE</v>
      </c>
      <c r="AH35" s="63"/>
      <c r="AI35" s="151" t="str">
        <f t="shared" si="2"/>
        <v>GUARULHOS</v>
      </c>
      <c r="AJ35" s="151" t="s">
        <v>6</v>
      </c>
      <c r="AK35" s="53">
        <v>-6.7999999999999996E-3</v>
      </c>
      <c r="AL35" s="53" t="str" cm="1">
        <f t="array" ref="AL35">IF(OR(O35&lt;&gt;"", SUMPRODUCT(($AM$2:$AM$210=AM35)*($AK$2:$AK$210&lt;=AK35)) &lt;= (COUNTIF($AM$2:$AM$210,AM35)*0.1)), "SORTEADO", "-")</f>
        <v>SORTEADO</v>
      </c>
      <c r="AM35" s="53" t="str">
        <f t="shared" si="3"/>
        <v>04/03/2026</v>
      </c>
    </row>
    <row r="36" spans="1:39" ht="30" hidden="1" customHeight="1" x14ac:dyDescent="0.2">
      <c r="A36" s="231" t="s">
        <v>197</v>
      </c>
      <c r="B36" s="250">
        <v>2613872040</v>
      </c>
      <c r="C36" s="231" t="s">
        <v>140</v>
      </c>
      <c r="D36" s="231" t="s">
        <v>67</v>
      </c>
      <c r="E36" s="231" t="s">
        <v>198</v>
      </c>
      <c r="F36" s="231" t="s">
        <v>299</v>
      </c>
      <c r="G36" s="231">
        <v>125</v>
      </c>
      <c r="H36" s="231" t="s">
        <v>300</v>
      </c>
      <c r="I36" s="231" t="s">
        <v>301</v>
      </c>
      <c r="J36" s="231" t="s">
        <v>4605</v>
      </c>
      <c r="K36" s="231"/>
      <c r="L36" s="232" t="s">
        <v>407</v>
      </c>
      <c r="M36" s="232">
        <v>46085.324999999997</v>
      </c>
      <c r="N36" s="231" t="s">
        <v>4613</v>
      </c>
      <c r="O36" s="144" t="s">
        <v>204</v>
      </c>
      <c r="P36" s="169"/>
      <c r="Q36" s="144" t="s">
        <v>204</v>
      </c>
      <c r="R36" s="56"/>
      <c r="S36" s="144" t="s">
        <v>204</v>
      </c>
      <c r="T36" s="56"/>
      <c r="U36" s="144" t="s">
        <v>204</v>
      </c>
      <c r="V36" s="56"/>
      <c r="W36" s="144" t="s">
        <v>204</v>
      </c>
      <c r="X36" s="56"/>
      <c r="Y36" s="144" t="s">
        <v>204</v>
      </c>
      <c r="Z36" s="56"/>
      <c r="AA36" s="144" t="s">
        <v>204</v>
      </c>
      <c r="AB36" s="156"/>
      <c r="AC36" s="144" t="s">
        <v>204</v>
      </c>
      <c r="AD36" s="156"/>
      <c r="AE36" s="144" t="s">
        <v>204</v>
      </c>
      <c r="AF36" s="215" t="str">
        <f t="shared" si="1"/>
        <v>C</v>
      </c>
      <c r="AG36" s="96" t="str">
        <f t="shared" si="0"/>
        <v>UTILIZOU O PDA CORRETAMENTE</v>
      </c>
      <c r="AH36" s="169" t="s">
        <v>39</v>
      </c>
      <c r="AI36" s="151" t="str">
        <f t="shared" si="2"/>
        <v>GUARULHOS</v>
      </c>
      <c r="AJ36" s="151" t="s">
        <v>6</v>
      </c>
      <c r="AK36" s="53">
        <v>-7.0000000000000001E-3</v>
      </c>
      <c r="AL36" s="53" t="str" cm="1">
        <f t="array" ref="AL36">IF(OR(O36&lt;&gt;"", SUMPRODUCT(($AM$2:$AM$210=AM36)*($AK$2:$AK$210&lt;=AK36)) &lt;= (COUNTIF($AM$2:$AM$210,AM36)*0.1)), "SORTEADO", "-")</f>
        <v>SORTEADO</v>
      </c>
      <c r="AM36" s="53" t="str">
        <f t="shared" si="3"/>
        <v>04/03/2026</v>
      </c>
    </row>
    <row r="37" spans="1:39" ht="30" hidden="1" customHeight="1" x14ac:dyDescent="0.2">
      <c r="A37" s="231" t="s">
        <v>197</v>
      </c>
      <c r="B37" s="250">
        <v>2689268674</v>
      </c>
      <c r="C37" s="231" t="s">
        <v>140</v>
      </c>
      <c r="D37" s="231" t="s">
        <v>67</v>
      </c>
      <c r="E37" s="231" t="s">
        <v>198</v>
      </c>
      <c r="F37" s="231" t="s">
        <v>4637</v>
      </c>
      <c r="G37" s="231">
        <v>132</v>
      </c>
      <c r="H37" s="231" t="s">
        <v>4638</v>
      </c>
      <c r="I37" s="231" t="s">
        <v>2548</v>
      </c>
      <c r="J37" s="231" t="s">
        <v>4605</v>
      </c>
      <c r="K37" s="231" t="s">
        <v>213</v>
      </c>
      <c r="L37" s="232" t="s">
        <v>407</v>
      </c>
      <c r="M37" s="232">
        <v>46085.401388888888</v>
      </c>
      <c r="N37" s="231" t="s">
        <v>4613</v>
      </c>
      <c r="O37" s="144" t="s">
        <v>204</v>
      </c>
      <c r="P37" s="169"/>
      <c r="Q37" s="144" t="s">
        <v>204</v>
      </c>
      <c r="R37" s="56"/>
      <c r="S37" s="144" t="s">
        <v>204</v>
      </c>
      <c r="T37" s="56"/>
      <c r="U37" s="144" t="s">
        <v>204</v>
      </c>
      <c r="V37" s="56"/>
      <c r="W37" s="144" t="s">
        <v>204</v>
      </c>
      <c r="X37" s="56"/>
      <c r="Y37" s="144" t="s">
        <v>204</v>
      </c>
      <c r="Z37" s="56"/>
      <c r="AA37" s="144" t="s">
        <v>204</v>
      </c>
      <c r="AB37" s="156"/>
      <c r="AC37" s="144" t="s">
        <v>204</v>
      </c>
      <c r="AD37" s="156"/>
      <c r="AE37" s="144" t="s">
        <v>204</v>
      </c>
      <c r="AF37" s="215" t="str">
        <f t="shared" si="1"/>
        <v>C</v>
      </c>
      <c r="AG37" s="96" t="str">
        <f t="shared" si="0"/>
        <v>UTILIZOU O PDA CORRETAMENTE</v>
      </c>
      <c r="AH37" s="63" t="s">
        <v>39</v>
      </c>
      <c r="AI37" s="151" t="str">
        <f t="shared" si="2"/>
        <v>GUARULHOS</v>
      </c>
      <c r="AJ37" s="151" t="s">
        <v>6</v>
      </c>
      <c r="AK37" s="53">
        <v>-7.1999999999999998E-3</v>
      </c>
      <c r="AL37" s="53" t="str" cm="1">
        <f t="array" ref="AL37">IF(OR(O37&lt;&gt;"", SUMPRODUCT(($AM$2:$AM$210=AM37)*($AK$2:$AK$210&lt;=AK37)) &lt;= (COUNTIF($AM$2:$AM$210,AM37)*0.1)), "SORTEADO", "-")</f>
        <v>SORTEADO</v>
      </c>
      <c r="AM37" s="53" t="str">
        <f t="shared" si="3"/>
        <v>04/03/2026</v>
      </c>
    </row>
    <row r="38" spans="1:39" ht="30" hidden="1" customHeight="1" x14ac:dyDescent="0.2">
      <c r="A38" s="231" t="s">
        <v>197</v>
      </c>
      <c r="B38" s="250">
        <v>2613824748</v>
      </c>
      <c r="C38" s="231" t="s">
        <v>139</v>
      </c>
      <c r="D38" s="231" t="s">
        <v>67</v>
      </c>
      <c r="E38" s="231" t="s">
        <v>198</v>
      </c>
      <c r="F38" s="231" t="s">
        <v>747</v>
      </c>
      <c r="G38" s="231">
        <v>233</v>
      </c>
      <c r="H38" s="231" t="s">
        <v>2639</v>
      </c>
      <c r="I38" s="231" t="s">
        <v>732</v>
      </c>
      <c r="J38" s="231" t="s">
        <v>4603</v>
      </c>
      <c r="K38" s="231"/>
      <c r="L38" s="232" t="s">
        <v>407</v>
      </c>
      <c r="M38" s="232">
        <v>46085.368055555555</v>
      </c>
      <c r="N38" s="231" t="s">
        <v>4613</v>
      </c>
      <c r="O38" s="144" t="s">
        <v>204</v>
      </c>
      <c r="P38" s="169"/>
      <c r="Q38" s="144" t="s">
        <v>204</v>
      </c>
      <c r="R38" s="56"/>
      <c r="S38" s="144" t="s">
        <v>204</v>
      </c>
      <c r="T38" s="56"/>
      <c r="U38" s="144" t="s">
        <v>204</v>
      </c>
      <c r="V38" s="56"/>
      <c r="W38" s="144" t="s">
        <v>204</v>
      </c>
      <c r="X38" s="56"/>
      <c r="Y38" s="144" t="s">
        <v>204</v>
      </c>
      <c r="Z38" s="56"/>
      <c r="AA38" s="144" t="s">
        <v>204</v>
      </c>
      <c r="AB38" s="156"/>
      <c r="AC38" s="144" t="s">
        <v>204</v>
      </c>
      <c r="AD38" s="156"/>
      <c r="AE38" s="144" t="s">
        <v>204</v>
      </c>
      <c r="AF38" s="215" t="str">
        <f t="shared" si="1"/>
        <v>C</v>
      </c>
      <c r="AG38" s="96" t="str">
        <f t="shared" si="0"/>
        <v>UTILIZOU O PDA CORRETAMENTE</v>
      </c>
      <c r="AH38" s="169" t="s">
        <v>59</v>
      </c>
      <c r="AI38" s="151" t="str">
        <f t="shared" si="2"/>
        <v>GUARULHOS</v>
      </c>
      <c r="AJ38" s="151" t="s">
        <v>6</v>
      </c>
      <c r="AK38" s="53">
        <v>-7.4000000000000003E-3</v>
      </c>
      <c r="AL38" s="53" t="str" cm="1">
        <f t="array" ref="AL38">IF(OR(O38&lt;&gt;"", SUMPRODUCT(($AM$2:$AM$210=AM38)*($AK$2:$AK$210&lt;=AK38)) &lt;= (COUNTIF($AM$2:$AM$210,AM38)*0.1)), "SORTEADO", "-")</f>
        <v>SORTEADO</v>
      </c>
      <c r="AM38" s="53" t="str">
        <f t="shared" si="3"/>
        <v>04/03/2026</v>
      </c>
    </row>
    <row r="39" spans="1:39" ht="30" hidden="1" customHeight="1" x14ac:dyDescent="0.2">
      <c r="A39" s="231" t="s">
        <v>197</v>
      </c>
      <c r="B39" s="250">
        <v>2613700313</v>
      </c>
      <c r="C39" s="231" t="s">
        <v>139</v>
      </c>
      <c r="D39" s="231" t="s">
        <v>67</v>
      </c>
      <c r="E39" s="231" t="s">
        <v>198</v>
      </c>
      <c r="F39" s="231" t="s">
        <v>230</v>
      </c>
      <c r="G39" s="231">
        <v>11</v>
      </c>
      <c r="H39" s="231" t="s">
        <v>206</v>
      </c>
      <c r="I39" s="231" t="s">
        <v>231</v>
      </c>
      <c r="J39" s="231" t="s">
        <v>4603</v>
      </c>
      <c r="K39" s="231" t="s">
        <v>213</v>
      </c>
      <c r="L39" s="232" t="s">
        <v>407</v>
      </c>
      <c r="M39" s="232">
        <v>46085.417361111111</v>
      </c>
      <c r="N39" s="231" t="s">
        <v>4613</v>
      </c>
      <c r="O39" s="144" t="s">
        <v>204</v>
      </c>
      <c r="P39" s="169"/>
      <c r="Q39" s="144" t="s">
        <v>204</v>
      </c>
      <c r="R39" s="56"/>
      <c r="S39" s="144" t="s">
        <v>204</v>
      </c>
      <c r="T39" s="56"/>
      <c r="U39" s="144" t="s">
        <v>204</v>
      </c>
      <c r="V39" s="56"/>
      <c r="W39" s="144" t="s">
        <v>204</v>
      </c>
      <c r="X39" s="56"/>
      <c r="Y39" s="144" t="s">
        <v>204</v>
      </c>
      <c r="Z39" s="56"/>
      <c r="AA39" s="144" t="s">
        <v>204</v>
      </c>
      <c r="AB39" s="156"/>
      <c r="AC39" s="144" t="s">
        <v>204</v>
      </c>
      <c r="AD39" s="156"/>
      <c r="AE39" s="144" t="s">
        <v>204</v>
      </c>
      <c r="AF39" s="215" t="str">
        <f t="shared" si="1"/>
        <v>C</v>
      </c>
      <c r="AG39" s="96" t="str">
        <f t="shared" si="0"/>
        <v>UTILIZOU O PDA CORRETAMENTE</v>
      </c>
      <c r="AH39" s="169" t="s">
        <v>39</v>
      </c>
      <c r="AI39" s="151" t="str">
        <f t="shared" si="2"/>
        <v>GUARULHOS</v>
      </c>
      <c r="AJ39" s="151" t="s">
        <v>6</v>
      </c>
      <c r="AK39" s="53">
        <v>-7.6E-3</v>
      </c>
      <c r="AL39" s="53" t="str" cm="1">
        <f t="array" ref="AL39">IF(OR(O39&lt;&gt;"", SUMPRODUCT(($AM$2:$AM$210=AM39)*($AK$2:$AK$210&lt;=AK39)) &lt;= (COUNTIF($AM$2:$AM$210,AM39)*0.1)), "SORTEADO", "-")</f>
        <v>SORTEADO</v>
      </c>
      <c r="AM39" s="53" t="str">
        <f t="shared" si="3"/>
        <v>04/03/2026</v>
      </c>
    </row>
    <row r="40" spans="1:39" ht="30" hidden="1" customHeight="1" x14ac:dyDescent="0.2">
      <c r="A40" s="231" t="s">
        <v>197</v>
      </c>
      <c r="B40" s="250">
        <v>2613846631</v>
      </c>
      <c r="C40" s="231" t="s">
        <v>138</v>
      </c>
      <c r="D40" s="231" t="s">
        <v>67</v>
      </c>
      <c r="E40" s="231" t="s">
        <v>198</v>
      </c>
      <c r="F40" s="231" t="s">
        <v>1562</v>
      </c>
      <c r="G40" s="231">
        <v>1659</v>
      </c>
      <c r="H40" s="231"/>
      <c r="I40" s="231" t="s">
        <v>2616</v>
      </c>
      <c r="J40" s="231" t="s">
        <v>4605</v>
      </c>
      <c r="K40" s="231" t="s">
        <v>4612</v>
      </c>
      <c r="L40" s="232" t="s">
        <v>449</v>
      </c>
      <c r="M40" s="232">
        <v>46116.313194444447</v>
      </c>
      <c r="N40" s="231" t="s">
        <v>4613</v>
      </c>
      <c r="O40" s="144" t="s">
        <v>204</v>
      </c>
      <c r="P40" s="169"/>
      <c r="Q40" s="144" t="s">
        <v>204</v>
      </c>
      <c r="R40" s="56"/>
      <c r="S40" s="144" t="s">
        <v>204</v>
      </c>
      <c r="T40" s="56"/>
      <c r="U40" s="144" t="s">
        <v>204</v>
      </c>
      <c r="V40" s="56"/>
      <c r="W40" s="144" t="s">
        <v>204</v>
      </c>
      <c r="X40" s="56"/>
      <c r="Y40" s="144" t="s">
        <v>61</v>
      </c>
      <c r="Z40" s="56" t="s">
        <v>4639</v>
      </c>
      <c r="AA40" s="144" t="s">
        <v>204</v>
      </c>
      <c r="AB40" s="156"/>
      <c r="AC40" s="144" t="s">
        <v>204</v>
      </c>
      <c r="AD40" s="156"/>
      <c r="AE40" s="144" t="s">
        <v>204</v>
      </c>
      <c r="AF40" s="215" t="str">
        <f t="shared" si="1"/>
        <v>C</v>
      </c>
      <c r="AG40" s="96" t="str">
        <f t="shared" si="0"/>
        <v>UTILIZOU O PDA CORRETAMENTE</v>
      </c>
      <c r="AH40" s="169" t="s">
        <v>59</v>
      </c>
      <c r="AI40" s="151" t="str">
        <f t="shared" si="2"/>
        <v>GUARULHOS</v>
      </c>
      <c r="AJ40" s="151" t="s">
        <v>6</v>
      </c>
      <c r="AK40" s="53">
        <v>-7.7999999999999996E-3</v>
      </c>
      <c r="AL40" s="53" t="str" cm="1">
        <f t="array" ref="AL40">IF(OR(O40&lt;&gt;"", SUMPRODUCT(($AM$2:$AM$210=AM40)*($AK$2:$AK$210&lt;=AK40)) &lt;= (COUNTIF($AM$2:$AM$210,AM40)*0.1)), "SORTEADO", "-")</f>
        <v>SORTEADO</v>
      </c>
      <c r="AM40" s="53" t="str">
        <f t="shared" si="3"/>
        <v>04/04/2026</v>
      </c>
    </row>
    <row r="41" spans="1:39" ht="30" customHeight="1" x14ac:dyDescent="0.2">
      <c r="A41" s="231" t="s">
        <v>197</v>
      </c>
      <c r="B41" s="231">
        <v>2613867309</v>
      </c>
      <c r="C41" s="231" t="s">
        <v>141</v>
      </c>
      <c r="D41" s="231" t="s">
        <v>67</v>
      </c>
      <c r="E41" s="231" t="s">
        <v>198</v>
      </c>
      <c r="F41" s="231" t="s">
        <v>355</v>
      </c>
      <c r="G41" s="231">
        <v>153</v>
      </c>
      <c r="H41" s="231" t="s">
        <v>213</v>
      </c>
      <c r="I41" s="231" t="s">
        <v>356</v>
      </c>
      <c r="J41" s="231" t="s">
        <v>4603</v>
      </c>
      <c r="K41" s="231" t="s">
        <v>4640</v>
      </c>
      <c r="L41" s="232" t="s">
        <v>449</v>
      </c>
      <c r="M41" s="232">
        <v>46116.321527777778</v>
      </c>
      <c r="N41" s="231" t="s">
        <v>4613</v>
      </c>
      <c r="O41" s="144" t="s">
        <v>328</v>
      </c>
      <c r="P41" s="169"/>
      <c r="Q41" s="144" t="s">
        <v>328</v>
      </c>
      <c r="R41" s="56"/>
      <c r="S41" s="144" t="s">
        <v>328</v>
      </c>
      <c r="T41" s="56"/>
      <c r="U41" s="144" t="s">
        <v>328</v>
      </c>
      <c r="V41" s="56"/>
      <c r="W41" s="144" t="s">
        <v>328</v>
      </c>
      <c r="X41" s="56"/>
      <c r="Y41" s="144" t="s">
        <v>328</v>
      </c>
      <c r="Z41" s="56"/>
      <c r="AA41" s="144" t="s">
        <v>328</v>
      </c>
      <c r="AB41" s="156"/>
      <c r="AC41" s="144" t="s">
        <v>328</v>
      </c>
      <c r="AD41" s="156"/>
      <c r="AE41" s="144" t="s">
        <v>210</v>
      </c>
      <c r="AF41" s="215" t="str">
        <f t="shared" si="1"/>
        <v>NC</v>
      </c>
      <c r="AG41" s="96" t="str">
        <f t="shared" si="0"/>
        <v>NÃO UTILIZOU O PDA</v>
      </c>
      <c r="AH41" s="169" t="s">
        <v>39</v>
      </c>
      <c r="AI41" s="151" t="str">
        <f t="shared" si="2"/>
        <v>GUARULHOS</v>
      </c>
      <c r="AJ41" s="151" t="s">
        <v>6</v>
      </c>
      <c r="AK41" s="53">
        <v>-8.0000000000000002E-3</v>
      </c>
      <c r="AL41" s="53" t="str" cm="1">
        <f t="array" ref="AL41">IF(OR(O41&lt;&gt;"", SUMPRODUCT(($AM$2:$AM$210=AM41)*($AK$2:$AK$210&lt;=AK41)) &lt;= (COUNTIF($AM$2:$AM$210,AM41)*0.1)), "SORTEADO", "-")</f>
        <v>SORTEADO</v>
      </c>
      <c r="AM41" s="53" t="str">
        <f t="shared" si="3"/>
        <v>04/04/2026</v>
      </c>
    </row>
    <row r="42" spans="1:39" ht="30" hidden="1" customHeight="1" x14ac:dyDescent="0.2">
      <c r="A42" s="231" t="s">
        <v>197</v>
      </c>
      <c r="B42" s="250">
        <v>2613827789</v>
      </c>
      <c r="C42" s="231" t="s">
        <v>141</v>
      </c>
      <c r="D42" s="231" t="s">
        <v>67</v>
      </c>
      <c r="E42" s="231" t="s">
        <v>198</v>
      </c>
      <c r="F42" s="231" t="s">
        <v>2647</v>
      </c>
      <c r="G42" s="231">
        <v>256</v>
      </c>
      <c r="H42" s="231" t="s">
        <v>2648</v>
      </c>
      <c r="I42" s="231" t="s">
        <v>247</v>
      </c>
      <c r="J42" s="231" t="s">
        <v>4603</v>
      </c>
      <c r="K42" s="231"/>
      <c r="L42" s="232" t="s">
        <v>449</v>
      </c>
      <c r="M42" s="232">
        <v>46116.398611111108</v>
      </c>
      <c r="N42" s="231" t="s">
        <v>4613</v>
      </c>
      <c r="O42" s="144" t="s">
        <v>204</v>
      </c>
      <c r="P42" s="169"/>
      <c r="Q42" s="144" t="s">
        <v>204</v>
      </c>
      <c r="R42" s="56"/>
      <c r="S42" s="144" t="s">
        <v>204</v>
      </c>
      <c r="T42" s="56"/>
      <c r="U42" s="144" t="s">
        <v>204</v>
      </c>
      <c r="V42" s="56"/>
      <c r="W42" s="144" t="s">
        <v>204</v>
      </c>
      <c r="X42" s="56"/>
      <c r="Y42" s="144" t="s">
        <v>204</v>
      </c>
      <c r="Z42" s="56"/>
      <c r="AA42" s="144" t="s">
        <v>204</v>
      </c>
      <c r="AB42" s="156"/>
      <c r="AC42" s="144" t="s">
        <v>204</v>
      </c>
      <c r="AD42" s="156"/>
      <c r="AE42" s="144" t="s">
        <v>204</v>
      </c>
      <c r="AF42" s="215" t="str">
        <f t="shared" si="1"/>
        <v>C</v>
      </c>
      <c r="AG42" s="96" t="str">
        <f t="shared" si="0"/>
        <v>UTILIZOU O PDA CORRETAMENTE</v>
      </c>
      <c r="AH42" s="169" t="s">
        <v>59</v>
      </c>
      <c r="AI42" s="151" t="str">
        <f t="shared" si="2"/>
        <v>GUARULHOS</v>
      </c>
      <c r="AJ42" s="151" t="s">
        <v>6</v>
      </c>
      <c r="AK42" s="53">
        <v>-8.2000000000000007E-3</v>
      </c>
      <c r="AL42" s="53" t="str" cm="1">
        <f t="array" ref="AL42">IF(OR(O42&lt;&gt;"", SUMPRODUCT(($AM$2:$AM$210=AM42)*($AK$2:$AK$210&lt;=AK42)) &lt;= (COUNTIF($AM$2:$AM$210,AM42)*0.1)), "SORTEADO", "-")</f>
        <v>SORTEADO</v>
      </c>
      <c r="AM42" s="53" t="str">
        <f t="shared" si="3"/>
        <v>04/04/2026</v>
      </c>
    </row>
    <row r="43" spans="1:39" ht="30" hidden="1" customHeight="1" x14ac:dyDescent="0.2">
      <c r="A43" s="231" t="s">
        <v>197</v>
      </c>
      <c r="B43" s="250">
        <v>2613876929</v>
      </c>
      <c r="C43" s="231" t="s">
        <v>138</v>
      </c>
      <c r="D43" s="231" t="s">
        <v>67</v>
      </c>
      <c r="E43" s="231" t="s">
        <v>198</v>
      </c>
      <c r="F43" s="231" t="s">
        <v>358</v>
      </c>
      <c r="G43" s="231">
        <v>1244</v>
      </c>
      <c r="H43" s="231" t="s">
        <v>359</v>
      </c>
      <c r="I43" s="231" t="s">
        <v>262</v>
      </c>
      <c r="J43" s="231" t="s">
        <v>4605</v>
      </c>
      <c r="K43" s="231" t="s">
        <v>213</v>
      </c>
      <c r="L43" s="232" t="s">
        <v>449</v>
      </c>
      <c r="M43" s="232">
        <v>46116.355555555558</v>
      </c>
      <c r="N43" s="231" t="s">
        <v>4613</v>
      </c>
      <c r="O43" s="144" t="s">
        <v>204</v>
      </c>
      <c r="P43" s="169"/>
      <c r="Q43" s="144" t="s">
        <v>204</v>
      </c>
      <c r="R43" s="56"/>
      <c r="S43" s="144" t="s">
        <v>204</v>
      </c>
      <c r="T43" s="56"/>
      <c r="U43" s="144" t="s">
        <v>204</v>
      </c>
      <c r="V43" s="56"/>
      <c r="W43" s="144" t="s">
        <v>204</v>
      </c>
      <c r="X43" s="56"/>
      <c r="Y43" s="144" t="s">
        <v>204</v>
      </c>
      <c r="Z43" s="56"/>
      <c r="AA43" s="144" t="s">
        <v>204</v>
      </c>
      <c r="AB43" s="156"/>
      <c r="AC43" s="144" t="s">
        <v>204</v>
      </c>
      <c r="AD43" s="156"/>
      <c r="AE43" s="144" t="s">
        <v>204</v>
      </c>
      <c r="AF43" s="215" t="str">
        <f t="shared" si="1"/>
        <v>C</v>
      </c>
      <c r="AG43" s="96" t="str">
        <f t="shared" si="0"/>
        <v>UTILIZOU O PDA CORRETAMENTE</v>
      </c>
      <c r="AH43" s="169" t="s">
        <v>39</v>
      </c>
      <c r="AI43" s="151" t="str">
        <f t="shared" si="2"/>
        <v>GUARULHOS</v>
      </c>
      <c r="AJ43" s="151" t="s">
        <v>6</v>
      </c>
      <c r="AK43" s="53">
        <v>-8.3999999999999995E-3</v>
      </c>
      <c r="AL43" s="53" t="str" cm="1">
        <f t="array" ref="AL43">IF(OR(O43&lt;&gt;"", SUMPRODUCT(($AM$2:$AM$210=AM43)*($AK$2:$AK$210&lt;=AK43)) &lt;= (COUNTIF($AM$2:$AM$210,AM43)*0.1)), "SORTEADO", "-")</f>
        <v>SORTEADO</v>
      </c>
      <c r="AM43" s="53" t="str">
        <f t="shared" si="3"/>
        <v>04/04/2026</v>
      </c>
    </row>
    <row r="44" spans="1:39" ht="30" hidden="1" customHeight="1" x14ac:dyDescent="0.2">
      <c r="A44" s="231" t="s">
        <v>197</v>
      </c>
      <c r="B44" s="250">
        <v>2613905393</v>
      </c>
      <c r="C44" s="231" t="s">
        <v>138</v>
      </c>
      <c r="D44" s="231" t="s">
        <v>67</v>
      </c>
      <c r="E44" s="231" t="s">
        <v>198</v>
      </c>
      <c r="F44" s="231" t="s">
        <v>365</v>
      </c>
      <c r="G44" s="231">
        <v>185</v>
      </c>
      <c r="H44" s="231" t="s">
        <v>276</v>
      </c>
      <c r="I44" s="231" t="s">
        <v>366</v>
      </c>
      <c r="J44" s="231" t="s">
        <v>4605</v>
      </c>
      <c r="K44" s="231"/>
      <c r="L44" s="232" t="s">
        <v>449</v>
      </c>
      <c r="M44" s="232">
        <v>46116.365972222222</v>
      </c>
      <c r="N44" s="231" t="s">
        <v>4613</v>
      </c>
      <c r="O44" s="144" t="s">
        <v>204</v>
      </c>
      <c r="P44" s="169"/>
      <c r="Q44" s="144" t="s">
        <v>204</v>
      </c>
      <c r="R44" s="56"/>
      <c r="S44" s="144" t="s">
        <v>204</v>
      </c>
      <c r="T44" s="56"/>
      <c r="U44" s="144" t="s">
        <v>204</v>
      </c>
      <c r="V44" s="56"/>
      <c r="W44" s="144" t="s">
        <v>204</v>
      </c>
      <c r="X44" s="56"/>
      <c r="Y44" s="144" t="s">
        <v>204</v>
      </c>
      <c r="Z44" s="56"/>
      <c r="AA44" s="144" t="s">
        <v>204</v>
      </c>
      <c r="AB44" s="156"/>
      <c r="AC44" s="144" t="s">
        <v>204</v>
      </c>
      <c r="AD44" s="156"/>
      <c r="AE44" s="144" t="s">
        <v>204</v>
      </c>
      <c r="AF44" s="215" t="str">
        <f t="shared" si="1"/>
        <v>C</v>
      </c>
      <c r="AG44" s="96" t="str">
        <f t="shared" si="0"/>
        <v>UTILIZOU O PDA CORRETAMENTE</v>
      </c>
      <c r="AH44" s="169" t="s">
        <v>39</v>
      </c>
      <c r="AI44" s="151" t="str">
        <f t="shared" si="2"/>
        <v>GUARULHOS</v>
      </c>
      <c r="AJ44" s="151" t="s">
        <v>6</v>
      </c>
      <c r="AK44" s="53">
        <v>-8.6E-3</v>
      </c>
      <c r="AL44" s="53" t="str" cm="1">
        <f t="array" ref="AL44">IF(OR(O44&lt;&gt;"", SUMPRODUCT(($AM$2:$AM$210=AM44)*($AK$2:$AK$210&lt;=AK44)) &lt;= (COUNTIF($AM$2:$AM$210,AM44)*0.1)), "SORTEADO", "-")</f>
        <v>SORTEADO</v>
      </c>
      <c r="AM44" s="53" t="str">
        <f t="shared" si="3"/>
        <v>04/04/2026</v>
      </c>
    </row>
    <row r="45" spans="1:39" ht="30" hidden="1" customHeight="1" x14ac:dyDescent="0.2">
      <c r="A45" s="231" t="s">
        <v>197</v>
      </c>
      <c r="B45" s="250">
        <v>2614220563</v>
      </c>
      <c r="C45" s="231" t="s">
        <v>138</v>
      </c>
      <c r="D45" s="231" t="s">
        <v>67</v>
      </c>
      <c r="E45" s="231" t="s">
        <v>198</v>
      </c>
      <c r="F45" s="231" t="s">
        <v>313</v>
      </c>
      <c r="G45" s="231">
        <v>112</v>
      </c>
      <c r="H45" s="231" t="s">
        <v>213</v>
      </c>
      <c r="I45" s="231" t="s">
        <v>315</v>
      </c>
      <c r="J45" s="231" t="s">
        <v>4605</v>
      </c>
      <c r="K45" s="231" t="s">
        <v>213</v>
      </c>
      <c r="L45" s="232" t="s">
        <v>449</v>
      </c>
      <c r="M45" s="232">
        <v>46116.415972222225</v>
      </c>
      <c r="N45" s="231" t="s">
        <v>4613</v>
      </c>
      <c r="O45" s="144" t="s">
        <v>204</v>
      </c>
      <c r="P45" s="169"/>
      <c r="Q45" s="144" t="s">
        <v>204</v>
      </c>
      <c r="R45" s="56"/>
      <c r="S45" s="144" t="s">
        <v>204</v>
      </c>
      <c r="T45" s="56"/>
      <c r="U45" s="144" t="s">
        <v>204</v>
      </c>
      <c r="V45" s="56"/>
      <c r="W45" s="144" t="s">
        <v>204</v>
      </c>
      <c r="X45" s="56"/>
      <c r="Y45" s="144" t="s">
        <v>204</v>
      </c>
      <c r="Z45" s="56"/>
      <c r="AA45" s="144" t="s">
        <v>204</v>
      </c>
      <c r="AB45" s="156"/>
      <c r="AC45" s="144" t="s">
        <v>204</v>
      </c>
      <c r="AD45" s="156"/>
      <c r="AE45" s="144" t="s">
        <v>204</v>
      </c>
      <c r="AF45" s="215" t="str">
        <f t="shared" si="1"/>
        <v>C</v>
      </c>
      <c r="AG45" s="96" t="str">
        <f t="shared" si="0"/>
        <v>UTILIZOU O PDA CORRETAMENTE</v>
      </c>
      <c r="AH45" s="169" t="s">
        <v>39</v>
      </c>
      <c r="AI45" s="151" t="str">
        <f t="shared" si="2"/>
        <v>GUARULHOS</v>
      </c>
      <c r="AJ45" s="151" t="s">
        <v>6</v>
      </c>
      <c r="AK45" s="53">
        <v>-8.8000000000000005E-3</v>
      </c>
      <c r="AL45" s="53" t="str" cm="1">
        <f t="array" ref="AL45">IF(OR(O45&lt;&gt;"", SUMPRODUCT(($AM$2:$AM$210=AM45)*($AK$2:$AK$210&lt;=AK45)) &lt;= (COUNTIF($AM$2:$AM$210,AM45)*0.1)), "SORTEADO", "-")</f>
        <v>SORTEADO</v>
      </c>
      <c r="AM45" s="53" t="str">
        <f t="shared" si="3"/>
        <v>04/04/2026</v>
      </c>
    </row>
    <row r="46" spans="1:39" ht="30" hidden="1" customHeight="1" x14ac:dyDescent="0.2">
      <c r="A46" s="231" t="s">
        <v>197</v>
      </c>
      <c r="B46" s="250">
        <v>2614193686</v>
      </c>
      <c r="C46" s="231" t="s">
        <v>141</v>
      </c>
      <c r="D46" s="231" t="s">
        <v>67</v>
      </c>
      <c r="E46" s="231" t="s">
        <v>198</v>
      </c>
      <c r="F46" s="231" t="s">
        <v>484</v>
      </c>
      <c r="G46" s="231">
        <v>71</v>
      </c>
      <c r="H46" s="231"/>
      <c r="I46" s="231" t="s">
        <v>899</v>
      </c>
      <c r="J46" s="231" t="s">
        <v>4603</v>
      </c>
      <c r="K46" s="231"/>
      <c r="L46" s="232" t="s">
        <v>449</v>
      </c>
      <c r="M46" s="232">
        <v>46116.381944444445</v>
      </c>
      <c r="N46" s="231" t="s">
        <v>4613</v>
      </c>
      <c r="O46" s="144" t="s">
        <v>204</v>
      </c>
      <c r="P46" s="169"/>
      <c r="Q46" s="144" t="s">
        <v>204</v>
      </c>
      <c r="R46" s="56"/>
      <c r="S46" s="144" t="s">
        <v>204</v>
      </c>
      <c r="T46" s="56"/>
      <c r="U46" s="144" t="s">
        <v>204</v>
      </c>
      <c r="V46" s="56"/>
      <c r="W46" s="144" t="s">
        <v>204</v>
      </c>
      <c r="X46" s="56"/>
      <c r="Y46" s="144" t="s">
        <v>328</v>
      </c>
      <c r="Z46" s="56"/>
      <c r="AA46" s="144" t="s">
        <v>204</v>
      </c>
      <c r="AB46" s="156"/>
      <c r="AC46" s="144" t="s">
        <v>204</v>
      </c>
      <c r="AD46" s="156"/>
      <c r="AE46" s="144" t="s">
        <v>204</v>
      </c>
      <c r="AF46" s="215" t="str">
        <f t="shared" si="1"/>
        <v>NC</v>
      </c>
      <c r="AG46" s="96" t="str">
        <f t="shared" si="0"/>
        <v>UTILIZOU O PDA CORRETAMENTE. NÃO HÁ FOTOS DE TODAS AS ETAPAS</v>
      </c>
      <c r="AH46" s="169" t="s">
        <v>59</v>
      </c>
      <c r="AI46" s="151" t="str">
        <f t="shared" si="2"/>
        <v>GUARULHOS</v>
      </c>
      <c r="AJ46" s="151" t="s">
        <v>6</v>
      </c>
      <c r="AK46" s="53">
        <v>-8.9999999999999993E-3</v>
      </c>
      <c r="AL46" s="53" t="str" cm="1">
        <f t="array" ref="AL46">IF(OR(O46&lt;&gt;"", SUMPRODUCT(($AM$2:$AM$210=AM46)*($AK$2:$AK$210&lt;=AK46)) &lt;= (COUNTIF($AM$2:$AM$210,AM46)*0.1)), "SORTEADO", "-")</f>
        <v>SORTEADO</v>
      </c>
      <c r="AM46" s="53" t="str">
        <f t="shared" si="3"/>
        <v>04/04/2026</v>
      </c>
    </row>
    <row r="47" spans="1:39" ht="30" hidden="1" customHeight="1" x14ac:dyDescent="0.2">
      <c r="A47" s="231" t="s">
        <v>197</v>
      </c>
      <c r="B47" s="250">
        <v>2613821039</v>
      </c>
      <c r="C47" s="231" t="s">
        <v>141</v>
      </c>
      <c r="D47" s="231" t="s">
        <v>67</v>
      </c>
      <c r="E47" s="231" t="s">
        <v>198</v>
      </c>
      <c r="F47" s="231" t="s">
        <v>892</v>
      </c>
      <c r="G47" s="231">
        <v>468</v>
      </c>
      <c r="H47" s="231" t="s">
        <v>4641</v>
      </c>
      <c r="I47" s="231" t="s">
        <v>893</v>
      </c>
      <c r="J47" s="231" t="s">
        <v>4603</v>
      </c>
      <c r="K47" s="231" t="s">
        <v>213</v>
      </c>
      <c r="L47" s="232" t="s">
        <v>449</v>
      </c>
      <c r="M47" s="232">
        <v>46116.338888888888</v>
      </c>
      <c r="N47" s="231" t="s">
        <v>4613</v>
      </c>
      <c r="O47" s="144" t="s">
        <v>204</v>
      </c>
      <c r="P47" s="169"/>
      <c r="Q47" s="144" t="s">
        <v>204</v>
      </c>
      <c r="R47" s="56"/>
      <c r="S47" s="144" t="s">
        <v>204</v>
      </c>
      <c r="T47" s="56"/>
      <c r="U47" s="144" t="s">
        <v>204</v>
      </c>
      <c r="V47" s="56"/>
      <c r="W47" s="144" t="s">
        <v>204</v>
      </c>
      <c r="X47" s="56"/>
      <c r="Y47" s="144" t="s">
        <v>204</v>
      </c>
      <c r="Z47" s="56"/>
      <c r="AA47" s="144" t="s">
        <v>204</v>
      </c>
      <c r="AB47" s="156"/>
      <c r="AC47" s="144" t="s">
        <v>204</v>
      </c>
      <c r="AD47" s="156"/>
      <c r="AE47" s="144" t="s">
        <v>204</v>
      </c>
      <c r="AF47" s="215" t="str">
        <f t="shared" si="1"/>
        <v>C</v>
      </c>
      <c r="AG47" s="96" t="str">
        <f t="shared" si="0"/>
        <v>UTILIZOU O PDA CORRETAMENTE</v>
      </c>
      <c r="AH47" s="169"/>
      <c r="AI47" s="151" t="str">
        <f t="shared" si="2"/>
        <v>GUARULHOS</v>
      </c>
      <c r="AJ47" s="151" t="s">
        <v>6</v>
      </c>
      <c r="AK47" s="53">
        <v>-9.1999999999999998E-3</v>
      </c>
      <c r="AL47" s="53" t="str" cm="1">
        <f t="array" ref="AL47">IF(OR(O47&lt;&gt;"", SUMPRODUCT(($AM$2:$AM$210=AM47)*($AK$2:$AK$210&lt;=AK47)) &lt;= (COUNTIF($AM$2:$AM$210,AM47)*0.1)), "SORTEADO", "-")</f>
        <v>SORTEADO</v>
      </c>
      <c r="AM47" s="53" t="str">
        <f t="shared" si="3"/>
        <v>04/04/2026</v>
      </c>
    </row>
    <row r="48" spans="1:39" ht="30" customHeight="1" x14ac:dyDescent="0.2">
      <c r="A48" s="231" t="s">
        <v>197</v>
      </c>
      <c r="B48" s="250">
        <v>2689494667</v>
      </c>
      <c r="C48" s="231" t="s">
        <v>138</v>
      </c>
      <c r="D48" s="231" t="s">
        <v>67</v>
      </c>
      <c r="E48" s="231" t="s">
        <v>198</v>
      </c>
      <c r="F48" s="231" t="s">
        <v>367</v>
      </c>
      <c r="G48" s="231">
        <v>155</v>
      </c>
      <c r="H48" s="231"/>
      <c r="I48" s="231" t="s">
        <v>368</v>
      </c>
      <c r="J48" s="231" t="s">
        <v>4605</v>
      </c>
      <c r="K48" s="231"/>
      <c r="L48" s="232" t="s">
        <v>449</v>
      </c>
      <c r="M48" s="232">
        <v>46116.399305555555</v>
      </c>
      <c r="N48" s="231" t="s">
        <v>4620</v>
      </c>
      <c r="O48" s="144" t="s">
        <v>210</v>
      </c>
      <c r="P48" s="169" t="s">
        <v>413</v>
      </c>
      <c r="Q48" s="144" t="s">
        <v>210</v>
      </c>
      <c r="R48" s="56" t="s">
        <v>413</v>
      </c>
      <c r="S48" s="144" t="s">
        <v>210</v>
      </c>
      <c r="T48" s="56" t="s">
        <v>413</v>
      </c>
      <c r="U48" s="144" t="s">
        <v>210</v>
      </c>
      <c r="V48" s="56" t="s">
        <v>413</v>
      </c>
      <c r="W48" s="144" t="s">
        <v>210</v>
      </c>
      <c r="X48" s="56" t="s">
        <v>413</v>
      </c>
      <c r="Y48" s="144" t="s">
        <v>210</v>
      </c>
      <c r="Z48" s="56" t="s">
        <v>413</v>
      </c>
      <c r="AA48" s="144" t="s">
        <v>210</v>
      </c>
      <c r="AB48" s="156" t="s">
        <v>413</v>
      </c>
      <c r="AC48" s="144" t="s">
        <v>210</v>
      </c>
      <c r="AD48" s="156" t="s">
        <v>413</v>
      </c>
      <c r="AE48" s="144" t="s">
        <v>210</v>
      </c>
      <c r="AF48" s="215" t="s">
        <v>210</v>
      </c>
      <c r="AG48" s="96" t="str">
        <f t="shared" si="0"/>
        <v>NÃO UTILIZOU O PDA</v>
      </c>
      <c r="AH48" s="169" t="s">
        <v>39</v>
      </c>
      <c r="AI48" s="151" t="str">
        <f t="shared" si="2"/>
        <v>GUARULHOS</v>
      </c>
      <c r="AJ48" s="151" t="s">
        <v>6</v>
      </c>
      <c r="AK48" s="53">
        <v>-9.4000000000000004E-3</v>
      </c>
      <c r="AL48" s="53" t="str" cm="1">
        <f t="array" ref="AL48">IF(OR(O48&lt;&gt;"", SUMPRODUCT(($AM$2:$AM$210=AM48)*($AK$2:$AK$210&lt;=AK48)) &lt;= (COUNTIF($AM$2:$AM$210,AM48)*0.1)), "SORTEADO", "-")</f>
        <v>SORTEADO</v>
      </c>
      <c r="AM48" s="53" t="str">
        <f t="shared" si="3"/>
        <v>04/04/2026</v>
      </c>
    </row>
    <row r="49" spans="1:39" ht="30" customHeight="1" x14ac:dyDescent="0.2">
      <c r="A49" s="231" t="s">
        <v>197</v>
      </c>
      <c r="B49" s="250">
        <v>2613681820</v>
      </c>
      <c r="C49" s="231" t="s">
        <v>139</v>
      </c>
      <c r="D49" s="231" t="s">
        <v>67</v>
      </c>
      <c r="E49" s="231" t="s">
        <v>198</v>
      </c>
      <c r="F49" s="231" t="s">
        <v>341</v>
      </c>
      <c r="G49" s="231">
        <v>44</v>
      </c>
      <c r="H49" s="231" t="s">
        <v>213</v>
      </c>
      <c r="I49" s="231" t="s">
        <v>236</v>
      </c>
      <c r="J49" s="231" t="s">
        <v>4603</v>
      </c>
      <c r="K49" s="231" t="s">
        <v>213</v>
      </c>
      <c r="L49" s="232" t="s">
        <v>449</v>
      </c>
      <c r="M49" s="232">
        <v>46116.445138888892</v>
      </c>
      <c r="N49" s="231" t="s">
        <v>4620</v>
      </c>
      <c r="O49" s="144" t="s">
        <v>210</v>
      </c>
      <c r="P49" s="169" t="s">
        <v>413</v>
      </c>
      <c r="Q49" s="144" t="s">
        <v>210</v>
      </c>
      <c r="R49" s="56" t="s">
        <v>413</v>
      </c>
      <c r="S49" s="144" t="s">
        <v>210</v>
      </c>
      <c r="T49" s="56" t="s">
        <v>413</v>
      </c>
      <c r="U49" s="144" t="s">
        <v>210</v>
      </c>
      <c r="V49" s="56" t="s">
        <v>413</v>
      </c>
      <c r="W49" s="144" t="s">
        <v>210</v>
      </c>
      <c r="X49" s="56" t="s">
        <v>413</v>
      </c>
      <c r="Y49" s="144" t="s">
        <v>210</v>
      </c>
      <c r="Z49" s="56" t="s">
        <v>413</v>
      </c>
      <c r="AA49" s="144" t="s">
        <v>210</v>
      </c>
      <c r="AB49" s="156" t="s">
        <v>413</v>
      </c>
      <c r="AC49" s="144" t="s">
        <v>210</v>
      </c>
      <c r="AD49" s="156" t="s">
        <v>413</v>
      </c>
      <c r="AE49" s="144" t="s">
        <v>210</v>
      </c>
      <c r="AF49" s="215" t="str">
        <f t="shared" si="1"/>
        <v>NC</v>
      </c>
      <c r="AG49" s="96" t="str">
        <f t="shared" si="0"/>
        <v>NÃO UTILIZOU O PDA</v>
      </c>
      <c r="AH49" s="169" t="s">
        <v>39</v>
      </c>
      <c r="AI49" s="151" t="str">
        <f t="shared" si="2"/>
        <v>GUARULHOS</v>
      </c>
      <c r="AJ49" s="151" t="s">
        <v>6</v>
      </c>
      <c r="AK49" s="53">
        <v>-9.5999999999999992E-3</v>
      </c>
      <c r="AL49" s="53" t="str" cm="1">
        <f t="array" ref="AL49">IF(OR(O49&lt;&gt;"", SUMPRODUCT(($AM$2:$AM$210=AM49)*($AK$2:$AK$210&lt;=AK49)) &lt;= (COUNTIF($AM$2:$AM$210,AM49)*0.1)), "SORTEADO", "-")</f>
        <v>SORTEADO</v>
      </c>
      <c r="AM49" s="53" t="str">
        <f t="shared" si="3"/>
        <v>04/04/2026</v>
      </c>
    </row>
    <row r="50" spans="1:39" ht="30" customHeight="1" x14ac:dyDescent="0.2">
      <c r="A50" s="231" t="s">
        <v>197</v>
      </c>
      <c r="B50" s="250">
        <v>2613599104</v>
      </c>
      <c r="C50" s="231" t="s">
        <v>139</v>
      </c>
      <c r="D50" s="231" t="s">
        <v>67</v>
      </c>
      <c r="E50" s="231" t="s">
        <v>198</v>
      </c>
      <c r="F50" s="231" t="s">
        <v>339</v>
      </c>
      <c r="G50" s="231">
        <v>148</v>
      </c>
      <c r="H50" s="231"/>
      <c r="I50" s="231" t="s">
        <v>326</v>
      </c>
      <c r="J50" s="231" t="s">
        <v>4603</v>
      </c>
      <c r="K50" s="231"/>
      <c r="L50" s="232" t="s">
        <v>449</v>
      </c>
      <c r="M50" s="232">
        <v>46116.46875</v>
      </c>
      <c r="N50" s="231" t="s">
        <v>4620</v>
      </c>
      <c r="O50" s="144" t="s">
        <v>210</v>
      </c>
      <c r="P50" s="169" t="s">
        <v>413</v>
      </c>
      <c r="Q50" s="144" t="s">
        <v>210</v>
      </c>
      <c r="R50" s="56" t="s">
        <v>413</v>
      </c>
      <c r="S50" s="144" t="s">
        <v>210</v>
      </c>
      <c r="T50" s="56" t="s">
        <v>413</v>
      </c>
      <c r="U50" s="144" t="s">
        <v>210</v>
      </c>
      <c r="V50" s="56" t="s">
        <v>413</v>
      </c>
      <c r="W50" s="144" t="s">
        <v>210</v>
      </c>
      <c r="X50" s="56" t="s">
        <v>413</v>
      </c>
      <c r="Y50" s="144" t="s">
        <v>210</v>
      </c>
      <c r="Z50" s="56" t="s">
        <v>413</v>
      </c>
      <c r="AA50" s="144" t="s">
        <v>210</v>
      </c>
      <c r="AB50" s="156" t="s">
        <v>413</v>
      </c>
      <c r="AC50" s="144" t="s">
        <v>210</v>
      </c>
      <c r="AD50" s="156" t="s">
        <v>413</v>
      </c>
      <c r="AE50" s="144" t="s">
        <v>210</v>
      </c>
      <c r="AF50" s="215" t="str">
        <f t="shared" si="1"/>
        <v>NC</v>
      </c>
      <c r="AG50" s="96" t="str">
        <f t="shared" si="0"/>
        <v>NÃO UTILIZOU O PDA</v>
      </c>
      <c r="AH50" s="169" t="s">
        <v>39</v>
      </c>
      <c r="AI50" s="151" t="str">
        <f t="shared" si="2"/>
        <v>GUARULHOS</v>
      </c>
      <c r="AJ50" s="151" t="s">
        <v>6</v>
      </c>
      <c r="AK50" s="53">
        <v>-9.7999999999999997E-3</v>
      </c>
      <c r="AL50" s="53" t="str" cm="1">
        <f t="array" ref="AL50">IF(OR(O50&lt;&gt;"", SUMPRODUCT(($AM$2:$AM$210=AM50)*($AK$2:$AK$210&lt;=AK50)) &lt;= (COUNTIF($AM$2:$AM$210,AM50)*0.1)), "SORTEADO", "-")</f>
        <v>SORTEADO</v>
      </c>
      <c r="AM50" s="53" t="str">
        <f t="shared" si="3"/>
        <v>04/04/2026</v>
      </c>
    </row>
    <row r="51" spans="1:39" ht="30" customHeight="1" x14ac:dyDescent="0.2">
      <c r="A51" s="231" t="s">
        <v>197</v>
      </c>
      <c r="B51" s="250">
        <v>2612942604</v>
      </c>
      <c r="C51" s="231" t="s">
        <v>139</v>
      </c>
      <c r="D51" s="231" t="s">
        <v>67</v>
      </c>
      <c r="E51" s="231" t="s">
        <v>198</v>
      </c>
      <c r="F51" s="231" t="s">
        <v>1501</v>
      </c>
      <c r="G51" s="231">
        <v>222</v>
      </c>
      <c r="H51" s="231" t="s">
        <v>2641</v>
      </c>
      <c r="I51" s="231" t="s">
        <v>480</v>
      </c>
      <c r="J51" s="231" t="s">
        <v>4603</v>
      </c>
      <c r="K51" s="231" t="s">
        <v>213</v>
      </c>
      <c r="L51" s="232" t="s">
        <v>449</v>
      </c>
      <c r="M51" s="232">
        <v>46116.347916666666</v>
      </c>
      <c r="N51" s="231" t="s">
        <v>4620</v>
      </c>
      <c r="O51" s="144" t="s">
        <v>210</v>
      </c>
      <c r="P51" s="169" t="s">
        <v>413</v>
      </c>
      <c r="Q51" s="144" t="s">
        <v>210</v>
      </c>
      <c r="R51" s="56" t="s">
        <v>413</v>
      </c>
      <c r="S51" s="144" t="s">
        <v>210</v>
      </c>
      <c r="T51" s="56" t="s">
        <v>413</v>
      </c>
      <c r="U51" s="144" t="s">
        <v>210</v>
      </c>
      <c r="V51" s="56" t="s">
        <v>413</v>
      </c>
      <c r="W51" s="144" t="s">
        <v>210</v>
      </c>
      <c r="X51" s="56" t="s">
        <v>413</v>
      </c>
      <c r="Y51" s="144" t="s">
        <v>210</v>
      </c>
      <c r="Z51" s="56" t="s">
        <v>413</v>
      </c>
      <c r="AA51" s="144" t="s">
        <v>210</v>
      </c>
      <c r="AB51" s="156" t="s">
        <v>413</v>
      </c>
      <c r="AC51" s="144" t="s">
        <v>210</v>
      </c>
      <c r="AD51" s="156" t="s">
        <v>413</v>
      </c>
      <c r="AE51" s="144" t="s">
        <v>210</v>
      </c>
      <c r="AF51" s="215" t="str">
        <f t="shared" si="1"/>
        <v>NC</v>
      </c>
      <c r="AG51" s="96" t="str">
        <f t="shared" si="0"/>
        <v>NÃO UTILIZOU O PDA</v>
      </c>
      <c r="AH51" s="169" t="s">
        <v>59</v>
      </c>
      <c r="AI51" s="151" t="str">
        <f t="shared" si="2"/>
        <v>GUARULHOS</v>
      </c>
      <c r="AJ51" s="151" t="s">
        <v>6</v>
      </c>
      <c r="AK51" s="53">
        <v>-0.01</v>
      </c>
      <c r="AL51" s="53" t="str" cm="1">
        <f t="array" ref="AL51">IF(OR(O51&lt;&gt;"", SUMPRODUCT(($AM$2:$AM$210=AM51)*($AK$2:$AK$210&lt;=AK51)) &lt;= (COUNTIF($AM$2:$AM$210,AM51)*0.1)), "SORTEADO", "-")</f>
        <v>SORTEADO</v>
      </c>
      <c r="AM51" s="53" t="str">
        <f t="shared" si="3"/>
        <v>04/04/2026</v>
      </c>
    </row>
    <row r="52" spans="1:39" ht="30" customHeight="1" x14ac:dyDescent="0.2">
      <c r="A52" s="231" t="s">
        <v>197</v>
      </c>
      <c r="B52" s="250">
        <v>2614159770</v>
      </c>
      <c r="C52" s="231" t="s">
        <v>138</v>
      </c>
      <c r="D52" s="231" t="s">
        <v>67</v>
      </c>
      <c r="E52" s="231" t="s">
        <v>198</v>
      </c>
      <c r="F52" s="231" t="s">
        <v>399</v>
      </c>
      <c r="G52" s="231">
        <v>415</v>
      </c>
      <c r="H52" s="231"/>
      <c r="I52" s="231" t="s">
        <v>394</v>
      </c>
      <c r="J52" s="231" t="s">
        <v>4605</v>
      </c>
      <c r="K52" s="231"/>
      <c r="L52" s="232" t="s">
        <v>449</v>
      </c>
      <c r="M52" s="232">
        <v>46116.428472222222</v>
      </c>
      <c r="N52" s="231" t="s">
        <v>4620</v>
      </c>
      <c r="O52" s="144" t="s">
        <v>210</v>
      </c>
      <c r="P52" s="169" t="s">
        <v>413</v>
      </c>
      <c r="Q52" s="144" t="s">
        <v>210</v>
      </c>
      <c r="R52" s="56" t="s">
        <v>413</v>
      </c>
      <c r="S52" s="144" t="s">
        <v>210</v>
      </c>
      <c r="T52" s="56" t="s">
        <v>413</v>
      </c>
      <c r="U52" s="144" t="s">
        <v>210</v>
      </c>
      <c r="V52" s="56" t="s">
        <v>413</v>
      </c>
      <c r="W52" s="144" t="s">
        <v>210</v>
      </c>
      <c r="X52" s="56" t="s">
        <v>413</v>
      </c>
      <c r="Y52" s="144" t="s">
        <v>210</v>
      </c>
      <c r="Z52" s="56" t="s">
        <v>413</v>
      </c>
      <c r="AA52" s="144" t="s">
        <v>210</v>
      </c>
      <c r="AB52" s="156" t="s">
        <v>413</v>
      </c>
      <c r="AC52" s="144" t="s">
        <v>210</v>
      </c>
      <c r="AD52" s="156" t="s">
        <v>413</v>
      </c>
      <c r="AE52" s="144" t="s">
        <v>210</v>
      </c>
      <c r="AF52" s="215" t="str">
        <f t="shared" si="1"/>
        <v>NC</v>
      </c>
      <c r="AG52" s="96" t="str">
        <f t="shared" si="0"/>
        <v>NÃO UTILIZOU O PDA</v>
      </c>
      <c r="AH52" s="169" t="s">
        <v>39</v>
      </c>
      <c r="AI52" s="151" t="str">
        <f t="shared" si="2"/>
        <v>GUARULHOS</v>
      </c>
      <c r="AJ52" s="151" t="s">
        <v>6</v>
      </c>
      <c r="AK52" s="53">
        <v>-1.0200000000000001E-2</v>
      </c>
      <c r="AL52" s="53" t="str" cm="1">
        <f t="array" ref="AL52">IF(OR(O52&lt;&gt;"", SUMPRODUCT(($AM$2:$AM$210=AM52)*($AK$2:$AK$210&lt;=AK52)) &lt;= (COUNTIF($AM$2:$AM$210,AM52)*0.1)), "SORTEADO", "-")</f>
        <v>SORTEADO</v>
      </c>
      <c r="AM52" s="53" t="str">
        <f t="shared" si="3"/>
        <v>04/04/2026</v>
      </c>
    </row>
    <row r="53" spans="1:39" ht="30" customHeight="1" x14ac:dyDescent="0.2">
      <c r="A53" s="231" t="s">
        <v>197</v>
      </c>
      <c r="B53" s="250">
        <v>2614128186</v>
      </c>
      <c r="C53" s="231" t="s">
        <v>140</v>
      </c>
      <c r="D53" s="231" t="s">
        <v>67</v>
      </c>
      <c r="E53" s="231" t="s">
        <v>198</v>
      </c>
      <c r="F53" s="231" t="s">
        <v>377</v>
      </c>
      <c r="G53" s="231">
        <v>286</v>
      </c>
      <c r="H53" s="231" t="s">
        <v>378</v>
      </c>
      <c r="I53" s="231" t="s">
        <v>379</v>
      </c>
      <c r="J53" s="231" t="s">
        <v>4605</v>
      </c>
      <c r="K53" s="231" t="s">
        <v>213</v>
      </c>
      <c r="L53" s="232" t="s">
        <v>449</v>
      </c>
      <c r="M53" s="232">
        <v>46116.368750000001</v>
      </c>
      <c r="N53" s="231" t="s">
        <v>4620</v>
      </c>
      <c r="O53" s="144" t="s">
        <v>210</v>
      </c>
      <c r="P53" s="169" t="s">
        <v>413</v>
      </c>
      <c r="Q53" s="144" t="s">
        <v>210</v>
      </c>
      <c r="R53" s="56" t="s">
        <v>413</v>
      </c>
      <c r="S53" s="144" t="s">
        <v>210</v>
      </c>
      <c r="T53" s="56" t="s">
        <v>413</v>
      </c>
      <c r="U53" s="144" t="s">
        <v>210</v>
      </c>
      <c r="V53" s="56" t="s">
        <v>413</v>
      </c>
      <c r="W53" s="144" t="s">
        <v>210</v>
      </c>
      <c r="X53" s="56" t="s">
        <v>413</v>
      </c>
      <c r="Y53" s="144" t="s">
        <v>210</v>
      </c>
      <c r="Z53" s="56" t="s">
        <v>413</v>
      </c>
      <c r="AA53" s="144" t="s">
        <v>210</v>
      </c>
      <c r="AB53" s="156" t="s">
        <v>413</v>
      </c>
      <c r="AC53" s="144" t="s">
        <v>210</v>
      </c>
      <c r="AD53" s="156" t="s">
        <v>413</v>
      </c>
      <c r="AE53" s="144" t="s">
        <v>210</v>
      </c>
      <c r="AF53" s="215" t="str">
        <f t="shared" si="1"/>
        <v>NC</v>
      </c>
      <c r="AG53" s="96" t="str">
        <f t="shared" si="0"/>
        <v>NÃO UTILIZOU O PDA</v>
      </c>
      <c r="AH53" s="63" t="s">
        <v>39</v>
      </c>
      <c r="AI53" s="151" t="str">
        <f t="shared" si="2"/>
        <v>GUARULHOS</v>
      </c>
      <c r="AJ53" s="151" t="s">
        <v>6</v>
      </c>
      <c r="AK53" s="53">
        <v>-1.04E-2</v>
      </c>
      <c r="AL53" s="53" t="str" cm="1">
        <f t="array" ref="AL53">IF(OR(O53&lt;&gt;"", SUMPRODUCT(($AM$2:$AM$210=AM53)*($AK$2:$AK$210&lt;=AK53)) &lt;= (COUNTIF($AM$2:$AM$210,AM53)*0.1)), "SORTEADO", "-")</f>
        <v>SORTEADO</v>
      </c>
      <c r="AM53" s="53" t="str">
        <f t="shared" si="3"/>
        <v>04/04/2026</v>
      </c>
    </row>
    <row r="54" spans="1:39" ht="30" customHeight="1" x14ac:dyDescent="0.2">
      <c r="A54" s="231" t="s">
        <v>197</v>
      </c>
      <c r="B54" s="250">
        <v>2689511296</v>
      </c>
      <c r="C54" s="231" t="s">
        <v>140</v>
      </c>
      <c r="D54" s="231" t="s">
        <v>67</v>
      </c>
      <c r="E54" s="231" t="s">
        <v>198</v>
      </c>
      <c r="F54" s="231" t="s">
        <v>389</v>
      </c>
      <c r="G54" s="231">
        <v>233</v>
      </c>
      <c r="H54" s="231" t="s">
        <v>390</v>
      </c>
      <c r="I54" s="231" t="s">
        <v>391</v>
      </c>
      <c r="J54" s="231" t="s">
        <v>4605</v>
      </c>
      <c r="K54" s="231"/>
      <c r="L54" s="232" t="s">
        <v>449</v>
      </c>
      <c r="M54" s="232">
        <v>46116.40902777778</v>
      </c>
      <c r="N54" s="231" t="s">
        <v>4620</v>
      </c>
      <c r="O54" s="144" t="s">
        <v>210</v>
      </c>
      <c r="P54" s="169" t="s">
        <v>413</v>
      </c>
      <c r="Q54" s="144" t="s">
        <v>210</v>
      </c>
      <c r="R54" s="56" t="s">
        <v>413</v>
      </c>
      <c r="S54" s="144" t="s">
        <v>210</v>
      </c>
      <c r="T54" s="56" t="s">
        <v>413</v>
      </c>
      <c r="U54" s="144" t="s">
        <v>210</v>
      </c>
      <c r="V54" s="56" t="s">
        <v>413</v>
      </c>
      <c r="W54" s="144" t="s">
        <v>210</v>
      </c>
      <c r="X54" s="56" t="s">
        <v>413</v>
      </c>
      <c r="Y54" s="144" t="s">
        <v>210</v>
      </c>
      <c r="Z54" s="56" t="s">
        <v>413</v>
      </c>
      <c r="AA54" s="144" t="s">
        <v>210</v>
      </c>
      <c r="AB54" s="56" t="s">
        <v>413</v>
      </c>
      <c r="AC54" s="144" t="s">
        <v>210</v>
      </c>
      <c r="AD54" s="56" t="s">
        <v>413</v>
      </c>
      <c r="AE54" s="144" t="s">
        <v>210</v>
      </c>
      <c r="AF54" s="215" t="str">
        <f t="shared" si="1"/>
        <v>NC</v>
      </c>
      <c r="AG54" s="96" t="str">
        <f t="shared" si="0"/>
        <v>NÃO UTILIZOU O PDA</v>
      </c>
      <c r="AH54" s="63" t="s">
        <v>39</v>
      </c>
      <c r="AI54" s="151" t="str">
        <f t="shared" si="2"/>
        <v>GUARULHOS</v>
      </c>
      <c r="AJ54" s="151" t="s">
        <v>6</v>
      </c>
      <c r="AK54" s="53">
        <v>-1.06E-2</v>
      </c>
      <c r="AL54" s="53" t="str" cm="1">
        <f t="array" ref="AL54">IF(OR(O54&lt;&gt;"", SUMPRODUCT(($AM$2:$AM$210=AM54)*($AK$2:$AK$210&lt;=AK54)) &lt;= (COUNTIF($AM$2:$AM$210,AM54)*0.1)), "SORTEADO", "-")</f>
        <v>SORTEADO</v>
      </c>
      <c r="AM54" s="53" t="str">
        <f t="shared" si="3"/>
        <v>04/04/2026</v>
      </c>
    </row>
    <row r="55" spans="1:39" ht="30" hidden="1" customHeight="1" x14ac:dyDescent="0.2">
      <c r="A55" s="231" t="s">
        <v>197</v>
      </c>
      <c r="B55" s="250">
        <v>2614312644</v>
      </c>
      <c r="C55" s="231" t="s">
        <v>139</v>
      </c>
      <c r="D55" s="231" t="s">
        <v>67</v>
      </c>
      <c r="E55" s="231" t="s">
        <v>198</v>
      </c>
      <c r="F55" s="231" t="s">
        <v>517</v>
      </c>
      <c r="G55" s="231">
        <v>216</v>
      </c>
      <c r="H55" s="231"/>
      <c r="I55" s="231" t="s">
        <v>480</v>
      </c>
      <c r="J55" s="231" t="s">
        <v>4603</v>
      </c>
      <c r="K55" s="231"/>
      <c r="L55" s="232" t="s">
        <v>525</v>
      </c>
      <c r="M55" s="232">
        <v>46177.342361111114</v>
      </c>
      <c r="N55" s="231" t="s">
        <v>4613</v>
      </c>
      <c r="O55" s="144" t="s">
        <v>204</v>
      </c>
      <c r="P55" s="169"/>
      <c r="Q55" s="144" t="s">
        <v>204</v>
      </c>
      <c r="R55" s="56"/>
      <c r="S55" s="144" t="s">
        <v>204</v>
      </c>
      <c r="T55" s="56"/>
      <c r="U55" s="144" t="s">
        <v>204</v>
      </c>
      <c r="V55" s="56"/>
      <c r="W55" s="144" t="s">
        <v>204</v>
      </c>
      <c r="X55" s="56"/>
      <c r="Y55" s="144" t="s">
        <v>204</v>
      </c>
      <c r="Z55" s="56"/>
      <c r="AA55" s="144" t="s">
        <v>204</v>
      </c>
      <c r="AB55" s="156"/>
      <c r="AC55" s="144" t="s">
        <v>204</v>
      </c>
      <c r="AD55" s="156"/>
      <c r="AE55" s="144" t="s">
        <v>204</v>
      </c>
      <c r="AF55" s="215" t="str">
        <f t="shared" si="1"/>
        <v>C</v>
      </c>
      <c r="AG55" s="96" t="str">
        <f t="shared" si="0"/>
        <v>UTILIZOU O PDA CORRETAMENTE</v>
      </c>
      <c r="AH55" s="169" t="s">
        <v>39</v>
      </c>
      <c r="AI55" s="151" t="str">
        <f t="shared" si="2"/>
        <v>GUARULHOS</v>
      </c>
      <c r="AJ55" s="151" t="s">
        <v>6</v>
      </c>
      <c r="AK55" s="53">
        <v>-1.0800000000000001E-2</v>
      </c>
      <c r="AL55" s="53" t="str" cm="1">
        <f t="array" ref="AL55">IF(OR(O55&lt;&gt;"", SUMPRODUCT(($AM$2:$AM$210=AM55)*($AK$2:$AK$210&lt;=AK55)) &lt;= (COUNTIF($AM$2:$AM$210,AM55)*0.1)), "SORTEADO", "-")</f>
        <v>SORTEADO</v>
      </c>
      <c r="AM55" s="53" t="str">
        <f t="shared" si="3"/>
        <v>04/06/2026</v>
      </c>
    </row>
    <row r="56" spans="1:39" ht="30" hidden="1" customHeight="1" x14ac:dyDescent="0.2">
      <c r="A56" s="231" t="s">
        <v>197</v>
      </c>
      <c r="B56" s="250">
        <v>2614318419</v>
      </c>
      <c r="C56" s="231" t="s">
        <v>140</v>
      </c>
      <c r="D56" s="231" t="s">
        <v>67</v>
      </c>
      <c r="E56" s="231" t="s">
        <v>198</v>
      </c>
      <c r="F56" s="231" t="s">
        <v>2687</v>
      </c>
      <c r="G56" s="231">
        <v>1296</v>
      </c>
      <c r="H56" s="231" t="s">
        <v>213</v>
      </c>
      <c r="I56" s="231" t="s">
        <v>247</v>
      </c>
      <c r="J56" s="231" t="s">
        <v>4605</v>
      </c>
      <c r="K56" s="231" t="s">
        <v>213</v>
      </c>
      <c r="L56" s="232" t="s">
        <v>525</v>
      </c>
      <c r="M56" s="232">
        <v>46177.40902777778</v>
      </c>
      <c r="N56" s="231" t="s">
        <v>4613</v>
      </c>
      <c r="O56" s="144" t="s">
        <v>204</v>
      </c>
      <c r="P56" s="169"/>
      <c r="Q56" s="144" t="s">
        <v>204</v>
      </c>
      <c r="R56" s="56"/>
      <c r="S56" s="144" t="s">
        <v>204</v>
      </c>
      <c r="T56" s="56"/>
      <c r="U56" s="144" t="s">
        <v>204</v>
      </c>
      <c r="V56" s="56"/>
      <c r="W56" s="144" t="s">
        <v>204</v>
      </c>
      <c r="X56" s="56"/>
      <c r="Y56" s="144" t="s">
        <v>328</v>
      </c>
      <c r="Z56" s="56"/>
      <c r="AA56" s="144" t="s">
        <v>204</v>
      </c>
      <c r="AB56" s="56"/>
      <c r="AC56" s="144" t="s">
        <v>204</v>
      </c>
      <c r="AD56" s="56"/>
      <c r="AE56" s="144" t="s">
        <v>204</v>
      </c>
      <c r="AF56" s="215" t="str">
        <f t="shared" si="1"/>
        <v>NC</v>
      </c>
      <c r="AG56" s="96" t="str">
        <f t="shared" si="0"/>
        <v>UTILIZOU O PDA CORRETAMENTE. NÃO HÁ FOTOS DE TODAS AS ETAPAS</v>
      </c>
      <c r="AH56" s="169" t="s">
        <v>59</v>
      </c>
      <c r="AI56" s="151" t="str">
        <f t="shared" si="2"/>
        <v>GUARULHOS</v>
      </c>
      <c r="AJ56" s="151" t="s">
        <v>6</v>
      </c>
      <c r="AK56" s="53">
        <v>-1.0999999999999999E-2</v>
      </c>
      <c r="AL56" s="53" t="str" cm="1">
        <f t="array" ref="AL56">IF(OR(O56&lt;&gt;"", SUMPRODUCT(($AM$2:$AM$210=AM56)*($AK$2:$AK$210&lt;=AK56)) &lt;= (COUNTIF($AM$2:$AM$210,AM56)*0.1)), "SORTEADO", "-")</f>
        <v>SORTEADO</v>
      </c>
      <c r="AM56" s="53" t="str">
        <f t="shared" si="3"/>
        <v>04/06/2026</v>
      </c>
    </row>
    <row r="57" spans="1:39" ht="30" customHeight="1" x14ac:dyDescent="0.2">
      <c r="A57" s="231" t="s">
        <v>197</v>
      </c>
      <c r="B57" s="250">
        <v>2613629129</v>
      </c>
      <c r="C57" s="231" t="s">
        <v>141</v>
      </c>
      <c r="D57" s="231" t="s">
        <v>67</v>
      </c>
      <c r="E57" s="231" t="s">
        <v>198</v>
      </c>
      <c r="F57" s="231" t="s">
        <v>450</v>
      </c>
      <c r="G57" s="231">
        <v>125</v>
      </c>
      <c r="H57" s="231"/>
      <c r="I57" s="231" t="s">
        <v>315</v>
      </c>
      <c r="J57" s="231" t="s">
        <v>4603</v>
      </c>
      <c r="K57" s="231"/>
      <c r="L57" s="232" t="s">
        <v>525</v>
      </c>
      <c r="M57" s="232">
        <v>46177.463194444441</v>
      </c>
      <c r="N57" s="231" t="s">
        <v>4613</v>
      </c>
      <c r="O57" s="144" t="s">
        <v>210</v>
      </c>
      <c r="P57" s="169" t="s">
        <v>413</v>
      </c>
      <c r="Q57" s="144" t="s">
        <v>210</v>
      </c>
      <c r="R57" s="56" t="s">
        <v>413</v>
      </c>
      <c r="S57" s="144" t="s">
        <v>210</v>
      </c>
      <c r="T57" s="56" t="s">
        <v>413</v>
      </c>
      <c r="U57" s="144" t="s">
        <v>210</v>
      </c>
      <c r="V57" s="56" t="s">
        <v>413</v>
      </c>
      <c r="W57" s="144" t="s">
        <v>210</v>
      </c>
      <c r="X57" s="56" t="s">
        <v>413</v>
      </c>
      <c r="Y57" s="144" t="s">
        <v>210</v>
      </c>
      <c r="Z57" s="56" t="s">
        <v>413</v>
      </c>
      <c r="AA57" s="144" t="s">
        <v>210</v>
      </c>
      <c r="AB57" s="56" t="s">
        <v>413</v>
      </c>
      <c r="AC57" s="144" t="s">
        <v>210</v>
      </c>
      <c r="AD57" s="56" t="s">
        <v>413</v>
      </c>
      <c r="AE57" s="144" t="s">
        <v>210</v>
      </c>
      <c r="AF57" s="215" t="str">
        <f t="shared" si="1"/>
        <v>NC</v>
      </c>
      <c r="AG57" s="96" t="str">
        <f t="shared" si="0"/>
        <v>NÃO UTILIZOU O PDA</v>
      </c>
      <c r="AH57" s="169" t="s">
        <v>59</v>
      </c>
      <c r="AI57" s="151" t="str">
        <f t="shared" si="2"/>
        <v>GUARULHOS</v>
      </c>
      <c r="AJ57" s="151" t="s">
        <v>6</v>
      </c>
      <c r="AK57" s="53">
        <v>-1.12E-2</v>
      </c>
      <c r="AL57" s="53" t="str" cm="1">
        <f t="array" ref="AL57">IF(OR(O57&lt;&gt;"", SUMPRODUCT(($AM$2:$AM$210=AM57)*($AK$2:$AK$210&lt;=AK57)) &lt;= (COUNTIF($AM$2:$AM$210,AM57)*0.1)), "SORTEADO", "-")</f>
        <v>SORTEADO</v>
      </c>
      <c r="AM57" s="53" t="str">
        <f t="shared" si="3"/>
        <v>04/06/2026</v>
      </c>
    </row>
    <row r="58" spans="1:39" ht="30" hidden="1" customHeight="1" x14ac:dyDescent="0.2">
      <c r="A58" s="231" t="s">
        <v>197</v>
      </c>
      <c r="B58" s="250">
        <v>2614223573</v>
      </c>
      <c r="C58" s="231" t="s">
        <v>138</v>
      </c>
      <c r="D58" s="231" t="s">
        <v>67</v>
      </c>
      <c r="E58" s="231" t="s">
        <v>198</v>
      </c>
      <c r="F58" s="231" t="s">
        <v>427</v>
      </c>
      <c r="G58" s="231">
        <v>466</v>
      </c>
      <c r="H58" s="231" t="s">
        <v>428</v>
      </c>
      <c r="I58" s="231" t="s">
        <v>253</v>
      </c>
      <c r="J58" s="231" t="s">
        <v>4605</v>
      </c>
      <c r="K58" s="231" t="s">
        <v>213</v>
      </c>
      <c r="L58" s="232" t="s">
        <v>525</v>
      </c>
      <c r="M58" s="232">
        <v>46177.449305555558</v>
      </c>
      <c r="N58" s="231" t="s">
        <v>4613</v>
      </c>
      <c r="O58" s="144" t="s">
        <v>204</v>
      </c>
      <c r="P58" s="169"/>
      <c r="Q58" s="144" t="s">
        <v>204</v>
      </c>
      <c r="R58" s="56"/>
      <c r="S58" s="144" t="s">
        <v>204</v>
      </c>
      <c r="T58" s="56"/>
      <c r="U58" s="144" t="s">
        <v>204</v>
      </c>
      <c r="V58" s="56"/>
      <c r="W58" s="144" t="s">
        <v>204</v>
      </c>
      <c r="X58" s="56"/>
      <c r="Y58" s="144" t="s">
        <v>204</v>
      </c>
      <c r="Z58" s="56"/>
      <c r="AA58" s="144" t="s">
        <v>204</v>
      </c>
      <c r="AB58" s="56"/>
      <c r="AC58" s="144" t="s">
        <v>204</v>
      </c>
      <c r="AD58" s="56"/>
      <c r="AE58" s="144" t="s">
        <v>204</v>
      </c>
      <c r="AF58" s="215" t="str">
        <f t="shared" si="1"/>
        <v>C</v>
      </c>
      <c r="AG58" s="96" t="str">
        <f t="shared" si="0"/>
        <v>UTILIZOU O PDA CORRETAMENTE</v>
      </c>
      <c r="AH58" s="169" t="s">
        <v>39</v>
      </c>
      <c r="AI58" s="151" t="str">
        <f t="shared" si="2"/>
        <v>GUARULHOS</v>
      </c>
      <c r="AJ58" s="151" t="s">
        <v>6</v>
      </c>
      <c r="AK58" s="53">
        <v>-1.14E-2</v>
      </c>
      <c r="AL58" s="53" t="str" cm="1">
        <f t="array" ref="AL58">IF(OR(O58&lt;&gt;"", SUMPRODUCT(($AM$2:$AM$210=AM58)*($AK$2:$AK$210&lt;=AK58)) &lt;= (COUNTIF($AM$2:$AM$210,AM58)*0.1)), "SORTEADO", "-")</f>
        <v>SORTEADO</v>
      </c>
      <c r="AM58" s="53" t="str">
        <f t="shared" si="3"/>
        <v>04/06/2026</v>
      </c>
    </row>
    <row r="59" spans="1:39" ht="30" hidden="1" customHeight="1" x14ac:dyDescent="0.2">
      <c r="A59" s="231" t="s">
        <v>197</v>
      </c>
      <c r="B59" s="250">
        <v>2614309884</v>
      </c>
      <c r="C59" s="231" t="s">
        <v>141</v>
      </c>
      <c r="D59" s="231" t="s">
        <v>67</v>
      </c>
      <c r="E59" s="231" t="s">
        <v>198</v>
      </c>
      <c r="F59" s="231" t="s">
        <v>2659</v>
      </c>
      <c r="G59" s="231">
        <v>327</v>
      </c>
      <c r="H59" s="231" t="s">
        <v>2660</v>
      </c>
      <c r="I59" s="231" t="s">
        <v>285</v>
      </c>
      <c r="J59" s="231" t="s">
        <v>4603</v>
      </c>
      <c r="K59" s="231"/>
      <c r="L59" s="232" t="s">
        <v>525</v>
      </c>
      <c r="M59" s="232">
        <v>46177.390972222223</v>
      </c>
      <c r="N59" s="231" t="s">
        <v>4613</v>
      </c>
      <c r="O59" s="144" t="s">
        <v>204</v>
      </c>
      <c r="P59" s="169"/>
      <c r="Q59" s="144" t="s">
        <v>204</v>
      </c>
      <c r="R59" s="56"/>
      <c r="S59" s="144" t="s">
        <v>204</v>
      </c>
      <c r="T59" s="56"/>
      <c r="U59" s="144" t="s">
        <v>204</v>
      </c>
      <c r="V59" s="56"/>
      <c r="W59" s="144" t="s">
        <v>204</v>
      </c>
      <c r="X59" s="56"/>
      <c r="Y59" s="144" t="s">
        <v>328</v>
      </c>
      <c r="Z59" s="56"/>
      <c r="AA59" s="144" t="s">
        <v>204</v>
      </c>
      <c r="AB59" s="56"/>
      <c r="AC59" s="144" t="s">
        <v>204</v>
      </c>
      <c r="AD59" s="56"/>
      <c r="AE59" s="144" t="s">
        <v>204</v>
      </c>
      <c r="AF59" s="215" t="str">
        <f t="shared" si="1"/>
        <v>NC</v>
      </c>
      <c r="AG59" s="96" t="str">
        <f t="shared" si="0"/>
        <v>UTILIZOU O PDA CORRETAMENTE. NÃO HÁ FOTOS DE TODAS AS ETAPAS</v>
      </c>
      <c r="AH59" s="169"/>
      <c r="AI59" s="151" t="str">
        <f t="shared" si="2"/>
        <v>GUARULHOS</v>
      </c>
      <c r="AJ59" s="151" t="s">
        <v>6</v>
      </c>
      <c r="AK59" s="53">
        <v>-1.1599999999999999E-2</v>
      </c>
      <c r="AL59" s="53" t="str" cm="1">
        <f t="array" ref="AL59">IF(OR(O59&lt;&gt;"", SUMPRODUCT(($AM$2:$AM$210=AM59)*($AK$2:$AK$210&lt;=AK59)) &lt;= (COUNTIF($AM$2:$AM$210,AM59)*0.1)), "SORTEADO", "-")</f>
        <v>SORTEADO</v>
      </c>
      <c r="AM59" s="53" t="str">
        <f t="shared" si="3"/>
        <v>04/06/2026</v>
      </c>
    </row>
    <row r="60" spans="1:39" ht="30" hidden="1" customHeight="1" x14ac:dyDescent="0.2">
      <c r="A60" s="231" t="s">
        <v>197</v>
      </c>
      <c r="B60" s="250">
        <v>2613894467</v>
      </c>
      <c r="C60" s="231" t="s">
        <v>138</v>
      </c>
      <c r="D60" s="231" t="s">
        <v>67</v>
      </c>
      <c r="E60" s="231" t="s">
        <v>198</v>
      </c>
      <c r="F60" s="231" t="s">
        <v>414</v>
      </c>
      <c r="G60" s="231">
        <v>82</v>
      </c>
      <c r="H60" s="231" t="s">
        <v>415</v>
      </c>
      <c r="I60" s="231" t="s">
        <v>416</v>
      </c>
      <c r="J60" s="231" t="s">
        <v>4605</v>
      </c>
      <c r="K60" s="231" t="s">
        <v>213</v>
      </c>
      <c r="L60" s="232" t="s">
        <v>525</v>
      </c>
      <c r="M60" s="232">
        <v>46177.429861111108</v>
      </c>
      <c r="N60" s="231" t="s">
        <v>4613</v>
      </c>
      <c r="O60" s="144" t="s">
        <v>204</v>
      </c>
      <c r="P60" s="169"/>
      <c r="Q60" s="144" t="s">
        <v>204</v>
      </c>
      <c r="R60" s="56"/>
      <c r="S60" s="144" t="s">
        <v>204</v>
      </c>
      <c r="T60" s="56"/>
      <c r="U60" s="144" t="s">
        <v>204</v>
      </c>
      <c r="V60" s="56"/>
      <c r="W60" s="144" t="s">
        <v>204</v>
      </c>
      <c r="X60" s="56"/>
      <c r="Y60" s="144" t="s">
        <v>204</v>
      </c>
      <c r="Z60" s="56"/>
      <c r="AA60" s="144" t="s">
        <v>204</v>
      </c>
      <c r="AB60" s="56"/>
      <c r="AC60" s="144" t="s">
        <v>204</v>
      </c>
      <c r="AD60" s="56"/>
      <c r="AE60" s="144" t="s">
        <v>204</v>
      </c>
      <c r="AF60" s="215" t="str">
        <f t="shared" si="1"/>
        <v>C</v>
      </c>
      <c r="AG60" s="96" t="str">
        <f t="shared" si="0"/>
        <v>UTILIZOU O PDA CORRETAMENTE</v>
      </c>
      <c r="AH60" s="63" t="s">
        <v>39</v>
      </c>
      <c r="AI60" s="151" t="str">
        <f t="shared" si="2"/>
        <v>GUARULHOS</v>
      </c>
      <c r="AJ60" s="151" t="s">
        <v>6</v>
      </c>
      <c r="AK60" s="53">
        <v>-1.18E-2</v>
      </c>
      <c r="AL60" s="53" t="str" cm="1">
        <f t="array" ref="AL60">IF(OR(O60&lt;&gt;"", SUMPRODUCT(($AM$2:$AM$210=AM60)*($AK$2:$AK$210&lt;=AK60)) &lt;= (COUNTIF($AM$2:$AM$210,AM60)*0.1)), "SORTEADO", "-")</f>
        <v>SORTEADO</v>
      </c>
      <c r="AM60" s="53" t="str">
        <f t="shared" si="3"/>
        <v>04/06/2026</v>
      </c>
    </row>
    <row r="61" spans="1:39" ht="30" hidden="1" customHeight="1" x14ac:dyDescent="0.2">
      <c r="A61" s="231" t="s">
        <v>197</v>
      </c>
      <c r="B61" s="250">
        <v>2614395552</v>
      </c>
      <c r="C61" s="231" t="s">
        <v>138</v>
      </c>
      <c r="D61" s="231" t="s">
        <v>67</v>
      </c>
      <c r="E61" s="231" t="s">
        <v>198</v>
      </c>
      <c r="F61" s="231" t="s">
        <v>517</v>
      </c>
      <c r="G61" s="231">
        <v>216</v>
      </c>
      <c r="H61" s="231"/>
      <c r="I61" s="231" t="s">
        <v>480</v>
      </c>
      <c r="J61" s="231" t="s">
        <v>4605</v>
      </c>
      <c r="K61" s="231" t="s">
        <v>4642</v>
      </c>
      <c r="L61" s="232" t="s">
        <v>525</v>
      </c>
      <c r="M61" s="232">
        <v>46177.34652777778</v>
      </c>
      <c r="N61" s="231" t="s">
        <v>4613</v>
      </c>
      <c r="O61" s="144" t="s">
        <v>204</v>
      </c>
      <c r="P61" s="169"/>
      <c r="Q61" s="144" t="s">
        <v>204</v>
      </c>
      <c r="R61" s="56"/>
      <c r="S61" s="144" t="s">
        <v>204</v>
      </c>
      <c r="T61" s="56"/>
      <c r="U61" s="144" t="s">
        <v>204</v>
      </c>
      <c r="V61" s="56"/>
      <c r="W61" s="144" t="s">
        <v>204</v>
      </c>
      <c r="X61" s="56"/>
      <c r="Y61" s="144" t="s">
        <v>204</v>
      </c>
      <c r="Z61" s="56"/>
      <c r="AA61" s="144" t="s">
        <v>204</v>
      </c>
      <c r="AB61" s="56"/>
      <c r="AC61" s="144" t="s">
        <v>204</v>
      </c>
      <c r="AD61" s="56"/>
      <c r="AE61" s="144" t="s">
        <v>204</v>
      </c>
      <c r="AF61" s="215" t="str">
        <f t="shared" si="1"/>
        <v>C</v>
      </c>
      <c r="AG61" s="96" t="str">
        <f t="shared" si="0"/>
        <v>UTILIZOU O PDA CORRETAMENTE</v>
      </c>
      <c r="AH61" s="63" t="s">
        <v>39</v>
      </c>
      <c r="AI61" s="151" t="str">
        <f t="shared" si="2"/>
        <v>GUARULHOS</v>
      </c>
      <c r="AJ61" s="151" t="s">
        <v>6</v>
      </c>
      <c r="AK61" s="53">
        <v>-1.2E-2</v>
      </c>
      <c r="AL61" s="53" t="str" cm="1">
        <f t="array" ref="AL61">IF(OR(O61&lt;&gt;"", SUMPRODUCT(($AM$2:$AM$210=AM61)*($AK$2:$AK$210&lt;=AK61)) &lt;= (COUNTIF($AM$2:$AM$210,AM61)*0.1)), "SORTEADO", "-")</f>
        <v>SORTEADO</v>
      </c>
      <c r="AM61" s="53" t="str">
        <f t="shared" si="3"/>
        <v>04/06/2026</v>
      </c>
    </row>
    <row r="62" spans="1:39" ht="30" hidden="1" customHeight="1" x14ac:dyDescent="0.2">
      <c r="A62" s="231" t="s">
        <v>197</v>
      </c>
      <c r="B62" s="250">
        <v>2614318929</v>
      </c>
      <c r="C62" s="231" t="s">
        <v>139</v>
      </c>
      <c r="D62" s="231" t="s">
        <v>67</v>
      </c>
      <c r="E62" s="231" t="s">
        <v>198</v>
      </c>
      <c r="F62" s="231" t="s">
        <v>2651</v>
      </c>
      <c r="G62" s="231">
        <v>35</v>
      </c>
      <c r="H62" s="231" t="s">
        <v>276</v>
      </c>
      <c r="I62" s="231" t="s">
        <v>335</v>
      </c>
      <c r="J62" s="231" t="s">
        <v>4603</v>
      </c>
      <c r="K62" s="231" t="s">
        <v>213</v>
      </c>
      <c r="L62" s="232" t="s">
        <v>525</v>
      </c>
      <c r="M62" s="232">
        <v>46177.486111111109</v>
      </c>
      <c r="N62" s="231" t="s">
        <v>4613</v>
      </c>
      <c r="O62" s="144" t="s">
        <v>204</v>
      </c>
      <c r="P62" s="169"/>
      <c r="Q62" s="144" t="s">
        <v>204</v>
      </c>
      <c r="R62" s="56"/>
      <c r="S62" s="144" t="s">
        <v>204</v>
      </c>
      <c r="T62" s="56"/>
      <c r="U62" s="144" t="s">
        <v>204</v>
      </c>
      <c r="V62" s="56"/>
      <c r="W62" s="144" t="s">
        <v>204</v>
      </c>
      <c r="X62" s="56"/>
      <c r="Y62" s="144" t="s">
        <v>204</v>
      </c>
      <c r="Z62" s="56"/>
      <c r="AA62" s="144" t="s">
        <v>204</v>
      </c>
      <c r="AB62" s="156"/>
      <c r="AC62" s="144" t="s">
        <v>204</v>
      </c>
      <c r="AD62" s="156"/>
      <c r="AE62" s="144" t="s">
        <v>204</v>
      </c>
      <c r="AF62" s="215" t="str">
        <f t="shared" si="1"/>
        <v>C</v>
      </c>
      <c r="AG62" s="96" t="str">
        <f t="shared" si="0"/>
        <v>UTILIZOU O PDA CORRETAMENTE</v>
      </c>
      <c r="AH62" s="169"/>
      <c r="AI62" s="151" t="str">
        <f t="shared" si="2"/>
        <v>GUARULHOS</v>
      </c>
      <c r="AJ62" s="151" t="s">
        <v>6</v>
      </c>
      <c r="AK62" s="53">
        <v>-1.2200000000000001E-2</v>
      </c>
      <c r="AL62" s="53" t="str" cm="1">
        <f t="array" ref="AL62">IF(OR(O62&lt;&gt;"", SUMPRODUCT(($AM$2:$AM$210=AM62)*($AK$2:$AK$210&lt;=AK62)) &lt;= (COUNTIF($AM$2:$AM$210,AM62)*0.1)), "SORTEADO", "-")</f>
        <v>SORTEADO</v>
      </c>
      <c r="AM62" s="53" t="str">
        <f t="shared" si="3"/>
        <v>04/06/2026</v>
      </c>
    </row>
    <row r="63" spans="1:39" ht="30" customHeight="1" x14ac:dyDescent="0.2">
      <c r="A63" s="231" t="s">
        <v>197</v>
      </c>
      <c r="B63" s="231">
        <v>2614194300</v>
      </c>
      <c r="C63" s="231" t="s">
        <v>139</v>
      </c>
      <c r="D63" s="231" t="s">
        <v>67</v>
      </c>
      <c r="E63" s="231" t="s">
        <v>198</v>
      </c>
      <c r="F63" s="231" t="s">
        <v>386</v>
      </c>
      <c r="G63" s="231">
        <v>100</v>
      </c>
      <c r="H63" s="231" t="s">
        <v>412</v>
      </c>
      <c r="I63" s="231" t="s">
        <v>262</v>
      </c>
      <c r="J63" s="231" t="s">
        <v>4603</v>
      </c>
      <c r="K63" s="231" t="s">
        <v>4640</v>
      </c>
      <c r="L63" s="232" t="s">
        <v>525</v>
      </c>
      <c r="M63" s="232">
        <v>46177.375</v>
      </c>
      <c r="N63" s="231" t="s">
        <v>4613</v>
      </c>
      <c r="O63" s="144" t="s">
        <v>328</v>
      </c>
      <c r="P63" s="169"/>
      <c r="Q63" s="144" t="s">
        <v>328</v>
      </c>
      <c r="R63" s="56"/>
      <c r="S63" s="144" t="s">
        <v>328</v>
      </c>
      <c r="T63" s="56"/>
      <c r="U63" s="144" t="s">
        <v>328</v>
      </c>
      <c r="V63" s="56"/>
      <c r="W63" s="144" t="s">
        <v>328</v>
      </c>
      <c r="X63" s="56"/>
      <c r="Y63" s="144" t="s">
        <v>328</v>
      </c>
      <c r="Z63" s="56"/>
      <c r="AA63" s="144" t="s">
        <v>328</v>
      </c>
      <c r="AB63" s="56"/>
      <c r="AC63" s="144" t="s">
        <v>328</v>
      </c>
      <c r="AD63" s="56"/>
      <c r="AE63" s="144" t="s">
        <v>210</v>
      </c>
      <c r="AF63" s="215" t="str">
        <f t="shared" si="1"/>
        <v>NC</v>
      </c>
      <c r="AG63" s="96" t="str">
        <f t="shared" si="0"/>
        <v>NÃO UTILIZOU O PDA</v>
      </c>
      <c r="AH63" s="169" t="s">
        <v>59</v>
      </c>
      <c r="AI63" s="151" t="str">
        <f t="shared" si="2"/>
        <v>GUARULHOS</v>
      </c>
      <c r="AJ63" s="151" t="s">
        <v>6</v>
      </c>
      <c r="AK63" s="53">
        <v>-1.24E-2</v>
      </c>
      <c r="AL63" s="53" t="str" cm="1">
        <f t="array" ref="AL63">IF(OR(O63&lt;&gt;"", SUMPRODUCT(($AM$2:$AM$210=AM63)*($AK$2:$AK$210&lt;=AK63)) &lt;= (COUNTIF($AM$2:$AM$210,AM63)*0.1)), "SORTEADO", "-")</f>
        <v>SORTEADO</v>
      </c>
      <c r="AM63" s="53" t="str">
        <f t="shared" si="3"/>
        <v>04/06/2026</v>
      </c>
    </row>
    <row r="64" spans="1:39" ht="30" customHeight="1" x14ac:dyDescent="0.2">
      <c r="A64" s="231" t="s">
        <v>197</v>
      </c>
      <c r="B64" s="250">
        <v>2613893400</v>
      </c>
      <c r="C64" s="231" t="s">
        <v>140</v>
      </c>
      <c r="D64" s="231" t="s">
        <v>67</v>
      </c>
      <c r="E64" s="231" t="s">
        <v>198</v>
      </c>
      <c r="F64" s="231" t="s">
        <v>2680</v>
      </c>
      <c r="G64" s="231">
        <v>57</v>
      </c>
      <c r="H64" s="231" t="s">
        <v>309</v>
      </c>
      <c r="I64" s="231" t="s">
        <v>746</v>
      </c>
      <c r="J64" s="231" t="s">
        <v>4605</v>
      </c>
      <c r="K64" s="231" t="s">
        <v>213</v>
      </c>
      <c r="L64" s="232" t="s">
        <v>525</v>
      </c>
      <c r="M64" s="232">
        <v>46177.427083333336</v>
      </c>
      <c r="N64" s="231" t="s">
        <v>4604</v>
      </c>
      <c r="O64" s="144" t="s">
        <v>210</v>
      </c>
      <c r="P64" s="169" t="s">
        <v>413</v>
      </c>
      <c r="Q64" s="144" t="s">
        <v>210</v>
      </c>
      <c r="R64" s="56" t="s">
        <v>413</v>
      </c>
      <c r="S64" s="144" t="s">
        <v>210</v>
      </c>
      <c r="T64" s="56" t="s">
        <v>413</v>
      </c>
      <c r="U64" s="144" t="s">
        <v>210</v>
      </c>
      <c r="V64" s="56" t="s">
        <v>413</v>
      </c>
      <c r="W64" s="144" t="s">
        <v>210</v>
      </c>
      <c r="X64" s="56" t="s">
        <v>413</v>
      </c>
      <c r="Y64" s="144" t="s">
        <v>210</v>
      </c>
      <c r="Z64" s="56" t="s">
        <v>413</v>
      </c>
      <c r="AA64" s="144" t="s">
        <v>210</v>
      </c>
      <c r="AB64" s="156" t="s">
        <v>413</v>
      </c>
      <c r="AC64" s="144" t="s">
        <v>210</v>
      </c>
      <c r="AD64" s="156" t="s">
        <v>413</v>
      </c>
      <c r="AE64" s="144" t="s">
        <v>210</v>
      </c>
      <c r="AF64" s="215" t="str">
        <f t="shared" si="1"/>
        <v>NC</v>
      </c>
      <c r="AG64" s="96" t="str">
        <f t="shared" si="0"/>
        <v>NÃO UTILIZOU O PDA</v>
      </c>
      <c r="AH64" s="169" t="s">
        <v>59</v>
      </c>
      <c r="AI64" s="151" t="str">
        <f t="shared" si="2"/>
        <v>GUARULHOS</v>
      </c>
      <c r="AJ64" s="151" t="s">
        <v>6</v>
      </c>
      <c r="AK64" s="53">
        <v>-1.26E-2</v>
      </c>
      <c r="AL64" s="53" t="str" cm="1">
        <f t="array" ref="AL64">IF(OR(O64&lt;&gt;"", SUMPRODUCT(($AM$2:$AM$210=AM64)*($AK$2:$AK$210&lt;=AK64)) &lt;= (COUNTIF($AM$2:$AM$210,AM64)*0.1)), "SORTEADO", "-")</f>
        <v>SORTEADO</v>
      </c>
      <c r="AM64" s="53" t="str">
        <f t="shared" si="3"/>
        <v>04/06/2026</v>
      </c>
    </row>
    <row r="65" spans="1:39" ht="30" customHeight="1" x14ac:dyDescent="0.2">
      <c r="A65" s="231" t="s">
        <v>197</v>
      </c>
      <c r="B65" s="250">
        <v>2614229309</v>
      </c>
      <c r="C65" s="231" t="s">
        <v>140</v>
      </c>
      <c r="D65" s="231" t="s">
        <v>67</v>
      </c>
      <c r="E65" s="231" t="s">
        <v>198</v>
      </c>
      <c r="F65" s="231" t="s">
        <v>702</v>
      </c>
      <c r="G65" s="231">
        <v>672</v>
      </c>
      <c r="H65" s="231" t="s">
        <v>2472</v>
      </c>
      <c r="I65" s="231" t="s">
        <v>436</v>
      </c>
      <c r="J65" s="231" t="s">
        <v>4605</v>
      </c>
      <c r="K65" s="231"/>
      <c r="L65" s="232" t="s">
        <v>525</v>
      </c>
      <c r="M65" s="232">
        <v>46177.384027777778</v>
      </c>
      <c r="N65" s="231" t="s">
        <v>4604</v>
      </c>
      <c r="O65" s="144" t="s">
        <v>210</v>
      </c>
      <c r="P65" s="169" t="s">
        <v>413</v>
      </c>
      <c r="Q65" s="144" t="s">
        <v>210</v>
      </c>
      <c r="R65" s="56" t="s">
        <v>413</v>
      </c>
      <c r="S65" s="144" t="s">
        <v>210</v>
      </c>
      <c r="T65" s="56" t="s">
        <v>413</v>
      </c>
      <c r="U65" s="144" t="s">
        <v>210</v>
      </c>
      <c r="V65" s="56" t="s">
        <v>413</v>
      </c>
      <c r="W65" s="144" t="s">
        <v>210</v>
      </c>
      <c r="X65" s="56" t="s">
        <v>413</v>
      </c>
      <c r="Y65" s="144" t="s">
        <v>210</v>
      </c>
      <c r="Z65" s="56" t="s">
        <v>413</v>
      </c>
      <c r="AA65" s="144" t="s">
        <v>210</v>
      </c>
      <c r="AB65" s="56" t="s">
        <v>413</v>
      </c>
      <c r="AC65" s="144" t="s">
        <v>210</v>
      </c>
      <c r="AD65" s="56" t="s">
        <v>413</v>
      </c>
      <c r="AE65" s="144" t="s">
        <v>210</v>
      </c>
      <c r="AF65" s="215" t="str">
        <f t="shared" si="1"/>
        <v>NC</v>
      </c>
      <c r="AG65" s="96" t="str">
        <f t="shared" si="0"/>
        <v>NÃO UTILIZOU O PDA</v>
      </c>
      <c r="AH65" s="169" t="s">
        <v>59</v>
      </c>
      <c r="AI65" s="151" t="str">
        <f t="shared" si="2"/>
        <v>GUARULHOS</v>
      </c>
      <c r="AJ65" s="151" t="s">
        <v>6</v>
      </c>
      <c r="AK65" s="53">
        <v>-1.2800000000000001E-2</v>
      </c>
      <c r="AL65" s="53" t="str" cm="1">
        <f t="array" ref="AL65">IF(OR(O65&lt;&gt;"", SUMPRODUCT(($AM$2:$AM$210=AM65)*($AK$2:$AK$210&lt;=AK65)) &lt;= (COUNTIF($AM$2:$AM$210,AM65)*0.1)), "SORTEADO", "-")</f>
        <v>SORTEADO</v>
      </c>
      <c r="AM65" s="53" t="str">
        <f t="shared" si="3"/>
        <v>04/06/2026</v>
      </c>
    </row>
    <row r="66" spans="1:39" ht="30" customHeight="1" x14ac:dyDescent="0.2">
      <c r="A66" s="231" t="s">
        <v>197</v>
      </c>
      <c r="B66" s="231">
        <v>2614223845</v>
      </c>
      <c r="C66" s="231" t="s">
        <v>140</v>
      </c>
      <c r="D66" s="231" t="s">
        <v>67</v>
      </c>
      <c r="E66" s="231" t="s">
        <v>198</v>
      </c>
      <c r="F66" s="231" t="s">
        <v>2668</v>
      </c>
      <c r="G66" s="231">
        <v>835</v>
      </c>
      <c r="H66" s="231" t="s">
        <v>2669</v>
      </c>
      <c r="I66" s="231" t="s">
        <v>466</v>
      </c>
      <c r="J66" s="231" t="s">
        <v>4605</v>
      </c>
      <c r="K66" s="231" t="s">
        <v>4643</v>
      </c>
      <c r="L66" s="232" t="s">
        <v>525</v>
      </c>
      <c r="M66" s="232">
        <v>46177.456944444442</v>
      </c>
      <c r="N66" s="231" t="s">
        <v>4604</v>
      </c>
      <c r="O66" s="144" t="s">
        <v>328</v>
      </c>
      <c r="P66" s="169"/>
      <c r="Q66" s="144" t="s">
        <v>328</v>
      </c>
      <c r="R66" s="56"/>
      <c r="S66" s="144" t="s">
        <v>328</v>
      </c>
      <c r="T66" s="56"/>
      <c r="U66" s="144" t="s">
        <v>328</v>
      </c>
      <c r="V66" s="56"/>
      <c r="W66" s="144" t="s">
        <v>328</v>
      </c>
      <c r="X66" s="56"/>
      <c r="Y66" s="144" t="s">
        <v>328</v>
      </c>
      <c r="Z66" s="56"/>
      <c r="AA66" s="144" t="s">
        <v>328</v>
      </c>
      <c r="AB66" s="56"/>
      <c r="AC66" s="144" t="s">
        <v>328</v>
      </c>
      <c r="AD66" s="56"/>
      <c r="AE66" s="144" t="s">
        <v>210</v>
      </c>
      <c r="AF66" s="215" t="str">
        <f t="shared" si="1"/>
        <v>NC</v>
      </c>
      <c r="AG66" s="96" t="str">
        <f t="shared" ref="AG66:AG129" si="4">IF(AND(AE66="C",AF66="C"),"UTILIZOU O PDA CORRETAMENTE",IF(AND(AE66="C",AF66="NC"),"UTILIZOU O PDA CORRETAMENTE. NÃO HÁ FOTOS DE TODAS AS ETAPAS",IF(AND(AE66="NC",AF66="NC"),"NÃO UTILIZOU O PDA",IF(AND(AE66="NA",AF66="NA"),"NÃO AVALIADO POR FALHA DE SINCRONISMO"))))</f>
        <v>NÃO UTILIZOU O PDA</v>
      </c>
      <c r="AH66" s="169" t="s">
        <v>59</v>
      </c>
      <c r="AI66" s="151" t="str">
        <f t="shared" si="2"/>
        <v>GUARULHOS</v>
      </c>
      <c r="AJ66" s="151" t="s">
        <v>6</v>
      </c>
      <c r="AK66" s="53">
        <v>-1.2999999999999999E-2</v>
      </c>
      <c r="AL66" s="53" t="str" cm="1">
        <f t="array" ref="AL66">IF(OR(O66&lt;&gt;"", SUMPRODUCT(($AM$2:$AM$210=AM66)*($AK$2:$AK$210&lt;=AK66)) &lt;= (COUNTIF($AM$2:$AM$210,AM66)*0.1)), "SORTEADO", "-")</f>
        <v>SORTEADO</v>
      </c>
      <c r="AM66" s="53" t="str">
        <f t="shared" si="3"/>
        <v>04/06/2026</v>
      </c>
    </row>
    <row r="67" spans="1:39" ht="30" hidden="1" customHeight="1" x14ac:dyDescent="0.2">
      <c r="A67" s="231" t="s">
        <v>197</v>
      </c>
      <c r="B67" s="250">
        <v>2613870525</v>
      </c>
      <c r="C67" s="231" t="s">
        <v>138</v>
      </c>
      <c r="D67" s="231" t="s">
        <v>67</v>
      </c>
      <c r="E67" s="231" t="s">
        <v>198</v>
      </c>
      <c r="F67" s="231" t="s">
        <v>464</v>
      </c>
      <c r="G67" s="231">
        <v>993</v>
      </c>
      <c r="H67" s="231" t="s">
        <v>465</v>
      </c>
      <c r="I67" s="231" t="s">
        <v>466</v>
      </c>
      <c r="J67" s="231" t="s">
        <v>4605</v>
      </c>
      <c r="K67" s="231"/>
      <c r="L67" s="232" t="s">
        <v>525</v>
      </c>
      <c r="M67" s="232">
        <v>46177.446527777778</v>
      </c>
      <c r="N67" s="231" t="s">
        <v>4604</v>
      </c>
      <c r="O67" s="144" t="s">
        <v>204</v>
      </c>
      <c r="P67" s="169"/>
      <c r="Q67" s="144" t="s">
        <v>204</v>
      </c>
      <c r="R67" s="56"/>
      <c r="S67" s="144" t="s">
        <v>204</v>
      </c>
      <c r="T67" s="56"/>
      <c r="U67" s="144" t="s">
        <v>204</v>
      </c>
      <c r="V67" s="56"/>
      <c r="W67" s="144" t="s">
        <v>204</v>
      </c>
      <c r="X67" s="56"/>
      <c r="Y67" s="144" t="s">
        <v>204</v>
      </c>
      <c r="Z67" s="56"/>
      <c r="AA67" s="144" t="s">
        <v>204</v>
      </c>
      <c r="AB67" s="156"/>
      <c r="AC67" s="144" t="s">
        <v>204</v>
      </c>
      <c r="AD67" s="156"/>
      <c r="AE67" s="144" t="s">
        <v>204</v>
      </c>
      <c r="AF67" s="215" t="str">
        <f t="shared" ref="AF67:AF130" si="5">IF(AND(O67="",Q67="",S67="",U67="",W67="",Y67="",AA67="",AC67=""),"",
IF(OR(    AND(O67&lt;&gt;"NA",O67&lt;&gt;"C",O67&lt;&gt;"NC",O67&lt;&gt;"SF",O67&lt;&gt;""),
    AND(Q67&lt;&gt;"NA",Q67&lt;&gt;"C",Q67&lt;&gt;"NC",Q67&lt;&gt;"SF",Q67&lt;&gt;""),
    AND(S67&lt;&gt;"NA",S67&lt;&gt;"C",S67&lt;&gt;"NC",S67&lt;&gt;"SF",S67&lt;&gt;""),
    AND(U67&lt;&gt;"NA",U67&lt;&gt;"C",U67&lt;&gt;"NC",U67&lt;&gt;"SF",U67&lt;&gt;""),
    AND(W67&lt;&gt;"NA",W67&lt;&gt;"C",W67&lt;&gt;"NC",W67&lt;&gt;"SF",W67&lt;&gt;""),
    AND(Y67&lt;&gt;"NA",Y67&lt;&gt;"C",Y67&lt;&gt;"NC",Y67&lt;&gt;"SF",Y67&lt;&gt;""),
    AND(AA67&lt;&gt;"NA",AA67&lt;&gt;"C",AA67&lt;&gt;"NC",AA67&lt;&gt;"SF",AA67&lt;&gt;""),
    AND(AC67&lt;&gt;"NA",AC67&lt;&gt;"C",AC67&lt;&gt;"NC",AC67&lt;&gt;"SF",AC67&lt;&gt;"")
),"FALSO",
IF(AND(O67="NA",Q67="NA",S67="NA",U67="NA",W67="NA",Y67="NA",AA67="NA",AC67="NA"),"NA",
IF(OR(O67="NC",Q67="NC",S67="NC",U67="NC",W67="NC",Y67="NC",AA67="NC",AC67="NC",
       O67="SF",Q67="SF",S67="SF",U67="SF",W67="SF",Y67="SF",AA67="SF",AC67="SF"),"NC",
IF(SUM(IF(O67="C",1,0),IF(Q67="C",1,0),IF(S67="C",1,0),IF(U67="C",1,0),IF(W67="C",1,0),IF(Y67="C",1,0),IF(AA67="C",1,0),IF(AC67="C",1,0))=1,"C","C")))))</f>
        <v>C</v>
      </c>
      <c r="AG67" s="96" t="str">
        <f t="shared" si="4"/>
        <v>UTILIZOU O PDA CORRETAMENTE</v>
      </c>
      <c r="AH67" s="169" t="s">
        <v>39</v>
      </c>
      <c r="AI67" s="151" t="str">
        <f t="shared" ref="AI67:AI119" si="6">E67</f>
        <v>GUARULHOS</v>
      </c>
      <c r="AJ67" s="151" t="s">
        <v>6</v>
      </c>
      <c r="AK67" s="53">
        <v>-1.32E-2</v>
      </c>
      <c r="AL67" s="53" t="str" cm="1">
        <f t="array" ref="AL67">IF(OR(O67&lt;&gt;"", SUMPRODUCT(($AM$2:$AM$210=AM67)*($AK$2:$AK$210&lt;=AK67)) &lt;= (COUNTIF($AM$2:$AM$210,AM67)*0.1)), "SORTEADO", "-")</f>
        <v>SORTEADO</v>
      </c>
      <c r="AM67" s="53" t="str">
        <f t="shared" ref="AM67:AM130" si="7">TEXT(L67, "mm/dd/aaaa")</f>
        <v>04/06/2026</v>
      </c>
    </row>
    <row r="68" spans="1:39" ht="30" hidden="1" customHeight="1" x14ac:dyDescent="0.2">
      <c r="A68" s="231" t="s">
        <v>197</v>
      </c>
      <c r="B68" s="250">
        <v>2614318719</v>
      </c>
      <c r="C68" s="231" t="s">
        <v>140</v>
      </c>
      <c r="D68" s="231" t="s">
        <v>67</v>
      </c>
      <c r="E68" s="231" t="s">
        <v>198</v>
      </c>
      <c r="F68" s="231" t="s">
        <v>434</v>
      </c>
      <c r="G68" s="231">
        <v>436</v>
      </c>
      <c r="H68" s="231" t="s">
        <v>2684</v>
      </c>
      <c r="I68" s="231" t="s">
        <v>436</v>
      </c>
      <c r="J68" s="231" t="s">
        <v>4605</v>
      </c>
      <c r="K68" s="231" t="s">
        <v>4610</v>
      </c>
      <c r="L68" s="232" t="s">
        <v>525</v>
      </c>
      <c r="M68" s="232">
        <v>46177.404861111114</v>
      </c>
      <c r="N68" s="231" t="s">
        <v>4604</v>
      </c>
      <c r="O68" s="144" t="s">
        <v>204</v>
      </c>
      <c r="P68" s="169"/>
      <c r="Q68" s="144" t="s">
        <v>204</v>
      </c>
      <c r="R68" s="56"/>
      <c r="S68" s="144" t="s">
        <v>204</v>
      </c>
      <c r="T68" s="56"/>
      <c r="U68" s="144" t="s">
        <v>204</v>
      </c>
      <c r="V68" s="56"/>
      <c r="W68" s="144" t="s">
        <v>204</v>
      </c>
      <c r="X68" s="56"/>
      <c r="Y68" s="144" t="s">
        <v>328</v>
      </c>
      <c r="Z68" s="56"/>
      <c r="AA68" s="144" t="s">
        <v>204</v>
      </c>
      <c r="AB68" s="156"/>
      <c r="AC68" s="144" t="s">
        <v>204</v>
      </c>
      <c r="AD68" s="156"/>
      <c r="AE68" s="144" t="s">
        <v>204</v>
      </c>
      <c r="AF68" s="215" t="str">
        <f t="shared" si="5"/>
        <v>NC</v>
      </c>
      <c r="AG68" s="96" t="str">
        <f t="shared" si="4"/>
        <v>UTILIZOU O PDA CORRETAMENTE. NÃO HÁ FOTOS DE TODAS AS ETAPAS</v>
      </c>
      <c r="AH68" s="63" t="s">
        <v>59</v>
      </c>
      <c r="AI68" s="151" t="str">
        <f t="shared" si="6"/>
        <v>GUARULHOS</v>
      </c>
      <c r="AJ68" s="151" t="s">
        <v>6</v>
      </c>
      <c r="AK68" s="53">
        <v>-1.34E-2</v>
      </c>
      <c r="AL68" s="53" t="str" cm="1">
        <f t="array" ref="AL68">IF(OR(O68&lt;&gt;"", SUMPRODUCT(($AM$2:$AM$210=AM68)*($AK$2:$AK$210&lt;=AK68)) &lt;= (COUNTIF($AM$2:$AM$210,AM68)*0.1)), "SORTEADO", "-")</f>
        <v>SORTEADO</v>
      </c>
      <c r="AM68" s="53" t="str">
        <f t="shared" si="7"/>
        <v>04/06/2026</v>
      </c>
    </row>
    <row r="69" spans="1:39" ht="30" customHeight="1" x14ac:dyDescent="0.2">
      <c r="A69" s="231" t="s">
        <v>197</v>
      </c>
      <c r="B69" s="250">
        <v>2614223758</v>
      </c>
      <c r="C69" s="231" t="s">
        <v>140</v>
      </c>
      <c r="D69" s="231" t="s">
        <v>67</v>
      </c>
      <c r="E69" s="231" t="s">
        <v>198</v>
      </c>
      <c r="F69" s="231" t="s">
        <v>429</v>
      </c>
      <c r="G69" s="231">
        <v>77</v>
      </c>
      <c r="H69" s="231"/>
      <c r="I69" s="231" t="s">
        <v>430</v>
      </c>
      <c r="J69" s="231" t="s">
        <v>4605</v>
      </c>
      <c r="K69" s="231"/>
      <c r="L69" s="232" t="s">
        <v>525</v>
      </c>
      <c r="M69" s="232">
        <v>46177.409722222219</v>
      </c>
      <c r="N69" s="231" t="s">
        <v>4604</v>
      </c>
      <c r="O69" s="144" t="s">
        <v>210</v>
      </c>
      <c r="P69" s="169" t="s">
        <v>413</v>
      </c>
      <c r="Q69" s="144" t="s">
        <v>210</v>
      </c>
      <c r="R69" s="56" t="s">
        <v>413</v>
      </c>
      <c r="S69" s="144" t="s">
        <v>210</v>
      </c>
      <c r="T69" s="56" t="s">
        <v>413</v>
      </c>
      <c r="U69" s="144" t="s">
        <v>210</v>
      </c>
      <c r="V69" s="56" t="s">
        <v>413</v>
      </c>
      <c r="W69" s="144" t="s">
        <v>210</v>
      </c>
      <c r="X69" s="56" t="s">
        <v>413</v>
      </c>
      <c r="Y69" s="144" t="s">
        <v>210</v>
      </c>
      <c r="Z69" s="56" t="s">
        <v>413</v>
      </c>
      <c r="AA69" s="144" t="s">
        <v>210</v>
      </c>
      <c r="AB69" s="156" t="s">
        <v>413</v>
      </c>
      <c r="AC69" s="144" t="s">
        <v>210</v>
      </c>
      <c r="AD69" s="156" t="s">
        <v>413</v>
      </c>
      <c r="AE69" s="144" t="s">
        <v>210</v>
      </c>
      <c r="AF69" s="215" t="str">
        <f t="shared" si="5"/>
        <v>NC</v>
      </c>
      <c r="AG69" s="96" t="str">
        <f t="shared" si="4"/>
        <v>NÃO UTILIZOU O PDA</v>
      </c>
      <c r="AH69" s="169" t="s">
        <v>39</v>
      </c>
      <c r="AI69" s="151" t="str">
        <f t="shared" si="6"/>
        <v>GUARULHOS</v>
      </c>
      <c r="AJ69" s="151" t="s">
        <v>6</v>
      </c>
      <c r="AK69" s="53">
        <v>-1.3599999999999999E-2</v>
      </c>
      <c r="AL69" s="53" t="str" cm="1">
        <f t="array" ref="AL69">IF(OR(O69&lt;&gt;"", SUMPRODUCT(($AM$2:$AM$210=AM69)*($AK$2:$AK$210&lt;=AK69)) &lt;= (COUNTIF($AM$2:$AM$210,AM69)*0.1)), "SORTEADO", "-")</f>
        <v>SORTEADO</v>
      </c>
      <c r="AM69" s="53" t="str">
        <f t="shared" si="7"/>
        <v>04/06/2026</v>
      </c>
    </row>
    <row r="70" spans="1:39" ht="30" customHeight="1" x14ac:dyDescent="0.2">
      <c r="A70" s="231" t="s">
        <v>197</v>
      </c>
      <c r="B70" s="250">
        <v>2614124061</v>
      </c>
      <c r="C70" s="231" t="s">
        <v>139</v>
      </c>
      <c r="D70" s="231" t="s">
        <v>67</v>
      </c>
      <c r="E70" s="231" t="s">
        <v>198</v>
      </c>
      <c r="F70" s="231" t="s">
        <v>2663</v>
      </c>
      <c r="G70" s="231">
        <v>43</v>
      </c>
      <c r="H70" s="231" t="s">
        <v>2664</v>
      </c>
      <c r="I70" s="231" t="s">
        <v>394</v>
      </c>
      <c r="J70" s="231" t="s">
        <v>4603</v>
      </c>
      <c r="K70" s="231" t="s">
        <v>213</v>
      </c>
      <c r="L70" s="232" t="s">
        <v>525</v>
      </c>
      <c r="M70" s="232">
        <v>46177.410416666666</v>
      </c>
      <c r="N70" s="231" t="s">
        <v>4620</v>
      </c>
      <c r="O70" s="144" t="s">
        <v>210</v>
      </c>
      <c r="P70" s="169" t="s">
        <v>413</v>
      </c>
      <c r="Q70" s="144" t="s">
        <v>210</v>
      </c>
      <c r="R70" s="56" t="s">
        <v>413</v>
      </c>
      <c r="S70" s="144" t="s">
        <v>210</v>
      </c>
      <c r="T70" s="56" t="s">
        <v>413</v>
      </c>
      <c r="U70" s="144" t="s">
        <v>210</v>
      </c>
      <c r="V70" s="56" t="s">
        <v>413</v>
      </c>
      <c r="W70" s="144" t="s">
        <v>210</v>
      </c>
      <c r="X70" s="56" t="s">
        <v>413</v>
      </c>
      <c r="Y70" s="144" t="s">
        <v>210</v>
      </c>
      <c r="Z70" s="56" t="s">
        <v>413</v>
      </c>
      <c r="AA70" s="144" t="s">
        <v>210</v>
      </c>
      <c r="AB70" s="56" t="s">
        <v>413</v>
      </c>
      <c r="AC70" s="144" t="s">
        <v>210</v>
      </c>
      <c r="AD70" s="56" t="s">
        <v>413</v>
      </c>
      <c r="AE70" s="144" t="s">
        <v>210</v>
      </c>
      <c r="AF70" s="215" t="str">
        <f t="shared" si="5"/>
        <v>NC</v>
      </c>
      <c r="AG70" s="96" t="str">
        <f t="shared" si="4"/>
        <v>NÃO UTILIZOU O PDA</v>
      </c>
      <c r="AH70" s="169" t="s">
        <v>59</v>
      </c>
      <c r="AI70" s="151" t="str">
        <f t="shared" si="6"/>
        <v>GUARULHOS</v>
      </c>
      <c r="AJ70" s="151" t="s">
        <v>6</v>
      </c>
      <c r="AK70" s="53">
        <v>-1.38E-2</v>
      </c>
      <c r="AL70" s="53" t="str" cm="1">
        <f t="array" ref="AL70">IF(OR(O70&lt;&gt;"", SUMPRODUCT(($AM$2:$AM$210=AM70)*($AK$2:$AK$210&lt;=AK70)) &lt;= (COUNTIF($AM$2:$AM$210,AM70)*0.1)), "SORTEADO", "-")</f>
        <v>SORTEADO</v>
      </c>
      <c r="AM70" s="53" t="str">
        <f t="shared" si="7"/>
        <v>04/06/2026</v>
      </c>
    </row>
    <row r="71" spans="1:39" ht="30" customHeight="1" x14ac:dyDescent="0.2">
      <c r="A71" s="231" t="s">
        <v>197</v>
      </c>
      <c r="B71" s="250">
        <v>2614141833</v>
      </c>
      <c r="C71" s="231" t="s">
        <v>140</v>
      </c>
      <c r="D71" s="231" t="s">
        <v>67</v>
      </c>
      <c r="E71" s="231" t="s">
        <v>198</v>
      </c>
      <c r="F71" s="231" t="s">
        <v>2677</v>
      </c>
      <c r="G71" s="231">
        <v>214</v>
      </c>
      <c r="H71" s="231" t="s">
        <v>2678</v>
      </c>
      <c r="I71" s="231" t="s">
        <v>660</v>
      </c>
      <c r="J71" s="231" t="s">
        <v>4605</v>
      </c>
      <c r="K71" s="231"/>
      <c r="L71" s="232" t="s">
        <v>525</v>
      </c>
      <c r="M71" s="232">
        <v>46177.354166666664</v>
      </c>
      <c r="N71" s="231" t="s">
        <v>4620</v>
      </c>
      <c r="O71" s="144" t="s">
        <v>210</v>
      </c>
      <c r="P71" s="169" t="s">
        <v>413</v>
      </c>
      <c r="Q71" s="144" t="s">
        <v>210</v>
      </c>
      <c r="R71" s="56" t="s">
        <v>413</v>
      </c>
      <c r="S71" s="144" t="s">
        <v>210</v>
      </c>
      <c r="T71" s="56" t="s">
        <v>413</v>
      </c>
      <c r="U71" s="144" t="s">
        <v>210</v>
      </c>
      <c r="V71" s="56" t="s">
        <v>413</v>
      </c>
      <c r="W71" s="144" t="s">
        <v>210</v>
      </c>
      <c r="X71" s="56" t="s">
        <v>413</v>
      </c>
      <c r="Y71" s="144" t="s">
        <v>210</v>
      </c>
      <c r="Z71" s="56" t="s">
        <v>413</v>
      </c>
      <c r="AA71" s="144" t="s">
        <v>210</v>
      </c>
      <c r="AB71" s="56" t="s">
        <v>413</v>
      </c>
      <c r="AC71" s="144" t="s">
        <v>210</v>
      </c>
      <c r="AD71" s="56" t="s">
        <v>413</v>
      </c>
      <c r="AE71" s="144" t="s">
        <v>210</v>
      </c>
      <c r="AF71" s="215" t="str">
        <f t="shared" si="5"/>
        <v>NC</v>
      </c>
      <c r="AG71" s="96" t="str">
        <f t="shared" si="4"/>
        <v>NÃO UTILIZOU O PDA</v>
      </c>
      <c r="AH71" s="169"/>
      <c r="AI71" s="151" t="str">
        <f t="shared" si="6"/>
        <v>GUARULHOS</v>
      </c>
      <c r="AJ71" s="151" t="s">
        <v>6</v>
      </c>
      <c r="AK71" s="53">
        <v>-1.4E-2</v>
      </c>
      <c r="AL71" s="53" t="str" cm="1">
        <f t="array" ref="AL71">IF(OR(O71&lt;&gt;"", SUMPRODUCT(($AM$2:$AM$210=AM71)*($AK$2:$AK$210&lt;=AK71)) &lt;= (COUNTIF($AM$2:$AM$210,AM71)*0.1)), "SORTEADO", "-")</f>
        <v>SORTEADO</v>
      </c>
      <c r="AM71" s="53" t="str">
        <f t="shared" si="7"/>
        <v>04/06/2026</v>
      </c>
    </row>
    <row r="72" spans="1:39" ht="30" customHeight="1" x14ac:dyDescent="0.2">
      <c r="A72" s="231" t="s">
        <v>197</v>
      </c>
      <c r="B72" s="250">
        <v>2614228430</v>
      </c>
      <c r="C72" s="231" t="s">
        <v>139</v>
      </c>
      <c r="D72" s="231" t="s">
        <v>67</v>
      </c>
      <c r="E72" s="231" t="s">
        <v>198</v>
      </c>
      <c r="F72" s="231" t="s">
        <v>469</v>
      </c>
      <c r="G72" s="231">
        <v>100</v>
      </c>
      <c r="H72" s="231" t="s">
        <v>470</v>
      </c>
      <c r="I72" s="231" t="s">
        <v>368</v>
      </c>
      <c r="J72" s="231" t="s">
        <v>4603</v>
      </c>
      <c r="K72" s="231" t="s">
        <v>213</v>
      </c>
      <c r="L72" s="232" t="s">
        <v>525</v>
      </c>
      <c r="M72" s="232">
        <v>46177.393750000003</v>
      </c>
      <c r="N72" s="231" t="s">
        <v>4620</v>
      </c>
      <c r="O72" s="144" t="s">
        <v>210</v>
      </c>
      <c r="P72" s="169" t="s">
        <v>413</v>
      </c>
      <c r="Q72" s="144" t="s">
        <v>210</v>
      </c>
      <c r="R72" s="56" t="s">
        <v>413</v>
      </c>
      <c r="S72" s="144" t="s">
        <v>210</v>
      </c>
      <c r="T72" s="56" t="s">
        <v>413</v>
      </c>
      <c r="U72" s="144" t="s">
        <v>210</v>
      </c>
      <c r="V72" s="56" t="s">
        <v>413</v>
      </c>
      <c r="W72" s="144" t="s">
        <v>210</v>
      </c>
      <c r="X72" s="56" t="s">
        <v>413</v>
      </c>
      <c r="Y72" s="144" t="s">
        <v>210</v>
      </c>
      <c r="Z72" s="56" t="s">
        <v>413</v>
      </c>
      <c r="AA72" s="144" t="s">
        <v>210</v>
      </c>
      <c r="AB72" s="56" t="s">
        <v>413</v>
      </c>
      <c r="AC72" s="144" t="s">
        <v>210</v>
      </c>
      <c r="AD72" s="56" t="s">
        <v>413</v>
      </c>
      <c r="AE72" s="144" t="s">
        <v>210</v>
      </c>
      <c r="AF72" s="215" t="str">
        <f t="shared" si="5"/>
        <v>NC</v>
      </c>
      <c r="AG72" s="96" t="str">
        <f t="shared" si="4"/>
        <v>NÃO UTILIZOU O PDA</v>
      </c>
      <c r="AH72" s="169"/>
      <c r="AI72" s="151" t="str">
        <f t="shared" si="6"/>
        <v>GUARULHOS</v>
      </c>
      <c r="AJ72" s="151" t="s">
        <v>6</v>
      </c>
      <c r="AK72" s="53">
        <v>-1.4200000000000001E-2</v>
      </c>
      <c r="AL72" s="53" t="str" cm="1">
        <f t="array" ref="AL72">IF(OR(O72&lt;&gt;"", SUMPRODUCT(($AM$2:$AM$210=AM72)*($AK$2:$AK$210&lt;=AK72)) &lt;= (COUNTIF($AM$2:$AM$210,AM72)*0.1)), "SORTEADO", "-")</f>
        <v>SORTEADO</v>
      </c>
      <c r="AM72" s="53" t="str">
        <f t="shared" si="7"/>
        <v>04/06/2026</v>
      </c>
    </row>
    <row r="73" spans="1:39" ht="30" customHeight="1" x14ac:dyDescent="0.2">
      <c r="A73" s="231" t="s">
        <v>197</v>
      </c>
      <c r="B73" s="250">
        <v>2614123875</v>
      </c>
      <c r="C73" s="231" t="s">
        <v>141</v>
      </c>
      <c r="D73" s="231" t="s">
        <v>67</v>
      </c>
      <c r="E73" s="231" t="s">
        <v>198</v>
      </c>
      <c r="F73" s="231" t="s">
        <v>2656</v>
      </c>
      <c r="G73" s="231">
        <v>127</v>
      </c>
      <c r="H73" s="231" t="s">
        <v>2657</v>
      </c>
      <c r="I73" s="231" t="s">
        <v>269</v>
      </c>
      <c r="J73" s="231" t="s">
        <v>4603</v>
      </c>
      <c r="K73" s="231"/>
      <c r="L73" s="232" t="s">
        <v>525</v>
      </c>
      <c r="M73" s="232">
        <v>46177.410416666666</v>
      </c>
      <c r="N73" s="231" t="s">
        <v>4620</v>
      </c>
      <c r="O73" s="144" t="s">
        <v>210</v>
      </c>
      <c r="P73" s="169" t="s">
        <v>413</v>
      </c>
      <c r="Q73" s="144" t="s">
        <v>210</v>
      </c>
      <c r="R73" s="56" t="s">
        <v>413</v>
      </c>
      <c r="S73" s="144" t="s">
        <v>210</v>
      </c>
      <c r="T73" s="56" t="s">
        <v>413</v>
      </c>
      <c r="U73" s="144" t="s">
        <v>210</v>
      </c>
      <c r="V73" s="56" t="s">
        <v>413</v>
      </c>
      <c r="W73" s="144" t="s">
        <v>210</v>
      </c>
      <c r="X73" s="56" t="s">
        <v>413</v>
      </c>
      <c r="Y73" s="144" t="s">
        <v>210</v>
      </c>
      <c r="Z73" s="56" t="s">
        <v>413</v>
      </c>
      <c r="AA73" s="144" t="s">
        <v>210</v>
      </c>
      <c r="AB73" s="56" t="s">
        <v>413</v>
      </c>
      <c r="AC73" s="144" t="s">
        <v>210</v>
      </c>
      <c r="AD73" s="56" t="s">
        <v>413</v>
      </c>
      <c r="AE73" s="144" t="s">
        <v>210</v>
      </c>
      <c r="AF73" s="215" t="str">
        <f t="shared" si="5"/>
        <v>NC</v>
      </c>
      <c r="AG73" s="96" t="str">
        <f t="shared" si="4"/>
        <v>NÃO UTILIZOU O PDA</v>
      </c>
      <c r="AH73" s="169"/>
      <c r="AI73" s="151" t="str">
        <f t="shared" si="6"/>
        <v>GUARULHOS</v>
      </c>
      <c r="AJ73" s="151" t="s">
        <v>6</v>
      </c>
      <c r="AK73" s="53">
        <v>-1.44E-2</v>
      </c>
      <c r="AL73" s="53" t="str" cm="1">
        <f t="array" ref="AL73">IF(OR(O73&lt;&gt;"", SUMPRODUCT(($AM$2:$AM$210=AM73)*($AK$2:$AK$210&lt;=AK73)) &lt;= (COUNTIF($AM$2:$AM$210,AM73)*0.1)), "SORTEADO", "-")</f>
        <v>SORTEADO</v>
      </c>
      <c r="AM73" s="53" t="str">
        <f t="shared" si="7"/>
        <v>04/06/2026</v>
      </c>
    </row>
    <row r="74" spans="1:39" ht="30" customHeight="1" x14ac:dyDescent="0.2">
      <c r="A74" s="231" t="s">
        <v>197</v>
      </c>
      <c r="B74" s="250">
        <v>2689585954</v>
      </c>
      <c r="C74" s="231" t="s">
        <v>138</v>
      </c>
      <c r="D74" s="231" t="s">
        <v>67</v>
      </c>
      <c r="E74" s="231" t="s">
        <v>198</v>
      </c>
      <c r="F74" s="231" t="s">
        <v>471</v>
      </c>
      <c r="G74" s="231">
        <v>117</v>
      </c>
      <c r="H74" s="231" t="s">
        <v>472</v>
      </c>
      <c r="I74" s="231" t="s">
        <v>394</v>
      </c>
      <c r="J74" s="231" t="s">
        <v>4605</v>
      </c>
      <c r="K74" s="231" t="s">
        <v>213</v>
      </c>
      <c r="L74" s="232" t="s">
        <v>525</v>
      </c>
      <c r="M74" s="232">
        <v>46177.420138888891</v>
      </c>
      <c r="N74" s="231" t="s">
        <v>4620</v>
      </c>
      <c r="O74" s="144" t="s">
        <v>210</v>
      </c>
      <c r="P74" s="169" t="s">
        <v>413</v>
      </c>
      <c r="Q74" s="144" t="s">
        <v>210</v>
      </c>
      <c r="R74" s="56" t="s">
        <v>413</v>
      </c>
      <c r="S74" s="144" t="s">
        <v>210</v>
      </c>
      <c r="T74" s="56" t="s">
        <v>413</v>
      </c>
      <c r="U74" s="144" t="s">
        <v>210</v>
      </c>
      <c r="V74" s="56" t="s">
        <v>413</v>
      </c>
      <c r="W74" s="144" t="s">
        <v>210</v>
      </c>
      <c r="X74" s="56" t="s">
        <v>413</v>
      </c>
      <c r="Y74" s="144" t="s">
        <v>210</v>
      </c>
      <c r="Z74" s="56" t="s">
        <v>413</v>
      </c>
      <c r="AA74" s="144" t="s">
        <v>210</v>
      </c>
      <c r="AB74" s="56" t="s">
        <v>413</v>
      </c>
      <c r="AC74" s="144" t="s">
        <v>210</v>
      </c>
      <c r="AD74" s="56" t="s">
        <v>413</v>
      </c>
      <c r="AE74" s="144" t="s">
        <v>210</v>
      </c>
      <c r="AF74" s="215" t="str">
        <f t="shared" si="5"/>
        <v>NC</v>
      </c>
      <c r="AG74" s="96" t="str">
        <f t="shared" si="4"/>
        <v>NÃO UTILIZOU O PDA</v>
      </c>
      <c r="AH74" s="169"/>
      <c r="AI74" s="151" t="str">
        <f t="shared" si="6"/>
        <v>GUARULHOS</v>
      </c>
      <c r="AJ74" s="151" t="s">
        <v>6</v>
      </c>
      <c r="AK74" s="53">
        <v>-1.46E-2</v>
      </c>
      <c r="AL74" s="53" t="str" cm="1">
        <f t="array" ref="AL74">IF(OR(O74&lt;&gt;"", SUMPRODUCT(($AM$2:$AM$210=AM74)*($AK$2:$AK$210&lt;=AK74)) &lt;= (COUNTIF($AM$2:$AM$210,AM74)*0.1)), "SORTEADO", "-")</f>
        <v>SORTEADO</v>
      </c>
      <c r="AM74" s="53" t="str">
        <f t="shared" si="7"/>
        <v>04/06/2026</v>
      </c>
    </row>
    <row r="75" spans="1:39" ht="30" customHeight="1" x14ac:dyDescent="0.2">
      <c r="A75" s="231" t="s">
        <v>197</v>
      </c>
      <c r="B75" s="250">
        <v>2689600138</v>
      </c>
      <c r="C75" s="231" t="s">
        <v>139</v>
      </c>
      <c r="D75" s="231" t="s">
        <v>67</v>
      </c>
      <c r="E75" s="231" t="s">
        <v>198</v>
      </c>
      <c r="F75" s="231" t="s">
        <v>482</v>
      </c>
      <c r="G75" s="231">
        <v>167</v>
      </c>
      <c r="H75" s="231"/>
      <c r="I75" s="231" t="s">
        <v>483</v>
      </c>
      <c r="J75" s="231" t="s">
        <v>4603</v>
      </c>
      <c r="K75" s="231"/>
      <c r="L75" s="232" t="s">
        <v>525</v>
      </c>
      <c r="M75" s="232">
        <v>46177.436805555553</v>
      </c>
      <c r="N75" s="231" t="s">
        <v>4620</v>
      </c>
      <c r="O75" s="144" t="s">
        <v>210</v>
      </c>
      <c r="P75" s="169" t="s">
        <v>413</v>
      </c>
      <c r="Q75" s="144" t="s">
        <v>210</v>
      </c>
      <c r="R75" s="56" t="s">
        <v>413</v>
      </c>
      <c r="S75" s="144" t="s">
        <v>210</v>
      </c>
      <c r="T75" s="56" t="s">
        <v>413</v>
      </c>
      <c r="U75" s="144" t="s">
        <v>210</v>
      </c>
      <c r="V75" s="56" t="s">
        <v>413</v>
      </c>
      <c r="W75" s="144" t="s">
        <v>210</v>
      </c>
      <c r="X75" s="56" t="s">
        <v>413</v>
      </c>
      <c r="Y75" s="144" t="s">
        <v>210</v>
      </c>
      <c r="Z75" s="56" t="s">
        <v>413</v>
      </c>
      <c r="AA75" s="144" t="s">
        <v>210</v>
      </c>
      <c r="AB75" s="56" t="s">
        <v>413</v>
      </c>
      <c r="AC75" s="144" t="s">
        <v>210</v>
      </c>
      <c r="AD75" s="56" t="s">
        <v>413</v>
      </c>
      <c r="AE75" s="144" t="s">
        <v>210</v>
      </c>
      <c r="AF75" s="215" t="str">
        <f t="shared" si="5"/>
        <v>NC</v>
      </c>
      <c r="AG75" s="96" t="str">
        <f t="shared" si="4"/>
        <v>NÃO UTILIZOU O PDA</v>
      </c>
      <c r="AH75" s="169"/>
      <c r="AI75" s="151" t="str">
        <f t="shared" si="6"/>
        <v>GUARULHOS</v>
      </c>
      <c r="AJ75" s="151" t="s">
        <v>6</v>
      </c>
      <c r="AK75" s="53">
        <v>-1.4800000000000001E-2</v>
      </c>
      <c r="AL75" s="53" t="str" cm="1">
        <f t="array" ref="AL75">IF(OR(O75&lt;&gt;"", SUMPRODUCT(($AM$2:$AM$210=AM75)*($AK$2:$AK$210&lt;=AK75)) &lt;= (COUNTIF($AM$2:$AM$210,AM75)*0.1)), "SORTEADO", "-")</f>
        <v>SORTEADO</v>
      </c>
      <c r="AM75" s="53" t="str">
        <f t="shared" si="7"/>
        <v>04/06/2026</v>
      </c>
    </row>
    <row r="76" spans="1:39" ht="30" hidden="1" customHeight="1" x14ac:dyDescent="0.2">
      <c r="A76" s="231" t="s">
        <v>197</v>
      </c>
      <c r="B76" s="250">
        <v>2614436718</v>
      </c>
      <c r="C76" s="231" t="s">
        <v>138</v>
      </c>
      <c r="D76" s="231" t="s">
        <v>67</v>
      </c>
      <c r="E76" s="231" t="s">
        <v>198</v>
      </c>
      <c r="F76" s="231" t="s">
        <v>1352</v>
      </c>
      <c r="G76" s="231">
        <v>1235</v>
      </c>
      <c r="H76" s="231" t="s">
        <v>2653</v>
      </c>
      <c r="I76" s="231" t="s">
        <v>622</v>
      </c>
      <c r="J76" s="231" t="s">
        <v>4605</v>
      </c>
      <c r="K76" s="231"/>
      <c r="L76" s="232" t="s">
        <v>580</v>
      </c>
      <c r="M76" s="232">
        <v>46207.426388888889</v>
      </c>
      <c r="N76" s="231" t="s">
        <v>4613</v>
      </c>
      <c r="O76" s="144" t="s">
        <v>204</v>
      </c>
      <c r="P76" s="169"/>
      <c r="Q76" s="144" t="s">
        <v>204</v>
      </c>
      <c r="R76" s="56"/>
      <c r="S76" s="144" t="s">
        <v>204</v>
      </c>
      <c r="T76" s="56"/>
      <c r="U76" s="144" t="s">
        <v>204</v>
      </c>
      <c r="V76" s="56"/>
      <c r="W76" s="144" t="s">
        <v>204</v>
      </c>
      <c r="X76" s="56"/>
      <c r="Y76" s="144" t="s">
        <v>204</v>
      </c>
      <c r="Z76" s="56"/>
      <c r="AA76" s="144" t="s">
        <v>204</v>
      </c>
      <c r="AB76" s="56"/>
      <c r="AC76" s="144" t="s">
        <v>204</v>
      </c>
      <c r="AD76" s="56"/>
      <c r="AE76" s="144" t="s">
        <v>204</v>
      </c>
      <c r="AF76" s="215" t="str">
        <f t="shared" si="5"/>
        <v>C</v>
      </c>
      <c r="AG76" s="96" t="str">
        <f t="shared" si="4"/>
        <v>UTILIZOU O PDA CORRETAMENTE</v>
      </c>
      <c r="AH76" s="169" t="s">
        <v>59</v>
      </c>
      <c r="AI76" s="151" t="str">
        <f t="shared" si="6"/>
        <v>GUARULHOS</v>
      </c>
      <c r="AJ76" s="151" t="s">
        <v>6</v>
      </c>
      <c r="AK76" s="53">
        <v>-1.4999999999999999E-2</v>
      </c>
      <c r="AL76" s="53" t="str" cm="1">
        <f t="array" ref="AL76">IF(OR(O76&lt;&gt;"", SUMPRODUCT(($AM$2:$AM$210=AM76)*($AK$2:$AK$210&lt;=AK76)) &lt;= (COUNTIF($AM$2:$AM$210,AM76)*0.1)), "SORTEADO", "-")</f>
        <v>SORTEADO</v>
      </c>
      <c r="AM76" s="53" t="str">
        <f t="shared" si="7"/>
        <v>04/07/2026</v>
      </c>
    </row>
    <row r="77" spans="1:39" ht="30" hidden="1" customHeight="1" x14ac:dyDescent="0.2">
      <c r="A77" s="231" t="s">
        <v>197</v>
      </c>
      <c r="B77" s="250">
        <v>2689585267</v>
      </c>
      <c r="C77" s="231" t="s">
        <v>141</v>
      </c>
      <c r="D77" s="231" t="s">
        <v>67</v>
      </c>
      <c r="E77" s="231" t="s">
        <v>198</v>
      </c>
      <c r="F77" s="231" t="s">
        <v>478</v>
      </c>
      <c r="G77" s="231">
        <v>10</v>
      </c>
      <c r="H77" s="231" t="s">
        <v>479</v>
      </c>
      <c r="I77" s="231" t="s">
        <v>480</v>
      </c>
      <c r="J77" s="231" t="s">
        <v>4603</v>
      </c>
      <c r="K77" s="231" t="s">
        <v>213</v>
      </c>
      <c r="L77" s="232" t="s">
        <v>580</v>
      </c>
      <c r="M77" s="232">
        <v>46207.396527777775</v>
      </c>
      <c r="N77" s="231" t="s">
        <v>4613</v>
      </c>
      <c r="O77" s="144" t="s">
        <v>204</v>
      </c>
      <c r="P77" s="169"/>
      <c r="Q77" s="144" t="s">
        <v>204</v>
      </c>
      <c r="R77" s="56"/>
      <c r="S77" s="144" t="s">
        <v>204</v>
      </c>
      <c r="T77" s="56"/>
      <c r="U77" s="144" t="s">
        <v>204</v>
      </c>
      <c r="V77" s="56"/>
      <c r="W77" s="144" t="s">
        <v>204</v>
      </c>
      <c r="X77" s="56"/>
      <c r="Y77" s="144" t="s">
        <v>204</v>
      </c>
      <c r="Z77" s="56"/>
      <c r="AA77" s="144" t="s">
        <v>204</v>
      </c>
      <c r="AB77" s="56"/>
      <c r="AC77" s="144" t="s">
        <v>204</v>
      </c>
      <c r="AD77" s="56"/>
      <c r="AE77" s="144" t="s">
        <v>204</v>
      </c>
      <c r="AF77" s="215" t="str">
        <f t="shared" si="5"/>
        <v>C</v>
      </c>
      <c r="AG77" s="96" t="str">
        <f t="shared" si="4"/>
        <v>UTILIZOU O PDA CORRETAMENTE</v>
      </c>
      <c r="AH77" s="169" t="s">
        <v>39</v>
      </c>
      <c r="AI77" s="151" t="str">
        <f t="shared" si="6"/>
        <v>GUARULHOS</v>
      </c>
      <c r="AJ77" s="151" t="s">
        <v>6</v>
      </c>
      <c r="AK77" s="53">
        <v>-1.52E-2</v>
      </c>
      <c r="AL77" s="53" t="str" cm="1">
        <f t="array" ref="AL77">IF(OR(O77&lt;&gt;"", SUMPRODUCT(($AM$2:$AM$210=AM77)*($AK$2:$AK$210&lt;=AK77)) &lt;= (COUNTIF($AM$2:$AM$210,AM77)*0.1)), "SORTEADO", "-")</f>
        <v>SORTEADO</v>
      </c>
      <c r="AM77" s="53" t="str">
        <f t="shared" si="7"/>
        <v>04/07/2026</v>
      </c>
    </row>
    <row r="78" spans="1:39" ht="30" hidden="1" customHeight="1" x14ac:dyDescent="0.2">
      <c r="A78" s="231" t="s">
        <v>197</v>
      </c>
      <c r="B78" s="250">
        <v>2613685207</v>
      </c>
      <c r="C78" s="231" t="s">
        <v>141</v>
      </c>
      <c r="D78" s="231" t="s">
        <v>67</v>
      </c>
      <c r="E78" s="231" t="s">
        <v>198</v>
      </c>
      <c r="F78" s="231" t="s">
        <v>230</v>
      </c>
      <c r="G78" s="231">
        <v>11</v>
      </c>
      <c r="H78" s="231"/>
      <c r="I78" s="231" t="s">
        <v>231</v>
      </c>
      <c r="J78" s="231" t="s">
        <v>4603</v>
      </c>
      <c r="K78" s="231"/>
      <c r="L78" s="232" t="s">
        <v>580</v>
      </c>
      <c r="M78" s="232">
        <v>46207.393750000003</v>
      </c>
      <c r="N78" s="231" t="s">
        <v>4613</v>
      </c>
      <c r="O78" s="144" t="s">
        <v>204</v>
      </c>
      <c r="P78" s="169"/>
      <c r="Q78" s="144" t="s">
        <v>204</v>
      </c>
      <c r="R78" s="56"/>
      <c r="S78" s="144" t="s">
        <v>204</v>
      </c>
      <c r="T78" s="56"/>
      <c r="U78" s="144" t="s">
        <v>204</v>
      </c>
      <c r="V78" s="56"/>
      <c r="W78" s="144" t="s">
        <v>204</v>
      </c>
      <c r="X78" s="56"/>
      <c r="Y78" s="144" t="s">
        <v>204</v>
      </c>
      <c r="Z78" s="56"/>
      <c r="AA78" s="144" t="s">
        <v>204</v>
      </c>
      <c r="AB78" s="56"/>
      <c r="AC78" s="144" t="s">
        <v>204</v>
      </c>
      <c r="AD78" s="56"/>
      <c r="AE78" s="144" t="s">
        <v>204</v>
      </c>
      <c r="AF78" s="215" t="str">
        <f t="shared" si="5"/>
        <v>C</v>
      </c>
      <c r="AG78" s="96" t="str">
        <f t="shared" si="4"/>
        <v>UTILIZOU O PDA CORRETAMENTE</v>
      </c>
      <c r="AH78" s="169" t="s">
        <v>59</v>
      </c>
      <c r="AI78" s="151" t="str">
        <f t="shared" si="6"/>
        <v>GUARULHOS</v>
      </c>
      <c r="AJ78" s="151" t="s">
        <v>6</v>
      </c>
      <c r="AK78" s="53">
        <v>-1.54E-2</v>
      </c>
      <c r="AL78" s="53" t="str" cm="1">
        <f t="array" ref="AL78">IF(OR(O78&lt;&gt;"", SUMPRODUCT(($AM$2:$AM$210=AM78)*($AK$2:$AK$210&lt;=AK78)) &lt;= (COUNTIF($AM$2:$AM$210,AM78)*0.1)), "SORTEADO", "-")</f>
        <v>SORTEADO</v>
      </c>
      <c r="AM78" s="53" t="str">
        <f t="shared" si="7"/>
        <v>04/07/2026</v>
      </c>
    </row>
    <row r="79" spans="1:39" ht="30" customHeight="1" x14ac:dyDescent="0.2">
      <c r="A79" s="231" t="s">
        <v>197</v>
      </c>
      <c r="B79" s="250">
        <v>2614451587</v>
      </c>
      <c r="C79" s="231" t="s">
        <v>141</v>
      </c>
      <c r="D79" s="231" t="s">
        <v>67</v>
      </c>
      <c r="E79" s="231" t="s">
        <v>198</v>
      </c>
      <c r="F79" s="231" t="s">
        <v>4644</v>
      </c>
      <c r="G79" s="231">
        <v>132</v>
      </c>
      <c r="H79" s="231" t="s">
        <v>235</v>
      </c>
      <c r="I79" s="231" t="s">
        <v>2616</v>
      </c>
      <c r="J79" s="231" t="s">
        <v>4603</v>
      </c>
      <c r="K79" s="231" t="s">
        <v>213</v>
      </c>
      <c r="L79" s="232" t="s">
        <v>580</v>
      </c>
      <c r="M79" s="232">
        <v>46207.372916666667</v>
      </c>
      <c r="N79" s="231" t="s">
        <v>4613</v>
      </c>
      <c r="O79" s="144" t="s">
        <v>204</v>
      </c>
      <c r="P79" s="169"/>
      <c r="Q79" s="144" t="s">
        <v>204</v>
      </c>
      <c r="R79" s="56"/>
      <c r="S79" s="144" t="s">
        <v>204</v>
      </c>
      <c r="T79" s="56"/>
      <c r="U79" s="144" t="s">
        <v>210</v>
      </c>
      <c r="V79" s="56">
        <v>117</v>
      </c>
      <c r="W79" s="144" t="s">
        <v>204</v>
      </c>
      <c r="X79" s="56"/>
      <c r="Y79" s="144" t="s">
        <v>204</v>
      </c>
      <c r="Z79" s="56"/>
      <c r="AA79" s="144" t="s">
        <v>204</v>
      </c>
      <c r="AB79" s="56"/>
      <c r="AC79" s="144" t="s">
        <v>204</v>
      </c>
      <c r="AD79" s="56"/>
      <c r="AE79" s="144" t="s">
        <v>204</v>
      </c>
      <c r="AF79" s="215" t="str">
        <f t="shared" si="5"/>
        <v>NC</v>
      </c>
      <c r="AG79" s="96" t="str">
        <f t="shared" si="4"/>
        <v>UTILIZOU O PDA CORRETAMENTE. NÃO HÁ FOTOS DE TODAS AS ETAPAS</v>
      </c>
      <c r="AH79" s="63" t="s">
        <v>39</v>
      </c>
      <c r="AI79" s="151" t="str">
        <f t="shared" si="6"/>
        <v>GUARULHOS</v>
      </c>
      <c r="AJ79" s="151" t="s">
        <v>6</v>
      </c>
      <c r="AK79" s="53">
        <v>-1.5599999999999999E-2</v>
      </c>
      <c r="AL79" s="53" t="str" cm="1">
        <f t="array" ref="AL79">IF(OR(O79&lt;&gt;"", SUMPRODUCT(($AM$2:$AM$210=AM79)*($AK$2:$AK$210&lt;=AK79)) &lt;= (COUNTIF($AM$2:$AM$210,AM79)*0.1)), "SORTEADO", "-")</f>
        <v>SORTEADO</v>
      </c>
      <c r="AM79" s="53" t="str">
        <f t="shared" si="7"/>
        <v>04/07/2026</v>
      </c>
    </row>
    <row r="80" spans="1:39" ht="30" customHeight="1" x14ac:dyDescent="0.2">
      <c r="A80" s="231" t="s">
        <v>197</v>
      </c>
      <c r="B80" s="250">
        <v>2614194668</v>
      </c>
      <c r="C80" s="231" t="s">
        <v>138</v>
      </c>
      <c r="D80" s="231" t="s">
        <v>67</v>
      </c>
      <c r="E80" s="231" t="s">
        <v>198</v>
      </c>
      <c r="F80" s="231" t="s">
        <v>2697</v>
      </c>
      <c r="G80" s="231">
        <v>234</v>
      </c>
      <c r="H80" s="231"/>
      <c r="I80" s="231" t="s">
        <v>730</v>
      </c>
      <c r="J80" s="231" t="s">
        <v>4605</v>
      </c>
      <c r="K80" s="231" t="s">
        <v>4645</v>
      </c>
      <c r="L80" s="232" t="s">
        <v>580</v>
      </c>
      <c r="M80" s="232">
        <v>46207.417361111111</v>
      </c>
      <c r="N80" s="231" t="s">
        <v>4620</v>
      </c>
      <c r="O80" s="144" t="s">
        <v>210</v>
      </c>
      <c r="P80" s="169" t="s">
        <v>413</v>
      </c>
      <c r="Q80" s="144" t="s">
        <v>210</v>
      </c>
      <c r="R80" s="56" t="s">
        <v>413</v>
      </c>
      <c r="S80" s="144" t="s">
        <v>210</v>
      </c>
      <c r="T80" s="56" t="s">
        <v>413</v>
      </c>
      <c r="U80" s="144" t="s">
        <v>210</v>
      </c>
      <c r="V80" s="56" t="s">
        <v>413</v>
      </c>
      <c r="W80" s="144" t="s">
        <v>210</v>
      </c>
      <c r="X80" s="56" t="s">
        <v>413</v>
      </c>
      <c r="Y80" s="144" t="s">
        <v>210</v>
      </c>
      <c r="Z80" s="56" t="s">
        <v>413</v>
      </c>
      <c r="AA80" s="144" t="s">
        <v>210</v>
      </c>
      <c r="AB80" s="56" t="s">
        <v>413</v>
      </c>
      <c r="AC80" s="144" t="s">
        <v>210</v>
      </c>
      <c r="AD80" s="56" t="s">
        <v>413</v>
      </c>
      <c r="AE80" s="144" t="s">
        <v>210</v>
      </c>
      <c r="AF80" s="215" t="str">
        <f t="shared" si="5"/>
        <v>NC</v>
      </c>
      <c r="AG80" s="96" t="str">
        <f t="shared" si="4"/>
        <v>NÃO UTILIZOU O PDA</v>
      </c>
      <c r="AH80" s="169" t="s">
        <v>59</v>
      </c>
      <c r="AI80" s="151" t="str">
        <f t="shared" si="6"/>
        <v>GUARULHOS</v>
      </c>
      <c r="AJ80" s="151" t="s">
        <v>6</v>
      </c>
      <c r="AK80" s="53">
        <v>-1.5800000000000002E-2</v>
      </c>
      <c r="AL80" s="53" t="str" cm="1">
        <f t="array" ref="AL80">IF(OR(O80&lt;&gt;"", SUMPRODUCT(($AM$2:$AM$210=AM80)*($AK$2:$AK$210&lt;=AK80)) &lt;= (COUNTIF($AM$2:$AM$210,AM80)*0.1)), "SORTEADO", "-")</f>
        <v>SORTEADO</v>
      </c>
      <c r="AM80" s="53" t="str">
        <f t="shared" si="7"/>
        <v>04/07/2026</v>
      </c>
    </row>
    <row r="81" spans="1:39" ht="30" customHeight="1" x14ac:dyDescent="0.2">
      <c r="A81" s="231" t="s">
        <v>197</v>
      </c>
      <c r="B81" s="250">
        <v>2614308730</v>
      </c>
      <c r="C81" s="231" t="s">
        <v>139</v>
      </c>
      <c r="D81" s="231" t="s">
        <v>67</v>
      </c>
      <c r="E81" s="231" t="s">
        <v>198</v>
      </c>
      <c r="F81" s="231" t="s">
        <v>487</v>
      </c>
      <c r="G81" s="231">
        <v>140</v>
      </c>
      <c r="H81" s="231" t="s">
        <v>488</v>
      </c>
      <c r="I81" s="231" t="s">
        <v>489</v>
      </c>
      <c r="J81" s="231" t="s">
        <v>4603</v>
      </c>
      <c r="K81" s="231" t="s">
        <v>213</v>
      </c>
      <c r="L81" s="232" t="s">
        <v>580</v>
      </c>
      <c r="M81" s="232">
        <v>46207.40347222222</v>
      </c>
      <c r="N81" s="231" t="s">
        <v>4620</v>
      </c>
      <c r="O81" s="144" t="s">
        <v>210</v>
      </c>
      <c r="P81" s="63" t="s">
        <v>413</v>
      </c>
      <c r="Q81" s="144" t="s">
        <v>210</v>
      </c>
      <c r="R81" s="59" t="s">
        <v>413</v>
      </c>
      <c r="S81" s="144" t="s">
        <v>210</v>
      </c>
      <c r="T81" s="59" t="s">
        <v>413</v>
      </c>
      <c r="U81" s="144" t="s">
        <v>210</v>
      </c>
      <c r="V81" s="59" t="s">
        <v>413</v>
      </c>
      <c r="W81" s="144" t="s">
        <v>210</v>
      </c>
      <c r="X81" s="59" t="s">
        <v>413</v>
      </c>
      <c r="Y81" s="144" t="s">
        <v>210</v>
      </c>
      <c r="Z81" s="59" t="s">
        <v>413</v>
      </c>
      <c r="AA81" s="144" t="s">
        <v>210</v>
      </c>
      <c r="AB81" s="59" t="s">
        <v>413</v>
      </c>
      <c r="AC81" s="144" t="s">
        <v>210</v>
      </c>
      <c r="AD81" s="59" t="s">
        <v>413</v>
      </c>
      <c r="AE81" s="144" t="s">
        <v>210</v>
      </c>
      <c r="AF81" s="215" t="str">
        <f t="shared" si="5"/>
        <v>NC</v>
      </c>
      <c r="AG81" s="96" t="str">
        <f t="shared" si="4"/>
        <v>NÃO UTILIZOU O PDA</v>
      </c>
      <c r="AH81" s="63" t="s">
        <v>39</v>
      </c>
      <c r="AI81" s="151" t="str">
        <f t="shared" si="6"/>
        <v>GUARULHOS</v>
      </c>
      <c r="AJ81" s="151" t="s">
        <v>6</v>
      </c>
      <c r="AK81" s="53">
        <v>-1.6E-2</v>
      </c>
      <c r="AL81" s="53" t="str" cm="1">
        <f t="array" ref="AL81">IF(OR(O81&lt;&gt;"", SUMPRODUCT(($AM$2:$AM$210=AM81)*($AK$2:$AK$210&lt;=AK81)) &lt;= (COUNTIF($AM$2:$AM$210,AM81)*0.1)), "SORTEADO", "-")</f>
        <v>SORTEADO</v>
      </c>
      <c r="AM81" s="53" t="str">
        <f t="shared" si="7"/>
        <v>04/07/2026</v>
      </c>
    </row>
    <row r="82" spans="1:39" ht="30" customHeight="1" x14ac:dyDescent="0.2">
      <c r="A82" s="231" t="s">
        <v>197</v>
      </c>
      <c r="B82" s="250">
        <v>2689633352</v>
      </c>
      <c r="C82" s="231" t="s">
        <v>138</v>
      </c>
      <c r="D82" s="231" t="s">
        <v>67</v>
      </c>
      <c r="E82" s="231" t="s">
        <v>198</v>
      </c>
      <c r="F82" s="231" t="s">
        <v>495</v>
      </c>
      <c r="G82" s="231">
        <v>200</v>
      </c>
      <c r="H82" s="231" t="s">
        <v>552</v>
      </c>
      <c r="I82" s="231" t="s">
        <v>368</v>
      </c>
      <c r="J82" s="231" t="s">
        <v>4605</v>
      </c>
      <c r="K82" s="231"/>
      <c r="L82" s="232" t="s">
        <v>580</v>
      </c>
      <c r="M82" s="232">
        <v>46207.431944444441</v>
      </c>
      <c r="N82" s="231" t="s">
        <v>4620</v>
      </c>
      <c r="O82" s="144" t="s">
        <v>210</v>
      </c>
      <c r="P82" s="9" t="s">
        <v>413</v>
      </c>
      <c r="Q82" s="146" t="s">
        <v>210</v>
      </c>
      <c r="R82" s="92" t="s">
        <v>413</v>
      </c>
      <c r="S82" s="146" t="s">
        <v>210</v>
      </c>
      <c r="T82" s="92" t="s">
        <v>413</v>
      </c>
      <c r="U82" s="146" t="s">
        <v>210</v>
      </c>
      <c r="V82" s="92" t="s">
        <v>413</v>
      </c>
      <c r="W82" s="146" t="s">
        <v>210</v>
      </c>
      <c r="X82" s="92" t="s">
        <v>413</v>
      </c>
      <c r="Y82" s="146" t="s">
        <v>210</v>
      </c>
      <c r="Z82" s="92" t="s">
        <v>413</v>
      </c>
      <c r="AA82" s="146" t="s">
        <v>210</v>
      </c>
      <c r="AB82" s="64" t="s">
        <v>413</v>
      </c>
      <c r="AC82" s="146" t="s">
        <v>210</v>
      </c>
      <c r="AD82" s="64" t="s">
        <v>413</v>
      </c>
      <c r="AE82" s="146" t="s">
        <v>210</v>
      </c>
      <c r="AF82" s="215" t="str">
        <f t="shared" si="5"/>
        <v>NC</v>
      </c>
      <c r="AG82" s="96" t="str">
        <f t="shared" si="4"/>
        <v>NÃO UTILIZOU O PDA</v>
      </c>
      <c r="AH82" s="9" t="s">
        <v>39</v>
      </c>
      <c r="AI82" s="151" t="str">
        <f t="shared" si="6"/>
        <v>GUARULHOS</v>
      </c>
      <c r="AJ82" s="154" t="s">
        <v>6</v>
      </c>
      <c r="AK82" s="53">
        <v>-1.6199999999999999E-2</v>
      </c>
      <c r="AL82" s="53" t="str" cm="1">
        <f t="array" ref="AL82">IF(OR(O82&lt;&gt;"", SUMPRODUCT(($AM$2:$AM$210=AM82)*($AK$2:$AK$210&lt;=AK82)) &lt;= (COUNTIF($AM$2:$AM$210,AM82)*0.1)), "SORTEADO", "-")</f>
        <v>SORTEADO</v>
      </c>
      <c r="AM82" s="53" t="str">
        <f t="shared" si="7"/>
        <v>04/07/2026</v>
      </c>
    </row>
    <row r="83" spans="1:39" ht="30" customHeight="1" x14ac:dyDescent="0.2">
      <c r="A83" s="231" t="s">
        <v>197</v>
      </c>
      <c r="B83" s="250">
        <v>2614168094</v>
      </c>
      <c r="C83" s="231" t="s">
        <v>138</v>
      </c>
      <c r="D83" s="231" t="s">
        <v>67</v>
      </c>
      <c r="E83" s="231" t="s">
        <v>198</v>
      </c>
      <c r="F83" s="231" t="s">
        <v>2694</v>
      </c>
      <c r="G83" s="231">
        <v>138</v>
      </c>
      <c r="H83" s="231" t="s">
        <v>2695</v>
      </c>
      <c r="I83" s="231" t="s">
        <v>2696</v>
      </c>
      <c r="J83" s="231" t="s">
        <v>4605</v>
      </c>
      <c r="K83" s="231" t="s">
        <v>4646</v>
      </c>
      <c r="L83" s="232" t="s">
        <v>580</v>
      </c>
      <c r="M83" s="232">
        <v>46207.493750000001</v>
      </c>
      <c r="N83" s="231" t="s">
        <v>4620</v>
      </c>
      <c r="O83" s="144" t="s">
        <v>210</v>
      </c>
      <c r="P83" s="9" t="s">
        <v>413</v>
      </c>
      <c r="Q83" s="146" t="s">
        <v>210</v>
      </c>
      <c r="R83" s="92" t="s">
        <v>413</v>
      </c>
      <c r="S83" s="146" t="s">
        <v>210</v>
      </c>
      <c r="T83" s="92" t="s">
        <v>413</v>
      </c>
      <c r="U83" s="146" t="s">
        <v>210</v>
      </c>
      <c r="V83" s="92" t="s">
        <v>413</v>
      </c>
      <c r="W83" s="146" t="s">
        <v>210</v>
      </c>
      <c r="X83" s="92" t="s">
        <v>413</v>
      </c>
      <c r="Y83" s="146" t="s">
        <v>210</v>
      </c>
      <c r="Z83" s="92" t="s">
        <v>413</v>
      </c>
      <c r="AA83" s="146" t="s">
        <v>210</v>
      </c>
      <c r="AB83" s="64" t="s">
        <v>413</v>
      </c>
      <c r="AC83" s="146" t="s">
        <v>210</v>
      </c>
      <c r="AD83" s="64" t="s">
        <v>413</v>
      </c>
      <c r="AE83" s="146" t="s">
        <v>210</v>
      </c>
      <c r="AF83" s="215" t="str">
        <f t="shared" si="5"/>
        <v>NC</v>
      </c>
      <c r="AG83" s="96" t="str">
        <f t="shared" si="4"/>
        <v>NÃO UTILIZOU O PDA</v>
      </c>
      <c r="AH83" s="9" t="s">
        <v>59</v>
      </c>
      <c r="AI83" s="151" t="str">
        <f t="shared" si="6"/>
        <v>GUARULHOS</v>
      </c>
      <c r="AJ83" s="154" t="s">
        <v>6</v>
      </c>
      <c r="AK83" s="53">
        <v>-1.6400000000000001E-2</v>
      </c>
      <c r="AL83" s="53" t="str" cm="1">
        <f t="array" ref="AL83">IF(OR(O83&lt;&gt;"", SUMPRODUCT(($AM$2:$AM$210=AM83)*($AK$2:$AK$210&lt;=AK83)) &lt;= (COUNTIF($AM$2:$AM$210,AM83)*0.1)), "SORTEADO", "-")</f>
        <v>SORTEADO</v>
      </c>
      <c r="AM83" s="53" t="str">
        <f t="shared" si="7"/>
        <v>04/07/2026</v>
      </c>
    </row>
    <row r="84" spans="1:39" ht="30" customHeight="1" x14ac:dyDescent="0.2">
      <c r="A84" s="231" t="s">
        <v>197</v>
      </c>
      <c r="B84" s="250">
        <v>2689639070</v>
      </c>
      <c r="C84" s="231" t="s">
        <v>140</v>
      </c>
      <c r="D84" s="231" t="s">
        <v>67</v>
      </c>
      <c r="E84" s="231" t="s">
        <v>198</v>
      </c>
      <c r="F84" s="231" t="s">
        <v>529</v>
      </c>
      <c r="G84" s="231">
        <v>263</v>
      </c>
      <c r="H84" s="231" t="s">
        <v>530</v>
      </c>
      <c r="I84" s="231" t="s">
        <v>531</v>
      </c>
      <c r="J84" s="231" t="s">
        <v>4605</v>
      </c>
      <c r="K84" s="231"/>
      <c r="L84" s="232" t="s">
        <v>580</v>
      </c>
      <c r="M84" s="232">
        <v>46207.386805555558</v>
      </c>
      <c r="N84" s="231" t="s">
        <v>4620</v>
      </c>
      <c r="O84" s="144" t="s">
        <v>210</v>
      </c>
      <c r="P84" s="9" t="s">
        <v>413</v>
      </c>
      <c r="Q84" s="146" t="s">
        <v>210</v>
      </c>
      <c r="R84" s="92" t="s">
        <v>413</v>
      </c>
      <c r="S84" s="146" t="s">
        <v>210</v>
      </c>
      <c r="T84" s="92" t="s">
        <v>413</v>
      </c>
      <c r="U84" s="146" t="s">
        <v>210</v>
      </c>
      <c r="V84" s="92" t="s">
        <v>413</v>
      </c>
      <c r="W84" s="146" t="s">
        <v>210</v>
      </c>
      <c r="X84" s="92" t="s">
        <v>413</v>
      </c>
      <c r="Y84" s="146" t="s">
        <v>210</v>
      </c>
      <c r="Z84" s="92" t="s">
        <v>413</v>
      </c>
      <c r="AA84" s="146" t="s">
        <v>210</v>
      </c>
      <c r="AB84" s="64" t="s">
        <v>413</v>
      </c>
      <c r="AC84" s="146" t="s">
        <v>210</v>
      </c>
      <c r="AD84" s="64" t="s">
        <v>413</v>
      </c>
      <c r="AE84" s="146" t="s">
        <v>210</v>
      </c>
      <c r="AF84" s="215" t="str">
        <f t="shared" si="5"/>
        <v>NC</v>
      </c>
      <c r="AG84" s="96" t="str">
        <f t="shared" si="4"/>
        <v>NÃO UTILIZOU O PDA</v>
      </c>
      <c r="AH84" s="9" t="s">
        <v>39</v>
      </c>
      <c r="AI84" s="151" t="str">
        <f t="shared" si="6"/>
        <v>GUARULHOS</v>
      </c>
      <c r="AJ84" s="154" t="s">
        <v>6</v>
      </c>
      <c r="AK84" s="53">
        <v>-1.66E-2</v>
      </c>
      <c r="AL84" s="53" t="str" cm="1">
        <f t="array" ref="AL84">IF(OR(O84&lt;&gt;"", SUMPRODUCT(($AM$2:$AM$210=AM84)*($AK$2:$AK$210&lt;=AK84)) &lt;= (COUNTIF($AM$2:$AM$210,AM84)*0.1)), "SORTEADO", "-")</f>
        <v>SORTEADO</v>
      </c>
      <c r="AM84" s="53" t="str">
        <f t="shared" si="7"/>
        <v>04/07/2026</v>
      </c>
    </row>
    <row r="85" spans="1:39" ht="30" customHeight="1" x14ac:dyDescent="0.2">
      <c r="A85" s="231" t="s">
        <v>197</v>
      </c>
      <c r="B85" s="250">
        <v>2614318818</v>
      </c>
      <c r="C85" s="231" t="s">
        <v>138</v>
      </c>
      <c r="D85" s="231" t="s">
        <v>67</v>
      </c>
      <c r="E85" s="231" t="s">
        <v>198</v>
      </c>
      <c r="F85" s="231" t="s">
        <v>2668</v>
      </c>
      <c r="G85" s="231">
        <v>623</v>
      </c>
      <c r="H85" s="231" t="s">
        <v>206</v>
      </c>
      <c r="I85" s="231" t="s">
        <v>466</v>
      </c>
      <c r="J85" s="231" t="s">
        <v>4605</v>
      </c>
      <c r="K85" s="231" t="s">
        <v>4610</v>
      </c>
      <c r="L85" s="232" t="s">
        <v>661</v>
      </c>
      <c r="M85" s="232">
        <v>46238.40625</v>
      </c>
      <c r="N85" s="231" t="s">
        <v>4604</v>
      </c>
      <c r="O85" s="144" t="s">
        <v>210</v>
      </c>
      <c r="P85" s="9" t="s">
        <v>413</v>
      </c>
      <c r="Q85" s="146" t="s">
        <v>210</v>
      </c>
      <c r="R85" s="92" t="s">
        <v>413</v>
      </c>
      <c r="S85" s="146" t="s">
        <v>210</v>
      </c>
      <c r="T85" s="92" t="s">
        <v>413</v>
      </c>
      <c r="U85" s="146" t="s">
        <v>210</v>
      </c>
      <c r="V85" s="92" t="s">
        <v>413</v>
      </c>
      <c r="W85" s="146" t="s">
        <v>210</v>
      </c>
      <c r="X85" s="92" t="s">
        <v>413</v>
      </c>
      <c r="Y85" s="146" t="s">
        <v>210</v>
      </c>
      <c r="Z85" s="92" t="s">
        <v>413</v>
      </c>
      <c r="AA85" s="146" t="s">
        <v>210</v>
      </c>
      <c r="AB85" s="64" t="s">
        <v>413</v>
      </c>
      <c r="AC85" s="146" t="s">
        <v>210</v>
      </c>
      <c r="AD85" s="64" t="s">
        <v>413</v>
      </c>
      <c r="AE85" s="146" t="s">
        <v>210</v>
      </c>
      <c r="AF85" s="215" t="s">
        <v>210</v>
      </c>
      <c r="AG85" s="96" t="str">
        <f t="shared" si="4"/>
        <v>NÃO UTILIZOU O PDA</v>
      </c>
      <c r="AH85" s="9" t="s">
        <v>59</v>
      </c>
      <c r="AI85" s="151" t="str">
        <f t="shared" si="6"/>
        <v>GUARULHOS</v>
      </c>
      <c r="AJ85" s="154" t="s">
        <v>6</v>
      </c>
      <c r="AK85" s="53">
        <v>-1.6799999999999999E-2</v>
      </c>
      <c r="AL85" s="53" t="str" cm="1">
        <f t="array" ref="AL85">IF(OR(O85&lt;&gt;"", SUMPRODUCT(($AM$2:$AM$210=AM85)*($AK$2:$AK$210&lt;=AK85)) &lt;= (COUNTIF($AM$2:$AM$210,AM85)*0.1)), "SORTEADO", "-")</f>
        <v>SORTEADO</v>
      </c>
      <c r="AM85" s="53" t="str">
        <f t="shared" si="7"/>
        <v>04/08/2026</v>
      </c>
    </row>
    <row r="86" spans="1:39" ht="30" customHeight="1" x14ac:dyDescent="0.2">
      <c r="A86" s="231" t="s">
        <v>197</v>
      </c>
      <c r="B86" s="250">
        <v>2689677695</v>
      </c>
      <c r="C86" s="231" t="s">
        <v>138</v>
      </c>
      <c r="D86" s="231" t="s">
        <v>67</v>
      </c>
      <c r="E86" s="231" t="s">
        <v>198</v>
      </c>
      <c r="F86" s="231" t="s">
        <v>556</v>
      </c>
      <c r="G86" s="231">
        <v>195</v>
      </c>
      <c r="H86" s="231" t="s">
        <v>213</v>
      </c>
      <c r="I86" s="231" t="s">
        <v>557</v>
      </c>
      <c r="J86" s="231" t="s">
        <v>4605</v>
      </c>
      <c r="K86" s="231" t="s">
        <v>213</v>
      </c>
      <c r="L86" s="232" t="s">
        <v>661</v>
      </c>
      <c r="M86" s="232">
        <v>46238.527083333334</v>
      </c>
      <c r="N86" s="231" t="s">
        <v>4604</v>
      </c>
      <c r="O86" s="228" t="s">
        <v>210</v>
      </c>
      <c r="P86" s="9" t="s">
        <v>413</v>
      </c>
      <c r="Q86" s="146" t="s">
        <v>210</v>
      </c>
      <c r="R86" s="92" t="s">
        <v>413</v>
      </c>
      <c r="S86" s="146" t="s">
        <v>210</v>
      </c>
      <c r="T86" s="92" t="s">
        <v>413</v>
      </c>
      <c r="U86" s="146" t="s">
        <v>210</v>
      </c>
      <c r="V86" s="92" t="s">
        <v>413</v>
      </c>
      <c r="W86" s="146" t="s">
        <v>210</v>
      </c>
      <c r="X86" s="92" t="s">
        <v>413</v>
      </c>
      <c r="Y86" s="146" t="s">
        <v>210</v>
      </c>
      <c r="Z86" s="92" t="s">
        <v>413</v>
      </c>
      <c r="AA86" s="146" t="s">
        <v>210</v>
      </c>
      <c r="AB86" s="64" t="s">
        <v>413</v>
      </c>
      <c r="AC86" s="146" t="s">
        <v>210</v>
      </c>
      <c r="AD86" s="64" t="s">
        <v>413</v>
      </c>
      <c r="AE86" s="146" t="s">
        <v>210</v>
      </c>
      <c r="AF86" s="215" t="str">
        <f t="shared" si="5"/>
        <v>NC</v>
      </c>
      <c r="AG86" s="96" t="str">
        <f t="shared" si="4"/>
        <v>NÃO UTILIZOU O PDA</v>
      </c>
      <c r="AH86" s="9" t="s">
        <v>39</v>
      </c>
      <c r="AI86" s="151" t="str">
        <f t="shared" si="6"/>
        <v>GUARULHOS</v>
      </c>
      <c r="AJ86" s="154" t="s">
        <v>6</v>
      </c>
      <c r="AK86" s="53">
        <v>-1.7000000000000001E-2</v>
      </c>
      <c r="AL86" s="53" t="str" cm="1">
        <f t="array" ref="AL86">IF(OR(O86&lt;&gt;"", SUMPRODUCT(($AM$2:$AM$210=AM86)*($AK$2:$AK$210&lt;=AK86)) &lt;= (COUNTIF($AM$2:$AM$210,AM86)*0.1)), "SORTEADO", "-")</f>
        <v>SORTEADO</v>
      </c>
      <c r="AM86" s="53" t="str">
        <f t="shared" si="7"/>
        <v>04/08/2026</v>
      </c>
    </row>
    <row r="87" spans="1:39" ht="30" hidden="1" customHeight="1" x14ac:dyDescent="0.2">
      <c r="A87" s="231" t="s">
        <v>197</v>
      </c>
      <c r="B87" s="250">
        <v>2614395879</v>
      </c>
      <c r="C87" s="231" t="s">
        <v>138</v>
      </c>
      <c r="D87" s="231" t="s">
        <v>67</v>
      </c>
      <c r="E87" s="231" t="s">
        <v>198</v>
      </c>
      <c r="F87" s="231" t="s">
        <v>526</v>
      </c>
      <c r="G87" s="231">
        <v>167</v>
      </c>
      <c r="H87" s="231" t="s">
        <v>527</v>
      </c>
      <c r="I87" s="231" t="s">
        <v>331</v>
      </c>
      <c r="J87" s="231" t="s">
        <v>4605</v>
      </c>
      <c r="K87" s="231"/>
      <c r="L87" s="232" t="s">
        <v>661</v>
      </c>
      <c r="M87" s="232">
        <v>46238.455555555556</v>
      </c>
      <c r="N87" s="231" t="s">
        <v>4604</v>
      </c>
      <c r="O87" s="228" t="s">
        <v>204</v>
      </c>
      <c r="P87" s="9"/>
      <c r="Q87" s="146" t="s">
        <v>204</v>
      </c>
      <c r="R87" s="92"/>
      <c r="S87" s="146" t="s">
        <v>204</v>
      </c>
      <c r="T87" s="92"/>
      <c r="U87" s="146" t="s">
        <v>204</v>
      </c>
      <c r="V87" s="92"/>
      <c r="W87" s="146" t="s">
        <v>204</v>
      </c>
      <c r="X87" s="92"/>
      <c r="Y87" s="146" t="s">
        <v>204</v>
      </c>
      <c r="Z87" s="92"/>
      <c r="AA87" s="146" t="s">
        <v>204</v>
      </c>
      <c r="AB87" s="64"/>
      <c r="AC87" s="146" t="s">
        <v>204</v>
      </c>
      <c r="AD87" s="64"/>
      <c r="AE87" s="146" t="s">
        <v>204</v>
      </c>
      <c r="AF87" s="215" t="str">
        <f t="shared" si="5"/>
        <v>C</v>
      </c>
      <c r="AG87" s="96" t="str">
        <f t="shared" si="4"/>
        <v>UTILIZOU O PDA CORRETAMENTE</v>
      </c>
      <c r="AH87" s="9" t="s">
        <v>39</v>
      </c>
      <c r="AI87" s="151" t="str">
        <f t="shared" si="6"/>
        <v>GUARULHOS</v>
      </c>
      <c r="AJ87" s="154" t="s">
        <v>6</v>
      </c>
      <c r="AK87" s="53">
        <v>-1.72E-2</v>
      </c>
      <c r="AL87" s="53" t="str" cm="1">
        <f t="array" ref="AL87">IF(OR(O87&lt;&gt;"", SUMPRODUCT(($AM$2:$AM$210=AM87)*($AK$2:$AK$210&lt;=AK87)) &lt;= (COUNTIF($AM$2:$AM$210,AM87)*0.1)), "SORTEADO", "-")</f>
        <v>SORTEADO</v>
      </c>
      <c r="AM87" s="53" t="str">
        <f t="shared" si="7"/>
        <v>04/08/2026</v>
      </c>
    </row>
    <row r="88" spans="1:39" ht="30" customHeight="1" x14ac:dyDescent="0.2">
      <c r="A88" s="231" t="s">
        <v>197</v>
      </c>
      <c r="B88" s="250">
        <v>2614463350</v>
      </c>
      <c r="C88" s="231" t="s">
        <v>138</v>
      </c>
      <c r="D88" s="231" t="s">
        <v>67</v>
      </c>
      <c r="E88" s="231" t="s">
        <v>198</v>
      </c>
      <c r="F88" s="231" t="s">
        <v>275</v>
      </c>
      <c r="G88" s="231">
        <v>10</v>
      </c>
      <c r="H88" s="231" t="s">
        <v>555</v>
      </c>
      <c r="I88" s="231" t="s">
        <v>277</v>
      </c>
      <c r="J88" s="231" t="s">
        <v>4605</v>
      </c>
      <c r="K88" s="231" t="s">
        <v>213</v>
      </c>
      <c r="L88" s="232" t="s">
        <v>661</v>
      </c>
      <c r="M88" s="232">
        <v>46238.504861111112</v>
      </c>
      <c r="N88" s="231" t="s">
        <v>4604</v>
      </c>
      <c r="O88" s="228" t="s">
        <v>210</v>
      </c>
      <c r="P88" s="9" t="s">
        <v>413</v>
      </c>
      <c r="Q88" s="146" t="s">
        <v>210</v>
      </c>
      <c r="R88" s="92" t="s">
        <v>413</v>
      </c>
      <c r="S88" s="146" t="s">
        <v>210</v>
      </c>
      <c r="T88" s="92" t="s">
        <v>413</v>
      </c>
      <c r="U88" s="146" t="s">
        <v>210</v>
      </c>
      <c r="V88" s="92" t="s">
        <v>413</v>
      </c>
      <c r="W88" s="146" t="s">
        <v>210</v>
      </c>
      <c r="X88" s="92" t="s">
        <v>413</v>
      </c>
      <c r="Y88" s="146" t="s">
        <v>210</v>
      </c>
      <c r="Z88" s="92" t="s">
        <v>413</v>
      </c>
      <c r="AA88" s="146" t="s">
        <v>210</v>
      </c>
      <c r="AB88" s="64" t="s">
        <v>413</v>
      </c>
      <c r="AC88" s="146" t="s">
        <v>210</v>
      </c>
      <c r="AD88" s="64" t="s">
        <v>413</v>
      </c>
      <c r="AE88" s="146" t="s">
        <v>210</v>
      </c>
      <c r="AF88" s="215" t="str">
        <f t="shared" si="5"/>
        <v>NC</v>
      </c>
      <c r="AG88" s="96" t="str">
        <f t="shared" si="4"/>
        <v>NÃO UTILIZOU O PDA</v>
      </c>
      <c r="AH88" s="9" t="s">
        <v>39</v>
      </c>
      <c r="AI88" s="151" t="str">
        <f t="shared" si="6"/>
        <v>GUARULHOS</v>
      </c>
      <c r="AJ88" s="154" t="s">
        <v>6</v>
      </c>
      <c r="AK88" s="53">
        <v>-1.7399999999999999E-2</v>
      </c>
      <c r="AL88" s="53" t="str" cm="1">
        <f t="array" ref="AL88">IF(OR(O88&lt;&gt;"", SUMPRODUCT(($AM$2:$AM$210=AM88)*($AK$2:$AK$210&lt;=AK88)) &lt;= (COUNTIF($AM$2:$AM$210,AM88)*0.1)), "SORTEADO", "-")</f>
        <v>SORTEADO</v>
      </c>
      <c r="AM88" s="53" t="str">
        <f t="shared" si="7"/>
        <v>04/08/2026</v>
      </c>
    </row>
    <row r="89" spans="1:39" ht="30" customHeight="1" x14ac:dyDescent="0.2">
      <c r="A89" s="231" t="s">
        <v>197</v>
      </c>
      <c r="B89" s="250">
        <v>2614318855</v>
      </c>
      <c r="C89" s="231" t="s">
        <v>138</v>
      </c>
      <c r="D89" s="231" t="s">
        <v>67</v>
      </c>
      <c r="E89" s="231" t="s">
        <v>198</v>
      </c>
      <c r="F89" s="231" t="s">
        <v>507</v>
      </c>
      <c r="G89" s="231">
        <v>14</v>
      </c>
      <c r="H89" s="231" t="s">
        <v>508</v>
      </c>
      <c r="I89" s="231" t="s">
        <v>509</v>
      </c>
      <c r="J89" s="231" t="s">
        <v>4605</v>
      </c>
      <c r="K89" s="231"/>
      <c r="L89" s="232" t="s">
        <v>661</v>
      </c>
      <c r="M89" s="232">
        <v>46238.522916666669</v>
      </c>
      <c r="N89" s="231" t="s">
        <v>4604</v>
      </c>
      <c r="O89" s="228" t="s">
        <v>210</v>
      </c>
      <c r="P89" s="9" t="s">
        <v>413</v>
      </c>
      <c r="Q89" s="146" t="s">
        <v>210</v>
      </c>
      <c r="R89" s="92" t="s">
        <v>413</v>
      </c>
      <c r="S89" s="146" t="s">
        <v>210</v>
      </c>
      <c r="T89" s="92" t="s">
        <v>413</v>
      </c>
      <c r="U89" s="146" t="s">
        <v>210</v>
      </c>
      <c r="V89" s="92" t="s">
        <v>413</v>
      </c>
      <c r="W89" s="146" t="s">
        <v>210</v>
      </c>
      <c r="X89" s="92" t="s">
        <v>413</v>
      </c>
      <c r="Y89" s="146" t="s">
        <v>210</v>
      </c>
      <c r="Z89" s="92" t="s">
        <v>413</v>
      </c>
      <c r="AA89" s="146" t="s">
        <v>210</v>
      </c>
      <c r="AB89" s="64" t="s">
        <v>413</v>
      </c>
      <c r="AC89" s="146" t="s">
        <v>210</v>
      </c>
      <c r="AD89" s="64" t="s">
        <v>413</v>
      </c>
      <c r="AE89" s="146" t="s">
        <v>210</v>
      </c>
      <c r="AF89" s="215" t="str">
        <f t="shared" si="5"/>
        <v>NC</v>
      </c>
      <c r="AG89" s="96" t="str">
        <f t="shared" si="4"/>
        <v>NÃO UTILIZOU O PDA</v>
      </c>
      <c r="AH89" s="9" t="s">
        <v>39</v>
      </c>
      <c r="AI89" s="151" t="str">
        <f t="shared" si="6"/>
        <v>GUARULHOS</v>
      </c>
      <c r="AJ89" s="154" t="s">
        <v>6</v>
      </c>
      <c r="AK89" s="53">
        <v>-1.7600000000000001E-2</v>
      </c>
      <c r="AL89" s="53" t="str" cm="1">
        <f t="array" ref="AL89">IF(OR(O89&lt;&gt;"", SUMPRODUCT(($AM$2:$AM$210=AM89)*($AK$2:$AK$210&lt;=AK89)) &lt;= (COUNTIF($AM$2:$AM$210,AM89)*0.1)), "SORTEADO", "-")</f>
        <v>SORTEADO</v>
      </c>
      <c r="AM89" s="53" t="str">
        <f t="shared" si="7"/>
        <v>04/08/2026</v>
      </c>
    </row>
    <row r="90" spans="1:39" ht="30" hidden="1" customHeight="1" x14ac:dyDescent="0.2">
      <c r="A90" s="231" t="s">
        <v>197</v>
      </c>
      <c r="B90" s="250">
        <v>2614498395</v>
      </c>
      <c r="C90" s="231" t="s">
        <v>140</v>
      </c>
      <c r="D90" s="231" t="s">
        <v>67</v>
      </c>
      <c r="E90" s="231" t="s">
        <v>198</v>
      </c>
      <c r="F90" s="231" t="s">
        <v>563</v>
      </c>
      <c r="G90" s="231">
        <v>82</v>
      </c>
      <c r="H90" s="231" t="s">
        <v>564</v>
      </c>
      <c r="I90" s="231" t="s">
        <v>565</v>
      </c>
      <c r="J90" s="231" t="s">
        <v>4605</v>
      </c>
      <c r="K90" s="231" t="s">
        <v>213</v>
      </c>
      <c r="L90" s="232" t="s">
        <v>661</v>
      </c>
      <c r="M90" s="232">
        <v>46238.368055555555</v>
      </c>
      <c r="N90" s="231" t="s">
        <v>4604</v>
      </c>
      <c r="O90" s="228" t="s">
        <v>204</v>
      </c>
      <c r="P90" s="9"/>
      <c r="Q90" s="146" t="s">
        <v>204</v>
      </c>
      <c r="R90" s="92"/>
      <c r="S90" s="146" t="s">
        <v>204</v>
      </c>
      <c r="T90" s="92"/>
      <c r="U90" s="146" t="s">
        <v>204</v>
      </c>
      <c r="V90" s="92"/>
      <c r="W90" s="146" t="s">
        <v>204</v>
      </c>
      <c r="X90" s="92"/>
      <c r="Y90" s="146" t="s">
        <v>204</v>
      </c>
      <c r="Z90" s="92"/>
      <c r="AA90" s="146" t="s">
        <v>204</v>
      </c>
      <c r="AB90" s="64"/>
      <c r="AC90" s="146" t="s">
        <v>204</v>
      </c>
      <c r="AD90" s="64"/>
      <c r="AE90" s="146" t="s">
        <v>204</v>
      </c>
      <c r="AF90" s="215" t="str">
        <f t="shared" si="5"/>
        <v>C</v>
      </c>
      <c r="AG90" s="96" t="str">
        <f t="shared" si="4"/>
        <v>UTILIZOU O PDA CORRETAMENTE</v>
      </c>
      <c r="AH90" s="9" t="s">
        <v>39</v>
      </c>
      <c r="AI90" s="151" t="str">
        <f t="shared" si="6"/>
        <v>GUARULHOS</v>
      </c>
      <c r="AJ90" s="154" t="s">
        <v>6</v>
      </c>
      <c r="AK90" s="53">
        <v>-1.78E-2</v>
      </c>
      <c r="AL90" s="53" t="str" cm="1">
        <f t="array" ref="AL90">IF(OR(O90&lt;&gt;"", SUMPRODUCT(($AM$2:$AM$210=AM90)*($AK$2:$AK$210&lt;=AK90)) &lt;= (COUNTIF($AM$2:$AM$210,AM90)*0.1)), "SORTEADO", "-")</f>
        <v>SORTEADO</v>
      </c>
      <c r="AM90" s="53" t="str">
        <f t="shared" si="7"/>
        <v>04/08/2026</v>
      </c>
    </row>
    <row r="91" spans="1:39" ht="30" customHeight="1" x14ac:dyDescent="0.2">
      <c r="A91" s="231" t="s">
        <v>197</v>
      </c>
      <c r="B91" s="250">
        <v>2614397494</v>
      </c>
      <c r="C91" s="231" t="s">
        <v>140</v>
      </c>
      <c r="D91" s="231" t="s">
        <v>67</v>
      </c>
      <c r="E91" s="231" t="s">
        <v>198</v>
      </c>
      <c r="F91" s="231" t="s">
        <v>536</v>
      </c>
      <c r="G91" s="231">
        <v>412</v>
      </c>
      <c r="H91" s="231" t="s">
        <v>537</v>
      </c>
      <c r="I91" s="231" t="s">
        <v>538</v>
      </c>
      <c r="J91" s="231" t="s">
        <v>4605</v>
      </c>
      <c r="K91" s="231"/>
      <c r="L91" s="232" t="s">
        <v>661</v>
      </c>
      <c r="M91" s="232">
        <v>46238.378472222219</v>
      </c>
      <c r="N91" s="231" t="s">
        <v>4620</v>
      </c>
      <c r="O91" s="228" t="s">
        <v>210</v>
      </c>
      <c r="P91" s="9" t="s">
        <v>413</v>
      </c>
      <c r="Q91" s="146" t="s">
        <v>210</v>
      </c>
      <c r="R91" s="92" t="s">
        <v>413</v>
      </c>
      <c r="S91" s="146" t="s">
        <v>210</v>
      </c>
      <c r="T91" s="92" t="s">
        <v>413</v>
      </c>
      <c r="U91" s="146" t="s">
        <v>210</v>
      </c>
      <c r="V91" s="92" t="s">
        <v>413</v>
      </c>
      <c r="W91" s="146" t="s">
        <v>210</v>
      </c>
      <c r="X91" s="92" t="s">
        <v>413</v>
      </c>
      <c r="Y91" s="146" t="s">
        <v>210</v>
      </c>
      <c r="Z91" s="92" t="s">
        <v>413</v>
      </c>
      <c r="AA91" s="146" t="s">
        <v>210</v>
      </c>
      <c r="AB91" s="64" t="s">
        <v>413</v>
      </c>
      <c r="AC91" s="146" t="s">
        <v>210</v>
      </c>
      <c r="AD91" s="64" t="s">
        <v>413</v>
      </c>
      <c r="AE91" s="146" t="s">
        <v>210</v>
      </c>
      <c r="AF91" s="215" t="str">
        <f t="shared" si="5"/>
        <v>NC</v>
      </c>
      <c r="AG91" s="96" t="str">
        <f t="shared" si="4"/>
        <v>NÃO UTILIZOU O PDA</v>
      </c>
      <c r="AH91" s="9" t="s">
        <v>39</v>
      </c>
      <c r="AI91" s="151" t="str">
        <f t="shared" si="6"/>
        <v>GUARULHOS</v>
      </c>
      <c r="AJ91" s="154" t="s">
        <v>6</v>
      </c>
      <c r="AK91" s="53">
        <v>-1.7999999999999999E-2</v>
      </c>
      <c r="AL91" s="53" t="str" cm="1">
        <f t="array" ref="AL91">IF(OR(O91&lt;&gt;"", SUMPRODUCT(($AM$2:$AM$210=AM91)*($AK$2:$AK$210&lt;=AK91)) &lt;= (COUNTIF($AM$2:$AM$210,AM91)*0.1)), "SORTEADO", "-")</f>
        <v>SORTEADO</v>
      </c>
      <c r="AM91" s="53" t="str">
        <f t="shared" si="7"/>
        <v>04/08/2026</v>
      </c>
    </row>
    <row r="92" spans="1:39" ht="30" customHeight="1" x14ac:dyDescent="0.2">
      <c r="A92" s="231" t="s">
        <v>197</v>
      </c>
      <c r="B92" s="250">
        <v>2614456848</v>
      </c>
      <c r="C92" s="231" t="s">
        <v>141</v>
      </c>
      <c r="D92" s="231" t="s">
        <v>67</v>
      </c>
      <c r="E92" s="231" t="s">
        <v>198</v>
      </c>
      <c r="F92" s="231" t="s">
        <v>490</v>
      </c>
      <c r="G92" s="231">
        <v>676</v>
      </c>
      <c r="H92" s="231" t="s">
        <v>4647</v>
      </c>
      <c r="I92" s="231" t="s">
        <v>492</v>
      </c>
      <c r="J92" s="231" t="s">
        <v>4603</v>
      </c>
      <c r="K92" s="231" t="s">
        <v>213</v>
      </c>
      <c r="L92" s="232" t="s">
        <v>661</v>
      </c>
      <c r="M92" s="232">
        <v>46238.400000000001</v>
      </c>
      <c r="N92" s="231" t="s">
        <v>4620</v>
      </c>
      <c r="O92" s="228" t="s">
        <v>210</v>
      </c>
      <c r="P92" s="9" t="s">
        <v>413</v>
      </c>
      <c r="Q92" s="146" t="s">
        <v>210</v>
      </c>
      <c r="R92" s="92" t="s">
        <v>413</v>
      </c>
      <c r="S92" s="146" t="s">
        <v>210</v>
      </c>
      <c r="T92" s="92" t="s">
        <v>413</v>
      </c>
      <c r="U92" s="146" t="s">
        <v>210</v>
      </c>
      <c r="V92" s="92" t="s">
        <v>413</v>
      </c>
      <c r="W92" s="146" t="s">
        <v>210</v>
      </c>
      <c r="X92" s="92" t="s">
        <v>413</v>
      </c>
      <c r="Y92" s="146" t="s">
        <v>210</v>
      </c>
      <c r="Z92" s="92" t="s">
        <v>413</v>
      </c>
      <c r="AA92" s="146" t="s">
        <v>210</v>
      </c>
      <c r="AB92" s="64" t="s">
        <v>413</v>
      </c>
      <c r="AC92" s="146" t="s">
        <v>210</v>
      </c>
      <c r="AD92" s="64" t="s">
        <v>413</v>
      </c>
      <c r="AE92" s="146" t="s">
        <v>210</v>
      </c>
      <c r="AF92" s="215" t="str">
        <f t="shared" si="5"/>
        <v>NC</v>
      </c>
      <c r="AG92" s="96" t="str">
        <f t="shared" si="4"/>
        <v>NÃO UTILIZOU O PDA</v>
      </c>
      <c r="AH92" s="9" t="s">
        <v>39</v>
      </c>
      <c r="AI92" s="151" t="str">
        <f t="shared" si="6"/>
        <v>GUARULHOS</v>
      </c>
      <c r="AJ92" s="154" t="s">
        <v>6</v>
      </c>
      <c r="AK92" s="53">
        <v>-1.8200000000000001E-2</v>
      </c>
      <c r="AL92" s="53" t="str" cm="1">
        <f t="array" ref="AL92">IF(OR(O92&lt;&gt;"", SUMPRODUCT(($AM$2:$AM$210=AM92)*($AK$2:$AK$210&lt;=AK92)) &lt;= (COUNTIF($AM$2:$AM$210,AM92)*0.1)), "SORTEADO", "-")</f>
        <v>SORTEADO</v>
      </c>
      <c r="AM92" s="53" t="str">
        <f t="shared" si="7"/>
        <v>04/08/2026</v>
      </c>
    </row>
    <row r="93" spans="1:39" ht="30" customHeight="1" x14ac:dyDescent="0.2">
      <c r="A93" s="231" t="s">
        <v>197</v>
      </c>
      <c r="B93" s="250">
        <v>2614436406</v>
      </c>
      <c r="C93" s="231" t="s">
        <v>139</v>
      </c>
      <c r="D93" s="231" t="s">
        <v>67</v>
      </c>
      <c r="E93" s="231" t="s">
        <v>198</v>
      </c>
      <c r="F93" s="231" t="s">
        <v>2632</v>
      </c>
      <c r="G93" s="231">
        <v>293</v>
      </c>
      <c r="H93" s="231"/>
      <c r="I93" s="231" t="s">
        <v>1397</v>
      </c>
      <c r="J93" s="231" t="s">
        <v>4603</v>
      </c>
      <c r="K93" s="231"/>
      <c r="L93" s="232" t="s">
        <v>661</v>
      </c>
      <c r="M93" s="232">
        <v>46238.443055555559</v>
      </c>
      <c r="N93" s="231" t="s">
        <v>4620</v>
      </c>
      <c r="O93" s="228" t="s">
        <v>210</v>
      </c>
      <c r="P93" s="9" t="s">
        <v>413</v>
      </c>
      <c r="Q93" s="146" t="s">
        <v>210</v>
      </c>
      <c r="R93" s="92" t="s">
        <v>413</v>
      </c>
      <c r="S93" s="146" t="s">
        <v>210</v>
      </c>
      <c r="T93" s="92" t="s">
        <v>413</v>
      </c>
      <c r="U93" s="146" t="s">
        <v>210</v>
      </c>
      <c r="V93" s="92" t="s">
        <v>413</v>
      </c>
      <c r="W93" s="146" t="s">
        <v>210</v>
      </c>
      <c r="X93" s="92" t="s">
        <v>413</v>
      </c>
      <c r="Y93" s="146" t="s">
        <v>210</v>
      </c>
      <c r="Z93" s="92" t="s">
        <v>413</v>
      </c>
      <c r="AA93" s="146" t="s">
        <v>210</v>
      </c>
      <c r="AB93" s="64" t="s">
        <v>413</v>
      </c>
      <c r="AC93" s="146" t="s">
        <v>210</v>
      </c>
      <c r="AD93" s="64" t="s">
        <v>413</v>
      </c>
      <c r="AE93" s="146" t="s">
        <v>210</v>
      </c>
      <c r="AF93" s="215" t="str">
        <f t="shared" si="5"/>
        <v>NC</v>
      </c>
      <c r="AG93" s="96" t="str">
        <f t="shared" si="4"/>
        <v>NÃO UTILIZOU O PDA</v>
      </c>
      <c r="AH93" s="9" t="s">
        <v>59</v>
      </c>
      <c r="AI93" s="151" t="str">
        <f t="shared" si="6"/>
        <v>GUARULHOS</v>
      </c>
      <c r="AJ93" s="154" t="s">
        <v>6</v>
      </c>
      <c r="AK93" s="53">
        <v>-1.84E-2</v>
      </c>
      <c r="AL93" s="53" t="str" cm="1">
        <f t="array" ref="AL93">IF(OR(O93&lt;&gt;"", SUMPRODUCT(($AM$2:$AM$210=AM93)*($AK$2:$AK$210&lt;=AK93)) &lt;= (COUNTIF($AM$2:$AM$210,AM93)*0.1)), "SORTEADO", "-")</f>
        <v>SORTEADO</v>
      </c>
      <c r="AM93" s="53" t="str">
        <f t="shared" si="7"/>
        <v>04/08/2026</v>
      </c>
    </row>
    <row r="94" spans="1:39" ht="30" customHeight="1" x14ac:dyDescent="0.2">
      <c r="A94" s="231" t="s">
        <v>197</v>
      </c>
      <c r="B94" s="250">
        <v>2614624407</v>
      </c>
      <c r="C94" s="231" t="s">
        <v>141</v>
      </c>
      <c r="D94" s="231" t="s">
        <v>67</v>
      </c>
      <c r="E94" s="231" t="s">
        <v>198</v>
      </c>
      <c r="F94" s="231" t="s">
        <v>308</v>
      </c>
      <c r="G94" s="231">
        <v>426</v>
      </c>
      <c r="H94" s="231" t="s">
        <v>309</v>
      </c>
      <c r="I94" s="231" t="s">
        <v>262</v>
      </c>
      <c r="J94" s="231" t="s">
        <v>4603</v>
      </c>
      <c r="K94" s="231" t="s">
        <v>213</v>
      </c>
      <c r="L94" s="232" t="s">
        <v>661</v>
      </c>
      <c r="M94" s="232">
        <v>46238.356944444444</v>
      </c>
      <c r="N94" s="231" t="s">
        <v>4620</v>
      </c>
      <c r="O94" s="228" t="s">
        <v>210</v>
      </c>
      <c r="P94" s="9" t="s">
        <v>413</v>
      </c>
      <c r="Q94" s="146" t="s">
        <v>210</v>
      </c>
      <c r="R94" s="92" t="s">
        <v>413</v>
      </c>
      <c r="S94" s="146" t="s">
        <v>210</v>
      </c>
      <c r="T94" s="92" t="s">
        <v>413</v>
      </c>
      <c r="U94" s="146" t="s">
        <v>210</v>
      </c>
      <c r="V94" s="92" t="s">
        <v>413</v>
      </c>
      <c r="W94" s="146" t="s">
        <v>210</v>
      </c>
      <c r="X94" s="92" t="s">
        <v>413</v>
      </c>
      <c r="Y94" s="146" t="s">
        <v>210</v>
      </c>
      <c r="Z94" s="92" t="s">
        <v>413</v>
      </c>
      <c r="AA94" s="146" t="s">
        <v>210</v>
      </c>
      <c r="AB94" s="64" t="s">
        <v>413</v>
      </c>
      <c r="AC94" s="146" t="s">
        <v>210</v>
      </c>
      <c r="AD94" s="64" t="s">
        <v>413</v>
      </c>
      <c r="AE94" s="146" t="s">
        <v>210</v>
      </c>
      <c r="AF94" s="215" t="str">
        <f t="shared" si="5"/>
        <v>NC</v>
      </c>
      <c r="AG94" s="96" t="str">
        <f t="shared" si="4"/>
        <v>NÃO UTILIZOU O PDA</v>
      </c>
      <c r="AH94" s="9" t="s">
        <v>59</v>
      </c>
      <c r="AI94" s="151" t="str">
        <f t="shared" si="6"/>
        <v>GUARULHOS</v>
      </c>
      <c r="AJ94" s="154" t="s">
        <v>6</v>
      </c>
      <c r="AK94" s="53">
        <v>-1.8599999999999998E-2</v>
      </c>
      <c r="AL94" s="53" t="str" cm="1">
        <f t="array" ref="AL94">IF(OR(O94&lt;&gt;"", SUMPRODUCT(($AM$2:$AM$210=AM94)*($AK$2:$AK$210&lt;=AK94)) &lt;= (COUNTIF($AM$2:$AM$210,AM94)*0.1)), "SORTEADO", "-")</f>
        <v>SORTEADO</v>
      </c>
      <c r="AM94" s="53" t="str">
        <f t="shared" si="7"/>
        <v>04/08/2026</v>
      </c>
    </row>
    <row r="95" spans="1:39" ht="30" customHeight="1" x14ac:dyDescent="0.2">
      <c r="A95" s="231" t="s">
        <v>197</v>
      </c>
      <c r="B95" s="250">
        <v>2614166839</v>
      </c>
      <c r="C95" s="231" t="s">
        <v>139</v>
      </c>
      <c r="D95" s="231" t="s">
        <v>67</v>
      </c>
      <c r="E95" s="231" t="s">
        <v>198</v>
      </c>
      <c r="F95" s="231" t="s">
        <v>261</v>
      </c>
      <c r="G95" s="231">
        <v>200</v>
      </c>
      <c r="H95" s="231" t="s">
        <v>541</v>
      </c>
      <c r="I95" s="231" t="s">
        <v>262</v>
      </c>
      <c r="J95" s="231" t="s">
        <v>4603</v>
      </c>
      <c r="K95" s="231"/>
      <c r="L95" s="232" t="s">
        <v>661</v>
      </c>
      <c r="M95" s="232">
        <v>46238.366666666669</v>
      </c>
      <c r="N95" s="231" t="s">
        <v>4620</v>
      </c>
      <c r="O95" s="228" t="s">
        <v>210</v>
      </c>
      <c r="P95" s="9" t="s">
        <v>413</v>
      </c>
      <c r="Q95" s="146" t="s">
        <v>210</v>
      </c>
      <c r="R95" s="92" t="s">
        <v>413</v>
      </c>
      <c r="S95" s="146" t="s">
        <v>210</v>
      </c>
      <c r="T95" s="92" t="s">
        <v>413</v>
      </c>
      <c r="U95" s="146" t="s">
        <v>210</v>
      </c>
      <c r="V95" s="92" t="s">
        <v>413</v>
      </c>
      <c r="W95" s="146" t="s">
        <v>210</v>
      </c>
      <c r="X95" s="92" t="s">
        <v>413</v>
      </c>
      <c r="Y95" s="146" t="s">
        <v>210</v>
      </c>
      <c r="Z95" s="92" t="s">
        <v>413</v>
      </c>
      <c r="AA95" s="146" t="s">
        <v>210</v>
      </c>
      <c r="AB95" s="64" t="s">
        <v>413</v>
      </c>
      <c r="AC95" s="146" t="s">
        <v>210</v>
      </c>
      <c r="AD95" s="64" t="s">
        <v>413</v>
      </c>
      <c r="AE95" s="146" t="s">
        <v>210</v>
      </c>
      <c r="AF95" s="215" t="str">
        <f t="shared" si="5"/>
        <v>NC</v>
      </c>
      <c r="AG95" s="96" t="str">
        <f t="shared" si="4"/>
        <v>NÃO UTILIZOU O PDA</v>
      </c>
      <c r="AH95" s="9" t="s">
        <v>39</v>
      </c>
      <c r="AI95" s="151" t="str">
        <f t="shared" si="6"/>
        <v>GUARULHOS</v>
      </c>
      <c r="AJ95" s="154" t="s">
        <v>6</v>
      </c>
      <c r="AK95" s="53">
        <v>-1.8800000000000001E-2</v>
      </c>
      <c r="AL95" s="53" t="str" cm="1">
        <f t="array" ref="AL95">IF(OR(O95&lt;&gt;"", SUMPRODUCT(($AM$2:$AM$210=AM95)*($AK$2:$AK$210&lt;=AK95)) &lt;= (COUNTIF($AM$2:$AM$210,AM95)*0.1)), "SORTEADO", "-")</f>
        <v>SORTEADO</v>
      </c>
      <c r="AM95" s="53" t="str">
        <f t="shared" si="7"/>
        <v>04/08/2026</v>
      </c>
    </row>
    <row r="96" spans="1:39" ht="30" customHeight="1" x14ac:dyDescent="0.2">
      <c r="A96" s="231" t="s">
        <v>197</v>
      </c>
      <c r="B96" s="250">
        <v>2613829768</v>
      </c>
      <c r="C96" s="231" t="s">
        <v>141</v>
      </c>
      <c r="D96" s="231" t="s">
        <v>67</v>
      </c>
      <c r="E96" s="231" t="s">
        <v>198</v>
      </c>
      <c r="F96" s="231" t="s">
        <v>590</v>
      </c>
      <c r="G96" s="231">
        <v>42</v>
      </c>
      <c r="H96" s="231" t="s">
        <v>206</v>
      </c>
      <c r="I96" s="231" t="s">
        <v>591</v>
      </c>
      <c r="J96" s="231" t="s">
        <v>4603</v>
      </c>
      <c r="K96" s="231" t="s">
        <v>213</v>
      </c>
      <c r="L96" s="232" t="s">
        <v>661</v>
      </c>
      <c r="M96" s="232">
        <v>46238.340277777781</v>
      </c>
      <c r="N96" s="231" t="s">
        <v>4620</v>
      </c>
      <c r="O96" s="228" t="s">
        <v>210</v>
      </c>
      <c r="P96" s="9" t="s">
        <v>413</v>
      </c>
      <c r="Q96" s="146" t="s">
        <v>210</v>
      </c>
      <c r="R96" s="92" t="s">
        <v>413</v>
      </c>
      <c r="S96" s="146" t="s">
        <v>210</v>
      </c>
      <c r="T96" s="92" t="s">
        <v>413</v>
      </c>
      <c r="U96" s="146" t="s">
        <v>210</v>
      </c>
      <c r="V96" s="92" t="s">
        <v>413</v>
      </c>
      <c r="W96" s="146" t="s">
        <v>210</v>
      </c>
      <c r="X96" s="92" t="s">
        <v>413</v>
      </c>
      <c r="Y96" s="146" t="s">
        <v>210</v>
      </c>
      <c r="Z96" s="92" t="s">
        <v>413</v>
      </c>
      <c r="AA96" s="146" t="s">
        <v>210</v>
      </c>
      <c r="AB96" s="64" t="s">
        <v>413</v>
      </c>
      <c r="AC96" s="146" t="s">
        <v>210</v>
      </c>
      <c r="AD96" s="64" t="s">
        <v>413</v>
      </c>
      <c r="AE96" s="146" t="s">
        <v>210</v>
      </c>
      <c r="AF96" s="215" t="str">
        <f t="shared" si="5"/>
        <v>NC</v>
      </c>
      <c r="AG96" s="96" t="str">
        <f t="shared" si="4"/>
        <v>NÃO UTILIZOU O PDA</v>
      </c>
      <c r="AH96" s="9" t="s">
        <v>39</v>
      </c>
      <c r="AI96" s="151" t="str">
        <f t="shared" si="6"/>
        <v>GUARULHOS</v>
      </c>
      <c r="AJ96" s="154" t="s">
        <v>6</v>
      </c>
      <c r="AK96" s="53">
        <v>-1.9E-2</v>
      </c>
      <c r="AL96" s="53" t="str" cm="1">
        <f t="array" ref="AL96">IF(OR(O96&lt;&gt;"", SUMPRODUCT(($AM$2:$AM$210=AM96)*($AK$2:$AK$210&lt;=AK96)) &lt;= (COUNTIF($AM$2:$AM$210,AM96)*0.1)), "SORTEADO", "-")</f>
        <v>SORTEADO</v>
      </c>
      <c r="AM96" s="53" t="str">
        <f t="shared" si="7"/>
        <v>04/08/2026</v>
      </c>
    </row>
    <row r="97" spans="1:39" ht="30" customHeight="1" x14ac:dyDescent="0.2">
      <c r="A97" s="231" t="s">
        <v>197</v>
      </c>
      <c r="B97" s="250">
        <v>2614604608</v>
      </c>
      <c r="C97" s="231" t="s">
        <v>141</v>
      </c>
      <c r="D97" s="231" t="s">
        <v>67</v>
      </c>
      <c r="E97" s="231" t="s">
        <v>198</v>
      </c>
      <c r="F97" s="231" t="s">
        <v>624</v>
      </c>
      <c r="G97" s="231">
        <v>7</v>
      </c>
      <c r="H97" s="231" t="s">
        <v>625</v>
      </c>
      <c r="I97" s="231" t="s">
        <v>200</v>
      </c>
      <c r="J97" s="231" t="s">
        <v>4603</v>
      </c>
      <c r="K97" s="231" t="s">
        <v>213</v>
      </c>
      <c r="L97" s="232" t="s">
        <v>661</v>
      </c>
      <c r="M97" s="232">
        <v>46238.376388888886</v>
      </c>
      <c r="N97" s="231" t="s">
        <v>4613</v>
      </c>
      <c r="O97" s="228" t="s">
        <v>210</v>
      </c>
      <c r="P97" s="9" t="s">
        <v>413</v>
      </c>
      <c r="Q97" s="146" t="s">
        <v>210</v>
      </c>
      <c r="R97" s="92" t="s">
        <v>413</v>
      </c>
      <c r="S97" s="146" t="s">
        <v>210</v>
      </c>
      <c r="T97" s="92" t="s">
        <v>413</v>
      </c>
      <c r="U97" s="146" t="s">
        <v>210</v>
      </c>
      <c r="V97" s="92" t="s">
        <v>413</v>
      </c>
      <c r="W97" s="146" t="s">
        <v>210</v>
      </c>
      <c r="X97" s="92" t="s">
        <v>413</v>
      </c>
      <c r="Y97" s="146" t="s">
        <v>210</v>
      </c>
      <c r="Z97" s="92" t="s">
        <v>413</v>
      </c>
      <c r="AA97" s="146" t="s">
        <v>210</v>
      </c>
      <c r="AB97" s="64" t="s">
        <v>413</v>
      </c>
      <c r="AC97" s="146" t="s">
        <v>210</v>
      </c>
      <c r="AD97" s="64" t="s">
        <v>413</v>
      </c>
      <c r="AE97" s="146" t="s">
        <v>210</v>
      </c>
      <c r="AF97" s="215" t="str">
        <f t="shared" si="5"/>
        <v>NC</v>
      </c>
      <c r="AG97" s="96" t="str">
        <f t="shared" si="4"/>
        <v>NÃO UTILIZOU O PDA</v>
      </c>
      <c r="AH97" s="9" t="s">
        <v>39</v>
      </c>
      <c r="AI97" s="151" t="str">
        <f t="shared" si="6"/>
        <v>GUARULHOS</v>
      </c>
      <c r="AJ97" s="154" t="s">
        <v>6</v>
      </c>
      <c r="AK97" s="53">
        <v>-1.9199999999999998E-2</v>
      </c>
      <c r="AL97" s="53" t="str" cm="1">
        <f t="array" ref="AL97">IF(OR(O97&lt;&gt;"", SUMPRODUCT(($AM$2:$AM$210=AM97)*($AK$2:$AK$210&lt;=AK97)) &lt;= (COUNTIF($AM$2:$AM$210,AM97)*0.1)), "SORTEADO", "-")</f>
        <v>SORTEADO</v>
      </c>
      <c r="AM97" s="53" t="str">
        <f t="shared" si="7"/>
        <v>04/08/2026</v>
      </c>
    </row>
    <row r="98" spans="1:39" ht="30" hidden="1" customHeight="1" x14ac:dyDescent="0.2">
      <c r="A98" s="231" t="s">
        <v>197</v>
      </c>
      <c r="B98" s="250">
        <v>2613740858</v>
      </c>
      <c r="C98" s="231" t="s">
        <v>141</v>
      </c>
      <c r="D98" s="231" t="s">
        <v>67</v>
      </c>
      <c r="E98" s="231" t="s">
        <v>198</v>
      </c>
      <c r="F98" s="231" t="s">
        <v>593</v>
      </c>
      <c r="G98" s="231">
        <v>1212</v>
      </c>
      <c r="H98" s="231"/>
      <c r="I98" s="231" t="s">
        <v>253</v>
      </c>
      <c r="J98" s="231" t="s">
        <v>4603</v>
      </c>
      <c r="K98" s="231"/>
      <c r="L98" s="232" t="s">
        <v>661</v>
      </c>
      <c r="M98" s="232">
        <v>46238.352777777778</v>
      </c>
      <c r="N98" s="231" t="s">
        <v>4613</v>
      </c>
      <c r="O98" s="228" t="s">
        <v>204</v>
      </c>
      <c r="P98" s="9"/>
      <c r="Q98" s="146" t="s">
        <v>204</v>
      </c>
      <c r="R98" s="92"/>
      <c r="S98" s="146" t="s">
        <v>204</v>
      </c>
      <c r="T98" s="92"/>
      <c r="U98" s="146" t="s">
        <v>204</v>
      </c>
      <c r="V98" s="92"/>
      <c r="W98" s="146" t="s">
        <v>204</v>
      </c>
      <c r="X98" s="92"/>
      <c r="Y98" s="146" t="s">
        <v>204</v>
      </c>
      <c r="Z98" s="92"/>
      <c r="AA98" s="146" t="s">
        <v>204</v>
      </c>
      <c r="AB98" s="64"/>
      <c r="AC98" s="146" t="s">
        <v>204</v>
      </c>
      <c r="AD98" s="64"/>
      <c r="AE98" s="146" t="s">
        <v>204</v>
      </c>
      <c r="AF98" s="215" t="str">
        <f t="shared" si="5"/>
        <v>C</v>
      </c>
      <c r="AG98" s="96" t="str">
        <f t="shared" si="4"/>
        <v>UTILIZOU O PDA CORRETAMENTE</v>
      </c>
      <c r="AH98" s="9" t="s">
        <v>39</v>
      </c>
      <c r="AI98" s="151" t="str">
        <f t="shared" si="6"/>
        <v>GUARULHOS</v>
      </c>
      <c r="AJ98" s="154" t="s">
        <v>6</v>
      </c>
      <c r="AK98" s="53">
        <v>-1.9400000000000001E-2</v>
      </c>
      <c r="AL98" s="53" t="str" cm="1">
        <f t="array" ref="AL98">IF(OR(O98&lt;&gt;"", SUMPRODUCT(($AM$2:$AM$210=AM98)*($AK$2:$AK$210&lt;=AK98)) &lt;= (COUNTIF($AM$2:$AM$210,AM98)*0.1)), "SORTEADO", "-")</f>
        <v>SORTEADO</v>
      </c>
      <c r="AM98" s="53" t="str">
        <f t="shared" si="7"/>
        <v>04/08/2026</v>
      </c>
    </row>
    <row r="99" spans="1:39" ht="30" hidden="1" customHeight="1" x14ac:dyDescent="0.2">
      <c r="A99" s="231" t="s">
        <v>197</v>
      </c>
      <c r="B99" s="250">
        <v>2613688151</v>
      </c>
      <c r="C99" s="231" t="s">
        <v>141</v>
      </c>
      <c r="D99" s="231" t="s">
        <v>67</v>
      </c>
      <c r="E99" s="231" t="s">
        <v>198</v>
      </c>
      <c r="F99" s="231" t="s">
        <v>542</v>
      </c>
      <c r="G99" s="231">
        <v>34</v>
      </c>
      <c r="H99" s="231" t="s">
        <v>213</v>
      </c>
      <c r="I99" s="231" t="s">
        <v>335</v>
      </c>
      <c r="J99" s="231" t="s">
        <v>4603</v>
      </c>
      <c r="K99" s="231" t="s">
        <v>213</v>
      </c>
      <c r="L99" s="232" t="s">
        <v>661</v>
      </c>
      <c r="M99" s="232">
        <v>46238.336111111108</v>
      </c>
      <c r="N99" s="231" t="s">
        <v>4613</v>
      </c>
      <c r="O99" s="228" t="s">
        <v>204</v>
      </c>
      <c r="P99" s="9"/>
      <c r="Q99" s="146" t="s">
        <v>204</v>
      </c>
      <c r="R99" s="92"/>
      <c r="S99" s="146" t="s">
        <v>204</v>
      </c>
      <c r="T99" s="92"/>
      <c r="U99" s="146" t="s">
        <v>204</v>
      </c>
      <c r="V99" s="92"/>
      <c r="W99" s="146" t="s">
        <v>204</v>
      </c>
      <c r="X99" s="92"/>
      <c r="Y99" s="146" t="s">
        <v>204</v>
      </c>
      <c r="Z99" s="92"/>
      <c r="AA99" s="146" t="s">
        <v>204</v>
      </c>
      <c r="AB99" s="64"/>
      <c r="AC99" s="146" t="s">
        <v>204</v>
      </c>
      <c r="AD99" s="64"/>
      <c r="AE99" s="146" t="s">
        <v>204</v>
      </c>
      <c r="AF99" s="215" t="str">
        <f t="shared" si="5"/>
        <v>C</v>
      </c>
      <c r="AG99" s="96" t="str">
        <f t="shared" si="4"/>
        <v>UTILIZOU O PDA CORRETAMENTE</v>
      </c>
      <c r="AH99" s="9" t="s">
        <v>39</v>
      </c>
      <c r="AI99" s="151" t="str">
        <f t="shared" si="6"/>
        <v>GUARULHOS</v>
      </c>
      <c r="AJ99" s="154" t="s">
        <v>6</v>
      </c>
      <c r="AK99" s="53">
        <v>-1.9599999999999999E-2</v>
      </c>
      <c r="AL99" s="53" t="str" cm="1">
        <f t="array" ref="AL99">IF(OR(O99&lt;&gt;"", SUMPRODUCT(($AM$2:$AM$210=AM99)*($AK$2:$AK$210&lt;=AK99)) &lt;= (COUNTIF($AM$2:$AM$210,AM99)*0.1)), "SORTEADO", "-")</f>
        <v>SORTEADO</v>
      </c>
      <c r="AM99" s="53" t="str">
        <f t="shared" si="7"/>
        <v>04/08/2026</v>
      </c>
    </row>
    <row r="100" spans="1:39" ht="30" hidden="1" customHeight="1" x14ac:dyDescent="0.2">
      <c r="A100" s="231" t="s">
        <v>197</v>
      </c>
      <c r="B100" s="231">
        <v>2614823397</v>
      </c>
      <c r="C100" s="231" t="s">
        <v>141</v>
      </c>
      <c r="D100" s="231" t="s">
        <v>67</v>
      </c>
      <c r="E100" s="231" t="s">
        <v>198</v>
      </c>
      <c r="F100" s="231" t="s">
        <v>536</v>
      </c>
      <c r="G100" s="231">
        <v>412</v>
      </c>
      <c r="H100" s="231" t="s">
        <v>537</v>
      </c>
      <c r="I100" s="231" t="s">
        <v>538</v>
      </c>
      <c r="J100" s="231" t="s">
        <v>4603</v>
      </c>
      <c r="K100" s="231" t="s">
        <v>4648</v>
      </c>
      <c r="L100" s="232" t="s">
        <v>661</v>
      </c>
      <c r="M100" s="232">
        <v>46238.581944444442</v>
      </c>
      <c r="N100" s="231" t="s">
        <v>4620</v>
      </c>
      <c r="O100" s="229" t="s">
        <v>204</v>
      </c>
      <c r="P100" s="9"/>
      <c r="Q100" s="167" t="s">
        <v>204</v>
      </c>
      <c r="R100" s="92"/>
      <c r="S100" s="167" t="s">
        <v>204</v>
      </c>
      <c r="T100" s="92"/>
      <c r="U100" s="167" t="s">
        <v>204</v>
      </c>
      <c r="V100" s="92"/>
      <c r="W100" s="167" t="s">
        <v>204</v>
      </c>
      <c r="X100" s="92"/>
      <c r="Y100" s="167" t="s">
        <v>204</v>
      </c>
      <c r="Z100" s="92"/>
      <c r="AA100" s="167" t="s">
        <v>204</v>
      </c>
      <c r="AB100" s="92"/>
      <c r="AC100" s="167" t="s">
        <v>204</v>
      </c>
      <c r="AD100" s="92"/>
      <c r="AE100" s="167" t="s">
        <v>204</v>
      </c>
      <c r="AF100" s="215" t="str">
        <f t="shared" si="5"/>
        <v>C</v>
      </c>
      <c r="AG100" s="96" t="str">
        <f t="shared" si="4"/>
        <v>UTILIZOU O PDA CORRETAMENTE</v>
      </c>
      <c r="AH100" s="9" t="s">
        <v>39</v>
      </c>
      <c r="AI100" s="151" t="str">
        <f t="shared" si="6"/>
        <v>GUARULHOS</v>
      </c>
      <c r="AJ100" s="154" t="s">
        <v>6</v>
      </c>
      <c r="AK100" s="53">
        <v>-1.9800000000000002E-2</v>
      </c>
      <c r="AL100" s="53" t="str" cm="1">
        <f t="array" ref="AL100">IF(OR(O100&lt;&gt;"", SUMPRODUCT(($AM$2:$AM$210=AM100)*($AK$2:$AK$210&lt;=AK100)) &lt;= (COUNTIF($AM$2:$AM$210,AM100)*0.1)), "SORTEADO", "-")</f>
        <v>SORTEADO</v>
      </c>
      <c r="AM100" s="53" t="str">
        <f t="shared" si="7"/>
        <v>04/08/2026</v>
      </c>
    </row>
    <row r="101" spans="1:39" ht="30" hidden="1" customHeight="1" x14ac:dyDescent="0.2">
      <c r="A101" s="231" t="s">
        <v>197</v>
      </c>
      <c r="B101" s="250">
        <v>2614469579</v>
      </c>
      <c r="C101" s="231" t="s">
        <v>138</v>
      </c>
      <c r="D101" s="231" t="s">
        <v>67</v>
      </c>
      <c r="E101" s="231" t="s">
        <v>198</v>
      </c>
      <c r="F101" s="231" t="s">
        <v>658</v>
      </c>
      <c r="G101" s="231">
        <v>282</v>
      </c>
      <c r="H101" s="231" t="s">
        <v>659</v>
      </c>
      <c r="I101" s="231" t="s">
        <v>660</v>
      </c>
      <c r="J101" s="231" t="s">
        <v>4605</v>
      </c>
      <c r="K101" s="231"/>
      <c r="L101" s="232" t="s">
        <v>726</v>
      </c>
      <c r="M101" s="232">
        <v>46269.368055555555</v>
      </c>
      <c r="N101" s="231" t="s">
        <v>4604</v>
      </c>
      <c r="O101" s="222" t="s">
        <v>204</v>
      </c>
      <c r="P101" s="9"/>
      <c r="Q101" s="167" t="s">
        <v>204</v>
      </c>
      <c r="R101" s="92"/>
      <c r="S101" s="167" t="s">
        <v>204</v>
      </c>
      <c r="T101" s="92"/>
      <c r="U101" s="167" t="s">
        <v>204</v>
      </c>
      <c r="V101" s="92"/>
      <c r="W101" s="167" t="s">
        <v>204</v>
      </c>
      <c r="X101" s="92"/>
      <c r="Y101" s="167" t="s">
        <v>204</v>
      </c>
      <c r="Z101" s="92"/>
      <c r="AA101" s="167" t="s">
        <v>204</v>
      </c>
      <c r="AB101" s="92"/>
      <c r="AC101" s="167" t="s">
        <v>204</v>
      </c>
      <c r="AD101" s="92"/>
      <c r="AE101" s="167" t="s">
        <v>204</v>
      </c>
      <c r="AF101" s="215" t="str">
        <f t="shared" si="5"/>
        <v>C</v>
      </c>
      <c r="AG101" s="96" t="str">
        <f t="shared" si="4"/>
        <v>UTILIZOU O PDA CORRETAMENTE</v>
      </c>
      <c r="AH101" s="9" t="s">
        <v>39</v>
      </c>
      <c r="AI101" s="151" t="str">
        <f t="shared" si="6"/>
        <v>GUARULHOS</v>
      </c>
      <c r="AJ101" s="154" t="s">
        <v>6</v>
      </c>
      <c r="AK101" s="53">
        <v>-0.02</v>
      </c>
      <c r="AL101" s="53" t="str" cm="1">
        <f t="array" ref="AL101">IF(OR(O101&lt;&gt;"", SUMPRODUCT(($AM$2:$AM$210=AM101)*($AK$2:$AK$210&lt;=AK101)) &lt;= (COUNTIF($AM$2:$AM$210,AM101)*0.1)), "SORTEADO", "-")</f>
        <v>SORTEADO</v>
      </c>
      <c r="AM101" s="53" t="str">
        <f t="shared" si="7"/>
        <v>04/09/2026</v>
      </c>
    </row>
    <row r="102" spans="1:39" ht="30" hidden="1" customHeight="1" x14ac:dyDescent="0.2">
      <c r="A102" s="252" t="s">
        <v>197</v>
      </c>
      <c r="B102" s="250">
        <v>2689800455</v>
      </c>
      <c r="C102" s="231" t="s">
        <v>138</v>
      </c>
      <c r="D102" s="231" t="s">
        <v>67</v>
      </c>
      <c r="E102" s="231" t="s">
        <v>198</v>
      </c>
      <c r="F102" s="231" t="s">
        <v>714</v>
      </c>
      <c r="G102" s="231">
        <v>33</v>
      </c>
      <c r="H102" s="231" t="s">
        <v>715</v>
      </c>
      <c r="I102" s="231" t="s">
        <v>716</v>
      </c>
      <c r="J102" s="231" t="s">
        <v>4605</v>
      </c>
      <c r="K102" s="231" t="s">
        <v>213</v>
      </c>
      <c r="L102" s="232" t="s">
        <v>726</v>
      </c>
      <c r="M102" s="232">
        <v>46269.388888888891</v>
      </c>
      <c r="N102" s="231" t="s">
        <v>4604</v>
      </c>
      <c r="O102" s="222" t="s">
        <v>204</v>
      </c>
      <c r="P102" s="9"/>
      <c r="Q102" s="167" t="s">
        <v>204</v>
      </c>
      <c r="R102" s="92"/>
      <c r="S102" s="167" t="s">
        <v>204</v>
      </c>
      <c r="T102" s="92"/>
      <c r="U102" s="167" t="s">
        <v>204</v>
      </c>
      <c r="V102" s="92"/>
      <c r="W102" s="167" t="s">
        <v>204</v>
      </c>
      <c r="X102" s="92"/>
      <c r="Y102" s="167" t="s">
        <v>204</v>
      </c>
      <c r="Z102" s="92"/>
      <c r="AA102" s="167" t="s">
        <v>204</v>
      </c>
      <c r="AB102" s="92"/>
      <c r="AC102" s="167" t="s">
        <v>204</v>
      </c>
      <c r="AD102" s="92"/>
      <c r="AE102" s="167" t="s">
        <v>204</v>
      </c>
      <c r="AF102" s="215" t="str">
        <f t="shared" si="5"/>
        <v>C</v>
      </c>
      <c r="AG102" s="96" t="str">
        <f t="shared" si="4"/>
        <v>UTILIZOU O PDA CORRETAMENTE</v>
      </c>
      <c r="AH102" s="9" t="s">
        <v>39</v>
      </c>
      <c r="AI102" s="151" t="str">
        <f t="shared" si="6"/>
        <v>GUARULHOS</v>
      </c>
      <c r="AJ102" s="154" t="s">
        <v>6</v>
      </c>
      <c r="AK102" s="53">
        <v>-2.0199999999999999E-2</v>
      </c>
      <c r="AL102" s="53" t="str" cm="1">
        <f t="array" ref="AL102">IF(OR(O102&lt;&gt;"", SUMPRODUCT(($AM$2:$AM$210=AM102)*($AK$2:$AK$210&lt;=AK102)) &lt;= (COUNTIF($AM$2:$AM$210,AM102)*0.1)), "SORTEADO", "-")</f>
        <v>SORTEADO</v>
      </c>
      <c r="AM102" s="53" t="str">
        <f t="shared" si="7"/>
        <v>04/09/2026</v>
      </c>
    </row>
    <row r="103" spans="1:39" ht="30" hidden="1" customHeight="1" x14ac:dyDescent="0.2">
      <c r="A103" s="231" t="s">
        <v>197</v>
      </c>
      <c r="B103" s="250">
        <v>2614437468</v>
      </c>
      <c r="C103" s="231" t="s">
        <v>138</v>
      </c>
      <c r="D103" s="231" t="s">
        <v>67</v>
      </c>
      <c r="E103" s="231" t="s">
        <v>198</v>
      </c>
      <c r="F103" s="231" t="s">
        <v>570</v>
      </c>
      <c r="G103" s="231">
        <v>353</v>
      </c>
      <c r="H103" s="231" t="s">
        <v>571</v>
      </c>
      <c r="I103" s="231" t="s">
        <v>572</v>
      </c>
      <c r="J103" s="231" t="s">
        <v>4605</v>
      </c>
      <c r="K103" s="231"/>
      <c r="L103" s="232" t="s">
        <v>726</v>
      </c>
      <c r="M103" s="232">
        <v>46269.455555555556</v>
      </c>
      <c r="N103" s="231" t="s">
        <v>4604</v>
      </c>
      <c r="O103" s="222" t="s">
        <v>204</v>
      </c>
      <c r="P103" s="9"/>
      <c r="Q103" s="167" t="s">
        <v>204</v>
      </c>
      <c r="R103" s="92"/>
      <c r="S103" s="167" t="s">
        <v>204</v>
      </c>
      <c r="T103" s="92"/>
      <c r="U103" s="167" t="s">
        <v>204</v>
      </c>
      <c r="V103" s="92"/>
      <c r="W103" s="167" t="s">
        <v>204</v>
      </c>
      <c r="X103" s="92"/>
      <c r="Y103" s="167" t="s">
        <v>204</v>
      </c>
      <c r="Z103" s="92"/>
      <c r="AA103" s="167" t="s">
        <v>204</v>
      </c>
      <c r="AB103" s="92"/>
      <c r="AC103" s="167" t="s">
        <v>204</v>
      </c>
      <c r="AD103" s="92"/>
      <c r="AE103" s="167" t="s">
        <v>204</v>
      </c>
      <c r="AF103" s="215" t="str">
        <f t="shared" si="5"/>
        <v>C</v>
      </c>
      <c r="AG103" s="96" t="str">
        <f t="shared" si="4"/>
        <v>UTILIZOU O PDA CORRETAMENTE</v>
      </c>
      <c r="AH103" s="9" t="s">
        <v>39</v>
      </c>
      <c r="AI103" s="151" t="str">
        <f t="shared" si="6"/>
        <v>GUARULHOS</v>
      </c>
      <c r="AJ103" s="154" t="s">
        <v>6</v>
      </c>
      <c r="AK103" s="53">
        <v>-2.0400000000000001E-2</v>
      </c>
      <c r="AL103" s="53" t="str" cm="1">
        <f t="array" ref="AL103">IF(OR(O103&lt;&gt;"", SUMPRODUCT(($AM$2:$AM$210=AM103)*($AK$2:$AK$210&lt;=AK103)) &lt;= (COUNTIF($AM$2:$AM$210,AM103)*0.1)), "SORTEADO", "-")</f>
        <v>SORTEADO</v>
      </c>
      <c r="AM103" s="53" t="str">
        <f t="shared" si="7"/>
        <v>04/09/2026</v>
      </c>
    </row>
    <row r="104" spans="1:39" ht="30" customHeight="1" x14ac:dyDescent="0.2">
      <c r="A104" s="231" t="s">
        <v>197</v>
      </c>
      <c r="B104" s="250">
        <v>2614626821</v>
      </c>
      <c r="C104" s="231" t="s">
        <v>141</v>
      </c>
      <c r="D104" s="231" t="s">
        <v>67</v>
      </c>
      <c r="E104" s="231" t="s">
        <v>198</v>
      </c>
      <c r="F104" s="231" t="s">
        <v>1021</v>
      </c>
      <c r="G104" s="231">
        <v>113</v>
      </c>
      <c r="H104" s="231" t="s">
        <v>1790</v>
      </c>
      <c r="I104" s="231" t="s">
        <v>269</v>
      </c>
      <c r="J104" s="231" t="s">
        <v>4603</v>
      </c>
      <c r="K104" s="231" t="s">
        <v>213</v>
      </c>
      <c r="L104" s="232" t="s">
        <v>726</v>
      </c>
      <c r="M104" s="232">
        <v>46269.481249999997</v>
      </c>
      <c r="N104" s="231" t="s">
        <v>4604</v>
      </c>
      <c r="O104" s="222" t="s">
        <v>210</v>
      </c>
      <c r="P104" s="9" t="s">
        <v>413</v>
      </c>
      <c r="Q104" s="167" t="s">
        <v>210</v>
      </c>
      <c r="R104" s="9" t="s">
        <v>413</v>
      </c>
      <c r="S104" s="167" t="s">
        <v>210</v>
      </c>
      <c r="T104" s="9" t="s">
        <v>413</v>
      </c>
      <c r="U104" s="167" t="s">
        <v>210</v>
      </c>
      <c r="V104" s="9" t="s">
        <v>413</v>
      </c>
      <c r="W104" s="167" t="s">
        <v>210</v>
      </c>
      <c r="X104" s="9" t="s">
        <v>413</v>
      </c>
      <c r="Y104" s="167" t="s">
        <v>210</v>
      </c>
      <c r="Z104" s="9" t="s">
        <v>413</v>
      </c>
      <c r="AA104" s="167" t="s">
        <v>210</v>
      </c>
      <c r="AB104" s="9" t="s">
        <v>413</v>
      </c>
      <c r="AC104" s="167" t="s">
        <v>210</v>
      </c>
      <c r="AD104" s="9" t="s">
        <v>413</v>
      </c>
      <c r="AE104" s="167" t="s">
        <v>210</v>
      </c>
      <c r="AF104" s="215" t="str">
        <f t="shared" si="5"/>
        <v>NC</v>
      </c>
      <c r="AG104" s="96" t="str">
        <f t="shared" si="4"/>
        <v>NÃO UTILIZOU O PDA</v>
      </c>
      <c r="AH104" s="9" t="s">
        <v>39</v>
      </c>
      <c r="AI104" s="151" t="str">
        <f t="shared" si="6"/>
        <v>GUARULHOS</v>
      </c>
      <c r="AJ104" s="154" t="s">
        <v>6</v>
      </c>
      <c r="AK104" s="53">
        <v>-2.06E-2</v>
      </c>
      <c r="AL104" s="53" t="str" cm="1">
        <f t="array" ref="AL104">IF(OR(O104&lt;&gt;"", SUMPRODUCT(($AM$2:$AM$210=AM104)*($AK$2:$AK$210&lt;=AK104)) &lt;= (COUNTIF($AM$2:$AM$210,AM104)*0.1)), "SORTEADO", "-")</f>
        <v>SORTEADO</v>
      </c>
      <c r="AM104" s="53" t="str">
        <f t="shared" si="7"/>
        <v>04/09/2026</v>
      </c>
    </row>
    <row r="105" spans="1:39" ht="30" hidden="1" customHeight="1" x14ac:dyDescent="0.2">
      <c r="A105" s="231" t="s">
        <v>197</v>
      </c>
      <c r="B105" s="250">
        <v>2613910307</v>
      </c>
      <c r="C105" s="231" t="s">
        <v>139</v>
      </c>
      <c r="D105" s="231" t="s">
        <v>67</v>
      </c>
      <c r="E105" s="231" t="s">
        <v>198</v>
      </c>
      <c r="F105" s="231" t="s">
        <v>680</v>
      </c>
      <c r="G105" s="231">
        <v>206</v>
      </c>
      <c r="H105" s="231"/>
      <c r="I105" s="231" t="s">
        <v>331</v>
      </c>
      <c r="J105" s="231" t="s">
        <v>4603</v>
      </c>
      <c r="K105" s="231"/>
      <c r="L105" s="232" t="s">
        <v>726</v>
      </c>
      <c r="M105" s="232">
        <v>46269.457638888889</v>
      </c>
      <c r="N105" s="231" t="s">
        <v>4604</v>
      </c>
      <c r="O105" s="222" t="s">
        <v>204</v>
      </c>
      <c r="P105" s="9"/>
      <c r="Q105" s="167" t="s">
        <v>204</v>
      </c>
      <c r="R105" s="92"/>
      <c r="S105" s="167" t="s">
        <v>204</v>
      </c>
      <c r="T105" s="92"/>
      <c r="U105" s="167" t="s">
        <v>204</v>
      </c>
      <c r="V105" s="92"/>
      <c r="W105" s="167" t="s">
        <v>204</v>
      </c>
      <c r="X105" s="92"/>
      <c r="Y105" s="167" t="s">
        <v>204</v>
      </c>
      <c r="Z105" s="92"/>
      <c r="AA105" s="167" t="s">
        <v>204</v>
      </c>
      <c r="AB105" s="92"/>
      <c r="AC105" s="167" t="s">
        <v>204</v>
      </c>
      <c r="AD105" s="92"/>
      <c r="AE105" s="167" t="s">
        <v>204</v>
      </c>
      <c r="AF105" s="215" t="str">
        <f t="shared" si="5"/>
        <v>C</v>
      </c>
      <c r="AG105" s="96" t="str">
        <f t="shared" si="4"/>
        <v>UTILIZOU O PDA CORRETAMENTE</v>
      </c>
      <c r="AH105" s="9" t="s">
        <v>39</v>
      </c>
      <c r="AI105" s="151" t="str">
        <f t="shared" si="6"/>
        <v>GUARULHOS</v>
      </c>
      <c r="AJ105" s="154" t="s">
        <v>6</v>
      </c>
      <c r="AK105" s="53">
        <v>-2.0799999999999999E-2</v>
      </c>
      <c r="AL105" s="53" t="str" cm="1">
        <f t="array" ref="AL105">IF(OR(O105&lt;&gt;"", SUMPRODUCT(($AM$2:$AM$210=AM105)*($AK$2:$AK$210&lt;=AK105)) &lt;= (COUNTIF($AM$2:$AM$210,AM105)*0.1)), "SORTEADO", "-")</f>
        <v>SORTEADO</v>
      </c>
      <c r="AM105" s="53" t="str">
        <f t="shared" si="7"/>
        <v>04/09/2026</v>
      </c>
    </row>
    <row r="106" spans="1:39" ht="30" hidden="1" customHeight="1" x14ac:dyDescent="0.2">
      <c r="A106" s="231" t="s">
        <v>197</v>
      </c>
      <c r="B106" s="250">
        <v>2614504632</v>
      </c>
      <c r="C106" s="231" t="s">
        <v>141</v>
      </c>
      <c r="D106" s="231" t="s">
        <v>67</v>
      </c>
      <c r="E106" s="231" t="s">
        <v>198</v>
      </c>
      <c r="F106" s="231" t="s">
        <v>771</v>
      </c>
      <c r="G106" s="231">
        <v>512</v>
      </c>
      <c r="H106" s="231" t="s">
        <v>2700</v>
      </c>
      <c r="I106" s="231" t="s">
        <v>772</v>
      </c>
      <c r="J106" s="231" t="s">
        <v>4603</v>
      </c>
      <c r="K106" s="231" t="s">
        <v>213</v>
      </c>
      <c r="L106" s="232" t="s">
        <v>726</v>
      </c>
      <c r="M106" s="232">
        <v>46269.466666666667</v>
      </c>
      <c r="N106" s="231" t="s">
        <v>4604</v>
      </c>
      <c r="O106" s="222" t="s">
        <v>204</v>
      </c>
      <c r="P106" s="9"/>
      <c r="Q106" s="167" t="s">
        <v>204</v>
      </c>
      <c r="R106" s="92"/>
      <c r="S106" s="167" t="s">
        <v>204</v>
      </c>
      <c r="T106" s="92"/>
      <c r="U106" s="167" t="s">
        <v>204</v>
      </c>
      <c r="V106" s="92"/>
      <c r="W106" s="167" t="s">
        <v>204</v>
      </c>
      <c r="X106" s="92"/>
      <c r="Y106" s="167" t="s">
        <v>204</v>
      </c>
      <c r="Z106" s="92"/>
      <c r="AA106" s="167" t="s">
        <v>204</v>
      </c>
      <c r="AB106" s="92"/>
      <c r="AC106" s="167" t="s">
        <v>204</v>
      </c>
      <c r="AD106" s="92"/>
      <c r="AE106" s="167" t="s">
        <v>204</v>
      </c>
      <c r="AF106" s="215" t="str">
        <f t="shared" si="5"/>
        <v>C</v>
      </c>
      <c r="AG106" s="96" t="str">
        <f t="shared" si="4"/>
        <v>UTILIZOU O PDA CORRETAMENTE</v>
      </c>
      <c r="AH106" s="9" t="s">
        <v>39</v>
      </c>
      <c r="AI106" s="151" t="str">
        <f t="shared" si="6"/>
        <v>GUARULHOS</v>
      </c>
      <c r="AJ106" s="154" t="s">
        <v>6</v>
      </c>
      <c r="AK106" s="53">
        <v>-2.1000000000000001E-2</v>
      </c>
      <c r="AL106" s="53" t="str" cm="1">
        <f t="array" ref="AL106">IF(OR(O106&lt;&gt;"", SUMPRODUCT(($AM$2:$AM$210=AM106)*($AK$2:$AK$210&lt;=AK106)) &lt;= (COUNTIF($AM$2:$AM$210,AM106)*0.1)), "SORTEADO", "-")</f>
        <v>SORTEADO</v>
      </c>
      <c r="AM106" s="53" t="str">
        <f t="shared" si="7"/>
        <v>04/09/2026</v>
      </c>
    </row>
    <row r="107" spans="1:39" ht="30" hidden="1" customHeight="1" x14ac:dyDescent="0.2">
      <c r="A107" s="231" t="s">
        <v>197</v>
      </c>
      <c r="B107" s="250">
        <v>2689647737</v>
      </c>
      <c r="C107" s="231" t="s">
        <v>138</v>
      </c>
      <c r="D107" s="231" t="s">
        <v>67</v>
      </c>
      <c r="E107" s="231" t="s">
        <v>198</v>
      </c>
      <c r="F107" s="231" t="s">
        <v>550</v>
      </c>
      <c r="G107" s="231">
        <v>892</v>
      </c>
      <c r="H107" s="231" t="s">
        <v>551</v>
      </c>
      <c r="I107" s="231" t="s">
        <v>368</v>
      </c>
      <c r="J107" s="231" t="s">
        <v>4605</v>
      </c>
      <c r="K107" s="231"/>
      <c r="L107" s="232" t="s">
        <v>726</v>
      </c>
      <c r="M107" s="232">
        <v>46269.45208333333</v>
      </c>
      <c r="N107" s="231" t="s">
        <v>4604</v>
      </c>
      <c r="O107" s="222" t="s">
        <v>204</v>
      </c>
      <c r="P107" s="92"/>
      <c r="Q107" s="222" t="s">
        <v>204</v>
      </c>
      <c r="R107" s="92"/>
      <c r="S107" s="222" t="s">
        <v>204</v>
      </c>
      <c r="T107" s="92"/>
      <c r="U107" s="222" t="s">
        <v>204</v>
      </c>
      <c r="V107" s="92"/>
      <c r="W107" s="222" t="s">
        <v>204</v>
      </c>
      <c r="X107" s="92"/>
      <c r="Y107" s="222" t="s">
        <v>204</v>
      </c>
      <c r="Z107" s="92"/>
      <c r="AA107" s="222" t="s">
        <v>204</v>
      </c>
      <c r="AB107" s="92"/>
      <c r="AC107" s="222" t="s">
        <v>204</v>
      </c>
      <c r="AD107" s="92"/>
      <c r="AE107" s="222" t="s">
        <v>204</v>
      </c>
      <c r="AF107" s="215" t="str">
        <f t="shared" si="5"/>
        <v>C</v>
      </c>
      <c r="AG107" s="96" t="str">
        <f t="shared" si="4"/>
        <v>UTILIZOU O PDA CORRETAMENTE</v>
      </c>
      <c r="AH107" s="9" t="s">
        <v>39</v>
      </c>
      <c r="AI107" s="151" t="str">
        <f t="shared" si="6"/>
        <v>GUARULHOS</v>
      </c>
      <c r="AJ107" s="154" t="s">
        <v>6</v>
      </c>
      <c r="AK107" s="53">
        <v>-2.12E-2</v>
      </c>
      <c r="AL107" s="53" t="str" cm="1">
        <f t="array" ref="AL107">IF(OR(O107&lt;&gt;"", SUMPRODUCT(($AM$2:$AM$210=AM107)*($AK$2:$AK$210&lt;=AK107)) &lt;= (COUNTIF($AM$2:$AM$210,AM107)*0.1)), "SORTEADO", "-")</f>
        <v>SORTEADO</v>
      </c>
      <c r="AM107" s="53" t="str">
        <f t="shared" si="7"/>
        <v>04/09/2026</v>
      </c>
    </row>
    <row r="108" spans="1:39" ht="30" hidden="1" customHeight="1" x14ac:dyDescent="0.2">
      <c r="A108" s="231" t="s">
        <v>197</v>
      </c>
      <c r="B108" s="250">
        <v>2689829983</v>
      </c>
      <c r="C108" s="231" t="s">
        <v>140</v>
      </c>
      <c r="D108" s="231" t="s">
        <v>67</v>
      </c>
      <c r="E108" s="231" t="s">
        <v>198</v>
      </c>
      <c r="F108" s="231" t="s">
        <v>665</v>
      </c>
      <c r="G108" s="231">
        <v>944</v>
      </c>
      <c r="H108" s="231" t="s">
        <v>666</v>
      </c>
      <c r="I108" s="231" t="s">
        <v>667</v>
      </c>
      <c r="J108" s="231" t="s">
        <v>4605</v>
      </c>
      <c r="K108" s="231" t="s">
        <v>213</v>
      </c>
      <c r="L108" s="232" t="s">
        <v>726</v>
      </c>
      <c r="M108" s="232">
        <v>46269.503472222219</v>
      </c>
      <c r="N108" s="231" t="s">
        <v>4604</v>
      </c>
      <c r="O108" s="222" t="s">
        <v>204</v>
      </c>
      <c r="P108" s="9"/>
      <c r="Q108" s="167" t="s">
        <v>204</v>
      </c>
      <c r="R108" s="92"/>
      <c r="S108" s="167" t="s">
        <v>204</v>
      </c>
      <c r="T108" s="92"/>
      <c r="U108" s="167" t="s">
        <v>204</v>
      </c>
      <c r="V108" s="92"/>
      <c r="W108" s="167" t="s">
        <v>204</v>
      </c>
      <c r="X108" s="92"/>
      <c r="Y108" s="167" t="s">
        <v>204</v>
      </c>
      <c r="Z108" s="92"/>
      <c r="AA108" s="167" t="s">
        <v>204</v>
      </c>
      <c r="AB108" s="92"/>
      <c r="AC108" s="167" t="s">
        <v>204</v>
      </c>
      <c r="AD108" s="92"/>
      <c r="AE108" s="167" t="s">
        <v>204</v>
      </c>
      <c r="AF108" s="215" t="str">
        <f t="shared" si="5"/>
        <v>C</v>
      </c>
      <c r="AG108" s="96" t="str">
        <f t="shared" si="4"/>
        <v>UTILIZOU O PDA CORRETAMENTE</v>
      </c>
      <c r="AH108" s="9" t="s">
        <v>39</v>
      </c>
      <c r="AI108" s="151" t="str">
        <f t="shared" si="6"/>
        <v>GUARULHOS</v>
      </c>
      <c r="AJ108" s="154" t="s">
        <v>6</v>
      </c>
      <c r="AK108" s="53">
        <v>-2.1399999999999999E-2</v>
      </c>
      <c r="AL108" s="53" t="str" cm="1">
        <f t="array" ref="AL108">IF(OR(O108&lt;&gt;"", SUMPRODUCT(($AM$2:$AM$210=AM108)*($AK$2:$AK$210&lt;=AK108)) &lt;= (COUNTIF($AM$2:$AM$210,AM108)*0.1)), "SORTEADO", "-")</f>
        <v>SORTEADO</v>
      </c>
      <c r="AM108" s="53" t="str">
        <f t="shared" si="7"/>
        <v>04/09/2026</v>
      </c>
    </row>
    <row r="109" spans="1:39" ht="30" hidden="1" customHeight="1" x14ac:dyDescent="0.2">
      <c r="A109" s="231" t="s">
        <v>197</v>
      </c>
      <c r="B109" s="250">
        <v>2614498794</v>
      </c>
      <c r="C109" s="231" t="s">
        <v>141</v>
      </c>
      <c r="D109" s="231" t="s">
        <v>67</v>
      </c>
      <c r="E109" s="231" t="s">
        <v>198</v>
      </c>
      <c r="F109" s="231" t="s">
        <v>2722</v>
      </c>
      <c r="G109" s="231">
        <v>10</v>
      </c>
      <c r="H109" s="231"/>
      <c r="I109" s="231" t="s">
        <v>2723</v>
      </c>
      <c r="J109" s="231" t="s">
        <v>4603</v>
      </c>
      <c r="K109" s="231"/>
      <c r="L109" s="232" t="s">
        <v>726</v>
      </c>
      <c r="M109" s="232">
        <v>46269.407638888886</v>
      </c>
      <c r="N109" s="231" t="s">
        <v>4613</v>
      </c>
      <c r="O109" s="222" t="s">
        <v>204</v>
      </c>
      <c r="P109" s="9"/>
      <c r="Q109" s="167" t="s">
        <v>204</v>
      </c>
      <c r="R109" s="92"/>
      <c r="S109" s="167" t="s">
        <v>204</v>
      </c>
      <c r="T109" s="92"/>
      <c r="U109" s="167" t="s">
        <v>204</v>
      </c>
      <c r="V109" s="92"/>
      <c r="W109" s="167" t="s">
        <v>204</v>
      </c>
      <c r="X109" s="92"/>
      <c r="Y109" s="167" t="s">
        <v>204</v>
      </c>
      <c r="Z109" s="92"/>
      <c r="AA109" s="167" t="s">
        <v>204</v>
      </c>
      <c r="AB109" s="92"/>
      <c r="AC109" s="167" t="s">
        <v>210</v>
      </c>
      <c r="AD109" s="92" t="s">
        <v>4649</v>
      </c>
      <c r="AE109" s="167" t="s">
        <v>204</v>
      </c>
      <c r="AF109" s="215" t="str">
        <f t="shared" si="5"/>
        <v>NC</v>
      </c>
      <c r="AG109" s="96" t="str">
        <f t="shared" si="4"/>
        <v>UTILIZOU O PDA CORRETAMENTE. NÃO HÁ FOTOS DE TODAS AS ETAPAS</v>
      </c>
      <c r="AH109" s="9" t="s">
        <v>59</v>
      </c>
      <c r="AI109" s="151" t="str">
        <f t="shared" si="6"/>
        <v>GUARULHOS</v>
      </c>
      <c r="AJ109" s="154" t="s">
        <v>6</v>
      </c>
      <c r="AK109" s="53">
        <v>-2.1600000000000001E-2</v>
      </c>
      <c r="AL109" s="53" t="str" cm="1">
        <f t="array" ref="AL109">IF(OR(O109&lt;&gt;"", SUMPRODUCT(($AM$2:$AM$210=AM109)*($AK$2:$AK$210&lt;=AK109)) &lt;= (COUNTIF($AM$2:$AM$210,AM109)*0.1)), "SORTEADO", "-")</f>
        <v>SORTEADO</v>
      </c>
      <c r="AM109" s="53" t="str">
        <f t="shared" si="7"/>
        <v>04/09/2026</v>
      </c>
    </row>
    <row r="110" spans="1:39" ht="30" hidden="1" customHeight="1" x14ac:dyDescent="0.2">
      <c r="A110" s="231" t="s">
        <v>197</v>
      </c>
      <c r="B110" s="250">
        <v>2614676509</v>
      </c>
      <c r="C110" s="231" t="s">
        <v>138</v>
      </c>
      <c r="D110" s="231" t="s">
        <v>67</v>
      </c>
      <c r="E110" s="231" t="s">
        <v>198</v>
      </c>
      <c r="F110" s="231" t="s">
        <v>702</v>
      </c>
      <c r="G110" s="231">
        <v>615</v>
      </c>
      <c r="H110" s="231" t="s">
        <v>213</v>
      </c>
      <c r="I110" s="231" t="s">
        <v>436</v>
      </c>
      <c r="J110" s="231" t="s">
        <v>4605</v>
      </c>
      <c r="K110" s="231" t="s">
        <v>213</v>
      </c>
      <c r="L110" s="232" t="s">
        <v>726</v>
      </c>
      <c r="M110" s="232">
        <v>46269.34375</v>
      </c>
      <c r="N110" s="231" t="s">
        <v>4613</v>
      </c>
      <c r="O110" s="222" t="s">
        <v>204</v>
      </c>
      <c r="P110" s="9"/>
      <c r="Q110" s="167" t="s">
        <v>204</v>
      </c>
      <c r="R110" s="92"/>
      <c r="S110" s="167" t="s">
        <v>204</v>
      </c>
      <c r="T110" s="92"/>
      <c r="U110" s="167" t="s">
        <v>204</v>
      </c>
      <c r="V110" s="92"/>
      <c r="W110" s="167" t="s">
        <v>204</v>
      </c>
      <c r="X110" s="92"/>
      <c r="Y110" s="167" t="s">
        <v>204</v>
      </c>
      <c r="Z110" s="92"/>
      <c r="AA110" s="167" t="s">
        <v>204</v>
      </c>
      <c r="AB110" s="92"/>
      <c r="AC110" s="167" t="s">
        <v>204</v>
      </c>
      <c r="AD110" s="92"/>
      <c r="AE110" s="167" t="s">
        <v>204</v>
      </c>
      <c r="AF110" s="215" t="str">
        <f t="shared" si="5"/>
        <v>C</v>
      </c>
      <c r="AG110" s="96" t="str">
        <f t="shared" si="4"/>
        <v>UTILIZOU O PDA CORRETAMENTE</v>
      </c>
      <c r="AH110" s="9" t="s">
        <v>39</v>
      </c>
      <c r="AI110" s="151" t="str">
        <f t="shared" si="6"/>
        <v>GUARULHOS</v>
      </c>
      <c r="AJ110" s="154" t="s">
        <v>6</v>
      </c>
      <c r="AK110" s="53">
        <v>-2.18E-2</v>
      </c>
      <c r="AL110" s="53" t="str" cm="1">
        <f t="array" ref="AL110">IF(OR(O110&lt;&gt;"", SUMPRODUCT(($AM$2:$AM$210=AM110)*($AK$2:$AK$210&lt;=AK110)) &lt;= (COUNTIF($AM$2:$AM$210,AM110)*0.1)), "SORTEADO", "-")</f>
        <v>SORTEADO</v>
      </c>
      <c r="AM110" s="53" t="str">
        <f t="shared" si="7"/>
        <v>04/09/2026</v>
      </c>
    </row>
    <row r="111" spans="1:39" ht="30" hidden="1" customHeight="1" x14ac:dyDescent="0.2">
      <c r="A111" s="231" t="s">
        <v>197</v>
      </c>
      <c r="B111" s="250">
        <v>2689811597</v>
      </c>
      <c r="C111" s="231" t="s">
        <v>138</v>
      </c>
      <c r="D111" s="231" t="s">
        <v>67</v>
      </c>
      <c r="E111" s="231" t="s">
        <v>198</v>
      </c>
      <c r="F111" s="231" t="s">
        <v>641</v>
      </c>
      <c r="G111" s="231">
        <v>153</v>
      </c>
      <c r="H111" s="231" t="s">
        <v>642</v>
      </c>
      <c r="I111" s="231" t="s">
        <v>643</v>
      </c>
      <c r="J111" s="231" t="s">
        <v>4605</v>
      </c>
      <c r="K111" s="231"/>
      <c r="L111" s="232" t="s">
        <v>726</v>
      </c>
      <c r="M111" s="232">
        <v>46269.42083333333</v>
      </c>
      <c r="N111" s="231" t="s">
        <v>4613</v>
      </c>
      <c r="O111" s="222" t="s">
        <v>204</v>
      </c>
      <c r="P111" s="9"/>
      <c r="Q111" s="167" t="s">
        <v>204</v>
      </c>
      <c r="R111" s="92"/>
      <c r="S111" s="167" t="s">
        <v>204</v>
      </c>
      <c r="T111" s="92"/>
      <c r="U111" s="167" t="s">
        <v>204</v>
      </c>
      <c r="V111" s="92"/>
      <c r="W111" s="167" t="s">
        <v>204</v>
      </c>
      <c r="X111" s="92"/>
      <c r="Y111" s="167" t="s">
        <v>204</v>
      </c>
      <c r="Z111" s="92"/>
      <c r="AA111" s="167" t="s">
        <v>204</v>
      </c>
      <c r="AB111" s="92"/>
      <c r="AC111" s="167" t="s">
        <v>204</v>
      </c>
      <c r="AD111" s="92"/>
      <c r="AE111" s="167" t="s">
        <v>204</v>
      </c>
      <c r="AF111" s="215" t="str">
        <f t="shared" si="5"/>
        <v>C</v>
      </c>
      <c r="AG111" s="96" t="str">
        <f t="shared" si="4"/>
        <v>UTILIZOU O PDA CORRETAMENTE</v>
      </c>
      <c r="AH111" s="9" t="s">
        <v>39</v>
      </c>
      <c r="AI111" s="151" t="str">
        <f t="shared" si="6"/>
        <v>GUARULHOS</v>
      </c>
      <c r="AJ111" s="154" t="s">
        <v>6</v>
      </c>
      <c r="AK111" s="53">
        <v>-2.1999999999999999E-2</v>
      </c>
      <c r="AL111" s="53" t="str" cm="1">
        <f t="array" ref="AL111">IF(OR(O111&lt;&gt;"", SUMPRODUCT(($AM$2:$AM$210=AM111)*($AK$2:$AK$210&lt;=AK111)) &lt;= (COUNTIF($AM$2:$AM$210,AM111)*0.1)), "SORTEADO", "-")</f>
        <v>SORTEADO</v>
      </c>
      <c r="AM111" s="53" t="str">
        <f t="shared" si="7"/>
        <v>04/09/2026</v>
      </c>
    </row>
    <row r="112" spans="1:39" ht="30" hidden="1" customHeight="1" x14ac:dyDescent="0.2">
      <c r="A112" s="231" t="s">
        <v>197</v>
      </c>
      <c r="B112" s="250">
        <v>2614662067</v>
      </c>
      <c r="C112" s="231" t="s">
        <v>140</v>
      </c>
      <c r="D112" s="231" t="s">
        <v>67</v>
      </c>
      <c r="E112" s="231" t="s">
        <v>198</v>
      </c>
      <c r="F112" s="231" t="s">
        <v>2722</v>
      </c>
      <c r="G112" s="231">
        <v>10</v>
      </c>
      <c r="H112" s="231" t="s">
        <v>213</v>
      </c>
      <c r="I112" s="231" t="s">
        <v>2723</v>
      </c>
      <c r="J112" s="231" t="s">
        <v>4605</v>
      </c>
      <c r="K112" s="231" t="s">
        <v>4650</v>
      </c>
      <c r="L112" s="232" t="s">
        <v>726</v>
      </c>
      <c r="M112" s="232">
        <v>46269.40902777778</v>
      </c>
      <c r="N112" s="231" t="s">
        <v>4613</v>
      </c>
      <c r="O112" s="222" t="s">
        <v>204</v>
      </c>
      <c r="P112" s="9"/>
      <c r="Q112" s="167" t="s">
        <v>204</v>
      </c>
      <c r="R112" s="92"/>
      <c r="S112" s="167" t="s">
        <v>204</v>
      </c>
      <c r="T112" s="92"/>
      <c r="U112" s="167" t="s">
        <v>204</v>
      </c>
      <c r="V112" s="92"/>
      <c r="W112" s="167" t="s">
        <v>204</v>
      </c>
      <c r="X112" s="92"/>
      <c r="Y112" s="167" t="s">
        <v>204</v>
      </c>
      <c r="Z112" s="92"/>
      <c r="AA112" s="167" t="s">
        <v>328</v>
      </c>
      <c r="AB112" s="92"/>
      <c r="AC112" s="167" t="s">
        <v>204</v>
      </c>
      <c r="AD112" s="92"/>
      <c r="AE112" s="167" t="s">
        <v>204</v>
      </c>
      <c r="AF112" s="215" t="str">
        <f t="shared" si="5"/>
        <v>NC</v>
      </c>
      <c r="AG112" s="96" t="str">
        <f t="shared" si="4"/>
        <v>UTILIZOU O PDA CORRETAMENTE. NÃO HÁ FOTOS DE TODAS AS ETAPAS</v>
      </c>
      <c r="AH112" s="9" t="s">
        <v>59</v>
      </c>
      <c r="AI112" s="151" t="str">
        <f t="shared" si="6"/>
        <v>GUARULHOS</v>
      </c>
      <c r="AJ112" s="154" t="s">
        <v>6</v>
      </c>
      <c r="AK112" s="53">
        <v>-2.2200000000000001E-2</v>
      </c>
      <c r="AL112" s="53" t="str" cm="1">
        <f t="array" ref="AL112">IF(OR(O112&lt;&gt;"", SUMPRODUCT(($AM$2:$AM$210=AM112)*($AK$2:$AK$210&lt;=AK112)) &lt;= (COUNTIF($AM$2:$AM$210,AM112)*0.1)), "SORTEADO", "-")</f>
        <v>SORTEADO</v>
      </c>
      <c r="AM112" s="53" t="str">
        <f t="shared" si="7"/>
        <v>04/09/2026</v>
      </c>
    </row>
    <row r="113" spans="1:39" ht="30" customHeight="1" x14ac:dyDescent="0.2">
      <c r="A113" s="231" t="s">
        <v>197</v>
      </c>
      <c r="B113" s="250">
        <v>2614521982</v>
      </c>
      <c r="C113" s="231" t="s">
        <v>138</v>
      </c>
      <c r="D113" s="231" t="s">
        <v>67</v>
      </c>
      <c r="E113" s="231" t="s">
        <v>198</v>
      </c>
      <c r="F113" s="231" t="s">
        <v>609</v>
      </c>
      <c r="G113" s="231">
        <v>227</v>
      </c>
      <c r="H113" s="231" t="s">
        <v>610</v>
      </c>
      <c r="I113" s="231" t="s">
        <v>611</v>
      </c>
      <c r="J113" s="231" t="s">
        <v>4605</v>
      </c>
      <c r="K113" s="231"/>
      <c r="L113" s="232" t="s">
        <v>726</v>
      </c>
      <c r="M113" s="232">
        <v>46269.364583333336</v>
      </c>
      <c r="N113" s="231" t="s">
        <v>4613</v>
      </c>
      <c r="O113" s="222" t="s">
        <v>204</v>
      </c>
      <c r="P113" s="9"/>
      <c r="Q113" s="167" t="s">
        <v>204</v>
      </c>
      <c r="R113" s="92"/>
      <c r="S113" s="167" t="s">
        <v>328</v>
      </c>
      <c r="T113" s="92"/>
      <c r="U113" s="167" t="s">
        <v>328</v>
      </c>
      <c r="V113" s="92"/>
      <c r="W113" s="167" t="s">
        <v>204</v>
      </c>
      <c r="X113" s="92"/>
      <c r="Y113" s="167" t="s">
        <v>204</v>
      </c>
      <c r="Z113" s="92"/>
      <c r="AA113" s="167" t="s">
        <v>328</v>
      </c>
      <c r="AB113" s="92"/>
      <c r="AC113" s="167" t="s">
        <v>204</v>
      </c>
      <c r="AD113" s="92"/>
      <c r="AE113" s="167" t="s">
        <v>204</v>
      </c>
      <c r="AF113" s="215" t="str">
        <f t="shared" si="5"/>
        <v>NC</v>
      </c>
      <c r="AG113" s="96" t="str">
        <f t="shared" si="4"/>
        <v>UTILIZOU O PDA CORRETAMENTE. NÃO HÁ FOTOS DE TODAS AS ETAPAS</v>
      </c>
      <c r="AH113" s="9" t="s">
        <v>59</v>
      </c>
      <c r="AI113" s="151" t="str">
        <f t="shared" si="6"/>
        <v>GUARULHOS</v>
      </c>
      <c r="AJ113" s="154" t="s">
        <v>6</v>
      </c>
      <c r="AK113" s="53">
        <v>-2.24E-2</v>
      </c>
      <c r="AL113" s="53" t="str" cm="1">
        <f t="array" ref="AL113">IF(OR(O113&lt;&gt;"", SUMPRODUCT(($AM$2:$AM$210=AM113)*($AK$2:$AK$210&lt;=AK113)) &lt;= (COUNTIF($AM$2:$AM$210,AM113)*0.1)), "SORTEADO", "-")</f>
        <v>SORTEADO</v>
      </c>
      <c r="AM113" s="53" t="str">
        <f t="shared" si="7"/>
        <v>04/09/2026</v>
      </c>
    </row>
    <row r="114" spans="1:39" ht="30" hidden="1" customHeight="1" x14ac:dyDescent="0.2">
      <c r="A114" s="231" t="s">
        <v>197</v>
      </c>
      <c r="B114" s="250">
        <v>2614485002</v>
      </c>
      <c r="C114" s="231" t="s">
        <v>140</v>
      </c>
      <c r="D114" s="231" t="s">
        <v>67</v>
      </c>
      <c r="E114" s="231" t="s">
        <v>198</v>
      </c>
      <c r="F114" s="231" t="s">
        <v>561</v>
      </c>
      <c r="G114" s="231">
        <v>308</v>
      </c>
      <c r="H114" s="231" t="s">
        <v>562</v>
      </c>
      <c r="I114" s="231" t="s">
        <v>485</v>
      </c>
      <c r="J114" s="231" t="s">
        <v>4605</v>
      </c>
      <c r="K114" s="231" t="s">
        <v>213</v>
      </c>
      <c r="L114" s="232" t="s">
        <v>726</v>
      </c>
      <c r="M114" s="232">
        <v>46269.379166666666</v>
      </c>
      <c r="N114" s="231" t="s">
        <v>4613</v>
      </c>
      <c r="O114" s="222" t="s">
        <v>204</v>
      </c>
      <c r="P114" s="9"/>
      <c r="Q114" s="167" t="s">
        <v>204</v>
      </c>
      <c r="R114" s="92"/>
      <c r="S114" s="167" t="s">
        <v>204</v>
      </c>
      <c r="T114" s="92"/>
      <c r="U114" s="167" t="s">
        <v>204</v>
      </c>
      <c r="V114" s="92"/>
      <c r="W114" s="167" t="s">
        <v>204</v>
      </c>
      <c r="X114" s="92"/>
      <c r="Y114" s="167" t="s">
        <v>204</v>
      </c>
      <c r="Z114" s="92"/>
      <c r="AA114" s="167" t="s">
        <v>204</v>
      </c>
      <c r="AB114" s="92"/>
      <c r="AC114" s="167" t="s">
        <v>204</v>
      </c>
      <c r="AD114" s="92"/>
      <c r="AE114" s="167" t="s">
        <v>204</v>
      </c>
      <c r="AF114" s="215" t="str">
        <f t="shared" si="5"/>
        <v>C</v>
      </c>
      <c r="AG114" s="96" t="str">
        <f t="shared" si="4"/>
        <v>UTILIZOU O PDA CORRETAMENTE</v>
      </c>
      <c r="AH114" s="9" t="s">
        <v>39</v>
      </c>
      <c r="AI114" s="151" t="str">
        <f t="shared" si="6"/>
        <v>GUARULHOS</v>
      </c>
      <c r="AJ114" s="154" t="s">
        <v>6</v>
      </c>
      <c r="AK114" s="53">
        <v>-2.2599999999999999E-2</v>
      </c>
      <c r="AL114" s="53" t="str" cm="1">
        <f t="array" ref="AL114">IF(OR(O114&lt;&gt;"", SUMPRODUCT(($AM$2:$AM$210=AM114)*($AK$2:$AK$210&lt;=AK114)) &lt;= (COUNTIF($AM$2:$AM$210,AM114)*0.1)), "SORTEADO", "-")</f>
        <v>SORTEADO</v>
      </c>
      <c r="AM114" s="53" t="str">
        <f t="shared" si="7"/>
        <v>04/09/2026</v>
      </c>
    </row>
    <row r="115" spans="1:39" ht="30" hidden="1" customHeight="1" x14ac:dyDescent="0.2">
      <c r="A115" s="231" t="s">
        <v>197</v>
      </c>
      <c r="B115" s="231">
        <v>2614605142</v>
      </c>
      <c r="C115" s="231" t="s">
        <v>141</v>
      </c>
      <c r="D115" s="231" t="s">
        <v>67</v>
      </c>
      <c r="E115" s="231" t="s">
        <v>198</v>
      </c>
      <c r="F115" s="231" t="s">
        <v>343</v>
      </c>
      <c r="G115" s="231">
        <v>438</v>
      </c>
      <c r="H115" s="231" t="s">
        <v>206</v>
      </c>
      <c r="I115" s="231" t="s">
        <v>345</v>
      </c>
      <c r="J115" s="231" t="s">
        <v>4603</v>
      </c>
      <c r="K115" s="231" t="s">
        <v>4651</v>
      </c>
      <c r="L115" s="232" t="s">
        <v>726</v>
      </c>
      <c r="M115" s="232">
        <v>46269.588194444441</v>
      </c>
      <c r="N115" s="231" t="s">
        <v>4652</v>
      </c>
      <c r="O115" s="144" t="s">
        <v>61</v>
      </c>
      <c r="P115" s="9"/>
      <c r="Q115" s="146" t="s">
        <v>61</v>
      </c>
      <c r="R115" s="92"/>
      <c r="S115" s="146" t="s">
        <v>61</v>
      </c>
      <c r="T115" s="92"/>
      <c r="U115" s="146" t="s">
        <v>61</v>
      </c>
      <c r="V115" s="92"/>
      <c r="W115" s="146" t="s">
        <v>61</v>
      </c>
      <c r="X115" s="92"/>
      <c r="Y115" s="146" t="s">
        <v>61</v>
      </c>
      <c r="Z115" s="92"/>
      <c r="AA115" s="146" t="s">
        <v>61</v>
      </c>
      <c r="AB115" s="64"/>
      <c r="AC115" s="146" t="s">
        <v>61</v>
      </c>
      <c r="AD115" s="64"/>
      <c r="AE115" s="146" t="s">
        <v>61</v>
      </c>
      <c r="AF115" s="215" t="str">
        <f t="shared" si="5"/>
        <v>NA</v>
      </c>
      <c r="AG115" s="96" t="str">
        <f t="shared" si="4"/>
        <v>NÃO AVALIADO POR FALHA DE SINCRONISMO</v>
      </c>
      <c r="AH115" s="9" t="s">
        <v>39</v>
      </c>
      <c r="AI115" s="151" t="str">
        <f t="shared" si="6"/>
        <v>GUARULHOS</v>
      </c>
      <c r="AJ115" s="154" t="s">
        <v>6</v>
      </c>
      <c r="AK115" s="53">
        <v>-2.2800000000000001E-2</v>
      </c>
      <c r="AL115" s="53" t="str" cm="1">
        <f t="array" ref="AL115">IF(OR(O115&lt;&gt;"", SUMPRODUCT(($AM$2:$AM$210=AM115)*($AK$2:$AK$210&lt;=AK115)) &lt;= (COUNTIF($AM$2:$AM$210,AM115)*0.1)), "SORTEADO", "-")</f>
        <v>SORTEADO</v>
      </c>
      <c r="AM115" s="53" t="str">
        <f t="shared" si="7"/>
        <v>04/09/2026</v>
      </c>
    </row>
    <row r="116" spans="1:39" ht="30" hidden="1" customHeight="1" x14ac:dyDescent="0.2">
      <c r="A116" s="231" t="s">
        <v>197</v>
      </c>
      <c r="B116" s="231">
        <v>2614512142</v>
      </c>
      <c r="C116" s="231" t="s">
        <v>141</v>
      </c>
      <c r="D116" s="231" t="s">
        <v>67</v>
      </c>
      <c r="E116" s="231" t="s">
        <v>198</v>
      </c>
      <c r="F116" s="231" t="s">
        <v>343</v>
      </c>
      <c r="G116" s="231">
        <v>559</v>
      </c>
      <c r="H116" s="231" t="s">
        <v>350</v>
      </c>
      <c r="I116" s="231" t="s">
        <v>345</v>
      </c>
      <c r="J116" s="231" t="s">
        <v>4603</v>
      </c>
      <c r="K116" s="231" t="s">
        <v>4651</v>
      </c>
      <c r="L116" s="232" t="s">
        <v>726</v>
      </c>
      <c r="M116" s="232">
        <v>46269.584027777775</v>
      </c>
      <c r="N116" s="231" t="s">
        <v>4652</v>
      </c>
      <c r="O116" s="144" t="s">
        <v>61</v>
      </c>
      <c r="P116" s="9"/>
      <c r="Q116" s="146" t="s">
        <v>61</v>
      </c>
      <c r="R116" s="92"/>
      <c r="S116" s="146" t="s">
        <v>61</v>
      </c>
      <c r="T116" s="92"/>
      <c r="U116" s="146" t="s">
        <v>61</v>
      </c>
      <c r="V116" s="92"/>
      <c r="W116" s="146" t="s">
        <v>61</v>
      </c>
      <c r="X116" s="92"/>
      <c r="Y116" s="146" t="s">
        <v>61</v>
      </c>
      <c r="Z116" s="92"/>
      <c r="AA116" s="146" t="s">
        <v>61</v>
      </c>
      <c r="AB116" s="64"/>
      <c r="AC116" s="146" t="s">
        <v>61</v>
      </c>
      <c r="AD116" s="64"/>
      <c r="AE116" s="146" t="s">
        <v>61</v>
      </c>
      <c r="AF116" s="215" t="str">
        <f t="shared" si="5"/>
        <v>NA</v>
      </c>
      <c r="AG116" s="96" t="str">
        <f t="shared" si="4"/>
        <v>NÃO AVALIADO POR FALHA DE SINCRONISMO</v>
      </c>
      <c r="AH116" s="9" t="s">
        <v>39</v>
      </c>
      <c r="AI116" s="151" t="str">
        <f t="shared" si="6"/>
        <v>GUARULHOS</v>
      </c>
      <c r="AJ116" s="154" t="s">
        <v>6</v>
      </c>
      <c r="AK116" s="53">
        <v>-2.3E-2</v>
      </c>
      <c r="AL116" s="53" t="str" cm="1">
        <f t="array" ref="AL116">IF(OR(O116&lt;&gt;"", SUMPRODUCT(($AM$2:$AM$210=AM116)*($AK$2:$AK$210&lt;=AK116)) &lt;= (COUNTIF($AM$2:$AM$210,AM116)*0.1)), "SORTEADO", "-")</f>
        <v>SORTEADO</v>
      </c>
      <c r="AM116" s="53" t="str">
        <f t="shared" si="7"/>
        <v>04/09/2026</v>
      </c>
    </row>
    <row r="117" spans="1:39" ht="30" hidden="1" customHeight="1" x14ac:dyDescent="0.2">
      <c r="A117" s="231" t="s">
        <v>197</v>
      </c>
      <c r="B117" s="231">
        <v>2614459866</v>
      </c>
      <c r="C117" s="231" t="s">
        <v>140</v>
      </c>
      <c r="D117" s="231" t="s">
        <v>67</v>
      </c>
      <c r="E117" s="231" t="s">
        <v>198</v>
      </c>
      <c r="F117" s="231" t="s">
        <v>600</v>
      </c>
      <c r="G117" s="231">
        <v>86</v>
      </c>
      <c r="H117" s="231" t="s">
        <v>213</v>
      </c>
      <c r="I117" s="231" t="s">
        <v>285</v>
      </c>
      <c r="J117" s="231" t="s">
        <v>4605</v>
      </c>
      <c r="K117" s="231" t="s">
        <v>4653</v>
      </c>
      <c r="L117" s="232" t="s">
        <v>726</v>
      </c>
      <c r="M117" s="232">
        <v>46269.463194444441</v>
      </c>
      <c r="N117" s="231" t="s">
        <v>4613</v>
      </c>
      <c r="O117" s="144" t="s">
        <v>61</v>
      </c>
      <c r="P117" s="9"/>
      <c r="Q117" s="146" t="s">
        <v>61</v>
      </c>
      <c r="R117" s="92"/>
      <c r="S117" s="146" t="s">
        <v>61</v>
      </c>
      <c r="T117" s="92"/>
      <c r="U117" s="146" t="s">
        <v>61</v>
      </c>
      <c r="V117" s="92"/>
      <c r="W117" s="146" t="s">
        <v>61</v>
      </c>
      <c r="X117" s="92"/>
      <c r="Y117" s="146" t="s">
        <v>61</v>
      </c>
      <c r="Z117" s="92"/>
      <c r="AA117" s="146" t="s">
        <v>61</v>
      </c>
      <c r="AB117" s="64"/>
      <c r="AC117" s="146" t="s">
        <v>61</v>
      </c>
      <c r="AD117" s="64"/>
      <c r="AE117" s="146" t="s">
        <v>61</v>
      </c>
      <c r="AF117" s="215" t="str">
        <f t="shared" si="5"/>
        <v>NA</v>
      </c>
      <c r="AG117" s="96" t="str">
        <f t="shared" si="4"/>
        <v>NÃO AVALIADO POR FALHA DE SINCRONISMO</v>
      </c>
      <c r="AH117" s="9" t="s">
        <v>39</v>
      </c>
      <c r="AI117" s="151" t="str">
        <f t="shared" si="6"/>
        <v>GUARULHOS</v>
      </c>
      <c r="AJ117" s="154" t="s">
        <v>6</v>
      </c>
      <c r="AK117" s="53">
        <v>-2.3199999999999998E-2</v>
      </c>
      <c r="AL117" s="53" t="str" cm="1">
        <f t="array" ref="AL117">IF(OR(O117&lt;&gt;"", SUMPRODUCT(($AM$2:$AM$210=AM117)*($AK$2:$AK$210&lt;=AK117)) &lt;= (COUNTIF($AM$2:$AM$210,AM117)*0.1)), "SORTEADO", "-")</f>
        <v>SORTEADO</v>
      </c>
      <c r="AM117" s="53" t="str">
        <f t="shared" si="7"/>
        <v>04/09/2026</v>
      </c>
    </row>
    <row r="118" spans="1:39" ht="30" customHeight="1" x14ac:dyDescent="0.2">
      <c r="A118" s="231" t="s">
        <v>197</v>
      </c>
      <c r="B118" s="250">
        <v>2614670261</v>
      </c>
      <c r="C118" s="231" t="s">
        <v>139</v>
      </c>
      <c r="D118" s="231" t="s">
        <v>67</v>
      </c>
      <c r="E118" s="231" t="s">
        <v>198</v>
      </c>
      <c r="F118" s="231" t="s">
        <v>2727</v>
      </c>
      <c r="G118" s="231">
        <v>294</v>
      </c>
      <c r="H118" s="231" t="s">
        <v>211</v>
      </c>
      <c r="I118" s="231" t="s">
        <v>207</v>
      </c>
      <c r="J118" s="231" t="s">
        <v>4603</v>
      </c>
      <c r="K118" s="231"/>
      <c r="L118" s="232" t="s">
        <v>793</v>
      </c>
      <c r="M118" s="232">
        <v>46299.409722222219</v>
      </c>
      <c r="N118" s="231" t="s">
        <v>4604</v>
      </c>
      <c r="O118" s="144" t="s">
        <v>210</v>
      </c>
      <c r="P118" s="9" t="s">
        <v>413</v>
      </c>
      <c r="Q118" s="144" t="s">
        <v>210</v>
      </c>
      <c r="R118" s="9" t="s">
        <v>413</v>
      </c>
      <c r="S118" s="144" t="s">
        <v>210</v>
      </c>
      <c r="T118" s="9" t="s">
        <v>413</v>
      </c>
      <c r="U118" s="144" t="s">
        <v>210</v>
      </c>
      <c r="V118" s="9" t="s">
        <v>413</v>
      </c>
      <c r="W118" s="144" t="s">
        <v>210</v>
      </c>
      <c r="X118" s="9" t="s">
        <v>413</v>
      </c>
      <c r="Y118" s="144" t="s">
        <v>210</v>
      </c>
      <c r="Z118" s="9" t="s">
        <v>413</v>
      </c>
      <c r="AA118" s="144" t="s">
        <v>210</v>
      </c>
      <c r="AB118" s="9" t="s">
        <v>413</v>
      </c>
      <c r="AC118" s="144" t="s">
        <v>210</v>
      </c>
      <c r="AD118" s="9" t="s">
        <v>413</v>
      </c>
      <c r="AE118" s="144" t="s">
        <v>210</v>
      </c>
      <c r="AF118" s="215" t="str">
        <f t="shared" si="5"/>
        <v>NC</v>
      </c>
      <c r="AG118" s="96" t="str">
        <f t="shared" si="4"/>
        <v>NÃO UTILIZOU O PDA</v>
      </c>
      <c r="AH118" s="9" t="s">
        <v>59</v>
      </c>
      <c r="AI118" s="151" t="str">
        <f t="shared" si="6"/>
        <v>GUARULHOS</v>
      </c>
      <c r="AJ118" s="154" t="s">
        <v>6</v>
      </c>
      <c r="AK118" s="53">
        <v>-2.3400000000000001E-2</v>
      </c>
      <c r="AL118" s="53" t="str" cm="1">
        <f t="array" ref="AL118">IF(OR(O118&lt;&gt;"", SUMPRODUCT(($AM$2:$AM$210=AM118)*($AK$2:$AK$210&lt;=AK118)) &lt;= (COUNTIF($AM$2:$AM$210,AM118)*0.1)), "SORTEADO", "-")</f>
        <v>SORTEADO</v>
      </c>
      <c r="AM118" s="53" t="str">
        <f t="shared" si="7"/>
        <v>04/10/2026</v>
      </c>
    </row>
    <row r="119" spans="1:39" ht="30" customHeight="1" x14ac:dyDescent="0.2">
      <c r="A119" s="231" t="s">
        <v>197</v>
      </c>
      <c r="B119" s="250">
        <v>2614686675</v>
      </c>
      <c r="C119" s="231" t="s">
        <v>139</v>
      </c>
      <c r="D119" s="231" t="s">
        <v>67</v>
      </c>
      <c r="E119" s="231" t="s">
        <v>198</v>
      </c>
      <c r="F119" s="231" t="s">
        <v>688</v>
      </c>
      <c r="G119" s="231">
        <v>184</v>
      </c>
      <c r="H119" s="231" t="s">
        <v>206</v>
      </c>
      <c r="I119" s="231" t="s">
        <v>356</v>
      </c>
      <c r="J119" s="231" t="s">
        <v>4603</v>
      </c>
      <c r="K119" s="231" t="s">
        <v>213</v>
      </c>
      <c r="L119" s="232" t="s">
        <v>793</v>
      </c>
      <c r="M119" s="232">
        <v>46299.375694444447</v>
      </c>
      <c r="N119" s="231" t="s">
        <v>4604</v>
      </c>
      <c r="O119" s="144" t="s">
        <v>210</v>
      </c>
      <c r="P119" s="64" t="s">
        <v>413</v>
      </c>
      <c r="Q119" s="146" t="s">
        <v>210</v>
      </c>
      <c r="R119" s="64" t="s">
        <v>413</v>
      </c>
      <c r="S119" s="146" t="s">
        <v>210</v>
      </c>
      <c r="T119" s="64" t="s">
        <v>413</v>
      </c>
      <c r="U119" s="146" t="s">
        <v>210</v>
      </c>
      <c r="V119" s="64" t="s">
        <v>413</v>
      </c>
      <c r="W119" s="146" t="s">
        <v>210</v>
      </c>
      <c r="X119" s="64" t="s">
        <v>413</v>
      </c>
      <c r="Y119" s="146" t="s">
        <v>210</v>
      </c>
      <c r="Z119" s="64" t="s">
        <v>413</v>
      </c>
      <c r="AA119" s="146" t="s">
        <v>210</v>
      </c>
      <c r="AB119" s="64" t="s">
        <v>413</v>
      </c>
      <c r="AC119" s="146" t="s">
        <v>210</v>
      </c>
      <c r="AD119" s="64" t="s">
        <v>413</v>
      </c>
      <c r="AE119" s="146" t="s">
        <v>210</v>
      </c>
      <c r="AF119" s="215" t="str">
        <f t="shared" si="5"/>
        <v>NC</v>
      </c>
      <c r="AG119" s="96" t="str">
        <f t="shared" si="4"/>
        <v>NÃO UTILIZOU O PDA</v>
      </c>
      <c r="AH119" s="9" t="s">
        <v>39</v>
      </c>
      <c r="AI119" s="151" t="str">
        <f t="shared" si="6"/>
        <v>GUARULHOS</v>
      </c>
      <c r="AJ119" s="154" t="s">
        <v>6</v>
      </c>
      <c r="AK119" s="53">
        <v>-2.3599999999999999E-2</v>
      </c>
      <c r="AL119" s="53" t="str" cm="1">
        <f t="array" ref="AL119">IF(OR(O119&lt;&gt;"", SUMPRODUCT(($AM$2:$AM$210=AM119)*($AK$2:$AK$210&lt;=AK119)) &lt;= (COUNTIF($AM$2:$AM$210,AM119)*0.1)), "SORTEADO", "-")</f>
        <v>SORTEADO</v>
      </c>
      <c r="AM119" s="53" t="str">
        <f t="shared" si="7"/>
        <v>04/10/2026</v>
      </c>
    </row>
    <row r="120" spans="1:39" ht="30" customHeight="1" x14ac:dyDescent="0.2">
      <c r="A120" s="231" t="s">
        <v>197</v>
      </c>
      <c r="B120" s="250">
        <v>2614803311</v>
      </c>
      <c r="C120" s="231" t="s">
        <v>139</v>
      </c>
      <c r="D120" s="231" t="s">
        <v>67</v>
      </c>
      <c r="E120" s="231" t="s">
        <v>198</v>
      </c>
      <c r="F120" s="231" t="s">
        <v>688</v>
      </c>
      <c r="G120" s="231">
        <v>277</v>
      </c>
      <c r="H120" s="231" t="s">
        <v>700</v>
      </c>
      <c r="I120" s="231" t="s">
        <v>356</v>
      </c>
      <c r="J120" s="231" t="s">
        <v>4603</v>
      </c>
      <c r="K120" s="231"/>
      <c r="L120" s="232" t="s">
        <v>793</v>
      </c>
      <c r="M120" s="232">
        <v>46299.387499999997</v>
      </c>
      <c r="N120" s="231" t="s">
        <v>4604</v>
      </c>
      <c r="O120" s="144" t="s">
        <v>210</v>
      </c>
      <c r="P120" s="9" t="s">
        <v>413</v>
      </c>
      <c r="Q120" s="146" t="s">
        <v>210</v>
      </c>
      <c r="R120" s="9" t="s">
        <v>413</v>
      </c>
      <c r="S120" s="146" t="s">
        <v>210</v>
      </c>
      <c r="T120" s="9" t="s">
        <v>413</v>
      </c>
      <c r="U120" s="146" t="s">
        <v>210</v>
      </c>
      <c r="V120" s="9" t="s">
        <v>413</v>
      </c>
      <c r="W120" s="146" t="s">
        <v>210</v>
      </c>
      <c r="X120" s="9" t="s">
        <v>413</v>
      </c>
      <c r="Y120" s="146" t="s">
        <v>210</v>
      </c>
      <c r="Z120" s="9" t="s">
        <v>413</v>
      </c>
      <c r="AA120" s="146" t="s">
        <v>210</v>
      </c>
      <c r="AB120" s="9" t="s">
        <v>413</v>
      </c>
      <c r="AC120" s="146" t="s">
        <v>210</v>
      </c>
      <c r="AD120" s="9" t="s">
        <v>413</v>
      </c>
      <c r="AE120" s="146" t="s">
        <v>210</v>
      </c>
      <c r="AF120" s="215" t="str">
        <f t="shared" si="5"/>
        <v>NC</v>
      </c>
      <c r="AG120" s="96" t="str">
        <f t="shared" si="4"/>
        <v>NÃO UTILIZOU O PDA</v>
      </c>
      <c r="AH120" s="9" t="s">
        <v>39</v>
      </c>
      <c r="AI120" s="151" t="str">
        <f t="shared" ref="AI120:AI183" si="8">E120</f>
        <v>GUARULHOS</v>
      </c>
      <c r="AJ120" s="154" t="s">
        <v>6</v>
      </c>
      <c r="AK120" s="53">
        <v>-2.3800000000000002E-2</v>
      </c>
      <c r="AL120" s="53" t="str" cm="1">
        <f t="array" ref="AL120">IF(OR(O120&lt;&gt;"", SUMPRODUCT(($AM$2:$AM$210=AM120)*($AK$2:$AK$210&lt;=AK120)) &lt;= (COUNTIF($AM$2:$AM$210,AM120)*0.1)), "SORTEADO", "-")</f>
        <v>SORTEADO</v>
      </c>
      <c r="AM120" s="53" t="str">
        <f t="shared" si="7"/>
        <v>04/10/2026</v>
      </c>
    </row>
    <row r="121" spans="1:39" ht="30" customHeight="1" x14ac:dyDescent="0.2">
      <c r="A121" s="231" t="s">
        <v>197</v>
      </c>
      <c r="B121" s="250">
        <v>2614689141</v>
      </c>
      <c r="C121" s="231" t="s">
        <v>138</v>
      </c>
      <c r="D121" s="231" t="s">
        <v>67</v>
      </c>
      <c r="E121" s="231" t="s">
        <v>198</v>
      </c>
      <c r="F121" s="231" t="s">
        <v>1504</v>
      </c>
      <c r="G121" s="231">
        <v>108</v>
      </c>
      <c r="H121" s="231" t="s">
        <v>2729</v>
      </c>
      <c r="I121" s="231" t="s">
        <v>791</v>
      </c>
      <c r="J121" s="231" t="s">
        <v>4605</v>
      </c>
      <c r="K121" s="231" t="s">
        <v>213</v>
      </c>
      <c r="L121" s="232" t="s">
        <v>793</v>
      </c>
      <c r="M121" s="232">
        <v>46299.462500000001</v>
      </c>
      <c r="N121" s="231" t="s">
        <v>4604</v>
      </c>
      <c r="O121" s="144" t="s">
        <v>210</v>
      </c>
      <c r="P121" s="9" t="s">
        <v>413</v>
      </c>
      <c r="Q121" s="146" t="s">
        <v>210</v>
      </c>
      <c r="R121" s="9" t="s">
        <v>413</v>
      </c>
      <c r="S121" s="146" t="s">
        <v>210</v>
      </c>
      <c r="T121" s="9" t="s">
        <v>413</v>
      </c>
      <c r="U121" s="146" t="s">
        <v>210</v>
      </c>
      <c r="V121" s="9" t="s">
        <v>413</v>
      </c>
      <c r="W121" s="146" t="s">
        <v>210</v>
      </c>
      <c r="X121" s="9" t="s">
        <v>413</v>
      </c>
      <c r="Y121" s="146" t="s">
        <v>210</v>
      </c>
      <c r="Z121" s="9" t="s">
        <v>413</v>
      </c>
      <c r="AA121" s="146" t="s">
        <v>210</v>
      </c>
      <c r="AB121" s="9" t="s">
        <v>413</v>
      </c>
      <c r="AC121" s="146" t="s">
        <v>210</v>
      </c>
      <c r="AD121" s="9" t="s">
        <v>413</v>
      </c>
      <c r="AE121" s="146" t="s">
        <v>210</v>
      </c>
      <c r="AF121" s="215" t="str">
        <f t="shared" si="5"/>
        <v>NC</v>
      </c>
      <c r="AG121" s="96" t="str">
        <f t="shared" si="4"/>
        <v>NÃO UTILIZOU O PDA</v>
      </c>
      <c r="AH121" s="9" t="s">
        <v>59</v>
      </c>
      <c r="AI121" s="151" t="str">
        <f t="shared" si="8"/>
        <v>GUARULHOS</v>
      </c>
      <c r="AJ121" s="154" t="s">
        <v>6</v>
      </c>
      <c r="AK121" s="53">
        <v>-2.4E-2</v>
      </c>
      <c r="AL121" s="53" t="str" cm="1">
        <f t="array" ref="AL121">IF(OR(O121&lt;&gt;"", SUMPRODUCT(($AM$2:$AM$210=AM121)*($AK$2:$AK$210&lt;=AK121)) &lt;= (COUNTIF($AM$2:$AM$210,AM121)*0.1)), "SORTEADO", "-")</f>
        <v>SORTEADO</v>
      </c>
      <c r="AM121" s="53" t="str">
        <f t="shared" si="7"/>
        <v>04/10/2026</v>
      </c>
    </row>
    <row r="122" spans="1:39" ht="30" hidden="1" customHeight="1" x14ac:dyDescent="0.2">
      <c r="A122" s="231" t="s">
        <v>197</v>
      </c>
      <c r="B122" s="250">
        <v>2615141161</v>
      </c>
      <c r="C122" s="231" t="s">
        <v>141</v>
      </c>
      <c r="D122" s="231" t="s">
        <v>67</v>
      </c>
      <c r="E122" s="231" t="s">
        <v>198</v>
      </c>
      <c r="F122" s="231" t="s">
        <v>658</v>
      </c>
      <c r="G122" s="231">
        <v>105</v>
      </c>
      <c r="H122" s="231" t="s">
        <v>246</v>
      </c>
      <c r="I122" s="231" t="s">
        <v>660</v>
      </c>
      <c r="J122" s="231" t="s">
        <v>4603</v>
      </c>
      <c r="K122" s="231"/>
      <c r="L122" s="232" t="s">
        <v>793</v>
      </c>
      <c r="M122" s="232">
        <v>46299.519444444442</v>
      </c>
      <c r="N122" s="231" t="s">
        <v>4604</v>
      </c>
      <c r="O122" s="144" t="s">
        <v>204</v>
      </c>
      <c r="P122" s="9"/>
      <c r="Q122" s="146" t="s">
        <v>204</v>
      </c>
      <c r="R122" s="92"/>
      <c r="S122" s="146" t="s">
        <v>204</v>
      </c>
      <c r="T122" s="92"/>
      <c r="U122" s="146" t="s">
        <v>204</v>
      </c>
      <c r="V122" s="92"/>
      <c r="W122" s="146" t="s">
        <v>204</v>
      </c>
      <c r="X122" s="92"/>
      <c r="Y122" s="146" t="s">
        <v>204</v>
      </c>
      <c r="Z122" s="92"/>
      <c r="AA122" s="146" t="s">
        <v>204</v>
      </c>
      <c r="AB122" s="64"/>
      <c r="AC122" s="146" t="s">
        <v>204</v>
      </c>
      <c r="AD122" s="64"/>
      <c r="AE122" s="146" t="s">
        <v>204</v>
      </c>
      <c r="AF122" s="215" t="str">
        <f t="shared" si="5"/>
        <v>C</v>
      </c>
      <c r="AG122" s="96" t="str">
        <f t="shared" si="4"/>
        <v>UTILIZOU O PDA CORRETAMENTE</v>
      </c>
      <c r="AH122" s="9" t="s">
        <v>39</v>
      </c>
      <c r="AI122" s="151" t="str">
        <f t="shared" si="8"/>
        <v>GUARULHOS</v>
      </c>
      <c r="AJ122" s="154" t="s">
        <v>6</v>
      </c>
      <c r="AK122" s="53">
        <v>-2.4199999999999999E-2</v>
      </c>
      <c r="AL122" s="53" t="str" cm="1">
        <f t="array" ref="AL122">IF(OR(O122&lt;&gt;"", SUMPRODUCT(($AM$2:$AM$210=AM122)*($AK$2:$AK$210&lt;=AK122)) &lt;= (COUNTIF($AM$2:$AM$210,AM122)*0.1)), "SORTEADO", "-")</f>
        <v>SORTEADO</v>
      </c>
      <c r="AM122" s="53" t="str">
        <f t="shared" si="7"/>
        <v>04/10/2026</v>
      </c>
    </row>
    <row r="123" spans="1:39" ht="30" hidden="1" customHeight="1" x14ac:dyDescent="0.2">
      <c r="A123" s="231" t="s">
        <v>197</v>
      </c>
      <c r="B123" s="250">
        <v>2614505043</v>
      </c>
      <c r="C123" s="231" t="s">
        <v>138</v>
      </c>
      <c r="D123" s="231" t="s">
        <v>67</v>
      </c>
      <c r="E123" s="231" t="s">
        <v>198</v>
      </c>
      <c r="F123" s="231" t="s">
        <v>2725</v>
      </c>
      <c r="G123" s="231">
        <v>351</v>
      </c>
      <c r="H123" s="231" t="s">
        <v>206</v>
      </c>
      <c r="I123" s="231" t="s">
        <v>915</v>
      </c>
      <c r="J123" s="231" t="s">
        <v>4605</v>
      </c>
      <c r="K123" s="231" t="s">
        <v>213</v>
      </c>
      <c r="L123" s="232" t="s">
        <v>793</v>
      </c>
      <c r="M123" s="232">
        <v>46299.50277777778</v>
      </c>
      <c r="N123" s="231" t="s">
        <v>4604</v>
      </c>
      <c r="O123" s="144" t="s">
        <v>204</v>
      </c>
      <c r="P123" s="9"/>
      <c r="Q123" s="146" t="s">
        <v>204</v>
      </c>
      <c r="R123" s="92"/>
      <c r="S123" s="146" t="s">
        <v>204</v>
      </c>
      <c r="T123" s="92"/>
      <c r="U123" s="146" t="s">
        <v>204</v>
      </c>
      <c r="V123" s="92"/>
      <c r="W123" s="146" t="s">
        <v>204</v>
      </c>
      <c r="X123" s="92"/>
      <c r="Y123" s="146" t="s">
        <v>204</v>
      </c>
      <c r="Z123" s="92"/>
      <c r="AA123" s="146" t="s">
        <v>204</v>
      </c>
      <c r="AB123" s="64"/>
      <c r="AC123" s="146" t="s">
        <v>204</v>
      </c>
      <c r="AD123" s="64"/>
      <c r="AE123" s="146" t="s">
        <v>204</v>
      </c>
      <c r="AF123" s="215" t="str">
        <f t="shared" si="5"/>
        <v>C</v>
      </c>
      <c r="AG123" s="96" t="str">
        <f t="shared" si="4"/>
        <v>UTILIZOU O PDA CORRETAMENTE</v>
      </c>
      <c r="AH123" s="9" t="s">
        <v>59</v>
      </c>
      <c r="AI123" s="151" t="str">
        <f t="shared" si="8"/>
        <v>GUARULHOS</v>
      </c>
      <c r="AJ123" s="154" t="s">
        <v>6</v>
      </c>
      <c r="AK123" s="53">
        <v>-2.4400000000000002E-2</v>
      </c>
      <c r="AL123" s="53" t="str" cm="1">
        <f t="array" ref="AL123">IF(OR(O123&lt;&gt;"", SUMPRODUCT(($AM$2:$AM$210=AM123)*($AK$2:$AK$210&lt;=AK123)) &lt;= (COUNTIF($AM$2:$AM$210,AM123)*0.1)), "SORTEADO", "-")</f>
        <v>SORTEADO</v>
      </c>
      <c r="AM123" s="53" t="str">
        <f t="shared" si="7"/>
        <v>04/10/2026</v>
      </c>
    </row>
    <row r="124" spans="1:39" ht="30" hidden="1" customHeight="1" x14ac:dyDescent="0.2">
      <c r="A124" s="231" t="s">
        <v>197</v>
      </c>
      <c r="B124" s="250">
        <v>2614687859</v>
      </c>
      <c r="C124" s="231" t="s">
        <v>139</v>
      </c>
      <c r="D124" s="231" t="s">
        <v>67</v>
      </c>
      <c r="E124" s="231" t="s">
        <v>198</v>
      </c>
      <c r="F124" s="231" t="s">
        <v>688</v>
      </c>
      <c r="G124" s="231">
        <v>218</v>
      </c>
      <c r="H124" s="231" t="s">
        <v>689</v>
      </c>
      <c r="I124" s="231" t="s">
        <v>356</v>
      </c>
      <c r="J124" s="231" t="s">
        <v>4603</v>
      </c>
      <c r="K124" s="231"/>
      <c r="L124" s="232" t="s">
        <v>793</v>
      </c>
      <c r="M124" s="232">
        <v>46299.365972222222</v>
      </c>
      <c r="N124" s="231" t="s">
        <v>4604</v>
      </c>
      <c r="O124" s="144" t="s">
        <v>204</v>
      </c>
      <c r="P124" s="9"/>
      <c r="Q124" s="146" t="s">
        <v>204</v>
      </c>
      <c r="R124" s="92"/>
      <c r="S124" s="146" t="s">
        <v>204</v>
      </c>
      <c r="T124" s="92"/>
      <c r="U124" s="146" t="s">
        <v>204</v>
      </c>
      <c r="V124" s="92"/>
      <c r="W124" s="146" t="s">
        <v>204</v>
      </c>
      <c r="X124" s="92"/>
      <c r="Y124" s="146" t="s">
        <v>204</v>
      </c>
      <c r="Z124" s="92"/>
      <c r="AA124" s="146" t="s">
        <v>204</v>
      </c>
      <c r="AB124" s="64"/>
      <c r="AC124" s="146" t="s">
        <v>204</v>
      </c>
      <c r="AD124" s="64"/>
      <c r="AE124" s="146" t="s">
        <v>204</v>
      </c>
      <c r="AF124" s="215" t="str">
        <f t="shared" si="5"/>
        <v>C</v>
      </c>
      <c r="AG124" s="96" t="str">
        <f t="shared" si="4"/>
        <v>UTILIZOU O PDA CORRETAMENTE</v>
      </c>
      <c r="AH124" s="9" t="s">
        <v>39</v>
      </c>
      <c r="AI124" s="151" t="str">
        <f t="shared" si="8"/>
        <v>GUARULHOS</v>
      </c>
      <c r="AJ124" s="154" t="s">
        <v>6</v>
      </c>
      <c r="AK124" s="53">
        <v>-2.46E-2</v>
      </c>
      <c r="AL124" s="53" t="str" cm="1">
        <f t="array" ref="AL124">IF(OR(O124&lt;&gt;"", SUMPRODUCT(($AM$2:$AM$210=AM124)*($AK$2:$AK$210&lt;=AK124)) &lt;= (COUNTIF($AM$2:$AM$210,AM124)*0.1)), "SORTEADO", "-")</f>
        <v>SORTEADO</v>
      </c>
      <c r="AM124" s="53" t="str">
        <f t="shared" si="7"/>
        <v>04/10/2026</v>
      </c>
    </row>
    <row r="125" spans="1:39" ht="30" hidden="1" customHeight="1" x14ac:dyDescent="0.2">
      <c r="A125" s="231" t="s">
        <v>197</v>
      </c>
      <c r="B125" s="250">
        <v>2614835616</v>
      </c>
      <c r="C125" s="231" t="s">
        <v>139</v>
      </c>
      <c r="D125" s="231" t="s">
        <v>67</v>
      </c>
      <c r="E125" s="231" t="s">
        <v>198</v>
      </c>
      <c r="F125" s="231" t="s">
        <v>319</v>
      </c>
      <c r="G125" s="231">
        <v>212</v>
      </c>
      <c r="H125" s="231" t="s">
        <v>213</v>
      </c>
      <c r="I125" s="231" t="s">
        <v>281</v>
      </c>
      <c r="J125" s="231" t="s">
        <v>4603</v>
      </c>
      <c r="K125" s="231" t="s">
        <v>213</v>
      </c>
      <c r="L125" s="232" t="s">
        <v>793</v>
      </c>
      <c r="M125" s="232">
        <v>46299.435416666667</v>
      </c>
      <c r="N125" s="231" t="s">
        <v>4604</v>
      </c>
      <c r="O125" s="144" t="s">
        <v>204</v>
      </c>
      <c r="P125" s="9"/>
      <c r="Q125" s="146" t="s">
        <v>204</v>
      </c>
      <c r="R125" s="92"/>
      <c r="S125" s="146" t="s">
        <v>204</v>
      </c>
      <c r="T125" s="92"/>
      <c r="U125" s="146" t="s">
        <v>204</v>
      </c>
      <c r="V125" s="92"/>
      <c r="W125" s="146" t="s">
        <v>204</v>
      </c>
      <c r="X125" s="92"/>
      <c r="Y125" s="146" t="s">
        <v>204</v>
      </c>
      <c r="Z125" s="92"/>
      <c r="AA125" s="146" t="s">
        <v>204</v>
      </c>
      <c r="AB125" s="64"/>
      <c r="AC125" s="146" t="s">
        <v>204</v>
      </c>
      <c r="AD125" s="64"/>
      <c r="AE125" s="146" t="s">
        <v>204</v>
      </c>
      <c r="AF125" s="215" t="str">
        <f t="shared" si="5"/>
        <v>C</v>
      </c>
      <c r="AG125" s="96" t="str">
        <f t="shared" si="4"/>
        <v>UTILIZOU O PDA CORRETAMENTE</v>
      </c>
      <c r="AH125" s="9" t="s">
        <v>59</v>
      </c>
      <c r="AI125" s="151" t="str">
        <f t="shared" si="8"/>
        <v>GUARULHOS</v>
      </c>
      <c r="AJ125" s="154" t="s">
        <v>6</v>
      </c>
      <c r="AK125" s="53">
        <v>-2.4799999999999999E-2</v>
      </c>
      <c r="AL125" s="53" t="str" cm="1">
        <f t="array" ref="AL125">IF(OR(O125&lt;&gt;"", SUMPRODUCT(($AM$2:$AM$210=AM125)*($AK$2:$AK$210&lt;=AK125)) &lt;= (COUNTIF($AM$2:$AM$210,AM125)*0.1)), "SORTEADO", "-")</f>
        <v>SORTEADO</v>
      </c>
      <c r="AM125" s="53" t="str">
        <f t="shared" si="7"/>
        <v>04/10/2026</v>
      </c>
    </row>
    <row r="126" spans="1:39" ht="30" hidden="1" customHeight="1" x14ac:dyDescent="0.2">
      <c r="A126" s="231" t="s">
        <v>197</v>
      </c>
      <c r="B126" s="250">
        <v>2615135974</v>
      </c>
      <c r="C126" s="231" t="s">
        <v>139</v>
      </c>
      <c r="D126" s="231" t="s">
        <v>67</v>
      </c>
      <c r="E126" s="231" t="s">
        <v>198</v>
      </c>
      <c r="F126" s="231" t="s">
        <v>734</v>
      </c>
      <c r="G126" s="231">
        <v>249</v>
      </c>
      <c r="H126" s="231" t="s">
        <v>2204</v>
      </c>
      <c r="I126" s="231" t="s">
        <v>253</v>
      </c>
      <c r="J126" s="231" t="s">
        <v>4603</v>
      </c>
      <c r="K126" s="231"/>
      <c r="L126" s="232" t="s">
        <v>793</v>
      </c>
      <c r="M126" s="232">
        <v>46299.486805555556</v>
      </c>
      <c r="N126" s="231" t="s">
        <v>4613</v>
      </c>
      <c r="O126" s="144" t="s">
        <v>204</v>
      </c>
      <c r="P126" s="9"/>
      <c r="Q126" s="146" t="s">
        <v>204</v>
      </c>
      <c r="R126" s="92"/>
      <c r="S126" s="146" t="s">
        <v>204</v>
      </c>
      <c r="T126" s="92"/>
      <c r="U126" s="146" t="s">
        <v>204</v>
      </c>
      <c r="V126" s="92"/>
      <c r="W126" s="146" t="s">
        <v>204</v>
      </c>
      <c r="X126" s="92"/>
      <c r="Y126" s="146" t="s">
        <v>204</v>
      </c>
      <c r="Z126" s="92"/>
      <c r="AA126" s="146" t="s">
        <v>204</v>
      </c>
      <c r="AB126" s="64"/>
      <c r="AC126" s="146" t="s">
        <v>204</v>
      </c>
      <c r="AD126" s="64"/>
      <c r="AE126" s="146" t="s">
        <v>204</v>
      </c>
      <c r="AF126" s="215" t="str">
        <f t="shared" si="5"/>
        <v>C</v>
      </c>
      <c r="AG126" s="96" t="str">
        <f t="shared" si="4"/>
        <v>UTILIZOU O PDA CORRETAMENTE</v>
      </c>
      <c r="AH126" s="9" t="s">
        <v>59</v>
      </c>
      <c r="AI126" s="151" t="str">
        <f t="shared" si="8"/>
        <v>GUARULHOS</v>
      </c>
      <c r="AJ126" s="154" t="s">
        <v>6</v>
      </c>
      <c r="AK126" s="53">
        <v>-2.5000000000000001E-2</v>
      </c>
      <c r="AL126" s="53" t="str" cm="1">
        <f t="array" ref="AL126">IF(OR(O126&lt;&gt;"", SUMPRODUCT(($AM$2:$AM$210=AM126)*($AK$2:$AK$210&lt;=AK126)) &lt;= (COUNTIF($AM$2:$AM$210,AM126)*0.1)), "SORTEADO", "-")</f>
        <v>SORTEADO</v>
      </c>
      <c r="AM126" s="53" t="str">
        <f t="shared" si="7"/>
        <v>04/10/2026</v>
      </c>
    </row>
    <row r="127" spans="1:39" ht="30" hidden="1" customHeight="1" x14ac:dyDescent="0.2">
      <c r="A127" s="231" t="s">
        <v>197</v>
      </c>
      <c r="B127" s="250">
        <v>2614824560</v>
      </c>
      <c r="C127" s="231" t="s">
        <v>139</v>
      </c>
      <c r="D127" s="231" t="s">
        <v>67</v>
      </c>
      <c r="E127" s="231" t="s">
        <v>198</v>
      </c>
      <c r="F127" s="231" t="s">
        <v>781</v>
      </c>
      <c r="G127" s="231">
        <v>133</v>
      </c>
      <c r="H127" s="231" t="s">
        <v>213</v>
      </c>
      <c r="I127" s="231" t="s">
        <v>262</v>
      </c>
      <c r="J127" s="231" t="s">
        <v>4603</v>
      </c>
      <c r="K127" s="231" t="s">
        <v>213</v>
      </c>
      <c r="L127" s="232" t="s">
        <v>793</v>
      </c>
      <c r="M127" s="232">
        <v>46299.361111111109</v>
      </c>
      <c r="N127" s="231" t="s">
        <v>4613</v>
      </c>
      <c r="O127" s="144" t="s">
        <v>204</v>
      </c>
      <c r="P127" s="9"/>
      <c r="Q127" s="146" t="s">
        <v>204</v>
      </c>
      <c r="R127" s="92"/>
      <c r="S127" s="146" t="s">
        <v>204</v>
      </c>
      <c r="T127" s="92"/>
      <c r="U127" s="146" t="s">
        <v>204</v>
      </c>
      <c r="V127" s="92"/>
      <c r="W127" s="146" t="s">
        <v>204</v>
      </c>
      <c r="X127" s="92"/>
      <c r="Y127" s="146" t="s">
        <v>204</v>
      </c>
      <c r="Z127" s="92"/>
      <c r="AA127" s="146" t="s">
        <v>204</v>
      </c>
      <c r="AB127" s="64"/>
      <c r="AC127" s="146" t="s">
        <v>204</v>
      </c>
      <c r="AD127" s="64"/>
      <c r="AE127" s="146" t="s">
        <v>204</v>
      </c>
      <c r="AF127" s="215" t="str">
        <f t="shared" si="5"/>
        <v>C</v>
      </c>
      <c r="AG127" s="96" t="str">
        <f t="shared" si="4"/>
        <v>UTILIZOU O PDA CORRETAMENTE</v>
      </c>
      <c r="AH127" s="9" t="s">
        <v>39</v>
      </c>
      <c r="AI127" s="151" t="str">
        <f t="shared" si="8"/>
        <v>GUARULHOS</v>
      </c>
      <c r="AJ127" s="154" t="s">
        <v>6</v>
      </c>
      <c r="AK127" s="53">
        <v>-2.52E-2</v>
      </c>
      <c r="AL127" s="53" t="str" cm="1">
        <f t="array" ref="AL127">IF(OR(O127&lt;&gt;"", SUMPRODUCT(($AM$2:$AM$210=AM127)*($AK$2:$AK$210&lt;=AK127)) &lt;= (COUNTIF($AM$2:$AM$210,AM127)*0.1)), "SORTEADO", "-")</f>
        <v>SORTEADO</v>
      </c>
      <c r="AM127" s="53" t="str">
        <f t="shared" si="7"/>
        <v>04/10/2026</v>
      </c>
    </row>
    <row r="128" spans="1:39" ht="30" hidden="1" customHeight="1" x14ac:dyDescent="0.2">
      <c r="A128" s="231" t="s">
        <v>197</v>
      </c>
      <c r="B128" s="250">
        <v>2614815931</v>
      </c>
      <c r="C128" s="231" t="s">
        <v>138</v>
      </c>
      <c r="D128" s="231" t="s">
        <v>67</v>
      </c>
      <c r="E128" s="231" t="s">
        <v>198</v>
      </c>
      <c r="F128" s="231" t="s">
        <v>718</v>
      </c>
      <c r="G128" s="231">
        <v>617</v>
      </c>
      <c r="H128" s="231" t="s">
        <v>719</v>
      </c>
      <c r="I128" s="231" t="s">
        <v>315</v>
      </c>
      <c r="J128" s="231" t="s">
        <v>4605</v>
      </c>
      <c r="K128" s="231"/>
      <c r="L128" s="232" t="s">
        <v>793</v>
      </c>
      <c r="M128" s="232">
        <v>46299.509027777778</v>
      </c>
      <c r="N128" s="231" t="s">
        <v>4613</v>
      </c>
      <c r="O128" s="144" t="s">
        <v>204</v>
      </c>
      <c r="P128" s="9"/>
      <c r="Q128" s="146" t="s">
        <v>204</v>
      </c>
      <c r="R128" s="92"/>
      <c r="S128" s="146" t="s">
        <v>204</v>
      </c>
      <c r="T128" s="92"/>
      <c r="U128" s="146" t="s">
        <v>204</v>
      </c>
      <c r="V128" s="92"/>
      <c r="W128" s="146" t="s">
        <v>204</v>
      </c>
      <c r="X128" s="92"/>
      <c r="Y128" s="146" t="s">
        <v>204</v>
      </c>
      <c r="Z128" s="92"/>
      <c r="AA128" s="146" t="s">
        <v>204</v>
      </c>
      <c r="AB128" s="64"/>
      <c r="AC128" s="146" t="s">
        <v>204</v>
      </c>
      <c r="AD128" s="64"/>
      <c r="AE128" s="146" t="s">
        <v>204</v>
      </c>
      <c r="AF128" s="215" t="str">
        <f t="shared" si="5"/>
        <v>C</v>
      </c>
      <c r="AG128" s="96" t="str">
        <f t="shared" si="4"/>
        <v>UTILIZOU O PDA CORRETAMENTE</v>
      </c>
      <c r="AH128" s="9" t="s">
        <v>39</v>
      </c>
      <c r="AI128" s="151" t="str">
        <f t="shared" si="8"/>
        <v>GUARULHOS</v>
      </c>
      <c r="AJ128" s="154" t="s">
        <v>6</v>
      </c>
      <c r="AK128" s="53">
        <v>-2.5399999999999999E-2</v>
      </c>
      <c r="AL128" s="53" t="str" cm="1">
        <f t="array" ref="AL128">IF(OR(O128&lt;&gt;"", SUMPRODUCT(($AM$2:$AM$210=AM128)*($AK$2:$AK$210&lt;=AK128)) &lt;= (COUNTIF($AM$2:$AM$210,AM128)*0.1)), "SORTEADO", "-")</f>
        <v>SORTEADO</v>
      </c>
      <c r="AM128" s="53" t="str">
        <f t="shared" si="7"/>
        <v>04/10/2026</v>
      </c>
    </row>
    <row r="129" spans="1:39" ht="30" hidden="1" customHeight="1" x14ac:dyDescent="0.2">
      <c r="A129" s="231" t="s">
        <v>197</v>
      </c>
      <c r="B129" s="250">
        <v>2614843548</v>
      </c>
      <c r="C129" s="231" t="s">
        <v>138</v>
      </c>
      <c r="D129" s="231" t="s">
        <v>67</v>
      </c>
      <c r="E129" s="231" t="s">
        <v>198</v>
      </c>
      <c r="F129" s="231" t="s">
        <v>735</v>
      </c>
      <c r="G129" s="231">
        <v>124</v>
      </c>
      <c r="H129" s="231" t="s">
        <v>276</v>
      </c>
      <c r="I129" s="231" t="s">
        <v>736</v>
      </c>
      <c r="J129" s="231" t="s">
        <v>4605</v>
      </c>
      <c r="K129" s="231" t="s">
        <v>213</v>
      </c>
      <c r="L129" s="232" t="s">
        <v>793</v>
      </c>
      <c r="M129" s="232">
        <v>46299.379166666666</v>
      </c>
      <c r="N129" s="231" t="s">
        <v>4613</v>
      </c>
      <c r="O129" s="144" t="s">
        <v>204</v>
      </c>
      <c r="P129" s="9"/>
      <c r="Q129" s="146" t="s">
        <v>204</v>
      </c>
      <c r="R129" s="92"/>
      <c r="S129" s="146" t="s">
        <v>204</v>
      </c>
      <c r="T129" s="92"/>
      <c r="U129" s="146" t="s">
        <v>204</v>
      </c>
      <c r="V129" s="92"/>
      <c r="W129" s="146" t="s">
        <v>204</v>
      </c>
      <c r="X129" s="92"/>
      <c r="Y129" s="146" t="s">
        <v>204</v>
      </c>
      <c r="Z129" s="92"/>
      <c r="AA129" s="146" t="s">
        <v>204</v>
      </c>
      <c r="AB129" s="64"/>
      <c r="AC129" s="146" t="s">
        <v>204</v>
      </c>
      <c r="AD129" s="64"/>
      <c r="AE129" s="146" t="s">
        <v>204</v>
      </c>
      <c r="AF129" s="215" t="str">
        <f t="shared" si="5"/>
        <v>C</v>
      </c>
      <c r="AG129" s="96" t="str">
        <f t="shared" si="4"/>
        <v>UTILIZOU O PDA CORRETAMENTE</v>
      </c>
      <c r="AH129" s="9" t="s">
        <v>39</v>
      </c>
      <c r="AI129" s="151" t="str">
        <f t="shared" si="8"/>
        <v>GUARULHOS</v>
      </c>
      <c r="AJ129" s="154" t="s">
        <v>6</v>
      </c>
      <c r="AK129" s="53">
        <v>-2.5600000000000001E-2</v>
      </c>
      <c r="AL129" s="53" t="str" cm="1">
        <f t="array" ref="AL129">IF(OR(O129&lt;&gt;"", SUMPRODUCT(($AM$2:$AM$210=AM129)*($AK$2:$AK$210&lt;=AK129)) &lt;= (COUNTIF($AM$2:$AM$210,AM129)*0.1)), "SORTEADO", "-")</f>
        <v>SORTEADO</v>
      </c>
      <c r="AM129" s="53" t="str">
        <f t="shared" si="7"/>
        <v>04/10/2026</v>
      </c>
    </row>
    <row r="130" spans="1:39" ht="30" hidden="1" customHeight="1" x14ac:dyDescent="0.2">
      <c r="A130" s="231" t="s">
        <v>197</v>
      </c>
      <c r="B130" s="250">
        <v>2614802195</v>
      </c>
      <c r="C130" s="231" t="s">
        <v>140</v>
      </c>
      <c r="D130" s="231" t="s">
        <v>67</v>
      </c>
      <c r="E130" s="231" t="s">
        <v>198</v>
      </c>
      <c r="F130" s="231" t="s">
        <v>221</v>
      </c>
      <c r="G130" s="231">
        <v>221</v>
      </c>
      <c r="H130" s="231"/>
      <c r="I130" s="231" t="s">
        <v>223</v>
      </c>
      <c r="J130" s="231" t="s">
        <v>4605</v>
      </c>
      <c r="K130" s="231"/>
      <c r="L130" s="232" t="s">
        <v>793</v>
      </c>
      <c r="M130" s="232">
        <v>46299.410416666666</v>
      </c>
      <c r="N130" s="231" t="s">
        <v>4613</v>
      </c>
      <c r="O130" s="144" t="s">
        <v>204</v>
      </c>
      <c r="P130" s="9"/>
      <c r="Q130" s="146" t="s">
        <v>204</v>
      </c>
      <c r="R130" s="92"/>
      <c r="S130" s="146" t="s">
        <v>204</v>
      </c>
      <c r="T130" s="92"/>
      <c r="U130" s="146" t="s">
        <v>204</v>
      </c>
      <c r="V130" s="92"/>
      <c r="W130" s="146" t="s">
        <v>204</v>
      </c>
      <c r="X130" s="92"/>
      <c r="Y130" s="146" t="s">
        <v>204</v>
      </c>
      <c r="Z130" s="92"/>
      <c r="AA130" s="146" t="s">
        <v>204</v>
      </c>
      <c r="AB130" s="64"/>
      <c r="AC130" s="146" t="s">
        <v>204</v>
      </c>
      <c r="AD130" s="64"/>
      <c r="AE130" s="146" t="s">
        <v>204</v>
      </c>
      <c r="AF130" s="215" t="str">
        <f t="shared" si="5"/>
        <v>C</v>
      </c>
      <c r="AG130" s="96" t="str">
        <f t="shared" ref="AG130:AG193" si="9">IF(AND(AE130="C",AF130="C"),"UTILIZOU O PDA CORRETAMENTE",IF(AND(AE130="C",AF130="NC"),"UTILIZOU O PDA CORRETAMENTE. NÃO HÁ FOTOS DE TODAS AS ETAPAS",IF(AND(AE130="NC",AF130="NC"),"NÃO UTILIZOU O PDA",IF(AND(AE130="NA",AF130="NA"),"NÃO AVALIADO POR FALHA DE SINCRONISMO"))))</f>
        <v>UTILIZOU O PDA CORRETAMENTE</v>
      </c>
      <c r="AH130" s="9" t="s">
        <v>39</v>
      </c>
      <c r="AI130" s="151" t="str">
        <f t="shared" si="8"/>
        <v>GUARULHOS</v>
      </c>
      <c r="AJ130" s="154" t="s">
        <v>6</v>
      </c>
      <c r="AK130" s="53">
        <v>-2.58E-2</v>
      </c>
      <c r="AL130" s="53" t="str" cm="1">
        <f t="array" ref="AL130">IF(OR(O130&lt;&gt;"", SUMPRODUCT(($AM$2:$AM$210=AM130)*($AK$2:$AK$210&lt;=AK130)) &lt;= (COUNTIF($AM$2:$AM$210,AM130)*0.1)), "SORTEADO", "-")</f>
        <v>SORTEADO</v>
      </c>
      <c r="AM130" s="53" t="str">
        <f t="shared" si="7"/>
        <v>04/10/2026</v>
      </c>
    </row>
    <row r="131" spans="1:39" ht="30" hidden="1" customHeight="1" x14ac:dyDescent="0.2">
      <c r="A131" s="231" t="s">
        <v>197</v>
      </c>
      <c r="B131" s="250">
        <v>2614659764</v>
      </c>
      <c r="C131" s="231" t="s">
        <v>138</v>
      </c>
      <c r="D131" s="231" t="s">
        <v>67</v>
      </c>
      <c r="E131" s="231" t="s">
        <v>198</v>
      </c>
      <c r="F131" s="231" t="s">
        <v>670</v>
      </c>
      <c r="G131" s="231">
        <v>48</v>
      </c>
      <c r="H131" s="231" t="s">
        <v>671</v>
      </c>
      <c r="I131" s="231" t="s">
        <v>485</v>
      </c>
      <c r="J131" s="231" t="s">
        <v>4605</v>
      </c>
      <c r="K131" s="231" t="s">
        <v>213</v>
      </c>
      <c r="L131" s="232" t="s">
        <v>793</v>
      </c>
      <c r="M131" s="232">
        <v>46299.393055555556</v>
      </c>
      <c r="N131" s="231" t="s">
        <v>4613</v>
      </c>
      <c r="O131" s="144" t="s">
        <v>204</v>
      </c>
      <c r="P131" s="9"/>
      <c r="Q131" s="146" t="s">
        <v>204</v>
      </c>
      <c r="R131" s="92"/>
      <c r="S131" s="146" t="s">
        <v>204</v>
      </c>
      <c r="T131" s="92"/>
      <c r="U131" s="146" t="s">
        <v>204</v>
      </c>
      <c r="V131" s="92"/>
      <c r="W131" s="146" t="s">
        <v>204</v>
      </c>
      <c r="X131" s="92"/>
      <c r="Y131" s="146" t="s">
        <v>204</v>
      </c>
      <c r="Z131" s="92"/>
      <c r="AA131" s="146" t="s">
        <v>204</v>
      </c>
      <c r="AB131" s="64"/>
      <c r="AC131" s="146" t="s">
        <v>204</v>
      </c>
      <c r="AD131" s="64"/>
      <c r="AE131" s="146" t="s">
        <v>204</v>
      </c>
      <c r="AF131" s="215" t="str">
        <f t="shared" ref="AF131:AF194" si="10">IF(AND(O131="",Q131="",S131="",U131="",W131="",Y131="",AA131="",AC131=""),"",
IF(OR(    AND(O131&lt;&gt;"NA",O131&lt;&gt;"C",O131&lt;&gt;"NC",O131&lt;&gt;"SF",O131&lt;&gt;""),
    AND(Q131&lt;&gt;"NA",Q131&lt;&gt;"C",Q131&lt;&gt;"NC",Q131&lt;&gt;"SF",Q131&lt;&gt;""),
    AND(S131&lt;&gt;"NA",S131&lt;&gt;"C",S131&lt;&gt;"NC",S131&lt;&gt;"SF",S131&lt;&gt;""),
    AND(U131&lt;&gt;"NA",U131&lt;&gt;"C",U131&lt;&gt;"NC",U131&lt;&gt;"SF",U131&lt;&gt;""),
    AND(W131&lt;&gt;"NA",W131&lt;&gt;"C",W131&lt;&gt;"NC",W131&lt;&gt;"SF",W131&lt;&gt;""),
    AND(Y131&lt;&gt;"NA",Y131&lt;&gt;"C",Y131&lt;&gt;"NC",Y131&lt;&gt;"SF",Y131&lt;&gt;""),
    AND(AA131&lt;&gt;"NA",AA131&lt;&gt;"C",AA131&lt;&gt;"NC",AA131&lt;&gt;"SF",AA131&lt;&gt;""),
    AND(AC131&lt;&gt;"NA",AC131&lt;&gt;"C",AC131&lt;&gt;"NC",AC131&lt;&gt;"SF",AC131&lt;&gt;"")
),"FALSO",
IF(AND(O131="NA",Q131="NA",S131="NA",U131="NA",W131="NA",Y131="NA",AA131="NA",AC131="NA"),"NA",
IF(OR(O131="NC",Q131="NC",S131="NC",U131="NC",W131="NC",Y131="NC",AA131="NC",AC131="NC",
       O131="SF",Q131="SF",S131="SF",U131="SF",W131="SF",Y131="SF",AA131="SF",AC131="SF"),"NC",
IF(SUM(IF(O131="C",1,0),IF(Q131="C",1,0),IF(S131="C",1,0),IF(U131="C",1,0),IF(W131="C",1,0),IF(Y131="C",1,0),IF(AA131="C",1,0),IF(AC131="C",1,0))=1,"C","C")))))</f>
        <v>C</v>
      </c>
      <c r="AG131" s="96" t="str">
        <f t="shared" si="9"/>
        <v>UTILIZOU O PDA CORRETAMENTE</v>
      </c>
      <c r="AH131" s="9" t="s">
        <v>39</v>
      </c>
      <c r="AI131" s="151" t="str">
        <f t="shared" si="8"/>
        <v>GUARULHOS</v>
      </c>
      <c r="AJ131" s="154" t="s">
        <v>6</v>
      </c>
      <c r="AK131" s="53">
        <v>-2.5999999999999999E-2</v>
      </c>
      <c r="AL131" s="53" t="str" cm="1">
        <f t="array" ref="AL131">IF(OR(O131&lt;&gt;"", SUMPRODUCT(($AM$2:$AM$210=AM131)*($AK$2:$AK$210&lt;=AK131)) &lt;= (COUNTIF($AM$2:$AM$210,AM131)*0.1)), "SORTEADO", "-")</f>
        <v>SORTEADO</v>
      </c>
      <c r="AM131" s="53" t="str">
        <f t="shared" ref="AM131:AM153" si="11">TEXT(L131, "mm/dd/aaaa")</f>
        <v>04/10/2026</v>
      </c>
    </row>
    <row r="132" spans="1:39" ht="30" hidden="1" customHeight="1" x14ac:dyDescent="0.2">
      <c r="A132" s="231" t="s">
        <v>197</v>
      </c>
      <c r="B132" s="250">
        <v>2615092098</v>
      </c>
      <c r="C132" s="231" t="s">
        <v>141</v>
      </c>
      <c r="D132" s="231" t="s">
        <v>67</v>
      </c>
      <c r="E132" s="231" t="s">
        <v>198</v>
      </c>
      <c r="F132" s="231" t="s">
        <v>686</v>
      </c>
      <c r="G132" s="231">
        <v>14</v>
      </c>
      <c r="H132" s="231" t="s">
        <v>508</v>
      </c>
      <c r="I132" s="231" t="s">
        <v>480</v>
      </c>
      <c r="J132" s="231" t="s">
        <v>4603</v>
      </c>
      <c r="K132" s="231"/>
      <c r="L132" s="232" t="s">
        <v>793</v>
      </c>
      <c r="M132" s="232">
        <v>46299.341666666667</v>
      </c>
      <c r="N132" s="231" t="s">
        <v>4613</v>
      </c>
      <c r="O132" s="144" t="s">
        <v>204</v>
      </c>
      <c r="P132" s="9"/>
      <c r="Q132" s="146" t="s">
        <v>204</v>
      </c>
      <c r="R132" s="92"/>
      <c r="S132" s="146" t="s">
        <v>204</v>
      </c>
      <c r="T132" s="92"/>
      <c r="U132" s="146" t="s">
        <v>204</v>
      </c>
      <c r="V132" s="92"/>
      <c r="W132" s="146" t="s">
        <v>204</v>
      </c>
      <c r="X132" s="92"/>
      <c r="Y132" s="146" t="s">
        <v>204</v>
      </c>
      <c r="Z132" s="92"/>
      <c r="AA132" s="146" t="s">
        <v>204</v>
      </c>
      <c r="AB132" s="64"/>
      <c r="AC132" s="146" t="s">
        <v>204</v>
      </c>
      <c r="AD132" s="64"/>
      <c r="AE132" s="146" t="s">
        <v>204</v>
      </c>
      <c r="AF132" s="215" t="str">
        <f t="shared" si="10"/>
        <v>C</v>
      </c>
      <c r="AG132" s="96" t="str">
        <f t="shared" si="9"/>
        <v>UTILIZOU O PDA CORRETAMENTE</v>
      </c>
      <c r="AH132" s="9" t="s">
        <v>59</v>
      </c>
      <c r="AI132" s="151" t="str">
        <f t="shared" si="8"/>
        <v>GUARULHOS</v>
      </c>
      <c r="AJ132" s="154" t="s">
        <v>6</v>
      </c>
      <c r="AK132" s="53">
        <v>-2.6200000000000001E-2</v>
      </c>
      <c r="AL132" s="53" t="str" cm="1">
        <f t="array" ref="AL132">IF(OR(O132&lt;&gt;"", SUMPRODUCT(($AM$2:$AM$210=AM132)*($AK$2:$AK$210&lt;=AK132)) &lt;= (COUNTIF($AM$2:$AM$210,AM132)*0.1)), "SORTEADO", "-")</f>
        <v>SORTEADO</v>
      </c>
      <c r="AM132" s="53" t="str">
        <f t="shared" si="11"/>
        <v>04/10/2026</v>
      </c>
    </row>
    <row r="133" spans="1:39" ht="30" hidden="1" customHeight="1" x14ac:dyDescent="0.2">
      <c r="A133" s="252" t="s">
        <v>197</v>
      </c>
      <c r="B133" s="250">
        <v>2614623992</v>
      </c>
      <c r="C133" s="231" t="s">
        <v>138</v>
      </c>
      <c r="D133" s="231" t="s">
        <v>67</v>
      </c>
      <c r="E133" s="231" t="s">
        <v>198</v>
      </c>
      <c r="F133" s="231" t="s">
        <v>635</v>
      </c>
      <c r="G133" s="231">
        <v>46</v>
      </c>
      <c r="H133" s="231" t="s">
        <v>213</v>
      </c>
      <c r="I133" s="231" t="s">
        <v>622</v>
      </c>
      <c r="J133" s="231" t="s">
        <v>4605</v>
      </c>
      <c r="K133" s="231" t="s">
        <v>213</v>
      </c>
      <c r="L133" s="232" t="s">
        <v>793</v>
      </c>
      <c r="M133" s="232">
        <v>46299.459027777775</v>
      </c>
      <c r="N133" s="231" t="s">
        <v>4613</v>
      </c>
      <c r="O133" s="144" t="s">
        <v>204</v>
      </c>
      <c r="P133" s="9"/>
      <c r="Q133" s="146" t="s">
        <v>204</v>
      </c>
      <c r="R133" s="92"/>
      <c r="S133" s="146" t="s">
        <v>204</v>
      </c>
      <c r="T133" s="92"/>
      <c r="U133" s="146" t="s">
        <v>204</v>
      </c>
      <c r="V133" s="92"/>
      <c r="W133" s="146" t="s">
        <v>204</v>
      </c>
      <c r="X133" s="92"/>
      <c r="Y133" s="146" t="s">
        <v>204</v>
      </c>
      <c r="Z133" s="92"/>
      <c r="AA133" s="146" t="s">
        <v>204</v>
      </c>
      <c r="AB133" s="64"/>
      <c r="AC133" s="146" t="s">
        <v>204</v>
      </c>
      <c r="AD133" s="64"/>
      <c r="AE133" s="146" t="s">
        <v>204</v>
      </c>
      <c r="AF133" s="215" t="str">
        <f t="shared" si="10"/>
        <v>C</v>
      </c>
      <c r="AG133" s="96" t="str">
        <f t="shared" si="9"/>
        <v>UTILIZOU O PDA CORRETAMENTE</v>
      </c>
      <c r="AH133" s="9" t="s">
        <v>39</v>
      </c>
      <c r="AI133" s="151" t="str">
        <f t="shared" si="8"/>
        <v>GUARULHOS</v>
      </c>
      <c r="AJ133" s="154" t="s">
        <v>6</v>
      </c>
      <c r="AK133" s="53">
        <v>-2.64E-2</v>
      </c>
      <c r="AL133" s="53" t="str" cm="1">
        <f t="array" ref="AL133">IF(OR(O133&lt;&gt;"", SUMPRODUCT(($AM$2:$AM$210=AM133)*($AK$2:$AK$210&lt;=AK133)) &lt;= (COUNTIF($AM$2:$AM$210,AM133)*0.1)), "SORTEADO", "-")</f>
        <v>SORTEADO</v>
      </c>
      <c r="AM133" s="53" t="str">
        <f t="shared" si="11"/>
        <v>04/10/2026</v>
      </c>
    </row>
    <row r="134" spans="1:39" ht="30" hidden="1" customHeight="1" x14ac:dyDescent="0.2">
      <c r="A134" s="231" t="s">
        <v>197</v>
      </c>
      <c r="B134" s="250">
        <v>2614604735</v>
      </c>
      <c r="C134" s="231" t="s">
        <v>140</v>
      </c>
      <c r="D134" s="231" t="s">
        <v>67</v>
      </c>
      <c r="E134" s="231" t="s">
        <v>198</v>
      </c>
      <c r="F134" s="231" t="s">
        <v>621</v>
      </c>
      <c r="G134" s="231">
        <v>64</v>
      </c>
      <c r="H134" s="231" t="s">
        <v>206</v>
      </c>
      <c r="I134" s="231" t="s">
        <v>622</v>
      </c>
      <c r="J134" s="231" t="s">
        <v>4605</v>
      </c>
      <c r="K134" s="231"/>
      <c r="L134" s="232" t="s">
        <v>793</v>
      </c>
      <c r="M134" s="232">
        <v>46299.493750000001</v>
      </c>
      <c r="N134" s="231" t="s">
        <v>4613</v>
      </c>
      <c r="O134" s="144" t="s">
        <v>204</v>
      </c>
      <c r="P134" s="9"/>
      <c r="Q134" s="146" t="s">
        <v>204</v>
      </c>
      <c r="R134" s="92"/>
      <c r="S134" s="146" t="s">
        <v>204</v>
      </c>
      <c r="T134" s="92"/>
      <c r="U134" s="146" t="s">
        <v>204</v>
      </c>
      <c r="V134" s="92"/>
      <c r="W134" s="146" t="s">
        <v>204</v>
      </c>
      <c r="X134" s="92"/>
      <c r="Y134" s="146" t="s">
        <v>204</v>
      </c>
      <c r="Z134" s="92"/>
      <c r="AA134" s="146" t="s">
        <v>204</v>
      </c>
      <c r="AB134" s="64"/>
      <c r="AC134" s="146" t="s">
        <v>204</v>
      </c>
      <c r="AD134" s="64"/>
      <c r="AE134" s="146" t="s">
        <v>204</v>
      </c>
      <c r="AF134" s="215" t="str">
        <f t="shared" si="10"/>
        <v>C</v>
      </c>
      <c r="AG134" s="96" t="str">
        <f t="shared" si="9"/>
        <v>UTILIZOU O PDA CORRETAMENTE</v>
      </c>
      <c r="AH134" s="9" t="s">
        <v>39</v>
      </c>
      <c r="AI134" s="151" t="str">
        <f t="shared" si="8"/>
        <v>GUARULHOS</v>
      </c>
      <c r="AJ134" s="154" t="s">
        <v>6</v>
      </c>
      <c r="AK134" s="53">
        <v>-2.6599999999999999E-2</v>
      </c>
      <c r="AL134" s="53" t="str" cm="1">
        <f t="array" ref="AL134">IF(OR(O134&lt;&gt;"", SUMPRODUCT(($AM$2:$AM$210=AM134)*($AK$2:$AK$210&lt;=AK134)) &lt;= (COUNTIF($AM$2:$AM$210,AM134)*0.1)), "SORTEADO", "-")</f>
        <v>SORTEADO</v>
      </c>
      <c r="AM134" s="53" t="str">
        <f t="shared" si="11"/>
        <v>04/10/2026</v>
      </c>
    </row>
    <row r="135" spans="1:39" ht="30" hidden="1" customHeight="1" x14ac:dyDescent="0.2">
      <c r="A135" s="231" t="s">
        <v>197</v>
      </c>
      <c r="B135" s="250">
        <v>2614645951</v>
      </c>
      <c r="C135" s="231" t="s">
        <v>139</v>
      </c>
      <c r="D135" s="231" t="s">
        <v>67</v>
      </c>
      <c r="E135" s="231" t="s">
        <v>198</v>
      </c>
      <c r="F135" s="231" t="s">
        <v>635</v>
      </c>
      <c r="G135" s="231">
        <v>46</v>
      </c>
      <c r="H135" s="231" t="s">
        <v>213</v>
      </c>
      <c r="I135" s="231" t="s">
        <v>622</v>
      </c>
      <c r="J135" s="231" t="s">
        <v>4603</v>
      </c>
      <c r="K135" s="231" t="s">
        <v>213</v>
      </c>
      <c r="L135" s="232" t="s">
        <v>793</v>
      </c>
      <c r="M135" s="232">
        <v>46299.495138888888</v>
      </c>
      <c r="N135" s="231" t="s">
        <v>4613</v>
      </c>
      <c r="O135" s="144" t="s">
        <v>204</v>
      </c>
      <c r="P135" s="9"/>
      <c r="Q135" s="146" t="s">
        <v>204</v>
      </c>
      <c r="R135" s="92"/>
      <c r="S135" s="146" t="s">
        <v>204</v>
      </c>
      <c r="T135" s="92"/>
      <c r="U135" s="146" t="s">
        <v>204</v>
      </c>
      <c r="V135" s="92"/>
      <c r="W135" s="146" t="s">
        <v>204</v>
      </c>
      <c r="X135" s="92"/>
      <c r="Y135" s="146" t="s">
        <v>204</v>
      </c>
      <c r="Z135" s="92"/>
      <c r="AA135" s="146" t="s">
        <v>204</v>
      </c>
      <c r="AB135" s="64"/>
      <c r="AC135" s="146" t="s">
        <v>204</v>
      </c>
      <c r="AD135" s="64"/>
      <c r="AE135" s="146" t="s">
        <v>204</v>
      </c>
      <c r="AF135" s="215" t="str">
        <f t="shared" si="10"/>
        <v>C</v>
      </c>
      <c r="AG135" s="96" t="str">
        <f t="shared" si="9"/>
        <v>UTILIZOU O PDA CORRETAMENTE</v>
      </c>
      <c r="AH135" s="9" t="s">
        <v>39</v>
      </c>
      <c r="AI135" s="151" t="str">
        <f t="shared" si="8"/>
        <v>GUARULHOS</v>
      </c>
      <c r="AJ135" s="154" t="s">
        <v>6</v>
      </c>
      <c r="AK135" s="53">
        <v>-2.6800000000000001E-2</v>
      </c>
      <c r="AL135" s="53" t="str" cm="1">
        <f t="array" ref="AL135">IF(OR(O135&lt;&gt;"", SUMPRODUCT(($AM$2:$AM$210=AM135)*($AK$2:$AK$210&lt;=AK135)) &lt;= (COUNTIF($AM$2:$AM$210,AM135)*0.1)), "SORTEADO", "-")</f>
        <v>SORTEADO</v>
      </c>
      <c r="AM135" s="53" t="str">
        <f t="shared" si="11"/>
        <v>04/10/2026</v>
      </c>
    </row>
    <row r="136" spans="1:39" ht="30" customHeight="1" x14ac:dyDescent="0.2">
      <c r="A136" s="231" t="s">
        <v>197</v>
      </c>
      <c r="B136" s="250">
        <v>2611251030</v>
      </c>
      <c r="C136" s="231" t="s">
        <v>139</v>
      </c>
      <c r="D136" s="231" t="s">
        <v>67</v>
      </c>
      <c r="E136" s="231" t="s">
        <v>198</v>
      </c>
      <c r="F136" s="231" t="s">
        <v>743</v>
      </c>
      <c r="G136" s="231">
        <v>806</v>
      </c>
      <c r="H136" s="231" t="s">
        <v>744</v>
      </c>
      <c r="I136" s="231" t="s">
        <v>531</v>
      </c>
      <c r="J136" s="231" t="s">
        <v>4603</v>
      </c>
      <c r="K136" s="231"/>
      <c r="L136" s="232" t="s">
        <v>802</v>
      </c>
      <c r="M136" s="232">
        <v>46330.510416666664</v>
      </c>
      <c r="N136" s="231" t="s">
        <v>4620</v>
      </c>
      <c r="O136" s="144" t="s">
        <v>210</v>
      </c>
      <c r="P136" s="9" t="s">
        <v>413</v>
      </c>
      <c r="Q136" s="146" t="s">
        <v>210</v>
      </c>
      <c r="R136" s="92" t="s">
        <v>413</v>
      </c>
      <c r="S136" s="146" t="s">
        <v>210</v>
      </c>
      <c r="T136" s="92" t="s">
        <v>413</v>
      </c>
      <c r="U136" s="146" t="s">
        <v>210</v>
      </c>
      <c r="V136" s="92" t="s">
        <v>413</v>
      </c>
      <c r="W136" s="146" t="s">
        <v>210</v>
      </c>
      <c r="X136" s="92" t="s">
        <v>413</v>
      </c>
      <c r="Y136" s="146" t="s">
        <v>210</v>
      </c>
      <c r="Z136" s="92" t="s">
        <v>413</v>
      </c>
      <c r="AA136" s="146" t="s">
        <v>210</v>
      </c>
      <c r="AB136" s="64" t="s">
        <v>413</v>
      </c>
      <c r="AC136" s="146" t="s">
        <v>210</v>
      </c>
      <c r="AD136" s="64" t="s">
        <v>413</v>
      </c>
      <c r="AE136" s="146" t="s">
        <v>210</v>
      </c>
      <c r="AF136" s="215" t="str">
        <f t="shared" si="10"/>
        <v>NC</v>
      </c>
      <c r="AG136" s="96" t="str">
        <f t="shared" si="9"/>
        <v>NÃO UTILIZOU O PDA</v>
      </c>
      <c r="AH136" s="9" t="s">
        <v>39</v>
      </c>
      <c r="AI136" s="151" t="str">
        <f t="shared" si="8"/>
        <v>GUARULHOS</v>
      </c>
      <c r="AJ136" s="154" t="s">
        <v>6</v>
      </c>
      <c r="AK136" s="53">
        <v>-2.7E-2</v>
      </c>
      <c r="AL136" s="53" t="str" cm="1">
        <f t="array" ref="AL136">IF(OR(O136&lt;&gt;"", SUMPRODUCT(($AM$2:$AM$210=AM136)*($AK$2:$AK$210&lt;=AK136)) &lt;= (COUNTIF($AM$2:$AM$210,AM136)*0.1)), "SORTEADO", "-")</f>
        <v>SORTEADO</v>
      </c>
      <c r="AM136" s="53" t="str">
        <f t="shared" si="11"/>
        <v>04/11/2026</v>
      </c>
    </row>
    <row r="137" spans="1:39" ht="30" customHeight="1" x14ac:dyDescent="0.2">
      <c r="A137" s="231" t="s">
        <v>197</v>
      </c>
      <c r="B137" s="250">
        <v>2615099691</v>
      </c>
      <c r="C137" s="231" t="s">
        <v>138</v>
      </c>
      <c r="D137" s="231" t="s">
        <v>67</v>
      </c>
      <c r="E137" s="231" t="s">
        <v>198</v>
      </c>
      <c r="F137" s="231" t="s">
        <v>755</v>
      </c>
      <c r="G137" s="231">
        <v>109</v>
      </c>
      <c r="H137" s="231" t="s">
        <v>756</v>
      </c>
      <c r="I137" s="231" t="s">
        <v>394</v>
      </c>
      <c r="J137" s="231" t="s">
        <v>4605</v>
      </c>
      <c r="K137" s="231" t="s">
        <v>213</v>
      </c>
      <c r="L137" s="232" t="s">
        <v>802</v>
      </c>
      <c r="M137" s="232">
        <v>46330.425000000003</v>
      </c>
      <c r="N137" s="231" t="s">
        <v>4620</v>
      </c>
      <c r="O137" s="144" t="s">
        <v>210</v>
      </c>
      <c r="P137" s="9" t="s">
        <v>413</v>
      </c>
      <c r="Q137" s="146" t="s">
        <v>210</v>
      </c>
      <c r="R137" s="92" t="s">
        <v>413</v>
      </c>
      <c r="S137" s="146" t="s">
        <v>210</v>
      </c>
      <c r="T137" s="92" t="s">
        <v>413</v>
      </c>
      <c r="U137" s="146" t="s">
        <v>210</v>
      </c>
      <c r="V137" s="92" t="s">
        <v>413</v>
      </c>
      <c r="W137" s="146" t="s">
        <v>210</v>
      </c>
      <c r="X137" s="92" t="s">
        <v>413</v>
      </c>
      <c r="Y137" s="146" t="s">
        <v>210</v>
      </c>
      <c r="Z137" s="92" t="s">
        <v>413</v>
      </c>
      <c r="AA137" s="146" t="s">
        <v>210</v>
      </c>
      <c r="AB137" s="64" t="s">
        <v>413</v>
      </c>
      <c r="AC137" s="146" t="s">
        <v>210</v>
      </c>
      <c r="AD137" s="64" t="s">
        <v>413</v>
      </c>
      <c r="AE137" s="146" t="s">
        <v>210</v>
      </c>
      <c r="AF137" s="215" t="str">
        <f t="shared" si="10"/>
        <v>NC</v>
      </c>
      <c r="AG137" s="96" t="str">
        <f t="shared" si="9"/>
        <v>NÃO UTILIZOU O PDA</v>
      </c>
      <c r="AH137" s="9" t="s">
        <v>39</v>
      </c>
      <c r="AI137" s="151" t="str">
        <f t="shared" si="8"/>
        <v>GUARULHOS</v>
      </c>
      <c r="AJ137" s="154" t="s">
        <v>6</v>
      </c>
      <c r="AK137" s="53">
        <v>-2.7199999999999998E-2</v>
      </c>
      <c r="AL137" s="53" t="str" cm="1">
        <f t="array" ref="AL137">IF(OR(O137&lt;&gt;"", SUMPRODUCT(($AM$2:$AM$210=AM137)*($AK$2:$AK$210&lt;=AK137)) &lt;= (COUNTIF($AM$2:$AM$210,AM137)*0.1)), "SORTEADO", "-")</f>
        <v>SORTEADO</v>
      </c>
      <c r="AM137" s="53" t="str">
        <f t="shared" si="11"/>
        <v>04/11/2026</v>
      </c>
    </row>
    <row r="138" spans="1:39" ht="30" customHeight="1" x14ac:dyDescent="0.2">
      <c r="A138" s="231" t="s">
        <v>197</v>
      </c>
      <c r="B138" s="250">
        <v>2615106896</v>
      </c>
      <c r="C138" s="231" t="s">
        <v>138</v>
      </c>
      <c r="D138" s="231" t="s">
        <v>67</v>
      </c>
      <c r="E138" s="231" t="s">
        <v>198</v>
      </c>
      <c r="F138" s="231" t="s">
        <v>771</v>
      </c>
      <c r="G138" s="231">
        <v>564</v>
      </c>
      <c r="H138" s="231"/>
      <c r="I138" s="231" t="s">
        <v>772</v>
      </c>
      <c r="J138" s="231" t="s">
        <v>4605</v>
      </c>
      <c r="K138" s="231"/>
      <c r="L138" s="232" t="s">
        <v>802</v>
      </c>
      <c r="M138" s="232">
        <v>46330.40902777778</v>
      </c>
      <c r="N138" s="231" t="s">
        <v>4620</v>
      </c>
      <c r="O138" s="144" t="s">
        <v>210</v>
      </c>
      <c r="P138" s="9" t="s">
        <v>413</v>
      </c>
      <c r="Q138" s="146" t="s">
        <v>210</v>
      </c>
      <c r="R138" s="92" t="s">
        <v>413</v>
      </c>
      <c r="S138" s="146" t="s">
        <v>210</v>
      </c>
      <c r="T138" s="92" t="s">
        <v>413</v>
      </c>
      <c r="U138" s="146" t="s">
        <v>210</v>
      </c>
      <c r="V138" s="92" t="s">
        <v>413</v>
      </c>
      <c r="W138" s="146" t="s">
        <v>210</v>
      </c>
      <c r="X138" s="92" t="s">
        <v>413</v>
      </c>
      <c r="Y138" s="146" t="s">
        <v>210</v>
      </c>
      <c r="Z138" s="92" t="s">
        <v>413</v>
      </c>
      <c r="AA138" s="146" t="s">
        <v>210</v>
      </c>
      <c r="AB138" s="64" t="s">
        <v>413</v>
      </c>
      <c r="AC138" s="146" t="s">
        <v>210</v>
      </c>
      <c r="AD138" s="64" t="s">
        <v>413</v>
      </c>
      <c r="AE138" s="146" t="s">
        <v>210</v>
      </c>
      <c r="AF138" s="215" t="str">
        <f t="shared" si="10"/>
        <v>NC</v>
      </c>
      <c r="AG138" s="96" t="str">
        <f t="shared" si="9"/>
        <v>NÃO UTILIZOU O PDA</v>
      </c>
      <c r="AH138" s="9" t="s">
        <v>39</v>
      </c>
      <c r="AI138" s="151" t="str">
        <f t="shared" si="8"/>
        <v>GUARULHOS</v>
      </c>
      <c r="AJ138" s="154" t="s">
        <v>6</v>
      </c>
      <c r="AK138" s="53">
        <v>-2.7400000000000001E-2</v>
      </c>
      <c r="AL138" s="53" t="str" cm="1">
        <f t="array" ref="AL138">IF(OR(O138&lt;&gt;"", SUMPRODUCT(($AM$2:$AM$210=AM138)*($AK$2:$AK$210&lt;=AK138)) &lt;= (COUNTIF($AM$2:$AM$210,AM138)*0.1)), "SORTEADO", "-")</f>
        <v>SORTEADO</v>
      </c>
      <c r="AM138" s="53" t="str">
        <f t="shared" si="11"/>
        <v>04/11/2026</v>
      </c>
    </row>
    <row r="139" spans="1:39" ht="30" customHeight="1" x14ac:dyDescent="0.2">
      <c r="A139" s="231" t="s">
        <v>197</v>
      </c>
      <c r="B139" s="250">
        <v>2615091032</v>
      </c>
      <c r="C139" s="231" t="s">
        <v>138</v>
      </c>
      <c r="D139" s="231" t="s">
        <v>67</v>
      </c>
      <c r="E139" s="231" t="s">
        <v>198</v>
      </c>
      <c r="F139" s="231" t="s">
        <v>784</v>
      </c>
      <c r="G139" s="231">
        <v>120</v>
      </c>
      <c r="H139" s="231" t="s">
        <v>785</v>
      </c>
      <c r="I139" s="231" t="s">
        <v>368</v>
      </c>
      <c r="J139" s="231" t="s">
        <v>4605</v>
      </c>
      <c r="K139" s="231" t="s">
        <v>213</v>
      </c>
      <c r="L139" s="232" t="s">
        <v>802</v>
      </c>
      <c r="M139" s="232">
        <v>46330.393750000003</v>
      </c>
      <c r="N139" s="231" t="s">
        <v>4620</v>
      </c>
      <c r="O139" s="144" t="s">
        <v>210</v>
      </c>
      <c r="P139" s="9" t="s">
        <v>413</v>
      </c>
      <c r="Q139" s="146" t="s">
        <v>210</v>
      </c>
      <c r="R139" s="92" t="s">
        <v>413</v>
      </c>
      <c r="S139" s="146" t="s">
        <v>210</v>
      </c>
      <c r="T139" s="92" t="s">
        <v>413</v>
      </c>
      <c r="U139" s="146" t="s">
        <v>210</v>
      </c>
      <c r="V139" s="92" t="s">
        <v>413</v>
      </c>
      <c r="W139" s="146" t="s">
        <v>210</v>
      </c>
      <c r="X139" s="92" t="s">
        <v>413</v>
      </c>
      <c r="Y139" s="146" t="s">
        <v>210</v>
      </c>
      <c r="Z139" s="92" t="s">
        <v>413</v>
      </c>
      <c r="AA139" s="146" t="s">
        <v>210</v>
      </c>
      <c r="AB139" s="64" t="s">
        <v>413</v>
      </c>
      <c r="AC139" s="146" t="s">
        <v>210</v>
      </c>
      <c r="AD139" s="64" t="s">
        <v>413</v>
      </c>
      <c r="AE139" s="146" t="s">
        <v>210</v>
      </c>
      <c r="AF139" s="215" t="str">
        <f t="shared" si="10"/>
        <v>NC</v>
      </c>
      <c r="AG139" s="96" t="str">
        <f t="shared" si="9"/>
        <v>NÃO UTILIZOU O PDA</v>
      </c>
      <c r="AH139" s="9" t="s">
        <v>39</v>
      </c>
      <c r="AI139" s="151" t="str">
        <f t="shared" si="8"/>
        <v>GUARULHOS</v>
      </c>
      <c r="AJ139" s="154" t="s">
        <v>6</v>
      </c>
      <c r="AK139" s="53">
        <v>-2.76E-2</v>
      </c>
      <c r="AL139" s="53" t="str" cm="1">
        <f t="array" ref="AL139">IF(OR(O139&lt;&gt;"", SUMPRODUCT(($AM$2:$AM$210=AM139)*($AK$2:$AK$210&lt;=AK139)) &lt;= (COUNTIF($AM$2:$AM$210,AM139)*0.1)), "SORTEADO", "-")</f>
        <v>SORTEADO</v>
      </c>
      <c r="AM139" s="53" t="str">
        <f t="shared" si="11"/>
        <v>04/11/2026</v>
      </c>
    </row>
    <row r="140" spans="1:39" ht="30" customHeight="1" x14ac:dyDescent="0.2">
      <c r="A140" s="231" t="s">
        <v>197</v>
      </c>
      <c r="B140" s="250">
        <v>2614635924</v>
      </c>
      <c r="C140" s="231" t="s">
        <v>141</v>
      </c>
      <c r="D140" s="231" t="s">
        <v>67</v>
      </c>
      <c r="E140" s="231" t="s">
        <v>198</v>
      </c>
      <c r="F140" s="231" t="s">
        <v>938</v>
      </c>
      <c r="G140" s="231">
        <v>431</v>
      </c>
      <c r="H140" s="231"/>
      <c r="I140" s="231" t="s">
        <v>923</v>
      </c>
      <c r="J140" s="231" t="s">
        <v>4603</v>
      </c>
      <c r="K140" s="231"/>
      <c r="L140" s="232" t="s">
        <v>802</v>
      </c>
      <c r="M140" s="232">
        <v>46330.53402777778</v>
      </c>
      <c r="N140" s="231" t="s">
        <v>4620</v>
      </c>
      <c r="O140" s="144" t="s">
        <v>210</v>
      </c>
      <c r="P140" s="9" t="s">
        <v>413</v>
      </c>
      <c r="Q140" s="146" t="s">
        <v>210</v>
      </c>
      <c r="R140" s="92" t="s">
        <v>413</v>
      </c>
      <c r="S140" s="146" t="s">
        <v>210</v>
      </c>
      <c r="T140" s="92" t="s">
        <v>413</v>
      </c>
      <c r="U140" s="146" t="s">
        <v>210</v>
      </c>
      <c r="V140" s="92" t="s">
        <v>413</v>
      </c>
      <c r="W140" s="146" t="s">
        <v>210</v>
      </c>
      <c r="X140" s="92" t="s">
        <v>413</v>
      </c>
      <c r="Y140" s="146" t="s">
        <v>210</v>
      </c>
      <c r="Z140" s="92" t="s">
        <v>413</v>
      </c>
      <c r="AA140" s="146" t="s">
        <v>210</v>
      </c>
      <c r="AB140" s="64" t="s">
        <v>413</v>
      </c>
      <c r="AC140" s="146" t="s">
        <v>210</v>
      </c>
      <c r="AD140" s="64" t="s">
        <v>413</v>
      </c>
      <c r="AE140" s="146" t="s">
        <v>210</v>
      </c>
      <c r="AF140" s="215" t="str">
        <f t="shared" si="10"/>
        <v>NC</v>
      </c>
      <c r="AG140" s="96" t="str">
        <f t="shared" si="9"/>
        <v>NÃO UTILIZOU O PDA</v>
      </c>
      <c r="AH140" s="9" t="s">
        <v>39</v>
      </c>
      <c r="AI140" s="151" t="str">
        <f t="shared" si="8"/>
        <v>GUARULHOS</v>
      </c>
      <c r="AJ140" s="154" t="s">
        <v>6</v>
      </c>
      <c r="AK140" s="53">
        <v>-2.7799999999999998E-2</v>
      </c>
      <c r="AL140" s="53" t="str" cm="1">
        <f t="array" ref="AL140">IF(OR(O140&lt;&gt;"", SUMPRODUCT(($AM$2:$AM$210=AM140)*($AK$2:$AK$210&lt;=AK140)) &lt;= (COUNTIF($AM$2:$AM$210,AM140)*0.1)), "SORTEADO", "-")</f>
        <v>SORTEADO</v>
      </c>
      <c r="AM140" s="53" t="str">
        <f t="shared" si="11"/>
        <v>04/11/2026</v>
      </c>
    </row>
    <row r="141" spans="1:39" ht="30" customHeight="1" x14ac:dyDescent="0.2">
      <c r="A141" s="231" t="s">
        <v>197</v>
      </c>
      <c r="B141" s="250">
        <v>2690085338</v>
      </c>
      <c r="C141" s="231" t="s">
        <v>140</v>
      </c>
      <c r="D141" s="231" t="s">
        <v>67</v>
      </c>
      <c r="E141" s="231" t="s">
        <v>198</v>
      </c>
      <c r="F141" s="231" t="s">
        <v>757</v>
      </c>
      <c r="G141" s="231">
        <v>132</v>
      </c>
      <c r="H141" s="231" t="s">
        <v>758</v>
      </c>
      <c r="I141" s="231" t="s">
        <v>411</v>
      </c>
      <c r="J141" s="231" t="s">
        <v>4605</v>
      </c>
      <c r="K141" s="231" t="s">
        <v>213</v>
      </c>
      <c r="L141" s="232" t="s">
        <v>802</v>
      </c>
      <c r="M141" s="232">
        <v>46330.480555555558</v>
      </c>
      <c r="N141" s="231" t="s">
        <v>4620</v>
      </c>
      <c r="O141" s="144" t="s">
        <v>210</v>
      </c>
      <c r="P141" s="9" t="s">
        <v>413</v>
      </c>
      <c r="Q141" s="146" t="s">
        <v>210</v>
      </c>
      <c r="R141" s="92" t="s">
        <v>413</v>
      </c>
      <c r="S141" s="146" t="s">
        <v>210</v>
      </c>
      <c r="T141" s="92" t="s">
        <v>413</v>
      </c>
      <c r="U141" s="146" t="s">
        <v>210</v>
      </c>
      <c r="V141" s="92" t="s">
        <v>413</v>
      </c>
      <c r="W141" s="146" t="s">
        <v>210</v>
      </c>
      <c r="X141" s="92" t="s">
        <v>413</v>
      </c>
      <c r="Y141" s="146" t="s">
        <v>210</v>
      </c>
      <c r="Z141" s="92" t="s">
        <v>413</v>
      </c>
      <c r="AA141" s="146" t="s">
        <v>210</v>
      </c>
      <c r="AB141" s="64" t="s">
        <v>413</v>
      </c>
      <c r="AC141" s="146" t="s">
        <v>210</v>
      </c>
      <c r="AD141" s="64" t="s">
        <v>413</v>
      </c>
      <c r="AE141" s="146" t="s">
        <v>210</v>
      </c>
      <c r="AF141" s="215" t="str">
        <f t="shared" si="10"/>
        <v>NC</v>
      </c>
      <c r="AG141" s="96" t="str">
        <f t="shared" si="9"/>
        <v>NÃO UTILIZOU O PDA</v>
      </c>
      <c r="AH141" s="9" t="s">
        <v>39</v>
      </c>
      <c r="AI141" s="151" t="str">
        <f t="shared" si="8"/>
        <v>GUARULHOS</v>
      </c>
      <c r="AJ141" s="154" t="s">
        <v>6</v>
      </c>
      <c r="AK141" s="53">
        <v>-2.8000000000000001E-2</v>
      </c>
      <c r="AL141" s="53" t="str" cm="1">
        <f t="array" ref="AL141">IF(OR(O141&lt;&gt;"", SUMPRODUCT(($AM$2:$AM$210=AM141)*($AK$2:$AK$210&lt;=AK141)) &lt;= (COUNTIF($AM$2:$AM$210,AM141)*0.1)), "SORTEADO", "-")</f>
        <v>SORTEADO</v>
      </c>
      <c r="AM141" s="53" t="str">
        <f t="shared" si="11"/>
        <v>04/11/2026</v>
      </c>
    </row>
    <row r="142" spans="1:39" ht="30" customHeight="1" x14ac:dyDescent="0.2">
      <c r="A142" s="231" t="s">
        <v>197</v>
      </c>
      <c r="B142" s="250">
        <v>2689970314</v>
      </c>
      <c r="C142" s="231" t="s">
        <v>139</v>
      </c>
      <c r="D142" s="231" t="s">
        <v>67</v>
      </c>
      <c r="E142" s="231" t="s">
        <v>198</v>
      </c>
      <c r="F142" s="231" t="s">
        <v>765</v>
      </c>
      <c r="G142" s="231">
        <v>128</v>
      </c>
      <c r="H142" s="231" t="s">
        <v>766</v>
      </c>
      <c r="I142" s="231" t="s">
        <v>509</v>
      </c>
      <c r="J142" s="231" t="s">
        <v>4603</v>
      </c>
      <c r="K142" s="231"/>
      <c r="L142" s="232" t="s">
        <v>802</v>
      </c>
      <c r="M142" s="232">
        <v>46330.359027777777</v>
      </c>
      <c r="N142" s="231" t="s">
        <v>4620</v>
      </c>
      <c r="O142" s="144" t="s">
        <v>210</v>
      </c>
      <c r="P142" s="9" t="s">
        <v>413</v>
      </c>
      <c r="Q142" s="146" t="s">
        <v>210</v>
      </c>
      <c r="R142" s="92" t="s">
        <v>413</v>
      </c>
      <c r="S142" s="146" t="s">
        <v>210</v>
      </c>
      <c r="T142" s="92" t="s">
        <v>413</v>
      </c>
      <c r="U142" s="146" t="s">
        <v>210</v>
      </c>
      <c r="V142" s="92" t="s">
        <v>413</v>
      </c>
      <c r="W142" s="146" t="s">
        <v>210</v>
      </c>
      <c r="X142" s="92" t="s">
        <v>413</v>
      </c>
      <c r="Y142" s="146" t="s">
        <v>210</v>
      </c>
      <c r="Z142" s="92" t="s">
        <v>413</v>
      </c>
      <c r="AA142" s="146" t="s">
        <v>210</v>
      </c>
      <c r="AB142" s="64" t="s">
        <v>413</v>
      </c>
      <c r="AC142" s="146" t="s">
        <v>210</v>
      </c>
      <c r="AD142" s="64" t="s">
        <v>413</v>
      </c>
      <c r="AE142" s="146" t="s">
        <v>210</v>
      </c>
      <c r="AF142" s="215" t="str">
        <f t="shared" si="10"/>
        <v>NC</v>
      </c>
      <c r="AG142" s="96" t="str">
        <f t="shared" si="9"/>
        <v>NÃO UTILIZOU O PDA</v>
      </c>
      <c r="AH142" s="9" t="s">
        <v>39</v>
      </c>
      <c r="AI142" s="151" t="str">
        <f t="shared" si="8"/>
        <v>GUARULHOS</v>
      </c>
      <c r="AJ142" s="154" t="s">
        <v>6</v>
      </c>
      <c r="AK142" s="53">
        <v>-2.8199999999999999E-2</v>
      </c>
      <c r="AL142" s="53" t="str" cm="1">
        <f t="array" ref="AL142">IF(OR(O142&lt;&gt;"", SUMPRODUCT(($AM$2:$AM$210=AM142)*($AK$2:$AK$210&lt;=AK142)) &lt;= (COUNTIF($AM$2:$AM$210,AM142)*0.1)), "SORTEADO", "-")</f>
        <v>SORTEADO</v>
      </c>
      <c r="AM142" s="53" t="str">
        <f t="shared" si="11"/>
        <v>04/11/2026</v>
      </c>
    </row>
    <row r="143" spans="1:39" ht="30" customHeight="1" x14ac:dyDescent="0.2">
      <c r="A143" s="252" t="s">
        <v>197</v>
      </c>
      <c r="B143" s="250">
        <v>2689965527</v>
      </c>
      <c r="C143" s="231" t="s">
        <v>138</v>
      </c>
      <c r="D143" s="231" t="s">
        <v>67</v>
      </c>
      <c r="E143" s="231" t="s">
        <v>198</v>
      </c>
      <c r="F143" s="231" t="s">
        <v>526</v>
      </c>
      <c r="G143" s="231">
        <v>239</v>
      </c>
      <c r="H143" s="231" t="s">
        <v>727</v>
      </c>
      <c r="I143" s="231" t="s">
        <v>331</v>
      </c>
      <c r="J143" s="231" t="s">
        <v>4605</v>
      </c>
      <c r="K143" s="231" t="s">
        <v>213</v>
      </c>
      <c r="L143" s="232" t="s">
        <v>802</v>
      </c>
      <c r="M143" s="232">
        <v>46330.46597222222</v>
      </c>
      <c r="N143" s="231" t="s">
        <v>4620</v>
      </c>
      <c r="O143" s="144" t="s">
        <v>210</v>
      </c>
      <c r="P143" s="9" t="s">
        <v>413</v>
      </c>
      <c r="Q143" s="146" t="s">
        <v>210</v>
      </c>
      <c r="R143" s="9" t="s">
        <v>413</v>
      </c>
      <c r="S143" s="146" t="s">
        <v>210</v>
      </c>
      <c r="T143" s="9" t="s">
        <v>413</v>
      </c>
      <c r="U143" s="146" t="s">
        <v>210</v>
      </c>
      <c r="V143" s="9" t="s">
        <v>413</v>
      </c>
      <c r="W143" s="146" t="s">
        <v>210</v>
      </c>
      <c r="X143" s="9" t="s">
        <v>413</v>
      </c>
      <c r="Y143" s="146" t="s">
        <v>210</v>
      </c>
      <c r="Z143" s="9" t="s">
        <v>413</v>
      </c>
      <c r="AA143" s="146" t="s">
        <v>210</v>
      </c>
      <c r="AB143" s="9" t="s">
        <v>413</v>
      </c>
      <c r="AC143" s="146" t="s">
        <v>210</v>
      </c>
      <c r="AD143" s="9" t="s">
        <v>413</v>
      </c>
      <c r="AE143" s="146" t="s">
        <v>210</v>
      </c>
      <c r="AF143" s="215" t="str">
        <f t="shared" si="10"/>
        <v>NC</v>
      </c>
      <c r="AG143" s="96" t="str">
        <f t="shared" si="9"/>
        <v>NÃO UTILIZOU O PDA</v>
      </c>
      <c r="AH143" s="9" t="s">
        <v>39</v>
      </c>
      <c r="AI143" s="151" t="str">
        <f t="shared" si="8"/>
        <v>GUARULHOS</v>
      </c>
      <c r="AJ143" s="154" t="s">
        <v>6</v>
      </c>
      <c r="AK143" s="53">
        <v>-2.8400000000000002E-2</v>
      </c>
      <c r="AL143" s="53" t="str" cm="1">
        <f t="array" ref="AL143">IF(OR(O143&lt;&gt;"", SUMPRODUCT(($AM$2:$AM$210=AM143)*($AK$2:$AK$210&lt;=AK143)) &lt;= (COUNTIF($AM$2:$AM$210,AM143)*0.1)), "SORTEADO", "-")</f>
        <v>SORTEADO</v>
      </c>
      <c r="AM143" s="53" t="str">
        <f t="shared" si="11"/>
        <v>04/11/2026</v>
      </c>
    </row>
    <row r="144" spans="1:39" ht="30" hidden="1" customHeight="1" x14ac:dyDescent="0.2">
      <c r="A144" s="231" t="s">
        <v>197</v>
      </c>
      <c r="B144" s="231">
        <v>2615252167</v>
      </c>
      <c r="C144" s="231" t="s">
        <v>141</v>
      </c>
      <c r="D144" s="231" t="s">
        <v>67</v>
      </c>
      <c r="E144" s="231" t="s">
        <v>198</v>
      </c>
      <c r="F144" s="231" t="s">
        <v>1634</v>
      </c>
      <c r="G144" s="231">
        <v>105</v>
      </c>
      <c r="H144" s="231" t="s">
        <v>2717</v>
      </c>
      <c r="I144" s="231" t="s">
        <v>664</v>
      </c>
      <c r="J144" s="231" t="s">
        <v>4603</v>
      </c>
      <c r="K144" s="231" t="s">
        <v>4654</v>
      </c>
      <c r="L144" s="232" t="s">
        <v>802</v>
      </c>
      <c r="M144" s="232">
        <v>46330.406944444447</v>
      </c>
      <c r="N144" s="231" t="s">
        <v>4613</v>
      </c>
      <c r="O144" s="144" t="s">
        <v>61</v>
      </c>
      <c r="P144" s="9"/>
      <c r="Q144" s="146" t="s">
        <v>61</v>
      </c>
      <c r="R144" s="92"/>
      <c r="S144" s="146" t="s">
        <v>61</v>
      </c>
      <c r="T144" s="92"/>
      <c r="U144" s="146" t="s">
        <v>61</v>
      </c>
      <c r="V144" s="92"/>
      <c r="W144" s="146" t="s">
        <v>61</v>
      </c>
      <c r="X144" s="92"/>
      <c r="Y144" s="146" t="s">
        <v>61</v>
      </c>
      <c r="Z144" s="92"/>
      <c r="AA144" s="146" t="s">
        <v>61</v>
      </c>
      <c r="AB144" s="64"/>
      <c r="AC144" s="146" t="s">
        <v>61</v>
      </c>
      <c r="AD144" s="64"/>
      <c r="AE144" s="146" t="s">
        <v>61</v>
      </c>
      <c r="AF144" s="215" t="str">
        <f t="shared" si="10"/>
        <v>NA</v>
      </c>
      <c r="AG144" s="96" t="str">
        <f t="shared" si="9"/>
        <v>NÃO AVALIADO POR FALHA DE SINCRONISMO</v>
      </c>
      <c r="AH144" s="9" t="s">
        <v>39</v>
      </c>
      <c r="AI144" s="151" t="str">
        <f t="shared" si="8"/>
        <v>GUARULHOS</v>
      </c>
      <c r="AJ144" s="154" t="s">
        <v>6</v>
      </c>
      <c r="AK144" s="53">
        <v>-2.86E-2</v>
      </c>
      <c r="AL144" s="53" t="str" cm="1">
        <f t="array" ref="AL144">IF(OR(O144&lt;&gt;"", SUMPRODUCT(($AM$2:$AM$210=AM144)*($AK$2:$AK$210&lt;=AK144)) &lt;= (COUNTIF($AM$2:$AM$210,AM144)*0.1)), "SORTEADO", "-")</f>
        <v>SORTEADO</v>
      </c>
      <c r="AM144" s="53" t="str">
        <f t="shared" si="11"/>
        <v>04/11/2026</v>
      </c>
    </row>
    <row r="145" spans="1:39" ht="30" hidden="1" customHeight="1" x14ac:dyDescent="0.2">
      <c r="A145" s="231" t="s">
        <v>197</v>
      </c>
      <c r="B145" s="231">
        <v>2614460073</v>
      </c>
      <c r="C145" s="231" t="s">
        <v>141</v>
      </c>
      <c r="D145" s="231" t="s">
        <v>67</v>
      </c>
      <c r="E145" s="231" t="s">
        <v>198</v>
      </c>
      <c r="F145" s="231" t="s">
        <v>386</v>
      </c>
      <c r="G145" s="231">
        <v>82</v>
      </c>
      <c r="H145" s="231">
        <v>126</v>
      </c>
      <c r="I145" s="231" t="s">
        <v>262</v>
      </c>
      <c r="J145" s="231" t="s">
        <v>4603</v>
      </c>
      <c r="K145" s="231" t="s">
        <v>4640</v>
      </c>
      <c r="L145" s="232" t="s">
        <v>802</v>
      </c>
      <c r="M145" s="232">
        <v>46330.459027777775</v>
      </c>
      <c r="N145" s="231" t="s">
        <v>4613</v>
      </c>
      <c r="O145" s="144" t="s">
        <v>61</v>
      </c>
      <c r="P145" s="9"/>
      <c r="Q145" s="146" t="s">
        <v>61</v>
      </c>
      <c r="R145" s="92"/>
      <c r="S145" s="146" t="s">
        <v>61</v>
      </c>
      <c r="T145" s="92"/>
      <c r="U145" s="146" t="s">
        <v>61</v>
      </c>
      <c r="V145" s="92"/>
      <c r="W145" s="146" t="s">
        <v>61</v>
      </c>
      <c r="X145" s="92"/>
      <c r="Y145" s="146" t="s">
        <v>61</v>
      </c>
      <c r="Z145" s="92"/>
      <c r="AA145" s="146" t="s">
        <v>61</v>
      </c>
      <c r="AB145" s="64"/>
      <c r="AC145" s="146" t="s">
        <v>61</v>
      </c>
      <c r="AD145" s="64"/>
      <c r="AE145" s="146" t="s">
        <v>61</v>
      </c>
      <c r="AF145" s="215" t="str">
        <f t="shared" si="10"/>
        <v>NA</v>
      </c>
      <c r="AG145" s="96" t="str">
        <f t="shared" si="9"/>
        <v>NÃO AVALIADO POR FALHA DE SINCRONISMO</v>
      </c>
      <c r="AH145" s="9" t="s">
        <v>39</v>
      </c>
      <c r="AI145" s="151" t="str">
        <f t="shared" si="8"/>
        <v>GUARULHOS</v>
      </c>
      <c r="AJ145" s="154" t="s">
        <v>6</v>
      </c>
      <c r="AK145" s="53">
        <v>-2.8799999999999999E-2</v>
      </c>
      <c r="AL145" s="53" t="str" cm="1">
        <f t="array" ref="AL145">IF(OR(O145&lt;&gt;"", SUMPRODUCT(($AM$2:$AM$210=AM145)*($AK$2:$AK$210&lt;=AK145)) &lt;= (COUNTIF($AM$2:$AM$210,AM145)*0.1)), "SORTEADO", "-")</f>
        <v>SORTEADO</v>
      </c>
      <c r="AM145" s="53" t="str">
        <f t="shared" si="11"/>
        <v>04/11/2026</v>
      </c>
    </row>
    <row r="146" spans="1:39" ht="30" hidden="1" customHeight="1" x14ac:dyDescent="0.2">
      <c r="A146" s="231" t="s">
        <v>197</v>
      </c>
      <c r="B146" s="231">
        <v>2614135529</v>
      </c>
      <c r="C146" s="231" t="s">
        <v>141</v>
      </c>
      <c r="D146" s="231" t="s">
        <v>67</v>
      </c>
      <c r="E146" s="231" t="s">
        <v>198</v>
      </c>
      <c r="F146" s="231" t="s">
        <v>673</v>
      </c>
      <c r="G146" s="231">
        <v>123</v>
      </c>
      <c r="H146" s="231" t="s">
        <v>206</v>
      </c>
      <c r="I146" s="231" t="s">
        <v>611</v>
      </c>
      <c r="J146" s="231" t="s">
        <v>4603</v>
      </c>
      <c r="K146" s="231" t="s">
        <v>4655</v>
      </c>
      <c r="L146" s="232" t="s">
        <v>802</v>
      </c>
      <c r="M146" s="232">
        <v>46330.381944444445</v>
      </c>
      <c r="N146" s="231" t="s">
        <v>4613</v>
      </c>
      <c r="O146" s="144" t="s">
        <v>61</v>
      </c>
      <c r="P146" s="9"/>
      <c r="Q146" s="146" t="s">
        <v>61</v>
      </c>
      <c r="R146" s="92"/>
      <c r="S146" s="146" t="s">
        <v>61</v>
      </c>
      <c r="T146" s="92"/>
      <c r="U146" s="146" t="s">
        <v>61</v>
      </c>
      <c r="V146" s="92"/>
      <c r="W146" s="146" t="s">
        <v>61</v>
      </c>
      <c r="X146" s="92"/>
      <c r="Y146" s="146" t="s">
        <v>61</v>
      </c>
      <c r="Z146" s="92"/>
      <c r="AA146" s="146" t="s">
        <v>61</v>
      </c>
      <c r="AB146" s="64"/>
      <c r="AC146" s="146" t="s">
        <v>61</v>
      </c>
      <c r="AD146" s="64"/>
      <c r="AE146" s="146" t="s">
        <v>61</v>
      </c>
      <c r="AF146" s="215" t="str">
        <f t="shared" si="10"/>
        <v>NA</v>
      </c>
      <c r="AG146" s="96" t="str">
        <f t="shared" si="9"/>
        <v>NÃO AVALIADO POR FALHA DE SINCRONISMO</v>
      </c>
      <c r="AH146" s="9" t="s">
        <v>39</v>
      </c>
      <c r="AI146" s="151" t="str">
        <f t="shared" si="8"/>
        <v>GUARULHOS</v>
      </c>
      <c r="AJ146" s="154" t="s">
        <v>6</v>
      </c>
      <c r="AK146" s="53">
        <v>-2.9000000000000001E-2</v>
      </c>
      <c r="AL146" s="53" t="str" cm="1">
        <f t="array" ref="AL146">IF(OR(O146&lt;&gt;"", SUMPRODUCT(($AM$2:$AM$210=AM146)*($AK$2:$AK$210&lt;=AK146)) &lt;= (COUNTIF($AM$2:$AM$210,AM146)*0.1)), "SORTEADO", "-")</f>
        <v>SORTEADO</v>
      </c>
      <c r="AM146" s="53" t="str">
        <f t="shared" si="11"/>
        <v>04/11/2026</v>
      </c>
    </row>
    <row r="147" spans="1:39" ht="30" hidden="1" customHeight="1" x14ac:dyDescent="0.2">
      <c r="A147" s="231" t="s">
        <v>197</v>
      </c>
      <c r="B147" s="250">
        <v>2615162540</v>
      </c>
      <c r="C147" s="231" t="s">
        <v>141</v>
      </c>
      <c r="D147" s="231" t="s">
        <v>67</v>
      </c>
      <c r="E147" s="231" t="s">
        <v>198</v>
      </c>
      <c r="F147" s="231" t="s">
        <v>4656</v>
      </c>
      <c r="G147" s="231">
        <v>239</v>
      </c>
      <c r="H147" s="231" t="s">
        <v>213</v>
      </c>
      <c r="I147" s="231" t="s">
        <v>262</v>
      </c>
      <c r="J147" s="231" t="s">
        <v>4603</v>
      </c>
      <c r="K147" s="231" t="s">
        <v>213</v>
      </c>
      <c r="L147" s="232" t="s">
        <v>802</v>
      </c>
      <c r="M147" s="232">
        <v>46330.450694444444</v>
      </c>
      <c r="N147" s="231" t="s">
        <v>4613</v>
      </c>
      <c r="O147" s="144"/>
      <c r="P147" s="9"/>
      <c r="Q147" s="146"/>
      <c r="R147" s="92"/>
      <c r="S147" s="146"/>
      <c r="T147" s="92"/>
      <c r="U147" s="146"/>
      <c r="V147" s="92"/>
      <c r="W147" s="146"/>
      <c r="X147" s="92"/>
      <c r="Y147" s="146"/>
      <c r="Z147" s="92"/>
      <c r="AA147" s="146"/>
      <c r="AB147" s="64"/>
      <c r="AC147" s="146"/>
      <c r="AD147" s="64"/>
      <c r="AE147" s="146"/>
      <c r="AF147" s="215" t="str">
        <f t="shared" si="10"/>
        <v/>
      </c>
      <c r="AG147" s="96" t="b">
        <f t="shared" si="9"/>
        <v>0</v>
      </c>
      <c r="AH147" s="9"/>
      <c r="AI147" s="151" t="str">
        <f t="shared" si="8"/>
        <v>GUARULHOS</v>
      </c>
      <c r="AJ147" s="154" t="s">
        <v>6</v>
      </c>
      <c r="AK147" s="53">
        <v>0.69591107071531411</v>
      </c>
      <c r="AL147" s="53" t="str" cm="1">
        <f t="array" ref="AL147">IF(OR(O147&lt;&gt;"", SUMPRODUCT(($AM$2:$AM$210=AM147)*($AK$2:$AK$210&lt;=AK147)) &lt;= (COUNTIF($AM$2:$AM$210,AM147)*0.1)), "SORTEADO", "-")</f>
        <v>-</v>
      </c>
      <c r="AM147" s="53" t="str">
        <f t="shared" si="11"/>
        <v>04/11/2026</v>
      </c>
    </row>
    <row r="148" spans="1:39" ht="30" hidden="1" customHeight="1" x14ac:dyDescent="0.2">
      <c r="A148" s="231" t="s">
        <v>197</v>
      </c>
      <c r="B148" s="250">
        <v>2614773973</v>
      </c>
      <c r="C148" s="231" t="s">
        <v>140</v>
      </c>
      <c r="D148" s="231" t="s">
        <v>67</v>
      </c>
      <c r="E148" s="231" t="s">
        <v>198</v>
      </c>
      <c r="F148" s="231" t="s">
        <v>829</v>
      </c>
      <c r="G148" s="231">
        <v>731</v>
      </c>
      <c r="H148" s="231"/>
      <c r="I148" s="231" t="s">
        <v>335</v>
      </c>
      <c r="J148" s="231" t="s">
        <v>4605</v>
      </c>
      <c r="K148" s="231"/>
      <c r="L148" s="232" t="s">
        <v>802</v>
      </c>
      <c r="M148" s="232">
        <v>46330.401388888888</v>
      </c>
      <c r="N148" s="231" t="s">
        <v>4613</v>
      </c>
      <c r="O148" s="144"/>
      <c r="P148" s="9"/>
      <c r="Q148" s="146"/>
      <c r="R148" s="92"/>
      <c r="S148" s="146"/>
      <c r="T148" s="92"/>
      <c r="U148" s="146"/>
      <c r="V148" s="92"/>
      <c r="W148" s="146"/>
      <c r="X148" s="92"/>
      <c r="Y148" s="146"/>
      <c r="Z148" s="92"/>
      <c r="AA148" s="146"/>
      <c r="AB148" s="64"/>
      <c r="AC148" s="146"/>
      <c r="AD148" s="64"/>
      <c r="AE148" s="146"/>
      <c r="AF148" s="215" t="str">
        <f t="shared" si="10"/>
        <v/>
      </c>
      <c r="AG148" s="96" t="b">
        <f t="shared" si="9"/>
        <v>0</v>
      </c>
      <c r="AH148" s="9"/>
      <c r="AI148" s="151" t="str">
        <f t="shared" si="8"/>
        <v>GUARULHOS</v>
      </c>
      <c r="AJ148" s="154" t="s">
        <v>6</v>
      </c>
      <c r="AK148" s="53">
        <v>0.5213022903551644</v>
      </c>
      <c r="AL148" s="53" t="str" cm="1">
        <f t="array" ref="AL148">IF(OR(O148&lt;&gt;"", SUMPRODUCT(($AM$2:$AM$210=AM148)*($AK$2:$AK$210&lt;=AK148)) &lt;= (COUNTIF($AM$2:$AM$210,AM148)*0.1)), "SORTEADO", "-")</f>
        <v>-</v>
      </c>
      <c r="AM148" s="53" t="str">
        <f t="shared" si="11"/>
        <v>04/11/2026</v>
      </c>
    </row>
    <row r="149" spans="1:39" ht="30" hidden="1" customHeight="1" x14ac:dyDescent="0.2">
      <c r="A149" s="231" t="s">
        <v>197</v>
      </c>
      <c r="B149" s="250">
        <v>2614847108</v>
      </c>
      <c r="C149" s="231" t="s">
        <v>139</v>
      </c>
      <c r="D149" s="231" t="s">
        <v>67</v>
      </c>
      <c r="E149" s="231" t="s">
        <v>198</v>
      </c>
      <c r="F149" s="231" t="s">
        <v>734</v>
      </c>
      <c r="G149" s="231">
        <v>95</v>
      </c>
      <c r="H149" s="231" t="s">
        <v>213</v>
      </c>
      <c r="I149" s="231" t="s">
        <v>253</v>
      </c>
      <c r="J149" s="231" t="s">
        <v>4603</v>
      </c>
      <c r="K149" s="231" t="s">
        <v>213</v>
      </c>
      <c r="L149" s="232" t="s">
        <v>802</v>
      </c>
      <c r="M149" s="232">
        <v>46330.42083333333</v>
      </c>
      <c r="N149" s="231" t="s">
        <v>4613</v>
      </c>
      <c r="O149" s="144"/>
      <c r="P149" s="9"/>
      <c r="Q149" s="146"/>
      <c r="R149" s="92"/>
      <c r="S149" s="146"/>
      <c r="T149" s="92"/>
      <c r="U149" s="146"/>
      <c r="V149" s="92"/>
      <c r="W149" s="146"/>
      <c r="X149" s="92"/>
      <c r="Y149" s="146"/>
      <c r="Z149" s="92"/>
      <c r="AA149" s="146"/>
      <c r="AB149" s="64"/>
      <c r="AC149" s="146"/>
      <c r="AD149" s="64"/>
      <c r="AE149" s="146"/>
      <c r="AF149" s="215" t="str">
        <f t="shared" si="10"/>
        <v/>
      </c>
      <c r="AG149" s="96" t="b">
        <f t="shared" si="9"/>
        <v>0</v>
      </c>
      <c r="AH149" s="9"/>
      <c r="AI149" s="151" t="str">
        <f t="shared" si="8"/>
        <v>GUARULHOS</v>
      </c>
      <c r="AJ149" s="154" t="s">
        <v>6</v>
      </c>
      <c r="AK149" s="53">
        <v>0.66497996665300163</v>
      </c>
      <c r="AL149" s="53" t="str" cm="1">
        <f t="array" ref="AL149">IF(OR(O149&lt;&gt;"", SUMPRODUCT(($AM$2:$AM$210=AM149)*($AK$2:$AK$210&lt;=AK149)) &lt;= (COUNTIF($AM$2:$AM$210,AM149)*0.1)), "SORTEADO", "-")</f>
        <v>-</v>
      </c>
      <c r="AM149" s="53" t="str">
        <f t="shared" si="11"/>
        <v>04/11/2026</v>
      </c>
    </row>
    <row r="150" spans="1:39" ht="30" hidden="1" customHeight="1" x14ac:dyDescent="0.2">
      <c r="A150" s="231" t="s">
        <v>197</v>
      </c>
      <c r="B150" s="250">
        <v>2614788070</v>
      </c>
      <c r="C150" s="231" t="s">
        <v>138</v>
      </c>
      <c r="D150" s="231" t="s">
        <v>67</v>
      </c>
      <c r="E150" s="231" t="s">
        <v>198</v>
      </c>
      <c r="F150" s="231" t="s">
        <v>694</v>
      </c>
      <c r="G150" s="231">
        <v>83</v>
      </c>
      <c r="H150" s="231" t="s">
        <v>695</v>
      </c>
      <c r="I150" s="231" t="s">
        <v>436</v>
      </c>
      <c r="J150" s="231" t="s">
        <v>4605</v>
      </c>
      <c r="K150" s="231"/>
      <c r="L150" s="232" t="s">
        <v>802</v>
      </c>
      <c r="M150" s="232">
        <v>46330.35</v>
      </c>
      <c r="N150" s="231" t="s">
        <v>4613</v>
      </c>
      <c r="O150" s="144"/>
      <c r="P150" s="9"/>
      <c r="Q150" s="146"/>
      <c r="R150" s="92"/>
      <c r="S150" s="146"/>
      <c r="T150" s="92"/>
      <c r="U150" s="146"/>
      <c r="V150" s="92"/>
      <c r="W150" s="146"/>
      <c r="X150" s="92"/>
      <c r="Y150" s="146"/>
      <c r="Z150" s="92"/>
      <c r="AA150" s="146"/>
      <c r="AB150" s="64"/>
      <c r="AC150" s="146"/>
      <c r="AD150" s="64"/>
      <c r="AE150" s="146"/>
      <c r="AF150" s="215" t="str">
        <f t="shared" si="10"/>
        <v/>
      </c>
      <c r="AG150" s="96" t="b">
        <f t="shared" si="9"/>
        <v>0</v>
      </c>
      <c r="AH150" s="9"/>
      <c r="AI150" s="151" t="str">
        <f t="shared" si="8"/>
        <v>GUARULHOS</v>
      </c>
      <c r="AJ150" s="154" t="s">
        <v>6</v>
      </c>
      <c r="AK150" s="53">
        <v>0.70364417679523661</v>
      </c>
      <c r="AL150" s="53" t="str" cm="1">
        <f t="array" ref="AL150">IF(OR(O150&lt;&gt;"", SUMPRODUCT(($AM$2:$AM$210=AM150)*($AK$2:$AK$210&lt;=AK150)) &lt;= (COUNTIF($AM$2:$AM$210,AM150)*0.1)), "SORTEADO", "-")</f>
        <v>-</v>
      </c>
      <c r="AM150" s="53" t="str">
        <f t="shared" si="11"/>
        <v>04/11/2026</v>
      </c>
    </row>
    <row r="151" spans="1:39" ht="30" hidden="1" customHeight="1" x14ac:dyDescent="0.2">
      <c r="A151" s="231" t="s">
        <v>197</v>
      </c>
      <c r="B151" s="231">
        <v>2614112286</v>
      </c>
      <c r="C151" s="231" t="s">
        <v>141</v>
      </c>
      <c r="D151" s="231" t="s">
        <v>67</v>
      </c>
      <c r="E151" s="231" t="s">
        <v>198</v>
      </c>
      <c r="F151" s="231" t="s">
        <v>679</v>
      </c>
      <c r="G151" s="231">
        <v>586</v>
      </c>
      <c r="H151" s="231" t="s">
        <v>213</v>
      </c>
      <c r="I151" s="231" t="s">
        <v>356</v>
      </c>
      <c r="J151" s="231" t="s">
        <v>4603</v>
      </c>
      <c r="K151" s="231" t="s">
        <v>4640</v>
      </c>
      <c r="L151" s="232" t="s">
        <v>802</v>
      </c>
      <c r="M151" s="232">
        <v>46330.368055555555</v>
      </c>
      <c r="N151" s="231" t="s">
        <v>4613</v>
      </c>
      <c r="O151" s="144" t="s">
        <v>61</v>
      </c>
      <c r="P151" s="9"/>
      <c r="Q151" s="146" t="s">
        <v>61</v>
      </c>
      <c r="R151" s="92"/>
      <c r="S151" s="146" t="s">
        <v>61</v>
      </c>
      <c r="T151" s="92"/>
      <c r="U151" s="146" t="s">
        <v>61</v>
      </c>
      <c r="V151" s="92"/>
      <c r="W151" s="146" t="s">
        <v>61</v>
      </c>
      <c r="X151" s="92"/>
      <c r="Y151" s="146" t="s">
        <v>61</v>
      </c>
      <c r="Z151" s="92"/>
      <c r="AA151" s="146" t="s">
        <v>61</v>
      </c>
      <c r="AB151" s="64"/>
      <c r="AC151" s="146" t="s">
        <v>61</v>
      </c>
      <c r="AD151" s="64"/>
      <c r="AE151" s="146" t="s">
        <v>61</v>
      </c>
      <c r="AF151" s="215" t="str">
        <f t="shared" si="10"/>
        <v>NA</v>
      </c>
      <c r="AG151" s="96" t="str">
        <f t="shared" si="9"/>
        <v>NÃO AVALIADO POR FALHA DE SINCRONISMO</v>
      </c>
      <c r="AH151" s="9" t="s">
        <v>39</v>
      </c>
      <c r="AI151" s="151" t="str">
        <f t="shared" si="8"/>
        <v>GUARULHOS</v>
      </c>
      <c r="AJ151" s="154" t="s">
        <v>6</v>
      </c>
      <c r="AK151" s="53">
        <v>-0.03</v>
      </c>
      <c r="AL151" s="53" t="str" cm="1">
        <f t="array" ref="AL151">IF(OR(O151&lt;&gt;"", SUMPRODUCT(($AM$2:$AM$210=AM151)*($AK$2:$AK$210&lt;=AK151)) &lt;= (COUNTIF($AM$2:$AM$210,AM151)*0.1)), "SORTEADO", "-")</f>
        <v>SORTEADO</v>
      </c>
      <c r="AM151" s="53" t="str">
        <f t="shared" si="11"/>
        <v>04/11/2026</v>
      </c>
    </row>
    <row r="152" spans="1:39" ht="30" hidden="1" customHeight="1" x14ac:dyDescent="0.2">
      <c r="A152" s="231" t="s">
        <v>197</v>
      </c>
      <c r="B152" s="250">
        <v>2689973327</v>
      </c>
      <c r="C152" s="231" t="s">
        <v>140</v>
      </c>
      <c r="D152" s="231" t="s">
        <v>67</v>
      </c>
      <c r="E152" s="231" t="s">
        <v>198</v>
      </c>
      <c r="F152" s="231" t="s">
        <v>737</v>
      </c>
      <c r="G152" s="231">
        <v>193</v>
      </c>
      <c r="H152" s="231" t="s">
        <v>738</v>
      </c>
      <c r="I152" s="231" t="s">
        <v>394</v>
      </c>
      <c r="J152" s="231" t="s">
        <v>4605</v>
      </c>
      <c r="K152" s="231"/>
      <c r="L152" s="232" t="s">
        <v>802</v>
      </c>
      <c r="M152" s="232">
        <v>46330.439583333333</v>
      </c>
      <c r="N152" s="231" t="s">
        <v>4620</v>
      </c>
      <c r="O152" s="144"/>
      <c r="P152" s="9"/>
      <c r="Q152" s="146"/>
      <c r="R152" s="92"/>
      <c r="S152" s="146"/>
      <c r="T152" s="92"/>
      <c r="U152" s="146"/>
      <c r="V152" s="92"/>
      <c r="W152" s="146"/>
      <c r="X152" s="92"/>
      <c r="Y152" s="146"/>
      <c r="Z152" s="92"/>
      <c r="AA152" s="146"/>
      <c r="AB152" s="64"/>
      <c r="AC152" s="146"/>
      <c r="AD152" s="64"/>
      <c r="AE152" s="146"/>
      <c r="AF152" s="215" t="str">
        <f t="shared" si="10"/>
        <v/>
      </c>
      <c r="AG152" s="96" t="b">
        <f t="shared" si="9"/>
        <v>0</v>
      </c>
      <c r="AH152" s="9"/>
      <c r="AI152" s="151" t="str">
        <f t="shared" si="8"/>
        <v>GUARULHOS</v>
      </c>
      <c r="AJ152" s="154" t="s">
        <v>6</v>
      </c>
      <c r="AK152" s="53">
        <v>0.33790040277035238</v>
      </c>
      <c r="AL152" s="53" t="str" cm="1">
        <f t="array" ref="AL152">IF(OR(O152&lt;&gt;"", SUMPRODUCT(($AM$2:$AM$210=AM152)*($AK$2:$AK$210&lt;=AK152)) &lt;= (COUNTIF($AM$2:$AM$210,AM152)*0.1)), "SORTEADO", "-")</f>
        <v>-</v>
      </c>
      <c r="AM152" s="53" t="str">
        <f t="shared" si="11"/>
        <v>04/11/2026</v>
      </c>
    </row>
    <row r="153" spans="1:39" ht="30" hidden="1" customHeight="1" x14ac:dyDescent="0.2">
      <c r="A153" s="240" t="s">
        <v>197</v>
      </c>
      <c r="B153" s="251">
        <v>2615497848</v>
      </c>
      <c r="C153" s="240" t="s">
        <v>141</v>
      </c>
      <c r="D153" s="240" t="s">
        <v>67</v>
      </c>
      <c r="E153" s="240" t="s">
        <v>198</v>
      </c>
      <c r="F153" s="240" t="s">
        <v>743</v>
      </c>
      <c r="G153" s="240">
        <v>806</v>
      </c>
      <c r="H153" s="240" t="s">
        <v>744</v>
      </c>
      <c r="I153" s="240" t="s">
        <v>531</v>
      </c>
      <c r="J153" s="240" t="s">
        <v>4657</v>
      </c>
      <c r="K153" s="240" t="s">
        <v>4658</v>
      </c>
      <c r="L153" s="241" t="s">
        <v>866</v>
      </c>
      <c r="M153" s="241">
        <v>46360.626388888886</v>
      </c>
      <c r="N153" s="240" t="s">
        <v>4620</v>
      </c>
      <c r="O153" s="144"/>
      <c r="P153" s="9"/>
      <c r="Q153" s="146"/>
      <c r="R153" s="92"/>
      <c r="S153" s="146"/>
      <c r="T153" s="92"/>
      <c r="U153" s="146"/>
      <c r="V153" s="92"/>
      <c r="W153" s="146"/>
      <c r="X153" s="92"/>
      <c r="Y153" s="146"/>
      <c r="Z153" s="92"/>
      <c r="AA153" s="146"/>
      <c r="AB153" s="64"/>
      <c r="AC153" s="146"/>
      <c r="AD153" s="64"/>
      <c r="AE153" s="146"/>
      <c r="AF153" s="215" t="str">
        <f t="shared" si="10"/>
        <v/>
      </c>
      <c r="AG153" s="96" t="b">
        <f t="shared" si="9"/>
        <v>0</v>
      </c>
      <c r="AH153" s="9"/>
      <c r="AI153" s="151" t="str">
        <f t="shared" si="8"/>
        <v>GUARULHOS</v>
      </c>
      <c r="AJ153" s="154" t="s">
        <v>6</v>
      </c>
      <c r="AK153" s="53">
        <v>0.85210408452512565</v>
      </c>
      <c r="AL153" s="53" t="str" cm="1">
        <f t="array" ref="AL153">IF(OR(O153&lt;&gt;"", SUMPRODUCT(($AM$2:$AM$210=AM153)*($AK$2:$AK$210&lt;=AK153)) &lt;= (COUNTIF($AM$2:$AM$210,AM153)*0.1)), "SORTEADO", "-")</f>
        <v>-</v>
      </c>
      <c r="AM153" s="53" t="str">
        <f t="shared" si="11"/>
        <v>04/12/2026</v>
      </c>
    </row>
    <row r="154" spans="1:39" ht="30" hidden="1" customHeight="1" x14ac:dyDescent="0.2">
      <c r="A154" s="230" t="s">
        <v>197</v>
      </c>
      <c r="B154" s="248">
        <v>2615139095</v>
      </c>
      <c r="C154" s="230" t="s">
        <v>138</v>
      </c>
      <c r="D154" s="230" t="s">
        <v>67</v>
      </c>
      <c r="E154" s="230" t="s">
        <v>198</v>
      </c>
      <c r="F154" s="230" t="s">
        <v>807</v>
      </c>
      <c r="G154" s="230">
        <v>105</v>
      </c>
      <c r="H154" s="230" t="s">
        <v>808</v>
      </c>
      <c r="I154" s="230" t="s">
        <v>285</v>
      </c>
      <c r="J154" s="230" t="s">
        <v>4605</v>
      </c>
      <c r="K154" s="230" t="s">
        <v>213</v>
      </c>
      <c r="L154" s="230" t="s">
        <v>902</v>
      </c>
      <c r="M154" s="230" t="s">
        <v>3654</v>
      </c>
      <c r="N154" s="230" t="s">
        <v>4613</v>
      </c>
      <c r="O154" s="227"/>
      <c r="P154" s="92"/>
      <c r="Q154" s="146"/>
      <c r="R154" s="92"/>
      <c r="S154" s="146"/>
      <c r="T154" s="92"/>
      <c r="U154" s="146"/>
      <c r="V154" s="92"/>
      <c r="W154" s="146"/>
      <c r="X154" s="92"/>
      <c r="Y154" s="146"/>
      <c r="Z154" s="92"/>
      <c r="AA154" s="146"/>
      <c r="AB154" s="64"/>
      <c r="AC154" s="146"/>
      <c r="AD154" s="64"/>
      <c r="AE154" s="146"/>
      <c r="AF154" s="215" t="str">
        <f t="shared" si="10"/>
        <v/>
      </c>
      <c r="AG154" s="96" t="b">
        <f t="shared" si="9"/>
        <v>0</v>
      </c>
      <c r="AH154" s="9"/>
      <c r="AI154" s="151" t="str">
        <f t="shared" si="8"/>
        <v>GUARULHOS</v>
      </c>
      <c r="AJ154" s="154" t="s">
        <v>6</v>
      </c>
      <c r="AK154" s="53">
        <v>0.86935333342798771</v>
      </c>
      <c r="AL154" s="53" t="str" cm="1">
        <f t="array" ref="AL154">IF(OR(O154&lt;&gt;"", SUMPRODUCT(($AM$2:$AM$210=AM154)*($AK$2:$AK$210&lt;=AK154)) &lt;= (COUNTIF($AM$2:$AM$210,AM154)*0.1)), "SORTEADO", "-")</f>
        <v>-</v>
      </c>
      <c r="AM154" s="53" t="str">
        <f>TEXT(L154, "dd/mm/aaaa")</f>
        <v>13/04/2026</v>
      </c>
    </row>
    <row r="155" spans="1:39" ht="30" hidden="1" customHeight="1" x14ac:dyDescent="0.2">
      <c r="A155" s="230" t="s">
        <v>197</v>
      </c>
      <c r="B155" s="248">
        <v>2690290968</v>
      </c>
      <c r="C155" s="230" t="s">
        <v>140</v>
      </c>
      <c r="D155" s="230" t="s">
        <v>67</v>
      </c>
      <c r="E155" s="230" t="s">
        <v>198</v>
      </c>
      <c r="F155" s="230" t="s">
        <v>850</v>
      </c>
      <c r="G155" s="230">
        <v>272</v>
      </c>
      <c r="H155" s="230" t="s">
        <v>851</v>
      </c>
      <c r="I155" s="230" t="s">
        <v>531</v>
      </c>
      <c r="J155" s="230" t="s">
        <v>4605</v>
      </c>
      <c r="K155" s="230" t="s">
        <v>213</v>
      </c>
      <c r="L155" s="230" t="s">
        <v>902</v>
      </c>
      <c r="M155" s="230" t="s">
        <v>4659</v>
      </c>
      <c r="N155" s="230" t="s">
        <v>4620</v>
      </c>
      <c r="O155" s="158"/>
      <c r="P155" s="92"/>
      <c r="Q155" s="146"/>
      <c r="R155" s="92"/>
      <c r="S155" s="146"/>
      <c r="T155" s="92"/>
      <c r="U155" s="146"/>
      <c r="V155" s="92"/>
      <c r="W155" s="146"/>
      <c r="X155" s="92"/>
      <c r="Y155" s="146"/>
      <c r="Z155" s="92"/>
      <c r="AA155" s="146"/>
      <c r="AB155" s="64"/>
      <c r="AC155" s="146"/>
      <c r="AD155" s="64"/>
      <c r="AE155" s="146"/>
      <c r="AF155" s="215" t="str">
        <f t="shared" si="10"/>
        <v/>
      </c>
      <c r="AG155" s="96" t="b">
        <f t="shared" si="9"/>
        <v>0</v>
      </c>
      <c r="AH155" s="9"/>
      <c r="AI155" s="151" t="str">
        <f t="shared" si="8"/>
        <v>GUARULHOS</v>
      </c>
      <c r="AJ155" s="154" t="s">
        <v>6</v>
      </c>
      <c r="AK155" s="53">
        <v>0.97860648037890563</v>
      </c>
      <c r="AL155" s="53" t="str" cm="1">
        <f t="array" ref="AL155">IF(OR(O155&lt;&gt;"", SUMPRODUCT(($AM$2:$AM$210=AM155)*($AK$2:$AK$210&lt;=AK155)) &lt;= (COUNTIF($AM$2:$AM$210,AM155)*0.1)), "SORTEADO", "-")</f>
        <v>-</v>
      </c>
      <c r="AM155" s="53" t="str">
        <f t="shared" ref="AM155:AM218" si="12">TEXT(L155, "dd/mm/aaaa")</f>
        <v>13/04/2026</v>
      </c>
    </row>
    <row r="156" spans="1:39" ht="30" hidden="1" customHeight="1" x14ac:dyDescent="0.2">
      <c r="A156" s="230" t="s">
        <v>197</v>
      </c>
      <c r="B156" s="248">
        <v>2614501281</v>
      </c>
      <c r="C156" s="230" t="s">
        <v>141</v>
      </c>
      <c r="D156" s="230" t="s">
        <v>67</v>
      </c>
      <c r="E156" s="230" t="s">
        <v>198</v>
      </c>
      <c r="F156" s="230" t="s">
        <v>798</v>
      </c>
      <c r="G156" s="230">
        <v>238</v>
      </c>
      <c r="H156" s="230"/>
      <c r="I156" s="230" t="s">
        <v>368</v>
      </c>
      <c r="J156" s="230" t="s">
        <v>4603</v>
      </c>
      <c r="K156" s="230"/>
      <c r="L156" s="230" t="s">
        <v>902</v>
      </c>
      <c r="M156" s="230" t="s">
        <v>921</v>
      </c>
      <c r="N156" s="230" t="s">
        <v>4620</v>
      </c>
      <c r="O156" s="158"/>
      <c r="P156" s="92"/>
      <c r="Q156" s="146"/>
      <c r="R156" s="92"/>
      <c r="S156" s="146"/>
      <c r="T156" s="92"/>
      <c r="U156" s="146"/>
      <c r="V156" s="92"/>
      <c r="W156" s="146"/>
      <c r="X156" s="92"/>
      <c r="Y156" s="146"/>
      <c r="Z156" s="92"/>
      <c r="AA156" s="146"/>
      <c r="AB156" s="64"/>
      <c r="AC156" s="146"/>
      <c r="AD156" s="64"/>
      <c r="AE156" s="146"/>
      <c r="AF156" s="215" t="str">
        <f t="shared" si="10"/>
        <v/>
      </c>
      <c r="AG156" s="96" t="b">
        <f t="shared" si="9"/>
        <v>0</v>
      </c>
      <c r="AH156" s="9"/>
      <c r="AI156" s="151" t="str">
        <f t="shared" si="8"/>
        <v>GUARULHOS</v>
      </c>
      <c r="AJ156" s="154" t="s">
        <v>6</v>
      </c>
      <c r="AK156" s="53">
        <v>0.24258314025799788</v>
      </c>
      <c r="AL156" s="53" t="str" cm="1">
        <f t="array" ref="AL156">IF(OR(O156&lt;&gt;"", SUMPRODUCT(($AM$2:$AM$210=AM156)*($AK$2:$AK$210&lt;=AK156)) &lt;= (COUNTIF($AM$2:$AM$210,AM156)*0.1)), "SORTEADO", "-")</f>
        <v>-</v>
      </c>
      <c r="AM156" s="53" t="str">
        <f t="shared" si="12"/>
        <v>13/04/2026</v>
      </c>
    </row>
    <row r="157" spans="1:39" ht="30" hidden="1" customHeight="1" x14ac:dyDescent="0.2">
      <c r="A157" s="230" t="s">
        <v>197</v>
      </c>
      <c r="B157" s="248">
        <v>2615259658</v>
      </c>
      <c r="C157" s="230" t="s">
        <v>138</v>
      </c>
      <c r="D157" s="230" t="s">
        <v>67</v>
      </c>
      <c r="E157" s="230" t="s">
        <v>198</v>
      </c>
      <c r="F157" s="230" t="s">
        <v>908</v>
      </c>
      <c r="G157" s="230">
        <v>4288</v>
      </c>
      <c r="H157" s="230" t="s">
        <v>213</v>
      </c>
      <c r="I157" s="230" t="s">
        <v>509</v>
      </c>
      <c r="J157" s="230" t="s">
        <v>4605</v>
      </c>
      <c r="K157" s="230" t="s">
        <v>213</v>
      </c>
      <c r="L157" s="230" t="s">
        <v>902</v>
      </c>
      <c r="M157" s="230" t="s">
        <v>921</v>
      </c>
      <c r="N157" s="230" t="s">
        <v>4620</v>
      </c>
      <c r="O157" s="158"/>
      <c r="P157" s="92"/>
      <c r="Q157" s="146"/>
      <c r="R157" s="92"/>
      <c r="S157" s="146"/>
      <c r="T157" s="92"/>
      <c r="U157" s="146"/>
      <c r="V157" s="92"/>
      <c r="W157" s="146"/>
      <c r="X157" s="92"/>
      <c r="Y157" s="146"/>
      <c r="Z157" s="92"/>
      <c r="AA157" s="146"/>
      <c r="AB157" s="64"/>
      <c r="AC157" s="146"/>
      <c r="AD157" s="64"/>
      <c r="AE157" s="146"/>
      <c r="AF157" s="215" t="str">
        <f t="shared" si="10"/>
        <v/>
      </c>
      <c r="AG157" s="96" t="b">
        <f t="shared" si="9"/>
        <v>0</v>
      </c>
      <c r="AH157" s="9"/>
      <c r="AI157" s="151" t="str">
        <f t="shared" si="8"/>
        <v>GUARULHOS</v>
      </c>
      <c r="AJ157" s="154" t="s">
        <v>6</v>
      </c>
      <c r="AK157" s="53">
        <v>0.22093085132692525</v>
      </c>
      <c r="AL157" s="53" t="str" cm="1">
        <f t="array" ref="AL157">IF(OR(O157&lt;&gt;"", SUMPRODUCT(($AM$2:$AM$210=AM157)*($AK$2:$AK$210&lt;=AK157)) &lt;= (COUNTIF($AM$2:$AM$210,AM157)*0.1)), "SORTEADO", "-")</f>
        <v>-</v>
      </c>
      <c r="AM157" s="53" t="str">
        <f t="shared" si="12"/>
        <v>13/04/2026</v>
      </c>
    </row>
    <row r="158" spans="1:39" ht="30" hidden="1" customHeight="1" x14ac:dyDescent="0.2">
      <c r="A158" s="230" t="s">
        <v>197</v>
      </c>
      <c r="B158" s="248">
        <v>2615106174</v>
      </c>
      <c r="C158" s="230" t="s">
        <v>138</v>
      </c>
      <c r="D158" s="230" t="s">
        <v>67</v>
      </c>
      <c r="E158" s="230" t="s">
        <v>198</v>
      </c>
      <c r="F158" s="230" t="s">
        <v>805</v>
      </c>
      <c r="G158" s="230">
        <v>38</v>
      </c>
      <c r="H158" s="230"/>
      <c r="I158" s="230" t="s">
        <v>791</v>
      </c>
      <c r="J158" s="230" t="s">
        <v>4605</v>
      </c>
      <c r="K158" s="230"/>
      <c r="L158" s="230" t="s">
        <v>902</v>
      </c>
      <c r="M158" s="230" t="s">
        <v>3664</v>
      </c>
      <c r="N158" s="230" t="s">
        <v>4620</v>
      </c>
      <c r="O158" s="158"/>
      <c r="P158" s="92"/>
      <c r="Q158" s="146"/>
      <c r="R158" s="92"/>
      <c r="S158" s="146"/>
      <c r="T158" s="92"/>
      <c r="U158" s="146"/>
      <c r="V158" s="92"/>
      <c r="W158" s="146"/>
      <c r="X158" s="92"/>
      <c r="Y158" s="146"/>
      <c r="Z158" s="92"/>
      <c r="AA158" s="146"/>
      <c r="AB158" s="64"/>
      <c r="AC158" s="146"/>
      <c r="AD158" s="64"/>
      <c r="AE158" s="146"/>
      <c r="AF158" s="215" t="str">
        <f t="shared" si="10"/>
        <v/>
      </c>
      <c r="AG158" s="96" t="b">
        <f t="shared" si="9"/>
        <v>0</v>
      </c>
      <c r="AH158" s="9"/>
      <c r="AI158" s="151" t="str">
        <f t="shared" si="8"/>
        <v>GUARULHOS</v>
      </c>
      <c r="AJ158" s="154" t="s">
        <v>6</v>
      </c>
      <c r="AK158" s="53">
        <v>0.38823710382065457</v>
      </c>
      <c r="AL158" s="53" t="str" cm="1">
        <f t="array" ref="AL158">IF(OR(O158&lt;&gt;"", SUMPRODUCT(($AM$2:$AM$210=AM158)*($AK$2:$AK$210&lt;=AK158)) &lt;= (COUNTIF($AM$2:$AM$210,AM158)*0.1)), "SORTEADO", "-")</f>
        <v>-</v>
      </c>
      <c r="AM158" s="53" t="str">
        <f t="shared" si="12"/>
        <v>13/04/2026</v>
      </c>
    </row>
    <row r="159" spans="1:39" ht="30" hidden="1" customHeight="1" x14ac:dyDescent="0.2">
      <c r="A159" s="230" t="s">
        <v>197</v>
      </c>
      <c r="B159" s="248">
        <v>2690293295</v>
      </c>
      <c r="C159" s="230" t="s">
        <v>138</v>
      </c>
      <c r="D159" s="230" t="s">
        <v>67</v>
      </c>
      <c r="E159" s="230" t="s">
        <v>198</v>
      </c>
      <c r="F159" s="230" t="s">
        <v>861</v>
      </c>
      <c r="G159" s="230">
        <v>398</v>
      </c>
      <c r="H159" s="230" t="s">
        <v>213</v>
      </c>
      <c r="I159" s="230" t="s">
        <v>411</v>
      </c>
      <c r="J159" s="230" t="s">
        <v>4605</v>
      </c>
      <c r="K159" s="230" t="s">
        <v>213</v>
      </c>
      <c r="L159" s="230" t="s">
        <v>902</v>
      </c>
      <c r="M159" s="230" t="s">
        <v>4660</v>
      </c>
      <c r="N159" s="230" t="s">
        <v>4620</v>
      </c>
      <c r="O159" s="158"/>
      <c r="P159" s="92"/>
      <c r="Q159" s="146"/>
      <c r="R159" s="92"/>
      <c r="S159" s="146"/>
      <c r="T159" s="92"/>
      <c r="U159" s="146"/>
      <c r="V159" s="92"/>
      <c r="W159" s="146"/>
      <c r="X159" s="92"/>
      <c r="Y159" s="146"/>
      <c r="Z159" s="92"/>
      <c r="AA159" s="146"/>
      <c r="AB159" s="64"/>
      <c r="AC159" s="146"/>
      <c r="AD159" s="64"/>
      <c r="AE159" s="146"/>
      <c r="AF159" s="215" t="str">
        <f t="shared" si="10"/>
        <v/>
      </c>
      <c r="AG159" s="96" t="b">
        <f t="shared" si="9"/>
        <v>0</v>
      </c>
      <c r="AH159" s="9"/>
      <c r="AI159" s="151" t="str">
        <f t="shared" si="8"/>
        <v>GUARULHOS</v>
      </c>
      <c r="AJ159" s="154" t="s">
        <v>6</v>
      </c>
      <c r="AK159" s="53">
        <v>0.78144973053939704</v>
      </c>
      <c r="AL159" s="53" t="str" cm="1">
        <f t="array" ref="AL159">IF(OR(O159&lt;&gt;"", SUMPRODUCT(($AM$2:$AM$210=AM159)*($AK$2:$AK$210&lt;=AK159)) &lt;= (COUNTIF($AM$2:$AM$210,AM159)*0.1)), "SORTEADO", "-")</f>
        <v>-</v>
      </c>
      <c r="AM159" s="53" t="str">
        <f t="shared" si="12"/>
        <v>13/04/2026</v>
      </c>
    </row>
    <row r="160" spans="1:39" ht="30" hidden="1" customHeight="1" x14ac:dyDescent="0.2">
      <c r="A160" s="230" t="s">
        <v>197</v>
      </c>
      <c r="B160" s="248">
        <v>2615094883</v>
      </c>
      <c r="C160" s="230" t="s">
        <v>138</v>
      </c>
      <c r="D160" s="230" t="s">
        <v>67</v>
      </c>
      <c r="E160" s="230" t="s">
        <v>198</v>
      </c>
      <c r="F160" s="230" t="s">
        <v>873</v>
      </c>
      <c r="G160" s="230">
        <v>68</v>
      </c>
      <c r="H160" s="230" t="s">
        <v>874</v>
      </c>
      <c r="I160" s="230" t="s">
        <v>531</v>
      </c>
      <c r="J160" s="230" t="s">
        <v>4605</v>
      </c>
      <c r="K160" s="230"/>
      <c r="L160" s="230" t="s">
        <v>902</v>
      </c>
      <c r="M160" s="230" t="s">
        <v>4661</v>
      </c>
      <c r="N160" s="230" t="s">
        <v>4620</v>
      </c>
      <c r="O160" s="158"/>
      <c r="P160" s="92"/>
      <c r="Q160" s="146"/>
      <c r="R160" s="92"/>
      <c r="S160" s="146"/>
      <c r="T160" s="92"/>
      <c r="U160" s="146"/>
      <c r="V160" s="92"/>
      <c r="W160" s="146"/>
      <c r="X160" s="92"/>
      <c r="Y160" s="146"/>
      <c r="Z160" s="92"/>
      <c r="AA160" s="146"/>
      <c r="AB160" s="64"/>
      <c r="AC160" s="146"/>
      <c r="AD160" s="64"/>
      <c r="AE160" s="146"/>
      <c r="AF160" s="215" t="str">
        <f t="shared" si="10"/>
        <v/>
      </c>
      <c r="AG160" s="96" t="b">
        <f t="shared" si="9"/>
        <v>0</v>
      </c>
      <c r="AH160" s="9"/>
      <c r="AI160" s="151" t="str">
        <f t="shared" si="8"/>
        <v>GUARULHOS</v>
      </c>
      <c r="AJ160" s="154" t="s">
        <v>6</v>
      </c>
      <c r="AK160" s="53">
        <v>0.76251046991336269</v>
      </c>
      <c r="AL160" s="53" t="str" cm="1">
        <f t="array" ref="AL160">IF(OR(O160&lt;&gt;"", SUMPRODUCT(($AM$2:$AM$210=AM160)*($AK$2:$AK$210&lt;=AK160)) &lt;= (COUNTIF($AM$2:$AM$210,AM160)*0.1)), "SORTEADO", "-")</f>
        <v>-</v>
      </c>
      <c r="AM160" s="53" t="str">
        <f t="shared" si="12"/>
        <v>13/04/2026</v>
      </c>
    </row>
    <row r="161" spans="1:39" ht="30" hidden="1" customHeight="1" x14ac:dyDescent="0.2">
      <c r="A161" s="230" t="s">
        <v>197</v>
      </c>
      <c r="B161" s="248">
        <v>2615278295</v>
      </c>
      <c r="C161" s="230" t="s">
        <v>138</v>
      </c>
      <c r="D161" s="230" t="s">
        <v>67</v>
      </c>
      <c r="E161" s="230" t="s">
        <v>198</v>
      </c>
      <c r="F161" s="230" t="s">
        <v>2753</v>
      </c>
      <c r="G161" s="230">
        <v>202</v>
      </c>
      <c r="H161" s="230" t="s">
        <v>213</v>
      </c>
      <c r="I161" s="230" t="s">
        <v>394</v>
      </c>
      <c r="J161" s="230" t="s">
        <v>4605</v>
      </c>
      <c r="K161" s="230" t="s">
        <v>213</v>
      </c>
      <c r="L161" s="230" t="s">
        <v>902</v>
      </c>
      <c r="M161" s="230" t="s">
        <v>4662</v>
      </c>
      <c r="N161" s="230" t="s">
        <v>4620</v>
      </c>
      <c r="O161" s="158"/>
      <c r="P161" s="92"/>
      <c r="Q161" s="146"/>
      <c r="R161" s="92"/>
      <c r="S161" s="146"/>
      <c r="T161" s="92"/>
      <c r="U161" s="146"/>
      <c r="V161" s="92"/>
      <c r="W161" s="146"/>
      <c r="X161" s="92"/>
      <c r="Y161" s="146"/>
      <c r="Z161" s="92"/>
      <c r="AA161" s="146"/>
      <c r="AB161" s="64"/>
      <c r="AC161" s="146"/>
      <c r="AD161" s="64"/>
      <c r="AE161" s="146"/>
      <c r="AF161" s="215" t="str">
        <f t="shared" si="10"/>
        <v/>
      </c>
      <c r="AG161" s="96" t="b">
        <f t="shared" si="9"/>
        <v>0</v>
      </c>
      <c r="AH161" s="9"/>
      <c r="AI161" s="151" t="str">
        <f t="shared" si="8"/>
        <v>GUARULHOS</v>
      </c>
      <c r="AJ161" s="154" t="s">
        <v>6</v>
      </c>
      <c r="AK161" s="53">
        <v>0.26887736896268177</v>
      </c>
      <c r="AL161" s="53" t="str" cm="1">
        <f t="array" ref="AL161">IF(OR(O161&lt;&gt;"", SUMPRODUCT(($AM$2:$AM$210=AM161)*($AK$2:$AK$210&lt;=AK161)) &lt;= (COUNTIF($AM$2:$AM$210,AM161)*0.1)), "SORTEADO", "-")</f>
        <v>-</v>
      </c>
      <c r="AM161" s="53" t="str">
        <f t="shared" si="12"/>
        <v>13/04/2026</v>
      </c>
    </row>
    <row r="162" spans="1:39" ht="30" hidden="1" customHeight="1" x14ac:dyDescent="0.2">
      <c r="A162" s="230" t="s">
        <v>197</v>
      </c>
      <c r="B162" s="248">
        <v>2615297634</v>
      </c>
      <c r="C162" s="230" t="s">
        <v>141</v>
      </c>
      <c r="D162" s="230" t="s">
        <v>67</v>
      </c>
      <c r="E162" s="230" t="s">
        <v>198</v>
      </c>
      <c r="F162" s="230" t="s">
        <v>299</v>
      </c>
      <c r="G162" s="230">
        <v>545</v>
      </c>
      <c r="H162" s="230" t="s">
        <v>2758</v>
      </c>
      <c r="I162" s="230" t="s">
        <v>301</v>
      </c>
      <c r="J162" s="230" t="s">
        <v>4603</v>
      </c>
      <c r="K162" s="230"/>
      <c r="L162" s="230" t="s">
        <v>902</v>
      </c>
      <c r="M162" s="230" t="s">
        <v>4663</v>
      </c>
      <c r="N162" s="230" t="s">
        <v>4620</v>
      </c>
      <c r="O162" s="158"/>
      <c r="P162" s="92"/>
      <c r="Q162" s="146"/>
      <c r="R162" s="92"/>
      <c r="S162" s="146"/>
      <c r="T162" s="92"/>
      <c r="U162" s="146"/>
      <c r="V162" s="92"/>
      <c r="W162" s="146"/>
      <c r="X162" s="92"/>
      <c r="Y162" s="146"/>
      <c r="Z162" s="92"/>
      <c r="AA162" s="146"/>
      <c r="AB162" s="64"/>
      <c r="AC162" s="146"/>
      <c r="AD162" s="64"/>
      <c r="AE162" s="146"/>
      <c r="AF162" s="215" t="str">
        <f t="shared" si="10"/>
        <v/>
      </c>
      <c r="AG162" s="96" t="b">
        <f t="shared" si="9"/>
        <v>0</v>
      </c>
      <c r="AH162" s="9"/>
      <c r="AI162" s="151" t="str">
        <f t="shared" si="8"/>
        <v>GUARULHOS</v>
      </c>
      <c r="AJ162" s="154" t="s">
        <v>6</v>
      </c>
      <c r="AK162" s="53">
        <v>0.91690630996692113</v>
      </c>
      <c r="AL162" s="53" t="str" cm="1">
        <f t="array" ref="AL162">IF(OR(O162&lt;&gt;"", SUMPRODUCT(($AM$2:$AM$210=AM162)*($AK$2:$AK$210&lt;=AK162)) &lt;= (COUNTIF($AM$2:$AM$210,AM162)*0.1)), "SORTEADO", "-")</f>
        <v>-</v>
      </c>
      <c r="AM162" s="53" t="str">
        <f t="shared" si="12"/>
        <v>13/04/2026</v>
      </c>
    </row>
    <row r="163" spans="1:39" ht="30" hidden="1" customHeight="1" x14ac:dyDescent="0.2">
      <c r="A163" s="230" t="s">
        <v>197</v>
      </c>
      <c r="B163" s="248">
        <v>2614505545</v>
      </c>
      <c r="C163" s="230" t="s">
        <v>138</v>
      </c>
      <c r="D163" s="230" t="s">
        <v>67</v>
      </c>
      <c r="E163" s="230" t="s">
        <v>198</v>
      </c>
      <c r="F163" s="230" t="s">
        <v>2746</v>
      </c>
      <c r="G163" s="230">
        <v>347</v>
      </c>
      <c r="H163" s="230" t="s">
        <v>246</v>
      </c>
      <c r="I163" s="230" t="s">
        <v>2747</v>
      </c>
      <c r="J163" s="230" t="s">
        <v>4605</v>
      </c>
      <c r="K163" s="230" t="s">
        <v>213</v>
      </c>
      <c r="L163" s="230" t="s">
        <v>902</v>
      </c>
      <c r="M163" s="230" t="s">
        <v>4664</v>
      </c>
      <c r="N163" s="230" t="s">
        <v>4620</v>
      </c>
      <c r="O163" s="158"/>
      <c r="P163" s="92"/>
      <c r="Q163" s="146"/>
      <c r="R163" s="92"/>
      <c r="S163" s="146"/>
      <c r="T163" s="92"/>
      <c r="U163" s="146"/>
      <c r="V163" s="92"/>
      <c r="W163" s="146"/>
      <c r="X163" s="92"/>
      <c r="Y163" s="146"/>
      <c r="Z163" s="92"/>
      <c r="AA163" s="146"/>
      <c r="AB163" s="64"/>
      <c r="AC163" s="146"/>
      <c r="AD163" s="64"/>
      <c r="AE163" s="146"/>
      <c r="AF163" s="215" t="str">
        <f t="shared" si="10"/>
        <v/>
      </c>
      <c r="AG163" s="96" t="b">
        <f t="shared" si="9"/>
        <v>0</v>
      </c>
      <c r="AH163" s="9"/>
      <c r="AI163" s="151" t="str">
        <f t="shared" si="8"/>
        <v>GUARULHOS</v>
      </c>
      <c r="AJ163" s="154" t="s">
        <v>6</v>
      </c>
      <c r="AK163" s="53">
        <v>0.43335756032649686</v>
      </c>
      <c r="AL163" s="53" t="str" cm="1">
        <f t="array" ref="AL163">IF(OR(O163&lt;&gt;"", SUMPRODUCT(($AM$2:$AM$210=AM163)*($AK$2:$AK$210&lt;=AK163)) &lt;= (COUNTIF($AM$2:$AM$210,AM163)*0.1)), "SORTEADO", "-")</f>
        <v>-</v>
      </c>
      <c r="AM163" s="53" t="str">
        <f t="shared" si="12"/>
        <v>13/04/2026</v>
      </c>
    </row>
    <row r="164" spans="1:39" ht="30" hidden="1" customHeight="1" x14ac:dyDescent="0.2">
      <c r="A164" s="230" t="s">
        <v>197</v>
      </c>
      <c r="B164" s="248">
        <v>2615279053</v>
      </c>
      <c r="C164" s="230" t="s">
        <v>141</v>
      </c>
      <c r="D164" s="230" t="s">
        <v>67</v>
      </c>
      <c r="E164" s="230" t="s">
        <v>198</v>
      </c>
      <c r="F164" s="230" t="s">
        <v>835</v>
      </c>
      <c r="G164" s="230">
        <v>40</v>
      </c>
      <c r="H164" s="230" t="s">
        <v>836</v>
      </c>
      <c r="I164" s="230" t="s">
        <v>683</v>
      </c>
      <c r="J164" s="230" t="s">
        <v>4603</v>
      </c>
      <c r="K164" s="230"/>
      <c r="L164" s="230" t="s">
        <v>902</v>
      </c>
      <c r="M164" s="230" t="s">
        <v>3654</v>
      </c>
      <c r="N164" s="230" t="s">
        <v>4620</v>
      </c>
      <c r="O164" s="158"/>
      <c r="P164" s="92"/>
      <c r="Q164" s="146"/>
      <c r="R164" s="92"/>
      <c r="S164" s="146"/>
      <c r="T164" s="92"/>
      <c r="U164" s="146"/>
      <c r="V164" s="92"/>
      <c r="W164" s="146"/>
      <c r="X164" s="92"/>
      <c r="Y164" s="146"/>
      <c r="Z164" s="92"/>
      <c r="AA164" s="146"/>
      <c r="AB164" s="64"/>
      <c r="AC164" s="146"/>
      <c r="AD164" s="64"/>
      <c r="AE164" s="146"/>
      <c r="AF164" s="215" t="str">
        <f t="shared" si="10"/>
        <v/>
      </c>
      <c r="AG164" s="96" t="b">
        <f t="shared" si="9"/>
        <v>0</v>
      </c>
      <c r="AH164" s="9"/>
      <c r="AI164" s="151" t="str">
        <f t="shared" si="8"/>
        <v>GUARULHOS</v>
      </c>
      <c r="AJ164" s="154" t="s">
        <v>6</v>
      </c>
      <c r="AK164" s="53">
        <v>0.38433933936474718</v>
      </c>
      <c r="AL164" s="53" t="str" cm="1">
        <f t="array" ref="AL164">IF(OR(O164&lt;&gt;"", SUMPRODUCT(($AM$2:$AM$210=AM164)*($AK$2:$AK$210&lt;=AK164)) &lt;= (COUNTIF($AM$2:$AM$210,AM164)*0.1)), "SORTEADO", "-")</f>
        <v>-</v>
      </c>
      <c r="AM164" s="53" t="str">
        <f t="shared" si="12"/>
        <v>13/04/2026</v>
      </c>
    </row>
    <row r="165" spans="1:39" ht="30" hidden="1" customHeight="1" x14ac:dyDescent="0.2">
      <c r="A165" s="230" t="s">
        <v>197</v>
      </c>
      <c r="B165" s="248">
        <v>2615140881</v>
      </c>
      <c r="C165" s="230" t="s">
        <v>138</v>
      </c>
      <c r="D165" s="230" t="s">
        <v>67</v>
      </c>
      <c r="E165" s="230" t="s">
        <v>198</v>
      </c>
      <c r="F165" s="230" t="s">
        <v>2754</v>
      </c>
      <c r="G165" s="230">
        <v>66</v>
      </c>
      <c r="H165" s="230" t="s">
        <v>213</v>
      </c>
      <c r="I165" s="230" t="s">
        <v>335</v>
      </c>
      <c r="J165" s="230" t="s">
        <v>4605</v>
      </c>
      <c r="K165" s="230" t="s">
        <v>213</v>
      </c>
      <c r="L165" s="230" t="s">
        <v>902</v>
      </c>
      <c r="M165" s="230" t="s">
        <v>4662</v>
      </c>
      <c r="N165" s="230" t="s">
        <v>4613</v>
      </c>
      <c r="O165" s="158"/>
      <c r="P165" s="92"/>
      <c r="Q165" s="146"/>
      <c r="R165" s="92"/>
      <c r="S165" s="146"/>
      <c r="T165" s="92"/>
      <c r="U165" s="146"/>
      <c r="V165" s="92"/>
      <c r="W165" s="146"/>
      <c r="X165" s="92"/>
      <c r="Y165" s="146"/>
      <c r="Z165" s="92"/>
      <c r="AA165" s="146"/>
      <c r="AB165" s="64"/>
      <c r="AC165" s="146"/>
      <c r="AD165" s="64"/>
      <c r="AE165" s="146"/>
      <c r="AF165" s="215" t="str">
        <f t="shared" si="10"/>
        <v/>
      </c>
      <c r="AG165" s="96" t="b">
        <f t="shared" si="9"/>
        <v>0</v>
      </c>
      <c r="AH165" s="9"/>
      <c r="AI165" s="151" t="str">
        <f t="shared" si="8"/>
        <v>GUARULHOS</v>
      </c>
      <c r="AJ165" s="154" t="s">
        <v>6</v>
      </c>
      <c r="AK165" s="53">
        <v>0.21327634774066406</v>
      </c>
      <c r="AL165" s="53" t="str" cm="1">
        <f t="array" ref="AL165">IF(OR(O165&lt;&gt;"", SUMPRODUCT(($AM$2:$AM$210=AM165)*($AK$2:$AK$210&lt;=AK165)) &lt;= (COUNTIF($AM$2:$AM$210,AM165)*0.1)), "SORTEADO", "-")</f>
        <v>-</v>
      </c>
      <c r="AM165" s="53" t="str">
        <f t="shared" si="12"/>
        <v>13/04/2026</v>
      </c>
    </row>
    <row r="166" spans="1:39" ht="30" hidden="1" customHeight="1" x14ac:dyDescent="0.2">
      <c r="A166" s="230" t="s">
        <v>197</v>
      </c>
      <c r="B166" s="230">
        <v>2614847500</v>
      </c>
      <c r="C166" s="230" t="s">
        <v>139</v>
      </c>
      <c r="D166" s="230" t="s">
        <v>67</v>
      </c>
      <c r="E166" s="230" t="s">
        <v>198</v>
      </c>
      <c r="F166" s="230" t="s">
        <v>781</v>
      </c>
      <c r="G166" s="230">
        <v>170</v>
      </c>
      <c r="H166" s="230"/>
      <c r="I166" s="230" t="s">
        <v>262</v>
      </c>
      <c r="J166" s="230" t="s">
        <v>4603</v>
      </c>
      <c r="K166" s="230" t="s">
        <v>4640</v>
      </c>
      <c r="L166" s="230" t="s">
        <v>902</v>
      </c>
      <c r="M166" s="230" t="s">
        <v>4665</v>
      </c>
      <c r="N166" s="230" t="s">
        <v>4613</v>
      </c>
      <c r="O166" s="144" t="s">
        <v>61</v>
      </c>
      <c r="P166" s="9"/>
      <c r="Q166" s="146" t="s">
        <v>61</v>
      </c>
      <c r="R166" s="92"/>
      <c r="S166" s="146" t="s">
        <v>61</v>
      </c>
      <c r="T166" s="92"/>
      <c r="U166" s="146" t="s">
        <v>61</v>
      </c>
      <c r="V166" s="92"/>
      <c r="W166" s="146" t="s">
        <v>61</v>
      </c>
      <c r="X166" s="92"/>
      <c r="Y166" s="146" t="s">
        <v>61</v>
      </c>
      <c r="Z166" s="92"/>
      <c r="AA166" s="146" t="s">
        <v>61</v>
      </c>
      <c r="AB166" s="64"/>
      <c r="AC166" s="146" t="s">
        <v>61</v>
      </c>
      <c r="AD166" s="64"/>
      <c r="AE166" s="146" t="s">
        <v>61</v>
      </c>
      <c r="AF166" s="215" t="str">
        <f t="shared" si="10"/>
        <v>NA</v>
      </c>
      <c r="AG166" s="96" t="str">
        <f t="shared" si="9"/>
        <v>NÃO AVALIADO POR FALHA DE SINCRONISMO</v>
      </c>
      <c r="AH166" s="169" t="s">
        <v>59</v>
      </c>
      <c r="AI166" s="151" t="str">
        <f t="shared" si="8"/>
        <v>GUARULHOS</v>
      </c>
      <c r="AJ166" s="154" t="s">
        <v>6</v>
      </c>
      <c r="AK166" s="53">
        <v>-3.3000000000000002E-2</v>
      </c>
      <c r="AL166" s="53" t="str" cm="1">
        <f t="array" ref="AL166">IF(OR(O166&lt;&gt;"", SUMPRODUCT(($AM$2:$AM$210=AM166)*($AK$2:$AK$210&lt;=AK166)) &lt;= (COUNTIF($AM$2:$AM$210,AM166)*0.1)), "SORTEADO", "-")</f>
        <v>SORTEADO</v>
      </c>
      <c r="AM166" s="53" t="str">
        <f t="shared" si="12"/>
        <v>13/04/2026</v>
      </c>
    </row>
    <row r="167" spans="1:39" ht="30" hidden="1" customHeight="1" x14ac:dyDescent="0.2">
      <c r="A167" s="230" t="s">
        <v>197</v>
      </c>
      <c r="B167" s="230">
        <v>2615494352</v>
      </c>
      <c r="C167" s="230" t="s">
        <v>141</v>
      </c>
      <c r="D167" s="230" t="s">
        <v>67</v>
      </c>
      <c r="E167" s="230" t="s">
        <v>198</v>
      </c>
      <c r="F167" s="230" t="s">
        <v>662</v>
      </c>
      <c r="G167" s="230">
        <v>539</v>
      </c>
      <c r="H167" s="230" t="s">
        <v>663</v>
      </c>
      <c r="I167" s="230" t="s">
        <v>664</v>
      </c>
      <c r="J167" s="230" t="s">
        <v>4603</v>
      </c>
      <c r="K167" s="230" t="s">
        <v>213</v>
      </c>
      <c r="L167" s="230" t="s">
        <v>902</v>
      </c>
      <c r="M167" s="230" t="s">
        <v>945</v>
      </c>
      <c r="N167" s="230" t="s">
        <v>4613</v>
      </c>
      <c r="O167" s="158" t="s">
        <v>204</v>
      </c>
      <c r="P167" s="92"/>
      <c r="Q167" s="146" t="s">
        <v>204</v>
      </c>
      <c r="R167" s="92"/>
      <c r="S167" s="146" t="s">
        <v>204</v>
      </c>
      <c r="T167" s="92"/>
      <c r="U167" s="146" t="s">
        <v>204</v>
      </c>
      <c r="V167" s="92"/>
      <c r="W167" s="146" t="s">
        <v>210</v>
      </c>
      <c r="X167" s="64" t="s">
        <v>4666</v>
      </c>
      <c r="Y167" s="146" t="s">
        <v>204</v>
      </c>
      <c r="Z167" s="92"/>
      <c r="AA167" s="146" t="s">
        <v>204</v>
      </c>
      <c r="AB167" s="64"/>
      <c r="AC167" s="146" t="s">
        <v>204</v>
      </c>
      <c r="AD167" s="64"/>
      <c r="AE167" s="146" t="s">
        <v>204</v>
      </c>
      <c r="AF167" s="215" t="str">
        <f t="shared" si="10"/>
        <v>NC</v>
      </c>
      <c r="AG167" s="96" t="str">
        <f t="shared" si="9"/>
        <v>UTILIZOU O PDA CORRETAMENTE. NÃO HÁ FOTOS DE TODAS AS ETAPAS</v>
      </c>
      <c r="AH167" s="9" t="s">
        <v>39</v>
      </c>
      <c r="AI167" s="151" t="str">
        <f t="shared" si="8"/>
        <v>GUARULHOS</v>
      </c>
      <c r="AJ167" s="154" t="s">
        <v>6</v>
      </c>
      <c r="AK167" s="53">
        <v>-3.32E-2</v>
      </c>
      <c r="AL167" s="53" t="str" cm="1">
        <f t="array" ref="AL167">IF(OR(O167&lt;&gt;"", SUMPRODUCT(($AM$2:$AM$210=AM167)*($AK$2:$AK$210&lt;=AK167)) &lt;= (COUNTIF($AM$2:$AM$210,AM167)*0.1)), "SORTEADO", "-")</f>
        <v>SORTEADO</v>
      </c>
      <c r="AM167" s="53" t="str">
        <f t="shared" si="12"/>
        <v>13/04/2026</v>
      </c>
    </row>
    <row r="168" spans="1:39" ht="30" hidden="1" customHeight="1" x14ac:dyDescent="0.2">
      <c r="A168" s="230" t="s">
        <v>197</v>
      </c>
      <c r="B168" s="248">
        <v>2615323431</v>
      </c>
      <c r="C168" s="230" t="s">
        <v>138</v>
      </c>
      <c r="D168" s="230" t="s">
        <v>67</v>
      </c>
      <c r="E168" s="230" t="s">
        <v>198</v>
      </c>
      <c r="F168" s="230" t="s">
        <v>2755</v>
      </c>
      <c r="G168" s="230">
        <v>126</v>
      </c>
      <c r="H168" s="230" t="s">
        <v>2756</v>
      </c>
      <c r="I168" s="230" t="s">
        <v>207</v>
      </c>
      <c r="J168" s="230" t="s">
        <v>4605</v>
      </c>
      <c r="K168" s="230"/>
      <c r="L168" s="230" t="s">
        <v>902</v>
      </c>
      <c r="M168" s="230" t="s">
        <v>4667</v>
      </c>
      <c r="N168" s="230" t="s">
        <v>4613</v>
      </c>
      <c r="O168" s="158"/>
      <c r="P168" s="92"/>
      <c r="Q168" s="146"/>
      <c r="R168" s="92"/>
      <c r="S168" s="146"/>
      <c r="T168" s="92"/>
      <c r="U168" s="146"/>
      <c r="V168" s="92"/>
      <c r="W168" s="146"/>
      <c r="X168" s="92"/>
      <c r="Y168" s="146"/>
      <c r="Z168" s="92"/>
      <c r="AA168" s="146"/>
      <c r="AB168" s="64"/>
      <c r="AC168" s="146"/>
      <c r="AD168" s="64"/>
      <c r="AE168" s="146"/>
      <c r="AF168" s="215" t="str">
        <f t="shared" si="10"/>
        <v/>
      </c>
      <c r="AG168" s="96" t="b">
        <f t="shared" si="9"/>
        <v>0</v>
      </c>
      <c r="AH168" s="9" t="s">
        <v>39</v>
      </c>
      <c r="AI168" s="151" t="str">
        <f t="shared" si="8"/>
        <v>GUARULHOS</v>
      </c>
      <c r="AJ168" s="154" t="s">
        <v>6</v>
      </c>
      <c r="AK168" s="53">
        <v>0.8616121339712014</v>
      </c>
      <c r="AL168" s="53" t="str" cm="1">
        <f t="array" ref="AL168">IF(OR(O168&lt;&gt;"", SUMPRODUCT(($AM$2:$AM$210=AM168)*($AK$2:$AK$210&lt;=AK168)) &lt;= (COUNTIF($AM$2:$AM$210,AM168)*0.1)), "SORTEADO", "-")</f>
        <v>-</v>
      </c>
      <c r="AM168" s="53" t="str">
        <f t="shared" si="12"/>
        <v>13/04/2026</v>
      </c>
    </row>
    <row r="169" spans="1:39" ht="30" hidden="1" customHeight="1" x14ac:dyDescent="0.2">
      <c r="A169" s="230" t="s">
        <v>197</v>
      </c>
      <c r="B169" s="248">
        <v>2615278593</v>
      </c>
      <c r="C169" s="230" t="s">
        <v>139</v>
      </c>
      <c r="D169" s="230" t="s">
        <v>67</v>
      </c>
      <c r="E169" s="230" t="s">
        <v>198</v>
      </c>
      <c r="F169" s="230" t="s">
        <v>2767</v>
      </c>
      <c r="G169" s="230">
        <v>121</v>
      </c>
      <c r="H169" s="230" t="s">
        <v>2768</v>
      </c>
      <c r="I169" s="230" t="s">
        <v>485</v>
      </c>
      <c r="J169" s="230" t="s">
        <v>4603</v>
      </c>
      <c r="K169" s="230" t="s">
        <v>213</v>
      </c>
      <c r="L169" s="230" t="s">
        <v>902</v>
      </c>
      <c r="M169" s="230" t="s">
        <v>4668</v>
      </c>
      <c r="N169" s="230" t="s">
        <v>4613</v>
      </c>
      <c r="O169" s="158"/>
      <c r="P169" s="92"/>
      <c r="Q169" s="146"/>
      <c r="R169" s="92"/>
      <c r="S169" s="146"/>
      <c r="T169" s="92"/>
      <c r="U169" s="146"/>
      <c r="V169" s="92"/>
      <c r="W169" s="146"/>
      <c r="X169" s="92"/>
      <c r="Y169" s="146"/>
      <c r="Z169" s="92"/>
      <c r="AA169" s="146"/>
      <c r="AB169" s="64"/>
      <c r="AC169" s="146"/>
      <c r="AD169" s="64"/>
      <c r="AE169" s="146"/>
      <c r="AF169" s="215" t="str">
        <f t="shared" si="10"/>
        <v/>
      </c>
      <c r="AG169" s="96" t="b">
        <f t="shared" si="9"/>
        <v>0</v>
      </c>
      <c r="AH169" s="9" t="s">
        <v>39</v>
      </c>
      <c r="AI169" s="151" t="str">
        <f t="shared" si="8"/>
        <v>GUARULHOS</v>
      </c>
      <c r="AJ169" s="154" t="s">
        <v>6</v>
      </c>
      <c r="AK169" s="53">
        <v>0.70809735892802794</v>
      </c>
      <c r="AL169" s="53" t="str" cm="1">
        <f t="array" ref="AL169">IF(OR(O169&lt;&gt;"", SUMPRODUCT(($AM$2:$AM$210=AM169)*($AK$2:$AK$210&lt;=AK169)) &lt;= (COUNTIF($AM$2:$AM$210,AM169)*0.1)), "SORTEADO", "-")</f>
        <v>-</v>
      </c>
      <c r="AM169" s="53" t="str">
        <f t="shared" si="12"/>
        <v>13/04/2026</v>
      </c>
    </row>
    <row r="170" spans="1:39" ht="30" hidden="1" customHeight="1" x14ac:dyDescent="0.2">
      <c r="A170" s="230" t="s">
        <v>197</v>
      </c>
      <c r="B170" s="248">
        <v>2690138219</v>
      </c>
      <c r="C170" s="230" t="s">
        <v>138</v>
      </c>
      <c r="D170" s="230" t="s">
        <v>67</v>
      </c>
      <c r="E170" s="230" t="s">
        <v>198</v>
      </c>
      <c r="F170" s="230" t="s">
        <v>803</v>
      </c>
      <c r="G170" s="230">
        <v>52</v>
      </c>
      <c r="H170" s="230" t="s">
        <v>804</v>
      </c>
      <c r="I170" s="230" t="s">
        <v>247</v>
      </c>
      <c r="J170" s="230" t="s">
        <v>4605</v>
      </c>
      <c r="K170" s="230"/>
      <c r="L170" s="230" t="s">
        <v>902</v>
      </c>
      <c r="M170" s="230" t="s">
        <v>4669</v>
      </c>
      <c r="N170" s="230" t="s">
        <v>4613</v>
      </c>
      <c r="O170" s="158"/>
      <c r="P170" s="92"/>
      <c r="Q170" s="146"/>
      <c r="R170" s="92"/>
      <c r="S170" s="146"/>
      <c r="T170" s="92"/>
      <c r="U170" s="146"/>
      <c r="V170" s="92"/>
      <c r="W170" s="146"/>
      <c r="X170" s="92"/>
      <c r="Y170" s="146"/>
      <c r="Z170" s="92"/>
      <c r="AA170" s="146"/>
      <c r="AB170" s="64"/>
      <c r="AC170" s="146"/>
      <c r="AD170" s="64"/>
      <c r="AE170" s="146"/>
      <c r="AF170" s="215" t="str">
        <f t="shared" si="10"/>
        <v/>
      </c>
      <c r="AG170" s="96" t="b">
        <f t="shared" si="9"/>
        <v>0</v>
      </c>
      <c r="AH170" s="9" t="s">
        <v>39</v>
      </c>
      <c r="AI170" s="151" t="str">
        <f t="shared" si="8"/>
        <v>GUARULHOS</v>
      </c>
      <c r="AJ170" s="154" t="s">
        <v>6</v>
      </c>
      <c r="AK170" s="53">
        <v>0.8506956173501582</v>
      </c>
      <c r="AL170" s="53" t="str" cm="1">
        <f t="array" ref="AL170">IF(OR(O170&lt;&gt;"", SUMPRODUCT(($AM$2:$AM$210=AM170)*($AK$2:$AK$210&lt;=AK170)) &lt;= (COUNTIF($AM$2:$AM$210,AM170)*0.1)), "SORTEADO", "-")</f>
        <v>-</v>
      </c>
      <c r="AM170" s="53" t="str">
        <f t="shared" si="12"/>
        <v>13/04/2026</v>
      </c>
    </row>
    <row r="171" spans="1:39" ht="30" hidden="1" customHeight="1" x14ac:dyDescent="0.2">
      <c r="A171" s="230" t="s">
        <v>197</v>
      </c>
      <c r="B171" s="248">
        <v>2690170895</v>
      </c>
      <c r="C171" s="230" t="s">
        <v>138</v>
      </c>
      <c r="D171" s="230" t="s">
        <v>67</v>
      </c>
      <c r="E171" s="230" t="s">
        <v>198</v>
      </c>
      <c r="F171" s="230" t="s">
        <v>812</v>
      </c>
      <c r="G171" s="230">
        <v>884</v>
      </c>
      <c r="H171" s="230" t="s">
        <v>813</v>
      </c>
      <c r="I171" s="230" t="s">
        <v>207</v>
      </c>
      <c r="J171" s="230" t="s">
        <v>4605</v>
      </c>
      <c r="K171" s="230" t="s">
        <v>213</v>
      </c>
      <c r="L171" s="230" t="s">
        <v>902</v>
      </c>
      <c r="M171" s="230" t="s">
        <v>3654</v>
      </c>
      <c r="N171" s="230" t="s">
        <v>4613</v>
      </c>
      <c r="O171" s="158"/>
      <c r="P171" s="92"/>
      <c r="Q171" s="146"/>
      <c r="R171" s="92"/>
      <c r="S171" s="146"/>
      <c r="T171" s="92"/>
      <c r="U171" s="146"/>
      <c r="V171" s="92"/>
      <c r="W171" s="146"/>
      <c r="X171" s="92"/>
      <c r="Y171" s="146"/>
      <c r="Z171" s="92"/>
      <c r="AA171" s="146"/>
      <c r="AB171" s="64"/>
      <c r="AC171" s="146"/>
      <c r="AD171" s="64"/>
      <c r="AE171" s="146"/>
      <c r="AF171" s="215" t="str">
        <f t="shared" si="10"/>
        <v/>
      </c>
      <c r="AG171" s="96" t="b">
        <f t="shared" si="9"/>
        <v>0</v>
      </c>
      <c r="AH171" s="9" t="s">
        <v>39</v>
      </c>
      <c r="AI171" s="151" t="str">
        <f t="shared" si="8"/>
        <v>GUARULHOS</v>
      </c>
      <c r="AJ171" s="154" t="s">
        <v>6</v>
      </c>
      <c r="AK171" s="53">
        <v>0.3005605658156959</v>
      </c>
      <c r="AL171" s="53" t="str" cm="1">
        <f t="array" ref="AL171">IF(OR(O171&lt;&gt;"", SUMPRODUCT(($AM$2:$AM$210=AM171)*($AK$2:$AK$210&lt;=AK171)) &lt;= (COUNTIF($AM$2:$AM$210,AM171)*0.1)), "SORTEADO", "-")</f>
        <v>-</v>
      </c>
      <c r="AM171" s="53" t="str">
        <f t="shared" si="12"/>
        <v>13/04/2026</v>
      </c>
    </row>
    <row r="172" spans="1:39" ht="30" hidden="1" customHeight="1" x14ac:dyDescent="0.2">
      <c r="A172" s="230" t="s">
        <v>197</v>
      </c>
      <c r="B172" s="248">
        <v>2690311279</v>
      </c>
      <c r="C172" s="230" t="s">
        <v>139</v>
      </c>
      <c r="D172" s="230" t="s">
        <v>67</v>
      </c>
      <c r="E172" s="230" t="s">
        <v>198</v>
      </c>
      <c r="F172" s="230" t="s">
        <v>877</v>
      </c>
      <c r="G172" s="230">
        <v>81</v>
      </c>
      <c r="H172" s="230" t="s">
        <v>878</v>
      </c>
      <c r="I172" s="230" t="s">
        <v>588</v>
      </c>
      <c r="J172" s="230" t="s">
        <v>4603</v>
      </c>
      <c r="K172" s="230"/>
      <c r="L172" s="230" t="s">
        <v>902</v>
      </c>
      <c r="M172" s="230" t="s">
        <v>4670</v>
      </c>
      <c r="N172" s="230" t="s">
        <v>4613</v>
      </c>
      <c r="O172" s="158"/>
      <c r="P172" s="92"/>
      <c r="Q172" s="146"/>
      <c r="R172" s="92"/>
      <c r="S172" s="146"/>
      <c r="T172" s="92"/>
      <c r="U172" s="146"/>
      <c r="V172" s="92"/>
      <c r="W172" s="146"/>
      <c r="X172" s="92"/>
      <c r="Y172" s="146"/>
      <c r="Z172" s="92"/>
      <c r="AA172" s="146"/>
      <c r="AB172" s="64"/>
      <c r="AC172" s="146"/>
      <c r="AD172" s="64"/>
      <c r="AE172" s="146"/>
      <c r="AF172" s="215" t="str">
        <f t="shared" si="10"/>
        <v/>
      </c>
      <c r="AG172" s="96" t="b">
        <f t="shared" si="9"/>
        <v>0</v>
      </c>
      <c r="AH172" s="9" t="s">
        <v>39</v>
      </c>
      <c r="AI172" s="151" t="str">
        <f t="shared" si="8"/>
        <v>GUARULHOS</v>
      </c>
      <c r="AJ172" s="154" t="s">
        <v>6</v>
      </c>
      <c r="AK172" s="53">
        <v>0.98837050369999946</v>
      </c>
      <c r="AL172" s="53" t="str" cm="1">
        <f t="array" ref="AL172">IF(OR(O172&lt;&gt;"", SUMPRODUCT(($AM$2:$AM$210=AM172)*($AK$2:$AK$210&lt;=AK172)) &lt;= (COUNTIF($AM$2:$AM$210,AM172)*0.1)), "SORTEADO", "-")</f>
        <v>-</v>
      </c>
      <c r="AM172" s="53" t="str">
        <f t="shared" si="12"/>
        <v>13/04/2026</v>
      </c>
    </row>
    <row r="173" spans="1:39" ht="30" hidden="1" customHeight="1" x14ac:dyDescent="0.2">
      <c r="A173" s="230" t="s">
        <v>197</v>
      </c>
      <c r="B173" s="248">
        <v>2615420388</v>
      </c>
      <c r="C173" s="230" t="s">
        <v>138</v>
      </c>
      <c r="D173" s="230" t="s">
        <v>67</v>
      </c>
      <c r="E173" s="230" t="s">
        <v>198</v>
      </c>
      <c r="F173" s="230" t="s">
        <v>2769</v>
      </c>
      <c r="G173" s="230">
        <v>672</v>
      </c>
      <c r="H173" s="230" t="s">
        <v>213</v>
      </c>
      <c r="I173" s="230" t="s">
        <v>840</v>
      </c>
      <c r="J173" s="230" t="s">
        <v>4605</v>
      </c>
      <c r="K173" s="230" t="s">
        <v>213</v>
      </c>
      <c r="L173" s="230" t="s">
        <v>902</v>
      </c>
      <c r="M173" s="230" t="s">
        <v>4671</v>
      </c>
      <c r="N173" s="230" t="s">
        <v>4613</v>
      </c>
      <c r="O173" s="158"/>
      <c r="P173" s="92"/>
      <c r="Q173" s="146"/>
      <c r="R173" s="92"/>
      <c r="S173" s="146"/>
      <c r="T173" s="92"/>
      <c r="U173" s="146"/>
      <c r="V173" s="92"/>
      <c r="W173" s="146"/>
      <c r="X173" s="92"/>
      <c r="Y173" s="146"/>
      <c r="Z173" s="92"/>
      <c r="AA173" s="146"/>
      <c r="AB173" s="64"/>
      <c r="AC173" s="146"/>
      <c r="AD173" s="64"/>
      <c r="AE173" s="146"/>
      <c r="AF173" s="215" t="str">
        <f t="shared" si="10"/>
        <v/>
      </c>
      <c r="AG173" s="96" t="b">
        <f t="shared" si="9"/>
        <v>0</v>
      </c>
      <c r="AH173" s="9" t="s">
        <v>39</v>
      </c>
      <c r="AI173" s="151" t="str">
        <f t="shared" si="8"/>
        <v>GUARULHOS</v>
      </c>
      <c r="AJ173" s="154" t="s">
        <v>6</v>
      </c>
      <c r="AK173" s="53">
        <v>0.61853381104034111</v>
      </c>
      <c r="AL173" s="53" t="str" cm="1">
        <f t="array" ref="AL173">IF(OR(O173&lt;&gt;"", SUMPRODUCT(($AM$2:$AM$210=AM173)*($AK$2:$AK$210&lt;=AK173)) &lt;= (COUNTIF($AM$2:$AM$210,AM173)*0.1)), "SORTEADO", "-")</f>
        <v>-</v>
      </c>
      <c r="AM173" s="53" t="str">
        <f t="shared" si="12"/>
        <v>13/04/2026</v>
      </c>
    </row>
    <row r="174" spans="1:39" ht="30" hidden="1" customHeight="1" x14ac:dyDescent="0.2">
      <c r="A174" s="230" t="s">
        <v>197</v>
      </c>
      <c r="B174" s="230">
        <v>2615269337</v>
      </c>
      <c r="C174" s="230" t="s">
        <v>138</v>
      </c>
      <c r="D174" s="230" t="s">
        <v>67</v>
      </c>
      <c r="E174" s="230" t="s">
        <v>198</v>
      </c>
      <c r="F174" s="230" t="s">
        <v>759</v>
      </c>
      <c r="G174" s="230">
        <v>1282</v>
      </c>
      <c r="H174" s="230" t="s">
        <v>832</v>
      </c>
      <c r="I174" s="230" t="s">
        <v>436</v>
      </c>
      <c r="J174" s="230" t="s">
        <v>4605</v>
      </c>
      <c r="K174" s="230" t="s">
        <v>4651</v>
      </c>
      <c r="L174" s="230" t="s">
        <v>902</v>
      </c>
      <c r="M174" s="230" t="s">
        <v>4672</v>
      </c>
      <c r="N174" s="230" t="s">
        <v>4652</v>
      </c>
      <c r="O174" s="144" t="s">
        <v>61</v>
      </c>
      <c r="P174" s="9"/>
      <c r="Q174" s="146" t="s">
        <v>61</v>
      </c>
      <c r="R174" s="92"/>
      <c r="S174" s="146" t="s">
        <v>61</v>
      </c>
      <c r="T174" s="92"/>
      <c r="U174" s="146" t="s">
        <v>61</v>
      </c>
      <c r="V174" s="92"/>
      <c r="W174" s="146" t="s">
        <v>61</v>
      </c>
      <c r="X174" s="92"/>
      <c r="Y174" s="146" t="s">
        <v>61</v>
      </c>
      <c r="Z174" s="92"/>
      <c r="AA174" s="146" t="s">
        <v>61</v>
      </c>
      <c r="AB174" s="64"/>
      <c r="AC174" s="146" t="s">
        <v>61</v>
      </c>
      <c r="AD174" s="64"/>
      <c r="AE174" s="146" t="s">
        <v>61</v>
      </c>
      <c r="AF174" s="215" t="str">
        <f t="shared" si="10"/>
        <v>NA</v>
      </c>
      <c r="AG174" s="96" t="str">
        <f t="shared" si="9"/>
        <v>NÃO AVALIADO POR FALHA DE SINCRONISMO</v>
      </c>
      <c r="AH174" s="9" t="s">
        <v>39</v>
      </c>
      <c r="AI174" s="151" t="str">
        <f t="shared" si="8"/>
        <v>GUARULHOS</v>
      </c>
      <c r="AJ174" s="154" t="s">
        <v>6</v>
      </c>
      <c r="AK174" s="53">
        <v>-3.4599999999999999E-2</v>
      </c>
      <c r="AL174" s="53" t="str" cm="1">
        <f t="array" ref="AL174">IF(OR(O174&lt;&gt;"", SUMPRODUCT(($AM$2:$AM$210=AM174)*($AK$2:$AK$210&lt;=AK174)) &lt;= (COUNTIF($AM$2:$AM$210,AM174)*0.1)), "SORTEADO", "-")</f>
        <v>SORTEADO</v>
      </c>
      <c r="AM174" s="53" t="str">
        <f t="shared" si="12"/>
        <v>13/04/2026</v>
      </c>
    </row>
    <row r="175" spans="1:39" ht="30" hidden="1" customHeight="1" x14ac:dyDescent="0.2">
      <c r="A175" s="242" t="s">
        <v>197</v>
      </c>
      <c r="B175" s="249">
        <v>2615587415</v>
      </c>
      <c r="C175" s="242" t="s">
        <v>141</v>
      </c>
      <c r="D175" s="242" t="s">
        <v>67</v>
      </c>
      <c r="E175" s="242" t="s">
        <v>198</v>
      </c>
      <c r="F175" s="242" t="s">
        <v>798</v>
      </c>
      <c r="G175" s="242">
        <v>238</v>
      </c>
      <c r="H175" s="242"/>
      <c r="I175" s="242" t="s">
        <v>368</v>
      </c>
      <c r="J175" s="242" t="s">
        <v>4603</v>
      </c>
      <c r="K175" s="242" t="s">
        <v>4673</v>
      </c>
      <c r="L175" s="242" t="s">
        <v>902</v>
      </c>
      <c r="M175" s="242" t="s">
        <v>3678</v>
      </c>
      <c r="N175" s="242" t="s">
        <v>4620</v>
      </c>
      <c r="O175" s="158"/>
      <c r="P175" s="92"/>
      <c r="Q175" s="146"/>
      <c r="R175" s="92"/>
      <c r="S175" s="146"/>
      <c r="T175" s="92"/>
      <c r="U175" s="146"/>
      <c r="V175" s="92"/>
      <c r="W175" s="146"/>
      <c r="X175" s="92"/>
      <c r="Y175" s="146"/>
      <c r="Z175" s="92"/>
      <c r="AA175" s="146"/>
      <c r="AB175" s="64"/>
      <c r="AC175" s="146"/>
      <c r="AD175" s="64"/>
      <c r="AE175" s="146"/>
      <c r="AF175" s="215" t="str">
        <f t="shared" si="10"/>
        <v/>
      </c>
      <c r="AG175" s="96" t="b">
        <f t="shared" si="9"/>
        <v>0</v>
      </c>
      <c r="AH175" s="9"/>
      <c r="AI175" s="151" t="str">
        <f t="shared" si="8"/>
        <v>GUARULHOS</v>
      </c>
      <c r="AJ175" s="154" t="s">
        <v>6</v>
      </c>
      <c r="AK175" s="53">
        <v>0.1249067452601752</v>
      </c>
      <c r="AL175" s="53" t="str" cm="1">
        <f t="array" ref="AL175">IF(OR(O175&lt;&gt;"", SUMPRODUCT(($AM$2:$AM$210=AM175)*($AK$2:$AK$210&lt;=AK175)) &lt;= (COUNTIF($AM$2:$AM$210,AM175)*0.1)), "SORTEADO", "-")</f>
        <v>-</v>
      </c>
      <c r="AM175" s="53" t="str">
        <f t="shared" si="12"/>
        <v>13/04/2026</v>
      </c>
    </row>
    <row r="176" spans="1:39" ht="30" hidden="1" customHeight="1" x14ac:dyDescent="0.2">
      <c r="A176" s="230" t="s">
        <v>197</v>
      </c>
      <c r="B176" s="248">
        <v>2690331649</v>
      </c>
      <c r="C176" s="230" t="s">
        <v>138</v>
      </c>
      <c r="D176" s="230" t="s">
        <v>67</v>
      </c>
      <c r="E176" s="230" t="s">
        <v>198</v>
      </c>
      <c r="F176" s="230" t="s">
        <v>879</v>
      </c>
      <c r="G176" s="230">
        <v>191</v>
      </c>
      <c r="H176" s="230" t="s">
        <v>880</v>
      </c>
      <c r="I176" s="230" t="s">
        <v>881</v>
      </c>
      <c r="J176" s="230" t="s">
        <v>4605</v>
      </c>
      <c r="K176" s="230" t="s">
        <v>4674</v>
      </c>
      <c r="L176" s="230" t="s">
        <v>1032</v>
      </c>
      <c r="M176" s="230" t="s">
        <v>4675</v>
      </c>
      <c r="N176" s="230" t="s">
        <v>4613</v>
      </c>
      <c r="O176" s="158"/>
      <c r="P176" s="92"/>
      <c r="Q176" s="146"/>
      <c r="R176" s="92"/>
      <c r="S176" s="146"/>
      <c r="T176" s="92"/>
      <c r="U176" s="146"/>
      <c r="V176" s="92"/>
      <c r="W176" s="146"/>
      <c r="X176" s="92"/>
      <c r="Y176" s="146"/>
      <c r="Z176" s="92"/>
      <c r="AA176" s="146"/>
      <c r="AB176" s="64"/>
      <c r="AC176" s="146"/>
      <c r="AD176" s="64"/>
      <c r="AE176" s="146"/>
      <c r="AF176" s="215" t="str">
        <f t="shared" si="10"/>
        <v/>
      </c>
      <c r="AG176" s="96" t="b">
        <f t="shared" si="9"/>
        <v>0</v>
      </c>
      <c r="AH176" s="9"/>
      <c r="AI176" s="151" t="str">
        <f t="shared" si="8"/>
        <v>GUARULHOS</v>
      </c>
      <c r="AJ176" s="154" t="s">
        <v>6</v>
      </c>
      <c r="AK176" s="53">
        <v>4.6710927791443368E-2</v>
      </c>
      <c r="AL176" s="53" t="str" cm="1">
        <f t="array" ref="AL176">IF(OR(O176&lt;&gt;"", SUMPRODUCT(($AM$2:$AM$210=AM176)*($AK$2:$AK$210&lt;=AK176)) &lt;= (COUNTIF($AM$2:$AM$210,AM176)*0.1)), "SORTEADO", "-")</f>
        <v>-</v>
      </c>
      <c r="AM176" s="53" t="str">
        <f t="shared" si="12"/>
        <v>14/04/2026</v>
      </c>
    </row>
    <row r="177" spans="1:39" ht="30" hidden="1" customHeight="1" x14ac:dyDescent="0.2">
      <c r="A177" s="230" t="s">
        <v>197</v>
      </c>
      <c r="B177" s="248">
        <v>2615156894</v>
      </c>
      <c r="C177" s="230" t="s">
        <v>138</v>
      </c>
      <c r="D177" s="230" t="s">
        <v>67</v>
      </c>
      <c r="E177" s="230" t="s">
        <v>198</v>
      </c>
      <c r="F177" s="230" t="s">
        <v>251</v>
      </c>
      <c r="G177" s="230">
        <v>207</v>
      </c>
      <c r="H177" s="230" t="s">
        <v>213</v>
      </c>
      <c r="I177" s="230" t="s">
        <v>253</v>
      </c>
      <c r="J177" s="230" t="s">
        <v>4605</v>
      </c>
      <c r="K177" s="230" t="s">
        <v>213</v>
      </c>
      <c r="L177" s="230" t="s">
        <v>1032</v>
      </c>
      <c r="M177" s="230" t="s">
        <v>4676</v>
      </c>
      <c r="N177" s="230" t="s">
        <v>4613</v>
      </c>
      <c r="O177" s="158"/>
      <c r="P177" s="92"/>
      <c r="Q177" s="146"/>
      <c r="R177" s="92"/>
      <c r="S177" s="146"/>
      <c r="T177" s="92"/>
      <c r="U177" s="146"/>
      <c r="V177" s="92"/>
      <c r="W177" s="146"/>
      <c r="X177" s="92"/>
      <c r="Y177" s="146"/>
      <c r="Z177" s="92"/>
      <c r="AA177" s="146"/>
      <c r="AB177" s="64"/>
      <c r="AC177" s="146"/>
      <c r="AD177" s="64"/>
      <c r="AE177" s="146"/>
      <c r="AF177" s="215" t="str">
        <f t="shared" si="10"/>
        <v/>
      </c>
      <c r="AG177" s="96" t="b">
        <f t="shared" si="9"/>
        <v>0</v>
      </c>
      <c r="AH177" s="9"/>
      <c r="AI177" s="151" t="str">
        <f t="shared" si="8"/>
        <v>GUARULHOS</v>
      </c>
      <c r="AJ177" s="154" t="s">
        <v>6</v>
      </c>
      <c r="AK177" s="53">
        <v>0.19425563548089453</v>
      </c>
      <c r="AL177" s="53" t="str" cm="1">
        <f t="array" ref="AL177">IF(OR(O177&lt;&gt;"", SUMPRODUCT(($AM$2:$AM$210=AM177)*($AK$2:$AK$210&lt;=AK177)) &lt;= (COUNTIF($AM$2:$AM$210,AM177)*0.1)), "SORTEADO", "-")</f>
        <v>-</v>
      </c>
      <c r="AM177" s="53" t="str">
        <f t="shared" si="12"/>
        <v>14/04/2026</v>
      </c>
    </row>
    <row r="178" spans="1:39" ht="30" hidden="1" customHeight="1" x14ac:dyDescent="0.2">
      <c r="A178" s="230" t="s">
        <v>197</v>
      </c>
      <c r="B178" s="248">
        <v>2615495178</v>
      </c>
      <c r="C178" s="230" t="s">
        <v>138</v>
      </c>
      <c r="D178" s="230" t="s">
        <v>67</v>
      </c>
      <c r="E178" s="230" t="s">
        <v>198</v>
      </c>
      <c r="F178" s="230" t="s">
        <v>1038</v>
      </c>
      <c r="G178" s="230">
        <v>735</v>
      </c>
      <c r="H178" s="230"/>
      <c r="I178" s="230" t="s">
        <v>1039</v>
      </c>
      <c r="J178" s="230" t="s">
        <v>4605</v>
      </c>
      <c r="K178" s="230"/>
      <c r="L178" s="230" t="s">
        <v>1032</v>
      </c>
      <c r="M178" s="230" t="s">
        <v>4677</v>
      </c>
      <c r="N178" s="230" t="s">
        <v>4613</v>
      </c>
      <c r="O178" s="158"/>
      <c r="P178" s="92"/>
      <c r="Q178" s="146"/>
      <c r="R178" s="92"/>
      <c r="S178" s="146"/>
      <c r="T178" s="92"/>
      <c r="U178" s="146"/>
      <c r="V178" s="92"/>
      <c r="W178" s="146"/>
      <c r="X178" s="92"/>
      <c r="Y178" s="146"/>
      <c r="Z178" s="92"/>
      <c r="AA178" s="146"/>
      <c r="AB178" s="64"/>
      <c r="AC178" s="146"/>
      <c r="AD178" s="64"/>
      <c r="AE178" s="146"/>
      <c r="AF178" s="215" t="str">
        <f t="shared" si="10"/>
        <v/>
      </c>
      <c r="AG178" s="96" t="b">
        <f t="shared" si="9"/>
        <v>0</v>
      </c>
      <c r="AH178" s="9"/>
      <c r="AI178" s="151" t="str">
        <f t="shared" si="8"/>
        <v>GUARULHOS</v>
      </c>
      <c r="AJ178" s="154" t="s">
        <v>6</v>
      </c>
      <c r="AK178" s="53">
        <v>0.11765924564390606</v>
      </c>
      <c r="AL178" s="53" t="str" cm="1">
        <f t="array" ref="AL178">IF(OR(O178&lt;&gt;"", SUMPRODUCT(($AM$2:$AM$210=AM178)*($AK$2:$AK$210&lt;=AK178)) &lt;= (COUNTIF($AM$2:$AM$210,AM178)*0.1)), "SORTEADO", "-")</f>
        <v>-</v>
      </c>
      <c r="AM178" s="53" t="str">
        <f t="shared" si="12"/>
        <v>14/04/2026</v>
      </c>
    </row>
    <row r="179" spans="1:39" ht="30" hidden="1" customHeight="1" x14ac:dyDescent="0.2">
      <c r="A179" s="230" t="s">
        <v>197</v>
      </c>
      <c r="B179" s="248">
        <v>2615321339</v>
      </c>
      <c r="C179" s="230" t="s">
        <v>138</v>
      </c>
      <c r="D179" s="230" t="s">
        <v>67</v>
      </c>
      <c r="E179" s="230" t="s">
        <v>198</v>
      </c>
      <c r="F179" s="230" t="s">
        <v>2776</v>
      </c>
      <c r="G179" s="230">
        <v>842</v>
      </c>
      <c r="H179" s="230" t="s">
        <v>213</v>
      </c>
      <c r="I179" s="230" t="s">
        <v>207</v>
      </c>
      <c r="J179" s="230" t="s">
        <v>4605</v>
      </c>
      <c r="K179" s="230" t="s">
        <v>213</v>
      </c>
      <c r="L179" s="230" t="s">
        <v>1032</v>
      </c>
      <c r="M179" s="230" t="s">
        <v>4678</v>
      </c>
      <c r="N179" s="230" t="s">
        <v>4613</v>
      </c>
      <c r="O179" s="158"/>
      <c r="P179" s="92"/>
      <c r="Q179" s="146"/>
      <c r="R179" s="92"/>
      <c r="S179" s="146"/>
      <c r="T179" s="92"/>
      <c r="U179" s="146"/>
      <c r="V179" s="92"/>
      <c r="W179" s="146"/>
      <c r="X179" s="92"/>
      <c r="Y179" s="146"/>
      <c r="Z179" s="92"/>
      <c r="AA179" s="146"/>
      <c r="AB179" s="64"/>
      <c r="AC179" s="146"/>
      <c r="AD179" s="64"/>
      <c r="AE179" s="146"/>
      <c r="AF179" s="215" t="str">
        <f t="shared" si="10"/>
        <v/>
      </c>
      <c r="AG179" s="96" t="b">
        <f t="shared" si="9"/>
        <v>0</v>
      </c>
      <c r="AH179" s="9"/>
      <c r="AI179" s="151" t="str">
        <f t="shared" si="8"/>
        <v>GUARULHOS</v>
      </c>
      <c r="AJ179" s="154" t="s">
        <v>6</v>
      </c>
      <c r="AK179" s="53">
        <v>0.91192311279501348</v>
      </c>
      <c r="AL179" s="53" t="str" cm="1">
        <f t="array" ref="AL179">IF(OR(O179&lt;&gt;"", SUMPRODUCT(($AM$2:$AM$210=AM179)*($AK$2:$AK$210&lt;=AK179)) &lt;= (COUNTIF($AM$2:$AM$210,AM179)*0.1)), "SORTEADO", "-")</f>
        <v>-</v>
      </c>
      <c r="AM179" s="53" t="str">
        <f t="shared" si="12"/>
        <v>14/04/2026</v>
      </c>
    </row>
    <row r="180" spans="1:39" ht="30" hidden="1" customHeight="1" x14ac:dyDescent="0.2">
      <c r="A180" s="230" t="s">
        <v>197</v>
      </c>
      <c r="B180" s="230">
        <v>2615420143</v>
      </c>
      <c r="C180" s="230" t="s">
        <v>141</v>
      </c>
      <c r="D180" s="230" t="s">
        <v>67</v>
      </c>
      <c r="E180" s="230" t="s">
        <v>198</v>
      </c>
      <c r="F180" s="230" t="s">
        <v>826</v>
      </c>
      <c r="G180" s="230">
        <v>320</v>
      </c>
      <c r="H180" s="230"/>
      <c r="I180" s="230" t="s">
        <v>363</v>
      </c>
      <c r="J180" s="230" t="s">
        <v>4603</v>
      </c>
      <c r="K180" s="230" t="s">
        <v>4651</v>
      </c>
      <c r="L180" s="230" t="s">
        <v>1032</v>
      </c>
      <c r="M180" s="230" t="s">
        <v>2822</v>
      </c>
      <c r="N180" s="230" t="s">
        <v>4613</v>
      </c>
      <c r="O180" s="144" t="s">
        <v>61</v>
      </c>
      <c r="P180" s="9"/>
      <c r="Q180" s="146" t="s">
        <v>61</v>
      </c>
      <c r="R180" s="92"/>
      <c r="S180" s="146" t="s">
        <v>61</v>
      </c>
      <c r="T180" s="92"/>
      <c r="U180" s="146" t="s">
        <v>61</v>
      </c>
      <c r="V180" s="92"/>
      <c r="W180" s="146" t="s">
        <v>61</v>
      </c>
      <c r="X180" s="92"/>
      <c r="Y180" s="146" t="s">
        <v>61</v>
      </c>
      <c r="Z180" s="92"/>
      <c r="AA180" s="146" t="s">
        <v>61</v>
      </c>
      <c r="AB180" s="64"/>
      <c r="AC180" s="146" t="s">
        <v>61</v>
      </c>
      <c r="AD180" s="64"/>
      <c r="AE180" s="146" t="s">
        <v>61</v>
      </c>
      <c r="AF180" s="215" t="str">
        <f t="shared" si="10"/>
        <v>NA</v>
      </c>
      <c r="AG180" s="96" t="str">
        <f t="shared" si="9"/>
        <v>NÃO AVALIADO POR FALHA DE SINCRONISMO</v>
      </c>
      <c r="AH180" s="9" t="s">
        <v>39</v>
      </c>
      <c r="AI180" s="151" t="str">
        <f t="shared" si="8"/>
        <v>GUARULHOS</v>
      </c>
      <c r="AJ180" s="154" t="s">
        <v>6</v>
      </c>
      <c r="AK180" s="53">
        <v>-3.5799999999999998E-2</v>
      </c>
      <c r="AL180" s="53" t="str" cm="1">
        <f t="array" ref="AL180">IF(OR(O180&lt;&gt;"", SUMPRODUCT(($AM$2:$AM$210=AM180)*($AK$2:$AK$210&lt;=AK180)) &lt;= (COUNTIF($AM$2:$AM$210,AM180)*0.1)), "SORTEADO", "-")</f>
        <v>SORTEADO</v>
      </c>
      <c r="AM180" s="53" t="str">
        <f t="shared" si="12"/>
        <v>14/04/2026</v>
      </c>
    </row>
    <row r="181" spans="1:39" ht="30" hidden="1" customHeight="1" x14ac:dyDescent="0.2">
      <c r="A181" s="230" t="s">
        <v>197</v>
      </c>
      <c r="B181" s="248">
        <v>2615420442</v>
      </c>
      <c r="C181" s="230" t="s">
        <v>139</v>
      </c>
      <c r="D181" s="230" t="s">
        <v>67</v>
      </c>
      <c r="E181" s="230" t="s">
        <v>198</v>
      </c>
      <c r="F181" s="230" t="s">
        <v>1038</v>
      </c>
      <c r="G181" s="230">
        <v>738</v>
      </c>
      <c r="H181" s="230" t="s">
        <v>1565</v>
      </c>
      <c r="I181" s="230" t="s">
        <v>1039</v>
      </c>
      <c r="J181" s="230" t="s">
        <v>4603</v>
      </c>
      <c r="K181" s="230" t="s">
        <v>4679</v>
      </c>
      <c r="L181" s="230" t="s">
        <v>1032</v>
      </c>
      <c r="M181" s="230" t="s">
        <v>4680</v>
      </c>
      <c r="N181" s="230" t="s">
        <v>4613</v>
      </c>
      <c r="O181" s="158"/>
      <c r="P181" s="92"/>
      <c r="Q181" s="146"/>
      <c r="R181" s="92"/>
      <c r="S181" s="146"/>
      <c r="T181" s="92"/>
      <c r="U181" s="146"/>
      <c r="V181" s="92"/>
      <c r="W181" s="146"/>
      <c r="X181" s="92"/>
      <c r="Y181" s="146"/>
      <c r="Z181" s="92"/>
      <c r="AA181" s="146"/>
      <c r="AB181" s="64"/>
      <c r="AC181" s="146"/>
      <c r="AD181" s="64"/>
      <c r="AE181" s="146"/>
      <c r="AF181" s="215" t="str">
        <f t="shared" si="10"/>
        <v/>
      </c>
      <c r="AG181" s="96" t="b">
        <f t="shared" si="9"/>
        <v>0</v>
      </c>
      <c r="AH181" s="9"/>
      <c r="AI181" s="151" t="str">
        <f t="shared" si="8"/>
        <v>GUARULHOS</v>
      </c>
      <c r="AJ181" s="154" t="s">
        <v>6</v>
      </c>
      <c r="AK181" s="53">
        <v>0.79590211398056854</v>
      </c>
      <c r="AL181" s="53" t="str" cm="1">
        <f t="array" ref="AL181">IF(OR(O181&lt;&gt;"", SUMPRODUCT(($AM$2:$AM$210=AM181)*($AK$2:$AK$210&lt;=AK181)) &lt;= (COUNTIF($AM$2:$AM$210,AM181)*0.1)), "SORTEADO", "-")</f>
        <v>-</v>
      </c>
      <c r="AM181" s="53" t="str">
        <f t="shared" si="12"/>
        <v>14/04/2026</v>
      </c>
    </row>
    <row r="182" spans="1:39" ht="30" hidden="1" customHeight="1" x14ac:dyDescent="0.2">
      <c r="A182" s="230" t="s">
        <v>197</v>
      </c>
      <c r="B182" s="248">
        <v>2615247957</v>
      </c>
      <c r="C182" s="230" t="s">
        <v>139</v>
      </c>
      <c r="D182" s="230" t="s">
        <v>67</v>
      </c>
      <c r="E182" s="230" t="s">
        <v>198</v>
      </c>
      <c r="F182" s="230" t="s">
        <v>251</v>
      </c>
      <c r="G182" s="230">
        <v>5</v>
      </c>
      <c r="H182" s="230" t="s">
        <v>276</v>
      </c>
      <c r="I182" s="230" t="s">
        <v>253</v>
      </c>
      <c r="J182" s="230" t="s">
        <v>4603</v>
      </c>
      <c r="K182" s="230"/>
      <c r="L182" s="230" t="s">
        <v>1032</v>
      </c>
      <c r="M182" s="230" t="s">
        <v>4681</v>
      </c>
      <c r="N182" s="230" t="s">
        <v>4613</v>
      </c>
      <c r="O182" s="158"/>
      <c r="P182" s="92"/>
      <c r="Q182" s="146"/>
      <c r="R182" s="92"/>
      <c r="S182" s="146"/>
      <c r="T182" s="92"/>
      <c r="U182" s="146"/>
      <c r="V182" s="92"/>
      <c r="W182" s="146"/>
      <c r="X182" s="92"/>
      <c r="Y182" s="146"/>
      <c r="Z182" s="92"/>
      <c r="AA182" s="146"/>
      <c r="AB182" s="64"/>
      <c r="AC182" s="146"/>
      <c r="AD182" s="64"/>
      <c r="AE182" s="146"/>
      <c r="AF182" s="215" t="str">
        <f t="shared" si="10"/>
        <v/>
      </c>
      <c r="AG182" s="96" t="b">
        <f t="shared" si="9"/>
        <v>0</v>
      </c>
      <c r="AH182" s="9"/>
      <c r="AI182" s="151" t="str">
        <f t="shared" si="8"/>
        <v>GUARULHOS</v>
      </c>
      <c r="AJ182" s="154" t="s">
        <v>6</v>
      </c>
      <c r="AK182" s="53">
        <v>0.33861205809852324</v>
      </c>
      <c r="AL182" s="53" t="str" cm="1">
        <f t="array" ref="AL182">IF(OR(O182&lt;&gt;"", SUMPRODUCT(($AM$2:$AM$210=AM182)*($AK$2:$AK$210&lt;=AK182)) &lt;= (COUNTIF($AM$2:$AM$210,AM182)*0.1)), "SORTEADO", "-")</f>
        <v>-</v>
      </c>
      <c r="AM182" s="53" t="str">
        <f t="shared" si="12"/>
        <v>14/04/2026</v>
      </c>
    </row>
    <row r="183" spans="1:39" ht="30" hidden="1" customHeight="1" x14ac:dyDescent="0.2">
      <c r="A183" s="230" t="s">
        <v>197</v>
      </c>
      <c r="B183" s="248">
        <v>2615494191</v>
      </c>
      <c r="C183" s="230" t="s">
        <v>141</v>
      </c>
      <c r="D183" s="230" t="s">
        <v>67</v>
      </c>
      <c r="E183" s="230" t="s">
        <v>198</v>
      </c>
      <c r="F183" s="230" t="s">
        <v>731</v>
      </c>
      <c r="G183" s="230">
        <v>71</v>
      </c>
      <c r="H183" s="230" t="s">
        <v>211</v>
      </c>
      <c r="I183" s="230" t="s">
        <v>732</v>
      </c>
      <c r="J183" s="230" t="s">
        <v>4603</v>
      </c>
      <c r="K183" s="230" t="s">
        <v>213</v>
      </c>
      <c r="L183" s="230" t="s">
        <v>1032</v>
      </c>
      <c r="M183" s="230" t="s">
        <v>4682</v>
      </c>
      <c r="N183" s="230" t="s">
        <v>4620</v>
      </c>
      <c r="O183" s="158"/>
      <c r="P183" s="92"/>
      <c r="Q183" s="146"/>
      <c r="R183" s="92"/>
      <c r="S183" s="146"/>
      <c r="T183" s="92"/>
      <c r="U183" s="146"/>
      <c r="V183" s="92"/>
      <c r="W183" s="146"/>
      <c r="X183" s="92"/>
      <c r="Y183" s="146"/>
      <c r="Z183" s="92"/>
      <c r="AA183" s="146"/>
      <c r="AB183" s="64"/>
      <c r="AC183" s="146"/>
      <c r="AD183" s="64"/>
      <c r="AE183" s="146"/>
      <c r="AF183" s="215" t="str">
        <f t="shared" si="10"/>
        <v/>
      </c>
      <c r="AG183" s="96" t="b">
        <f t="shared" si="9"/>
        <v>0</v>
      </c>
      <c r="AH183" s="9"/>
      <c r="AI183" s="151" t="str">
        <f t="shared" si="8"/>
        <v>GUARULHOS</v>
      </c>
      <c r="AJ183" s="154" t="s">
        <v>6</v>
      </c>
      <c r="AK183" s="53">
        <v>0.44160895418071244</v>
      </c>
      <c r="AL183" s="53" t="str" cm="1">
        <f t="array" ref="AL183">IF(OR(O183&lt;&gt;"", SUMPRODUCT(($AM$2:$AM$210=AM183)*($AK$2:$AK$210&lt;=AK183)) &lt;= (COUNTIF($AM$2:$AM$210,AM183)*0.1)), "SORTEADO", "-")</f>
        <v>-</v>
      </c>
      <c r="AM183" s="53" t="str">
        <f t="shared" si="12"/>
        <v>14/04/2026</v>
      </c>
    </row>
    <row r="184" spans="1:39" ht="30" hidden="1" customHeight="1" x14ac:dyDescent="0.2">
      <c r="A184" s="230" t="s">
        <v>197</v>
      </c>
      <c r="B184" s="248">
        <v>2615587858</v>
      </c>
      <c r="C184" s="230" t="s">
        <v>141</v>
      </c>
      <c r="D184" s="230" t="s">
        <v>67</v>
      </c>
      <c r="E184" s="230" t="s">
        <v>198</v>
      </c>
      <c r="F184" s="230" t="s">
        <v>796</v>
      </c>
      <c r="G184" s="230">
        <v>136</v>
      </c>
      <c r="H184" s="230"/>
      <c r="I184" s="230" t="s">
        <v>797</v>
      </c>
      <c r="J184" s="230" t="s">
        <v>4603</v>
      </c>
      <c r="K184" s="230"/>
      <c r="L184" s="230" t="s">
        <v>1032</v>
      </c>
      <c r="M184" s="230" t="s">
        <v>4683</v>
      </c>
      <c r="N184" s="230" t="s">
        <v>4620</v>
      </c>
      <c r="O184" s="158"/>
      <c r="P184" s="92"/>
      <c r="Q184" s="146"/>
      <c r="R184" s="92"/>
      <c r="S184" s="146"/>
      <c r="T184" s="92"/>
      <c r="U184" s="146"/>
      <c r="V184" s="92"/>
      <c r="W184" s="146"/>
      <c r="X184" s="92"/>
      <c r="Y184" s="146"/>
      <c r="Z184" s="92"/>
      <c r="AA184" s="146"/>
      <c r="AB184" s="64"/>
      <c r="AC184" s="146"/>
      <c r="AD184" s="64"/>
      <c r="AE184" s="146"/>
      <c r="AF184" s="215" t="str">
        <f t="shared" si="10"/>
        <v/>
      </c>
      <c r="AG184" s="96" t="b">
        <f t="shared" si="9"/>
        <v>0</v>
      </c>
      <c r="AH184" s="9"/>
      <c r="AI184" s="151" t="str">
        <f t="shared" ref="AI184:AI247" si="13">E184</f>
        <v>GUARULHOS</v>
      </c>
      <c r="AJ184" s="154" t="s">
        <v>6</v>
      </c>
      <c r="AK184" s="53">
        <v>0.26573271071884719</v>
      </c>
      <c r="AL184" s="53" t="str" cm="1">
        <f t="array" ref="AL184">IF(OR(O184&lt;&gt;"", SUMPRODUCT(($AM$2:$AM$210=AM184)*($AK$2:$AK$210&lt;=AK184)) &lt;= (COUNTIF($AM$2:$AM$210,AM184)*0.1)), "SORTEADO", "-")</f>
        <v>-</v>
      </c>
      <c r="AM184" s="53" t="str">
        <f t="shared" si="12"/>
        <v>14/04/2026</v>
      </c>
    </row>
    <row r="185" spans="1:39" ht="30" hidden="1" customHeight="1" x14ac:dyDescent="0.2">
      <c r="A185" s="230" t="s">
        <v>197</v>
      </c>
      <c r="B185" s="248">
        <v>2615497883</v>
      </c>
      <c r="C185" s="230" t="s">
        <v>141</v>
      </c>
      <c r="D185" s="230" t="s">
        <v>67</v>
      </c>
      <c r="E185" s="230" t="s">
        <v>198</v>
      </c>
      <c r="F185" s="230" t="s">
        <v>846</v>
      </c>
      <c r="G185" s="230">
        <v>178</v>
      </c>
      <c r="H185" s="230" t="s">
        <v>213</v>
      </c>
      <c r="I185" s="230" t="s">
        <v>394</v>
      </c>
      <c r="J185" s="230" t="s">
        <v>4603</v>
      </c>
      <c r="K185" s="230" t="s">
        <v>213</v>
      </c>
      <c r="L185" s="230" t="s">
        <v>1032</v>
      </c>
      <c r="M185" s="230" t="s">
        <v>4684</v>
      </c>
      <c r="N185" s="230" t="s">
        <v>4620</v>
      </c>
      <c r="O185" s="158"/>
      <c r="P185" s="92"/>
      <c r="Q185" s="146"/>
      <c r="R185" s="92"/>
      <c r="S185" s="146"/>
      <c r="T185" s="92"/>
      <c r="U185" s="146"/>
      <c r="V185" s="92"/>
      <c r="W185" s="146"/>
      <c r="X185" s="92"/>
      <c r="Y185" s="146"/>
      <c r="Z185" s="92"/>
      <c r="AA185" s="146"/>
      <c r="AB185" s="64"/>
      <c r="AC185" s="146"/>
      <c r="AD185" s="64"/>
      <c r="AE185" s="146"/>
      <c r="AF185" s="215" t="str">
        <f t="shared" si="10"/>
        <v/>
      </c>
      <c r="AG185" s="96" t="b">
        <f t="shared" si="9"/>
        <v>0</v>
      </c>
      <c r="AH185" s="9"/>
      <c r="AI185" s="151" t="str">
        <f t="shared" si="13"/>
        <v>GUARULHOS</v>
      </c>
      <c r="AJ185" s="154" t="s">
        <v>6</v>
      </c>
      <c r="AK185" s="53">
        <v>0.98508461641523715</v>
      </c>
      <c r="AL185" s="53" t="str" cm="1">
        <f t="array" ref="AL185">IF(OR(O185&lt;&gt;"", SUMPRODUCT(($AM$2:$AM$210=AM185)*($AK$2:$AK$210&lt;=AK185)) &lt;= (COUNTIF($AM$2:$AM$210,AM185)*0.1)), "SORTEADO", "-")</f>
        <v>-</v>
      </c>
      <c r="AM185" s="53" t="str">
        <f t="shared" si="12"/>
        <v>14/04/2026</v>
      </c>
    </row>
    <row r="186" spans="1:39" ht="30" hidden="1" customHeight="1" x14ac:dyDescent="0.2">
      <c r="A186" s="230" t="s">
        <v>197</v>
      </c>
      <c r="B186" s="248">
        <v>2615571777</v>
      </c>
      <c r="C186" s="230" t="s">
        <v>138</v>
      </c>
      <c r="D186" s="230" t="s">
        <v>67</v>
      </c>
      <c r="E186" s="230" t="s">
        <v>198</v>
      </c>
      <c r="F186" s="230" t="s">
        <v>900</v>
      </c>
      <c r="G186" s="230">
        <v>608</v>
      </c>
      <c r="H186" s="230" t="s">
        <v>276</v>
      </c>
      <c r="I186" s="230" t="s">
        <v>531</v>
      </c>
      <c r="J186" s="230" t="s">
        <v>4605</v>
      </c>
      <c r="K186" s="230"/>
      <c r="L186" s="230" t="s">
        <v>1032</v>
      </c>
      <c r="M186" s="230" t="s">
        <v>4685</v>
      </c>
      <c r="N186" s="230" t="s">
        <v>4620</v>
      </c>
      <c r="O186" s="158"/>
      <c r="P186" s="92"/>
      <c r="Q186" s="146"/>
      <c r="R186" s="92"/>
      <c r="S186" s="146"/>
      <c r="T186" s="92"/>
      <c r="U186" s="146"/>
      <c r="V186" s="92"/>
      <c r="W186" s="146"/>
      <c r="X186" s="92"/>
      <c r="Y186" s="146"/>
      <c r="Z186" s="92"/>
      <c r="AA186" s="146"/>
      <c r="AB186" s="64"/>
      <c r="AC186" s="146"/>
      <c r="AD186" s="64"/>
      <c r="AE186" s="146"/>
      <c r="AF186" s="215" t="str">
        <f t="shared" si="10"/>
        <v/>
      </c>
      <c r="AG186" s="96" t="b">
        <f t="shared" si="9"/>
        <v>0</v>
      </c>
      <c r="AH186" s="9"/>
      <c r="AI186" s="151" t="str">
        <f t="shared" si="13"/>
        <v>GUARULHOS</v>
      </c>
      <c r="AJ186" s="154" t="s">
        <v>6</v>
      </c>
      <c r="AK186" s="53">
        <v>8.6283434500047052E-2</v>
      </c>
      <c r="AL186" s="53" t="str" cm="1">
        <f t="array" ref="AL186">IF(OR(O186&lt;&gt;"", SUMPRODUCT(($AM$2:$AM$210=AM186)*($AK$2:$AK$210&lt;=AK186)) &lt;= (COUNTIF($AM$2:$AM$210,AM186)*0.1)), "SORTEADO", "-")</f>
        <v>-</v>
      </c>
      <c r="AM186" s="53" t="str">
        <f t="shared" si="12"/>
        <v>14/04/2026</v>
      </c>
    </row>
    <row r="187" spans="1:39" ht="30" hidden="1" customHeight="1" x14ac:dyDescent="0.2">
      <c r="A187" s="230" t="s">
        <v>197</v>
      </c>
      <c r="B187" s="248">
        <v>2615587657</v>
      </c>
      <c r="C187" s="230" t="s">
        <v>141</v>
      </c>
      <c r="D187" s="230" t="s">
        <v>67</v>
      </c>
      <c r="E187" s="230" t="s">
        <v>198</v>
      </c>
      <c r="F187" s="230" t="s">
        <v>811</v>
      </c>
      <c r="G187" s="230">
        <v>363</v>
      </c>
      <c r="H187" s="230" t="s">
        <v>213</v>
      </c>
      <c r="I187" s="230" t="s">
        <v>531</v>
      </c>
      <c r="J187" s="230" t="s">
        <v>4603</v>
      </c>
      <c r="K187" s="230" t="s">
        <v>213</v>
      </c>
      <c r="L187" s="230" t="s">
        <v>1032</v>
      </c>
      <c r="M187" s="230" t="s">
        <v>4686</v>
      </c>
      <c r="N187" s="230" t="s">
        <v>4620</v>
      </c>
      <c r="O187" s="158"/>
      <c r="P187" s="92"/>
      <c r="Q187" s="146"/>
      <c r="R187" s="92"/>
      <c r="S187" s="146"/>
      <c r="T187" s="92"/>
      <c r="U187" s="146"/>
      <c r="V187" s="92"/>
      <c r="W187" s="146"/>
      <c r="X187" s="92"/>
      <c r="Y187" s="146"/>
      <c r="Z187" s="92"/>
      <c r="AA187" s="146"/>
      <c r="AB187" s="64"/>
      <c r="AC187" s="146"/>
      <c r="AD187" s="64"/>
      <c r="AE187" s="146"/>
      <c r="AF187" s="215" t="str">
        <f t="shared" si="10"/>
        <v/>
      </c>
      <c r="AG187" s="96" t="b">
        <f t="shared" si="9"/>
        <v>0</v>
      </c>
      <c r="AH187" s="9"/>
      <c r="AI187" s="151" t="str">
        <f t="shared" si="13"/>
        <v>GUARULHOS</v>
      </c>
      <c r="AJ187" s="154" t="s">
        <v>6</v>
      </c>
      <c r="AK187" s="53">
        <v>0.28683276350121012</v>
      </c>
      <c r="AL187" s="53" t="str" cm="1">
        <f t="array" ref="AL187">IF(OR(O187&lt;&gt;"", SUMPRODUCT(($AM$2:$AM$210=AM187)*($AK$2:$AK$210&lt;=AK187)) &lt;= (COUNTIF($AM$2:$AM$210,AM187)*0.1)), "SORTEADO", "-")</f>
        <v>-</v>
      </c>
      <c r="AM187" s="53" t="str">
        <f t="shared" si="12"/>
        <v>14/04/2026</v>
      </c>
    </row>
    <row r="188" spans="1:39" ht="30" hidden="1" customHeight="1" x14ac:dyDescent="0.2">
      <c r="A188" s="230" t="s">
        <v>197</v>
      </c>
      <c r="B188" s="248">
        <v>2614626916</v>
      </c>
      <c r="C188" s="230" t="s">
        <v>139</v>
      </c>
      <c r="D188" s="230" t="s">
        <v>67</v>
      </c>
      <c r="E188" s="230" t="s">
        <v>198</v>
      </c>
      <c r="F188" s="230" t="s">
        <v>858</v>
      </c>
      <c r="G188" s="230">
        <v>224</v>
      </c>
      <c r="H188" s="230"/>
      <c r="I188" s="230" t="s">
        <v>859</v>
      </c>
      <c r="J188" s="230" t="s">
        <v>4603</v>
      </c>
      <c r="K188" s="230"/>
      <c r="L188" s="230" t="s">
        <v>1032</v>
      </c>
      <c r="M188" s="230" t="s">
        <v>4687</v>
      </c>
      <c r="N188" s="230" t="s">
        <v>4620</v>
      </c>
      <c r="O188" s="158"/>
      <c r="P188" s="92"/>
      <c r="Q188" s="146"/>
      <c r="R188" s="92"/>
      <c r="S188" s="146"/>
      <c r="T188" s="92"/>
      <c r="U188" s="146"/>
      <c r="V188" s="92"/>
      <c r="W188" s="146"/>
      <c r="X188" s="92"/>
      <c r="Y188" s="146"/>
      <c r="Z188" s="92"/>
      <c r="AA188" s="146"/>
      <c r="AB188" s="64"/>
      <c r="AC188" s="146"/>
      <c r="AD188" s="64"/>
      <c r="AE188" s="146"/>
      <c r="AF188" s="215" t="str">
        <f t="shared" si="10"/>
        <v/>
      </c>
      <c r="AG188" s="96" t="b">
        <f t="shared" si="9"/>
        <v>0</v>
      </c>
      <c r="AH188" s="9"/>
      <c r="AI188" s="151" t="str">
        <f t="shared" si="13"/>
        <v>GUARULHOS</v>
      </c>
      <c r="AJ188" s="154" t="s">
        <v>6</v>
      </c>
      <c r="AK188" s="53">
        <v>0.24434992464542005</v>
      </c>
      <c r="AL188" s="53" t="str" cm="1">
        <f t="array" ref="AL188">IF(OR(O188&lt;&gt;"", SUMPRODUCT(($AM$2:$AM$210=AM188)*($AK$2:$AK$210&lt;=AK188)) &lt;= (COUNTIF($AM$2:$AM$210,AM188)*0.1)), "SORTEADO", "-")</f>
        <v>-</v>
      </c>
      <c r="AM188" s="53" t="str">
        <f t="shared" si="12"/>
        <v>14/04/2026</v>
      </c>
    </row>
    <row r="189" spans="1:39" ht="30" hidden="1" customHeight="1" x14ac:dyDescent="0.2">
      <c r="A189" s="230" t="s">
        <v>197</v>
      </c>
      <c r="B189" s="230">
        <v>2614844829</v>
      </c>
      <c r="C189" s="230" t="s">
        <v>140</v>
      </c>
      <c r="D189" s="230" t="s">
        <v>67</v>
      </c>
      <c r="E189" s="230" t="s">
        <v>198</v>
      </c>
      <c r="F189" s="230" t="s">
        <v>386</v>
      </c>
      <c r="G189" s="230">
        <v>71</v>
      </c>
      <c r="H189" s="230"/>
      <c r="I189" s="230" t="s">
        <v>262</v>
      </c>
      <c r="J189" s="230" t="s">
        <v>4605</v>
      </c>
      <c r="K189" s="230" t="s">
        <v>4688</v>
      </c>
      <c r="L189" s="230" t="s">
        <v>1032</v>
      </c>
      <c r="M189" s="230" t="s">
        <v>2825</v>
      </c>
      <c r="N189" s="230" t="s">
        <v>4689</v>
      </c>
      <c r="O189" s="144" t="s">
        <v>61</v>
      </c>
      <c r="P189" s="9"/>
      <c r="Q189" s="146" t="s">
        <v>61</v>
      </c>
      <c r="R189" s="92"/>
      <c r="S189" s="146" t="s">
        <v>61</v>
      </c>
      <c r="T189" s="92"/>
      <c r="U189" s="146" t="s">
        <v>61</v>
      </c>
      <c r="V189" s="92"/>
      <c r="W189" s="146" t="s">
        <v>61</v>
      </c>
      <c r="X189" s="92"/>
      <c r="Y189" s="146" t="s">
        <v>61</v>
      </c>
      <c r="Z189" s="92"/>
      <c r="AA189" s="146" t="s">
        <v>61</v>
      </c>
      <c r="AB189" s="64"/>
      <c r="AC189" s="146" t="s">
        <v>61</v>
      </c>
      <c r="AD189" s="64"/>
      <c r="AE189" s="146" t="s">
        <v>61</v>
      </c>
      <c r="AF189" s="215" t="str">
        <f t="shared" si="10"/>
        <v>NA</v>
      </c>
      <c r="AG189" s="96" t="str">
        <f t="shared" si="9"/>
        <v>NÃO AVALIADO POR FALHA DE SINCRONISMO</v>
      </c>
      <c r="AH189" s="9" t="s">
        <v>39</v>
      </c>
      <c r="AI189" s="151" t="str">
        <f t="shared" si="13"/>
        <v>GUARULHOS</v>
      </c>
      <c r="AJ189" s="154" t="s">
        <v>6</v>
      </c>
      <c r="AK189" s="53">
        <v>-3.7600000000000001E-2</v>
      </c>
      <c r="AL189" s="53" t="str" cm="1">
        <f t="array" ref="AL189">IF(OR(O189&lt;&gt;"", SUMPRODUCT(($AM$2:$AM$210=AM189)*($AK$2:$AK$210&lt;=AK189)) &lt;= (COUNTIF($AM$2:$AM$210,AM189)*0.1)), "SORTEADO", "-")</f>
        <v>SORTEADO</v>
      </c>
      <c r="AM189" s="53" t="str">
        <f t="shared" si="12"/>
        <v>14/04/2026</v>
      </c>
    </row>
    <row r="190" spans="1:39" ht="30" hidden="1" customHeight="1" x14ac:dyDescent="0.2">
      <c r="A190" s="230" t="s">
        <v>197</v>
      </c>
      <c r="B190" s="248">
        <v>2615726799</v>
      </c>
      <c r="C190" s="230" t="s">
        <v>141</v>
      </c>
      <c r="D190" s="230" t="s">
        <v>67</v>
      </c>
      <c r="E190" s="230" t="s">
        <v>198</v>
      </c>
      <c r="F190" s="230" t="s">
        <v>796</v>
      </c>
      <c r="G190" s="230">
        <v>136</v>
      </c>
      <c r="H190" s="230"/>
      <c r="I190" s="230" t="s">
        <v>797</v>
      </c>
      <c r="J190" s="230" t="s">
        <v>4603</v>
      </c>
      <c r="K190" s="230" t="s">
        <v>4690</v>
      </c>
      <c r="L190" s="230" t="s">
        <v>1032</v>
      </c>
      <c r="M190" s="230" t="s">
        <v>4691</v>
      </c>
      <c r="N190" s="230" t="s">
        <v>4620</v>
      </c>
      <c r="O190" s="158"/>
      <c r="P190" s="92"/>
      <c r="Q190" s="146"/>
      <c r="R190" s="92"/>
      <c r="S190" s="146"/>
      <c r="T190" s="92"/>
      <c r="U190" s="146"/>
      <c r="V190" s="92"/>
      <c r="W190" s="146"/>
      <c r="X190" s="92"/>
      <c r="Y190" s="146"/>
      <c r="Z190" s="92"/>
      <c r="AA190" s="146"/>
      <c r="AB190" s="64"/>
      <c r="AC190" s="146"/>
      <c r="AD190" s="64"/>
      <c r="AE190" s="146"/>
      <c r="AF190" s="215" t="str">
        <f t="shared" si="10"/>
        <v/>
      </c>
      <c r="AG190" s="96" t="b">
        <f t="shared" si="9"/>
        <v>0</v>
      </c>
      <c r="AH190" s="9"/>
      <c r="AI190" s="151" t="str">
        <f t="shared" si="13"/>
        <v>GUARULHOS</v>
      </c>
      <c r="AJ190" s="154" t="s">
        <v>6</v>
      </c>
      <c r="AK190" s="53">
        <v>0.35596757840434667</v>
      </c>
      <c r="AL190" s="53" t="str" cm="1">
        <f t="array" ref="AL190">IF(OR(O190&lt;&gt;"", SUMPRODUCT(($AM$2:$AM$210=AM190)*($AK$2:$AK$210&lt;=AK190)) &lt;= (COUNTIF($AM$2:$AM$210,AM190)*0.1)), "SORTEADO", "-")</f>
        <v>-</v>
      </c>
      <c r="AM190" s="53" t="str">
        <f t="shared" si="12"/>
        <v>14/04/2026</v>
      </c>
    </row>
    <row r="191" spans="1:39" ht="30" hidden="1" customHeight="1" x14ac:dyDescent="0.2">
      <c r="A191" s="242" t="s">
        <v>197</v>
      </c>
      <c r="B191" s="249">
        <v>2615730407</v>
      </c>
      <c r="C191" s="242" t="s">
        <v>141</v>
      </c>
      <c r="D191" s="242" t="s">
        <v>67</v>
      </c>
      <c r="E191" s="242" t="s">
        <v>198</v>
      </c>
      <c r="F191" s="242" t="s">
        <v>796</v>
      </c>
      <c r="G191" s="242">
        <v>136</v>
      </c>
      <c r="H191" s="242" t="s">
        <v>213</v>
      </c>
      <c r="I191" s="242" t="s">
        <v>797</v>
      </c>
      <c r="J191" s="242" t="s">
        <v>4603</v>
      </c>
      <c r="K191" s="242" t="s">
        <v>4692</v>
      </c>
      <c r="L191" s="242" t="s">
        <v>1032</v>
      </c>
      <c r="M191" s="242" t="s">
        <v>3774</v>
      </c>
      <c r="N191" s="242" t="s">
        <v>4620</v>
      </c>
      <c r="O191" s="158"/>
      <c r="P191" s="92"/>
      <c r="Q191" s="146"/>
      <c r="R191" s="92"/>
      <c r="S191" s="146"/>
      <c r="T191" s="92"/>
      <c r="U191" s="146"/>
      <c r="V191" s="92"/>
      <c r="W191" s="146"/>
      <c r="X191" s="92"/>
      <c r="Y191" s="146"/>
      <c r="Z191" s="92"/>
      <c r="AA191" s="146"/>
      <c r="AB191" s="64"/>
      <c r="AC191" s="146"/>
      <c r="AD191" s="64"/>
      <c r="AE191" s="146"/>
      <c r="AF191" s="215" t="str">
        <f t="shared" si="10"/>
        <v/>
      </c>
      <c r="AG191" s="96" t="b">
        <f t="shared" si="9"/>
        <v>0</v>
      </c>
      <c r="AH191" s="9"/>
      <c r="AI191" s="151" t="str">
        <f t="shared" si="13"/>
        <v>GUARULHOS</v>
      </c>
      <c r="AJ191" s="154" t="s">
        <v>6</v>
      </c>
      <c r="AK191" s="53">
        <v>0.90926768190841967</v>
      </c>
      <c r="AL191" s="53" t="str" cm="1">
        <f t="array" ref="AL191">IF(OR(O191&lt;&gt;"", SUMPRODUCT(($AM$2:$AM$210=AM191)*($AK$2:$AK$210&lt;=AK191)) &lt;= (COUNTIF($AM$2:$AM$210,AM191)*0.1)), "SORTEADO", "-")</f>
        <v>-</v>
      </c>
      <c r="AM191" s="53" t="str">
        <f t="shared" si="12"/>
        <v>14/04/2026</v>
      </c>
    </row>
    <row r="192" spans="1:39" ht="30" hidden="1" customHeight="1" x14ac:dyDescent="0.2">
      <c r="A192" s="230" t="s">
        <v>197</v>
      </c>
      <c r="B192" s="248">
        <v>2615551580</v>
      </c>
      <c r="C192" s="230" t="s">
        <v>140</v>
      </c>
      <c r="D192" s="230" t="s">
        <v>67</v>
      </c>
      <c r="E192" s="230" t="s">
        <v>198</v>
      </c>
      <c r="F192" s="230" t="s">
        <v>399</v>
      </c>
      <c r="G192" s="230">
        <v>407</v>
      </c>
      <c r="H192" s="230" t="s">
        <v>992</v>
      </c>
      <c r="I192" s="230" t="s">
        <v>394</v>
      </c>
      <c r="J192" s="230" t="s">
        <v>4605</v>
      </c>
      <c r="K192" s="230"/>
      <c r="L192" s="230" t="s">
        <v>1192</v>
      </c>
      <c r="M192" s="230" t="s">
        <v>4693</v>
      </c>
      <c r="N192" s="230" t="s">
        <v>4620</v>
      </c>
      <c r="O192" s="158"/>
      <c r="P192" s="92"/>
      <c r="Q192" s="146"/>
      <c r="R192" s="92"/>
      <c r="S192" s="146"/>
      <c r="T192" s="92"/>
      <c r="U192" s="146"/>
      <c r="V192" s="92"/>
      <c r="W192" s="146"/>
      <c r="X192" s="92"/>
      <c r="Y192" s="146"/>
      <c r="Z192" s="92"/>
      <c r="AA192" s="146"/>
      <c r="AB192" s="64"/>
      <c r="AC192" s="146"/>
      <c r="AD192" s="64"/>
      <c r="AE192" s="146"/>
      <c r="AF192" s="215" t="str">
        <f t="shared" si="10"/>
        <v/>
      </c>
      <c r="AG192" s="96" t="b">
        <f t="shared" si="9"/>
        <v>0</v>
      </c>
      <c r="AH192" s="9"/>
      <c r="AI192" s="151" t="str">
        <f t="shared" si="13"/>
        <v>GUARULHOS</v>
      </c>
      <c r="AJ192" s="154" t="s">
        <v>6</v>
      </c>
      <c r="AK192" s="53">
        <v>0.96997337648144444</v>
      </c>
      <c r="AL192" s="53" t="str" cm="1">
        <f t="array" ref="AL192">IF(OR(O192&lt;&gt;"", SUMPRODUCT(($AM$2:$AM$210=AM192)*($AK$2:$AK$210&lt;=AK192)) &lt;= (COUNTIF($AM$2:$AM$210,AM192)*0.1)), "SORTEADO", "-")</f>
        <v>-</v>
      </c>
      <c r="AM192" s="53" t="str">
        <f t="shared" si="12"/>
        <v>15/04/2026</v>
      </c>
    </row>
    <row r="193" spans="1:39" ht="30" hidden="1" customHeight="1" x14ac:dyDescent="0.2">
      <c r="A193" s="230" t="s">
        <v>197</v>
      </c>
      <c r="B193" s="248">
        <v>2690372822</v>
      </c>
      <c r="C193" s="230" t="s">
        <v>140</v>
      </c>
      <c r="D193" s="230" t="s">
        <v>67</v>
      </c>
      <c r="E193" s="230" t="s">
        <v>198</v>
      </c>
      <c r="F193" s="230" t="s">
        <v>904</v>
      </c>
      <c r="G193" s="230">
        <v>57</v>
      </c>
      <c r="H193" s="230" t="s">
        <v>213</v>
      </c>
      <c r="I193" s="230" t="s">
        <v>772</v>
      </c>
      <c r="J193" s="230" t="s">
        <v>4605</v>
      </c>
      <c r="K193" s="230" t="s">
        <v>213</v>
      </c>
      <c r="L193" s="230" t="s">
        <v>1192</v>
      </c>
      <c r="M193" s="230" t="s">
        <v>4694</v>
      </c>
      <c r="N193" s="230" t="s">
        <v>4620</v>
      </c>
      <c r="O193" s="158"/>
      <c r="P193" s="92"/>
      <c r="Q193" s="146"/>
      <c r="R193" s="92"/>
      <c r="S193" s="146"/>
      <c r="T193" s="92"/>
      <c r="U193" s="146"/>
      <c r="V193" s="92"/>
      <c r="W193" s="146"/>
      <c r="X193" s="92"/>
      <c r="Y193" s="146"/>
      <c r="Z193" s="92"/>
      <c r="AA193" s="146"/>
      <c r="AB193" s="64"/>
      <c r="AC193" s="146"/>
      <c r="AD193" s="64"/>
      <c r="AE193" s="146"/>
      <c r="AF193" s="215" t="str">
        <f t="shared" si="10"/>
        <v/>
      </c>
      <c r="AG193" s="96" t="b">
        <f t="shared" si="9"/>
        <v>0</v>
      </c>
      <c r="AH193" s="9"/>
      <c r="AI193" s="151" t="str">
        <f t="shared" si="13"/>
        <v>GUARULHOS</v>
      </c>
      <c r="AJ193" s="154" t="s">
        <v>6</v>
      </c>
      <c r="AK193" s="53">
        <v>0.70162849138128691</v>
      </c>
      <c r="AL193" s="53" t="str" cm="1">
        <f t="array" ref="AL193">IF(OR(O193&lt;&gt;"", SUMPRODUCT(($AM$2:$AM$210=AM193)*($AK$2:$AK$210&lt;=AK193)) &lt;= (COUNTIF($AM$2:$AM$210,AM193)*0.1)), "SORTEADO", "-")</f>
        <v>-</v>
      </c>
      <c r="AM193" s="53" t="str">
        <f t="shared" si="12"/>
        <v>15/04/2026</v>
      </c>
    </row>
    <row r="194" spans="1:39" ht="30" hidden="1" customHeight="1" x14ac:dyDescent="0.2">
      <c r="A194" s="230" t="s">
        <v>197</v>
      </c>
      <c r="B194" s="248">
        <v>2615422931</v>
      </c>
      <c r="C194" s="230" t="s">
        <v>138</v>
      </c>
      <c r="D194" s="230" t="s">
        <v>67</v>
      </c>
      <c r="E194" s="230" t="s">
        <v>198</v>
      </c>
      <c r="F194" s="230" t="s">
        <v>784</v>
      </c>
      <c r="G194" s="230">
        <v>426</v>
      </c>
      <c r="H194" s="230" t="s">
        <v>1046</v>
      </c>
      <c r="I194" s="230" t="s">
        <v>368</v>
      </c>
      <c r="J194" s="230" t="s">
        <v>4605</v>
      </c>
      <c r="K194" s="230"/>
      <c r="L194" s="230" t="s">
        <v>1192</v>
      </c>
      <c r="M194" s="230" t="s">
        <v>4695</v>
      </c>
      <c r="N194" s="230" t="s">
        <v>4620</v>
      </c>
      <c r="O194" s="158"/>
      <c r="P194" s="92"/>
      <c r="Q194" s="146"/>
      <c r="R194" s="92"/>
      <c r="S194" s="146"/>
      <c r="T194" s="92"/>
      <c r="U194" s="146"/>
      <c r="V194" s="92"/>
      <c r="W194" s="146"/>
      <c r="X194" s="92"/>
      <c r="Y194" s="146"/>
      <c r="Z194" s="92"/>
      <c r="AA194" s="146"/>
      <c r="AB194" s="64"/>
      <c r="AC194" s="146"/>
      <c r="AD194" s="64"/>
      <c r="AE194" s="146"/>
      <c r="AF194" s="215" t="str">
        <f t="shared" si="10"/>
        <v/>
      </c>
      <c r="AG194" s="96" t="b">
        <f t="shared" ref="AG194:AG257" si="14">IF(AND(AE194="C",AF194="C"),"UTILIZOU O PDA CORRETAMENTE",IF(AND(AE194="C",AF194="NC"),"UTILIZOU O PDA CORRETAMENTE. NÃO HÁ FOTOS DE TODAS AS ETAPAS",IF(AND(AE194="NC",AF194="NC"),"NÃO UTILIZOU O PDA",IF(AND(AE194="NA",AF194="NA"),"NÃO AVALIADO POR FALHA DE SINCRONISMO"))))</f>
        <v>0</v>
      </c>
      <c r="AH194" s="9"/>
      <c r="AI194" s="151" t="str">
        <f t="shared" si="13"/>
        <v>GUARULHOS</v>
      </c>
      <c r="AJ194" s="154" t="s">
        <v>6</v>
      </c>
      <c r="AK194" s="53">
        <v>0.82926195130415914</v>
      </c>
      <c r="AL194" s="53" t="str" cm="1">
        <f t="array" ref="AL194">IF(OR(O194&lt;&gt;"", SUMPRODUCT(($AM$2:$AM$210=AM194)*($AK$2:$AK$210&lt;=AK194)) &lt;= (COUNTIF($AM$2:$AM$210,AM194)*0.1)), "SORTEADO", "-")</f>
        <v>-</v>
      </c>
      <c r="AM194" s="53" t="str">
        <f t="shared" si="12"/>
        <v>15/04/2026</v>
      </c>
    </row>
    <row r="195" spans="1:39" ht="30" hidden="1" customHeight="1" x14ac:dyDescent="0.2">
      <c r="A195" s="230" t="s">
        <v>197</v>
      </c>
      <c r="B195" s="248">
        <v>2615278836</v>
      </c>
      <c r="C195" s="230" t="s">
        <v>139</v>
      </c>
      <c r="D195" s="230" t="s">
        <v>67</v>
      </c>
      <c r="E195" s="230" t="s">
        <v>198</v>
      </c>
      <c r="F195" s="230" t="s">
        <v>567</v>
      </c>
      <c r="G195" s="230">
        <v>2120</v>
      </c>
      <c r="H195" s="230" t="s">
        <v>2774</v>
      </c>
      <c r="I195" s="230" t="s">
        <v>281</v>
      </c>
      <c r="J195" s="230" t="s">
        <v>4603</v>
      </c>
      <c r="K195" s="230" t="s">
        <v>213</v>
      </c>
      <c r="L195" s="230" t="s">
        <v>1192</v>
      </c>
      <c r="M195" s="230" t="s">
        <v>4696</v>
      </c>
      <c r="N195" s="230" t="s">
        <v>4604</v>
      </c>
      <c r="O195" s="158"/>
      <c r="P195" s="92"/>
      <c r="Q195" s="146"/>
      <c r="R195" s="92"/>
      <c r="S195" s="146"/>
      <c r="T195" s="92"/>
      <c r="U195" s="146"/>
      <c r="V195" s="92"/>
      <c r="W195" s="146"/>
      <c r="X195" s="92"/>
      <c r="Y195" s="146"/>
      <c r="Z195" s="92"/>
      <c r="AA195" s="146"/>
      <c r="AB195" s="64"/>
      <c r="AC195" s="146"/>
      <c r="AD195" s="64"/>
      <c r="AE195" s="146"/>
      <c r="AF195" s="215" t="str">
        <f t="shared" ref="AF195:AF258" si="15">IF(AND(O195="",Q195="",S195="",U195="",W195="",Y195="",AA195="",AC195=""),"",
IF(OR(    AND(O195&lt;&gt;"NA",O195&lt;&gt;"C",O195&lt;&gt;"NC",O195&lt;&gt;"SF",O195&lt;&gt;""),
    AND(Q195&lt;&gt;"NA",Q195&lt;&gt;"C",Q195&lt;&gt;"NC",Q195&lt;&gt;"SF",Q195&lt;&gt;""),
    AND(S195&lt;&gt;"NA",S195&lt;&gt;"C",S195&lt;&gt;"NC",S195&lt;&gt;"SF",S195&lt;&gt;""),
    AND(U195&lt;&gt;"NA",U195&lt;&gt;"C",U195&lt;&gt;"NC",U195&lt;&gt;"SF",U195&lt;&gt;""),
    AND(W195&lt;&gt;"NA",W195&lt;&gt;"C",W195&lt;&gt;"NC",W195&lt;&gt;"SF",W195&lt;&gt;""),
    AND(Y195&lt;&gt;"NA",Y195&lt;&gt;"C",Y195&lt;&gt;"NC",Y195&lt;&gt;"SF",Y195&lt;&gt;""),
    AND(AA195&lt;&gt;"NA",AA195&lt;&gt;"C",AA195&lt;&gt;"NC",AA195&lt;&gt;"SF",AA195&lt;&gt;""),
    AND(AC195&lt;&gt;"NA",AC195&lt;&gt;"C",AC195&lt;&gt;"NC",AC195&lt;&gt;"SF",AC195&lt;&gt;"")
),"FALSO",
IF(AND(O195="NA",Q195="NA",S195="NA",U195="NA",W195="NA",Y195="NA",AA195="NA",AC195="NA"),"NA",
IF(OR(O195="NC",Q195="NC",S195="NC",U195="NC",W195="NC",Y195="NC",AA195="NC",AC195="NC",
       O195="SF",Q195="SF",S195="SF",U195="SF",W195="SF",Y195="SF",AA195="SF",AC195="SF"),"NC",
IF(SUM(IF(O195="C",1,0),IF(Q195="C",1,0),IF(S195="C",1,0),IF(U195="C",1,0),IF(W195="C",1,0),IF(Y195="C",1,0),IF(AA195="C",1,0),IF(AC195="C",1,0))=1,"C","C")))))</f>
        <v/>
      </c>
      <c r="AG195" s="96" t="b">
        <f t="shared" si="14"/>
        <v>0</v>
      </c>
      <c r="AH195" s="9"/>
      <c r="AI195" s="151" t="str">
        <f t="shared" si="13"/>
        <v>GUARULHOS</v>
      </c>
      <c r="AJ195" s="154" t="s">
        <v>6</v>
      </c>
      <c r="AK195" s="53">
        <v>0.30065362150107122</v>
      </c>
      <c r="AL195" s="53" t="str" cm="1">
        <f t="array" ref="AL195">IF(OR(O195&lt;&gt;"", SUMPRODUCT(($AM$2:$AM$210=AM195)*($AK$2:$AK$210&lt;=AK195)) &lt;= (COUNTIF($AM$2:$AM$210,AM195)*0.1)), "SORTEADO", "-")</f>
        <v>-</v>
      </c>
      <c r="AM195" s="53" t="str">
        <f t="shared" si="12"/>
        <v>15/04/2026</v>
      </c>
    </row>
    <row r="196" spans="1:39" ht="30" hidden="1" customHeight="1" x14ac:dyDescent="0.2">
      <c r="A196" s="230" t="s">
        <v>197</v>
      </c>
      <c r="B196" s="248">
        <v>2615282599</v>
      </c>
      <c r="C196" s="230" t="s">
        <v>138</v>
      </c>
      <c r="D196" s="230" t="s">
        <v>67</v>
      </c>
      <c r="E196" s="230" t="s">
        <v>198</v>
      </c>
      <c r="F196" s="230" t="s">
        <v>990</v>
      </c>
      <c r="G196" s="230">
        <v>455</v>
      </c>
      <c r="H196" s="230"/>
      <c r="I196" s="230" t="s">
        <v>513</v>
      </c>
      <c r="J196" s="230" t="s">
        <v>4605</v>
      </c>
      <c r="K196" s="230"/>
      <c r="L196" s="230" t="s">
        <v>1192</v>
      </c>
      <c r="M196" s="230" t="s">
        <v>4697</v>
      </c>
      <c r="N196" s="230" t="s">
        <v>4604</v>
      </c>
      <c r="O196" s="158"/>
      <c r="P196" s="92"/>
      <c r="Q196" s="146"/>
      <c r="R196" s="92"/>
      <c r="S196" s="146"/>
      <c r="T196" s="92"/>
      <c r="U196" s="146"/>
      <c r="V196" s="92"/>
      <c r="W196" s="146"/>
      <c r="X196" s="92"/>
      <c r="Y196" s="146"/>
      <c r="Z196" s="92"/>
      <c r="AA196" s="146"/>
      <c r="AB196" s="64"/>
      <c r="AC196" s="146"/>
      <c r="AD196" s="64"/>
      <c r="AE196" s="146"/>
      <c r="AF196" s="215" t="str">
        <f t="shared" si="15"/>
        <v/>
      </c>
      <c r="AG196" s="96" t="b">
        <f t="shared" si="14"/>
        <v>0</v>
      </c>
      <c r="AH196" s="9"/>
      <c r="AI196" s="151" t="str">
        <f t="shared" si="13"/>
        <v>GUARULHOS</v>
      </c>
      <c r="AJ196" s="154" t="s">
        <v>6</v>
      </c>
      <c r="AK196" s="53">
        <v>0.28729146315129894</v>
      </c>
      <c r="AL196" s="53" t="str" cm="1">
        <f t="array" ref="AL196">IF(OR(O196&lt;&gt;"", SUMPRODUCT(($AM$2:$AM$210=AM196)*($AK$2:$AK$210&lt;=AK196)) &lt;= (COUNTIF($AM$2:$AM$210,AM196)*0.1)), "SORTEADO", "-")</f>
        <v>-</v>
      </c>
      <c r="AM196" s="53" t="str">
        <f t="shared" si="12"/>
        <v>15/04/2026</v>
      </c>
    </row>
    <row r="197" spans="1:39" ht="30" hidden="1" customHeight="1" x14ac:dyDescent="0.2">
      <c r="A197" s="230" t="s">
        <v>197</v>
      </c>
      <c r="B197" s="248">
        <v>2615305031</v>
      </c>
      <c r="C197" s="230" t="s">
        <v>138</v>
      </c>
      <c r="D197" s="230" t="s">
        <v>67</v>
      </c>
      <c r="E197" s="230" t="s">
        <v>198</v>
      </c>
      <c r="F197" s="230" t="s">
        <v>911</v>
      </c>
      <c r="G197" s="230">
        <v>77</v>
      </c>
      <c r="H197" s="230" t="s">
        <v>912</v>
      </c>
      <c r="I197" s="230" t="s">
        <v>791</v>
      </c>
      <c r="J197" s="230" t="s">
        <v>4605</v>
      </c>
      <c r="K197" s="230" t="s">
        <v>213</v>
      </c>
      <c r="L197" s="230" t="s">
        <v>1192</v>
      </c>
      <c r="M197" s="230" t="s">
        <v>4698</v>
      </c>
      <c r="N197" s="230" t="s">
        <v>4604</v>
      </c>
      <c r="O197" s="158"/>
      <c r="P197" s="92"/>
      <c r="Q197" s="146"/>
      <c r="R197" s="92"/>
      <c r="S197" s="146"/>
      <c r="T197" s="92"/>
      <c r="U197" s="146"/>
      <c r="V197" s="92"/>
      <c r="W197" s="146"/>
      <c r="X197" s="92"/>
      <c r="Y197" s="146"/>
      <c r="Z197" s="92"/>
      <c r="AA197" s="146"/>
      <c r="AB197" s="64"/>
      <c r="AC197" s="146"/>
      <c r="AD197" s="64"/>
      <c r="AE197" s="146"/>
      <c r="AF197" s="215" t="str">
        <f t="shared" si="15"/>
        <v/>
      </c>
      <c r="AG197" s="96" t="b">
        <f t="shared" si="14"/>
        <v>0</v>
      </c>
      <c r="AH197" s="9"/>
      <c r="AI197" s="151" t="str">
        <f t="shared" si="13"/>
        <v>GUARULHOS</v>
      </c>
      <c r="AJ197" s="154" t="s">
        <v>6</v>
      </c>
      <c r="AK197" s="53">
        <v>0.89192100573271149</v>
      </c>
      <c r="AL197" s="53" t="str" cm="1">
        <f t="array" ref="AL197">IF(OR(O197&lt;&gt;"", SUMPRODUCT(($AM$2:$AM$210=AM197)*($AK$2:$AK$210&lt;=AK197)) &lt;= (COUNTIF($AM$2:$AM$210,AM197)*0.1)), "SORTEADO", "-")</f>
        <v>-</v>
      </c>
      <c r="AM197" s="53" t="str">
        <f t="shared" si="12"/>
        <v>15/04/2026</v>
      </c>
    </row>
    <row r="198" spans="1:39" ht="30" hidden="1" customHeight="1" x14ac:dyDescent="0.2">
      <c r="A198" s="230" t="s">
        <v>197</v>
      </c>
      <c r="B198" s="248">
        <v>2690498649</v>
      </c>
      <c r="C198" s="230" t="s">
        <v>140</v>
      </c>
      <c r="D198" s="230" t="s">
        <v>67</v>
      </c>
      <c r="E198" s="230" t="s">
        <v>198</v>
      </c>
      <c r="F198" s="230" t="s">
        <v>1080</v>
      </c>
      <c r="G198" s="230">
        <v>71</v>
      </c>
      <c r="H198" s="230" t="s">
        <v>1081</v>
      </c>
      <c r="I198" s="230" t="s">
        <v>1082</v>
      </c>
      <c r="J198" s="230" t="s">
        <v>4605</v>
      </c>
      <c r="K198" s="230"/>
      <c r="L198" s="230" t="s">
        <v>1192</v>
      </c>
      <c r="M198" s="230" t="s">
        <v>4699</v>
      </c>
      <c r="N198" s="230" t="s">
        <v>4604</v>
      </c>
      <c r="O198" s="158"/>
      <c r="P198" s="92"/>
      <c r="Q198" s="146"/>
      <c r="R198" s="92"/>
      <c r="S198" s="146"/>
      <c r="T198" s="92"/>
      <c r="U198" s="146"/>
      <c r="V198" s="92"/>
      <c r="W198" s="146"/>
      <c r="X198" s="92"/>
      <c r="Y198" s="146"/>
      <c r="Z198" s="92"/>
      <c r="AA198" s="146"/>
      <c r="AB198" s="64"/>
      <c r="AC198" s="146"/>
      <c r="AD198" s="64"/>
      <c r="AE198" s="146"/>
      <c r="AF198" s="215" t="str">
        <f t="shared" si="15"/>
        <v/>
      </c>
      <c r="AG198" s="96" t="b">
        <f t="shared" si="14"/>
        <v>0</v>
      </c>
      <c r="AH198" s="9"/>
      <c r="AI198" s="151" t="str">
        <f t="shared" si="13"/>
        <v>GUARULHOS</v>
      </c>
      <c r="AJ198" s="154" t="s">
        <v>6</v>
      </c>
      <c r="AK198" s="53">
        <v>0.94765371118136921</v>
      </c>
      <c r="AL198" s="53" t="str" cm="1">
        <f t="array" ref="AL198">IF(OR(O198&lt;&gt;"", SUMPRODUCT(($AM$2:$AM$210=AM198)*($AK$2:$AK$210&lt;=AK198)) &lt;= (COUNTIF($AM$2:$AM$210,AM198)*0.1)), "SORTEADO", "-")</f>
        <v>-</v>
      </c>
      <c r="AM198" s="53" t="str">
        <f t="shared" si="12"/>
        <v>15/04/2026</v>
      </c>
    </row>
    <row r="199" spans="1:39" ht="30" hidden="1" customHeight="1" x14ac:dyDescent="0.2">
      <c r="A199" s="230" t="s">
        <v>197</v>
      </c>
      <c r="B199" s="248">
        <v>2615547860</v>
      </c>
      <c r="C199" s="230" t="s">
        <v>140</v>
      </c>
      <c r="D199" s="230" t="s">
        <v>67</v>
      </c>
      <c r="E199" s="230" t="s">
        <v>198</v>
      </c>
      <c r="F199" s="230" t="s">
        <v>2647</v>
      </c>
      <c r="G199" s="230">
        <v>262</v>
      </c>
      <c r="H199" s="230" t="s">
        <v>213</v>
      </c>
      <c r="I199" s="230" t="s">
        <v>247</v>
      </c>
      <c r="J199" s="230" t="s">
        <v>4605</v>
      </c>
      <c r="K199" s="230" t="s">
        <v>213</v>
      </c>
      <c r="L199" s="230" t="s">
        <v>1192</v>
      </c>
      <c r="M199" s="230" t="s">
        <v>3873</v>
      </c>
      <c r="N199" s="230" t="s">
        <v>4613</v>
      </c>
      <c r="O199" s="158"/>
      <c r="P199" s="92"/>
      <c r="Q199" s="146"/>
      <c r="R199" s="92"/>
      <c r="S199" s="146"/>
      <c r="T199" s="92"/>
      <c r="U199" s="146"/>
      <c r="V199" s="92"/>
      <c r="W199" s="146"/>
      <c r="X199" s="92"/>
      <c r="Y199" s="146"/>
      <c r="Z199" s="92"/>
      <c r="AA199" s="146"/>
      <c r="AB199" s="64"/>
      <c r="AC199" s="146"/>
      <c r="AD199" s="64"/>
      <c r="AE199" s="146"/>
      <c r="AF199" s="215" t="str">
        <f t="shared" si="15"/>
        <v/>
      </c>
      <c r="AG199" s="96" t="b">
        <f t="shared" si="14"/>
        <v>0</v>
      </c>
      <c r="AH199" s="9"/>
      <c r="AI199" s="151" t="str">
        <f t="shared" si="13"/>
        <v>GUARULHOS</v>
      </c>
      <c r="AJ199" s="154" t="s">
        <v>6</v>
      </c>
      <c r="AK199" s="53">
        <v>0.54260636306984933</v>
      </c>
      <c r="AL199" s="53" t="str" cm="1">
        <f t="array" ref="AL199">IF(OR(O199&lt;&gt;"", SUMPRODUCT(($AM$2:$AM$210=AM199)*($AK$2:$AK$210&lt;=AK199)) &lt;= (COUNTIF($AM$2:$AM$210,AM199)*0.1)), "SORTEADO", "-")</f>
        <v>-</v>
      </c>
      <c r="AM199" s="53" t="str">
        <f t="shared" si="12"/>
        <v>15/04/2026</v>
      </c>
    </row>
    <row r="200" spans="1:39" ht="30" hidden="1" customHeight="1" x14ac:dyDescent="0.2">
      <c r="A200" s="230" t="s">
        <v>197</v>
      </c>
      <c r="B200" s="248">
        <v>2615576189</v>
      </c>
      <c r="C200" s="230" t="s">
        <v>139</v>
      </c>
      <c r="D200" s="230" t="s">
        <v>67</v>
      </c>
      <c r="E200" s="230" t="s">
        <v>198</v>
      </c>
      <c r="F200" s="230" t="s">
        <v>1141</v>
      </c>
      <c r="G200" s="230">
        <v>108</v>
      </c>
      <c r="H200" s="230"/>
      <c r="I200" s="230" t="s">
        <v>893</v>
      </c>
      <c r="J200" s="230" t="s">
        <v>4603</v>
      </c>
      <c r="K200" s="230"/>
      <c r="L200" s="230" t="s">
        <v>1192</v>
      </c>
      <c r="M200" s="230" t="s">
        <v>4700</v>
      </c>
      <c r="N200" s="230" t="s">
        <v>4613</v>
      </c>
      <c r="O200" s="158"/>
      <c r="P200" s="92"/>
      <c r="Q200" s="146"/>
      <c r="R200" s="92"/>
      <c r="S200" s="146"/>
      <c r="T200" s="92"/>
      <c r="U200" s="146"/>
      <c r="V200" s="92"/>
      <c r="W200" s="146"/>
      <c r="X200" s="92"/>
      <c r="Y200" s="146"/>
      <c r="Z200" s="92"/>
      <c r="AA200" s="146"/>
      <c r="AB200" s="64"/>
      <c r="AC200" s="146"/>
      <c r="AD200" s="64"/>
      <c r="AE200" s="146"/>
      <c r="AF200" s="215" t="str">
        <f t="shared" si="15"/>
        <v/>
      </c>
      <c r="AG200" s="96" t="b">
        <f t="shared" si="14"/>
        <v>0</v>
      </c>
      <c r="AH200" s="9"/>
      <c r="AI200" s="151" t="str">
        <f t="shared" si="13"/>
        <v>GUARULHOS</v>
      </c>
      <c r="AJ200" s="154" t="s">
        <v>6</v>
      </c>
      <c r="AK200" s="53">
        <v>0.28020512416367493</v>
      </c>
      <c r="AL200" s="53" t="str" cm="1">
        <f t="array" ref="AL200">IF(OR(O200&lt;&gt;"", SUMPRODUCT(($AM$2:$AM$210=AM200)*($AK$2:$AK$210&lt;=AK200)) &lt;= (COUNTIF($AM$2:$AM$210,AM200)*0.1)), "SORTEADO", "-")</f>
        <v>-</v>
      </c>
      <c r="AM200" s="53" t="str">
        <f t="shared" si="12"/>
        <v>15/04/2026</v>
      </c>
    </row>
    <row r="201" spans="1:39" ht="30" hidden="1" customHeight="1" x14ac:dyDescent="0.2">
      <c r="A201" s="230" t="s">
        <v>197</v>
      </c>
      <c r="B201" s="248">
        <v>2615527794</v>
      </c>
      <c r="C201" s="230" t="s">
        <v>140</v>
      </c>
      <c r="D201" s="230" t="s">
        <v>67</v>
      </c>
      <c r="E201" s="230" t="s">
        <v>198</v>
      </c>
      <c r="F201" s="230" t="s">
        <v>966</v>
      </c>
      <c r="G201" s="230">
        <v>1097</v>
      </c>
      <c r="H201" s="230" t="s">
        <v>217</v>
      </c>
      <c r="I201" s="230" t="s">
        <v>588</v>
      </c>
      <c r="J201" s="230" t="s">
        <v>4605</v>
      </c>
      <c r="K201" s="230" t="s">
        <v>213</v>
      </c>
      <c r="L201" s="230" t="s">
        <v>1192</v>
      </c>
      <c r="M201" s="230" t="s">
        <v>4701</v>
      </c>
      <c r="N201" s="230" t="s">
        <v>4613</v>
      </c>
      <c r="O201" s="158"/>
      <c r="P201" s="92"/>
      <c r="Q201" s="146"/>
      <c r="R201" s="92"/>
      <c r="S201" s="146"/>
      <c r="T201" s="92"/>
      <c r="U201" s="146"/>
      <c r="V201" s="92"/>
      <c r="W201" s="146"/>
      <c r="X201" s="92"/>
      <c r="Y201" s="146"/>
      <c r="Z201" s="92"/>
      <c r="AA201" s="146"/>
      <c r="AB201" s="64"/>
      <c r="AC201" s="146"/>
      <c r="AD201" s="64"/>
      <c r="AE201" s="146"/>
      <c r="AF201" s="215" t="str">
        <f t="shared" si="15"/>
        <v/>
      </c>
      <c r="AG201" s="96" t="b">
        <f t="shared" si="14"/>
        <v>0</v>
      </c>
      <c r="AH201" s="9"/>
      <c r="AI201" s="151" t="str">
        <f t="shared" si="13"/>
        <v>GUARULHOS</v>
      </c>
      <c r="AJ201" s="154" t="s">
        <v>6</v>
      </c>
      <c r="AK201" s="53">
        <v>0.18095830431920579</v>
      </c>
      <c r="AL201" s="53" t="str" cm="1">
        <f t="array" ref="AL201">IF(OR(O201&lt;&gt;"", SUMPRODUCT(($AM$2:$AM$210=AM201)*($AK$2:$AK$210&lt;=AK201)) &lt;= (COUNTIF($AM$2:$AM$210,AM201)*0.1)), "SORTEADO", "-")</f>
        <v>-</v>
      </c>
      <c r="AM201" s="53" t="str">
        <f t="shared" si="12"/>
        <v>15/04/2026</v>
      </c>
    </row>
    <row r="202" spans="1:39" ht="30" hidden="1" customHeight="1" x14ac:dyDescent="0.2">
      <c r="A202" s="230" t="s">
        <v>197</v>
      </c>
      <c r="B202" s="248">
        <v>2615497930</v>
      </c>
      <c r="C202" s="230" t="s">
        <v>141</v>
      </c>
      <c r="D202" s="230" t="s">
        <v>67</v>
      </c>
      <c r="E202" s="230" t="s">
        <v>198</v>
      </c>
      <c r="F202" s="230" t="s">
        <v>679</v>
      </c>
      <c r="G202" s="230">
        <v>8</v>
      </c>
      <c r="H202" s="230" t="s">
        <v>800</v>
      </c>
      <c r="I202" s="230" t="s">
        <v>801</v>
      </c>
      <c r="J202" s="230" t="s">
        <v>4603</v>
      </c>
      <c r="K202" s="230" t="s">
        <v>4702</v>
      </c>
      <c r="L202" s="230" t="s">
        <v>1192</v>
      </c>
      <c r="M202" s="230" t="s">
        <v>4703</v>
      </c>
      <c r="N202" s="230" t="s">
        <v>4613</v>
      </c>
      <c r="O202" s="158"/>
      <c r="P202" s="92"/>
      <c r="Q202" s="146"/>
      <c r="R202" s="92"/>
      <c r="S202" s="146"/>
      <c r="T202" s="92"/>
      <c r="U202" s="146"/>
      <c r="V202" s="92"/>
      <c r="W202" s="146"/>
      <c r="X202" s="92"/>
      <c r="Y202" s="146"/>
      <c r="Z202" s="92"/>
      <c r="AA202" s="146"/>
      <c r="AB202" s="64"/>
      <c r="AC202" s="146"/>
      <c r="AD202" s="64"/>
      <c r="AE202" s="146"/>
      <c r="AF202" s="215" t="str">
        <f t="shared" si="15"/>
        <v/>
      </c>
      <c r="AG202" s="96" t="b">
        <f t="shared" si="14"/>
        <v>0</v>
      </c>
      <c r="AH202" s="9"/>
      <c r="AI202" s="151" t="str">
        <f t="shared" si="13"/>
        <v>GUARULHOS</v>
      </c>
      <c r="AJ202" s="154" t="s">
        <v>6</v>
      </c>
      <c r="AK202" s="53">
        <v>0.58879145674707378</v>
      </c>
      <c r="AL202" s="53" t="str" cm="1">
        <f t="array" ref="AL202">IF(OR(O202&lt;&gt;"", SUMPRODUCT(($AM$2:$AM$210=AM202)*($AK$2:$AK$210&lt;=AK202)) &lt;= (COUNTIF($AM$2:$AM$210,AM202)*0.1)), "SORTEADO", "-")</f>
        <v>-</v>
      </c>
      <c r="AM202" s="53" t="str">
        <f t="shared" si="12"/>
        <v>15/04/2026</v>
      </c>
    </row>
    <row r="203" spans="1:39" ht="30" hidden="1" customHeight="1" x14ac:dyDescent="0.2">
      <c r="A203" s="230" t="s">
        <v>197</v>
      </c>
      <c r="B203" s="230">
        <v>2615264292</v>
      </c>
      <c r="C203" s="230" t="s">
        <v>141</v>
      </c>
      <c r="D203" s="230" t="s">
        <v>67</v>
      </c>
      <c r="E203" s="230" t="s">
        <v>198</v>
      </c>
      <c r="F203" s="230" t="s">
        <v>1105</v>
      </c>
      <c r="G203" s="230">
        <v>64</v>
      </c>
      <c r="H203" s="230" t="s">
        <v>1106</v>
      </c>
      <c r="I203" s="230" t="s">
        <v>708</v>
      </c>
      <c r="J203" s="230" t="s">
        <v>4603</v>
      </c>
      <c r="K203" s="230" t="s">
        <v>4704</v>
      </c>
      <c r="L203" s="230" t="s">
        <v>1192</v>
      </c>
      <c r="M203" s="230" t="s">
        <v>4705</v>
      </c>
      <c r="N203" s="230" t="s">
        <v>4613</v>
      </c>
      <c r="O203" s="144" t="s">
        <v>61</v>
      </c>
      <c r="P203" s="9"/>
      <c r="Q203" s="146" t="s">
        <v>61</v>
      </c>
      <c r="R203" s="92"/>
      <c r="S203" s="146" t="s">
        <v>61</v>
      </c>
      <c r="T203" s="92"/>
      <c r="U203" s="146" t="s">
        <v>61</v>
      </c>
      <c r="V203" s="92"/>
      <c r="W203" s="146" t="s">
        <v>61</v>
      </c>
      <c r="X203" s="92"/>
      <c r="Y203" s="146" t="s">
        <v>61</v>
      </c>
      <c r="Z203" s="92"/>
      <c r="AA203" s="146" t="s">
        <v>61</v>
      </c>
      <c r="AB203" s="64"/>
      <c r="AC203" s="146" t="s">
        <v>61</v>
      </c>
      <c r="AD203" s="64"/>
      <c r="AE203" s="146" t="s">
        <v>61</v>
      </c>
      <c r="AF203" s="215" t="str">
        <f t="shared" si="15"/>
        <v>NA</v>
      </c>
      <c r="AG203" s="96" t="str">
        <f t="shared" si="14"/>
        <v>NÃO AVALIADO POR FALHA DE SINCRONISMO</v>
      </c>
      <c r="AH203" s="9" t="s">
        <v>39</v>
      </c>
      <c r="AI203" s="151" t="str">
        <f t="shared" si="13"/>
        <v>GUARULHOS</v>
      </c>
      <c r="AJ203" s="154" t="s">
        <v>6</v>
      </c>
      <c r="AK203" s="53">
        <v>-4.0399999999999998E-2</v>
      </c>
      <c r="AL203" s="53" t="str" cm="1">
        <f t="array" ref="AL203">IF(OR(O203&lt;&gt;"", SUMPRODUCT(($AM$2:$AM$210=AM203)*($AK$2:$AK$210&lt;=AK203)) &lt;= (COUNTIF($AM$2:$AM$210,AM203)*0.1)), "SORTEADO", "-")</f>
        <v>SORTEADO</v>
      </c>
      <c r="AM203" s="53" t="str">
        <f t="shared" si="12"/>
        <v>15/04/2026</v>
      </c>
    </row>
    <row r="204" spans="1:39" ht="30" hidden="1" customHeight="1" x14ac:dyDescent="0.2">
      <c r="A204" s="230" t="s">
        <v>197</v>
      </c>
      <c r="B204" s="230">
        <v>2615264503</v>
      </c>
      <c r="C204" s="230" t="s">
        <v>139</v>
      </c>
      <c r="D204" s="230" t="s">
        <v>67</v>
      </c>
      <c r="E204" s="230" t="s">
        <v>198</v>
      </c>
      <c r="F204" s="230" t="s">
        <v>1105</v>
      </c>
      <c r="G204" s="230">
        <v>52</v>
      </c>
      <c r="H204" s="230"/>
      <c r="I204" s="230" t="s">
        <v>708</v>
      </c>
      <c r="J204" s="230" t="s">
        <v>4603</v>
      </c>
      <c r="K204" s="230" t="s">
        <v>4706</v>
      </c>
      <c r="L204" s="230" t="s">
        <v>1192</v>
      </c>
      <c r="M204" s="230" t="s">
        <v>4707</v>
      </c>
      <c r="N204" s="230" t="s">
        <v>4613</v>
      </c>
      <c r="O204" s="144" t="s">
        <v>61</v>
      </c>
      <c r="P204" s="9"/>
      <c r="Q204" s="146" t="s">
        <v>61</v>
      </c>
      <c r="R204" s="92"/>
      <c r="S204" s="146" t="s">
        <v>61</v>
      </c>
      <c r="T204" s="92"/>
      <c r="U204" s="146" t="s">
        <v>61</v>
      </c>
      <c r="V204" s="92"/>
      <c r="W204" s="146" t="s">
        <v>61</v>
      </c>
      <c r="X204" s="92"/>
      <c r="Y204" s="146" t="s">
        <v>61</v>
      </c>
      <c r="Z204" s="92"/>
      <c r="AA204" s="146" t="s">
        <v>61</v>
      </c>
      <c r="AB204" s="64"/>
      <c r="AC204" s="146" t="s">
        <v>61</v>
      </c>
      <c r="AD204" s="64"/>
      <c r="AE204" s="146" t="s">
        <v>61</v>
      </c>
      <c r="AF204" s="215" t="str">
        <f t="shared" si="15"/>
        <v>NA</v>
      </c>
      <c r="AG204" s="96" t="str">
        <f t="shared" si="14"/>
        <v>NÃO AVALIADO POR FALHA DE SINCRONISMO</v>
      </c>
      <c r="AH204" s="9" t="s">
        <v>39</v>
      </c>
      <c r="AI204" s="151" t="str">
        <f t="shared" si="13"/>
        <v>GUARULHOS</v>
      </c>
      <c r="AJ204" s="154" t="s">
        <v>6</v>
      </c>
      <c r="AK204" s="53">
        <v>-4.0599999999999997E-2</v>
      </c>
      <c r="AL204" s="53" t="str" cm="1">
        <f t="array" ref="AL204">IF(OR(O204&lt;&gt;"", SUMPRODUCT(($AM$2:$AM$210=AM204)*($AK$2:$AK$210&lt;=AK204)) &lt;= (COUNTIF($AM$2:$AM$210,AM204)*0.1)), "SORTEADO", "-")</f>
        <v>SORTEADO</v>
      </c>
      <c r="AM204" s="53" t="str">
        <f t="shared" si="12"/>
        <v>15/04/2026</v>
      </c>
    </row>
    <row r="205" spans="1:39" ht="30" hidden="1" customHeight="1" x14ac:dyDescent="0.2">
      <c r="A205" s="230" t="s">
        <v>197</v>
      </c>
      <c r="B205" s="248">
        <v>2615495161</v>
      </c>
      <c r="C205" s="230" t="s">
        <v>138</v>
      </c>
      <c r="D205" s="230" t="s">
        <v>67</v>
      </c>
      <c r="E205" s="230" t="s">
        <v>198</v>
      </c>
      <c r="F205" s="230" t="s">
        <v>2808</v>
      </c>
      <c r="G205" s="230">
        <v>298</v>
      </c>
      <c r="H205" s="230" t="s">
        <v>1599</v>
      </c>
      <c r="I205" s="230" t="s">
        <v>285</v>
      </c>
      <c r="J205" s="230" t="s">
        <v>4605</v>
      </c>
      <c r="K205" s="230" t="s">
        <v>4612</v>
      </c>
      <c r="L205" s="230" t="s">
        <v>1192</v>
      </c>
      <c r="M205" s="230" t="s">
        <v>3832</v>
      </c>
      <c r="N205" s="230" t="s">
        <v>4613</v>
      </c>
      <c r="O205" s="158"/>
      <c r="P205" s="92"/>
      <c r="Q205" s="146"/>
      <c r="R205" s="92"/>
      <c r="S205" s="146"/>
      <c r="T205" s="92"/>
      <c r="U205" s="146"/>
      <c r="V205" s="92"/>
      <c r="W205" s="146"/>
      <c r="X205" s="92"/>
      <c r="Y205" s="146"/>
      <c r="Z205" s="92"/>
      <c r="AA205" s="146"/>
      <c r="AB205" s="64"/>
      <c r="AC205" s="146"/>
      <c r="AD205" s="64"/>
      <c r="AE205" s="146"/>
      <c r="AF205" s="215" t="str">
        <f t="shared" si="15"/>
        <v/>
      </c>
      <c r="AG205" s="96" t="b">
        <f t="shared" si="14"/>
        <v>0</v>
      </c>
      <c r="AH205" s="9"/>
      <c r="AI205" s="151" t="str">
        <f t="shared" si="13"/>
        <v>GUARULHOS</v>
      </c>
      <c r="AJ205" s="154" t="s">
        <v>6</v>
      </c>
      <c r="AK205" s="53">
        <v>0.82502544839350012</v>
      </c>
      <c r="AL205" s="53" t="str" cm="1">
        <f t="array" ref="AL205">IF(OR(O205&lt;&gt;"", SUMPRODUCT(($AM$2:$AM$210=AM205)*($AK$2:$AK$210&lt;=AK205)) &lt;= (COUNTIF($AM$2:$AM$210,AM205)*0.1)), "SORTEADO", "-")</f>
        <v>-</v>
      </c>
      <c r="AM205" s="53" t="str">
        <f t="shared" si="12"/>
        <v>15/04/2026</v>
      </c>
    </row>
    <row r="206" spans="1:39" ht="30" hidden="1" customHeight="1" x14ac:dyDescent="0.2">
      <c r="A206" s="230" t="s">
        <v>197</v>
      </c>
      <c r="B206" s="248">
        <v>2615572211</v>
      </c>
      <c r="C206" s="230" t="s">
        <v>139</v>
      </c>
      <c r="D206" s="230" t="s">
        <v>67</v>
      </c>
      <c r="E206" s="230" t="s">
        <v>198</v>
      </c>
      <c r="F206" s="230" t="s">
        <v>2778</v>
      </c>
      <c r="G206" s="230">
        <v>621</v>
      </c>
      <c r="H206" s="230" t="s">
        <v>206</v>
      </c>
      <c r="I206" s="230" t="s">
        <v>971</v>
      </c>
      <c r="J206" s="230" t="s">
        <v>4603</v>
      </c>
      <c r="K206" s="230" t="s">
        <v>213</v>
      </c>
      <c r="L206" s="230" t="s">
        <v>1192</v>
      </c>
      <c r="M206" s="230" t="s">
        <v>4708</v>
      </c>
      <c r="N206" s="230" t="s">
        <v>4620</v>
      </c>
      <c r="O206" s="158"/>
      <c r="P206" s="92"/>
      <c r="Q206" s="146"/>
      <c r="R206" s="92"/>
      <c r="S206" s="146"/>
      <c r="T206" s="92"/>
      <c r="U206" s="146"/>
      <c r="V206" s="92"/>
      <c r="W206" s="146"/>
      <c r="X206" s="92"/>
      <c r="Y206" s="146"/>
      <c r="Z206" s="92"/>
      <c r="AA206" s="146"/>
      <c r="AB206" s="64"/>
      <c r="AC206" s="146"/>
      <c r="AD206" s="64"/>
      <c r="AE206" s="146"/>
      <c r="AF206" s="215" t="str">
        <f t="shared" si="15"/>
        <v/>
      </c>
      <c r="AG206" s="96" t="b">
        <f t="shared" si="14"/>
        <v>0</v>
      </c>
      <c r="AH206" s="9"/>
      <c r="AI206" s="151" t="str">
        <f t="shared" si="13"/>
        <v>GUARULHOS</v>
      </c>
      <c r="AJ206" s="154" t="s">
        <v>6</v>
      </c>
      <c r="AK206" s="53">
        <v>0.17304037036724684</v>
      </c>
      <c r="AL206" s="53" t="str" cm="1">
        <f t="array" ref="AL206">IF(OR(O206&lt;&gt;"", SUMPRODUCT(($AM$2:$AM$210=AM206)*($AK$2:$AK$210&lt;=AK206)) &lt;= (COUNTIF($AM$2:$AM$210,AM206)*0.1)), "SORTEADO", "-")</f>
        <v>-</v>
      </c>
      <c r="AM206" s="53" t="str">
        <f t="shared" si="12"/>
        <v>15/04/2026</v>
      </c>
    </row>
    <row r="207" spans="1:39" ht="30" hidden="1" customHeight="1" x14ac:dyDescent="0.2">
      <c r="A207" s="230" t="s">
        <v>197</v>
      </c>
      <c r="B207" s="248">
        <v>2614836219</v>
      </c>
      <c r="C207" s="230" t="s">
        <v>139</v>
      </c>
      <c r="D207" s="230" t="s">
        <v>67</v>
      </c>
      <c r="E207" s="230" t="s">
        <v>198</v>
      </c>
      <c r="F207" s="230" t="s">
        <v>940</v>
      </c>
      <c r="G207" s="230">
        <v>353</v>
      </c>
      <c r="H207" s="230"/>
      <c r="I207" s="230" t="s">
        <v>893</v>
      </c>
      <c r="J207" s="230" t="s">
        <v>4603</v>
      </c>
      <c r="K207" s="230"/>
      <c r="L207" s="230" t="s">
        <v>1192</v>
      </c>
      <c r="M207" s="230" t="s">
        <v>4709</v>
      </c>
      <c r="N207" s="230" t="s">
        <v>4613</v>
      </c>
      <c r="O207" s="158"/>
      <c r="P207" s="92"/>
      <c r="Q207" s="146"/>
      <c r="R207" s="92"/>
      <c r="S207" s="146"/>
      <c r="T207" s="92"/>
      <c r="U207" s="146"/>
      <c r="V207" s="92"/>
      <c r="W207" s="146"/>
      <c r="X207" s="92"/>
      <c r="Y207" s="146"/>
      <c r="Z207" s="92"/>
      <c r="AA207" s="146"/>
      <c r="AB207" s="64"/>
      <c r="AC207" s="146"/>
      <c r="AD207" s="64"/>
      <c r="AE207" s="146"/>
      <c r="AF207" s="215" t="str">
        <f t="shared" si="15"/>
        <v/>
      </c>
      <c r="AG207" s="96" t="b">
        <f t="shared" si="14"/>
        <v>0</v>
      </c>
      <c r="AH207" s="9"/>
      <c r="AI207" s="151" t="str">
        <f t="shared" si="13"/>
        <v>GUARULHOS</v>
      </c>
      <c r="AJ207" s="154" t="s">
        <v>6</v>
      </c>
      <c r="AK207" s="53">
        <v>0.60235292309881994</v>
      </c>
      <c r="AL207" s="53" t="str" cm="1">
        <f t="array" ref="AL207">IF(OR(O207&lt;&gt;"", SUMPRODUCT(($AM$2:$AM$210=AM207)*($AK$2:$AK$210&lt;=AK207)) &lt;= (COUNTIF($AM$2:$AM$210,AM207)*0.1)), "SORTEADO", "-")</f>
        <v>-</v>
      </c>
      <c r="AM207" s="53" t="str">
        <f t="shared" si="12"/>
        <v>15/04/2026</v>
      </c>
    </row>
    <row r="208" spans="1:39" ht="30" hidden="1" customHeight="1" x14ac:dyDescent="0.2">
      <c r="A208" s="230" t="s">
        <v>197</v>
      </c>
      <c r="B208" s="230">
        <v>2615597523</v>
      </c>
      <c r="C208" s="230" t="s">
        <v>139</v>
      </c>
      <c r="D208" s="230" t="s">
        <v>67</v>
      </c>
      <c r="E208" s="230" t="s">
        <v>198</v>
      </c>
      <c r="F208" s="230" t="s">
        <v>1117</v>
      </c>
      <c r="G208" s="230">
        <v>69</v>
      </c>
      <c r="H208" s="230" t="s">
        <v>1118</v>
      </c>
      <c r="I208" s="230" t="s">
        <v>1119</v>
      </c>
      <c r="J208" s="230" t="s">
        <v>4603</v>
      </c>
      <c r="K208" s="230" t="s">
        <v>4704</v>
      </c>
      <c r="L208" s="230" t="s">
        <v>1192</v>
      </c>
      <c r="M208" s="230" t="s">
        <v>4710</v>
      </c>
      <c r="N208" s="230" t="s">
        <v>4613</v>
      </c>
      <c r="O208" s="144" t="s">
        <v>61</v>
      </c>
      <c r="P208" s="9"/>
      <c r="Q208" s="146" t="s">
        <v>61</v>
      </c>
      <c r="R208" s="92"/>
      <c r="S208" s="146" t="s">
        <v>61</v>
      </c>
      <c r="T208" s="92"/>
      <c r="U208" s="146" t="s">
        <v>61</v>
      </c>
      <c r="V208" s="92"/>
      <c r="W208" s="146" t="s">
        <v>61</v>
      </c>
      <c r="X208" s="92"/>
      <c r="Y208" s="146" t="s">
        <v>61</v>
      </c>
      <c r="Z208" s="92"/>
      <c r="AA208" s="146" t="s">
        <v>61</v>
      </c>
      <c r="AB208" s="64"/>
      <c r="AC208" s="146" t="s">
        <v>61</v>
      </c>
      <c r="AD208" s="64"/>
      <c r="AE208" s="146" t="s">
        <v>61</v>
      </c>
      <c r="AF208" s="215" t="str">
        <f t="shared" si="15"/>
        <v>NA</v>
      </c>
      <c r="AG208" s="96" t="str">
        <f t="shared" si="14"/>
        <v>NÃO AVALIADO POR FALHA DE SINCRONISMO</v>
      </c>
      <c r="AH208" s="9" t="s">
        <v>39</v>
      </c>
      <c r="AI208" s="151" t="str">
        <f t="shared" si="13"/>
        <v>GUARULHOS</v>
      </c>
      <c r="AJ208" s="154" t="s">
        <v>6</v>
      </c>
      <c r="AK208" s="53">
        <v>-4.1399999999999999E-2</v>
      </c>
      <c r="AL208" s="53" t="str" cm="1">
        <f t="array" ref="AL208">IF(OR(O208&lt;&gt;"", SUMPRODUCT(($AM$2:$AM$210=AM208)*($AK$2:$AK$210&lt;=AK208)) &lt;= (COUNTIF($AM$2:$AM$210,AM208)*0.1)), "SORTEADO", "-")</f>
        <v>SORTEADO</v>
      </c>
      <c r="AM208" s="53" t="str">
        <f t="shared" si="12"/>
        <v>15/04/2026</v>
      </c>
    </row>
    <row r="209" spans="1:39" ht="30" hidden="1" customHeight="1" x14ac:dyDescent="0.2">
      <c r="A209" s="247" t="s">
        <v>197</v>
      </c>
      <c r="B209" s="249">
        <v>2615881857</v>
      </c>
      <c r="C209" s="247" t="s">
        <v>141</v>
      </c>
      <c r="D209" s="247" t="s">
        <v>67</v>
      </c>
      <c r="E209" s="247" t="s">
        <v>198</v>
      </c>
      <c r="F209" s="247" t="s">
        <v>2778</v>
      </c>
      <c r="G209" s="247">
        <v>621</v>
      </c>
      <c r="H209" s="247" t="s">
        <v>206</v>
      </c>
      <c r="I209" s="247" t="s">
        <v>971</v>
      </c>
      <c r="J209" s="247" t="s">
        <v>4603</v>
      </c>
      <c r="K209" s="247" t="s">
        <v>4711</v>
      </c>
      <c r="L209" s="247" t="s">
        <v>1192</v>
      </c>
      <c r="M209" s="247" t="s">
        <v>4712</v>
      </c>
      <c r="N209" s="247" t="s">
        <v>4620</v>
      </c>
      <c r="O209" s="158"/>
      <c r="P209" s="92"/>
      <c r="Q209" s="146"/>
      <c r="R209" s="92"/>
      <c r="S209" s="146"/>
      <c r="T209" s="92"/>
      <c r="U209" s="146"/>
      <c r="V209" s="92"/>
      <c r="W209" s="146"/>
      <c r="X209" s="92"/>
      <c r="Y209" s="146"/>
      <c r="Z209" s="92"/>
      <c r="AA209" s="146"/>
      <c r="AB209" s="64"/>
      <c r="AC209" s="146"/>
      <c r="AD209" s="64"/>
      <c r="AE209" s="146"/>
      <c r="AF209" s="215" t="str">
        <f t="shared" si="15"/>
        <v/>
      </c>
      <c r="AG209" s="96" t="b">
        <f t="shared" si="14"/>
        <v>0</v>
      </c>
      <c r="AH209" s="9"/>
      <c r="AI209" s="151" t="str">
        <f t="shared" si="13"/>
        <v>GUARULHOS</v>
      </c>
      <c r="AJ209" s="154" t="s">
        <v>6</v>
      </c>
      <c r="AK209" s="53">
        <v>0.52396020744120519</v>
      </c>
      <c r="AL209" s="53" t="str" cm="1">
        <f t="array" ref="AL209">IF(OR(O209&lt;&gt;"", SUMPRODUCT(($AM$2:$AM$210=AM209)*($AK$2:$AK$210&lt;=AK209)) &lt;= (COUNTIF($AM$2:$AM$210,AM209)*0.1)), "SORTEADO", "-")</f>
        <v>-</v>
      </c>
      <c r="AM209" s="53" t="str">
        <f t="shared" si="12"/>
        <v>15/04/2026</v>
      </c>
    </row>
    <row r="210" spans="1:39" ht="30" hidden="1" customHeight="1" x14ac:dyDescent="0.2">
      <c r="A210" s="230" t="s">
        <v>197</v>
      </c>
      <c r="B210" s="230">
        <v>2615546186</v>
      </c>
      <c r="C210" s="230" t="s">
        <v>141</v>
      </c>
      <c r="D210" s="230" t="s">
        <v>67</v>
      </c>
      <c r="E210" s="230" t="s">
        <v>198</v>
      </c>
      <c r="F210" s="230" t="s">
        <v>762</v>
      </c>
      <c r="G210" s="230">
        <v>162</v>
      </c>
      <c r="H210" s="230"/>
      <c r="I210" s="230" t="s">
        <v>763</v>
      </c>
      <c r="J210" s="230" t="s">
        <v>4603</v>
      </c>
      <c r="K210" s="230"/>
      <c r="L210" s="230" t="s">
        <v>1301</v>
      </c>
      <c r="M210" s="230" t="s">
        <v>4713</v>
      </c>
      <c r="N210" s="230" t="s">
        <v>4620</v>
      </c>
      <c r="O210" s="158"/>
      <c r="P210" s="92"/>
      <c r="Q210" s="146"/>
      <c r="R210" s="92"/>
      <c r="S210" s="146"/>
      <c r="T210" s="92"/>
      <c r="U210" s="146"/>
      <c r="V210" s="92"/>
      <c r="W210" s="146"/>
      <c r="X210" s="92"/>
      <c r="Y210" s="146"/>
      <c r="Z210" s="92"/>
      <c r="AA210" s="146"/>
      <c r="AB210" s="64"/>
      <c r="AC210" s="146"/>
      <c r="AD210" s="64"/>
      <c r="AE210" s="146"/>
      <c r="AF210" s="215" t="str">
        <f t="shared" si="15"/>
        <v/>
      </c>
      <c r="AG210" s="96" t="b">
        <f t="shared" si="14"/>
        <v>0</v>
      </c>
      <c r="AH210" s="9"/>
      <c r="AI210" s="151" t="str">
        <f t="shared" si="13"/>
        <v>GUARULHOS</v>
      </c>
      <c r="AJ210" s="154" t="s">
        <v>6</v>
      </c>
      <c r="AK210" s="53">
        <v>6.9252513331172771E-2</v>
      </c>
      <c r="AL210" s="53" t="str" cm="1">
        <f t="array" ref="AL210">IF(OR(O210&lt;&gt;"", SUMPRODUCT(($AM$2:$AM$210=AM210)*($AK$2:$AK$210&lt;=AK210)) &lt;= (COUNTIF($AM$2:$AM$210,AM210)*0.1)), "SORTEADO", "-")</f>
        <v>-</v>
      </c>
      <c r="AM210" s="53" t="str">
        <f t="shared" si="12"/>
        <v>16/04/2026</v>
      </c>
    </row>
    <row r="211" spans="1:39" ht="30" hidden="1" customHeight="1" x14ac:dyDescent="0.2">
      <c r="A211" s="230" t="s">
        <v>197</v>
      </c>
      <c r="B211" s="230">
        <v>2615534360</v>
      </c>
      <c r="C211" s="230" t="s">
        <v>138</v>
      </c>
      <c r="D211" s="230" t="s">
        <v>67</v>
      </c>
      <c r="E211" s="230" t="s">
        <v>198</v>
      </c>
      <c r="F211" s="230" t="s">
        <v>976</v>
      </c>
      <c r="G211" s="230">
        <v>339</v>
      </c>
      <c r="H211" s="230" t="s">
        <v>206</v>
      </c>
      <c r="I211" s="230" t="s">
        <v>611</v>
      </c>
      <c r="J211" s="230" t="s">
        <v>4605</v>
      </c>
      <c r="K211" s="230" t="s">
        <v>213</v>
      </c>
      <c r="L211" s="230" t="s">
        <v>1301</v>
      </c>
      <c r="M211" s="230" t="s">
        <v>3934</v>
      </c>
      <c r="N211" s="230" t="s">
        <v>4620</v>
      </c>
      <c r="O211" s="158"/>
      <c r="P211" s="92"/>
      <c r="Q211" s="146"/>
      <c r="R211" s="92"/>
      <c r="S211" s="146"/>
      <c r="T211" s="92"/>
      <c r="U211" s="146"/>
      <c r="V211" s="92"/>
      <c r="W211" s="146"/>
      <c r="X211" s="92"/>
      <c r="Y211" s="146"/>
      <c r="Z211" s="92"/>
      <c r="AA211" s="146"/>
      <c r="AB211" s="64"/>
      <c r="AC211" s="146"/>
      <c r="AD211" s="64"/>
      <c r="AE211" s="146"/>
      <c r="AF211" s="215" t="str">
        <f t="shared" si="15"/>
        <v/>
      </c>
      <c r="AG211" s="96" t="b">
        <f t="shared" si="14"/>
        <v>0</v>
      </c>
      <c r="AH211" s="9"/>
      <c r="AI211" s="151" t="str">
        <f t="shared" si="13"/>
        <v>GUARULHOS</v>
      </c>
      <c r="AJ211" s="154" t="s">
        <v>6</v>
      </c>
      <c r="AK211" s="53">
        <v>0.24873728850432497</v>
      </c>
      <c r="AL211" s="53" t="str" cm="1">
        <f t="array" ref="AL211">IF(OR(O211&lt;&gt;"", SUMPRODUCT(($AM$2:$AM$210=AM211)*($AK$2:$AK$210&lt;=AK211)) &lt;= (COUNTIF($AM$2:$AM$210,AM211)*0.1)), "SORTEADO", "-")</f>
        <v>-</v>
      </c>
      <c r="AM211" s="53" t="str">
        <f t="shared" si="12"/>
        <v>16/04/2026</v>
      </c>
    </row>
    <row r="212" spans="1:39" ht="30" hidden="1" customHeight="1" x14ac:dyDescent="0.2">
      <c r="A212" s="230" t="s">
        <v>197</v>
      </c>
      <c r="B212" s="230">
        <v>2690577750</v>
      </c>
      <c r="C212" s="230" t="s">
        <v>138</v>
      </c>
      <c r="D212" s="230" t="s">
        <v>67</v>
      </c>
      <c r="E212" s="230" t="s">
        <v>198</v>
      </c>
      <c r="F212" s="230" t="s">
        <v>969</v>
      </c>
      <c r="G212" s="230">
        <v>78</v>
      </c>
      <c r="H212" s="230"/>
      <c r="I212" s="230" t="s">
        <v>971</v>
      </c>
      <c r="J212" s="230" t="s">
        <v>4605</v>
      </c>
      <c r="K212" s="230"/>
      <c r="L212" s="230" t="s">
        <v>1301</v>
      </c>
      <c r="M212" s="230" t="s">
        <v>4714</v>
      </c>
      <c r="N212" s="230" t="s">
        <v>4620</v>
      </c>
      <c r="O212" s="158"/>
      <c r="P212" s="92"/>
      <c r="Q212" s="146"/>
      <c r="R212" s="92"/>
      <c r="S212" s="146"/>
      <c r="T212" s="92"/>
      <c r="U212" s="146"/>
      <c r="V212" s="92"/>
      <c r="W212" s="146"/>
      <c r="X212" s="92"/>
      <c r="Y212" s="146"/>
      <c r="Z212" s="92"/>
      <c r="AA212" s="146"/>
      <c r="AB212" s="64"/>
      <c r="AC212" s="146"/>
      <c r="AD212" s="64"/>
      <c r="AE212" s="146"/>
      <c r="AF212" s="215" t="str">
        <f t="shared" si="15"/>
        <v/>
      </c>
      <c r="AG212" s="96" t="b">
        <f t="shared" si="14"/>
        <v>0</v>
      </c>
      <c r="AH212" s="9"/>
      <c r="AI212" s="151" t="str">
        <f t="shared" si="13"/>
        <v>GUARULHOS</v>
      </c>
      <c r="AJ212" s="154" t="s">
        <v>6</v>
      </c>
      <c r="AK212" s="53">
        <v>0.38079598929767566</v>
      </c>
      <c r="AL212" s="53" t="str" cm="1">
        <f t="array" ref="AL212">IF(OR(O212&lt;&gt;"", SUMPRODUCT(($AM$2:$AM$210=AM212)*($AK$2:$AK$210&lt;=AK212)) &lt;= (COUNTIF($AM$2:$AM$210,AM212)*0.1)), "SORTEADO", "-")</f>
        <v>-</v>
      </c>
      <c r="AM212" s="53" t="str">
        <f t="shared" si="12"/>
        <v>16/04/2026</v>
      </c>
    </row>
    <row r="213" spans="1:39" ht="30" hidden="1" customHeight="1" x14ac:dyDescent="0.2">
      <c r="A213" s="230" t="s">
        <v>197</v>
      </c>
      <c r="B213" s="230">
        <v>2615075522</v>
      </c>
      <c r="C213" s="230" t="s">
        <v>141</v>
      </c>
      <c r="D213" s="230" t="s">
        <v>67</v>
      </c>
      <c r="E213" s="230" t="s">
        <v>198</v>
      </c>
      <c r="F213" s="230" t="s">
        <v>914</v>
      </c>
      <c r="G213" s="230">
        <v>90</v>
      </c>
      <c r="H213" s="230" t="s">
        <v>418</v>
      </c>
      <c r="I213" s="230" t="s">
        <v>915</v>
      </c>
      <c r="J213" s="230" t="s">
        <v>4603</v>
      </c>
      <c r="K213" s="230" t="s">
        <v>213</v>
      </c>
      <c r="L213" s="230" t="s">
        <v>1301</v>
      </c>
      <c r="M213" s="230" t="s">
        <v>3934</v>
      </c>
      <c r="N213" s="230" t="s">
        <v>4620</v>
      </c>
      <c r="O213" s="158"/>
      <c r="P213" s="92"/>
      <c r="Q213" s="146"/>
      <c r="R213" s="92"/>
      <c r="S213" s="146"/>
      <c r="T213" s="92"/>
      <c r="U213" s="146"/>
      <c r="V213" s="92"/>
      <c r="W213" s="146"/>
      <c r="X213" s="92"/>
      <c r="Y213" s="146"/>
      <c r="Z213" s="92"/>
      <c r="AA213" s="146"/>
      <c r="AB213" s="64"/>
      <c r="AC213" s="146"/>
      <c r="AD213" s="64"/>
      <c r="AE213" s="146"/>
      <c r="AF213" s="215" t="str">
        <f t="shared" si="15"/>
        <v/>
      </c>
      <c r="AG213" s="96" t="b">
        <f t="shared" si="14"/>
        <v>0</v>
      </c>
      <c r="AH213" s="9"/>
      <c r="AI213" s="151" t="str">
        <f t="shared" si="13"/>
        <v>GUARULHOS</v>
      </c>
      <c r="AJ213" s="154" t="s">
        <v>6</v>
      </c>
      <c r="AK213" s="53">
        <v>6.9492016685740121E-2</v>
      </c>
      <c r="AL213" s="53" t="str" cm="1">
        <f t="array" ref="AL213">IF(OR(O213&lt;&gt;"", SUMPRODUCT(($AM$2:$AM$210=AM213)*($AK$2:$AK$210&lt;=AK213)) &lt;= (COUNTIF($AM$2:$AM$210,AM213)*0.1)), "SORTEADO", "-")</f>
        <v>-</v>
      </c>
      <c r="AM213" s="53" t="str">
        <f t="shared" si="12"/>
        <v>16/04/2026</v>
      </c>
    </row>
    <row r="214" spans="1:39" ht="30" hidden="1" customHeight="1" x14ac:dyDescent="0.2">
      <c r="A214" s="230" t="s">
        <v>197</v>
      </c>
      <c r="B214" s="230">
        <v>2615274505</v>
      </c>
      <c r="C214" s="230" t="s">
        <v>139</v>
      </c>
      <c r="D214" s="230" t="s">
        <v>67</v>
      </c>
      <c r="E214" s="230" t="s">
        <v>198</v>
      </c>
      <c r="F214" s="230" t="s">
        <v>1077</v>
      </c>
      <c r="G214" s="230">
        <v>31</v>
      </c>
      <c r="H214" s="230" t="s">
        <v>362</v>
      </c>
      <c r="I214" s="230" t="s">
        <v>1078</v>
      </c>
      <c r="J214" s="230" t="s">
        <v>4603</v>
      </c>
      <c r="K214" s="230"/>
      <c r="L214" s="230" t="s">
        <v>1301</v>
      </c>
      <c r="M214" s="230" t="s">
        <v>4715</v>
      </c>
      <c r="N214" s="230" t="s">
        <v>4620</v>
      </c>
      <c r="O214" s="158"/>
      <c r="P214" s="92"/>
      <c r="Q214" s="146"/>
      <c r="R214" s="92"/>
      <c r="S214" s="146"/>
      <c r="T214" s="92"/>
      <c r="U214" s="146"/>
      <c r="V214" s="92"/>
      <c r="W214" s="146"/>
      <c r="X214" s="92"/>
      <c r="Y214" s="146"/>
      <c r="Z214" s="92"/>
      <c r="AA214" s="146"/>
      <c r="AB214" s="64"/>
      <c r="AC214" s="146"/>
      <c r="AD214" s="64"/>
      <c r="AE214" s="146"/>
      <c r="AF214" s="215" t="str">
        <f t="shared" si="15"/>
        <v/>
      </c>
      <c r="AG214" s="96" t="b">
        <f t="shared" si="14"/>
        <v>0</v>
      </c>
      <c r="AH214" s="9"/>
      <c r="AI214" s="151" t="str">
        <f t="shared" si="13"/>
        <v>GUARULHOS</v>
      </c>
      <c r="AJ214" s="154" t="s">
        <v>6</v>
      </c>
      <c r="AK214" s="53">
        <v>0.54638583507083582</v>
      </c>
      <c r="AL214" s="53" t="str" cm="1">
        <f t="array" ref="AL214">IF(OR(O214&lt;&gt;"", SUMPRODUCT(($AM$2:$AM$210=AM214)*($AK$2:$AK$210&lt;=AK214)) &lt;= (COUNTIF($AM$2:$AM$210,AM214)*0.1)), "SORTEADO", "-")</f>
        <v>-</v>
      </c>
      <c r="AM214" s="53" t="str">
        <f t="shared" si="12"/>
        <v>16/04/2026</v>
      </c>
    </row>
    <row r="215" spans="1:39" ht="30" hidden="1" customHeight="1" x14ac:dyDescent="0.2">
      <c r="A215" s="230" t="s">
        <v>197</v>
      </c>
      <c r="B215" s="230">
        <v>2690520541</v>
      </c>
      <c r="C215" s="230" t="s">
        <v>140</v>
      </c>
      <c r="D215" s="230" t="s">
        <v>67</v>
      </c>
      <c r="E215" s="230" t="s">
        <v>198</v>
      </c>
      <c r="F215" s="230" t="s">
        <v>1053</v>
      </c>
      <c r="G215" s="230">
        <v>87</v>
      </c>
      <c r="H215" s="230" t="s">
        <v>1054</v>
      </c>
      <c r="I215" s="230" t="s">
        <v>492</v>
      </c>
      <c r="J215" s="230" t="s">
        <v>4605</v>
      </c>
      <c r="K215" s="230" t="s">
        <v>213</v>
      </c>
      <c r="L215" s="230" t="s">
        <v>1301</v>
      </c>
      <c r="M215" s="230" t="s">
        <v>4716</v>
      </c>
      <c r="N215" s="230" t="s">
        <v>4620</v>
      </c>
      <c r="O215" s="158"/>
      <c r="P215" s="92"/>
      <c r="Q215" s="146"/>
      <c r="R215" s="92"/>
      <c r="S215" s="146"/>
      <c r="T215" s="92"/>
      <c r="U215" s="146"/>
      <c r="V215" s="92"/>
      <c r="W215" s="146"/>
      <c r="X215" s="92"/>
      <c r="Y215" s="146"/>
      <c r="Z215" s="92"/>
      <c r="AA215" s="146"/>
      <c r="AB215" s="64"/>
      <c r="AC215" s="146"/>
      <c r="AD215" s="64"/>
      <c r="AE215" s="146"/>
      <c r="AF215" s="215" t="str">
        <f t="shared" si="15"/>
        <v/>
      </c>
      <c r="AG215" s="96" t="b">
        <f t="shared" si="14"/>
        <v>0</v>
      </c>
      <c r="AH215" s="9"/>
      <c r="AI215" s="151" t="str">
        <f t="shared" si="13"/>
        <v>GUARULHOS</v>
      </c>
      <c r="AJ215" s="154" t="s">
        <v>6</v>
      </c>
      <c r="AK215" s="53">
        <v>0.71577523858747405</v>
      </c>
      <c r="AL215" s="53" t="str" cm="1">
        <f t="array" ref="AL215">IF(OR(O215&lt;&gt;"", SUMPRODUCT(($AM$2:$AM$210=AM215)*($AK$2:$AK$210&lt;=AK215)) &lt;= (COUNTIF($AM$2:$AM$210,AM215)*0.1)), "SORTEADO", "-")</f>
        <v>-</v>
      </c>
      <c r="AM215" s="53" t="str">
        <f t="shared" si="12"/>
        <v>16/04/2026</v>
      </c>
    </row>
    <row r="216" spans="1:39" ht="30" hidden="1" customHeight="1" x14ac:dyDescent="0.2">
      <c r="A216" s="230" t="s">
        <v>197</v>
      </c>
      <c r="B216" s="230">
        <v>2615421359</v>
      </c>
      <c r="C216" s="230" t="s">
        <v>140</v>
      </c>
      <c r="D216" s="230" t="s">
        <v>67</v>
      </c>
      <c r="E216" s="230" t="s">
        <v>198</v>
      </c>
      <c r="F216" s="230" t="s">
        <v>1091</v>
      </c>
      <c r="G216" s="230">
        <v>251</v>
      </c>
      <c r="H216" s="230" t="s">
        <v>213</v>
      </c>
      <c r="I216" s="230" t="s">
        <v>531</v>
      </c>
      <c r="J216" s="230" t="s">
        <v>4605</v>
      </c>
      <c r="K216" s="230" t="s">
        <v>213</v>
      </c>
      <c r="L216" s="230" t="s">
        <v>1301</v>
      </c>
      <c r="M216" s="230" t="s">
        <v>4717</v>
      </c>
      <c r="N216" s="230" t="s">
        <v>4604</v>
      </c>
      <c r="O216" s="158"/>
      <c r="P216" s="92"/>
      <c r="Q216" s="146"/>
      <c r="R216" s="92"/>
      <c r="S216" s="146"/>
      <c r="T216" s="92"/>
      <c r="U216" s="146"/>
      <c r="V216" s="92"/>
      <c r="W216" s="146"/>
      <c r="X216" s="92"/>
      <c r="Y216" s="146"/>
      <c r="Z216" s="92"/>
      <c r="AA216" s="146"/>
      <c r="AB216" s="64"/>
      <c r="AC216" s="146"/>
      <c r="AD216" s="64"/>
      <c r="AE216" s="146"/>
      <c r="AF216" s="215" t="str">
        <f t="shared" si="15"/>
        <v/>
      </c>
      <c r="AG216" s="96" t="b">
        <f t="shared" si="14"/>
        <v>0</v>
      </c>
      <c r="AH216" s="9"/>
      <c r="AI216" s="151" t="str">
        <f t="shared" si="13"/>
        <v>GUARULHOS</v>
      </c>
      <c r="AJ216" s="154" t="s">
        <v>6</v>
      </c>
      <c r="AK216" s="53">
        <v>0.30002092451641627</v>
      </c>
      <c r="AL216" s="53" t="str" cm="1">
        <f t="array" ref="AL216">IF(OR(O216&lt;&gt;"", SUMPRODUCT(($AM$2:$AM$210=AM216)*($AK$2:$AK$210&lt;=AK216)) &lt;= (COUNTIF($AM$2:$AM$210,AM216)*0.1)), "SORTEADO", "-")</f>
        <v>-</v>
      </c>
      <c r="AM216" s="53" t="str">
        <f t="shared" si="12"/>
        <v>16/04/2026</v>
      </c>
    </row>
    <row r="217" spans="1:39" ht="30" hidden="1" customHeight="1" x14ac:dyDescent="0.2">
      <c r="A217" s="230" t="s">
        <v>197</v>
      </c>
      <c r="B217" s="230">
        <v>2615422544</v>
      </c>
      <c r="C217" s="230" t="s">
        <v>140</v>
      </c>
      <c r="D217" s="230" t="s">
        <v>67</v>
      </c>
      <c r="E217" s="230" t="s">
        <v>198</v>
      </c>
      <c r="F217" s="230" t="s">
        <v>1167</v>
      </c>
      <c r="G217" s="230">
        <v>22</v>
      </c>
      <c r="H217" s="230"/>
      <c r="I217" s="230" t="s">
        <v>667</v>
      </c>
      <c r="J217" s="230" t="s">
        <v>4605</v>
      </c>
      <c r="K217" s="230"/>
      <c r="L217" s="230" t="s">
        <v>1301</v>
      </c>
      <c r="M217" s="230" t="s">
        <v>4718</v>
      </c>
      <c r="N217" s="230" t="s">
        <v>4604</v>
      </c>
      <c r="O217" s="158"/>
      <c r="P217" s="92"/>
      <c r="Q217" s="146"/>
      <c r="R217" s="92"/>
      <c r="S217" s="146"/>
      <c r="T217" s="92"/>
      <c r="U217" s="146"/>
      <c r="V217" s="92"/>
      <c r="W217" s="146"/>
      <c r="X217" s="92"/>
      <c r="Y217" s="146"/>
      <c r="Z217" s="92"/>
      <c r="AA217" s="146"/>
      <c r="AB217" s="64"/>
      <c r="AC217" s="146"/>
      <c r="AD217" s="64"/>
      <c r="AE217" s="146"/>
      <c r="AF217" s="215" t="str">
        <f t="shared" si="15"/>
        <v/>
      </c>
      <c r="AG217" s="96" t="b">
        <f t="shared" si="14"/>
        <v>0</v>
      </c>
      <c r="AH217" s="9"/>
      <c r="AI217" s="151" t="str">
        <f t="shared" si="13"/>
        <v>GUARULHOS</v>
      </c>
      <c r="AJ217" s="154" t="s">
        <v>6</v>
      </c>
      <c r="AK217" s="53">
        <v>0.11575830376256568</v>
      </c>
      <c r="AL217" s="53" t="str" cm="1">
        <f t="array" ref="AL217">IF(OR(O217&lt;&gt;"", SUMPRODUCT(($AM$2:$AM$210=AM217)*($AK$2:$AK$210&lt;=AK217)) &lt;= (COUNTIF($AM$2:$AM$210,AM217)*0.1)), "SORTEADO", "-")</f>
        <v>-</v>
      </c>
      <c r="AM217" s="53" t="str">
        <f t="shared" si="12"/>
        <v>16/04/2026</v>
      </c>
    </row>
    <row r="218" spans="1:39" ht="30" hidden="1" customHeight="1" x14ac:dyDescent="0.2">
      <c r="A218" s="230" t="s">
        <v>197</v>
      </c>
      <c r="B218" s="230">
        <v>2615568972</v>
      </c>
      <c r="C218" s="230" t="s">
        <v>141</v>
      </c>
      <c r="D218" s="230" t="s">
        <v>67</v>
      </c>
      <c r="E218" s="230" t="s">
        <v>198</v>
      </c>
      <c r="F218" s="230" t="s">
        <v>1169</v>
      </c>
      <c r="G218" s="230">
        <v>175</v>
      </c>
      <c r="H218" s="230" t="s">
        <v>1170</v>
      </c>
      <c r="I218" s="230" t="s">
        <v>919</v>
      </c>
      <c r="J218" s="230" t="s">
        <v>4603</v>
      </c>
      <c r="K218" s="230" t="s">
        <v>213</v>
      </c>
      <c r="L218" s="230" t="s">
        <v>1301</v>
      </c>
      <c r="M218" s="230" t="s">
        <v>1324</v>
      </c>
      <c r="N218" s="230" t="s">
        <v>4604</v>
      </c>
      <c r="O218" s="158"/>
      <c r="P218" s="92"/>
      <c r="Q218" s="146"/>
      <c r="R218" s="92"/>
      <c r="S218" s="146"/>
      <c r="T218" s="92"/>
      <c r="U218" s="146"/>
      <c r="V218" s="92"/>
      <c r="W218" s="146"/>
      <c r="X218" s="92"/>
      <c r="Y218" s="146"/>
      <c r="Z218" s="92"/>
      <c r="AA218" s="146"/>
      <c r="AB218" s="64"/>
      <c r="AC218" s="146"/>
      <c r="AD218" s="64"/>
      <c r="AE218" s="146"/>
      <c r="AF218" s="215" t="str">
        <f t="shared" si="15"/>
        <v/>
      </c>
      <c r="AG218" s="96" t="b">
        <f t="shared" si="14"/>
        <v>0</v>
      </c>
      <c r="AH218" s="9"/>
      <c r="AI218" s="151" t="str">
        <f t="shared" si="13"/>
        <v>GUARULHOS</v>
      </c>
      <c r="AJ218" s="154" t="s">
        <v>6</v>
      </c>
      <c r="AK218" s="53">
        <v>0.20103426005621627</v>
      </c>
      <c r="AL218" s="53" t="str" cm="1">
        <f t="array" ref="AL218">IF(OR(O218&lt;&gt;"", SUMPRODUCT(($AM$2:$AM$210=AM218)*($AK$2:$AK$210&lt;=AK218)) &lt;= (COUNTIF($AM$2:$AM$210,AM218)*0.1)), "SORTEADO", "-")</f>
        <v>-</v>
      </c>
      <c r="AM218" s="53" t="str">
        <f t="shared" si="12"/>
        <v>16/04/2026</v>
      </c>
    </row>
    <row r="219" spans="1:39" ht="30" hidden="1" customHeight="1" x14ac:dyDescent="0.2">
      <c r="A219" s="230" t="s">
        <v>197</v>
      </c>
      <c r="B219" s="230">
        <v>2690398477</v>
      </c>
      <c r="C219" s="230" t="s">
        <v>138</v>
      </c>
      <c r="D219" s="230" t="s">
        <v>67</v>
      </c>
      <c r="E219" s="230" t="s">
        <v>198</v>
      </c>
      <c r="F219" s="230" t="s">
        <v>973</v>
      </c>
      <c r="G219" s="230">
        <v>86</v>
      </c>
      <c r="H219" s="230"/>
      <c r="I219" s="230" t="s">
        <v>509</v>
      </c>
      <c r="J219" s="230" t="s">
        <v>4605</v>
      </c>
      <c r="K219" s="230"/>
      <c r="L219" s="230" t="s">
        <v>1301</v>
      </c>
      <c r="M219" s="230" t="s">
        <v>4713</v>
      </c>
      <c r="N219" s="230" t="s">
        <v>4604</v>
      </c>
      <c r="O219" s="158"/>
      <c r="P219" s="92"/>
      <c r="Q219" s="146"/>
      <c r="R219" s="92"/>
      <c r="S219" s="146"/>
      <c r="T219" s="92"/>
      <c r="U219" s="146"/>
      <c r="V219" s="92"/>
      <c r="W219" s="146"/>
      <c r="X219" s="92"/>
      <c r="Y219" s="146"/>
      <c r="Z219" s="92"/>
      <c r="AA219" s="146"/>
      <c r="AB219" s="64"/>
      <c r="AC219" s="146"/>
      <c r="AD219" s="64"/>
      <c r="AE219" s="146"/>
      <c r="AF219" s="215" t="str">
        <f t="shared" si="15"/>
        <v/>
      </c>
      <c r="AG219" s="96" t="b">
        <f t="shared" si="14"/>
        <v>0</v>
      </c>
      <c r="AH219" s="9"/>
      <c r="AI219" s="151" t="str">
        <f t="shared" si="13"/>
        <v>GUARULHOS</v>
      </c>
      <c r="AJ219" s="154" t="s">
        <v>6</v>
      </c>
      <c r="AK219" s="53">
        <v>0.6581784743980702</v>
      </c>
      <c r="AL219" s="53" t="str" cm="1">
        <f t="array" ref="AL219">IF(OR(O219&lt;&gt;"", SUMPRODUCT(($AM$2:$AM$210=AM219)*($AK$2:$AK$210&lt;=AK219)) &lt;= (COUNTIF($AM$2:$AM$210,AM219)*0.1)), "SORTEADO", "-")</f>
        <v>-</v>
      </c>
      <c r="AM219" s="53" t="str">
        <f t="shared" ref="AM219:AM282" si="16">TEXT(L219, "dd/mm/aaaa")</f>
        <v>16/04/2026</v>
      </c>
    </row>
    <row r="220" spans="1:39" ht="30" hidden="1" customHeight="1" x14ac:dyDescent="0.2">
      <c r="A220" s="230" t="s">
        <v>197</v>
      </c>
      <c r="B220" s="230">
        <v>2615745042</v>
      </c>
      <c r="C220" s="230" t="s">
        <v>138</v>
      </c>
      <c r="D220" s="230" t="s">
        <v>67</v>
      </c>
      <c r="E220" s="230" t="s">
        <v>198</v>
      </c>
      <c r="F220" s="230" t="s">
        <v>570</v>
      </c>
      <c r="G220" s="230">
        <v>124</v>
      </c>
      <c r="H220" s="230" t="s">
        <v>1213</v>
      </c>
      <c r="I220" s="230" t="s">
        <v>572</v>
      </c>
      <c r="J220" s="230" t="s">
        <v>4605</v>
      </c>
      <c r="K220" s="230" t="s">
        <v>213</v>
      </c>
      <c r="L220" s="230" t="s">
        <v>1301</v>
      </c>
      <c r="M220" s="230" t="s">
        <v>4719</v>
      </c>
      <c r="N220" s="230" t="s">
        <v>4604</v>
      </c>
      <c r="O220" s="158"/>
      <c r="P220" s="92"/>
      <c r="Q220" s="146"/>
      <c r="R220" s="92"/>
      <c r="S220" s="146"/>
      <c r="T220" s="92"/>
      <c r="U220" s="146"/>
      <c r="V220" s="92"/>
      <c r="W220" s="146"/>
      <c r="X220" s="92"/>
      <c r="Y220" s="146"/>
      <c r="Z220" s="92"/>
      <c r="AA220" s="146"/>
      <c r="AB220" s="64"/>
      <c r="AC220" s="146"/>
      <c r="AD220" s="64"/>
      <c r="AE220" s="146"/>
      <c r="AF220" s="215" t="str">
        <f t="shared" si="15"/>
        <v/>
      </c>
      <c r="AG220" s="96" t="b">
        <f t="shared" si="14"/>
        <v>0</v>
      </c>
      <c r="AH220" s="9"/>
      <c r="AI220" s="151" t="str">
        <f t="shared" si="13"/>
        <v>GUARULHOS</v>
      </c>
      <c r="AJ220" s="154" t="s">
        <v>6</v>
      </c>
      <c r="AK220" s="53">
        <v>0.55079500104090229</v>
      </c>
      <c r="AL220" s="53" t="str" cm="1">
        <f t="array" ref="AL220">IF(OR(O220&lt;&gt;"", SUMPRODUCT(($AM$2:$AM$210=AM220)*($AK$2:$AK$210&lt;=AK220)) &lt;= (COUNTIF($AM$2:$AM$210,AM220)*0.1)), "SORTEADO", "-")</f>
        <v>-</v>
      </c>
      <c r="AM220" s="53" t="str">
        <f t="shared" si="16"/>
        <v>16/04/2026</v>
      </c>
    </row>
    <row r="221" spans="1:39" ht="30" hidden="1" customHeight="1" x14ac:dyDescent="0.2">
      <c r="A221" s="230" t="s">
        <v>197</v>
      </c>
      <c r="B221" s="230">
        <v>2690390450</v>
      </c>
      <c r="C221" s="230" t="s">
        <v>138</v>
      </c>
      <c r="D221" s="230" t="s">
        <v>67</v>
      </c>
      <c r="E221" s="230" t="s">
        <v>198</v>
      </c>
      <c r="F221" s="230" t="s">
        <v>734</v>
      </c>
      <c r="G221" s="230">
        <v>686</v>
      </c>
      <c r="H221" s="230" t="s">
        <v>964</v>
      </c>
      <c r="I221" s="230" t="s">
        <v>253</v>
      </c>
      <c r="J221" s="230" t="s">
        <v>4605</v>
      </c>
      <c r="K221" s="230" t="s">
        <v>213</v>
      </c>
      <c r="L221" s="230" t="s">
        <v>1301</v>
      </c>
      <c r="M221" s="230" t="s">
        <v>4713</v>
      </c>
      <c r="N221" s="230" t="s">
        <v>4613</v>
      </c>
      <c r="O221" s="158"/>
      <c r="P221" s="92"/>
      <c r="Q221" s="146"/>
      <c r="R221" s="92"/>
      <c r="S221" s="146"/>
      <c r="T221" s="92"/>
      <c r="U221" s="146"/>
      <c r="V221" s="92"/>
      <c r="W221" s="146"/>
      <c r="X221" s="92"/>
      <c r="Y221" s="146"/>
      <c r="Z221" s="92"/>
      <c r="AA221" s="146"/>
      <c r="AB221" s="64"/>
      <c r="AC221" s="146"/>
      <c r="AD221" s="64"/>
      <c r="AE221" s="146"/>
      <c r="AF221" s="215" t="str">
        <f t="shared" si="15"/>
        <v/>
      </c>
      <c r="AG221" s="96" t="b">
        <f t="shared" si="14"/>
        <v>0</v>
      </c>
      <c r="AH221" s="9"/>
      <c r="AI221" s="151" t="str">
        <f t="shared" si="13"/>
        <v>GUARULHOS</v>
      </c>
      <c r="AJ221" s="154" t="s">
        <v>6</v>
      </c>
      <c r="AK221" s="53">
        <v>0.89765784848791752</v>
      </c>
      <c r="AL221" s="53" t="str" cm="1">
        <f t="array" ref="AL221">IF(OR(O221&lt;&gt;"", SUMPRODUCT(($AM$2:$AM$210=AM221)*($AK$2:$AK$210&lt;=AK221)) &lt;= (COUNTIF($AM$2:$AM$210,AM221)*0.1)), "SORTEADO", "-")</f>
        <v>-</v>
      </c>
      <c r="AM221" s="53" t="str">
        <f t="shared" si="16"/>
        <v>16/04/2026</v>
      </c>
    </row>
    <row r="222" spans="1:39" ht="30" hidden="1" customHeight="1" x14ac:dyDescent="0.2">
      <c r="A222" s="230" t="s">
        <v>197</v>
      </c>
      <c r="B222" s="230">
        <v>2615583128</v>
      </c>
      <c r="C222" s="230" t="s">
        <v>138</v>
      </c>
      <c r="D222" s="230" t="s">
        <v>67</v>
      </c>
      <c r="E222" s="230" t="s">
        <v>198</v>
      </c>
      <c r="F222" s="230" t="s">
        <v>1034</v>
      </c>
      <c r="G222" s="230">
        <v>0</v>
      </c>
      <c r="H222" s="230"/>
      <c r="I222" s="230" t="s">
        <v>708</v>
      </c>
      <c r="J222" s="230" t="s">
        <v>4605</v>
      </c>
      <c r="K222" s="230"/>
      <c r="L222" s="230" t="s">
        <v>1301</v>
      </c>
      <c r="M222" s="230" t="s">
        <v>4720</v>
      </c>
      <c r="N222" s="230" t="s">
        <v>4613</v>
      </c>
      <c r="O222" s="158"/>
      <c r="P222" s="92"/>
      <c r="Q222" s="146"/>
      <c r="R222" s="92"/>
      <c r="S222" s="146"/>
      <c r="T222" s="92"/>
      <c r="U222" s="146"/>
      <c r="V222" s="92"/>
      <c r="W222" s="146"/>
      <c r="X222" s="92"/>
      <c r="Y222" s="146"/>
      <c r="Z222" s="92"/>
      <c r="AA222" s="146"/>
      <c r="AB222" s="64"/>
      <c r="AC222" s="146"/>
      <c r="AD222" s="64"/>
      <c r="AE222" s="146"/>
      <c r="AF222" s="215" t="str">
        <f t="shared" si="15"/>
        <v/>
      </c>
      <c r="AG222" s="96" t="b">
        <f t="shared" si="14"/>
        <v>0</v>
      </c>
      <c r="AH222" s="9"/>
      <c r="AI222" s="151" t="str">
        <f t="shared" si="13"/>
        <v>GUARULHOS</v>
      </c>
      <c r="AJ222" s="154" t="s">
        <v>6</v>
      </c>
      <c r="AK222" s="53">
        <v>0.30093996697848191</v>
      </c>
      <c r="AL222" s="53" t="str" cm="1">
        <f t="array" ref="AL222">IF(OR(O222&lt;&gt;"", SUMPRODUCT(($AM$2:$AM$210=AM222)*($AK$2:$AK$210&lt;=AK222)) &lt;= (COUNTIF($AM$2:$AM$210,AM222)*0.1)), "SORTEADO", "-")</f>
        <v>-</v>
      </c>
      <c r="AM222" s="53" t="str">
        <f t="shared" si="16"/>
        <v>16/04/2026</v>
      </c>
    </row>
    <row r="223" spans="1:39" ht="30" hidden="1" customHeight="1" x14ac:dyDescent="0.2">
      <c r="A223" s="230" t="s">
        <v>197</v>
      </c>
      <c r="B223" s="230">
        <v>2615906823</v>
      </c>
      <c r="C223" s="230" t="s">
        <v>141</v>
      </c>
      <c r="D223" s="230" t="s">
        <v>67</v>
      </c>
      <c r="E223" s="230" t="s">
        <v>198</v>
      </c>
      <c r="F223" s="230" t="s">
        <v>2647</v>
      </c>
      <c r="G223" s="230">
        <v>256</v>
      </c>
      <c r="H223" s="230" t="s">
        <v>2648</v>
      </c>
      <c r="I223" s="230" t="s">
        <v>247</v>
      </c>
      <c r="J223" s="230" t="s">
        <v>4603</v>
      </c>
      <c r="K223" s="230" t="s">
        <v>4654</v>
      </c>
      <c r="L223" s="230" t="s">
        <v>1301</v>
      </c>
      <c r="M223" s="230" t="s">
        <v>4721</v>
      </c>
      <c r="N223" s="230" t="s">
        <v>4613</v>
      </c>
      <c r="O223" s="144" t="s">
        <v>61</v>
      </c>
      <c r="P223" s="9"/>
      <c r="Q223" s="146" t="s">
        <v>61</v>
      </c>
      <c r="R223" s="92"/>
      <c r="S223" s="146" t="s">
        <v>61</v>
      </c>
      <c r="T223" s="92"/>
      <c r="U223" s="146" t="s">
        <v>61</v>
      </c>
      <c r="V223" s="92"/>
      <c r="W223" s="146" t="s">
        <v>61</v>
      </c>
      <c r="X223" s="92"/>
      <c r="Y223" s="146" t="s">
        <v>61</v>
      </c>
      <c r="Z223" s="92"/>
      <c r="AA223" s="146" t="s">
        <v>61</v>
      </c>
      <c r="AB223" s="64"/>
      <c r="AC223" s="146" t="s">
        <v>61</v>
      </c>
      <c r="AD223" s="64"/>
      <c r="AE223" s="146" t="s">
        <v>61</v>
      </c>
      <c r="AF223" s="215" t="str">
        <f t="shared" si="15"/>
        <v>NA</v>
      </c>
      <c r="AG223" s="96" t="str">
        <f t="shared" si="14"/>
        <v>NÃO AVALIADO POR FALHA DE SINCRONISMO</v>
      </c>
      <c r="AH223" s="9" t="s">
        <v>39</v>
      </c>
      <c r="AI223" s="151" t="str">
        <f t="shared" si="13"/>
        <v>GUARULHOS</v>
      </c>
      <c r="AJ223" s="154" t="s">
        <v>6</v>
      </c>
      <c r="AK223" s="53">
        <v>-4.4400000000000002E-2</v>
      </c>
      <c r="AL223" s="53" t="str" cm="1">
        <f t="array" ref="AL223">IF(OR(O223&lt;&gt;"", SUMPRODUCT(($AM$2:$AM$210=AM223)*($AK$2:$AK$210&lt;=AK223)) &lt;= (COUNTIF($AM$2:$AM$210,AM223)*0.1)), "SORTEADO", "-")</f>
        <v>SORTEADO</v>
      </c>
      <c r="AM223" s="53" t="str">
        <f t="shared" si="16"/>
        <v>16/04/2026</v>
      </c>
    </row>
    <row r="224" spans="1:39" ht="30" hidden="1" customHeight="1" x14ac:dyDescent="0.2">
      <c r="A224" s="230" t="s">
        <v>197</v>
      </c>
      <c r="B224" s="230">
        <v>2615596581</v>
      </c>
      <c r="C224" s="230" t="s">
        <v>138</v>
      </c>
      <c r="D224" s="230" t="s">
        <v>67</v>
      </c>
      <c r="E224" s="230" t="s">
        <v>198</v>
      </c>
      <c r="F224" s="230" t="s">
        <v>2811</v>
      </c>
      <c r="G224" s="230">
        <v>69</v>
      </c>
      <c r="H224" s="230" t="s">
        <v>2812</v>
      </c>
      <c r="I224" s="230" t="s">
        <v>247</v>
      </c>
      <c r="J224" s="230" t="s">
        <v>4605</v>
      </c>
      <c r="K224" s="230"/>
      <c r="L224" s="230" t="s">
        <v>1301</v>
      </c>
      <c r="M224" s="230" t="s">
        <v>1394</v>
      </c>
      <c r="N224" s="230" t="s">
        <v>4613</v>
      </c>
      <c r="O224" s="158"/>
      <c r="P224" s="92"/>
      <c r="Q224" s="146"/>
      <c r="R224" s="92"/>
      <c r="S224" s="146"/>
      <c r="T224" s="92"/>
      <c r="U224" s="146"/>
      <c r="V224" s="92"/>
      <c r="W224" s="146"/>
      <c r="X224" s="92"/>
      <c r="Y224" s="146"/>
      <c r="Z224" s="92"/>
      <c r="AA224" s="146"/>
      <c r="AB224" s="64"/>
      <c r="AC224" s="146"/>
      <c r="AD224" s="64"/>
      <c r="AE224" s="146"/>
      <c r="AF224" s="215" t="str">
        <f t="shared" si="15"/>
        <v/>
      </c>
      <c r="AG224" s="96" t="b">
        <f t="shared" si="14"/>
        <v>0</v>
      </c>
      <c r="AH224" s="9"/>
      <c r="AI224" s="151" t="str">
        <f t="shared" si="13"/>
        <v>GUARULHOS</v>
      </c>
      <c r="AJ224" s="154" t="s">
        <v>6</v>
      </c>
      <c r="AK224" s="53">
        <v>0.59432578103887124</v>
      </c>
      <c r="AL224" s="53" t="str" cm="1">
        <f t="array" ref="AL224">IF(OR(O224&lt;&gt;"", SUMPRODUCT(($AM$2:$AM$210=AM224)*($AK$2:$AK$210&lt;=AK224)) &lt;= (COUNTIF($AM$2:$AM$210,AM224)*0.1)), "SORTEADO", "-")</f>
        <v>-</v>
      </c>
      <c r="AM224" s="53" t="str">
        <f t="shared" si="16"/>
        <v>16/04/2026</v>
      </c>
    </row>
    <row r="225" spans="1:39" ht="30" hidden="1" customHeight="1" x14ac:dyDescent="0.2">
      <c r="A225" s="230" t="s">
        <v>197</v>
      </c>
      <c r="B225" s="230">
        <v>2615585734</v>
      </c>
      <c r="C225" s="230" t="s">
        <v>141</v>
      </c>
      <c r="D225" s="230" t="s">
        <v>67</v>
      </c>
      <c r="E225" s="230" t="s">
        <v>198</v>
      </c>
      <c r="F225" s="230" t="s">
        <v>966</v>
      </c>
      <c r="G225" s="230">
        <v>601</v>
      </c>
      <c r="H225" s="230" t="s">
        <v>1121</v>
      </c>
      <c r="I225" s="230" t="s">
        <v>588</v>
      </c>
      <c r="J225" s="230" t="s">
        <v>4603</v>
      </c>
      <c r="K225" s="230" t="s">
        <v>213</v>
      </c>
      <c r="L225" s="230" t="s">
        <v>1301</v>
      </c>
      <c r="M225" s="230" t="s">
        <v>1364</v>
      </c>
      <c r="N225" s="230" t="s">
        <v>4613</v>
      </c>
      <c r="O225" s="158"/>
      <c r="P225" s="92"/>
      <c r="Q225" s="146"/>
      <c r="R225" s="92"/>
      <c r="S225" s="146"/>
      <c r="T225" s="92"/>
      <c r="U225" s="146"/>
      <c r="V225" s="92"/>
      <c r="W225" s="146"/>
      <c r="X225" s="92"/>
      <c r="Y225" s="146"/>
      <c r="Z225" s="92"/>
      <c r="AA225" s="146"/>
      <c r="AB225" s="64"/>
      <c r="AC225" s="146"/>
      <c r="AD225" s="64"/>
      <c r="AE225" s="146"/>
      <c r="AF225" s="215" t="str">
        <f t="shared" si="15"/>
        <v/>
      </c>
      <c r="AG225" s="96" t="b">
        <f t="shared" si="14"/>
        <v>0</v>
      </c>
      <c r="AH225" s="9"/>
      <c r="AI225" s="151" t="str">
        <f t="shared" si="13"/>
        <v>GUARULHOS</v>
      </c>
      <c r="AJ225" s="154" t="s">
        <v>6</v>
      </c>
      <c r="AK225" s="53">
        <v>0.87333251737236561</v>
      </c>
      <c r="AL225" s="53" t="str" cm="1">
        <f t="array" ref="AL225">IF(OR(O225&lt;&gt;"", SUMPRODUCT(($AM$2:$AM$210=AM225)*($AK$2:$AK$210&lt;=AK225)) &lt;= (COUNTIF($AM$2:$AM$210,AM225)*0.1)), "SORTEADO", "-")</f>
        <v>-</v>
      </c>
      <c r="AM225" s="53" t="str">
        <f t="shared" si="16"/>
        <v>16/04/2026</v>
      </c>
    </row>
    <row r="226" spans="1:39" ht="30" hidden="1" customHeight="1" x14ac:dyDescent="0.2">
      <c r="A226" s="230" t="s">
        <v>197</v>
      </c>
      <c r="B226" s="230">
        <v>2615603407</v>
      </c>
      <c r="C226" s="230" t="s">
        <v>139</v>
      </c>
      <c r="D226" s="230" t="s">
        <v>67</v>
      </c>
      <c r="E226" s="230" t="s">
        <v>198</v>
      </c>
      <c r="F226" s="230" t="s">
        <v>1093</v>
      </c>
      <c r="G226" s="230">
        <v>151</v>
      </c>
      <c r="H226" s="230" t="s">
        <v>206</v>
      </c>
      <c r="I226" s="230" t="s">
        <v>643</v>
      </c>
      <c r="J226" s="230" t="s">
        <v>4603</v>
      </c>
      <c r="K226" s="230"/>
      <c r="L226" s="230" t="s">
        <v>1301</v>
      </c>
      <c r="M226" s="230" t="s">
        <v>4722</v>
      </c>
      <c r="N226" s="230" t="s">
        <v>4613</v>
      </c>
      <c r="O226" s="158"/>
      <c r="P226" s="92"/>
      <c r="Q226" s="146"/>
      <c r="R226" s="92"/>
      <c r="S226" s="146"/>
      <c r="T226" s="92"/>
      <c r="U226" s="146"/>
      <c r="V226" s="92"/>
      <c r="W226" s="146"/>
      <c r="X226" s="92"/>
      <c r="Y226" s="146"/>
      <c r="Z226" s="92"/>
      <c r="AA226" s="146"/>
      <c r="AB226" s="64"/>
      <c r="AC226" s="146"/>
      <c r="AD226" s="64"/>
      <c r="AE226" s="146"/>
      <c r="AF226" s="215" t="str">
        <f t="shared" si="15"/>
        <v/>
      </c>
      <c r="AG226" s="96" t="b">
        <f t="shared" si="14"/>
        <v>0</v>
      </c>
      <c r="AH226" s="9"/>
      <c r="AI226" s="151" t="str">
        <f t="shared" si="13"/>
        <v>GUARULHOS</v>
      </c>
      <c r="AJ226" s="154" t="s">
        <v>6</v>
      </c>
      <c r="AK226" s="53">
        <v>0.91162832334304977</v>
      </c>
      <c r="AL226" s="53" t="str" cm="1">
        <f t="array" ref="AL226">IF(OR(O226&lt;&gt;"", SUMPRODUCT(($AM$2:$AM$210=AM226)*($AK$2:$AK$210&lt;=AK226)) &lt;= (COUNTIF($AM$2:$AM$210,AM226)*0.1)), "SORTEADO", "-")</f>
        <v>-</v>
      </c>
      <c r="AM226" s="53" t="str">
        <f t="shared" si="16"/>
        <v>16/04/2026</v>
      </c>
    </row>
    <row r="227" spans="1:39" ht="30" hidden="1" customHeight="1" x14ac:dyDescent="0.2">
      <c r="A227" s="230" t="s">
        <v>197</v>
      </c>
      <c r="B227" s="230">
        <v>2615729133</v>
      </c>
      <c r="C227" s="230" t="s">
        <v>138</v>
      </c>
      <c r="D227" s="230" t="s">
        <v>67</v>
      </c>
      <c r="E227" s="230" t="s">
        <v>198</v>
      </c>
      <c r="F227" s="230" t="s">
        <v>1034</v>
      </c>
      <c r="G227" s="230">
        <v>401</v>
      </c>
      <c r="H227" s="230" t="s">
        <v>235</v>
      </c>
      <c r="I227" s="230" t="s">
        <v>708</v>
      </c>
      <c r="J227" s="230" t="s">
        <v>4605</v>
      </c>
      <c r="K227" s="230" t="s">
        <v>213</v>
      </c>
      <c r="L227" s="230" t="s">
        <v>1301</v>
      </c>
      <c r="M227" s="230" t="s">
        <v>4723</v>
      </c>
      <c r="N227" s="230" t="s">
        <v>4613</v>
      </c>
      <c r="O227" s="158"/>
      <c r="P227" s="92"/>
      <c r="Q227" s="146"/>
      <c r="R227" s="92"/>
      <c r="S227" s="146"/>
      <c r="T227" s="92"/>
      <c r="U227" s="146"/>
      <c r="V227" s="92"/>
      <c r="W227" s="146"/>
      <c r="X227" s="92"/>
      <c r="Y227" s="146"/>
      <c r="Z227" s="92"/>
      <c r="AA227" s="146"/>
      <c r="AB227" s="64"/>
      <c r="AC227" s="146"/>
      <c r="AD227" s="64"/>
      <c r="AE227" s="146"/>
      <c r="AF227" s="215" t="str">
        <f t="shared" si="15"/>
        <v/>
      </c>
      <c r="AG227" s="96" t="b">
        <f t="shared" si="14"/>
        <v>0</v>
      </c>
      <c r="AH227" s="9"/>
      <c r="AI227" s="151" t="str">
        <f t="shared" si="13"/>
        <v>GUARULHOS</v>
      </c>
      <c r="AJ227" s="154" t="s">
        <v>6</v>
      </c>
      <c r="AK227" s="53">
        <v>0.61080607949730292</v>
      </c>
      <c r="AL227" s="53" t="str" cm="1">
        <f t="array" ref="AL227">IF(OR(O227&lt;&gt;"", SUMPRODUCT(($AM$2:$AM$210=AM227)*($AK$2:$AK$210&lt;=AK227)) &lt;= (COUNTIF($AM$2:$AM$210,AM227)*0.1)), "SORTEADO", "-")</f>
        <v>-</v>
      </c>
      <c r="AM227" s="53" t="str">
        <f t="shared" si="16"/>
        <v>16/04/2026</v>
      </c>
    </row>
    <row r="228" spans="1:39" ht="30" hidden="1" customHeight="1" x14ac:dyDescent="0.2">
      <c r="A228" s="230" t="s">
        <v>197</v>
      </c>
      <c r="B228" s="230">
        <v>2615901403</v>
      </c>
      <c r="C228" s="230" t="s">
        <v>141</v>
      </c>
      <c r="D228" s="230" t="s">
        <v>67</v>
      </c>
      <c r="E228" s="230" t="s">
        <v>198</v>
      </c>
      <c r="F228" s="230" t="s">
        <v>585</v>
      </c>
      <c r="G228" s="230">
        <v>2152</v>
      </c>
      <c r="H228" s="230"/>
      <c r="I228" s="230" t="s">
        <v>584</v>
      </c>
      <c r="J228" s="230" t="s">
        <v>4603</v>
      </c>
      <c r="K228" s="230"/>
      <c r="L228" s="230" t="s">
        <v>1301</v>
      </c>
      <c r="M228" s="230" t="s">
        <v>3963</v>
      </c>
      <c r="N228" s="230" t="s">
        <v>4613</v>
      </c>
      <c r="O228" s="158"/>
      <c r="P228" s="92"/>
      <c r="Q228" s="146"/>
      <c r="R228" s="92"/>
      <c r="S228" s="146"/>
      <c r="T228" s="92"/>
      <c r="U228" s="146"/>
      <c r="V228" s="92"/>
      <c r="W228" s="146"/>
      <c r="X228" s="92"/>
      <c r="Y228" s="146"/>
      <c r="Z228" s="92"/>
      <c r="AA228" s="146"/>
      <c r="AB228" s="64"/>
      <c r="AC228" s="146"/>
      <c r="AD228" s="64"/>
      <c r="AE228" s="146"/>
      <c r="AF228" s="215" t="str">
        <f t="shared" si="15"/>
        <v/>
      </c>
      <c r="AG228" s="96" t="b">
        <f t="shared" si="14"/>
        <v>0</v>
      </c>
      <c r="AH228" s="9"/>
      <c r="AI228" s="151" t="str">
        <f t="shared" si="13"/>
        <v>GUARULHOS</v>
      </c>
      <c r="AJ228" s="154" t="s">
        <v>6</v>
      </c>
      <c r="AK228" s="53">
        <v>0.73075107871161804</v>
      </c>
      <c r="AL228" s="53" t="str" cm="1">
        <f t="array" ref="AL228">IF(OR(O228&lt;&gt;"", SUMPRODUCT(($AM$2:$AM$210=AM228)*($AK$2:$AK$210&lt;=AK228)) &lt;= (COUNTIF($AM$2:$AM$210,AM228)*0.1)), "SORTEADO", "-")</f>
        <v>-</v>
      </c>
      <c r="AM228" s="53" t="str">
        <f t="shared" si="16"/>
        <v>16/04/2026</v>
      </c>
    </row>
    <row r="229" spans="1:39" ht="30" hidden="1" customHeight="1" x14ac:dyDescent="0.2">
      <c r="A229" s="230" t="s">
        <v>197</v>
      </c>
      <c r="B229" s="230">
        <v>2615750685</v>
      </c>
      <c r="C229" s="230" t="s">
        <v>138</v>
      </c>
      <c r="D229" s="230" t="s">
        <v>67</v>
      </c>
      <c r="E229" s="230" t="s">
        <v>198</v>
      </c>
      <c r="F229" s="230" t="s">
        <v>1248</v>
      </c>
      <c r="G229" s="230">
        <v>138</v>
      </c>
      <c r="H229" s="230" t="s">
        <v>1249</v>
      </c>
      <c r="I229" s="230" t="s">
        <v>791</v>
      </c>
      <c r="J229" s="230" t="s">
        <v>4605</v>
      </c>
      <c r="K229" s="230" t="s">
        <v>4651</v>
      </c>
      <c r="L229" s="230" t="s">
        <v>1301</v>
      </c>
      <c r="M229" s="230" t="s">
        <v>4724</v>
      </c>
      <c r="N229" s="230" t="s">
        <v>4604</v>
      </c>
      <c r="O229" s="144" t="s">
        <v>61</v>
      </c>
      <c r="P229" s="9"/>
      <c r="Q229" s="146" t="s">
        <v>61</v>
      </c>
      <c r="R229" s="92"/>
      <c r="S229" s="146" t="s">
        <v>61</v>
      </c>
      <c r="T229" s="92"/>
      <c r="U229" s="146" t="s">
        <v>61</v>
      </c>
      <c r="V229" s="92"/>
      <c r="W229" s="146" t="s">
        <v>61</v>
      </c>
      <c r="X229" s="92"/>
      <c r="Y229" s="146" t="s">
        <v>61</v>
      </c>
      <c r="Z229" s="92"/>
      <c r="AA229" s="146" t="s">
        <v>61</v>
      </c>
      <c r="AB229" s="64"/>
      <c r="AC229" s="146" t="s">
        <v>61</v>
      </c>
      <c r="AD229" s="64"/>
      <c r="AE229" s="146" t="s">
        <v>61</v>
      </c>
      <c r="AF229" s="215" t="str">
        <f t="shared" si="15"/>
        <v>NA</v>
      </c>
      <c r="AG229" s="96" t="str">
        <f t="shared" si="14"/>
        <v>NÃO AVALIADO POR FALHA DE SINCRONISMO</v>
      </c>
      <c r="AH229" s="9" t="s">
        <v>39</v>
      </c>
      <c r="AI229" s="151" t="str">
        <f t="shared" si="13"/>
        <v>GUARULHOS</v>
      </c>
      <c r="AJ229" s="154" t="s">
        <v>6</v>
      </c>
      <c r="AK229" s="53">
        <v>-4.5600000000000002E-2</v>
      </c>
      <c r="AL229" s="53" t="str" cm="1">
        <f t="array" ref="AL229">IF(OR(O229&lt;&gt;"", SUMPRODUCT(($AM$2:$AM$210=AM229)*($AK$2:$AK$210&lt;=AK229)) &lt;= (COUNTIF($AM$2:$AM$210,AM229)*0.1)), "SORTEADO", "-")</f>
        <v>SORTEADO</v>
      </c>
      <c r="AM229" s="53" t="str">
        <f t="shared" si="16"/>
        <v>16/04/2026</v>
      </c>
    </row>
    <row r="230" spans="1:39" ht="30" hidden="1" customHeight="1" x14ac:dyDescent="0.2">
      <c r="A230" s="230" t="s">
        <v>197</v>
      </c>
      <c r="B230" s="230">
        <v>2615422791</v>
      </c>
      <c r="C230" s="230" t="s">
        <v>138</v>
      </c>
      <c r="D230" s="230" t="s">
        <v>67</v>
      </c>
      <c r="E230" s="230" t="s">
        <v>198</v>
      </c>
      <c r="F230" s="230" t="s">
        <v>1148</v>
      </c>
      <c r="G230" s="230">
        <v>60</v>
      </c>
      <c r="H230" s="230" t="s">
        <v>1149</v>
      </c>
      <c r="I230" s="230" t="s">
        <v>1150</v>
      </c>
      <c r="J230" s="230" t="s">
        <v>4605</v>
      </c>
      <c r="K230" s="230" t="s">
        <v>213</v>
      </c>
      <c r="L230" s="230" t="s">
        <v>1442</v>
      </c>
      <c r="M230" s="230" t="s">
        <v>4022</v>
      </c>
      <c r="N230" s="230" t="s">
        <v>4604</v>
      </c>
      <c r="O230" s="158" t="s">
        <v>204</v>
      </c>
      <c r="P230" s="92"/>
      <c r="Q230" s="146" t="s">
        <v>204</v>
      </c>
      <c r="R230" s="92"/>
      <c r="S230" s="146" t="s">
        <v>204</v>
      </c>
      <c r="T230" s="92"/>
      <c r="U230" s="146" t="s">
        <v>204</v>
      </c>
      <c r="V230" s="92"/>
      <c r="W230" s="146" t="s">
        <v>204</v>
      </c>
      <c r="X230" s="92"/>
      <c r="Y230" s="146" t="s">
        <v>204</v>
      </c>
      <c r="Z230" s="92"/>
      <c r="AA230" s="146" t="s">
        <v>204</v>
      </c>
      <c r="AB230" s="64"/>
      <c r="AC230" s="146" t="s">
        <v>204</v>
      </c>
      <c r="AD230" s="64"/>
      <c r="AE230" s="146" t="s">
        <v>204</v>
      </c>
      <c r="AF230" s="215" t="str">
        <f t="shared" si="15"/>
        <v>C</v>
      </c>
      <c r="AG230" s="96" t="str">
        <f t="shared" si="14"/>
        <v>UTILIZOU O PDA CORRETAMENTE</v>
      </c>
      <c r="AH230" s="9" t="s">
        <v>39</v>
      </c>
      <c r="AI230" s="151" t="str">
        <f t="shared" si="13"/>
        <v>GUARULHOS</v>
      </c>
      <c r="AJ230" s="154" t="s">
        <v>6</v>
      </c>
      <c r="AK230" s="53">
        <v>0.27255717375298028</v>
      </c>
      <c r="AL230" s="53" t="str" cm="1">
        <f t="array" ref="AL230">IF(OR(O230&lt;&gt;"", SUMPRODUCT(($AM$2:$AM$210=AM230)*($AK$2:$AK$210&lt;=AK230)) &lt;= (COUNTIF($AM$2:$AM$210,AM230)*0.1)), "SORTEADO", "-")</f>
        <v>SORTEADO</v>
      </c>
      <c r="AM230" s="53" t="str">
        <f t="shared" si="16"/>
        <v>17/04/2026</v>
      </c>
    </row>
    <row r="231" spans="1:39" ht="30" hidden="1" customHeight="1" x14ac:dyDescent="0.2">
      <c r="A231" s="230" t="s">
        <v>197</v>
      </c>
      <c r="B231" s="230">
        <v>2615422751</v>
      </c>
      <c r="C231" s="230" t="s">
        <v>138</v>
      </c>
      <c r="D231" s="230" t="s">
        <v>67</v>
      </c>
      <c r="E231" s="230" t="s">
        <v>198</v>
      </c>
      <c r="F231" s="230" t="s">
        <v>1185</v>
      </c>
      <c r="G231" s="230">
        <v>181</v>
      </c>
      <c r="H231" s="230"/>
      <c r="I231" s="230" t="s">
        <v>1150</v>
      </c>
      <c r="J231" s="230" t="s">
        <v>4605</v>
      </c>
      <c r="K231" s="230"/>
      <c r="L231" s="230" t="s">
        <v>1442</v>
      </c>
      <c r="M231" s="230" t="s">
        <v>4022</v>
      </c>
      <c r="N231" s="230" t="s">
        <v>4604</v>
      </c>
      <c r="O231" s="158" t="s">
        <v>204</v>
      </c>
      <c r="P231" s="92"/>
      <c r="Q231" s="146" t="s">
        <v>204</v>
      </c>
      <c r="R231" s="92"/>
      <c r="S231" s="146" t="s">
        <v>204</v>
      </c>
      <c r="T231" s="92"/>
      <c r="U231" s="146" t="s">
        <v>204</v>
      </c>
      <c r="V231" s="92"/>
      <c r="W231" s="146" t="s">
        <v>204</v>
      </c>
      <c r="X231" s="92"/>
      <c r="Y231" s="146" t="s">
        <v>204</v>
      </c>
      <c r="Z231" s="92"/>
      <c r="AA231" s="146" t="s">
        <v>204</v>
      </c>
      <c r="AB231" s="64"/>
      <c r="AC231" s="146" t="s">
        <v>204</v>
      </c>
      <c r="AD231" s="64"/>
      <c r="AE231" s="146" t="s">
        <v>204</v>
      </c>
      <c r="AF231" s="215" t="str">
        <f t="shared" si="15"/>
        <v>C</v>
      </c>
      <c r="AG231" s="96" t="str">
        <f t="shared" si="14"/>
        <v>UTILIZOU O PDA CORRETAMENTE</v>
      </c>
      <c r="AH231" s="9" t="s">
        <v>39</v>
      </c>
      <c r="AI231" s="151" t="str">
        <f t="shared" si="13"/>
        <v>GUARULHOS</v>
      </c>
      <c r="AJ231" s="154" t="s">
        <v>6</v>
      </c>
      <c r="AK231" s="53">
        <v>0.17890343787848573</v>
      </c>
      <c r="AL231" s="53" t="str" cm="1">
        <f t="array" ref="AL231">IF(OR(O231&lt;&gt;"", SUMPRODUCT(($AM$2:$AM$210=AM231)*($AK$2:$AK$210&lt;=AK231)) &lt;= (COUNTIF($AM$2:$AM$210,AM231)*0.1)), "SORTEADO", "-")</f>
        <v>SORTEADO</v>
      </c>
      <c r="AM231" s="53" t="str">
        <f t="shared" si="16"/>
        <v>17/04/2026</v>
      </c>
    </row>
    <row r="232" spans="1:39" ht="30" hidden="1" customHeight="1" x14ac:dyDescent="0.2">
      <c r="A232" s="230" t="s">
        <v>197</v>
      </c>
      <c r="B232" s="230">
        <v>2615593418</v>
      </c>
      <c r="C232" s="230" t="s">
        <v>138</v>
      </c>
      <c r="D232" s="230" t="s">
        <v>67</v>
      </c>
      <c r="E232" s="230" t="s">
        <v>198</v>
      </c>
      <c r="F232" s="230" t="s">
        <v>1030</v>
      </c>
      <c r="G232" s="230">
        <v>1750</v>
      </c>
      <c r="H232" s="230" t="s">
        <v>213</v>
      </c>
      <c r="I232" s="230" t="s">
        <v>198</v>
      </c>
      <c r="J232" s="230" t="s">
        <v>4605</v>
      </c>
      <c r="K232" s="230" t="s">
        <v>213</v>
      </c>
      <c r="L232" s="230" t="s">
        <v>1442</v>
      </c>
      <c r="M232" s="230" t="s">
        <v>4725</v>
      </c>
      <c r="N232" s="230" t="s">
        <v>4604</v>
      </c>
      <c r="O232" s="158" t="s">
        <v>204</v>
      </c>
      <c r="P232" s="92"/>
      <c r="Q232" s="146" t="s">
        <v>204</v>
      </c>
      <c r="R232" s="92"/>
      <c r="S232" s="146" t="s">
        <v>204</v>
      </c>
      <c r="T232" s="92"/>
      <c r="U232" s="146" t="s">
        <v>204</v>
      </c>
      <c r="V232" s="92"/>
      <c r="W232" s="146" t="s">
        <v>204</v>
      </c>
      <c r="X232" s="92"/>
      <c r="Y232" s="146" t="s">
        <v>204</v>
      </c>
      <c r="Z232" s="92"/>
      <c r="AA232" s="146" t="s">
        <v>204</v>
      </c>
      <c r="AB232" s="64"/>
      <c r="AC232" s="146" t="s">
        <v>204</v>
      </c>
      <c r="AD232" s="64"/>
      <c r="AE232" s="146" t="s">
        <v>204</v>
      </c>
      <c r="AF232" s="215" t="str">
        <f t="shared" si="15"/>
        <v>C</v>
      </c>
      <c r="AG232" s="96" t="str">
        <f t="shared" si="14"/>
        <v>UTILIZOU O PDA CORRETAMENTE</v>
      </c>
      <c r="AH232" s="9" t="s">
        <v>39</v>
      </c>
      <c r="AI232" s="151" t="str">
        <f t="shared" si="13"/>
        <v>GUARULHOS</v>
      </c>
      <c r="AJ232" s="154" t="s">
        <v>6</v>
      </c>
      <c r="AK232" s="53">
        <v>0.56998978370025921</v>
      </c>
      <c r="AL232" s="53" t="str" cm="1">
        <f t="array" ref="AL232">IF(OR(O232&lt;&gt;"", SUMPRODUCT(($AM$2:$AM$210=AM232)*($AK$2:$AK$210&lt;=AK232)) &lt;= (COUNTIF($AM$2:$AM$210,AM232)*0.1)), "SORTEADO", "-")</f>
        <v>SORTEADO</v>
      </c>
      <c r="AM232" s="53" t="str">
        <f t="shared" si="16"/>
        <v>17/04/2026</v>
      </c>
    </row>
    <row r="233" spans="1:39" ht="30" hidden="1" customHeight="1" x14ac:dyDescent="0.2">
      <c r="A233" s="230" t="s">
        <v>197</v>
      </c>
      <c r="B233" s="230">
        <v>2616219021</v>
      </c>
      <c r="C233" s="230" t="s">
        <v>141</v>
      </c>
      <c r="D233" s="230" t="s">
        <v>67</v>
      </c>
      <c r="E233" s="230" t="s">
        <v>198</v>
      </c>
      <c r="F233" s="230" t="s">
        <v>979</v>
      </c>
      <c r="G233" s="230">
        <v>143</v>
      </c>
      <c r="H233" s="230" t="s">
        <v>980</v>
      </c>
      <c r="I233" s="230" t="s">
        <v>315</v>
      </c>
      <c r="J233" s="230" t="s">
        <v>4603</v>
      </c>
      <c r="K233" s="230"/>
      <c r="L233" s="230" t="s">
        <v>1442</v>
      </c>
      <c r="M233" s="230" t="s">
        <v>4010</v>
      </c>
      <c r="N233" s="230" t="s">
        <v>4613</v>
      </c>
      <c r="O233" s="158" t="s">
        <v>204</v>
      </c>
      <c r="P233" s="92"/>
      <c r="Q233" s="146" t="s">
        <v>204</v>
      </c>
      <c r="R233" s="92"/>
      <c r="S233" s="146" t="s">
        <v>204</v>
      </c>
      <c r="T233" s="92"/>
      <c r="U233" s="146" t="s">
        <v>204</v>
      </c>
      <c r="V233" s="92"/>
      <c r="W233" s="146" t="s">
        <v>204</v>
      </c>
      <c r="X233" s="92"/>
      <c r="Y233" s="146" t="s">
        <v>204</v>
      </c>
      <c r="Z233" s="92"/>
      <c r="AA233" s="146" t="s">
        <v>204</v>
      </c>
      <c r="AB233" s="64"/>
      <c r="AC233" s="146" t="s">
        <v>204</v>
      </c>
      <c r="AD233" s="64"/>
      <c r="AE233" s="146" t="s">
        <v>204</v>
      </c>
      <c r="AF233" s="215" t="str">
        <f t="shared" si="15"/>
        <v>C</v>
      </c>
      <c r="AG233" s="96" t="str">
        <f t="shared" si="14"/>
        <v>UTILIZOU O PDA CORRETAMENTE</v>
      </c>
      <c r="AH233" s="9" t="s">
        <v>39</v>
      </c>
      <c r="AI233" s="151" t="str">
        <f t="shared" si="13"/>
        <v>GUARULHOS</v>
      </c>
      <c r="AJ233" s="154" t="s">
        <v>6</v>
      </c>
      <c r="AK233" s="53">
        <v>0.91574745165301197</v>
      </c>
      <c r="AL233" s="53" t="str" cm="1">
        <f t="array" ref="AL233">IF(OR(O233&lt;&gt;"", SUMPRODUCT(($AM$2:$AM$210=AM233)*($AK$2:$AK$210&lt;=AK233)) &lt;= (COUNTIF($AM$2:$AM$210,AM233)*0.1)), "SORTEADO", "-")</f>
        <v>SORTEADO</v>
      </c>
      <c r="AM233" s="53" t="str">
        <f t="shared" si="16"/>
        <v>17/04/2026</v>
      </c>
    </row>
    <row r="234" spans="1:39" ht="30" hidden="1" customHeight="1" x14ac:dyDescent="0.2">
      <c r="A234" s="230" t="s">
        <v>197</v>
      </c>
      <c r="B234" s="230">
        <v>2615761928</v>
      </c>
      <c r="C234" s="230" t="s">
        <v>138</v>
      </c>
      <c r="D234" s="230" t="s">
        <v>67</v>
      </c>
      <c r="E234" s="230" t="s">
        <v>198</v>
      </c>
      <c r="F234" s="230" t="s">
        <v>2839</v>
      </c>
      <c r="G234" s="230">
        <v>62</v>
      </c>
      <c r="H234" s="230" t="s">
        <v>1360</v>
      </c>
      <c r="I234" s="230" t="s">
        <v>200</v>
      </c>
      <c r="J234" s="230" t="s">
        <v>4605</v>
      </c>
      <c r="K234" s="230" t="s">
        <v>213</v>
      </c>
      <c r="L234" s="230" t="s">
        <v>1442</v>
      </c>
      <c r="M234" s="230" t="s">
        <v>4726</v>
      </c>
      <c r="N234" s="230" t="s">
        <v>4613</v>
      </c>
      <c r="O234" s="158" t="s">
        <v>204</v>
      </c>
      <c r="P234" s="92"/>
      <c r="Q234" s="146" t="s">
        <v>204</v>
      </c>
      <c r="R234" s="92"/>
      <c r="S234" s="146" t="s">
        <v>204</v>
      </c>
      <c r="T234" s="92"/>
      <c r="U234" s="146" t="s">
        <v>204</v>
      </c>
      <c r="V234" s="92"/>
      <c r="W234" s="146" t="s">
        <v>204</v>
      </c>
      <c r="X234" s="92"/>
      <c r="Y234" s="146" t="s">
        <v>204</v>
      </c>
      <c r="Z234" s="92"/>
      <c r="AA234" s="146" t="s">
        <v>204</v>
      </c>
      <c r="AB234" s="64"/>
      <c r="AC234" s="146" t="s">
        <v>204</v>
      </c>
      <c r="AD234" s="64"/>
      <c r="AE234" s="146" t="s">
        <v>204</v>
      </c>
      <c r="AF234" s="215" t="str">
        <f t="shared" si="15"/>
        <v>C</v>
      </c>
      <c r="AG234" s="96" t="str">
        <f t="shared" si="14"/>
        <v>UTILIZOU O PDA CORRETAMENTE</v>
      </c>
      <c r="AH234" s="9" t="s">
        <v>59</v>
      </c>
      <c r="AI234" s="151" t="str">
        <f t="shared" si="13"/>
        <v>GUARULHOS</v>
      </c>
      <c r="AJ234" s="154" t="s">
        <v>6</v>
      </c>
      <c r="AK234" s="53">
        <v>0.3952084714616132</v>
      </c>
      <c r="AL234" s="53" t="str" cm="1">
        <f t="array" ref="AL234">IF(OR(O234&lt;&gt;"", SUMPRODUCT(($AM$2:$AM$210=AM234)*($AK$2:$AK$210&lt;=AK234)) &lt;= (COUNTIF($AM$2:$AM$210,AM234)*0.1)), "SORTEADO", "-")</f>
        <v>SORTEADO</v>
      </c>
      <c r="AM234" s="53" t="str">
        <f t="shared" si="16"/>
        <v>17/04/2026</v>
      </c>
    </row>
    <row r="235" spans="1:39" ht="30" hidden="1" customHeight="1" x14ac:dyDescent="0.2">
      <c r="A235" s="230" t="s">
        <v>197</v>
      </c>
      <c r="B235" s="230">
        <v>2615304035</v>
      </c>
      <c r="C235" s="230" t="s">
        <v>139</v>
      </c>
      <c r="D235" s="230" t="s">
        <v>67</v>
      </c>
      <c r="E235" s="230" t="s">
        <v>198</v>
      </c>
      <c r="F235" s="230" t="s">
        <v>1085</v>
      </c>
      <c r="G235" s="230">
        <v>11</v>
      </c>
      <c r="H235" s="230" t="s">
        <v>2815</v>
      </c>
      <c r="I235" s="230" t="s">
        <v>253</v>
      </c>
      <c r="J235" s="230" t="s">
        <v>4603</v>
      </c>
      <c r="K235" s="230"/>
      <c r="L235" s="230" t="s">
        <v>1442</v>
      </c>
      <c r="M235" s="230" t="s">
        <v>4727</v>
      </c>
      <c r="N235" s="230" t="s">
        <v>4613</v>
      </c>
      <c r="O235" s="158" t="s">
        <v>204</v>
      </c>
      <c r="P235" s="92"/>
      <c r="Q235" s="146" t="s">
        <v>204</v>
      </c>
      <c r="R235" s="92"/>
      <c r="S235" s="146" t="s">
        <v>210</v>
      </c>
      <c r="T235" s="92" t="s">
        <v>4728</v>
      </c>
      <c r="U235" s="146" t="s">
        <v>204</v>
      </c>
      <c r="V235" s="92"/>
      <c r="W235" s="146" t="s">
        <v>204</v>
      </c>
      <c r="X235" s="92"/>
      <c r="Y235" s="146" t="s">
        <v>204</v>
      </c>
      <c r="Z235" s="92"/>
      <c r="AA235" s="146" t="s">
        <v>204</v>
      </c>
      <c r="AB235" s="64"/>
      <c r="AC235" s="146" t="s">
        <v>204</v>
      </c>
      <c r="AD235" s="64"/>
      <c r="AE235" s="146" t="s">
        <v>204</v>
      </c>
      <c r="AF235" s="215" t="str">
        <f t="shared" si="15"/>
        <v>NC</v>
      </c>
      <c r="AG235" s="96" t="str">
        <f t="shared" si="14"/>
        <v>UTILIZOU O PDA CORRETAMENTE. NÃO HÁ FOTOS DE TODAS AS ETAPAS</v>
      </c>
      <c r="AH235" s="9" t="s">
        <v>59</v>
      </c>
      <c r="AI235" s="151" t="str">
        <f t="shared" si="13"/>
        <v>GUARULHOS</v>
      </c>
      <c r="AJ235" s="154" t="s">
        <v>6</v>
      </c>
      <c r="AK235" s="53">
        <v>0.7711778240656525</v>
      </c>
      <c r="AL235" s="53" t="str" cm="1">
        <f t="array" ref="AL235">IF(OR(O235&lt;&gt;"", SUMPRODUCT(($AM$2:$AM$210=AM235)*($AK$2:$AK$210&lt;=AK235)) &lt;= (COUNTIF($AM$2:$AM$210,AM235)*0.1)), "SORTEADO", "-")</f>
        <v>SORTEADO</v>
      </c>
      <c r="AM235" s="53" t="str">
        <f t="shared" si="16"/>
        <v>17/04/2026</v>
      </c>
    </row>
    <row r="236" spans="1:39" ht="30" hidden="1" customHeight="1" x14ac:dyDescent="0.2">
      <c r="A236" s="230" t="s">
        <v>197</v>
      </c>
      <c r="B236" s="230">
        <v>2615879805</v>
      </c>
      <c r="C236" s="230" t="s">
        <v>139</v>
      </c>
      <c r="D236" s="230" t="s">
        <v>67</v>
      </c>
      <c r="E236" s="230" t="s">
        <v>198</v>
      </c>
      <c r="F236" s="230" t="s">
        <v>688</v>
      </c>
      <c r="G236" s="230">
        <v>242</v>
      </c>
      <c r="H236" s="230" t="s">
        <v>1362</v>
      </c>
      <c r="I236" s="230" t="s">
        <v>356</v>
      </c>
      <c r="J236" s="230" t="s">
        <v>4603</v>
      </c>
      <c r="K236" s="230" t="s">
        <v>4640</v>
      </c>
      <c r="L236" s="230" t="s">
        <v>1442</v>
      </c>
      <c r="M236" s="230" t="s">
        <v>4729</v>
      </c>
      <c r="N236" s="230" t="s">
        <v>4613</v>
      </c>
      <c r="O236" s="144" t="s">
        <v>61</v>
      </c>
      <c r="P236" s="9"/>
      <c r="Q236" s="146" t="s">
        <v>61</v>
      </c>
      <c r="R236" s="92"/>
      <c r="S236" s="146" t="s">
        <v>61</v>
      </c>
      <c r="T236" s="92"/>
      <c r="U236" s="146" t="s">
        <v>61</v>
      </c>
      <c r="V236" s="92"/>
      <c r="W236" s="146" t="s">
        <v>61</v>
      </c>
      <c r="X236" s="92"/>
      <c r="Y236" s="146" t="s">
        <v>61</v>
      </c>
      <c r="Z236" s="92"/>
      <c r="AA236" s="146" t="s">
        <v>61</v>
      </c>
      <c r="AB236" s="64"/>
      <c r="AC236" s="146" t="s">
        <v>61</v>
      </c>
      <c r="AD236" s="64"/>
      <c r="AE236" s="146" t="s">
        <v>61</v>
      </c>
      <c r="AF236" s="215" t="str">
        <f t="shared" si="15"/>
        <v>NA</v>
      </c>
      <c r="AG236" s="96" t="str">
        <f t="shared" si="14"/>
        <v>NÃO AVALIADO POR FALHA DE SINCRONISMO</v>
      </c>
      <c r="AH236" s="9" t="s">
        <v>39</v>
      </c>
      <c r="AI236" s="151" t="str">
        <f t="shared" si="13"/>
        <v>GUARULHOS</v>
      </c>
      <c r="AJ236" s="154" t="s">
        <v>6</v>
      </c>
      <c r="AK236" s="53">
        <v>-4.7E-2</v>
      </c>
      <c r="AL236" s="53" t="str" cm="1">
        <f t="array" ref="AL236">IF(OR(O236&lt;&gt;"", SUMPRODUCT(($AM$2:$AM$210=AM236)*($AK$2:$AK$210&lt;=AK236)) &lt;= (COUNTIF($AM$2:$AM$210,AM236)*0.1)), "SORTEADO", "-")</f>
        <v>SORTEADO</v>
      </c>
      <c r="AM236" s="53" t="str">
        <f t="shared" si="16"/>
        <v>17/04/2026</v>
      </c>
    </row>
    <row r="237" spans="1:39" ht="30" hidden="1" customHeight="1" x14ac:dyDescent="0.2">
      <c r="A237" s="230" t="s">
        <v>197</v>
      </c>
      <c r="B237" s="230">
        <v>2615906514</v>
      </c>
      <c r="C237" s="230" t="s">
        <v>138</v>
      </c>
      <c r="D237" s="230" t="s">
        <v>67</v>
      </c>
      <c r="E237" s="230" t="s">
        <v>198</v>
      </c>
      <c r="F237" s="230" t="s">
        <v>484</v>
      </c>
      <c r="G237" s="230">
        <v>71</v>
      </c>
      <c r="H237" s="230"/>
      <c r="I237" s="230" t="s">
        <v>899</v>
      </c>
      <c r="J237" s="230" t="s">
        <v>4605</v>
      </c>
      <c r="K237" s="230" t="s">
        <v>4730</v>
      </c>
      <c r="L237" s="230" t="s">
        <v>1442</v>
      </c>
      <c r="M237" s="230" t="s">
        <v>4731</v>
      </c>
      <c r="N237" s="230" t="s">
        <v>4613</v>
      </c>
      <c r="O237" s="158" t="s">
        <v>204</v>
      </c>
      <c r="P237" s="92"/>
      <c r="Q237" s="146" t="s">
        <v>204</v>
      </c>
      <c r="R237" s="92"/>
      <c r="S237" s="146" t="s">
        <v>204</v>
      </c>
      <c r="T237" s="92"/>
      <c r="U237" s="146" t="s">
        <v>204</v>
      </c>
      <c r="V237" s="92"/>
      <c r="W237" s="146" t="s">
        <v>204</v>
      </c>
      <c r="X237" s="92"/>
      <c r="Y237" s="146" t="s">
        <v>61</v>
      </c>
      <c r="Z237" s="92"/>
      <c r="AA237" s="146" t="s">
        <v>210</v>
      </c>
      <c r="AB237" s="64" t="s">
        <v>4732</v>
      </c>
      <c r="AC237" s="146" t="s">
        <v>204</v>
      </c>
      <c r="AD237" s="64"/>
      <c r="AE237" s="146" t="s">
        <v>204</v>
      </c>
      <c r="AF237" s="215" t="str">
        <f t="shared" si="15"/>
        <v>NC</v>
      </c>
      <c r="AG237" s="96" t="str">
        <f t="shared" si="14"/>
        <v>UTILIZOU O PDA CORRETAMENTE. NÃO HÁ FOTOS DE TODAS AS ETAPAS</v>
      </c>
      <c r="AH237" s="9" t="s">
        <v>39</v>
      </c>
      <c r="AI237" s="151" t="str">
        <f t="shared" si="13"/>
        <v>GUARULHOS</v>
      </c>
      <c r="AJ237" s="154" t="s">
        <v>6</v>
      </c>
      <c r="AK237" s="53">
        <v>8.0810638714901128E-2</v>
      </c>
      <c r="AL237" s="53" t="str" cm="1">
        <f t="array" ref="AL237">IF(OR(O237&lt;&gt;"", SUMPRODUCT(($AM$2:$AM$210=AM237)*($AK$2:$AK$210&lt;=AK237)) &lt;= (COUNTIF($AM$2:$AM$210,AM237)*0.1)), "SORTEADO", "-")</f>
        <v>SORTEADO</v>
      </c>
      <c r="AM237" s="53" t="str">
        <f t="shared" si="16"/>
        <v>17/04/2026</v>
      </c>
    </row>
    <row r="238" spans="1:39" ht="30" hidden="1" customHeight="1" x14ac:dyDescent="0.2">
      <c r="A238" s="230" t="s">
        <v>197</v>
      </c>
      <c r="B238" s="230">
        <v>2615735563</v>
      </c>
      <c r="C238" s="230" t="s">
        <v>141</v>
      </c>
      <c r="D238" s="230" t="s">
        <v>67</v>
      </c>
      <c r="E238" s="230" t="s">
        <v>198</v>
      </c>
      <c r="F238" s="230" t="s">
        <v>1226</v>
      </c>
      <c r="G238" s="230">
        <v>555</v>
      </c>
      <c r="H238" s="230" t="s">
        <v>206</v>
      </c>
      <c r="I238" s="230" t="s">
        <v>416</v>
      </c>
      <c r="J238" s="230" t="s">
        <v>4603</v>
      </c>
      <c r="K238" s="230" t="s">
        <v>213</v>
      </c>
      <c r="L238" s="230" t="s">
        <v>1442</v>
      </c>
      <c r="M238" s="230" t="s">
        <v>4733</v>
      </c>
      <c r="N238" s="230" t="s">
        <v>4613</v>
      </c>
      <c r="O238" s="158" t="s">
        <v>204</v>
      </c>
      <c r="P238" s="92"/>
      <c r="Q238" s="146" t="s">
        <v>204</v>
      </c>
      <c r="R238" s="92"/>
      <c r="S238" s="146" t="s">
        <v>210</v>
      </c>
      <c r="T238" s="92" t="s">
        <v>4734</v>
      </c>
      <c r="U238" s="146" t="s">
        <v>204</v>
      </c>
      <c r="V238" s="92"/>
      <c r="W238" s="146" t="s">
        <v>204</v>
      </c>
      <c r="X238" s="92"/>
      <c r="Y238" s="146" t="s">
        <v>204</v>
      </c>
      <c r="Z238" s="92"/>
      <c r="AA238" s="146" t="s">
        <v>204</v>
      </c>
      <c r="AB238" s="64"/>
      <c r="AC238" s="146" t="s">
        <v>210</v>
      </c>
      <c r="AD238" s="64" t="s">
        <v>4735</v>
      </c>
      <c r="AE238" s="146" t="s">
        <v>204</v>
      </c>
      <c r="AF238" s="215" t="str">
        <f t="shared" si="15"/>
        <v>NC</v>
      </c>
      <c r="AG238" s="96" t="str">
        <f t="shared" si="14"/>
        <v>UTILIZOU O PDA CORRETAMENTE. NÃO HÁ FOTOS DE TODAS AS ETAPAS</v>
      </c>
      <c r="AH238" s="9" t="s">
        <v>39</v>
      </c>
      <c r="AI238" s="151" t="str">
        <f t="shared" si="13"/>
        <v>GUARULHOS</v>
      </c>
      <c r="AJ238" s="154" t="s">
        <v>6</v>
      </c>
      <c r="AK238" s="53">
        <v>0.80065026663237093</v>
      </c>
      <c r="AL238" s="53" t="str" cm="1">
        <f t="array" ref="AL238">IF(OR(O238&lt;&gt;"", SUMPRODUCT(($AM$2:$AM$210=AM238)*($AK$2:$AK$210&lt;=AK238)) &lt;= (COUNTIF($AM$2:$AM$210,AM238)*0.1)), "SORTEADO", "-")</f>
        <v>SORTEADO</v>
      </c>
      <c r="AM238" s="53" t="str">
        <f t="shared" si="16"/>
        <v>17/04/2026</v>
      </c>
    </row>
    <row r="239" spans="1:39" ht="30" hidden="1" customHeight="1" x14ac:dyDescent="0.2">
      <c r="A239" s="230" t="s">
        <v>197</v>
      </c>
      <c r="B239" s="230">
        <v>2615762823</v>
      </c>
      <c r="C239" s="230" t="s">
        <v>138</v>
      </c>
      <c r="D239" s="230" t="s">
        <v>67</v>
      </c>
      <c r="E239" s="230" t="s">
        <v>198</v>
      </c>
      <c r="F239" s="230" t="s">
        <v>1231</v>
      </c>
      <c r="G239" s="230">
        <v>21</v>
      </c>
      <c r="H239" s="230"/>
      <c r="I239" s="230" t="s">
        <v>650</v>
      </c>
      <c r="J239" s="230" t="s">
        <v>4605</v>
      </c>
      <c r="K239" s="230"/>
      <c r="L239" s="230" t="s">
        <v>1442</v>
      </c>
      <c r="M239" s="230" t="s">
        <v>4736</v>
      </c>
      <c r="N239" s="230" t="s">
        <v>4613</v>
      </c>
      <c r="O239" s="158" t="s">
        <v>204</v>
      </c>
      <c r="P239" s="92"/>
      <c r="Q239" s="146" t="s">
        <v>204</v>
      </c>
      <c r="R239" s="92"/>
      <c r="S239" s="146" t="s">
        <v>204</v>
      </c>
      <c r="T239" s="92"/>
      <c r="U239" s="146" t="s">
        <v>204</v>
      </c>
      <c r="V239" s="92"/>
      <c r="W239" s="146" t="s">
        <v>204</v>
      </c>
      <c r="X239" s="92"/>
      <c r="Y239" s="146" t="s">
        <v>204</v>
      </c>
      <c r="Z239" s="92"/>
      <c r="AA239" s="146" t="s">
        <v>61</v>
      </c>
      <c r="AB239" s="64"/>
      <c r="AC239" s="146" t="s">
        <v>204</v>
      </c>
      <c r="AD239" s="64"/>
      <c r="AE239" s="146" t="s">
        <v>204</v>
      </c>
      <c r="AF239" s="215" t="str">
        <f t="shared" si="15"/>
        <v>C</v>
      </c>
      <c r="AG239" s="96" t="str">
        <f t="shared" si="14"/>
        <v>UTILIZOU O PDA CORRETAMENTE</v>
      </c>
      <c r="AH239" s="9" t="s">
        <v>39</v>
      </c>
      <c r="AI239" s="151" t="str">
        <f t="shared" si="13"/>
        <v>GUARULHOS</v>
      </c>
      <c r="AJ239" s="154" t="s">
        <v>6</v>
      </c>
      <c r="AK239" s="53">
        <v>0.51390283899827727</v>
      </c>
      <c r="AL239" s="53" t="str" cm="1">
        <f t="array" ref="AL239">IF(OR(O239&lt;&gt;"", SUMPRODUCT(($AM$2:$AM$210=AM239)*($AK$2:$AK$210&lt;=AK239)) &lt;= (COUNTIF($AM$2:$AM$210,AM239)*0.1)), "SORTEADO", "-")</f>
        <v>SORTEADO</v>
      </c>
      <c r="AM239" s="53" t="str">
        <f t="shared" si="16"/>
        <v>17/04/2026</v>
      </c>
    </row>
    <row r="240" spans="1:39" ht="30" hidden="1" customHeight="1" x14ac:dyDescent="0.2">
      <c r="A240" s="230" t="s">
        <v>197</v>
      </c>
      <c r="B240" s="230">
        <v>2615682121</v>
      </c>
      <c r="C240" s="230" t="s">
        <v>141</v>
      </c>
      <c r="D240" s="230" t="s">
        <v>67</v>
      </c>
      <c r="E240" s="230" t="s">
        <v>198</v>
      </c>
      <c r="F240" s="230" t="s">
        <v>1027</v>
      </c>
      <c r="G240" s="230">
        <v>150</v>
      </c>
      <c r="H240" s="230" t="s">
        <v>1028</v>
      </c>
      <c r="I240" s="230" t="s">
        <v>285</v>
      </c>
      <c r="J240" s="230" t="s">
        <v>4603</v>
      </c>
      <c r="K240" s="230" t="s">
        <v>4651</v>
      </c>
      <c r="L240" s="230" t="s">
        <v>1442</v>
      </c>
      <c r="M240" s="230" t="s">
        <v>4737</v>
      </c>
      <c r="N240" s="230" t="s">
        <v>4613</v>
      </c>
      <c r="O240" s="144" t="s">
        <v>61</v>
      </c>
      <c r="P240" s="9"/>
      <c r="Q240" s="146" t="s">
        <v>61</v>
      </c>
      <c r="R240" s="92"/>
      <c r="S240" s="146" t="s">
        <v>61</v>
      </c>
      <c r="T240" s="92"/>
      <c r="U240" s="146" t="s">
        <v>61</v>
      </c>
      <c r="V240" s="92"/>
      <c r="W240" s="146" t="s">
        <v>61</v>
      </c>
      <c r="X240" s="92"/>
      <c r="Y240" s="146" t="s">
        <v>61</v>
      </c>
      <c r="Z240" s="92"/>
      <c r="AA240" s="146" t="s">
        <v>61</v>
      </c>
      <c r="AB240" s="64"/>
      <c r="AC240" s="146" t="s">
        <v>61</v>
      </c>
      <c r="AD240" s="64"/>
      <c r="AE240" s="146" t="s">
        <v>61</v>
      </c>
      <c r="AF240" s="215" t="str">
        <f t="shared" si="15"/>
        <v>NA</v>
      </c>
      <c r="AG240" s="96" t="str">
        <f t="shared" si="14"/>
        <v>NÃO AVALIADO POR FALHA DE SINCRONISMO</v>
      </c>
      <c r="AH240" s="9" t="s">
        <v>39</v>
      </c>
      <c r="AI240" s="151" t="str">
        <f t="shared" si="13"/>
        <v>GUARULHOS</v>
      </c>
      <c r="AJ240" s="154" t="s">
        <v>6</v>
      </c>
      <c r="AK240" s="53">
        <v>-4.7800000000000002E-2</v>
      </c>
      <c r="AL240" s="53" t="str" cm="1">
        <f t="array" ref="AL240">IF(OR(O240&lt;&gt;"", SUMPRODUCT(($AM$2:$AM$210=AM240)*($AK$2:$AK$210&lt;=AK240)) &lt;= (COUNTIF($AM$2:$AM$210,AM240)*0.1)), "SORTEADO", "-")</f>
        <v>SORTEADO</v>
      </c>
      <c r="AM240" s="53" t="str">
        <f t="shared" si="16"/>
        <v>17/04/2026</v>
      </c>
    </row>
    <row r="241" spans="1:39" ht="30" hidden="1" customHeight="1" x14ac:dyDescent="0.2">
      <c r="A241" s="230" t="s">
        <v>197</v>
      </c>
      <c r="B241" s="230">
        <v>2615594544</v>
      </c>
      <c r="C241" s="230" t="s">
        <v>140</v>
      </c>
      <c r="D241" s="230" t="s">
        <v>67</v>
      </c>
      <c r="E241" s="230" t="s">
        <v>198</v>
      </c>
      <c r="F241" s="230" t="s">
        <v>1258</v>
      </c>
      <c r="G241" s="230">
        <v>52</v>
      </c>
      <c r="H241" s="230" t="s">
        <v>206</v>
      </c>
      <c r="I241" s="230" t="s">
        <v>335</v>
      </c>
      <c r="J241" s="230" t="s">
        <v>4605</v>
      </c>
      <c r="K241" s="230"/>
      <c r="L241" s="230" t="s">
        <v>1442</v>
      </c>
      <c r="M241" s="230" t="s">
        <v>4738</v>
      </c>
      <c r="N241" s="230" t="s">
        <v>4613</v>
      </c>
      <c r="O241" s="158" t="s">
        <v>204</v>
      </c>
      <c r="P241" s="92"/>
      <c r="Q241" s="146" t="s">
        <v>204</v>
      </c>
      <c r="R241" s="92"/>
      <c r="S241" s="146" t="s">
        <v>204</v>
      </c>
      <c r="T241" s="92"/>
      <c r="U241" s="146" t="s">
        <v>204</v>
      </c>
      <c r="V241" s="92"/>
      <c r="W241" s="146" t="s">
        <v>204</v>
      </c>
      <c r="X241" s="92"/>
      <c r="Y241" s="146" t="s">
        <v>204</v>
      </c>
      <c r="Z241" s="92"/>
      <c r="AA241" s="146" t="s">
        <v>204</v>
      </c>
      <c r="AB241" s="64"/>
      <c r="AC241" s="146" t="s">
        <v>204</v>
      </c>
      <c r="AD241" s="64"/>
      <c r="AE241" s="146" t="s">
        <v>204</v>
      </c>
      <c r="AF241" s="215" t="str">
        <f t="shared" si="15"/>
        <v>C</v>
      </c>
      <c r="AG241" s="96" t="str">
        <f t="shared" si="14"/>
        <v>UTILIZOU O PDA CORRETAMENTE</v>
      </c>
      <c r="AH241" s="9" t="s">
        <v>39</v>
      </c>
      <c r="AI241" s="151" t="str">
        <f t="shared" si="13"/>
        <v>GUARULHOS</v>
      </c>
      <c r="AJ241" s="154" t="s">
        <v>6</v>
      </c>
      <c r="AK241" s="53">
        <v>0.62441447744926282</v>
      </c>
      <c r="AL241" s="53" t="str" cm="1">
        <f t="array" ref="AL241">IF(OR(O241&lt;&gt;"", SUMPRODUCT(($AM$2:$AM$210=AM241)*($AK$2:$AK$210&lt;=AK241)) &lt;= (COUNTIF($AM$2:$AM$210,AM241)*0.1)), "SORTEADO", "-")</f>
        <v>SORTEADO</v>
      </c>
      <c r="AM241" s="53" t="str">
        <f t="shared" si="16"/>
        <v>17/04/2026</v>
      </c>
    </row>
    <row r="242" spans="1:39" ht="30" hidden="1" customHeight="1" x14ac:dyDescent="0.2">
      <c r="A242" s="230" t="s">
        <v>197</v>
      </c>
      <c r="B242" s="230">
        <v>2615308000</v>
      </c>
      <c r="C242" s="230" t="s">
        <v>141</v>
      </c>
      <c r="D242" s="230" t="s">
        <v>67</v>
      </c>
      <c r="E242" s="230" t="s">
        <v>198</v>
      </c>
      <c r="F242" s="230" t="s">
        <v>1085</v>
      </c>
      <c r="G242" s="230">
        <v>11</v>
      </c>
      <c r="H242" s="230" t="s">
        <v>1089</v>
      </c>
      <c r="I242" s="230" t="s">
        <v>253</v>
      </c>
      <c r="J242" s="230" t="s">
        <v>4603</v>
      </c>
      <c r="K242" s="230" t="s">
        <v>213</v>
      </c>
      <c r="L242" s="230" t="s">
        <v>1442</v>
      </c>
      <c r="M242" s="230" t="s">
        <v>4727</v>
      </c>
      <c r="N242" s="230" t="s">
        <v>4613</v>
      </c>
      <c r="O242" s="158" t="s">
        <v>204</v>
      </c>
      <c r="P242" s="92"/>
      <c r="Q242" s="146" t="s">
        <v>204</v>
      </c>
      <c r="R242" s="92"/>
      <c r="S242" s="146" t="s">
        <v>210</v>
      </c>
      <c r="T242" s="92" t="s">
        <v>4739</v>
      </c>
      <c r="U242" s="146" t="s">
        <v>204</v>
      </c>
      <c r="V242" s="92"/>
      <c r="W242" s="146" t="s">
        <v>204</v>
      </c>
      <c r="X242" s="92"/>
      <c r="Y242" s="146" t="s">
        <v>204</v>
      </c>
      <c r="Z242" s="92"/>
      <c r="AA242" s="146" t="s">
        <v>204</v>
      </c>
      <c r="AB242" s="64"/>
      <c r="AC242" s="146" t="s">
        <v>204</v>
      </c>
      <c r="AD242" s="64"/>
      <c r="AE242" s="146" t="s">
        <v>204</v>
      </c>
      <c r="AF242" s="215" t="str">
        <f t="shared" si="15"/>
        <v>NC</v>
      </c>
      <c r="AG242" s="96" t="str">
        <f t="shared" si="14"/>
        <v>UTILIZOU O PDA CORRETAMENTE. NÃO HÁ FOTOS DE TODAS AS ETAPAS</v>
      </c>
      <c r="AH242" s="9" t="s">
        <v>39</v>
      </c>
      <c r="AI242" s="151" t="str">
        <f t="shared" si="13"/>
        <v>GUARULHOS</v>
      </c>
      <c r="AJ242" s="154" t="s">
        <v>6</v>
      </c>
      <c r="AK242" s="53">
        <v>0.61244503868612477</v>
      </c>
      <c r="AL242" s="53" t="str" cm="1">
        <f t="array" ref="AL242">IF(OR(O242&lt;&gt;"", SUMPRODUCT(($AM$2:$AM$210=AM242)*($AK$2:$AK$210&lt;=AK242)) &lt;= (COUNTIF($AM$2:$AM$210,AM242)*0.1)), "SORTEADO", "-")</f>
        <v>SORTEADO</v>
      </c>
      <c r="AM242" s="53" t="str">
        <f t="shared" si="16"/>
        <v>17/04/2026</v>
      </c>
    </row>
    <row r="243" spans="1:39" ht="30" customHeight="1" x14ac:dyDescent="0.2">
      <c r="A243" s="230" t="s">
        <v>197</v>
      </c>
      <c r="B243" s="230">
        <v>2690633637</v>
      </c>
      <c r="C243" s="230" t="s">
        <v>138</v>
      </c>
      <c r="D243" s="230" t="s">
        <v>67</v>
      </c>
      <c r="E243" s="230" t="s">
        <v>198</v>
      </c>
      <c r="F243" s="230" t="s">
        <v>1229</v>
      </c>
      <c r="G243" s="230">
        <v>115</v>
      </c>
      <c r="H243" s="230" t="s">
        <v>1230</v>
      </c>
      <c r="I243" s="230" t="s">
        <v>538</v>
      </c>
      <c r="J243" s="230" t="s">
        <v>4605</v>
      </c>
      <c r="K243" s="230"/>
      <c r="L243" s="230" t="s">
        <v>1442</v>
      </c>
      <c r="M243" s="230" t="s">
        <v>4740</v>
      </c>
      <c r="N243" s="230" t="s">
        <v>4620</v>
      </c>
      <c r="O243" s="158" t="s">
        <v>210</v>
      </c>
      <c r="P243" s="92"/>
      <c r="Q243" s="146" t="s">
        <v>210</v>
      </c>
      <c r="R243" s="92"/>
      <c r="S243" s="146" t="s">
        <v>210</v>
      </c>
      <c r="T243" s="92"/>
      <c r="U243" s="146" t="s">
        <v>210</v>
      </c>
      <c r="V243" s="92"/>
      <c r="W243" s="146" t="s">
        <v>210</v>
      </c>
      <c r="X243" s="92"/>
      <c r="Y243" s="146" t="s">
        <v>210</v>
      </c>
      <c r="Z243" s="92"/>
      <c r="AA243" s="146" t="s">
        <v>210</v>
      </c>
      <c r="AB243" s="64"/>
      <c r="AC243" s="146" t="s">
        <v>210</v>
      </c>
      <c r="AD243" s="64"/>
      <c r="AE243" s="146" t="s">
        <v>210</v>
      </c>
      <c r="AF243" s="215" t="str">
        <f t="shared" si="15"/>
        <v>NC</v>
      </c>
      <c r="AG243" s="96" t="s">
        <v>413</v>
      </c>
      <c r="AH243" s="9" t="s">
        <v>39</v>
      </c>
      <c r="AI243" s="151" t="str">
        <f t="shared" si="13"/>
        <v>GUARULHOS</v>
      </c>
      <c r="AJ243" s="154" t="s">
        <v>6</v>
      </c>
      <c r="AK243" s="53">
        <v>0.89563383644188033</v>
      </c>
      <c r="AL243" s="53" t="str" cm="1">
        <f t="array" ref="AL243">IF(OR(O243&lt;&gt;"", SUMPRODUCT(($AM$2:$AM$210=AM243)*($AK$2:$AK$210&lt;=AK243)) &lt;= (COUNTIF($AM$2:$AM$210,AM243)*0.1)), "SORTEADO", "-")</f>
        <v>SORTEADO</v>
      </c>
      <c r="AM243" s="53" t="str">
        <f t="shared" si="16"/>
        <v>17/04/2026</v>
      </c>
    </row>
    <row r="244" spans="1:39" ht="30" customHeight="1" x14ac:dyDescent="0.2">
      <c r="A244" s="230" t="s">
        <v>197</v>
      </c>
      <c r="B244" s="230">
        <v>2615717528</v>
      </c>
      <c r="C244" s="230" t="s">
        <v>140</v>
      </c>
      <c r="D244" s="230" t="s">
        <v>67</v>
      </c>
      <c r="E244" s="230" t="s">
        <v>198</v>
      </c>
      <c r="F244" s="230" t="s">
        <v>1222</v>
      </c>
      <c r="G244" s="230">
        <v>176</v>
      </c>
      <c r="H244" s="230" t="s">
        <v>362</v>
      </c>
      <c r="I244" s="230" t="s">
        <v>368</v>
      </c>
      <c r="J244" s="230" t="s">
        <v>4605</v>
      </c>
      <c r="K244" s="230" t="s">
        <v>213</v>
      </c>
      <c r="L244" s="230" t="s">
        <v>1442</v>
      </c>
      <c r="M244" s="230" t="s">
        <v>4741</v>
      </c>
      <c r="N244" s="230" t="s">
        <v>4620</v>
      </c>
      <c r="O244" s="158" t="s">
        <v>210</v>
      </c>
      <c r="P244" s="92"/>
      <c r="Q244" s="146" t="s">
        <v>210</v>
      </c>
      <c r="R244" s="92"/>
      <c r="S244" s="146" t="s">
        <v>210</v>
      </c>
      <c r="T244" s="92"/>
      <c r="U244" s="146" t="s">
        <v>210</v>
      </c>
      <c r="V244" s="92"/>
      <c r="W244" s="146" t="s">
        <v>210</v>
      </c>
      <c r="X244" s="92"/>
      <c r="Y244" s="146" t="s">
        <v>210</v>
      </c>
      <c r="Z244" s="92"/>
      <c r="AA244" s="146" t="s">
        <v>210</v>
      </c>
      <c r="AB244" s="64"/>
      <c r="AC244" s="146" t="s">
        <v>210</v>
      </c>
      <c r="AD244" s="64"/>
      <c r="AE244" s="146" t="s">
        <v>210</v>
      </c>
      <c r="AF244" s="215" t="str">
        <f t="shared" si="15"/>
        <v>NC</v>
      </c>
      <c r="AG244" s="96" t="s">
        <v>413</v>
      </c>
      <c r="AH244" s="9" t="s">
        <v>39</v>
      </c>
      <c r="AI244" s="151" t="str">
        <f t="shared" si="13"/>
        <v>GUARULHOS</v>
      </c>
      <c r="AJ244" s="154" t="s">
        <v>6</v>
      </c>
      <c r="AK244" s="53">
        <v>0.59313136112056886</v>
      </c>
      <c r="AL244" s="53" t="str" cm="1">
        <f t="array" ref="AL244">IF(OR(O244&lt;&gt;"", SUMPRODUCT(($AM$2:$AM$210=AM244)*($AK$2:$AK$210&lt;=AK244)) &lt;= (COUNTIF($AM$2:$AM$210,AM244)*0.1)), "SORTEADO", "-")</f>
        <v>SORTEADO</v>
      </c>
      <c r="AM244" s="53" t="str">
        <f t="shared" si="16"/>
        <v>17/04/2026</v>
      </c>
    </row>
    <row r="245" spans="1:39" ht="30" hidden="1" customHeight="1" x14ac:dyDescent="0.2">
      <c r="A245" s="230" t="s">
        <v>197</v>
      </c>
      <c r="B245" s="230">
        <v>2616049177</v>
      </c>
      <c r="C245" s="230" t="s">
        <v>138</v>
      </c>
      <c r="D245" s="230" t="s">
        <v>67</v>
      </c>
      <c r="E245" s="230" t="s">
        <v>198</v>
      </c>
      <c r="F245" s="230" t="s">
        <v>1342</v>
      </c>
      <c r="G245" s="230">
        <v>141</v>
      </c>
      <c r="H245" s="230" t="s">
        <v>217</v>
      </c>
      <c r="I245" s="230" t="s">
        <v>660</v>
      </c>
      <c r="J245" s="230" t="s">
        <v>4605</v>
      </c>
      <c r="K245" s="230"/>
      <c r="L245" s="230" t="s">
        <v>1442</v>
      </c>
      <c r="M245" s="230" t="s">
        <v>4742</v>
      </c>
      <c r="N245" s="230" t="s">
        <v>4620</v>
      </c>
      <c r="O245" s="158"/>
      <c r="P245" s="92"/>
      <c r="Q245" s="146"/>
      <c r="R245" s="92"/>
      <c r="S245" s="146"/>
      <c r="T245" s="92"/>
      <c r="U245" s="146"/>
      <c r="V245" s="92"/>
      <c r="W245" s="146"/>
      <c r="X245" s="92"/>
      <c r="Y245" s="146"/>
      <c r="Z245" s="92"/>
      <c r="AA245" s="146"/>
      <c r="AB245" s="64"/>
      <c r="AC245" s="146"/>
      <c r="AD245" s="64"/>
      <c r="AE245" s="146"/>
      <c r="AF245" s="215" t="str">
        <f t="shared" si="15"/>
        <v/>
      </c>
      <c r="AG245" s="96" t="b">
        <f t="shared" si="14"/>
        <v>0</v>
      </c>
      <c r="AH245" s="9"/>
      <c r="AI245" s="151" t="str">
        <f t="shared" si="13"/>
        <v>GUARULHOS</v>
      </c>
      <c r="AJ245" s="154" t="s">
        <v>6</v>
      </c>
      <c r="AK245" s="53">
        <v>0.11890717857299171</v>
      </c>
      <c r="AL245" s="53" t="str" cm="1">
        <f t="array" ref="AL245">IF(OR(O245&lt;&gt;"", SUMPRODUCT(($AM$2:$AM$210=AM245)*($AK$2:$AK$210&lt;=AK245)) &lt;= (COUNTIF($AM$2:$AM$210,AM245)*0.1)), "SORTEADO", "-")</f>
        <v>SORTEADO</v>
      </c>
      <c r="AM245" s="53" t="str">
        <f t="shared" si="16"/>
        <v>17/04/2026</v>
      </c>
    </row>
    <row r="246" spans="1:39" ht="30" hidden="1" customHeight="1" x14ac:dyDescent="0.2">
      <c r="A246" s="230" t="s">
        <v>197</v>
      </c>
      <c r="B246" s="230">
        <v>2615850151</v>
      </c>
      <c r="C246" s="230" t="s">
        <v>140</v>
      </c>
      <c r="D246" s="230" t="s">
        <v>67</v>
      </c>
      <c r="E246" s="230" t="s">
        <v>198</v>
      </c>
      <c r="F246" s="230" t="s">
        <v>1266</v>
      </c>
      <c r="G246" s="230">
        <v>118</v>
      </c>
      <c r="H246" s="230" t="s">
        <v>1267</v>
      </c>
      <c r="I246" s="230" t="s">
        <v>971</v>
      </c>
      <c r="J246" s="230" t="s">
        <v>4605</v>
      </c>
      <c r="K246" s="230" t="s">
        <v>213</v>
      </c>
      <c r="L246" s="230" t="s">
        <v>1442</v>
      </c>
      <c r="M246" s="230" t="s">
        <v>4743</v>
      </c>
      <c r="N246" s="230" t="s">
        <v>4620</v>
      </c>
      <c r="O246" s="158"/>
      <c r="P246" s="92"/>
      <c r="Q246" s="146"/>
      <c r="R246" s="92"/>
      <c r="S246" s="146"/>
      <c r="T246" s="92"/>
      <c r="U246" s="146"/>
      <c r="V246" s="92"/>
      <c r="W246" s="146"/>
      <c r="X246" s="92"/>
      <c r="Y246" s="146"/>
      <c r="Z246" s="92"/>
      <c r="AA246" s="146"/>
      <c r="AB246" s="64"/>
      <c r="AC246" s="146"/>
      <c r="AD246" s="64"/>
      <c r="AE246" s="146"/>
      <c r="AF246" s="215" t="str">
        <f t="shared" si="15"/>
        <v/>
      </c>
      <c r="AG246" s="96" t="b">
        <f t="shared" si="14"/>
        <v>0</v>
      </c>
      <c r="AH246" s="9"/>
      <c r="AI246" s="151" t="str">
        <f t="shared" si="13"/>
        <v>GUARULHOS</v>
      </c>
      <c r="AJ246" s="154" t="s">
        <v>6</v>
      </c>
      <c r="AK246" s="53">
        <v>0.84375569305864417</v>
      </c>
      <c r="AL246" s="53" t="str" cm="1">
        <f t="array" ref="AL246">IF(OR(O246&lt;&gt;"", SUMPRODUCT(($AM$2:$AM$210=AM246)*($AK$2:$AK$210&lt;=AK246)) &lt;= (COUNTIF($AM$2:$AM$210,AM246)*0.1)), "SORTEADO", "-")</f>
        <v>SORTEADO</v>
      </c>
      <c r="AM246" s="53" t="str">
        <f t="shared" si="16"/>
        <v>17/04/2026</v>
      </c>
    </row>
    <row r="247" spans="1:39" ht="30" hidden="1" customHeight="1" x14ac:dyDescent="0.2">
      <c r="A247" s="230" t="s">
        <v>197</v>
      </c>
      <c r="B247" s="230">
        <v>2690702461</v>
      </c>
      <c r="C247" s="230" t="s">
        <v>138</v>
      </c>
      <c r="D247" s="230" t="s">
        <v>67</v>
      </c>
      <c r="E247" s="230" t="s">
        <v>198</v>
      </c>
      <c r="F247" s="230" t="s">
        <v>1357</v>
      </c>
      <c r="G247" s="230">
        <v>146</v>
      </c>
      <c r="H247" s="230"/>
      <c r="I247" s="230" t="s">
        <v>1358</v>
      </c>
      <c r="J247" s="230" t="s">
        <v>4605</v>
      </c>
      <c r="K247" s="230"/>
      <c r="L247" s="230" t="s">
        <v>1442</v>
      </c>
      <c r="M247" s="230" t="s">
        <v>4744</v>
      </c>
      <c r="N247" s="230" t="s">
        <v>4620</v>
      </c>
      <c r="O247" s="158"/>
      <c r="P247" s="92"/>
      <c r="Q247" s="146"/>
      <c r="R247" s="92"/>
      <c r="S247" s="146"/>
      <c r="T247" s="92"/>
      <c r="U247" s="146"/>
      <c r="V247" s="92"/>
      <c r="W247" s="146"/>
      <c r="X247" s="92"/>
      <c r="Y247" s="146"/>
      <c r="Z247" s="92"/>
      <c r="AA247" s="146"/>
      <c r="AB247" s="64"/>
      <c r="AC247" s="146"/>
      <c r="AD247" s="64"/>
      <c r="AE247" s="146"/>
      <c r="AF247" s="215" t="str">
        <f t="shared" si="15"/>
        <v/>
      </c>
      <c r="AG247" s="96" t="b">
        <f t="shared" si="14"/>
        <v>0</v>
      </c>
      <c r="AH247" s="9"/>
      <c r="AI247" s="151" t="str">
        <f t="shared" si="13"/>
        <v>GUARULHOS</v>
      </c>
      <c r="AJ247" s="154" t="s">
        <v>6</v>
      </c>
      <c r="AK247" s="53">
        <v>0.565860668452972</v>
      </c>
      <c r="AL247" s="53" t="str" cm="1">
        <f t="array" ref="AL247">IF(OR(O247&lt;&gt;"", SUMPRODUCT(($AM$2:$AM$210=AM247)*($AK$2:$AK$210&lt;=AK247)) &lt;= (COUNTIF($AM$2:$AM$210,AM247)*0.1)), "SORTEADO", "-")</f>
        <v>SORTEADO</v>
      </c>
      <c r="AM247" s="53" t="str">
        <f t="shared" si="16"/>
        <v>17/04/2026</v>
      </c>
    </row>
    <row r="248" spans="1:39" ht="30" hidden="1" customHeight="1" x14ac:dyDescent="0.2">
      <c r="A248" s="230" t="s">
        <v>197</v>
      </c>
      <c r="B248" s="230">
        <v>2615684329</v>
      </c>
      <c r="C248" s="230" t="s">
        <v>139</v>
      </c>
      <c r="D248" s="230" t="s">
        <v>67</v>
      </c>
      <c r="E248" s="230" t="s">
        <v>198</v>
      </c>
      <c r="F248" s="230" t="s">
        <v>2841</v>
      </c>
      <c r="G248" s="230">
        <v>108</v>
      </c>
      <c r="H248" s="230" t="s">
        <v>213</v>
      </c>
      <c r="I248" s="230" t="s">
        <v>791</v>
      </c>
      <c r="J248" s="230" t="s">
        <v>4603</v>
      </c>
      <c r="K248" s="230" t="s">
        <v>213</v>
      </c>
      <c r="L248" s="230" t="s">
        <v>1442</v>
      </c>
      <c r="M248" s="230" t="s">
        <v>4745</v>
      </c>
      <c r="N248" s="230" t="s">
        <v>4604</v>
      </c>
      <c r="O248" s="158"/>
      <c r="P248" s="92"/>
      <c r="Q248" s="146"/>
      <c r="R248" s="92"/>
      <c r="S248" s="146"/>
      <c r="T248" s="92"/>
      <c r="U248" s="146"/>
      <c r="V248" s="92"/>
      <c r="W248" s="146"/>
      <c r="X248" s="92"/>
      <c r="Y248" s="146"/>
      <c r="Z248" s="92"/>
      <c r="AA248" s="146"/>
      <c r="AB248" s="64"/>
      <c r="AC248" s="146"/>
      <c r="AD248" s="64"/>
      <c r="AE248" s="146"/>
      <c r="AF248" s="215" t="str">
        <f t="shared" si="15"/>
        <v/>
      </c>
      <c r="AG248" s="96" t="b">
        <f t="shared" si="14"/>
        <v>0</v>
      </c>
      <c r="AH248" s="9"/>
      <c r="AI248" s="151" t="str">
        <f t="shared" ref="AI248:AI311" si="17">E248</f>
        <v>GUARULHOS</v>
      </c>
      <c r="AJ248" s="154" t="s">
        <v>6</v>
      </c>
      <c r="AK248" s="53">
        <v>0.97863020721231686</v>
      </c>
      <c r="AL248" s="53" t="str" cm="1">
        <f t="array" ref="AL248">IF(OR(O248&lt;&gt;"", SUMPRODUCT(($AM$2:$AM$210=AM248)*($AK$2:$AK$210&lt;=AK248)) &lt;= (COUNTIF($AM$2:$AM$210,AM248)*0.1)), "SORTEADO", "-")</f>
        <v>SORTEADO</v>
      </c>
      <c r="AM248" s="53" t="str">
        <f t="shared" si="16"/>
        <v>17/04/2026</v>
      </c>
    </row>
    <row r="249" spans="1:39" ht="30" hidden="1" customHeight="1" x14ac:dyDescent="0.2">
      <c r="A249" s="230" t="s">
        <v>197</v>
      </c>
      <c r="B249" s="230">
        <v>2615911816</v>
      </c>
      <c r="C249" s="230" t="s">
        <v>138</v>
      </c>
      <c r="D249" s="230" t="s">
        <v>67</v>
      </c>
      <c r="E249" s="230" t="s">
        <v>198</v>
      </c>
      <c r="F249" s="230" t="s">
        <v>2856</v>
      </c>
      <c r="G249" s="230">
        <v>65</v>
      </c>
      <c r="H249" s="230" t="s">
        <v>2857</v>
      </c>
      <c r="I249" s="230" t="s">
        <v>797</v>
      </c>
      <c r="J249" s="230" t="s">
        <v>4605</v>
      </c>
      <c r="K249" s="230" t="s">
        <v>4610</v>
      </c>
      <c r="L249" s="230" t="s">
        <v>1442</v>
      </c>
      <c r="M249" s="230" t="s">
        <v>4746</v>
      </c>
      <c r="N249" s="230" t="s">
        <v>4604</v>
      </c>
      <c r="O249" s="158"/>
      <c r="P249" s="92"/>
      <c r="Q249" s="146"/>
      <c r="R249" s="92"/>
      <c r="S249" s="146"/>
      <c r="T249" s="92"/>
      <c r="U249" s="146"/>
      <c r="V249" s="92"/>
      <c r="W249" s="146"/>
      <c r="X249" s="92"/>
      <c r="Y249" s="146"/>
      <c r="Z249" s="92"/>
      <c r="AA249" s="146"/>
      <c r="AB249" s="64"/>
      <c r="AC249" s="146"/>
      <c r="AD249" s="64"/>
      <c r="AE249" s="146"/>
      <c r="AF249" s="215" t="str">
        <f t="shared" si="15"/>
        <v/>
      </c>
      <c r="AG249" s="96" t="b">
        <f t="shared" si="14"/>
        <v>0</v>
      </c>
      <c r="AH249" s="9"/>
      <c r="AI249" s="151" t="str">
        <f t="shared" si="17"/>
        <v>GUARULHOS</v>
      </c>
      <c r="AJ249" s="154" t="s">
        <v>6</v>
      </c>
      <c r="AK249" s="53">
        <v>2.1861015326356981E-2</v>
      </c>
      <c r="AL249" s="53" t="str" cm="1">
        <f t="array" ref="AL249">IF(OR(O249&lt;&gt;"", SUMPRODUCT(($AM$2:$AM$210=AM249)*($AK$2:$AK$210&lt;=AK249)) &lt;= (COUNTIF($AM$2:$AM$210,AM249)*0.1)), "SORTEADO", "-")</f>
        <v>SORTEADO</v>
      </c>
      <c r="AM249" s="53" t="str">
        <f t="shared" si="16"/>
        <v>17/04/2026</v>
      </c>
    </row>
    <row r="250" spans="1:39" ht="30" hidden="1" customHeight="1" x14ac:dyDescent="0.2">
      <c r="A250" s="230" t="s">
        <v>197</v>
      </c>
      <c r="B250" s="230">
        <v>2615862293</v>
      </c>
      <c r="C250" s="230" t="s">
        <v>139</v>
      </c>
      <c r="D250" s="230" t="s">
        <v>67</v>
      </c>
      <c r="E250" s="230" t="s">
        <v>198</v>
      </c>
      <c r="F250" s="230" t="s">
        <v>1294</v>
      </c>
      <c r="G250" s="230">
        <v>121</v>
      </c>
      <c r="H250" s="230" t="s">
        <v>1295</v>
      </c>
      <c r="I250" s="230" t="s">
        <v>277</v>
      </c>
      <c r="J250" s="230" t="s">
        <v>4603</v>
      </c>
      <c r="K250" s="230" t="s">
        <v>213</v>
      </c>
      <c r="L250" s="230" t="s">
        <v>1442</v>
      </c>
      <c r="M250" s="230" t="s">
        <v>4747</v>
      </c>
      <c r="N250" s="230" t="s">
        <v>4604</v>
      </c>
      <c r="O250" s="158"/>
      <c r="P250" s="92"/>
      <c r="Q250" s="146"/>
      <c r="R250" s="92"/>
      <c r="S250" s="146"/>
      <c r="T250" s="92"/>
      <c r="U250" s="146"/>
      <c r="V250" s="92"/>
      <c r="W250" s="146"/>
      <c r="X250" s="92"/>
      <c r="Y250" s="146"/>
      <c r="Z250" s="92"/>
      <c r="AA250" s="146"/>
      <c r="AB250" s="64"/>
      <c r="AC250" s="146"/>
      <c r="AD250" s="64"/>
      <c r="AE250" s="146"/>
      <c r="AF250" s="215" t="str">
        <f t="shared" si="15"/>
        <v/>
      </c>
      <c r="AG250" s="96" t="b">
        <f t="shared" si="14"/>
        <v>0</v>
      </c>
      <c r="AH250" s="9"/>
      <c r="AI250" s="151" t="str">
        <f t="shared" si="17"/>
        <v>GUARULHOS</v>
      </c>
      <c r="AJ250" s="154" t="s">
        <v>6</v>
      </c>
      <c r="AK250" s="53">
        <v>9.2410622805513709E-2</v>
      </c>
      <c r="AL250" s="53" t="str" cm="1">
        <f t="array" ref="AL250">IF(OR(O250&lt;&gt;"", SUMPRODUCT(($AM$2:$AM$210=AM250)*($AK$2:$AK$210&lt;=AK250)) &lt;= (COUNTIF($AM$2:$AM$210,AM250)*0.1)), "SORTEADO", "-")</f>
        <v>SORTEADO</v>
      </c>
      <c r="AM250" s="53" t="str">
        <f t="shared" si="16"/>
        <v>17/04/2026</v>
      </c>
    </row>
    <row r="251" spans="1:39" ht="30" hidden="1" customHeight="1" x14ac:dyDescent="0.2">
      <c r="A251" s="230" t="s">
        <v>197</v>
      </c>
      <c r="B251" s="230">
        <v>2690493632</v>
      </c>
      <c r="C251" s="230" t="s">
        <v>139</v>
      </c>
      <c r="D251" s="230" t="s">
        <v>67</v>
      </c>
      <c r="E251" s="230" t="s">
        <v>198</v>
      </c>
      <c r="F251" s="230" t="s">
        <v>1156</v>
      </c>
      <c r="G251" s="230">
        <v>23</v>
      </c>
      <c r="H251" s="230"/>
      <c r="I251" s="230" t="s">
        <v>1157</v>
      </c>
      <c r="J251" s="230" t="s">
        <v>4603</v>
      </c>
      <c r="K251" s="230"/>
      <c r="L251" s="230" t="s">
        <v>1442</v>
      </c>
      <c r="M251" s="230" t="s">
        <v>4022</v>
      </c>
      <c r="N251" s="230" t="s">
        <v>4604</v>
      </c>
      <c r="O251" s="158"/>
      <c r="P251" s="92"/>
      <c r="Q251" s="146"/>
      <c r="R251" s="92"/>
      <c r="S251" s="146"/>
      <c r="T251" s="92"/>
      <c r="U251" s="146"/>
      <c r="V251" s="92"/>
      <c r="W251" s="146"/>
      <c r="X251" s="92"/>
      <c r="Y251" s="146"/>
      <c r="Z251" s="92"/>
      <c r="AA251" s="146"/>
      <c r="AB251" s="64"/>
      <c r="AC251" s="146"/>
      <c r="AD251" s="64"/>
      <c r="AE251" s="146"/>
      <c r="AF251" s="215" t="str">
        <f t="shared" si="15"/>
        <v/>
      </c>
      <c r="AG251" s="96" t="b">
        <f t="shared" si="14"/>
        <v>0</v>
      </c>
      <c r="AH251" s="9"/>
      <c r="AI251" s="151" t="str">
        <f t="shared" si="17"/>
        <v>GUARULHOS</v>
      </c>
      <c r="AJ251" s="154" t="s">
        <v>6</v>
      </c>
      <c r="AK251" s="53">
        <v>0.38647919772271178</v>
      </c>
      <c r="AL251" s="53" t="str" cm="1">
        <f t="array" ref="AL251">IF(OR(O251&lt;&gt;"", SUMPRODUCT(($AM$2:$AM$210=AM251)*($AK$2:$AK$210&lt;=AK251)) &lt;= (COUNTIF($AM$2:$AM$210,AM251)*0.1)), "SORTEADO", "-")</f>
        <v>SORTEADO</v>
      </c>
      <c r="AM251" s="53" t="str">
        <f t="shared" si="16"/>
        <v>17/04/2026</v>
      </c>
    </row>
    <row r="252" spans="1:39" ht="30" hidden="1" customHeight="1" x14ac:dyDescent="0.2">
      <c r="A252" s="230" t="s">
        <v>197</v>
      </c>
      <c r="B252" s="230">
        <v>2615717596</v>
      </c>
      <c r="C252" s="230" t="s">
        <v>139</v>
      </c>
      <c r="D252" s="230" t="s">
        <v>67</v>
      </c>
      <c r="E252" s="230" t="s">
        <v>198</v>
      </c>
      <c r="F252" s="230" t="s">
        <v>1233</v>
      </c>
      <c r="G252" s="230">
        <v>527</v>
      </c>
      <c r="H252" s="230" t="s">
        <v>213</v>
      </c>
      <c r="I252" s="230" t="s">
        <v>801</v>
      </c>
      <c r="J252" s="230" t="s">
        <v>4603</v>
      </c>
      <c r="K252" s="230" t="s">
        <v>213</v>
      </c>
      <c r="L252" s="230" t="s">
        <v>1531</v>
      </c>
      <c r="M252" s="230" t="s">
        <v>4748</v>
      </c>
      <c r="N252" s="230" t="s">
        <v>4620</v>
      </c>
      <c r="O252" s="158"/>
      <c r="P252" s="92"/>
      <c r="Q252" s="146"/>
      <c r="R252" s="92"/>
      <c r="S252" s="146"/>
      <c r="T252" s="92"/>
      <c r="U252" s="146"/>
      <c r="V252" s="92"/>
      <c r="W252" s="146"/>
      <c r="X252" s="92"/>
      <c r="Y252" s="146"/>
      <c r="Z252" s="92"/>
      <c r="AA252" s="146"/>
      <c r="AB252" s="64"/>
      <c r="AC252" s="146"/>
      <c r="AD252" s="64"/>
      <c r="AE252" s="146"/>
      <c r="AF252" s="215" t="str">
        <f t="shared" si="15"/>
        <v/>
      </c>
      <c r="AG252" s="96" t="b">
        <f t="shared" si="14"/>
        <v>0</v>
      </c>
      <c r="AH252" s="9"/>
      <c r="AI252" s="151" t="str">
        <f t="shared" si="17"/>
        <v>GUARULHOS</v>
      </c>
      <c r="AJ252" s="154" t="s">
        <v>6</v>
      </c>
      <c r="AK252" s="53">
        <v>0.76976399233670956</v>
      </c>
      <c r="AL252" s="53" t="str" cm="1">
        <f t="array" ref="AL252">IF(OR(O252&lt;&gt;"", SUMPRODUCT(($AM$2:$AM$210=AM252)*($AK$2:$AK$210&lt;=AK252)) &lt;= (COUNTIF($AM$2:$AM$210,AM252)*0.1)), "SORTEADO", "-")</f>
        <v>SORTEADO</v>
      </c>
      <c r="AM252" s="53" t="str">
        <f t="shared" si="16"/>
        <v>18/04/2026</v>
      </c>
    </row>
    <row r="253" spans="1:39" ht="30" hidden="1" customHeight="1" x14ac:dyDescent="0.2">
      <c r="A253" s="230" t="s">
        <v>197</v>
      </c>
      <c r="B253" s="230">
        <v>2690772716</v>
      </c>
      <c r="C253" s="230" t="s">
        <v>138</v>
      </c>
      <c r="D253" s="230" t="s">
        <v>67</v>
      </c>
      <c r="E253" s="230" t="s">
        <v>198</v>
      </c>
      <c r="F253" s="230" t="s">
        <v>812</v>
      </c>
      <c r="G253" s="230">
        <v>883</v>
      </c>
      <c r="H253" s="230" t="s">
        <v>1431</v>
      </c>
      <c r="I253" s="230" t="s">
        <v>207</v>
      </c>
      <c r="J253" s="230" t="s">
        <v>4605</v>
      </c>
      <c r="K253" s="230"/>
      <c r="L253" s="230" t="s">
        <v>1531</v>
      </c>
      <c r="M253" s="230" t="s">
        <v>4749</v>
      </c>
      <c r="N253" s="230" t="s">
        <v>4620</v>
      </c>
      <c r="O253" s="158"/>
      <c r="P253" s="92"/>
      <c r="Q253" s="146"/>
      <c r="R253" s="92"/>
      <c r="S253" s="146"/>
      <c r="T253" s="92"/>
      <c r="U253" s="146"/>
      <c r="V253" s="92"/>
      <c r="W253" s="146"/>
      <c r="X253" s="92"/>
      <c r="Y253" s="146"/>
      <c r="Z253" s="92"/>
      <c r="AA253" s="146"/>
      <c r="AB253" s="64"/>
      <c r="AC253" s="146"/>
      <c r="AD253" s="64"/>
      <c r="AE253" s="146"/>
      <c r="AF253" s="215" t="str">
        <f t="shared" si="15"/>
        <v/>
      </c>
      <c r="AG253" s="96" t="b">
        <f t="shared" si="14"/>
        <v>0</v>
      </c>
      <c r="AH253" s="9"/>
      <c r="AI253" s="151" t="str">
        <f t="shared" si="17"/>
        <v>GUARULHOS</v>
      </c>
      <c r="AJ253" s="154" t="s">
        <v>6</v>
      </c>
      <c r="AK253" s="53">
        <v>0.20607599409241062</v>
      </c>
      <c r="AL253" s="53" t="str" cm="1">
        <f t="array" ref="AL253">IF(OR(O253&lt;&gt;"", SUMPRODUCT(($AM$2:$AM$210=AM253)*($AK$2:$AK$210&lt;=AK253)) &lt;= (COUNTIF($AM$2:$AM$210,AM253)*0.1)), "SORTEADO", "-")</f>
        <v>SORTEADO</v>
      </c>
      <c r="AM253" s="53" t="str">
        <f t="shared" si="16"/>
        <v>18/04/2026</v>
      </c>
    </row>
    <row r="254" spans="1:39" ht="30" hidden="1" customHeight="1" x14ac:dyDescent="0.2">
      <c r="A254" s="230" t="s">
        <v>197</v>
      </c>
      <c r="B254" s="230">
        <v>2690743094</v>
      </c>
      <c r="C254" s="230" t="s">
        <v>138</v>
      </c>
      <c r="D254" s="230" t="s">
        <v>67</v>
      </c>
      <c r="E254" s="230" t="s">
        <v>198</v>
      </c>
      <c r="F254" s="230" t="s">
        <v>1053</v>
      </c>
      <c r="G254" s="230">
        <v>87</v>
      </c>
      <c r="H254" s="230" t="s">
        <v>1054</v>
      </c>
      <c r="I254" s="230" t="s">
        <v>492</v>
      </c>
      <c r="J254" s="230" t="s">
        <v>4605</v>
      </c>
      <c r="K254" s="230" t="s">
        <v>213</v>
      </c>
      <c r="L254" s="230" t="s">
        <v>1531</v>
      </c>
      <c r="M254" s="230" t="s">
        <v>4750</v>
      </c>
      <c r="N254" s="230" t="s">
        <v>4620</v>
      </c>
      <c r="O254" s="158"/>
      <c r="P254" s="92"/>
      <c r="Q254" s="146"/>
      <c r="R254" s="92"/>
      <c r="S254" s="146"/>
      <c r="T254" s="92"/>
      <c r="U254" s="146"/>
      <c r="V254" s="92"/>
      <c r="W254" s="146"/>
      <c r="X254" s="92"/>
      <c r="Y254" s="146"/>
      <c r="Z254" s="92"/>
      <c r="AA254" s="146"/>
      <c r="AB254" s="64"/>
      <c r="AC254" s="146"/>
      <c r="AD254" s="64"/>
      <c r="AE254" s="146"/>
      <c r="AF254" s="215" t="str">
        <f t="shared" si="15"/>
        <v/>
      </c>
      <c r="AG254" s="96" t="b">
        <f t="shared" si="14"/>
        <v>0</v>
      </c>
      <c r="AH254" s="9"/>
      <c r="AI254" s="151" t="str">
        <f t="shared" si="17"/>
        <v>GUARULHOS</v>
      </c>
      <c r="AJ254" s="154" t="s">
        <v>6</v>
      </c>
      <c r="AK254" s="53">
        <v>8.4876434298920778E-2</v>
      </c>
      <c r="AL254" s="53" t="str" cm="1">
        <f t="array" ref="AL254">IF(OR(O254&lt;&gt;"", SUMPRODUCT(($AM$2:$AM$210=AM254)*($AK$2:$AK$210&lt;=AK254)) &lt;= (COUNTIF($AM$2:$AM$210,AM254)*0.1)), "SORTEADO", "-")</f>
        <v>SORTEADO</v>
      </c>
      <c r="AM254" s="53" t="str">
        <f t="shared" si="16"/>
        <v>18/04/2026</v>
      </c>
    </row>
    <row r="255" spans="1:39" ht="30" hidden="1" customHeight="1" x14ac:dyDescent="0.2">
      <c r="A255" s="230" t="s">
        <v>197</v>
      </c>
      <c r="B255" s="230">
        <v>2616181828</v>
      </c>
      <c r="C255" s="230" t="s">
        <v>138</v>
      </c>
      <c r="D255" s="230" t="s">
        <v>67</v>
      </c>
      <c r="E255" s="230" t="s">
        <v>198</v>
      </c>
      <c r="F255" s="230" t="s">
        <v>4751</v>
      </c>
      <c r="G255" s="230">
        <v>102</v>
      </c>
      <c r="H255" s="230" t="s">
        <v>4752</v>
      </c>
      <c r="I255" s="230" t="s">
        <v>3628</v>
      </c>
      <c r="J255" s="230" t="s">
        <v>4605</v>
      </c>
      <c r="K255" s="230"/>
      <c r="L255" s="230" t="s">
        <v>1531</v>
      </c>
      <c r="M255" s="230" t="s">
        <v>4753</v>
      </c>
      <c r="N255" s="230" t="s">
        <v>4620</v>
      </c>
      <c r="O255" s="158"/>
      <c r="P255" s="92"/>
      <c r="Q255" s="146"/>
      <c r="R255" s="92"/>
      <c r="S255" s="146"/>
      <c r="T255" s="92"/>
      <c r="U255" s="146"/>
      <c r="V255" s="92"/>
      <c r="W255" s="146"/>
      <c r="X255" s="92"/>
      <c r="Y255" s="146"/>
      <c r="Z255" s="92"/>
      <c r="AA255" s="146"/>
      <c r="AB255" s="64"/>
      <c r="AC255" s="146"/>
      <c r="AD255" s="64"/>
      <c r="AE255" s="146"/>
      <c r="AF255" s="215" t="str">
        <f t="shared" si="15"/>
        <v/>
      </c>
      <c r="AG255" s="96" t="b">
        <f t="shared" si="14"/>
        <v>0</v>
      </c>
      <c r="AH255" s="9"/>
      <c r="AI255" s="151" t="str">
        <f t="shared" si="17"/>
        <v>GUARULHOS</v>
      </c>
      <c r="AJ255" s="154" t="s">
        <v>6</v>
      </c>
      <c r="AK255" s="53">
        <v>0.61659887729104035</v>
      </c>
      <c r="AL255" s="53" t="str" cm="1">
        <f t="array" ref="AL255">IF(OR(O255&lt;&gt;"", SUMPRODUCT(($AM$2:$AM$210=AM255)*($AK$2:$AK$210&lt;=AK255)) &lt;= (COUNTIF($AM$2:$AM$210,AM255)*0.1)), "SORTEADO", "-")</f>
        <v>SORTEADO</v>
      </c>
      <c r="AM255" s="53" t="str">
        <f t="shared" si="16"/>
        <v>18/04/2026</v>
      </c>
    </row>
    <row r="256" spans="1:39" ht="30" hidden="1" customHeight="1" x14ac:dyDescent="0.2">
      <c r="A256" s="230" t="s">
        <v>197</v>
      </c>
      <c r="B256" s="230">
        <v>2616345898</v>
      </c>
      <c r="C256" s="230" t="s">
        <v>141</v>
      </c>
      <c r="D256" s="230" t="s">
        <v>67</v>
      </c>
      <c r="E256" s="230" t="s">
        <v>198</v>
      </c>
      <c r="F256" s="230" t="s">
        <v>1260</v>
      </c>
      <c r="G256" s="230">
        <v>50</v>
      </c>
      <c r="H256" s="230" t="s">
        <v>1261</v>
      </c>
      <c r="I256" s="230" t="s">
        <v>1262</v>
      </c>
      <c r="J256" s="230" t="s">
        <v>4603</v>
      </c>
      <c r="K256" s="230" t="s">
        <v>213</v>
      </c>
      <c r="L256" s="230" t="s">
        <v>1531</v>
      </c>
      <c r="M256" s="230" t="s">
        <v>4754</v>
      </c>
      <c r="N256" s="230" t="s">
        <v>4620</v>
      </c>
      <c r="O256" s="158"/>
      <c r="P256" s="92"/>
      <c r="Q256" s="146"/>
      <c r="R256" s="92"/>
      <c r="S256" s="146"/>
      <c r="T256" s="92"/>
      <c r="U256" s="146"/>
      <c r="V256" s="92"/>
      <c r="W256" s="146"/>
      <c r="X256" s="92"/>
      <c r="Y256" s="146"/>
      <c r="Z256" s="92"/>
      <c r="AA256" s="146"/>
      <c r="AB256" s="64"/>
      <c r="AC256" s="146"/>
      <c r="AD256" s="64"/>
      <c r="AE256" s="146"/>
      <c r="AF256" s="215" t="str">
        <f t="shared" si="15"/>
        <v/>
      </c>
      <c r="AG256" s="96" t="b">
        <f t="shared" si="14"/>
        <v>0</v>
      </c>
      <c r="AH256" s="9"/>
      <c r="AI256" s="151" t="str">
        <f t="shared" si="17"/>
        <v>GUARULHOS</v>
      </c>
      <c r="AJ256" s="154" t="s">
        <v>6</v>
      </c>
      <c r="AK256" s="53">
        <v>0.81566989118309741</v>
      </c>
      <c r="AL256" s="53" t="str" cm="1">
        <f t="array" ref="AL256">IF(OR(O256&lt;&gt;"", SUMPRODUCT(($AM$2:$AM$210=AM256)*($AK$2:$AK$210&lt;=AK256)) &lt;= (COUNTIF($AM$2:$AM$210,AM256)*0.1)), "SORTEADO", "-")</f>
        <v>SORTEADO</v>
      </c>
      <c r="AM256" s="53" t="str">
        <f t="shared" si="16"/>
        <v>18/04/2026</v>
      </c>
    </row>
    <row r="257" spans="1:39" ht="30" hidden="1" customHeight="1" x14ac:dyDescent="0.2">
      <c r="A257" s="230" t="s">
        <v>197</v>
      </c>
      <c r="B257" s="230">
        <v>2690729056</v>
      </c>
      <c r="C257" s="230" t="s">
        <v>138</v>
      </c>
      <c r="D257" s="230" t="s">
        <v>67</v>
      </c>
      <c r="E257" s="230" t="s">
        <v>198</v>
      </c>
      <c r="F257" s="230" t="s">
        <v>1339</v>
      </c>
      <c r="G257" s="230">
        <v>84</v>
      </c>
      <c r="H257" s="230" t="s">
        <v>1340</v>
      </c>
      <c r="I257" s="230" t="s">
        <v>379</v>
      </c>
      <c r="J257" s="230" t="s">
        <v>4605</v>
      </c>
      <c r="K257" s="230"/>
      <c r="L257" s="230" t="s">
        <v>1531</v>
      </c>
      <c r="M257" s="230" t="s">
        <v>4755</v>
      </c>
      <c r="N257" s="230" t="s">
        <v>4620</v>
      </c>
      <c r="O257" s="158"/>
      <c r="P257" s="92"/>
      <c r="Q257" s="146"/>
      <c r="R257" s="92"/>
      <c r="S257" s="146"/>
      <c r="T257" s="92"/>
      <c r="U257" s="146"/>
      <c r="V257" s="92"/>
      <c r="W257" s="146"/>
      <c r="X257" s="92"/>
      <c r="Y257" s="146"/>
      <c r="Z257" s="92"/>
      <c r="AA257" s="146"/>
      <c r="AB257" s="64"/>
      <c r="AC257" s="146"/>
      <c r="AD257" s="64"/>
      <c r="AE257" s="146"/>
      <c r="AF257" s="215" t="str">
        <f t="shared" si="15"/>
        <v/>
      </c>
      <c r="AG257" s="96" t="b">
        <f t="shared" si="14"/>
        <v>0</v>
      </c>
      <c r="AH257" s="9"/>
      <c r="AI257" s="151" t="str">
        <f t="shared" si="17"/>
        <v>GUARULHOS</v>
      </c>
      <c r="AJ257" s="154" t="s">
        <v>6</v>
      </c>
      <c r="AK257" s="53">
        <v>0.99849325048139437</v>
      </c>
      <c r="AL257" s="53" t="str" cm="1">
        <f t="array" ref="AL257">IF(OR(O257&lt;&gt;"", SUMPRODUCT(($AM$2:$AM$210=AM257)*($AK$2:$AK$210&lt;=AK257)) &lt;= (COUNTIF($AM$2:$AM$210,AM257)*0.1)), "SORTEADO", "-")</f>
        <v>SORTEADO</v>
      </c>
      <c r="AM257" s="53" t="str">
        <f t="shared" si="16"/>
        <v>18/04/2026</v>
      </c>
    </row>
    <row r="258" spans="1:39" ht="30" hidden="1" customHeight="1" x14ac:dyDescent="0.2">
      <c r="A258" s="230" t="s">
        <v>197</v>
      </c>
      <c r="B258" s="230">
        <v>2616347161</v>
      </c>
      <c r="C258" s="230" t="s">
        <v>139</v>
      </c>
      <c r="D258" s="230" t="s">
        <v>67</v>
      </c>
      <c r="E258" s="230" t="s">
        <v>198</v>
      </c>
      <c r="F258" s="230" t="s">
        <v>1496</v>
      </c>
      <c r="G258" s="230">
        <v>333</v>
      </c>
      <c r="H258" s="230" t="s">
        <v>1497</v>
      </c>
      <c r="I258" s="230" t="s">
        <v>732</v>
      </c>
      <c r="J258" s="230" t="s">
        <v>4603</v>
      </c>
      <c r="K258" s="230" t="s">
        <v>213</v>
      </c>
      <c r="L258" s="230" t="s">
        <v>1531</v>
      </c>
      <c r="M258" s="230" t="s">
        <v>4756</v>
      </c>
      <c r="N258" s="230" t="s">
        <v>4620</v>
      </c>
      <c r="O258" s="158"/>
      <c r="P258" s="92"/>
      <c r="Q258" s="146"/>
      <c r="R258" s="92"/>
      <c r="S258" s="146"/>
      <c r="T258" s="92"/>
      <c r="U258" s="146"/>
      <c r="V258" s="92"/>
      <c r="W258" s="146"/>
      <c r="X258" s="92"/>
      <c r="Y258" s="146"/>
      <c r="Z258" s="92"/>
      <c r="AA258" s="146"/>
      <c r="AB258" s="64"/>
      <c r="AC258" s="146"/>
      <c r="AD258" s="64"/>
      <c r="AE258" s="146"/>
      <c r="AF258" s="215" t="str">
        <f t="shared" si="15"/>
        <v/>
      </c>
      <c r="AG258" s="96" t="b">
        <f t="shared" ref="AG258:AG320" si="18">IF(AND(AE258="C",AF258="C"),"UTILIZOU O PDA CORRETAMENTE",IF(AND(AE258="C",AF258="NC"),"UTILIZOU O PDA CORRETAMENTE. NÃO HÁ FOTOS DE TODAS AS ETAPAS",IF(AND(AE258="NC",AF258="NC"),"NÃO UTILIZOU O PDA",IF(AND(AE258="NA",AF258="NA"),"NÃO AVALIADO POR FALHA DE SINCRONISMO"))))</f>
        <v>0</v>
      </c>
      <c r="AH258" s="9"/>
      <c r="AI258" s="151" t="str">
        <f t="shared" si="17"/>
        <v>GUARULHOS</v>
      </c>
      <c r="AJ258" s="154" t="s">
        <v>6</v>
      </c>
      <c r="AK258" s="53">
        <v>0.88373019863190239</v>
      </c>
      <c r="AL258" s="53" t="str" cm="1">
        <f t="array" ref="AL258">IF(OR(O258&lt;&gt;"", SUMPRODUCT(($AM$2:$AM$210=AM258)*($AK$2:$AK$210&lt;=AK258)) &lt;= (COUNTIF($AM$2:$AM$210,AM258)*0.1)), "SORTEADO", "-")</f>
        <v>SORTEADO</v>
      </c>
      <c r="AM258" s="53" t="str">
        <f t="shared" si="16"/>
        <v>18/04/2026</v>
      </c>
    </row>
    <row r="259" spans="1:39" ht="30" hidden="1" customHeight="1" x14ac:dyDescent="0.2">
      <c r="A259" s="230" t="s">
        <v>197</v>
      </c>
      <c r="B259" s="230">
        <v>2615932367</v>
      </c>
      <c r="C259" s="230" t="s">
        <v>138</v>
      </c>
      <c r="D259" s="230" t="s">
        <v>67</v>
      </c>
      <c r="E259" s="230" t="s">
        <v>198</v>
      </c>
      <c r="F259" s="230" t="s">
        <v>1350</v>
      </c>
      <c r="G259" s="230">
        <v>275</v>
      </c>
      <c r="H259" s="230"/>
      <c r="I259" s="230" t="s">
        <v>531</v>
      </c>
      <c r="J259" s="230" t="s">
        <v>4605</v>
      </c>
      <c r="K259" s="230"/>
      <c r="L259" s="230" t="s">
        <v>1531</v>
      </c>
      <c r="M259" s="230" t="s">
        <v>4757</v>
      </c>
      <c r="N259" s="230" t="s">
        <v>4604</v>
      </c>
      <c r="O259" s="158"/>
      <c r="P259" s="92"/>
      <c r="Q259" s="146"/>
      <c r="R259" s="92"/>
      <c r="S259" s="146"/>
      <c r="T259" s="92"/>
      <c r="U259" s="146"/>
      <c r="V259" s="92"/>
      <c r="W259" s="146"/>
      <c r="X259" s="92"/>
      <c r="Y259" s="146"/>
      <c r="Z259" s="92"/>
      <c r="AA259" s="146"/>
      <c r="AB259" s="64"/>
      <c r="AC259" s="146"/>
      <c r="AD259" s="64"/>
      <c r="AE259" s="146"/>
      <c r="AF259" s="215" t="str">
        <f t="shared" ref="AF259:AF321" si="19">IF(AND(O259="",Q259="",S259="",U259="",W259="",Y259="",AA259="",AC259=""),"",
IF(OR(    AND(O259&lt;&gt;"NA",O259&lt;&gt;"C",O259&lt;&gt;"NC",O259&lt;&gt;"SF",O259&lt;&gt;""),
    AND(Q259&lt;&gt;"NA",Q259&lt;&gt;"C",Q259&lt;&gt;"NC",Q259&lt;&gt;"SF",Q259&lt;&gt;""),
    AND(S259&lt;&gt;"NA",S259&lt;&gt;"C",S259&lt;&gt;"NC",S259&lt;&gt;"SF",S259&lt;&gt;""),
    AND(U259&lt;&gt;"NA",U259&lt;&gt;"C",U259&lt;&gt;"NC",U259&lt;&gt;"SF",U259&lt;&gt;""),
    AND(W259&lt;&gt;"NA",W259&lt;&gt;"C",W259&lt;&gt;"NC",W259&lt;&gt;"SF",W259&lt;&gt;""),
    AND(Y259&lt;&gt;"NA",Y259&lt;&gt;"C",Y259&lt;&gt;"NC",Y259&lt;&gt;"SF",Y259&lt;&gt;""),
    AND(AA259&lt;&gt;"NA",AA259&lt;&gt;"C",AA259&lt;&gt;"NC",AA259&lt;&gt;"SF",AA259&lt;&gt;""),
    AND(AC259&lt;&gt;"NA",AC259&lt;&gt;"C",AC259&lt;&gt;"NC",AC259&lt;&gt;"SF",AC259&lt;&gt;"")
),"FALSO",
IF(AND(O259="NA",Q259="NA",S259="NA",U259="NA",W259="NA",Y259="NA",AA259="NA",AC259="NA"),"NA",
IF(OR(O259="NC",Q259="NC",S259="NC",U259="NC",W259="NC",Y259="NC",AA259="NC",AC259="NC",
       O259="SF",Q259="SF",S259="SF",U259="SF",W259="SF",Y259="SF",AA259="SF",AC259="SF"),"NC",
IF(SUM(IF(O259="C",1,0),IF(Q259="C",1,0),IF(S259="C",1,0),IF(U259="C",1,0),IF(W259="C",1,0),IF(Y259="C",1,0),IF(AA259="C",1,0),IF(AC259="C",1,0))=1,"C","C")))))</f>
        <v/>
      </c>
      <c r="AG259" s="96" t="b">
        <f t="shared" si="18"/>
        <v>0</v>
      </c>
      <c r="AH259" s="9"/>
      <c r="AI259" s="151" t="str">
        <f t="shared" si="17"/>
        <v>GUARULHOS</v>
      </c>
      <c r="AJ259" s="154" t="s">
        <v>6</v>
      </c>
      <c r="AK259" s="53">
        <v>0.49213764402324756</v>
      </c>
      <c r="AL259" s="53" t="str" cm="1">
        <f t="array" ref="AL259">IF(OR(O259&lt;&gt;"", SUMPRODUCT(($AM$2:$AM$210=AM259)*($AK$2:$AK$210&lt;=AK259)) &lt;= (COUNTIF($AM$2:$AM$210,AM259)*0.1)), "SORTEADO", "-")</f>
        <v>SORTEADO</v>
      </c>
      <c r="AM259" s="53" t="str">
        <f t="shared" si="16"/>
        <v>18/04/2026</v>
      </c>
    </row>
    <row r="260" spans="1:39" ht="30" hidden="1" customHeight="1" x14ac:dyDescent="0.2">
      <c r="A260" s="230" t="s">
        <v>197</v>
      </c>
      <c r="B260" s="230">
        <v>2615935709</v>
      </c>
      <c r="C260" s="230" t="s">
        <v>140</v>
      </c>
      <c r="D260" s="230" t="s">
        <v>67</v>
      </c>
      <c r="E260" s="230" t="s">
        <v>198</v>
      </c>
      <c r="F260" s="230" t="s">
        <v>1424</v>
      </c>
      <c r="G260" s="230">
        <v>62</v>
      </c>
      <c r="H260" s="230" t="s">
        <v>1426</v>
      </c>
      <c r="I260" s="230" t="s">
        <v>258</v>
      </c>
      <c r="J260" s="230" t="s">
        <v>4605</v>
      </c>
      <c r="K260" s="230" t="s">
        <v>213</v>
      </c>
      <c r="L260" s="230" t="s">
        <v>1531</v>
      </c>
      <c r="M260" s="230" t="s">
        <v>4758</v>
      </c>
      <c r="N260" s="230" t="s">
        <v>4604</v>
      </c>
      <c r="O260" s="158"/>
      <c r="P260" s="92"/>
      <c r="Q260" s="146"/>
      <c r="R260" s="92"/>
      <c r="S260" s="146"/>
      <c r="T260" s="92"/>
      <c r="U260" s="146"/>
      <c r="V260" s="92"/>
      <c r="W260" s="146"/>
      <c r="X260" s="92"/>
      <c r="Y260" s="146"/>
      <c r="Z260" s="92"/>
      <c r="AA260" s="146"/>
      <c r="AB260" s="64"/>
      <c r="AC260" s="146"/>
      <c r="AD260" s="64"/>
      <c r="AE260" s="146"/>
      <c r="AF260" s="215" t="str">
        <f t="shared" si="19"/>
        <v/>
      </c>
      <c r="AG260" s="96" t="b">
        <f t="shared" si="18"/>
        <v>0</v>
      </c>
      <c r="AH260" s="9"/>
      <c r="AI260" s="151" t="str">
        <f t="shared" si="17"/>
        <v>GUARULHOS</v>
      </c>
      <c r="AJ260" s="154" t="s">
        <v>6</v>
      </c>
      <c r="AK260" s="53">
        <v>0.70961375703071083</v>
      </c>
      <c r="AL260" s="53" t="str" cm="1">
        <f t="array" ref="AL260">IF(OR(O260&lt;&gt;"", SUMPRODUCT(($AM$2:$AM$210=AM260)*($AK$2:$AK$210&lt;=AK260)) &lt;= (COUNTIF($AM$2:$AM$210,AM260)*0.1)), "SORTEADO", "-")</f>
        <v>SORTEADO</v>
      </c>
      <c r="AM260" s="53" t="str">
        <f t="shared" si="16"/>
        <v>18/04/2026</v>
      </c>
    </row>
    <row r="261" spans="1:39" ht="30" hidden="1" customHeight="1" x14ac:dyDescent="0.2">
      <c r="A261" s="230" t="s">
        <v>197</v>
      </c>
      <c r="B261" s="230">
        <v>2615935230</v>
      </c>
      <c r="C261" s="230" t="s">
        <v>140</v>
      </c>
      <c r="D261" s="230" t="s">
        <v>67</v>
      </c>
      <c r="E261" s="230" t="s">
        <v>198</v>
      </c>
      <c r="F261" s="230" t="s">
        <v>1275</v>
      </c>
      <c r="G261" s="230">
        <v>74</v>
      </c>
      <c r="H261" s="230" t="s">
        <v>1360</v>
      </c>
      <c r="I261" s="230" t="s">
        <v>1277</v>
      </c>
      <c r="J261" s="230" t="s">
        <v>4605</v>
      </c>
      <c r="K261" s="230"/>
      <c r="L261" s="230" t="s">
        <v>1531</v>
      </c>
      <c r="M261" s="230" t="s">
        <v>4759</v>
      </c>
      <c r="N261" s="230" t="s">
        <v>4604</v>
      </c>
      <c r="O261" s="158"/>
      <c r="P261" s="92"/>
      <c r="Q261" s="146"/>
      <c r="R261" s="92"/>
      <c r="S261" s="146"/>
      <c r="T261" s="92"/>
      <c r="U261" s="146"/>
      <c r="V261" s="92"/>
      <c r="W261" s="146"/>
      <c r="X261" s="92"/>
      <c r="Y261" s="146"/>
      <c r="Z261" s="92"/>
      <c r="AA261" s="146"/>
      <c r="AB261" s="64"/>
      <c r="AC261" s="146"/>
      <c r="AD261" s="64"/>
      <c r="AE261" s="146"/>
      <c r="AF261" s="215" t="str">
        <f t="shared" si="19"/>
        <v/>
      </c>
      <c r="AG261" s="96" t="b">
        <f t="shared" si="18"/>
        <v>0</v>
      </c>
      <c r="AH261" s="9"/>
      <c r="AI261" s="151" t="str">
        <f t="shared" si="17"/>
        <v>GUARULHOS</v>
      </c>
      <c r="AJ261" s="154" t="s">
        <v>6</v>
      </c>
      <c r="AK261" s="53">
        <v>0.41867169267677828</v>
      </c>
      <c r="AL261" s="53" t="str" cm="1">
        <f t="array" ref="AL261">IF(OR(O261&lt;&gt;"", SUMPRODUCT(($AM$2:$AM$210=AM261)*($AK$2:$AK$210&lt;=AK261)) &lt;= (COUNTIF($AM$2:$AM$210,AM261)*0.1)), "SORTEADO", "-")</f>
        <v>SORTEADO</v>
      </c>
      <c r="AM261" s="53" t="str">
        <f t="shared" si="16"/>
        <v>18/04/2026</v>
      </c>
    </row>
    <row r="262" spans="1:39" ht="30" hidden="1" customHeight="1" x14ac:dyDescent="0.2">
      <c r="A262" s="230" t="s">
        <v>197</v>
      </c>
      <c r="B262" s="230">
        <v>2615884388</v>
      </c>
      <c r="C262" s="230" t="s">
        <v>139</v>
      </c>
      <c r="D262" s="230" t="s">
        <v>67</v>
      </c>
      <c r="E262" s="230" t="s">
        <v>198</v>
      </c>
      <c r="F262" s="230" t="s">
        <v>1181</v>
      </c>
      <c r="G262" s="230">
        <v>366</v>
      </c>
      <c r="H262" s="230" t="s">
        <v>213</v>
      </c>
      <c r="I262" s="230" t="s">
        <v>509</v>
      </c>
      <c r="J262" s="230" t="s">
        <v>4603</v>
      </c>
      <c r="K262" s="230" t="s">
        <v>213</v>
      </c>
      <c r="L262" s="230" t="s">
        <v>1531</v>
      </c>
      <c r="M262" s="230" t="s">
        <v>4760</v>
      </c>
      <c r="N262" s="230" t="s">
        <v>4604</v>
      </c>
      <c r="O262" s="158"/>
      <c r="P262" s="92"/>
      <c r="Q262" s="146"/>
      <c r="R262" s="92"/>
      <c r="S262" s="146"/>
      <c r="T262" s="92"/>
      <c r="U262" s="146"/>
      <c r="V262" s="92"/>
      <c r="W262" s="146"/>
      <c r="X262" s="92"/>
      <c r="Y262" s="146"/>
      <c r="Z262" s="92"/>
      <c r="AA262" s="146"/>
      <c r="AB262" s="64"/>
      <c r="AC262" s="146"/>
      <c r="AD262" s="64"/>
      <c r="AE262" s="146"/>
      <c r="AF262" s="215" t="str">
        <f t="shared" si="19"/>
        <v/>
      </c>
      <c r="AG262" s="96" t="b">
        <f t="shared" si="18"/>
        <v>0</v>
      </c>
      <c r="AH262" s="9"/>
      <c r="AI262" s="151" t="str">
        <f t="shared" si="17"/>
        <v>GUARULHOS</v>
      </c>
      <c r="AJ262" s="154" t="s">
        <v>6</v>
      </c>
      <c r="AK262" s="53">
        <v>0.37329339394015182</v>
      </c>
      <c r="AL262" s="53" t="str" cm="1">
        <f t="array" ref="AL262">IF(OR(O262&lt;&gt;"", SUMPRODUCT(($AM$2:$AM$210=AM262)*($AK$2:$AK$210&lt;=AK262)) &lt;= (COUNTIF($AM$2:$AM$210,AM262)*0.1)), "SORTEADO", "-")</f>
        <v>SORTEADO</v>
      </c>
      <c r="AM262" s="53" t="str">
        <f t="shared" si="16"/>
        <v>18/04/2026</v>
      </c>
    </row>
    <row r="263" spans="1:39" ht="30" hidden="1" customHeight="1" x14ac:dyDescent="0.2">
      <c r="A263" s="230" t="s">
        <v>197</v>
      </c>
      <c r="B263" s="230">
        <v>2615935557</v>
      </c>
      <c r="C263" s="230" t="s">
        <v>141</v>
      </c>
      <c r="D263" s="230" t="s">
        <v>67</v>
      </c>
      <c r="E263" s="230" t="s">
        <v>198</v>
      </c>
      <c r="F263" s="230" t="s">
        <v>1369</v>
      </c>
      <c r="G263" s="230">
        <v>256</v>
      </c>
      <c r="H263" s="230" t="s">
        <v>1419</v>
      </c>
      <c r="I263" s="230" t="s">
        <v>258</v>
      </c>
      <c r="J263" s="230" t="s">
        <v>4603</v>
      </c>
      <c r="K263" s="230" t="s">
        <v>4761</v>
      </c>
      <c r="L263" s="230" t="s">
        <v>1531</v>
      </c>
      <c r="M263" s="230" t="s">
        <v>4762</v>
      </c>
      <c r="N263" s="230" t="s">
        <v>4604</v>
      </c>
      <c r="O263" s="158"/>
      <c r="P263" s="92"/>
      <c r="Q263" s="146"/>
      <c r="R263" s="92"/>
      <c r="S263" s="146"/>
      <c r="T263" s="92"/>
      <c r="U263" s="146"/>
      <c r="V263" s="92"/>
      <c r="W263" s="146"/>
      <c r="X263" s="92"/>
      <c r="Y263" s="146"/>
      <c r="Z263" s="92"/>
      <c r="AA263" s="146"/>
      <c r="AB263" s="64"/>
      <c r="AC263" s="146"/>
      <c r="AD263" s="64"/>
      <c r="AE263" s="146"/>
      <c r="AF263" s="215" t="str">
        <f t="shared" si="19"/>
        <v/>
      </c>
      <c r="AG263" s="96" t="b">
        <f t="shared" si="18"/>
        <v>0</v>
      </c>
      <c r="AH263" s="9"/>
      <c r="AI263" s="151" t="str">
        <f t="shared" si="17"/>
        <v>GUARULHOS</v>
      </c>
      <c r="AJ263" s="154" t="s">
        <v>6</v>
      </c>
      <c r="AK263" s="53">
        <v>0.99844889533667136</v>
      </c>
      <c r="AL263" s="53" t="str" cm="1">
        <f t="array" ref="AL263">IF(OR(O263&lt;&gt;"", SUMPRODUCT(($AM$2:$AM$210=AM263)*($AK$2:$AK$210&lt;=AK263)) &lt;= (COUNTIF($AM$2:$AM$210,AM263)*0.1)), "SORTEADO", "-")</f>
        <v>SORTEADO</v>
      </c>
      <c r="AM263" s="53" t="str">
        <f t="shared" si="16"/>
        <v>18/04/2026</v>
      </c>
    </row>
    <row r="264" spans="1:39" ht="30" hidden="1" customHeight="1" x14ac:dyDescent="0.2">
      <c r="A264" s="230" t="s">
        <v>197</v>
      </c>
      <c r="B264" s="230">
        <v>2615935393</v>
      </c>
      <c r="C264" s="230" t="s">
        <v>140</v>
      </c>
      <c r="D264" s="230" t="s">
        <v>67</v>
      </c>
      <c r="E264" s="230" t="s">
        <v>198</v>
      </c>
      <c r="F264" s="230" t="s">
        <v>1369</v>
      </c>
      <c r="G264" s="230">
        <v>250</v>
      </c>
      <c r="H264" s="230" t="s">
        <v>1370</v>
      </c>
      <c r="I264" s="230" t="s">
        <v>258</v>
      </c>
      <c r="J264" s="230" t="s">
        <v>4605</v>
      </c>
      <c r="K264" s="230" t="s">
        <v>4763</v>
      </c>
      <c r="L264" s="230" t="s">
        <v>1531</v>
      </c>
      <c r="M264" s="230" t="s">
        <v>4764</v>
      </c>
      <c r="N264" s="230" t="s">
        <v>4604</v>
      </c>
      <c r="O264" s="158"/>
      <c r="P264" s="92"/>
      <c r="Q264" s="146"/>
      <c r="R264" s="92"/>
      <c r="S264" s="146"/>
      <c r="T264" s="92"/>
      <c r="U264" s="146"/>
      <c r="V264" s="92"/>
      <c r="W264" s="146"/>
      <c r="X264" s="92"/>
      <c r="Y264" s="146"/>
      <c r="Z264" s="92"/>
      <c r="AA264" s="146"/>
      <c r="AB264" s="64"/>
      <c r="AC264" s="146"/>
      <c r="AD264" s="64"/>
      <c r="AE264" s="146"/>
      <c r="AF264" s="215" t="str">
        <f t="shared" si="19"/>
        <v/>
      </c>
      <c r="AG264" s="96" t="b">
        <f t="shared" si="18"/>
        <v>0</v>
      </c>
      <c r="AH264" s="9"/>
      <c r="AI264" s="151" t="str">
        <f t="shared" si="17"/>
        <v>GUARULHOS</v>
      </c>
      <c r="AJ264" s="154" t="s">
        <v>6</v>
      </c>
      <c r="AK264" s="53">
        <v>0.89408200324932241</v>
      </c>
      <c r="AL264" s="53" t="str" cm="1">
        <f t="array" ref="AL264">IF(OR(O264&lt;&gt;"", SUMPRODUCT(($AM$2:$AM$210=AM264)*($AK$2:$AK$210&lt;=AK264)) &lt;= (COUNTIF($AM$2:$AM$210,AM264)*0.1)), "SORTEADO", "-")</f>
        <v>SORTEADO</v>
      </c>
      <c r="AM264" s="53" t="str">
        <f t="shared" si="16"/>
        <v>18/04/2026</v>
      </c>
    </row>
    <row r="265" spans="1:39" ht="30" hidden="1" customHeight="1" x14ac:dyDescent="0.2">
      <c r="A265" s="230" t="s">
        <v>197</v>
      </c>
      <c r="B265" s="230">
        <v>2615935009</v>
      </c>
      <c r="C265" s="230" t="s">
        <v>138</v>
      </c>
      <c r="D265" s="230" t="s">
        <v>67</v>
      </c>
      <c r="E265" s="230" t="s">
        <v>198</v>
      </c>
      <c r="F265" s="230" t="s">
        <v>526</v>
      </c>
      <c r="G265" s="230">
        <v>145</v>
      </c>
      <c r="H265" s="230" t="s">
        <v>206</v>
      </c>
      <c r="I265" s="230" t="s">
        <v>331</v>
      </c>
      <c r="J265" s="230" t="s">
        <v>4605</v>
      </c>
      <c r="K265" s="230"/>
      <c r="L265" s="230" t="s">
        <v>1531</v>
      </c>
      <c r="M265" s="230" t="s">
        <v>4765</v>
      </c>
      <c r="N265" s="230" t="s">
        <v>4604</v>
      </c>
      <c r="O265" s="158"/>
      <c r="P265" s="92"/>
      <c r="Q265" s="146"/>
      <c r="R265" s="92"/>
      <c r="S265" s="146"/>
      <c r="T265" s="92"/>
      <c r="U265" s="146"/>
      <c r="V265" s="92"/>
      <c r="W265" s="146"/>
      <c r="X265" s="92"/>
      <c r="Y265" s="146"/>
      <c r="Z265" s="92"/>
      <c r="AA265" s="146"/>
      <c r="AB265" s="64"/>
      <c r="AC265" s="146"/>
      <c r="AD265" s="64"/>
      <c r="AE265" s="146"/>
      <c r="AF265" s="215" t="str">
        <f t="shared" si="19"/>
        <v/>
      </c>
      <c r="AG265" s="96" t="b">
        <f t="shared" si="18"/>
        <v>0</v>
      </c>
      <c r="AH265" s="9"/>
      <c r="AI265" s="151" t="str">
        <f t="shared" si="17"/>
        <v>GUARULHOS</v>
      </c>
      <c r="AJ265" s="154" t="s">
        <v>6</v>
      </c>
      <c r="AK265" s="53">
        <v>0.4769668204766081</v>
      </c>
      <c r="AL265" s="53" t="str" cm="1">
        <f t="array" ref="AL265">IF(OR(O265&lt;&gt;"", SUMPRODUCT(($AM$2:$AM$210=AM265)*($AK$2:$AK$210&lt;=AK265)) &lt;= (COUNTIF($AM$2:$AM$210,AM265)*0.1)), "SORTEADO", "-")</f>
        <v>SORTEADO</v>
      </c>
      <c r="AM265" s="53" t="str">
        <f t="shared" si="16"/>
        <v>18/04/2026</v>
      </c>
    </row>
    <row r="266" spans="1:39" ht="30" hidden="1" customHeight="1" x14ac:dyDescent="0.2">
      <c r="A266" s="230" t="s">
        <v>197</v>
      </c>
      <c r="B266" s="230">
        <v>2615914100</v>
      </c>
      <c r="C266" s="230" t="s">
        <v>141</v>
      </c>
      <c r="D266" s="230" t="s">
        <v>67</v>
      </c>
      <c r="E266" s="230" t="s">
        <v>198</v>
      </c>
      <c r="F266" s="230" t="s">
        <v>2870</v>
      </c>
      <c r="G266" s="230">
        <v>132</v>
      </c>
      <c r="H266" s="230" t="s">
        <v>353</v>
      </c>
      <c r="I266" s="230" t="s">
        <v>1750</v>
      </c>
      <c r="J266" s="230" t="s">
        <v>4603</v>
      </c>
      <c r="K266" s="230" t="s">
        <v>213</v>
      </c>
      <c r="L266" s="230" t="s">
        <v>1531</v>
      </c>
      <c r="M266" s="230" t="s">
        <v>4766</v>
      </c>
      <c r="N266" s="230" t="s">
        <v>4613</v>
      </c>
      <c r="O266" s="158"/>
      <c r="P266" s="92"/>
      <c r="Q266" s="146"/>
      <c r="R266" s="92"/>
      <c r="S266" s="146"/>
      <c r="T266" s="92"/>
      <c r="U266" s="146"/>
      <c r="V266" s="92"/>
      <c r="W266" s="146"/>
      <c r="X266" s="92"/>
      <c r="Y266" s="146"/>
      <c r="Z266" s="92"/>
      <c r="AA266" s="146"/>
      <c r="AB266" s="64"/>
      <c r="AC266" s="146"/>
      <c r="AD266" s="64"/>
      <c r="AE266" s="146"/>
      <c r="AF266" s="215" t="str">
        <f t="shared" si="19"/>
        <v/>
      </c>
      <c r="AG266" s="96" t="b">
        <f t="shared" si="18"/>
        <v>0</v>
      </c>
      <c r="AH266" s="9"/>
      <c r="AI266" s="151" t="str">
        <f t="shared" si="17"/>
        <v>GUARULHOS</v>
      </c>
      <c r="AJ266" s="154" t="s">
        <v>6</v>
      </c>
      <c r="AK266" s="53">
        <v>0.68257841597659819</v>
      </c>
      <c r="AL266" s="53" t="str" cm="1">
        <f t="array" ref="AL266">IF(OR(O266&lt;&gt;"", SUMPRODUCT(($AM$2:$AM$210=AM266)*($AK$2:$AK$210&lt;=AK266)) &lt;= (COUNTIF($AM$2:$AM$210,AM266)*0.1)), "SORTEADO", "-")</f>
        <v>SORTEADO</v>
      </c>
      <c r="AM266" s="53" t="str">
        <f t="shared" si="16"/>
        <v>18/04/2026</v>
      </c>
    </row>
    <row r="267" spans="1:39" ht="30" hidden="1" customHeight="1" x14ac:dyDescent="0.2">
      <c r="A267" s="230" t="s">
        <v>197</v>
      </c>
      <c r="B267" s="230">
        <v>2615734414</v>
      </c>
      <c r="C267" s="230" t="s">
        <v>138</v>
      </c>
      <c r="D267" s="230" t="s">
        <v>67</v>
      </c>
      <c r="E267" s="230" t="s">
        <v>198</v>
      </c>
      <c r="F267" s="230" t="s">
        <v>829</v>
      </c>
      <c r="G267" s="230">
        <v>1576</v>
      </c>
      <c r="H267" s="230"/>
      <c r="I267" s="230" t="s">
        <v>664</v>
      </c>
      <c r="J267" s="230" t="s">
        <v>4605</v>
      </c>
      <c r="K267" s="230"/>
      <c r="L267" s="230" t="s">
        <v>1531</v>
      </c>
      <c r="M267" s="230" t="s">
        <v>4767</v>
      </c>
      <c r="N267" s="230" t="s">
        <v>4613</v>
      </c>
      <c r="O267" s="158"/>
      <c r="P267" s="92"/>
      <c r="Q267" s="146"/>
      <c r="R267" s="92"/>
      <c r="S267" s="146"/>
      <c r="T267" s="92"/>
      <c r="U267" s="146"/>
      <c r="V267" s="92"/>
      <c r="W267" s="146"/>
      <c r="X267" s="92"/>
      <c r="Y267" s="146"/>
      <c r="Z267" s="92"/>
      <c r="AA267" s="146"/>
      <c r="AB267" s="64"/>
      <c r="AC267" s="146"/>
      <c r="AD267" s="64"/>
      <c r="AE267" s="146"/>
      <c r="AF267" s="215" t="str">
        <f t="shared" si="19"/>
        <v/>
      </c>
      <c r="AG267" s="96" t="b">
        <f t="shared" si="18"/>
        <v>0</v>
      </c>
      <c r="AH267" s="9"/>
      <c r="AI267" s="151" t="str">
        <f t="shared" si="17"/>
        <v>GUARULHOS</v>
      </c>
      <c r="AJ267" s="154" t="s">
        <v>6</v>
      </c>
      <c r="AK267" s="53">
        <v>0.52678436464291589</v>
      </c>
      <c r="AL267" s="53" t="str" cm="1">
        <f t="array" ref="AL267">IF(OR(O267&lt;&gt;"", SUMPRODUCT(($AM$2:$AM$210=AM267)*($AK$2:$AK$210&lt;=AK267)) &lt;= (COUNTIF($AM$2:$AM$210,AM267)*0.1)), "SORTEADO", "-")</f>
        <v>SORTEADO</v>
      </c>
      <c r="AM267" s="53" t="str">
        <f t="shared" si="16"/>
        <v>18/04/2026</v>
      </c>
    </row>
    <row r="268" spans="1:39" ht="30" hidden="1" customHeight="1" x14ac:dyDescent="0.2">
      <c r="A268" s="230" t="s">
        <v>197</v>
      </c>
      <c r="B268" s="230">
        <v>2615919257</v>
      </c>
      <c r="C268" s="230" t="s">
        <v>139</v>
      </c>
      <c r="D268" s="230" t="s">
        <v>67</v>
      </c>
      <c r="E268" s="230" t="s">
        <v>198</v>
      </c>
      <c r="F268" s="230" t="s">
        <v>1208</v>
      </c>
      <c r="G268" s="230">
        <v>634</v>
      </c>
      <c r="H268" s="230" t="s">
        <v>1303</v>
      </c>
      <c r="I268" s="230" t="s">
        <v>1210</v>
      </c>
      <c r="J268" s="230" t="s">
        <v>4603</v>
      </c>
      <c r="K268" s="230" t="s">
        <v>213</v>
      </c>
      <c r="L268" s="230" t="s">
        <v>1531</v>
      </c>
      <c r="M268" s="230" t="s">
        <v>4768</v>
      </c>
      <c r="N268" s="230" t="s">
        <v>4613</v>
      </c>
      <c r="O268" s="158"/>
      <c r="P268" s="92"/>
      <c r="Q268" s="146"/>
      <c r="R268" s="92"/>
      <c r="S268" s="146"/>
      <c r="T268" s="92"/>
      <c r="U268" s="146"/>
      <c r="V268" s="92"/>
      <c r="W268" s="146"/>
      <c r="X268" s="92"/>
      <c r="Y268" s="146"/>
      <c r="Z268" s="92"/>
      <c r="AA268" s="146"/>
      <c r="AB268" s="64"/>
      <c r="AC268" s="146"/>
      <c r="AD268" s="64"/>
      <c r="AE268" s="146"/>
      <c r="AF268" s="215" t="str">
        <f t="shared" si="19"/>
        <v/>
      </c>
      <c r="AG268" s="96" t="b">
        <f t="shared" si="18"/>
        <v>0</v>
      </c>
      <c r="AH268" s="9"/>
      <c r="AI268" s="151" t="str">
        <f t="shared" si="17"/>
        <v>GUARULHOS</v>
      </c>
      <c r="AJ268" s="154" t="s">
        <v>6</v>
      </c>
      <c r="AK268" s="53">
        <v>0.69743085492471568</v>
      </c>
      <c r="AL268" s="53" t="str" cm="1">
        <f t="array" ref="AL268">IF(OR(O268&lt;&gt;"", SUMPRODUCT(($AM$2:$AM$210=AM268)*($AK$2:$AK$210&lt;=AK268)) &lt;= (COUNTIF($AM$2:$AM$210,AM268)*0.1)), "SORTEADO", "-")</f>
        <v>SORTEADO</v>
      </c>
      <c r="AM268" s="53" t="str">
        <f t="shared" si="16"/>
        <v>18/04/2026</v>
      </c>
    </row>
    <row r="269" spans="1:39" ht="30" hidden="1" customHeight="1" x14ac:dyDescent="0.2">
      <c r="A269" s="230" t="s">
        <v>197</v>
      </c>
      <c r="B269" s="230">
        <v>2615569283</v>
      </c>
      <c r="C269" s="230" t="s">
        <v>139</v>
      </c>
      <c r="D269" s="230" t="s">
        <v>67</v>
      </c>
      <c r="E269" s="230" t="s">
        <v>198</v>
      </c>
      <c r="F269" s="230" t="s">
        <v>1235</v>
      </c>
      <c r="G269" s="230">
        <v>135</v>
      </c>
      <c r="H269" s="230" t="s">
        <v>1236</v>
      </c>
      <c r="I269" s="230" t="s">
        <v>485</v>
      </c>
      <c r="J269" s="230" t="s">
        <v>4603</v>
      </c>
      <c r="K269" s="230"/>
      <c r="L269" s="230" t="s">
        <v>1531</v>
      </c>
      <c r="M269" s="230" t="s">
        <v>4769</v>
      </c>
      <c r="N269" s="230" t="s">
        <v>4613</v>
      </c>
      <c r="O269" s="158"/>
      <c r="P269" s="92"/>
      <c r="Q269" s="146"/>
      <c r="R269" s="92"/>
      <c r="S269" s="146"/>
      <c r="T269" s="92"/>
      <c r="U269" s="146"/>
      <c r="V269" s="92"/>
      <c r="W269" s="146"/>
      <c r="X269" s="92"/>
      <c r="Y269" s="146"/>
      <c r="Z269" s="92"/>
      <c r="AA269" s="146"/>
      <c r="AB269" s="64"/>
      <c r="AC269" s="146"/>
      <c r="AD269" s="64"/>
      <c r="AE269" s="146"/>
      <c r="AF269" s="215" t="str">
        <f t="shared" si="19"/>
        <v/>
      </c>
      <c r="AG269" s="96" t="b">
        <f t="shared" si="18"/>
        <v>0</v>
      </c>
      <c r="AH269" s="9"/>
      <c r="AI269" s="151" t="str">
        <f t="shared" si="17"/>
        <v>GUARULHOS</v>
      </c>
      <c r="AJ269" s="154" t="s">
        <v>6</v>
      </c>
      <c r="AK269" s="53">
        <v>0.88033704652206279</v>
      </c>
      <c r="AL269" s="53" t="str" cm="1">
        <f t="array" ref="AL269">IF(OR(O269&lt;&gt;"", SUMPRODUCT(($AM$2:$AM$210=AM269)*($AK$2:$AK$210&lt;=AK269)) &lt;= (COUNTIF($AM$2:$AM$210,AM269)*0.1)), "SORTEADO", "-")</f>
        <v>SORTEADO</v>
      </c>
      <c r="AM269" s="53" t="str">
        <f t="shared" si="16"/>
        <v>18/04/2026</v>
      </c>
    </row>
    <row r="270" spans="1:39" ht="30" hidden="1" customHeight="1" x14ac:dyDescent="0.2">
      <c r="A270" s="230" t="s">
        <v>197</v>
      </c>
      <c r="B270" s="230">
        <v>2615897570</v>
      </c>
      <c r="C270" s="230" t="s">
        <v>139</v>
      </c>
      <c r="D270" s="230" t="s">
        <v>67</v>
      </c>
      <c r="E270" s="230" t="s">
        <v>198</v>
      </c>
      <c r="F270" s="230" t="s">
        <v>230</v>
      </c>
      <c r="G270" s="230">
        <v>131</v>
      </c>
      <c r="H270" s="230" t="s">
        <v>296</v>
      </c>
      <c r="I270" s="230" t="s">
        <v>231</v>
      </c>
      <c r="J270" s="230" t="s">
        <v>4603</v>
      </c>
      <c r="K270" s="230" t="s">
        <v>213</v>
      </c>
      <c r="L270" s="230" t="s">
        <v>1531</v>
      </c>
      <c r="M270" s="230" t="s">
        <v>4770</v>
      </c>
      <c r="N270" s="230" t="s">
        <v>4613</v>
      </c>
      <c r="O270" s="158"/>
      <c r="P270" s="92"/>
      <c r="Q270" s="146"/>
      <c r="R270" s="92"/>
      <c r="S270" s="146"/>
      <c r="T270" s="92"/>
      <c r="U270" s="146"/>
      <c r="V270" s="92"/>
      <c r="W270" s="146"/>
      <c r="X270" s="92"/>
      <c r="Y270" s="146"/>
      <c r="Z270" s="92"/>
      <c r="AA270" s="146"/>
      <c r="AB270" s="64"/>
      <c r="AC270" s="146"/>
      <c r="AD270" s="64"/>
      <c r="AE270" s="146"/>
      <c r="AF270" s="215" t="str">
        <f t="shared" si="19"/>
        <v/>
      </c>
      <c r="AG270" s="96" t="b">
        <f t="shared" si="18"/>
        <v>0</v>
      </c>
      <c r="AH270" s="9"/>
      <c r="AI270" s="151" t="str">
        <f t="shared" si="17"/>
        <v>GUARULHOS</v>
      </c>
      <c r="AJ270" s="154" t="s">
        <v>6</v>
      </c>
      <c r="AK270" s="53">
        <v>0.24875452099713424</v>
      </c>
      <c r="AL270" s="53" t="str" cm="1">
        <f t="array" ref="AL270">IF(OR(O270&lt;&gt;"", SUMPRODUCT(($AM$2:$AM$210=AM270)*($AK$2:$AK$210&lt;=AK270)) &lt;= (COUNTIF($AM$2:$AM$210,AM270)*0.1)), "SORTEADO", "-")</f>
        <v>SORTEADO</v>
      </c>
      <c r="AM270" s="53" t="str">
        <f t="shared" si="16"/>
        <v>18/04/2026</v>
      </c>
    </row>
    <row r="271" spans="1:39" ht="30" hidden="1" customHeight="1" x14ac:dyDescent="0.2">
      <c r="A271" s="230" t="s">
        <v>197</v>
      </c>
      <c r="B271" s="230">
        <v>2690834372</v>
      </c>
      <c r="C271" s="230" t="s">
        <v>138</v>
      </c>
      <c r="D271" s="230" t="s">
        <v>67</v>
      </c>
      <c r="E271" s="230" t="s">
        <v>198</v>
      </c>
      <c r="F271" s="230" t="s">
        <v>1517</v>
      </c>
      <c r="G271" s="230">
        <v>274</v>
      </c>
      <c r="H271" s="230" t="s">
        <v>1518</v>
      </c>
      <c r="I271" s="230" t="s">
        <v>893</v>
      </c>
      <c r="J271" s="230" t="s">
        <v>4605</v>
      </c>
      <c r="K271" s="230"/>
      <c r="L271" s="230" t="s">
        <v>1531</v>
      </c>
      <c r="M271" s="230" t="s">
        <v>4771</v>
      </c>
      <c r="N271" s="230" t="s">
        <v>4613</v>
      </c>
      <c r="O271" s="158"/>
      <c r="P271" s="92"/>
      <c r="Q271" s="146"/>
      <c r="R271" s="92"/>
      <c r="S271" s="146"/>
      <c r="T271" s="92"/>
      <c r="U271" s="146"/>
      <c r="V271" s="92"/>
      <c r="W271" s="146"/>
      <c r="X271" s="92"/>
      <c r="Y271" s="146"/>
      <c r="Z271" s="92"/>
      <c r="AA271" s="146"/>
      <c r="AB271" s="64"/>
      <c r="AC271" s="146"/>
      <c r="AD271" s="64"/>
      <c r="AE271" s="146"/>
      <c r="AF271" s="215" t="str">
        <f t="shared" si="19"/>
        <v/>
      </c>
      <c r="AG271" s="96" t="b">
        <f t="shared" si="18"/>
        <v>0</v>
      </c>
      <c r="AH271" s="9"/>
      <c r="AI271" s="151" t="str">
        <f t="shared" si="17"/>
        <v>GUARULHOS</v>
      </c>
      <c r="AJ271" s="154" t="s">
        <v>6</v>
      </c>
      <c r="AK271" s="53">
        <v>0.14013350977719063</v>
      </c>
      <c r="AL271" s="53" t="str" cm="1">
        <f t="array" ref="AL271">IF(OR(O271&lt;&gt;"", SUMPRODUCT(($AM$2:$AM$210=AM271)*($AK$2:$AK$210&lt;=AK271)) &lt;= (COUNTIF($AM$2:$AM$210,AM271)*0.1)), "SORTEADO", "-")</f>
        <v>SORTEADO</v>
      </c>
      <c r="AM271" s="53" t="str">
        <f t="shared" si="16"/>
        <v>18/04/2026</v>
      </c>
    </row>
    <row r="272" spans="1:39" ht="30" hidden="1" customHeight="1" x14ac:dyDescent="0.2">
      <c r="A272" s="230" t="s">
        <v>197</v>
      </c>
      <c r="B272" s="230">
        <v>2615533667</v>
      </c>
      <c r="C272" s="230" t="s">
        <v>139</v>
      </c>
      <c r="D272" s="230" t="s">
        <v>67</v>
      </c>
      <c r="E272" s="230" t="s">
        <v>198</v>
      </c>
      <c r="F272" s="230" t="s">
        <v>365</v>
      </c>
      <c r="G272" s="230">
        <v>418</v>
      </c>
      <c r="H272" s="230" t="s">
        <v>418</v>
      </c>
      <c r="I272" s="230" t="s">
        <v>366</v>
      </c>
      <c r="J272" s="230" t="s">
        <v>4603</v>
      </c>
      <c r="K272" s="230" t="s">
        <v>213</v>
      </c>
      <c r="L272" s="230" t="s">
        <v>1531</v>
      </c>
      <c r="M272" s="230" t="s">
        <v>4772</v>
      </c>
      <c r="N272" s="230" t="s">
        <v>4613</v>
      </c>
      <c r="O272" s="158"/>
      <c r="P272" s="92"/>
      <c r="Q272" s="146"/>
      <c r="R272" s="92"/>
      <c r="S272" s="146"/>
      <c r="T272" s="92"/>
      <c r="U272" s="146"/>
      <c r="V272" s="92"/>
      <c r="W272" s="146"/>
      <c r="X272" s="92"/>
      <c r="Y272" s="146"/>
      <c r="Z272" s="92"/>
      <c r="AA272" s="146"/>
      <c r="AB272" s="64"/>
      <c r="AC272" s="146"/>
      <c r="AD272" s="64"/>
      <c r="AE272" s="146"/>
      <c r="AF272" s="215" t="str">
        <f t="shared" si="19"/>
        <v/>
      </c>
      <c r="AG272" s="96" t="b">
        <f t="shared" si="18"/>
        <v>0</v>
      </c>
      <c r="AH272" s="9"/>
      <c r="AI272" s="151" t="str">
        <f t="shared" si="17"/>
        <v>GUARULHOS</v>
      </c>
      <c r="AJ272" s="154" t="s">
        <v>6</v>
      </c>
      <c r="AK272" s="53">
        <v>0.4080489436198006</v>
      </c>
      <c r="AL272" s="53" t="str" cm="1">
        <f t="array" ref="AL272">IF(OR(O272&lt;&gt;"", SUMPRODUCT(($AM$2:$AM$210=AM272)*($AK$2:$AK$210&lt;=AK272)) &lt;= (COUNTIF($AM$2:$AM$210,AM272)*0.1)), "SORTEADO", "-")</f>
        <v>SORTEADO</v>
      </c>
      <c r="AM272" s="53" t="str">
        <f t="shared" si="16"/>
        <v>18/04/2026</v>
      </c>
    </row>
    <row r="273" spans="1:39" ht="30" hidden="1" customHeight="1" x14ac:dyDescent="0.2">
      <c r="A273" s="230" t="s">
        <v>197</v>
      </c>
      <c r="B273" s="230">
        <v>2615910566</v>
      </c>
      <c r="C273" s="230" t="s">
        <v>141</v>
      </c>
      <c r="D273" s="230" t="s">
        <v>67</v>
      </c>
      <c r="E273" s="230" t="s">
        <v>198</v>
      </c>
      <c r="F273" s="230" t="s">
        <v>2851</v>
      </c>
      <c r="G273" s="230">
        <v>178</v>
      </c>
      <c r="H273" s="230" t="s">
        <v>2852</v>
      </c>
      <c r="I273" s="230" t="s">
        <v>2199</v>
      </c>
      <c r="J273" s="230" t="s">
        <v>4603</v>
      </c>
      <c r="K273" s="230" t="s">
        <v>4654</v>
      </c>
      <c r="L273" s="230" t="s">
        <v>1531</v>
      </c>
      <c r="M273" s="230" t="s">
        <v>4773</v>
      </c>
      <c r="N273" s="230" t="s">
        <v>4613</v>
      </c>
      <c r="O273" s="144" t="s">
        <v>61</v>
      </c>
      <c r="P273" s="9"/>
      <c r="Q273" s="146" t="s">
        <v>61</v>
      </c>
      <c r="R273" s="92"/>
      <c r="S273" s="146" t="s">
        <v>61</v>
      </c>
      <c r="T273" s="92"/>
      <c r="U273" s="146" t="s">
        <v>61</v>
      </c>
      <c r="V273" s="92"/>
      <c r="W273" s="146" t="s">
        <v>61</v>
      </c>
      <c r="X273" s="92"/>
      <c r="Y273" s="146" t="s">
        <v>61</v>
      </c>
      <c r="Z273" s="92"/>
      <c r="AA273" s="146" t="s">
        <v>61</v>
      </c>
      <c r="AB273" s="64"/>
      <c r="AC273" s="146" t="s">
        <v>61</v>
      </c>
      <c r="AD273" s="64"/>
      <c r="AE273" s="146" t="s">
        <v>61</v>
      </c>
      <c r="AF273" s="215" t="str">
        <f t="shared" si="19"/>
        <v>NA</v>
      </c>
      <c r="AG273" s="96" t="str">
        <f t="shared" si="18"/>
        <v>NÃO AVALIADO POR FALHA DE SINCRONISMO</v>
      </c>
      <c r="AH273" s="9" t="s">
        <v>39</v>
      </c>
      <c r="AI273" s="151" t="str">
        <f t="shared" si="17"/>
        <v>GUARULHOS</v>
      </c>
      <c r="AJ273" s="154" t="s">
        <v>6</v>
      </c>
      <c r="AK273" s="53">
        <v>-5.4399999999999997E-2</v>
      </c>
      <c r="AL273" s="53" t="str" cm="1">
        <f t="array" ref="AL273">IF(OR(O273&lt;&gt;"", SUMPRODUCT(($AM$2:$AM$210=AM273)*($AK$2:$AK$210&lt;=AK273)) &lt;= (COUNTIF($AM$2:$AM$210,AM273)*0.1)), "SORTEADO", "-")</f>
        <v>SORTEADO</v>
      </c>
      <c r="AM273" s="53" t="str">
        <f t="shared" si="16"/>
        <v>18/04/2026</v>
      </c>
    </row>
    <row r="274" spans="1:39" ht="30" hidden="1" customHeight="1" x14ac:dyDescent="0.2">
      <c r="A274" s="230" t="s">
        <v>197</v>
      </c>
      <c r="B274" s="230">
        <v>2616347906</v>
      </c>
      <c r="C274" s="230" t="s">
        <v>141</v>
      </c>
      <c r="D274" s="230" t="s">
        <v>67</v>
      </c>
      <c r="E274" s="230" t="s">
        <v>198</v>
      </c>
      <c r="F274" s="230" t="s">
        <v>863</v>
      </c>
      <c r="G274" s="230">
        <v>1118</v>
      </c>
      <c r="H274" s="230" t="s">
        <v>864</v>
      </c>
      <c r="I274" s="230" t="s">
        <v>436</v>
      </c>
      <c r="J274" s="230" t="s">
        <v>4603</v>
      </c>
      <c r="K274" s="230" t="s">
        <v>213</v>
      </c>
      <c r="L274" s="230" t="s">
        <v>1616</v>
      </c>
      <c r="M274" s="230" t="s">
        <v>4774</v>
      </c>
      <c r="N274" s="230" t="s">
        <v>4620</v>
      </c>
      <c r="O274" s="158"/>
      <c r="P274" s="92"/>
      <c r="Q274" s="146"/>
      <c r="R274" s="92"/>
      <c r="S274" s="146"/>
      <c r="T274" s="92"/>
      <c r="U274" s="146"/>
      <c r="V274" s="92"/>
      <c r="W274" s="146"/>
      <c r="X274" s="92"/>
      <c r="Y274" s="146"/>
      <c r="Z274" s="92"/>
      <c r="AA274" s="146"/>
      <c r="AB274" s="64"/>
      <c r="AC274" s="146"/>
      <c r="AD274" s="64"/>
      <c r="AE274" s="146"/>
      <c r="AF274" s="215" t="str">
        <f t="shared" si="19"/>
        <v/>
      </c>
      <c r="AG274" s="96" t="b">
        <f t="shared" si="18"/>
        <v>0</v>
      </c>
      <c r="AH274" s="9"/>
      <c r="AI274" s="151" t="str">
        <f t="shared" si="17"/>
        <v>GUARULHOS</v>
      </c>
      <c r="AJ274" s="154" t="s">
        <v>6</v>
      </c>
      <c r="AK274" s="53">
        <v>0.53579786163373622</v>
      </c>
      <c r="AL274" s="53" t="str" cm="1">
        <f t="array" ref="AL274">IF(OR(O274&lt;&gt;"", SUMPRODUCT(($AM$2:$AM$210=AM274)*($AK$2:$AK$210&lt;=AK274)) &lt;= (COUNTIF($AM$2:$AM$210,AM274)*0.1)), "SORTEADO", "-")</f>
        <v>SORTEADO</v>
      </c>
      <c r="AM274" s="53" t="str">
        <f t="shared" si="16"/>
        <v>20/04/2026</v>
      </c>
    </row>
    <row r="275" spans="1:39" ht="30" hidden="1" customHeight="1" x14ac:dyDescent="0.2">
      <c r="A275" s="230" t="s">
        <v>197</v>
      </c>
      <c r="B275" s="230">
        <v>2616236059</v>
      </c>
      <c r="C275" s="230" t="s">
        <v>140</v>
      </c>
      <c r="D275" s="230" t="s">
        <v>67</v>
      </c>
      <c r="E275" s="230" t="s">
        <v>198</v>
      </c>
      <c r="F275" s="230" t="s">
        <v>2680</v>
      </c>
      <c r="G275" s="230">
        <v>57</v>
      </c>
      <c r="H275" s="230" t="s">
        <v>309</v>
      </c>
      <c r="I275" s="230" t="s">
        <v>746</v>
      </c>
      <c r="J275" s="230" t="s">
        <v>4605</v>
      </c>
      <c r="K275" s="230"/>
      <c r="L275" s="230" t="s">
        <v>1616</v>
      </c>
      <c r="M275" s="230" t="s">
        <v>4774</v>
      </c>
      <c r="N275" s="230" t="s">
        <v>4620</v>
      </c>
      <c r="O275" s="158"/>
      <c r="P275" s="92"/>
      <c r="Q275" s="146"/>
      <c r="R275" s="92"/>
      <c r="S275" s="146"/>
      <c r="T275" s="92"/>
      <c r="U275" s="146"/>
      <c r="V275" s="92"/>
      <c r="W275" s="146"/>
      <c r="X275" s="92"/>
      <c r="Y275" s="146"/>
      <c r="Z275" s="92"/>
      <c r="AA275" s="146"/>
      <c r="AB275" s="64"/>
      <c r="AC275" s="146"/>
      <c r="AD275" s="64"/>
      <c r="AE275" s="146"/>
      <c r="AF275" s="215" t="str">
        <f t="shared" si="19"/>
        <v/>
      </c>
      <c r="AG275" s="96" t="b">
        <f t="shared" si="18"/>
        <v>0</v>
      </c>
      <c r="AH275" s="9"/>
      <c r="AI275" s="151" t="str">
        <f t="shared" si="17"/>
        <v>GUARULHOS</v>
      </c>
      <c r="AJ275" s="154" t="s">
        <v>6</v>
      </c>
      <c r="AK275" s="53">
        <v>0.56498426742667507</v>
      </c>
      <c r="AL275" s="53" t="str" cm="1">
        <f t="array" ref="AL275">IF(OR(O275&lt;&gt;"", SUMPRODUCT(($AM$2:$AM$210=AM275)*($AK$2:$AK$210&lt;=AK275)) &lt;= (COUNTIF($AM$2:$AM$210,AM275)*0.1)), "SORTEADO", "-")</f>
        <v>SORTEADO</v>
      </c>
      <c r="AM275" s="53" t="str">
        <f t="shared" si="16"/>
        <v>20/04/2026</v>
      </c>
    </row>
    <row r="276" spans="1:39" ht="30" hidden="1" customHeight="1" x14ac:dyDescent="0.2">
      <c r="A276" s="230" t="s">
        <v>197</v>
      </c>
      <c r="B276" s="230">
        <v>2616389134</v>
      </c>
      <c r="C276" s="230" t="s">
        <v>138</v>
      </c>
      <c r="D276" s="230" t="s">
        <v>67</v>
      </c>
      <c r="E276" s="230" t="s">
        <v>198</v>
      </c>
      <c r="F276" s="230" t="s">
        <v>2920</v>
      </c>
      <c r="G276" s="230">
        <v>412</v>
      </c>
      <c r="H276" s="230" t="s">
        <v>206</v>
      </c>
      <c r="I276" s="230" t="s">
        <v>1587</v>
      </c>
      <c r="J276" s="230" t="s">
        <v>4605</v>
      </c>
      <c r="K276" s="230" t="s">
        <v>4646</v>
      </c>
      <c r="L276" s="230" t="s">
        <v>1616</v>
      </c>
      <c r="M276" s="230" t="s">
        <v>4775</v>
      </c>
      <c r="N276" s="230" t="s">
        <v>4620</v>
      </c>
      <c r="O276" s="158"/>
      <c r="P276" s="92"/>
      <c r="Q276" s="146"/>
      <c r="R276" s="92"/>
      <c r="S276" s="146"/>
      <c r="T276" s="92"/>
      <c r="U276" s="146"/>
      <c r="V276" s="92"/>
      <c r="W276" s="146"/>
      <c r="X276" s="92"/>
      <c r="Y276" s="146"/>
      <c r="Z276" s="92"/>
      <c r="AA276" s="146"/>
      <c r="AB276" s="64"/>
      <c r="AC276" s="146"/>
      <c r="AD276" s="64"/>
      <c r="AE276" s="146"/>
      <c r="AF276" s="215" t="str">
        <f t="shared" si="19"/>
        <v/>
      </c>
      <c r="AG276" s="96" t="b">
        <f t="shared" si="18"/>
        <v>0</v>
      </c>
      <c r="AH276" s="9"/>
      <c r="AI276" s="151" t="str">
        <f t="shared" si="17"/>
        <v>GUARULHOS</v>
      </c>
      <c r="AJ276" s="154" t="s">
        <v>6</v>
      </c>
      <c r="AK276" s="53">
        <v>0.9161178768205217</v>
      </c>
      <c r="AL276" s="53" t="str" cm="1">
        <f t="array" ref="AL276">IF(OR(O276&lt;&gt;"", SUMPRODUCT(($AM$2:$AM$210=AM276)*($AK$2:$AK$210&lt;=AK276)) &lt;= (COUNTIF($AM$2:$AM$210,AM276)*0.1)), "SORTEADO", "-")</f>
        <v>SORTEADO</v>
      </c>
      <c r="AM276" s="53" t="str">
        <f t="shared" si="16"/>
        <v>20/04/2026</v>
      </c>
    </row>
    <row r="277" spans="1:39" ht="30" hidden="1" customHeight="1" x14ac:dyDescent="0.2">
      <c r="A277" s="230" t="s">
        <v>197</v>
      </c>
      <c r="B277" s="230">
        <v>2616389060</v>
      </c>
      <c r="C277" s="230" t="s">
        <v>138</v>
      </c>
      <c r="D277" s="230" t="s">
        <v>67</v>
      </c>
      <c r="E277" s="230" t="s">
        <v>198</v>
      </c>
      <c r="F277" s="230" t="s">
        <v>1538</v>
      </c>
      <c r="G277" s="230">
        <v>181</v>
      </c>
      <c r="H277" s="230" t="s">
        <v>1539</v>
      </c>
      <c r="I277" s="230" t="s">
        <v>791</v>
      </c>
      <c r="J277" s="230" t="s">
        <v>4605</v>
      </c>
      <c r="K277" s="230"/>
      <c r="L277" s="230" t="s">
        <v>1616</v>
      </c>
      <c r="M277" s="230" t="s">
        <v>4776</v>
      </c>
      <c r="N277" s="230" t="s">
        <v>4620</v>
      </c>
      <c r="O277" s="158"/>
      <c r="P277" s="92"/>
      <c r="Q277" s="146"/>
      <c r="R277" s="92"/>
      <c r="S277" s="146"/>
      <c r="T277" s="92"/>
      <c r="U277" s="146"/>
      <c r="V277" s="92"/>
      <c r="W277" s="146"/>
      <c r="X277" s="92"/>
      <c r="Y277" s="146"/>
      <c r="Z277" s="92"/>
      <c r="AA277" s="146"/>
      <c r="AB277" s="64"/>
      <c r="AC277" s="146"/>
      <c r="AD277" s="64"/>
      <c r="AE277" s="146"/>
      <c r="AF277" s="215" t="str">
        <f t="shared" si="19"/>
        <v/>
      </c>
      <c r="AG277" s="96" t="b">
        <f t="shared" si="18"/>
        <v>0</v>
      </c>
      <c r="AH277" s="9"/>
      <c r="AI277" s="151" t="str">
        <f t="shared" si="17"/>
        <v>GUARULHOS</v>
      </c>
      <c r="AJ277" s="154" t="s">
        <v>6</v>
      </c>
      <c r="AK277" s="53">
        <v>0.57607632090499972</v>
      </c>
      <c r="AL277" s="53" t="str" cm="1">
        <f t="array" ref="AL277">IF(OR(O277&lt;&gt;"", SUMPRODUCT(($AM$2:$AM$210=AM277)*($AK$2:$AK$210&lt;=AK277)) &lt;= (COUNTIF($AM$2:$AM$210,AM277)*0.1)), "SORTEADO", "-")</f>
        <v>SORTEADO</v>
      </c>
      <c r="AM277" s="53" t="str">
        <f t="shared" si="16"/>
        <v>20/04/2026</v>
      </c>
    </row>
    <row r="278" spans="1:39" ht="30" hidden="1" customHeight="1" x14ac:dyDescent="0.2">
      <c r="A278" s="230" t="s">
        <v>197</v>
      </c>
      <c r="B278" s="230">
        <v>2615962016</v>
      </c>
      <c r="C278" s="230" t="s">
        <v>138</v>
      </c>
      <c r="D278" s="230" t="s">
        <v>67</v>
      </c>
      <c r="E278" s="230" t="s">
        <v>198</v>
      </c>
      <c r="F278" s="230" t="s">
        <v>1461</v>
      </c>
      <c r="G278" s="230">
        <v>144</v>
      </c>
      <c r="H278" s="230" t="s">
        <v>213</v>
      </c>
      <c r="I278" s="230" t="s">
        <v>291</v>
      </c>
      <c r="J278" s="230" t="s">
        <v>4605</v>
      </c>
      <c r="K278" s="230" t="s">
        <v>213</v>
      </c>
      <c r="L278" s="230" t="s">
        <v>1616</v>
      </c>
      <c r="M278" s="230" t="s">
        <v>4777</v>
      </c>
      <c r="N278" s="230" t="s">
        <v>4620</v>
      </c>
      <c r="O278" s="158"/>
      <c r="P278" s="92"/>
      <c r="Q278" s="146"/>
      <c r="R278" s="92"/>
      <c r="S278" s="146"/>
      <c r="T278" s="92"/>
      <c r="U278" s="146"/>
      <c r="V278" s="92"/>
      <c r="W278" s="146"/>
      <c r="X278" s="92"/>
      <c r="Y278" s="146"/>
      <c r="Z278" s="92"/>
      <c r="AA278" s="146"/>
      <c r="AB278" s="64"/>
      <c r="AC278" s="146"/>
      <c r="AD278" s="64"/>
      <c r="AE278" s="146"/>
      <c r="AF278" s="215" t="str">
        <f t="shared" si="19"/>
        <v/>
      </c>
      <c r="AG278" s="96" t="b">
        <f t="shared" si="18"/>
        <v>0</v>
      </c>
      <c r="AH278" s="9"/>
      <c r="AI278" s="151" t="str">
        <f t="shared" si="17"/>
        <v>GUARULHOS</v>
      </c>
      <c r="AJ278" s="154" t="s">
        <v>6</v>
      </c>
      <c r="AK278" s="53">
        <v>0.40082449050212587</v>
      </c>
      <c r="AL278" s="53" t="str" cm="1">
        <f t="array" ref="AL278">IF(OR(O278&lt;&gt;"", SUMPRODUCT(($AM$2:$AM$210=AM278)*($AK$2:$AK$210&lt;=AK278)) &lt;= (COUNTIF($AM$2:$AM$210,AM278)*0.1)), "SORTEADO", "-")</f>
        <v>SORTEADO</v>
      </c>
      <c r="AM278" s="53" t="str">
        <f t="shared" si="16"/>
        <v>20/04/2026</v>
      </c>
    </row>
    <row r="279" spans="1:39" ht="30" hidden="1" customHeight="1" x14ac:dyDescent="0.2">
      <c r="A279" s="230" t="s">
        <v>197</v>
      </c>
      <c r="B279" s="230">
        <v>2616359721</v>
      </c>
      <c r="C279" s="230" t="s">
        <v>141</v>
      </c>
      <c r="D279" s="230" t="s">
        <v>67</v>
      </c>
      <c r="E279" s="230" t="s">
        <v>198</v>
      </c>
      <c r="F279" s="230" t="s">
        <v>1161</v>
      </c>
      <c r="G279" s="230">
        <v>530</v>
      </c>
      <c r="H279" s="230" t="s">
        <v>1162</v>
      </c>
      <c r="I279" s="230" t="s">
        <v>1163</v>
      </c>
      <c r="J279" s="230" t="s">
        <v>4603</v>
      </c>
      <c r="K279" s="230"/>
      <c r="L279" s="230" t="s">
        <v>1616</v>
      </c>
      <c r="M279" s="230" t="s">
        <v>4777</v>
      </c>
      <c r="N279" s="230" t="s">
        <v>4620</v>
      </c>
      <c r="O279" s="158"/>
      <c r="P279" s="92"/>
      <c r="Q279" s="146"/>
      <c r="R279" s="92"/>
      <c r="S279" s="146"/>
      <c r="T279" s="92"/>
      <c r="U279" s="146"/>
      <c r="V279" s="92"/>
      <c r="W279" s="146"/>
      <c r="X279" s="92"/>
      <c r="Y279" s="146"/>
      <c r="Z279" s="92"/>
      <c r="AA279" s="146"/>
      <c r="AB279" s="64"/>
      <c r="AC279" s="146"/>
      <c r="AD279" s="64"/>
      <c r="AE279" s="146"/>
      <c r="AF279" s="215" t="str">
        <f t="shared" si="19"/>
        <v/>
      </c>
      <c r="AG279" s="96" t="b">
        <f t="shared" si="18"/>
        <v>0</v>
      </c>
      <c r="AH279" s="9"/>
      <c r="AI279" s="151" t="str">
        <f t="shared" si="17"/>
        <v>GUARULHOS</v>
      </c>
      <c r="AJ279" s="154" t="s">
        <v>6</v>
      </c>
      <c r="AK279" s="53">
        <v>0.42385029517076445</v>
      </c>
      <c r="AL279" s="53" t="str" cm="1">
        <f t="array" ref="AL279">IF(OR(O279&lt;&gt;"", SUMPRODUCT(($AM$2:$AM$210=AM279)*($AK$2:$AK$210&lt;=AK279)) &lt;= (COUNTIF($AM$2:$AM$210,AM279)*0.1)), "SORTEADO", "-")</f>
        <v>SORTEADO</v>
      </c>
      <c r="AM279" s="53" t="str">
        <f t="shared" si="16"/>
        <v>20/04/2026</v>
      </c>
    </row>
    <row r="280" spans="1:39" ht="30" hidden="1" customHeight="1" x14ac:dyDescent="0.2">
      <c r="A280" s="230" t="s">
        <v>197</v>
      </c>
      <c r="B280" s="230">
        <v>2616329155</v>
      </c>
      <c r="C280" s="230" t="s">
        <v>140</v>
      </c>
      <c r="D280" s="230" t="s">
        <v>67</v>
      </c>
      <c r="E280" s="230" t="s">
        <v>198</v>
      </c>
      <c r="F280" s="230" t="s">
        <v>1486</v>
      </c>
      <c r="G280" s="230">
        <v>71</v>
      </c>
      <c r="H280" s="230" t="s">
        <v>1487</v>
      </c>
      <c r="I280" s="230" t="s">
        <v>436</v>
      </c>
      <c r="J280" s="230" t="s">
        <v>4605</v>
      </c>
      <c r="K280" s="230" t="s">
        <v>213</v>
      </c>
      <c r="L280" s="230" t="s">
        <v>1616</v>
      </c>
      <c r="M280" s="230" t="s">
        <v>4777</v>
      </c>
      <c r="N280" s="230" t="s">
        <v>4620</v>
      </c>
      <c r="O280" s="158"/>
      <c r="P280" s="92"/>
      <c r="Q280" s="146"/>
      <c r="R280" s="92"/>
      <c r="S280" s="146"/>
      <c r="T280" s="92"/>
      <c r="U280" s="146"/>
      <c r="V280" s="92"/>
      <c r="W280" s="146"/>
      <c r="X280" s="92"/>
      <c r="Y280" s="146"/>
      <c r="Z280" s="92"/>
      <c r="AA280" s="146"/>
      <c r="AB280" s="64"/>
      <c r="AC280" s="146"/>
      <c r="AD280" s="64"/>
      <c r="AE280" s="146"/>
      <c r="AF280" s="215" t="str">
        <f t="shared" si="19"/>
        <v/>
      </c>
      <c r="AG280" s="96" t="b">
        <f t="shared" si="18"/>
        <v>0</v>
      </c>
      <c r="AH280" s="9"/>
      <c r="AI280" s="151" t="str">
        <f t="shared" si="17"/>
        <v>GUARULHOS</v>
      </c>
      <c r="AJ280" s="154" t="s">
        <v>6</v>
      </c>
      <c r="AK280" s="53">
        <v>0.14396230002198873</v>
      </c>
      <c r="AL280" s="53" t="str" cm="1">
        <f t="array" ref="AL280">IF(OR(O280&lt;&gt;"", SUMPRODUCT(($AM$2:$AM$210=AM280)*($AK$2:$AK$210&lt;=AK280)) &lt;= (COUNTIF($AM$2:$AM$210,AM280)*0.1)), "SORTEADO", "-")</f>
        <v>SORTEADO</v>
      </c>
      <c r="AM280" s="53" t="str">
        <f t="shared" si="16"/>
        <v>20/04/2026</v>
      </c>
    </row>
    <row r="281" spans="1:39" ht="30" hidden="1" customHeight="1" x14ac:dyDescent="0.2">
      <c r="A281" s="230" t="s">
        <v>197</v>
      </c>
      <c r="B281" s="230">
        <v>2690824795</v>
      </c>
      <c r="C281" s="230" t="s">
        <v>138</v>
      </c>
      <c r="D281" s="230" t="s">
        <v>67</v>
      </c>
      <c r="E281" s="230" t="s">
        <v>198</v>
      </c>
      <c r="F281" s="230" t="s">
        <v>1466</v>
      </c>
      <c r="G281" s="230">
        <v>256</v>
      </c>
      <c r="H281" s="230" t="s">
        <v>1467</v>
      </c>
      <c r="I281" s="230" t="s">
        <v>1468</v>
      </c>
      <c r="J281" s="230" t="s">
        <v>4605</v>
      </c>
      <c r="K281" s="230"/>
      <c r="L281" s="230" t="s">
        <v>1616</v>
      </c>
      <c r="M281" s="230" t="s">
        <v>4777</v>
      </c>
      <c r="N281" s="230" t="s">
        <v>4620</v>
      </c>
      <c r="O281" s="158"/>
      <c r="P281" s="92"/>
      <c r="Q281" s="146"/>
      <c r="R281" s="92"/>
      <c r="S281" s="146"/>
      <c r="T281" s="92"/>
      <c r="U281" s="146"/>
      <c r="V281" s="92"/>
      <c r="W281" s="146"/>
      <c r="X281" s="92"/>
      <c r="Y281" s="146"/>
      <c r="Z281" s="92"/>
      <c r="AA281" s="146"/>
      <c r="AB281" s="64"/>
      <c r="AC281" s="146"/>
      <c r="AD281" s="64"/>
      <c r="AE281" s="146"/>
      <c r="AF281" s="215" t="str">
        <f t="shared" si="19"/>
        <v/>
      </c>
      <c r="AG281" s="96" t="b">
        <f t="shared" si="18"/>
        <v>0</v>
      </c>
      <c r="AH281" s="9"/>
      <c r="AI281" s="151" t="str">
        <f t="shared" si="17"/>
        <v>GUARULHOS</v>
      </c>
      <c r="AJ281" s="154" t="s">
        <v>6</v>
      </c>
      <c r="AK281" s="53">
        <v>0.44104339463632192</v>
      </c>
      <c r="AL281" s="53" t="str" cm="1">
        <f t="array" ref="AL281">IF(OR(O281&lt;&gt;"", SUMPRODUCT(($AM$2:$AM$210=AM281)*($AK$2:$AK$210&lt;=AK281)) &lt;= (COUNTIF($AM$2:$AM$210,AM281)*0.1)), "SORTEADO", "-")</f>
        <v>SORTEADO</v>
      </c>
      <c r="AM281" s="53" t="str">
        <f t="shared" si="16"/>
        <v>20/04/2026</v>
      </c>
    </row>
    <row r="282" spans="1:39" ht="30" hidden="1" customHeight="1" x14ac:dyDescent="0.2">
      <c r="A282" s="230" t="s">
        <v>197</v>
      </c>
      <c r="B282" s="230">
        <v>2615900962</v>
      </c>
      <c r="C282" s="230" t="s">
        <v>138</v>
      </c>
      <c r="D282" s="230" t="s">
        <v>67</v>
      </c>
      <c r="E282" s="230" t="s">
        <v>198</v>
      </c>
      <c r="F282" s="230" t="s">
        <v>1148</v>
      </c>
      <c r="G282" s="230">
        <v>521</v>
      </c>
      <c r="H282" s="230" t="s">
        <v>527</v>
      </c>
      <c r="I282" s="230" t="s">
        <v>1150</v>
      </c>
      <c r="J282" s="230" t="s">
        <v>4605</v>
      </c>
      <c r="K282" s="230" t="s">
        <v>4778</v>
      </c>
      <c r="L282" s="230" t="s">
        <v>1616</v>
      </c>
      <c r="M282" s="230" t="s">
        <v>4779</v>
      </c>
      <c r="N282" s="230" t="s">
        <v>4620</v>
      </c>
      <c r="O282" s="158"/>
      <c r="P282" s="92"/>
      <c r="Q282" s="146"/>
      <c r="R282" s="92"/>
      <c r="S282" s="146"/>
      <c r="T282" s="92"/>
      <c r="U282" s="146"/>
      <c r="V282" s="92"/>
      <c r="W282" s="146"/>
      <c r="X282" s="92"/>
      <c r="Y282" s="146"/>
      <c r="Z282" s="92"/>
      <c r="AA282" s="146"/>
      <c r="AB282" s="64"/>
      <c r="AC282" s="146"/>
      <c r="AD282" s="64"/>
      <c r="AE282" s="146"/>
      <c r="AF282" s="215" t="str">
        <f t="shared" si="19"/>
        <v/>
      </c>
      <c r="AG282" s="96" t="b">
        <f t="shared" si="18"/>
        <v>0</v>
      </c>
      <c r="AH282" s="9"/>
      <c r="AI282" s="151" t="str">
        <f t="shared" si="17"/>
        <v>GUARULHOS</v>
      </c>
      <c r="AJ282" s="154" t="s">
        <v>6</v>
      </c>
      <c r="AK282" s="53">
        <v>0.71080758316809156</v>
      </c>
      <c r="AL282" s="53" t="str" cm="1">
        <f t="array" ref="AL282">IF(OR(O282&lt;&gt;"", SUMPRODUCT(($AM$2:$AM$210=AM282)*($AK$2:$AK$210&lt;=AK282)) &lt;= (COUNTIF($AM$2:$AM$210,AM282)*0.1)), "SORTEADO", "-")</f>
        <v>SORTEADO</v>
      </c>
      <c r="AM282" s="53" t="str">
        <f t="shared" si="16"/>
        <v>20/04/2026</v>
      </c>
    </row>
    <row r="283" spans="1:39" ht="30" hidden="1" customHeight="1" x14ac:dyDescent="0.2">
      <c r="A283" s="230" t="s">
        <v>197</v>
      </c>
      <c r="B283" s="230">
        <v>2616390851</v>
      </c>
      <c r="C283" s="230" t="s">
        <v>138</v>
      </c>
      <c r="D283" s="230" t="s">
        <v>67</v>
      </c>
      <c r="E283" s="230" t="s">
        <v>198</v>
      </c>
      <c r="F283" s="230" t="s">
        <v>2920</v>
      </c>
      <c r="G283" s="230">
        <v>388</v>
      </c>
      <c r="H283" s="230" t="s">
        <v>2932</v>
      </c>
      <c r="I283" s="230" t="s">
        <v>1587</v>
      </c>
      <c r="J283" s="230" t="s">
        <v>4605</v>
      </c>
      <c r="K283" s="230" t="s">
        <v>4646</v>
      </c>
      <c r="L283" s="230" t="s">
        <v>1616</v>
      </c>
      <c r="M283" s="230" t="s">
        <v>4780</v>
      </c>
      <c r="N283" s="230" t="s">
        <v>4620</v>
      </c>
      <c r="O283" s="158"/>
      <c r="P283" s="92"/>
      <c r="Q283" s="146"/>
      <c r="R283" s="92"/>
      <c r="S283" s="146"/>
      <c r="T283" s="92"/>
      <c r="U283" s="146"/>
      <c r="V283" s="92"/>
      <c r="W283" s="146"/>
      <c r="X283" s="92"/>
      <c r="Y283" s="146"/>
      <c r="Z283" s="92"/>
      <c r="AA283" s="146"/>
      <c r="AB283" s="64"/>
      <c r="AC283" s="146"/>
      <c r="AD283" s="64"/>
      <c r="AE283" s="146"/>
      <c r="AF283" s="215" t="str">
        <f t="shared" si="19"/>
        <v/>
      </c>
      <c r="AG283" s="96" t="b">
        <f t="shared" si="18"/>
        <v>0</v>
      </c>
      <c r="AH283" s="9"/>
      <c r="AI283" s="151" t="str">
        <f t="shared" si="17"/>
        <v>GUARULHOS</v>
      </c>
      <c r="AJ283" s="154" t="s">
        <v>6</v>
      </c>
      <c r="AK283" s="53">
        <v>0.9167963550767777</v>
      </c>
      <c r="AL283" s="53" t="str" cm="1">
        <f t="array" ref="AL283">IF(OR(O283&lt;&gt;"", SUMPRODUCT(($AM$2:$AM$210=AM283)*($AK$2:$AK$210&lt;=AK283)) &lt;= (COUNTIF($AM$2:$AM$210,AM283)*0.1)), "SORTEADO", "-")</f>
        <v>SORTEADO</v>
      </c>
      <c r="AM283" s="53" t="str">
        <f t="shared" ref="AM283:AM346" si="20">TEXT(L283, "dd/mm/aaaa")</f>
        <v>20/04/2026</v>
      </c>
    </row>
    <row r="284" spans="1:39" ht="30" hidden="1" customHeight="1" x14ac:dyDescent="0.2">
      <c r="A284" s="230" t="s">
        <v>197</v>
      </c>
      <c r="B284" s="230">
        <v>2616236897</v>
      </c>
      <c r="C284" s="230" t="s">
        <v>140</v>
      </c>
      <c r="D284" s="230" t="s">
        <v>67</v>
      </c>
      <c r="E284" s="230" t="s">
        <v>198</v>
      </c>
      <c r="F284" s="230" t="s">
        <v>680</v>
      </c>
      <c r="G284" s="230">
        <v>74</v>
      </c>
      <c r="H284" s="230" t="s">
        <v>1463</v>
      </c>
      <c r="I284" s="230" t="s">
        <v>331</v>
      </c>
      <c r="J284" s="230" t="s">
        <v>4605</v>
      </c>
      <c r="K284" s="230"/>
      <c r="L284" s="230" t="s">
        <v>1616</v>
      </c>
      <c r="M284" s="230" t="s">
        <v>4774</v>
      </c>
      <c r="N284" s="230" t="s">
        <v>4604</v>
      </c>
      <c r="O284" s="158"/>
      <c r="P284" s="92"/>
      <c r="Q284" s="146"/>
      <c r="R284" s="92"/>
      <c r="S284" s="146"/>
      <c r="T284" s="92"/>
      <c r="U284" s="146"/>
      <c r="V284" s="92"/>
      <c r="W284" s="146"/>
      <c r="X284" s="92"/>
      <c r="Y284" s="146"/>
      <c r="Z284" s="92"/>
      <c r="AA284" s="146"/>
      <c r="AB284" s="64"/>
      <c r="AC284" s="146"/>
      <c r="AD284" s="64"/>
      <c r="AE284" s="146"/>
      <c r="AF284" s="215" t="str">
        <f t="shared" si="19"/>
        <v/>
      </c>
      <c r="AG284" s="96" t="b">
        <f t="shared" si="18"/>
        <v>0</v>
      </c>
      <c r="AH284" s="9"/>
      <c r="AI284" s="151" t="str">
        <f t="shared" si="17"/>
        <v>GUARULHOS</v>
      </c>
      <c r="AJ284" s="154" t="s">
        <v>6</v>
      </c>
      <c r="AK284" s="53">
        <v>9.7899084250288149E-2</v>
      </c>
      <c r="AL284" s="53" t="str" cm="1">
        <f t="array" ref="AL284">IF(OR(O284&lt;&gt;"", SUMPRODUCT(($AM$2:$AM$210=AM284)*($AK$2:$AK$210&lt;=AK284)) &lt;= (COUNTIF($AM$2:$AM$210,AM284)*0.1)), "SORTEADO", "-")</f>
        <v>SORTEADO</v>
      </c>
      <c r="AM284" s="53" t="str">
        <f t="shared" si="20"/>
        <v>20/04/2026</v>
      </c>
    </row>
    <row r="285" spans="1:39" ht="30" hidden="1" customHeight="1" x14ac:dyDescent="0.2">
      <c r="A285" s="230" t="s">
        <v>197</v>
      </c>
      <c r="B285" s="230">
        <v>2616233970</v>
      </c>
      <c r="C285" s="230" t="s">
        <v>140</v>
      </c>
      <c r="D285" s="230" t="s">
        <v>67</v>
      </c>
      <c r="E285" s="230" t="s">
        <v>198</v>
      </c>
      <c r="F285" s="230" t="s">
        <v>1475</v>
      </c>
      <c r="G285" s="230">
        <v>60</v>
      </c>
      <c r="H285" s="230" t="s">
        <v>213</v>
      </c>
      <c r="I285" s="230" t="s">
        <v>301</v>
      </c>
      <c r="J285" s="230" t="s">
        <v>4605</v>
      </c>
      <c r="K285" s="230" t="s">
        <v>213</v>
      </c>
      <c r="L285" s="230" t="s">
        <v>1616</v>
      </c>
      <c r="M285" s="230" t="s">
        <v>4777</v>
      </c>
      <c r="N285" s="230" t="s">
        <v>4604</v>
      </c>
      <c r="O285" s="158"/>
      <c r="P285" s="92"/>
      <c r="Q285" s="146"/>
      <c r="R285" s="92"/>
      <c r="S285" s="146"/>
      <c r="T285" s="92"/>
      <c r="U285" s="146"/>
      <c r="V285" s="92"/>
      <c r="W285" s="146"/>
      <c r="X285" s="92"/>
      <c r="Y285" s="146"/>
      <c r="Z285" s="92"/>
      <c r="AA285" s="146"/>
      <c r="AB285" s="64"/>
      <c r="AC285" s="146"/>
      <c r="AD285" s="64"/>
      <c r="AE285" s="146"/>
      <c r="AF285" s="215" t="str">
        <f t="shared" si="19"/>
        <v/>
      </c>
      <c r="AG285" s="96" t="b">
        <f t="shared" si="18"/>
        <v>0</v>
      </c>
      <c r="AH285" s="9"/>
      <c r="AI285" s="151" t="str">
        <f t="shared" si="17"/>
        <v>GUARULHOS</v>
      </c>
      <c r="AJ285" s="154" t="s">
        <v>6</v>
      </c>
      <c r="AK285" s="53">
        <v>0.73145972483265576</v>
      </c>
      <c r="AL285" s="53" t="str" cm="1">
        <f t="array" ref="AL285">IF(OR(O285&lt;&gt;"", SUMPRODUCT(($AM$2:$AM$210=AM285)*($AK$2:$AK$210&lt;=AK285)) &lt;= (COUNTIF($AM$2:$AM$210,AM285)*0.1)), "SORTEADO", "-")</f>
        <v>SORTEADO</v>
      </c>
      <c r="AM285" s="53" t="str">
        <f t="shared" si="20"/>
        <v>20/04/2026</v>
      </c>
    </row>
    <row r="286" spans="1:39" ht="30" hidden="1" customHeight="1" x14ac:dyDescent="0.2">
      <c r="A286" s="230" t="s">
        <v>197</v>
      </c>
      <c r="B286" s="230">
        <v>2616350433</v>
      </c>
      <c r="C286" s="230" t="s">
        <v>141</v>
      </c>
      <c r="D286" s="230" t="s">
        <v>67</v>
      </c>
      <c r="E286" s="230" t="s">
        <v>198</v>
      </c>
      <c r="F286" s="230" t="s">
        <v>906</v>
      </c>
      <c r="G286" s="230">
        <v>80</v>
      </c>
      <c r="H286" s="230" t="s">
        <v>276</v>
      </c>
      <c r="I286" s="230" t="s">
        <v>269</v>
      </c>
      <c r="J286" s="230" t="s">
        <v>4603</v>
      </c>
      <c r="K286" s="230"/>
      <c r="L286" s="230" t="s">
        <v>1616</v>
      </c>
      <c r="M286" s="230" t="s">
        <v>4777</v>
      </c>
      <c r="N286" s="230" t="s">
        <v>4604</v>
      </c>
      <c r="O286" s="158"/>
      <c r="P286" s="92"/>
      <c r="Q286" s="146"/>
      <c r="R286" s="92"/>
      <c r="S286" s="146"/>
      <c r="T286" s="92"/>
      <c r="U286" s="146"/>
      <c r="V286" s="92"/>
      <c r="W286" s="146"/>
      <c r="X286" s="92"/>
      <c r="Y286" s="146"/>
      <c r="Z286" s="92"/>
      <c r="AA286" s="146"/>
      <c r="AB286" s="64"/>
      <c r="AC286" s="146"/>
      <c r="AD286" s="64"/>
      <c r="AE286" s="146"/>
      <c r="AF286" s="215" t="str">
        <f t="shared" si="19"/>
        <v/>
      </c>
      <c r="AG286" s="96" t="b">
        <f t="shared" si="18"/>
        <v>0</v>
      </c>
      <c r="AH286" s="9"/>
      <c r="AI286" s="151" t="str">
        <f t="shared" si="17"/>
        <v>GUARULHOS</v>
      </c>
      <c r="AJ286" s="154" t="s">
        <v>6</v>
      </c>
      <c r="AK286" s="53">
        <v>0.41206441903910662</v>
      </c>
      <c r="AL286" s="53" t="str" cm="1">
        <f t="array" ref="AL286">IF(OR(O286&lt;&gt;"", SUMPRODUCT(($AM$2:$AM$210=AM286)*($AK$2:$AK$210&lt;=AK286)) &lt;= (COUNTIF($AM$2:$AM$210,AM286)*0.1)), "SORTEADO", "-")</f>
        <v>SORTEADO</v>
      </c>
      <c r="AM286" s="53" t="str">
        <f t="shared" si="20"/>
        <v>20/04/2026</v>
      </c>
    </row>
    <row r="287" spans="1:39" ht="30" hidden="1" customHeight="1" x14ac:dyDescent="0.2">
      <c r="A287" s="230" t="s">
        <v>197</v>
      </c>
      <c r="B287" s="230">
        <v>2615931434</v>
      </c>
      <c r="C287" s="230" t="s">
        <v>138</v>
      </c>
      <c r="D287" s="230" t="s">
        <v>67</v>
      </c>
      <c r="E287" s="230" t="s">
        <v>198</v>
      </c>
      <c r="F287" s="230" t="s">
        <v>2897</v>
      </c>
      <c r="G287" s="230">
        <v>2637</v>
      </c>
      <c r="H287" s="230" t="s">
        <v>2898</v>
      </c>
      <c r="I287" s="230" t="s">
        <v>445</v>
      </c>
      <c r="J287" s="230" t="s">
        <v>4605</v>
      </c>
      <c r="K287" s="230" t="s">
        <v>213</v>
      </c>
      <c r="L287" s="230" t="s">
        <v>1616</v>
      </c>
      <c r="M287" s="230" t="s">
        <v>4777</v>
      </c>
      <c r="N287" s="230" t="s">
        <v>4604</v>
      </c>
      <c r="O287" s="158"/>
      <c r="P287" s="92"/>
      <c r="Q287" s="146"/>
      <c r="R287" s="92"/>
      <c r="S287" s="146"/>
      <c r="T287" s="92"/>
      <c r="U287" s="146"/>
      <c r="V287" s="92"/>
      <c r="W287" s="146"/>
      <c r="X287" s="92"/>
      <c r="Y287" s="146"/>
      <c r="Z287" s="92"/>
      <c r="AA287" s="146"/>
      <c r="AB287" s="64"/>
      <c r="AC287" s="146"/>
      <c r="AD287" s="64"/>
      <c r="AE287" s="146"/>
      <c r="AF287" s="215" t="str">
        <f t="shared" si="19"/>
        <v/>
      </c>
      <c r="AG287" s="96" t="b">
        <f t="shared" si="18"/>
        <v>0</v>
      </c>
      <c r="AH287" s="9"/>
      <c r="AI287" s="151" t="str">
        <f t="shared" si="17"/>
        <v>GUARULHOS</v>
      </c>
      <c r="AJ287" s="154" t="s">
        <v>6</v>
      </c>
      <c r="AK287" s="53">
        <v>0.33207640585420983</v>
      </c>
      <c r="AL287" s="53" t="str" cm="1">
        <f t="array" ref="AL287">IF(OR(O287&lt;&gt;"", SUMPRODUCT(($AM$2:$AM$210=AM287)*($AK$2:$AK$210&lt;=AK287)) &lt;= (COUNTIF($AM$2:$AM$210,AM287)*0.1)), "SORTEADO", "-")</f>
        <v>SORTEADO</v>
      </c>
      <c r="AM287" s="53" t="str">
        <f t="shared" si="20"/>
        <v>20/04/2026</v>
      </c>
    </row>
    <row r="288" spans="1:39" ht="30" hidden="1" customHeight="1" x14ac:dyDescent="0.2">
      <c r="A288" s="230" t="s">
        <v>197</v>
      </c>
      <c r="B288" s="230">
        <v>2690888394</v>
      </c>
      <c r="C288" s="230" t="s">
        <v>140</v>
      </c>
      <c r="D288" s="230" t="s">
        <v>67</v>
      </c>
      <c r="E288" s="230" t="s">
        <v>198</v>
      </c>
      <c r="F288" s="230" t="s">
        <v>1553</v>
      </c>
      <c r="G288" s="230">
        <v>192</v>
      </c>
      <c r="H288" s="230"/>
      <c r="I288" s="230" t="s">
        <v>447</v>
      </c>
      <c r="J288" s="230" t="s">
        <v>4605</v>
      </c>
      <c r="K288" s="230"/>
      <c r="L288" s="230" t="s">
        <v>1616</v>
      </c>
      <c r="M288" s="230" t="s">
        <v>4781</v>
      </c>
      <c r="N288" s="230" t="s">
        <v>4604</v>
      </c>
      <c r="O288" s="158"/>
      <c r="P288" s="92"/>
      <c r="Q288" s="146"/>
      <c r="R288" s="92"/>
      <c r="S288" s="146"/>
      <c r="T288" s="92"/>
      <c r="U288" s="146"/>
      <c r="V288" s="92"/>
      <c r="W288" s="146"/>
      <c r="X288" s="92"/>
      <c r="Y288" s="146"/>
      <c r="Z288" s="92"/>
      <c r="AA288" s="146"/>
      <c r="AB288" s="64"/>
      <c r="AC288" s="146"/>
      <c r="AD288" s="64"/>
      <c r="AE288" s="146"/>
      <c r="AF288" s="215" t="str">
        <f t="shared" si="19"/>
        <v/>
      </c>
      <c r="AG288" s="96" t="b">
        <f t="shared" si="18"/>
        <v>0</v>
      </c>
      <c r="AH288" s="9"/>
      <c r="AI288" s="151" t="str">
        <f t="shared" si="17"/>
        <v>GUARULHOS</v>
      </c>
      <c r="AJ288" s="154" t="s">
        <v>6</v>
      </c>
      <c r="AK288" s="53">
        <v>3.8638090709042228E-2</v>
      </c>
      <c r="AL288" s="53" t="str" cm="1">
        <f t="array" ref="AL288">IF(OR(O288&lt;&gt;"", SUMPRODUCT(($AM$2:$AM$210=AM288)*($AK$2:$AK$210&lt;=AK288)) &lt;= (COUNTIF($AM$2:$AM$210,AM288)*0.1)), "SORTEADO", "-")</f>
        <v>SORTEADO</v>
      </c>
      <c r="AM288" s="53" t="str">
        <f t="shared" si="20"/>
        <v>20/04/2026</v>
      </c>
    </row>
    <row r="289" spans="1:39" ht="30" hidden="1" customHeight="1" x14ac:dyDescent="0.2">
      <c r="A289" s="230" t="s">
        <v>197</v>
      </c>
      <c r="B289" s="230">
        <v>2616322788</v>
      </c>
      <c r="C289" s="230" t="s">
        <v>140</v>
      </c>
      <c r="D289" s="230" t="s">
        <v>67</v>
      </c>
      <c r="E289" s="230" t="s">
        <v>198</v>
      </c>
      <c r="F289" s="230" t="s">
        <v>1489</v>
      </c>
      <c r="G289" s="230">
        <v>31</v>
      </c>
      <c r="H289" s="230" t="s">
        <v>1490</v>
      </c>
      <c r="I289" s="230" t="s">
        <v>331</v>
      </c>
      <c r="J289" s="230" t="s">
        <v>4605</v>
      </c>
      <c r="K289" s="230" t="s">
        <v>213</v>
      </c>
      <c r="L289" s="230" t="s">
        <v>1616</v>
      </c>
      <c r="M289" s="230" t="s">
        <v>4777</v>
      </c>
      <c r="N289" s="230" t="s">
        <v>4604</v>
      </c>
      <c r="O289" s="158"/>
      <c r="P289" s="92"/>
      <c r="Q289" s="146"/>
      <c r="R289" s="92"/>
      <c r="S289" s="146"/>
      <c r="T289" s="92"/>
      <c r="U289" s="146"/>
      <c r="V289" s="92"/>
      <c r="W289" s="146"/>
      <c r="X289" s="92"/>
      <c r="Y289" s="146"/>
      <c r="Z289" s="92"/>
      <c r="AA289" s="146"/>
      <c r="AB289" s="64"/>
      <c r="AC289" s="146"/>
      <c r="AD289" s="64"/>
      <c r="AE289" s="146"/>
      <c r="AF289" s="215" t="str">
        <f t="shared" si="19"/>
        <v/>
      </c>
      <c r="AG289" s="96" t="b">
        <f t="shared" si="18"/>
        <v>0</v>
      </c>
      <c r="AH289" s="9"/>
      <c r="AI289" s="151" t="str">
        <f t="shared" si="17"/>
        <v>GUARULHOS</v>
      </c>
      <c r="AJ289" s="154" t="s">
        <v>6</v>
      </c>
      <c r="AK289" s="53">
        <v>0.86698813912025252</v>
      </c>
      <c r="AL289" s="53" t="str" cm="1">
        <f t="array" ref="AL289">IF(OR(O289&lt;&gt;"", SUMPRODUCT(($AM$2:$AM$210=AM289)*($AK$2:$AK$210&lt;=AK289)) &lt;= (COUNTIF($AM$2:$AM$210,AM289)*0.1)), "SORTEADO", "-")</f>
        <v>SORTEADO</v>
      </c>
      <c r="AM289" s="53" t="str">
        <f t="shared" si="20"/>
        <v>20/04/2026</v>
      </c>
    </row>
    <row r="290" spans="1:39" ht="30" hidden="1" customHeight="1" x14ac:dyDescent="0.2">
      <c r="A290" s="230" t="s">
        <v>197</v>
      </c>
      <c r="B290" s="230">
        <v>2616375666</v>
      </c>
      <c r="C290" s="230" t="s">
        <v>141</v>
      </c>
      <c r="D290" s="230" t="s">
        <v>67</v>
      </c>
      <c r="E290" s="230" t="s">
        <v>198</v>
      </c>
      <c r="F290" s="230" t="s">
        <v>1177</v>
      </c>
      <c r="G290" s="230">
        <v>5</v>
      </c>
      <c r="H290" s="230" t="s">
        <v>1178</v>
      </c>
      <c r="I290" s="230" t="s">
        <v>557</v>
      </c>
      <c r="J290" s="230" t="s">
        <v>4603</v>
      </c>
      <c r="K290" s="230"/>
      <c r="L290" s="230" t="s">
        <v>1616</v>
      </c>
      <c r="M290" s="230" t="s">
        <v>4782</v>
      </c>
      <c r="N290" s="230" t="s">
        <v>4604</v>
      </c>
      <c r="O290" s="158"/>
      <c r="P290" s="92"/>
      <c r="Q290" s="146"/>
      <c r="R290" s="92"/>
      <c r="S290" s="146"/>
      <c r="T290" s="92"/>
      <c r="U290" s="146"/>
      <c r="V290" s="92"/>
      <c r="W290" s="146"/>
      <c r="X290" s="92"/>
      <c r="Y290" s="146"/>
      <c r="Z290" s="92"/>
      <c r="AA290" s="146"/>
      <c r="AB290" s="64"/>
      <c r="AC290" s="146"/>
      <c r="AD290" s="64"/>
      <c r="AE290" s="146"/>
      <c r="AF290" s="215" t="str">
        <f t="shared" si="19"/>
        <v/>
      </c>
      <c r="AG290" s="96" t="b">
        <f t="shared" si="18"/>
        <v>0</v>
      </c>
      <c r="AH290" s="9"/>
      <c r="AI290" s="151" t="str">
        <f t="shared" si="17"/>
        <v>GUARULHOS</v>
      </c>
      <c r="AJ290" s="154" t="s">
        <v>6</v>
      </c>
      <c r="AK290" s="53">
        <v>0.36167809141406726</v>
      </c>
      <c r="AL290" s="53" t="str" cm="1">
        <f t="array" ref="AL290">IF(OR(O290&lt;&gt;"", SUMPRODUCT(($AM$2:$AM$210=AM290)*($AK$2:$AK$210&lt;=AK290)) &lt;= (COUNTIF($AM$2:$AM$210,AM290)*0.1)), "SORTEADO", "-")</f>
        <v>SORTEADO</v>
      </c>
      <c r="AM290" s="53" t="str">
        <f t="shared" si="20"/>
        <v>20/04/2026</v>
      </c>
    </row>
    <row r="291" spans="1:39" ht="30" hidden="1" customHeight="1" x14ac:dyDescent="0.2">
      <c r="A291" s="230" t="s">
        <v>197</v>
      </c>
      <c r="B291" s="230">
        <v>2616345479</v>
      </c>
      <c r="C291" s="230" t="s">
        <v>139</v>
      </c>
      <c r="D291" s="230" t="s">
        <v>67</v>
      </c>
      <c r="E291" s="230" t="s">
        <v>198</v>
      </c>
      <c r="F291" s="230" t="s">
        <v>2922</v>
      </c>
      <c r="G291" s="230">
        <v>200</v>
      </c>
      <c r="H291" s="230" t="s">
        <v>2923</v>
      </c>
      <c r="I291" s="230" t="s">
        <v>236</v>
      </c>
      <c r="J291" s="230" t="s">
        <v>4603</v>
      </c>
      <c r="K291" s="230" t="s">
        <v>213</v>
      </c>
      <c r="L291" s="230" t="s">
        <v>1616</v>
      </c>
      <c r="M291" s="230" t="s">
        <v>4783</v>
      </c>
      <c r="N291" s="230" t="s">
        <v>4604</v>
      </c>
      <c r="O291" s="158"/>
      <c r="P291" s="92"/>
      <c r="Q291" s="146"/>
      <c r="R291" s="92"/>
      <c r="S291" s="146"/>
      <c r="T291" s="92"/>
      <c r="U291" s="146"/>
      <c r="V291" s="92"/>
      <c r="W291" s="146"/>
      <c r="X291" s="92"/>
      <c r="Y291" s="146"/>
      <c r="Z291" s="92"/>
      <c r="AA291" s="146"/>
      <c r="AB291" s="64"/>
      <c r="AC291" s="146"/>
      <c r="AD291" s="64"/>
      <c r="AE291" s="146"/>
      <c r="AF291" s="215" t="str">
        <f t="shared" si="19"/>
        <v/>
      </c>
      <c r="AG291" s="96" t="b">
        <f t="shared" si="18"/>
        <v>0</v>
      </c>
      <c r="AH291" s="9"/>
      <c r="AI291" s="151" t="str">
        <f t="shared" si="17"/>
        <v>GUARULHOS</v>
      </c>
      <c r="AJ291" s="154" t="s">
        <v>6</v>
      </c>
      <c r="AK291" s="53">
        <v>0.59350231324015601</v>
      </c>
      <c r="AL291" s="53" t="str" cm="1">
        <f t="array" ref="AL291">IF(OR(O291&lt;&gt;"", SUMPRODUCT(($AM$2:$AM$210=AM291)*($AK$2:$AK$210&lt;=AK291)) &lt;= (COUNTIF($AM$2:$AM$210,AM291)*0.1)), "SORTEADO", "-")</f>
        <v>SORTEADO</v>
      </c>
      <c r="AM291" s="53" t="str">
        <f t="shared" si="20"/>
        <v>20/04/2026</v>
      </c>
    </row>
    <row r="292" spans="1:39" ht="30" hidden="1" customHeight="1" x14ac:dyDescent="0.2">
      <c r="A292" s="230" t="s">
        <v>197</v>
      </c>
      <c r="B292" s="230">
        <v>2616346629</v>
      </c>
      <c r="C292" s="230" t="s">
        <v>141</v>
      </c>
      <c r="D292" s="230" t="s">
        <v>67</v>
      </c>
      <c r="E292" s="230" t="s">
        <v>198</v>
      </c>
      <c r="F292" s="230" t="s">
        <v>897</v>
      </c>
      <c r="G292" s="230">
        <v>499</v>
      </c>
      <c r="H292" s="230" t="s">
        <v>898</v>
      </c>
      <c r="I292" s="230" t="s">
        <v>899</v>
      </c>
      <c r="J292" s="230" t="s">
        <v>4603</v>
      </c>
      <c r="K292" s="230"/>
      <c r="L292" s="230" t="s">
        <v>1616</v>
      </c>
      <c r="M292" s="230" t="s">
        <v>4774</v>
      </c>
      <c r="N292" s="230" t="s">
        <v>4613</v>
      </c>
      <c r="O292" s="158"/>
      <c r="P292" s="92"/>
      <c r="Q292" s="146"/>
      <c r="R292" s="92"/>
      <c r="S292" s="146"/>
      <c r="T292" s="92"/>
      <c r="U292" s="146"/>
      <c r="V292" s="92"/>
      <c r="W292" s="146"/>
      <c r="X292" s="92"/>
      <c r="Y292" s="146"/>
      <c r="Z292" s="92"/>
      <c r="AA292" s="146"/>
      <c r="AB292" s="64"/>
      <c r="AC292" s="146"/>
      <c r="AD292" s="64"/>
      <c r="AE292" s="146"/>
      <c r="AF292" s="215" t="str">
        <f t="shared" si="19"/>
        <v/>
      </c>
      <c r="AG292" s="96" t="b">
        <f t="shared" si="18"/>
        <v>0</v>
      </c>
      <c r="AH292" s="9"/>
      <c r="AI292" s="151" t="str">
        <f t="shared" si="17"/>
        <v>GUARULHOS</v>
      </c>
      <c r="AJ292" s="154" t="s">
        <v>6</v>
      </c>
      <c r="AK292" s="53">
        <v>0.6345797151662832</v>
      </c>
      <c r="AL292" s="53" t="str" cm="1">
        <f t="array" ref="AL292">IF(OR(O292&lt;&gt;"", SUMPRODUCT(($AM$2:$AM$210=AM292)*($AK$2:$AK$210&lt;=AK292)) &lt;= (COUNTIF($AM$2:$AM$210,AM292)*0.1)), "SORTEADO", "-")</f>
        <v>SORTEADO</v>
      </c>
      <c r="AM292" s="53" t="str">
        <f t="shared" si="20"/>
        <v>20/04/2026</v>
      </c>
    </row>
    <row r="293" spans="1:39" ht="30" hidden="1" customHeight="1" x14ac:dyDescent="0.2">
      <c r="A293" s="230" t="s">
        <v>197</v>
      </c>
      <c r="B293" s="230">
        <v>2616411748</v>
      </c>
      <c r="C293" s="230" t="s">
        <v>139</v>
      </c>
      <c r="D293" s="230" t="s">
        <v>67</v>
      </c>
      <c r="E293" s="230" t="s">
        <v>198</v>
      </c>
      <c r="F293" s="230" t="s">
        <v>688</v>
      </c>
      <c r="G293" s="230">
        <v>302</v>
      </c>
      <c r="H293" s="230" t="s">
        <v>1533</v>
      </c>
      <c r="I293" s="230" t="s">
        <v>356</v>
      </c>
      <c r="J293" s="230" t="s">
        <v>4603</v>
      </c>
      <c r="K293" s="230" t="s">
        <v>213</v>
      </c>
      <c r="L293" s="230" t="s">
        <v>1616</v>
      </c>
      <c r="M293" s="230" t="s">
        <v>4784</v>
      </c>
      <c r="N293" s="230" t="s">
        <v>4613</v>
      </c>
      <c r="O293" s="158"/>
      <c r="P293" s="92"/>
      <c r="Q293" s="146"/>
      <c r="R293" s="92"/>
      <c r="S293" s="146"/>
      <c r="T293" s="92"/>
      <c r="U293" s="146"/>
      <c r="V293" s="92"/>
      <c r="W293" s="146"/>
      <c r="X293" s="92"/>
      <c r="Y293" s="146"/>
      <c r="Z293" s="92"/>
      <c r="AA293" s="146"/>
      <c r="AB293" s="64"/>
      <c r="AC293" s="146"/>
      <c r="AD293" s="64"/>
      <c r="AE293" s="146"/>
      <c r="AF293" s="215" t="str">
        <f t="shared" si="19"/>
        <v/>
      </c>
      <c r="AG293" s="96" t="b">
        <f t="shared" si="18"/>
        <v>0</v>
      </c>
      <c r="AH293" s="9"/>
      <c r="AI293" s="151" t="str">
        <f t="shared" si="17"/>
        <v>GUARULHOS</v>
      </c>
      <c r="AJ293" s="154" t="s">
        <v>6</v>
      </c>
      <c r="AK293" s="53">
        <v>0.61323741749794092</v>
      </c>
      <c r="AL293" s="53" t="str" cm="1">
        <f t="array" ref="AL293">IF(OR(O293&lt;&gt;"", SUMPRODUCT(($AM$2:$AM$210=AM293)*($AK$2:$AK$210&lt;=AK293)) &lt;= (COUNTIF($AM$2:$AM$210,AM293)*0.1)), "SORTEADO", "-")</f>
        <v>SORTEADO</v>
      </c>
      <c r="AM293" s="53" t="str">
        <f t="shared" si="20"/>
        <v>20/04/2026</v>
      </c>
    </row>
    <row r="294" spans="1:39" ht="30" hidden="1" customHeight="1" x14ac:dyDescent="0.2">
      <c r="A294" s="230" t="s">
        <v>197</v>
      </c>
      <c r="B294" s="230">
        <v>2616347516</v>
      </c>
      <c r="C294" s="230" t="s">
        <v>138</v>
      </c>
      <c r="D294" s="230" t="s">
        <v>67</v>
      </c>
      <c r="E294" s="230" t="s">
        <v>198</v>
      </c>
      <c r="F294" s="230" t="s">
        <v>1498</v>
      </c>
      <c r="G294" s="230">
        <v>68</v>
      </c>
      <c r="H294" s="230" t="s">
        <v>1499</v>
      </c>
      <c r="I294" s="230" t="s">
        <v>664</v>
      </c>
      <c r="J294" s="230" t="s">
        <v>4605</v>
      </c>
      <c r="K294" s="230"/>
      <c r="L294" s="230" t="s">
        <v>1616</v>
      </c>
      <c r="M294" s="230" t="s">
        <v>4777</v>
      </c>
      <c r="N294" s="230" t="s">
        <v>4613</v>
      </c>
      <c r="O294" s="158"/>
      <c r="P294" s="92"/>
      <c r="Q294" s="146"/>
      <c r="R294" s="92"/>
      <c r="S294" s="146"/>
      <c r="T294" s="92"/>
      <c r="U294" s="146"/>
      <c r="V294" s="92"/>
      <c r="W294" s="146"/>
      <c r="X294" s="92"/>
      <c r="Y294" s="146"/>
      <c r="Z294" s="92"/>
      <c r="AA294" s="146"/>
      <c r="AB294" s="64"/>
      <c r="AC294" s="146"/>
      <c r="AD294" s="64"/>
      <c r="AE294" s="146"/>
      <c r="AF294" s="215" t="str">
        <f t="shared" si="19"/>
        <v/>
      </c>
      <c r="AG294" s="96" t="b">
        <f t="shared" si="18"/>
        <v>0</v>
      </c>
      <c r="AH294" s="9"/>
      <c r="AI294" s="151" t="str">
        <f t="shared" si="17"/>
        <v>GUARULHOS</v>
      </c>
      <c r="AJ294" s="154" t="s">
        <v>6</v>
      </c>
      <c r="AK294" s="53">
        <v>0.98085965765704697</v>
      </c>
      <c r="AL294" s="53" t="str" cm="1">
        <f t="array" ref="AL294">IF(OR(O294&lt;&gt;"", SUMPRODUCT(($AM$2:$AM$210=AM294)*($AK$2:$AK$210&lt;=AK294)) &lt;= (COUNTIF($AM$2:$AM$210,AM294)*0.1)), "SORTEADO", "-")</f>
        <v>SORTEADO</v>
      </c>
      <c r="AM294" s="53" t="str">
        <f t="shared" si="20"/>
        <v>20/04/2026</v>
      </c>
    </row>
    <row r="295" spans="1:39" ht="30" hidden="1" customHeight="1" x14ac:dyDescent="0.2">
      <c r="A295" s="230" t="s">
        <v>197</v>
      </c>
      <c r="B295" s="230">
        <v>2613180289</v>
      </c>
      <c r="C295" s="230" t="s">
        <v>139</v>
      </c>
      <c r="D295" s="230" t="s">
        <v>67</v>
      </c>
      <c r="E295" s="230" t="s">
        <v>198</v>
      </c>
      <c r="F295" s="230" t="s">
        <v>245</v>
      </c>
      <c r="G295" s="230">
        <v>256</v>
      </c>
      <c r="H295" s="230" t="s">
        <v>1450</v>
      </c>
      <c r="I295" s="230" t="s">
        <v>247</v>
      </c>
      <c r="J295" s="230" t="s">
        <v>4603</v>
      </c>
      <c r="K295" s="230" t="s">
        <v>4785</v>
      </c>
      <c r="L295" s="230" t="s">
        <v>1616</v>
      </c>
      <c r="M295" s="230" t="s">
        <v>4786</v>
      </c>
      <c r="N295" s="230" t="s">
        <v>4613</v>
      </c>
      <c r="O295" s="158"/>
      <c r="P295" s="92"/>
      <c r="Q295" s="146"/>
      <c r="R295" s="92"/>
      <c r="S295" s="146"/>
      <c r="T295" s="92"/>
      <c r="U295" s="146"/>
      <c r="V295" s="92"/>
      <c r="W295" s="146"/>
      <c r="X295" s="92"/>
      <c r="Y295" s="146"/>
      <c r="Z295" s="92"/>
      <c r="AA295" s="146"/>
      <c r="AB295" s="64"/>
      <c r="AC295" s="146"/>
      <c r="AD295" s="64"/>
      <c r="AE295" s="146"/>
      <c r="AF295" s="215" t="str">
        <f t="shared" si="19"/>
        <v/>
      </c>
      <c r="AG295" s="96" t="b">
        <f t="shared" si="18"/>
        <v>0</v>
      </c>
      <c r="AH295" s="9"/>
      <c r="AI295" s="151" t="str">
        <f t="shared" si="17"/>
        <v>GUARULHOS</v>
      </c>
      <c r="AJ295" s="154" t="s">
        <v>6</v>
      </c>
      <c r="AK295" s="53">
        <v>0.27096294997150294</v>
      </c>
      <c r="AL295" s="53" t="str" cm="1">
        <f t="array" ref="AL295">IF(OR(O295&lt;&gt;"", SUMPRODUCT(($AM$2:$AM$210=AM295)*($AK$2:$AK$210&lt;=AK295)) &lt;= (COUNTIF($AM$2:$AM$210,AM295)*0.1)), "SORTEADO", "-")</f>
        <v>SORTEADO</v>
      </c>
      <c r="AM295" s="53" t="str">
        <f t="shared" si="20"/>
        <v>20/04/2026</v>
      </c>
    </row>
    <row r="296" spans="1:39" ht="30" hidden="1" customHeight="1" x14ac:dyDescent="0.2">
      <c r="A296" s="230" t="s">
        <v>197</v>
      </c>
      <c r="B296" s="230">
        <v>2690799987</v>
      </c>
      <c r="C296" s="230" t="s">
        <v>138</v>
      </c>
      <c r="D296" s="230" t="s">
        <v>67</v>
      </c>
      <c r="E296" s="230" t="s">
        <v>198</v>
      </c>
      <c r="F296" s="230" t="s">
        <v>609</v>
      </c>
      <c r="G296" s="230">
        <v>56</v>
      </c>
      <c r="H296" s="230"/>
      <c r="I296" s="230" t="s">
        <v>611</v>
      </c>
      <c r="J296" s="230" t="s">
        <v>4605</v>
      </c>
      <c r="K296" s="230"/>
      <c r="L296" s="230" t="s">
        <v>1616</v>
      </c>
      <c r="M296" s="230" t="s">
        <v>4777</v>
      </c>
      <c r="N296" s="230" t="s">
        <v>4613</v>
      </c>
      <c r="O296" s="158"/>
      <c r="P296" s="92"/>
      <c r="Q296" s="146"/>
      <c r="R296" s="92"/>
      <c r="S296" s="146"/>
      <c r="T296" s="92"/>
      <c r="U296" s="146"/>
      <c r="V296" s="92"/>
      <c r="W296" s="146"/>
      <c r="X296" s="92"/>
      <c r="Y296" s="146"/>
      <c r="Z296" s="92"/>
      <c r="AA296" s="146"/>
      <c r="AB296" s="64"/>
      <c r="AC296" s="146"/>
      <c r="AD296" s="64"/>
      <c r="AE296" s="146"/>
      <c r="AF296" s="215" t="str">
        <f t="shared" si="19"/>
        <v/>
      </c>
      <c r="AG296" s="96" t="b">
        <f t="shared" si="18"/>
        <v>0</v>
      </c>
      <c r="AH296" s="9"/>
      <c r="AI296" s="151" t="str">
        <f t="shared" si="17"/>
        <v>GUARULHOS</v>
      </c>
      <c r="AJ296" s="154" t="s">
        <v>6</v>
      </c>
      <c r="AK296" s="53">
        <v>0.86037091180456959</v>
      </c>
      <c r="AL296" s="53" t="str" cm="1">
        <f t="array" ref="AL296">IF(OR(O296&lt;&gt;"", SUMPRODUCT(($AM$2:$AM$210=AM296)*($AK$2:$AK$210&lt;=AK296)) &lt;= (COUNTIF($AM$2:$AM$210,AM296)*0.1)), "SORTEADO", "-")</f>
        <v>SORTEADO</v>
      </c>
      <c r="AM296" s="53" t="str">
        <f t="shared" si="20"/>
        <v>20/04/2026</v>
      </c>
    </row>
    <row r="297" spans="1:39" ht="30" hidden="1" customHeight="1" x14ac:dyDescent="0.2">
      <c r="A297" s="230" t="s">
        <v>197</v>
      </c>
      <c r="B297" s="230">
        <v>2690852206</v>
      </c>
      <c r="C297" s="230" t="s">
        <v>138</v>
      </c>
      <c r="D297" s="230" t="s">
        <v>67</v>
      </c>
      <c r="E297" s="230" t="s">
        <v>198</v>
      </c>
      <c r="F297" s="230" t="s">
        <v>1501</v>
      </c>
      <c r="G297" s="230">
        <v>674</v>
      </c>
      <c r="H297" s="230" t="s">
        <v>1502</v>
      </c>
      <c r="I297" s="230" t="s">
        <v>480</v>
      </c>
      <c r="J297" s="230" t="s">
        <v>4605</v>
      </c>
      <c r="K297" s="230" t="s">
        <v>213</v>
      </c>
      <c r="L297" s="230" t="s">
        <v>1616</v>
      </c>
      <c r="M297" s="230" t="s">
        <v>1617</v>
      </c>
      <c r="N297" s="230" t="s">
        <v>4613</v>
      </c>
      <c r="O297" s="158"/>
      <c r="P297" s="92"/>
      <c r="Q297" s="146"/>
      <c r="R297" s="92"/>
      <c r="S297" s="146"/>
      <c r="T297" s="92"/>
      <c r="U297" s="146"/>
      <c r="V297" s="92"/>
      <c r="W297" s="146"/>
      <c r="X297" s="92"/>
      <c r="Y297" s="146"/>
      <c r="Z297" s="92"/>
      <c r="AA297" s="146"/>
      <c r="AB297" s="64"/>
      <c r="AC297" s="146"/>
      <c r="AD297" s="64"/>
      <c r="AE297" s="146"/>
      <c r="AF297" s="215" t="str">
        <f t="shared" si="19"/>
        <v/>
      </c>
      <c r="AG297" s="96" t="b">
        <f t="shared" si="18"/>
        <v>0</v>
      </c>
      <c r="AH297" s="9"/>
      <c r="AI297" s="151" t="str">
        <f t="shared" si="17"/>
        <v>GUARULHOS</v>
      </c>
      <c r="AJ297" s="154" t="s">
        <v>6</v>
      </c>
      <c r="AK297" s="53">
        <v>0.19162341344946332</v>
      </c>
      <c r="AL297" s="53" t="str" cm="1">
        <f t="array" ref="AL297">IF(OR(O297&lt;&gt;"", SUMPRODUCT(($AM$2:$AM$210=AM297)*($AK$2:$AK$210&lt;=AK297)) &lt;= (COUNTIF($AM$2:$AM$210,AM297)*0.1)), "SORTEADO", "-")</f>
        <v>SORTEADO</v>
      </c>
      <c r="AM297" s="53" t="str">
        <f t="shared" si="20"/>
        <v>20/04/2026</v>
      </c>
    </row>
    <row r="298" spans="1:39" ht="30" hidden="1" customHeight="1" x14ac:dyDescent="0.2">
      <c r="A298" s="230" t="s">
        <v>197</v>
      </c>
      <c r="B298" s="230">
        <v>2616213476</v>
      </c>
      <c r="C298" s="230" t="s">
        <v>138</v>
      </c>
      <c r="D298" s="230" t="s">
        <v>67</v>
      </c>
      <c r="E298" s="230" t="s">
        <v>198</v>
      </c>
      <c r="F298" s="230" t="s">
        <v>2903</v>
      </c>
      <c r="G298" s="230">
        <v>52</v>
      </c>
      <c r="H298" s="230" t="s">
        <v>2904</v>
      </c>
      <c r="I298" s="230" t="s">
        <v>285</v>
      </c>
      <c r="J298" s="230" t="s">
        <v>4605</v>
      </c>
      <c r="K298" s="230"/>
      <c r="L298" s="230" t="s">
        <v>1616</v>
      </c>
      <c r="M298" s="230" t="s">
        <v>4777</v>
      </c>
      <c r="N298" s="230" t="s">
        <v>4613</v>
      </c>
      <c r="O298" s="158"/>
      <c r="P298" s="92"/>
      <c r="Q298" s="146"/>
      <c r="R298" s="92"/>
      <c r="S298" s="146"/>
      <c r="T298" s="92"/>
      <c r="U298" s="146"/>
      <c r="V298" s="92"/>
      <c r="W298" s="146"/>
      <c r="X298" s="92"/>
      <c r="Y298" s="146"/>
      <c r="Z298" s="92"/>
      <c r="AA298" s="146"/>
      <c r="AB298" s="64"/>
      <c r="AC298" s="146"/>
      <c r="AD298" s="64"/>
      <c r="AE298" s="146"/>
      <c r="AF298" s="215" t="str">
        <f t="shared" si="19"/>
        <v/>
      </c>
      <c r="AG298" s="96" t="b">
        <f t="shared" si="18"/>
        <v>0</v>
      </c>
      <c r="AH298" s="9"/>
      <c r="AI298" s="151" t="str">
        <f t="shared" si="17"/>
        <v>GUARULHOS</v>
      </c>
      <c r="AJ298" s="154" t="s">
        <v>6</v>
      </c>
      <c r="AK298" s="53">
        <v>0.77790451799200333</v>
      </c>
      <c r="AL298" s="53" t="str" cm="1">
        <f t="array" ref="AL298">IF(OR(O298&lt;&gt;"", SUMPRODUCT(($AM$2:$AM$210=AM298)*($AK$2:$AK$210&lt;=AK298)) &lt;= (COUNTIF($AM$2:$AM$210,AM298)*0.1)), "SORTEADO", "-")</f>
        <v>SORTEADO</v>
      </c>
      <c r="AM298" s="53" t="str">
        <f t="shared" si="20"/>
        <v>20/04/2026</v>
      </c>
    </row>
    <row r="299" spans="1:39" ht="30" hidden="1" customHeight="1" x14ac:dyDescent="0.2">
      <c r="A299" s="230" t="s">
        <v>197</v>
      </c>
      <c r="B299" s="230">
        <v>2616368516</v>
      </c>
      <c r="C299" s="230" t="s">
        <v>138</v>
      </c>
      <c r="D299" s="230" t="s">
        <v>67</v>
      </c>
      <c r="E299" s="230" t="s">
        <v>198</v>
      </c>
      <c r="F299" s="230" t="s">
        <v>2909</v>
      </c>
      <c r="G299" s="230">
        <v>118</v>
      </c>
      <c r="H299" s="230" t="s">
        <v>2910</v>
      </c>
      <c r="I299" s="230" t="s">
        <v>253</v>
      </c>
      <c r="J299" s="230" t="s">
        <v>4605</v>
      </c>
      <c r="K299" s="230" t="s">
        <v>213</v>
      </c>
      <c r="L299" s="230" t="s">
        <v>1616</v>
      </c>
      <c r="M299" s="230" t="s">
        <v>4127</v>
      </c>
      <c r="N299" s="230" t="s">
        <v>4613</v>
      </c>
      <c r="O299" s="158"/>
      <c r="P299" s="92"/>
      <c r="Q299" s="146"/>
      <c r="R299" s="92"/>
      <c r="S299" s="146"/>
      <c r="T299" s="92"/>
      <c r="U299" s="146"/>
      <c r="V299" s="92"/>
      <c r="W299" s="146"/>
      <c r="X299" s="92"/>
      <c r="Y299" s="146"/>
      <c r="Z299" s="92"/>
      <c r="AA299" s="146"/>
      <c r="AB299" s="64"/>
      <c r="AC299" s="146"/>
      <c r="AD299" s="64"/>
      <c r="AE299" s="146"/>
      <c r="AF299" s="215" t="str">
        <f t="shared" si="19"/>
        <v/>
      </c>
      <c r="AG299" s="96" t="b">
        <f t="shared" si="18"/>
        <v>0</v>
      </c>
      <c r="AH299" s="9"/>
      <c r="AI299" s="151" t="str">
        <f t="shared" si="17"/>
        <v>GUARULHOS</v>
      </c>
      <c r="AJ299" s="154" t="s">
        <v>6</v>
      </c>
      <c r="AK299" s="53">
        <v>0.35836677396816519</v>
      </c>
      <c r="AL299" s="53" t="str" cm="1">
        <f t="array" ref="AL299">IF(OR(O299&lt;&gt;"", SUMPRODUCT(($AM$2:$AM$210=AM299)*($AK$2:$AK$210&lt;=AK299)) &lt;= (COUNTIF($AM$2:$AM$210,AM299)*0.1)), "SORTEADO", "-")</f>
        <v>SORTEADO</v>
      </c>
      <c r="AM299" s="53" t="str">
        <f t="shared" si="20"/>
        <v>20/04/2026</v>
      </c>
    </row>
    <row r="300" spans="1:39" ht="30" hidden="1" customHeight="1" x14ac:dyDescent="0.2">
      <c r="A300" s="230" t="s">
        <v>197</v>
      </c>
      <c r="B300" s="230">
        <v>2690831952</v>
      </c>
      <c r="C300" s="230" t="s">
        <v>140</v>
      </c>
      <c r="D300" s="230" t="s">
        <v>67</v>
      </c>
      <c r="E300" s="230" t="s">
        <v>198</v>
      </c>
      <c r="F300" s="230" t="s">
        <v>734</v>
      </c>
      <c r="G300" s="230">
        <v>412</v>
      </c>
      <c r="H300" s="230"/>
      <c r="I300" s="230" t="s">
        <v>253</v>
      </c>
      <c r="J300" s="230" t="s">
        <v>4605</v>
      </c>
      <c r="K300" s="230"/>
      <c r="L300" s="230" t="s">
        <v>1616</v>
      </c>
      <c r="M300" s="230" t="s">
        <v>4777</v>
      </c>
      <c r="N300" s="230" t="s">
        <v>4613</v>
      </c>
      <c r="O300" s="158"/>
      <c r="P300" s="92"/>
      <c r="Q300" s="146"/>
      <c r="R300" s="92"/>
      <c r="S300" s="146"/>
      <c r="T300" s="92"/>
      <c r="U300" s="146"/>
      <c r="V300" s="92"/>
      <c r="W300" s="146"/>
      <c r="X300" s="92"/>
      <c r="Y300" s="146"/>
      <c r="Z300" s="92"/>
      <c r="AA300" s="146"/>
      <c r="AB300" s="64"/>
      <c r="AC300" s="146"/>
      <c r="AD300" s="64"/>
      <c r="AE300" s="146"/>
      <c r="AF300" s="215" t="str">
        <f t="shared" si="19"/>
        <v/>
      </c>
      <c r="AG300" s="96" t="b">
        <f t="shared" si="18"/>
        <v>0</v>
      </c>
      <c r="AH300" s="9"/>
      <c r="AI300" s="151" t="str">
        <f t="shared" si="17"/>
        <v>GUARULHOS</v>
      </c>
      <c r="AJ300" s="154" t="s">
        <v>6</v>
      </c>
      <c r="AK300" s="53">
        <v>0.34549289682626505</v>
      </c>
      <c r="AL300" s="53" t="str" cm="1">
        <f t="array" ref="AL300">IF(OR(O300&lt;&gt;"", SUMPRODUCT(($AM$2:$AM$210=AM300)*($AK$2:$AK$210&lt;=AK300)) &lt;= (COUNTIF($AM$2:$AM$210,AM300)*0.1)), "SORTEADO", "-")</f>
        <v>SORTEADO</v>
      </c>
      <c r="AM300" s="53" t="str">
        <f t="shared" si="20"/>
        <v>20/04/2026</v>
      </c>
    </row>
    <row r="301" spans="1:39" ht="30" hidden="1" customHeight="1" x14ac:dyDescent="0.2">
      <c r="A301" s="230" t="s">
        <v>197</v>
      </c>
      <c r="B301" s="230">
        <v>2616350969</v>
      </c>
      <c r="C301" s="230" t="s">
        <v>141</v>
      </c>
      <c r="D301" s="230" t="s">
        <v>67</v>
      </c>
      <c r="E301" s="230" t="s">
        <v>198</v>
      </c>
      <c r="F301" s="230" t="s">
        <v>2831</v>
      </c>
      <c r="G301" s="230">
        <v>112</v>
      </c>
      <c r="H301" s="230" t="s">
        <v>2832</v>
      </c>
      <c r="I301" s="230" t="s">
        <v>335</v>
      </c>
      <c r="J301" s="230" t="s">
        <v>4603</v>
      </c>
      <c r="K301" s="230" t="s">
        <v>213</v>
      </c>
      <c r="L301" s="230" t="s">
        <v>1616</v>
      </c>
      <c r="M301" s="230" t="s">
        <v>4777</v>
      </c>
      <c r="N301" s="230" t="s">
        <v>4613</v>
      </c>
      <c r="O301" s="158"/>
      <c r="P301" s="92"/>
      <c r="Q301" s="146"/>
      <c r="R301" s="92"/>
      <c r="S301" s="146"/>
      <c r="T301" s="92"/>
      <c r="U301" s="146"/>
      <c r="V301" s="92"/>
      <c r="W301" s="146"/>
      <c r="X301" s="92"/>
      <c r="Y301" s="146"/>
      <c r="Z301" s="92"/>
      <c r="AA301" s="146"/>
      <c r="AB301" s="64"/>
      <c r="AC301" s="146"/>
      <c r="AD301" s="64"/>
      <c r="AE301" s="146"/>
      <c r="AF301" s="215" t="str">
        <f t="shared" si="19"/>
        <v/>
      </c>
      <c r="AG301" s="96" t="b">
        <f t="shared" si="18"/>
        <v>0</v>
      </c>
      <c r="AH301" s="9"/>
      <c r="AI301" s="151" t="str">
        <f t="shared" si="17"/>
        <v>GUARULHOS</v>
      </c>
      <c r="AJ301" s="154" t="s">
        <v>6</v>
      </c>
      <c r="AK301" s="53">
        <v>0.39448233974805513</v>
      </c>
      <c r="AL301" s="53" t="str" cm="1">
        <f t="array" ref="AL301">IF(OR(O301&lt;&gt;"", SUMPRODUCT(($AM$2:$AM$210=AM301)*($AK$2:$AK$210&lt;=AK301)) &lt;= (COUNTIF($AM$2:$AM$210,AM301)*0.1)), "SORTEADO", "-")</f>
        <v>SORTEADO</v>
      </c>
      <c r="AM301" s="53" t="str">
        <f t="shared" si="20"/>
        <v>20/04/2026</v>
      </c>
    </row>
    <row r="302" spans="1:39" ht="30" hidden="1" customHeight="1" x14ac:dyDescent="0.2">
      <c r="A302" s="230" t="s">
        <v>197</v>
      </c>
      <c r="B302" s="230">
        <v>2613180289</v>
      </c>
      <c r="C302" s="230" t="s">
        <v>141</v>
      </c>
      <c r="D302" s="230" t="s">
        <v>67</v>
      </c>
      <c r="E302" s="230" t="s">
        <v>198</v>
      </c>
      <c r="F302" s="230" t="s">
        <v>245</v>
      </c>
      <c r="G302" s="230">
        <v>256</v>
      </c>
      <c r="H302" s="230" t="s">
        <v>1450</v>
      </c>
      <c r="I302" s="230" t="s">
        <v>247</v>
      </c>
      <c r="J302" s="230" t="s">
        <v>4603</v>
      </c>
      <c r="K302" s="230" t="s">
        <v>4787</v>
      </c>
      <c r="L302" s="230" t="s">
        <v>1616</v>
      </c>
      <c r="M302" s="230" t="s">
        <v>4788</v>
      </c>
      <c r="N302" s="230" t="s">
        <v>4613</v>
      </c>
      <c r="O302" s="158"/>
      <c r="P302" s="92"/>
      <c r="Q302" s="146"/>
      <c r="R302" s="92"/>
      <c r="S302" s="146"/>
      <c r="T302" s="92"/>
      <c r="U302" s="146"/>
      <c r="V302" s="92"/>
      <c r="W302" s="146"/>
      <c r="X302" s="92"/>
      <c r="Y302" s="146"/>
      <c r="Z302" s="92"/>
      <c r="AA302" s="146"/>
      <c r="AB302" s="64"/>
      <c r="AC302" s="146"/>
      <c r="AD302" s="64"/>
      <c r="AE302" s="146"/>
      <c r="AF302" s="215" t="str">
        <f t="shared" si="19"/>
        <v/>
      </c>
      <c r="AG302" s="96" t="b">
        <f t="shared" si="18"/>
        <v>0</v>
      </c>
      <c r="AH302" s="9"/>
      <c r="AI302" s="151" t="str">
        <f t="shared" si="17"/>
        <v>GUARULHOS</v>
      </c>
      <c r="AJ302" s="154" t="s">
        <v>6</v>
      </c>
      <c r="AK302" s="53">
        <v>0.37577632006526851</v>
      </c>
      <c r="AL302" s="53" t="str" cm="1">
        <f t="array" ref="AL302">IF(OR(O302&lt;&gt;"", SUMPRODUCT(($AM$2:$AM$210=AM302)*($AK$2:$AK$210&lt;=AK302)) &lt;= (COUNTIF($AM$2:$AM$210,AM302)*0.1)), "SORTEADO", "-")</f>
        <v>SORTEADO</v>
      </c>
      <c r="AM302" s="53" t="str">
        <f t="shared" si="20"/>
        <v>20/04/2026</v>
      </c>
    </row>
    <row r="303" spans="1:39" ht="30" hidden="1" customHeight="1" x14ac:dyDescent="0.2">
      <c r="A303" s="230" t="s">
        <v>197</v>
      </c>
      <c r="B303" s="230">
        <v>2616620618</v>
      </c>
      <c r="C303" s="230" t="s">
        <v>141</v>
      </c>
      <c r="D303" s="230" t="s">
        <v>67</v>
      </c>
      <c r="E303" s="230" t="s">
        <v>198</v>
      </c>
      <c r="F303" s="230" t="s">
        <v>1486</v>
      </c>
      <c r="G303" s="230">
        <v>71</v>
      </c>
      <c r="H303" s="230" t="s">
        <v>1487</v>
      </c>
      <c r="I303" s="230" t="s">
        <v>436</v>
      </c>
      <c r="J303" s="230" t="s">
        <v>4603</v>
      </c>
      <c r="K303" s="230" t="s">
        <v>4789</v>
      </c>
      <c r="L303" s="230" t="s">
        <v>1616</v>
      </c>
      <c r="M303" s="230" t="s">
        <v>4790</v>
      </c>
      <c r="N303" s="230" t="s">
        <v>4620</v>
      </c>
      <c r="O303" s="158"/>
      <c r="P303" s="92"/>
      <c r="Q303" s="146"/>
      <c r="R303" s="92"/>
      <c r="S303" s="146"/>
      <c r="T303" s="92"/>
      <c r="U303" s="146"/>
      <c r="V303" s="92"/>
      <c r="W303" s="146"/>
      <c r="X303" s="92"/>
      <c r="Y303" s="146"/>
      <c r="Z303" s="92"/>
      <c r="AA303" s="146"/>
      <c r="AB303" s="64"/>
      <c r="AC303" s="146"/>
      <c r="AD303" s="64"/>
      <c r="AE303" s="146"/>
      <c r="AF303" s="215" t="str">
        <f t="shared" si="19"/>
        <v/>
      </c>
      <c r="AG303" s="96" t="b">
        <f t="shared" si="18"/>
        <v>0</v>
      </c>
      <c r="AH303" s="9"/>
      <c r="AI303" s="151" t="str">
        <f t="shared" si="17"/>
        <v>GUARULHOS</v>
      </c>
      <c r="AJ303" s="154" t="s">
        <v>6</v>
      </c>
      <c r="AK303" s="53">
        <v>0.662002113340734</v>
      </c>
      <c r="AL303" s="53" t="str" cm="1">
        <f t="array" ref="AL303">IF(OR(O303&lt;&gt;"", SUMPRODUCT(($AM$2:$AM$210=AM303)*($AK$2:$AK$210&lt;=AK303)) &lt;= (COUNTIF($AM$2:$AM$210,AM303)*0.1)), "SORTEADO", "-")</f>
        <v>SORTEADO</v>
      </c>
      <c r="AM303" s="53" t="str">
        <f t="shared" si="20"/>
        <v>20/04/2026</v>
      </c>
    </row>
    <row r="304" spans="1:39" ht="30" hidden="1" customHeight="1" x14ac:dyDescent="0.2">
      <c r="A304" s="230" t="s">
        <v>197</v>
      </c>
      <c r="B304" s="230">
        <v>2615565603</v>
      </c>
      <c r="C304" s="230" t="s">
        <v>141</v>
      </c>
      <c r="D304" s="230" t="s">
        <v>67</v>
      </c>
      <c r="E304" s="230" t="s">
        <v>198</v>
      </c>
      <c r="F304" s="230" t="s">
        <v>1648</v>
      </c>
      <c r="G304" s="230">
        <v>12</v>
      </c>
      <c r="H304" s="230" t="s">
        <v>206</v>
      </c>
      <c r="I304" s="230" t="s">
        <v>253</v>
      </c>
      <c r="J304" s="230" t="s">
        <v>4603</v>
      </c>
      <c r="K304" s="230" t="s">
        <v>4791</v>
      </c>
      <c r="L304" s="230" t="s">
        <v>1706</v>
      </c>
      <c r="M304" s="230" t="s">
        <v>4792</v>
      </c>
      <c r="N304" s="230" t="s">
        <v>4613</v>
      </c>
      <c r="O304" s="144" t="s">
        <v>61</v>
      </c>
      <c r="P304" s="9"/>
      <c r="Q304" s="146" t="s">
        <v>61</v>
      </c>
      <c r="R304" s="92"/>
      <c r="S304" s="146" t="s">
        <v>61</v>
      </c>
      <c r="T304" s="92"/>
      <c r="U304" s="146" t="s">
        <v>61</v>
      </c>
      <c r="V304" s="92"/>
      <c r="W304" s="146" t="s">
        <v>61</v>
      </c>
      <c r="X304" s="92"/>
      <c r="Y304" s="146" t="s">
        <v>61</v>
      </c>
      <c r="Z304" s="92"/>
      <c r="AA304" s="146" t="s">
        <v>61</v>
      </c>
      <c r="AB304" s="64"/>
      <c r="AC304" s="146" t="s">
        <v>61</v>
      </c>
      <c r="AD304" s="64"/>
      <c r="AE304" s="146" t="s">
        <v>61</v>
      </c>
      <c r="AF304" s="215" t="str">
        <f t="shared" si="19"/>
        <v>NA</v>
      </c>
      <c r="AG304" s="96" t="str">
        <f t="shared" si="18"/>
        <v>NÃO AVALIADO POR FALHA DE SINCRONISMO</v>
      </c>
      <c r="AH304" s="9" t="s">
        <v>39</v>
      </c>
      <c r="AI304" s="151" t="str">
        <f t="shared" si="17"/>
        <v>GUARULHOS</v>
      </c>
      <c r="AJ304" s="154" t="s">
        <v>6</v>
      </c>
      <c r="AK304" s="53">
        <v>-6.0600000000000001E-2</v>
      </c>
      <c r="AL304" s="53" t="str" cm="1">
        <f t="array" ref="AL304">IF(OR(O304&lt;&gt;"", SUMPRODUCT(($AM$2:$AM$210=AM304)*($AK$2:$AK$210&lt;=AK304)) &lt;= (COUNTIF($AM$2:$AM$210,AM304)*0.1)), "SORTEADO", "-")</f>
        <v>SORTEADO</v>
      </c>
      <c r="AM304" s="53" t="str">
        <f t="shared" si="20"/>
        <v>21/04/2026</v>
      </c>
    </row>
    <row r="305" spans="1:39" ht="30" hidden="1" customHeight="1" x14ac:dyDescent="0.2">
      <c r="A305" s="230" t="s">
        <v>197</v>
      </c>
      <c r="B305" s="230">
        <v>2616194465</v>
      </c>
      <c r="C305" s="230" t="s">
        <v>141</v>
      </c>
      <c r="D305" s="230" t="s">
        <v>67</v>
      </c>
      <c r="E305" s="230" t="s">
        <v>198</v>
      </c>
      <c r="F305" s="230" t="s">
        <v>1478</v>
      </c>
      <c r="G305" s="230">
        <v>401</v>
      </c>
      <c r="H305" s="230"/>
      <c r="I305" s="230" t="s">
        <v>253</v>
      </c>
      <c r="J305" s="230" t="s">
        <v>4603</v>
      </c>
      <c r="K305" s="230"/>
      <c r="L305" s="230" t="s">
        <v>1706</v>
      </c>
      <c r="M305" s="230" t="s">
        <v>1720</v>
      </c>
      <c r="N305" s="230" t="s">
        <v>4613</v>
      </c>
      <c r="O305" s="158"/>
      <c r="P305" s="92"/>
      <c r="Q305" s="146"/>
      <c r="R305" s="92"/>
      <c r="S305" s="146"/>
      <c r="T305" s="92"/>
      <c r="U305" s="146"/>
      <c r="V305" s="92"/>
      <c r="W305" s="146"/>
      <c r="X305" s="92"/>
      <c r="Y305" s="146"/>
      <c r="Z305" s="92"/>
      <c r="AA305" s="146"/>
      <c r="AB305" s="64"/>
      <c r="AC305" s="146"/>
      <c r="AD305" s="64"/>
      <c r="AE305" s="146"/>
      <c r="AF305" s="215" t="str">
        <f t="shared" si="19"/>
        <v/>
      </c>
      <c r="AG305" s="96" t="b">
        <f t="shared" si="18"/>
        <v>0</v>
      </c>
      <c r="AH305" s="9"/>
      <c r="AI305" s="151" t="str">
        <f t="shared" si="17"/>
        <v>GUARULHOS</v>
      </c>
      <c r="AJ305" s="154" t="s">
        <v>6</v>
      </c>
      <c r="AK305" s="53">
        <v>0.59896289593617869</v>
      </c>
      <c r="AL305" s="53" t="str" cm="1">
        <f t="array" ref="AL305">IF(OR(O305&lt;&gt;"", SUMPRODUCT(($AM$2:$AM$210=AM305)*($AK$2:$AK$210&lt;=AK305)) &lt;= (COUNTIF($AM$2:$AM$210,AM305)*0.1)), "SORTEADO", "-")</f>
        <v>SORTEADO</v>
      </c>
      <c r="AM305" s="53" t="str">
        <f t="shared" si="20"/>
        <v>21/04/2026</v>
      </c>
    </row>
    <row r="306" spans="1:39" ht="30" hidden="1" customHeight="1" x14ac:dyDescent="0.2">
      <c r="A306" s="230" t="s">
        <v>197</v>
      </c>
      <c r="B306" s="230">
        <v>2690971467</v>
      </c>
      <c r="C306" s="230" t="s">
        <v>138</v>
      </c>
      <c r="D306" s="230" t="s">
        <v>67</v>
      </c>
      <c r="E306" s="230" t="s">
        <v>198</v>
      </c>
      <c r="F306" s="230" t="s">
        <v>684</v>
      </c>
      <c r="G306" s="230">
        <v>19</v>
      </c>
      <c r="H306" s="230" t="s">
        <v>1507</v>
      </c>
      <c r="I306" s="230" t="s">
        <v>685</v>
      </c>
      <c r="J306" s="230" t="s">
        <v>4605</v>
      </c>
      <c r="K306" s="230" t="s">
        <v>213</v>
      </c>
      <c r="L306" s="230" t="s">
        <v>1706</v>
      </c>
      <c r="M306" s="230" t="s">
        <v>4793</v>
      </c>
      <c r="N306" s="230" t="s">
        <v>4613</v>
      </c>
      <c r="O306" s="158"/>
      <c r="P306" s="92"/>
      <c r="Q306" s="146"/>
      <c r="R306" s="92"/>
      <c r="S306" s="146"/>
      <c r="T306" s="92"/>
      <c r="U306" s="146"/>
      <c r="V306" s="92"/>
      <c r="W306" s="146"/>
      <c r="X306" s="92"/>
      <c r="Y306" s="146"/>
      <c r="Z306" s="92"/>
      <c r="AA306" s="146"/>
      <c r="AB306" s="64"/>
      <c r="AC306" s="146"/>
      <c r="AD306" s="64"/>
      <c r="AE306" s="146"/>
      <c r="AF306" s="215" t="str">
        <f t="shared" si="19"/>
        <v/>
      </c>
      <c r="AG306" s="96" t="b">
        <f t="shared" si="18"/>
        <v>0</v>
      </c>
      <c r="AH306" s="9"/>
      <c r="AI306" s="151" t="str">
        <f t="shared" si="17"/>
        <v>GUARULHOS</v>
      </c>
      <c r="AJ306" s="154" t="s">
        <v>6</v>
      </c>
      <c r="AK306" s="53">
        <v>0.27246536203190119</v>
      </c>
      <c r="AL306" s="53" t="str" cm="1">
        <f t="array" ref="AL306">IF(OR(O306&lt;&gt;"", SUMPRODUCT(($AM$2:$AM$210=AM306)*($AK$2:$AK$210&lt;=AK306)) &lt;= (COUNTIF($AM$2:$AM$210,AM306)*0.1)), "SORTEADO", "-")</f>
        <v>SORTEADO</v>
      </c>
      <c r="AM306" s="53" t="str">
        <f t="shared" si="20"/>
        <v>21/04/2026</v>
      </c>
    </row>
    <row r="307" spans="1:39" ht="30" hidden="1" customHeight="1" x14ac:dyDescent="0.2">
      <c r="A307" s="230" t="s">
        <v>197</v>
      </c>
      <c r="B307" s="230">
        <v>2691013317</v>
      </c>
      <c r="C307" s="230" t="s">
        <v>138</v>
      </c>
      <c r="D307" s="230" t="s">
        <v>67</v>
      </c>
      <c r="E307" s="230" t="s">
        <v>198</v>
      </c>
      <c r="F307" s="230" t="s">
        <v>1636</v>
      </c>
      <c r="G307" s="230">
        <v>265</v>
      </c>
      <c r="H307" s="230" t="s">
        <v>1637</v>
      </c>
      <c r="I307" s="230" t="s">
        <v>538</v>
      </c>
      <c r="J307" s="230" t="s">
        <v>4605</v>
      </c>
      <c r="K307" s="230"/>
      <c r="L307" s="230" t="s">
        <v>1706</v>
      </c>
      <c r="M307" s="230" t="s">
        <v>4794</v>
      </c>
      <c r="N307" s="230" t="s">
        <v>4613</v>
      </c>
      <c r="O307" s="158"/>
      <c r="P307" s="92"/>
      <c r="Q307" s="146"/>
      <c r="R307" s="92"/>
      <c r="S307" s="146"/>
      <c r="T307" s="92"/>
      <c r="U307" s="146"/>
      <c r="V307" s="92"/>
      <c r="W307" s="146"/>
      <c r="X307" s="92"/>
      <c r="Y307" s="146"/>
      <c r="Z307" s="92"/>
      <c r="AA307" s="146"/>
      <c r="AB307" s="64"/>
      <c r="AC307" s="146"/>
      <c r="AD307" s="64"/>
      <c r="AE307" s="146"/>
      <c r="AF307" s="215" t="str">
        <f t="shared" si="19"/>
        <v/>
      </c>
      <c r="AG307" s="96" t="b">
        <f t="shared" si="18"/>
        <v>0</v>
      </c>
      <c r="AH307" s="9"/>
      <c r="AI307" s="151" t="str">
        <f t="shared" si="17"/>
        <v>GUARULHOS</v>
      </c>
      <c r="AJ307" s="154" t="s">
        <v>6</v>
      </c>
      <c r="AK307" s="53">
        <v>3.6745750474371452E-2</v>
      </c>
      <c r="AL307" s="53" t="str" cm="1">
        <f t="array" ref="AL307">IF(OR(O307&lt;&gt;"", SUMPRODUCT(($AM$2:$AM$210=AM307)*($AK$2:$AK$210&lt;=AK307)) &lt;= (COUNTIF($AM$2:$AM$210,AM307)*0.1)), "SORTEADO", "-")</f>
        <v>SORTEADO</v>
      </c>
      <c r="AM307" s="53" t="str">
        <f t="shared" si="20"/>
        <v>21/04/2026</v>
      </c>
    </row>
    <row r="308" spans="1:39" ht="30" hidden="1" customHeight="1" x14ac:dyDescent="0.2">
      <c r="A308" s="230" t="s">
        <v>197</v>
      </c>
      <c r="B308" s="230">
        <v>2616570864</v>
      </c>
      <c r="C308" s="230" t="s">
        <v>138</v>
      </c>
      <c r="D308" s="230" t="s">
        <v>67</v>
      </c>
      <c r="E308" s="230" t="s">
        <v>198</v>
      </c>
      <c r="F308" s="230" t="s">
        <v>1632</v>
      </c>
      <c r="G308" s="230">
        <v>344</v>
      </c>
      <c r="H308" s="230" t="s">
        <v>235</v>
      </c>
      <c r="I308" s="230" t="s">
        <v>1587</v>
      </c>
      <c r="J308" s="230" t="s">
        <v>4605</v>
      </c>
      <c r="K308" s="230" t="s">
        <v>213</v>
      </c>
      <c r="L308" s="230" t="s">
        <v>1706</v>
      </c>
      <c r="M308" s="230" t="s">
        <v>4795</v>
      </c>
      <c r="N308" s="230" t="s">
        <v>4613</v>
      </c>
      <c r="O308" s="158"/>
      <c r="P308" s="92"/>
      <c r="Q308" s="146"/>
      <c r="R308" s="92"/>
      <c r="S308" s="146"/>
      <c r="T308" s="92"/>
      <c r="U308" s="146"/>
      <c r="V308" s="92"/>
      <c r="W308" s="146"/>
      <c r="X308" s="92"/>
      <c r="Y308" s="146"/>
      <c r="Z308" s="92"/>
      <c r="AA308" s="146"/>
      <c r="AB308" s="64"/>
      <c r="AC308" s="146"/>
      <c r="AD308" s="64"/>
      <c r="AE308" s="146"/>
      <c r="AF308" s="215" t="str">
        <f t="shared" si="19"/>
        <v/>
      </c>
      <c r="AG308" s="96" t="b">
        <f t="shared" si="18"/>
        <v>0</v>
      </c>
      <c r="AH308" s="9"/>
      <c r="AI308" s="151" t="str">
        <f t="shared" si="17"/>
        <v>GUARULHOS</v>
      </c>
      <c r="AJ308" s="154" t="s">
        <v>6</v>
      </c>
      <c r="AK308" s="53">
        <v>0.82109340518743945</v>
      </c>
      <c r="AL308" s="53" t="str" cm="1">
        <f t="array" ref="AL308">IF(OR(O308&lt;&gt;"", SUMPRODUCT(($AM$2:$AM$210=AM308)*($AK$2:$AK$210&lt;=AK308)) &lt;= (COUNTIF($AM$2:$AM$210,AM308)*0.1)), "SORTEADO", "-")</f>
        <v>SORTEADO</v>
      </c>
      <c r="AM308" s="53" t="str">
        <f t="shared" si="20"/>
        <v>21/04/2026</v>
      </c>
    </row>
    <row r="309" spans="1:39" ht="30" hidden="1" customHeight="1" x14ac:dyDescent="0.2">
      <c r="A309" s="230" t="s">
        <v>197</v>
      </c>
      <c r="B309" s="230">
        <v>2616188342</v>
      </c>
      <c r="C309" s="230" t="s">
        <v>139</v>
      </c>
      <c r="D309" s="230" t="s">
        <v>67</v>
      </c>
      <c r="E309" s="230" t="s">
        <v>198</v>
      </c>
      <c r="F309" s="230" t="s">
        <v>1562</v>
      </c>
      <c r="G309" s="230">
        <v>801</v>
      </c>
      <c r="H309" s="230"/>
      <c r="I309" s="230" t="s">
        <v>356</v>
      </c>
      <c r="J309" s="230" t="s">
        <v>4603</v>
      </c>
      <c r="K309" s="230"/>
      <c r="L309" s="230" t="s">
        <v>1706</v>
      </c>
      <c r="M309" s="230" t="s">
        <v>4796</v>
      </c>
      <c r="N309" s="230" t="s">
        <v>4613</v>
      </c>
      <c r="O309" s="158"/>
      <c r="P309" s="92"/>
      <c r="Q309" s="146"/>
      <c r="R309" s="92"/>
      <c r="S309" s="146"/>
      <c r="T309" s="92"/>
      <c r="U309" s="146"/>
      <c r="V309" s="92"/>
      <c r="W309" s="146"/>
      <c r="X309" s="92"/>
      <c r="Y309" s="146"/>
      <c r="Z309" s="92"/>
      <c r="AA309" s="146"/>
      <c r="AB309" s="64"/>
      <c r="AC309" s="146"/>
      <c r="AD309" s="64"/>
      <c r="AE309" s="146"/>
      <c r="AF309" s="215" t="str">
        <f t="shared" si="19"/>
        <v/>
      </c>
      <c r="AG309" s="96" t="b">
        <f t="shared" si="18"/>
        <v>0</v>
      </c>
      <c r="AH309" s="9"/>
      <c r="AI309" s="151" t="str">
        <f t="shared" si="17"/>
        <v>GUARULHOS</v>
      </c>
      <c r="AJ309" s="154" t="s">
        <v>6</v>
      </c>
      <c r="AK309" s="53">
        <v>3.0140959258197153E-2</v>
      </c>
      <c r="AL309" s="53" t="str" cm="1">
        <f t="array" ref="AL309">IF(OR(O309&lt;&gt;"", SUMPRODUCT(($AM$2:$AM$210=AM309)*($AK$2:$AK$210&lt;=AK309)) &lt;= (COUNTIF($AM$2:$AM$210,AM309)*0.1)), "SORTEADO", "-")</f>
        <v>SORTEADO</v>
      </c>
      <c r="AM309" s="53" t="str">
        <f t="shared" si="20"/>
        <v>21/04/2026</v>
      </c>
    </row>
    <row r="310" spans="1:39" ht="30" hidden="1" customHeight="1" x14ac:dyDescent="0.2">
      <c r="A310" s="230" t="s">
        <v>197</v>
      </c>
      <c r="B310" s="230">
        <v>2616375620</v>
      </c>
      <c r="C310" s="230" t="s">
        <v>139</v>
      </c>
      <c r="D310" s="230" t="s">
        <v>67</v>
      </c>
      <c r="E310" s="230" t="s">
        <v>198</v>
      </c>
      <c r="F310" s="230" t="s">
        <v>954</v>
      </c>
      <c r="G310" s="230">
        <v>243</v>
      </c>
      <c r="H310" s="230" t="s">
        <v>2930</v>
      </c>
      <c r="I310" s="230" t="s">
        <v>480</v>
      </c>
      <c r="J310" s="230" t="s">
        <v>4603</v>
      </c>
      <c r="K310" s="230" t="s">
        <v>213</v>
      </c>
      <c r="L310" s="230" t="s">
        <v>1706</v>
      </c>
      <c r="M310" s="230" t="s">
        <v>4797</v>
      </c>
      <c r="N310" s="230" t="s">
        <v>4613</v>
      </c>
      <c r="O310" s="158"/>
      <c r="P310" s="92"/>
      <c r="Q310" s="146"/>
      <c r="R310" s="92"/>
      <c r="S310" s="146"/>
      <c r="T310" s="92"/>
      <c r="U310" s="146"/>
      <c r="V310" s="92"/>
      <c r="W310" s="146"/>
      <c r="X310" s="92"/>
      <c r="Y310" s="146"/>
      <c r="Z310" s="92"/>
      <c r="AA310" s="146"/>
      <c r="AB310" s="64"/>
      <c r="AC310" s="146"/>
      <c r="AD310" s="64"/>
      <c r="AE310" s="146"/>
      <c r="AF310" s="215" t="str">
        <f t="shared" si="19"/>
        <v/>
      </c>
      <c r="AG310" s="96" t="b">
        <f t="shared" si="18"/>
        <v>0</v>
      </c>
      <c r="AH310" s="9"/>
      <c r="AI310" s="151" t="str">
        <f t="shared" si="17"/>
        <v>GUARULHOS</v>
      </c>
      <c r="AJ310" s="154" t="s">
        <v>6</v>
      </c>
      <c r="AK310" s="53">
        <v>0.4637773234911664</v>
      </c>
      <c r="AL310" s="53" t="str" cm="1">
        <f t="array" ref="AL310">IF(OR(O310&lt;&gt;"", SUMPRODUCT(($AM$2:$AM$210=AM310)*($AK$2:$AK$210&lt;=AK310)) &lt;= (COUNTIF($AM$2:$AM$210,AM310)*0.1)), "SORTEADO", "-")</f>
        <v>SORTEADO</v>
      </c>
      <c r="AM310" s="53" t="str">
        <f t="shared" si="20"/>
        <v>21/04/2026</v>
      </c>
    </row>
    <row r="311" spans="1:39" ht="30" hidden="1" customHeight="1" x14ac:dyDescent="0.2">
      <c r="A311" s="230" t="s">
        <v>197</v>
      </c>
      <c r="B311" s="230">
        <v>2690990181</v>
      </c>
      <c r="C311" s="230" t="s">
        <v>138</v>
      </c>
      <c r="D311" s="230" t="s">
        <v>67</v>
      </c>
      <c r="E311" s="230" t="s">
        <v>198</v>
      </c>
      <c r="F311" s="230" t="s">
        <v>1598</v>
      </c>
      <c r="G311" s="230">
        <v>54</v>
      </c>
      <c r="H311" s="230" t="s">
        <v>1599</v>
      </c>
      <c r="I311" s="230" t="s">
        <v>489</v>
      </c>
      <c r="J311" s="230" t="s">
        <v>4605</v>
      </c>
      <c r="K311" s="230"/>
      <c r="L311" s="230" t="s">
        <v>1706</v>
      </c>
      <c r="M311" s="230" t="s">
        <v>4798</v>
      </c>
      <c r="N311" s="230" t="s">
        <v>4620</v>
      </c>
      <c r="O311" s="158"/>
      <c r="P311" s="92"/>
      <c r="Q311" s="146"/>
      <c r="R311" s="92"/>
      <c r="S311" s="146"/>
      <c r="T311" s="92"/>
      <c r="U311" s="146"/>
      <c r="V311" s="92"/>
      <c r="W311" s="146"/>
      <c r="X311" s="92"/>
      <c r="Y311" s="146"/>
      <c r="Z311" s="92"/>
      <c r="AA311" s="146"/>
      <c r="AB311" s="64"/>
      <c r="AC311" s="146"/>
      <c r="AD311" s="64"/>
      <c r="AE311" s="146"/>
      <c r="AF311" s="215" t="str">
        <f t="shared" si="19"/>
        <v/>
      </c>
      <c r="AG311" s="96" t="b">
        <f t="shared" si="18"/>
        <v>0</v>
      </c>
      <c r="AH311" s="9"/>
      <c r="AI311" s="151" t="str">
        <f t="shared" si="17"/>
        <v>GUARULHOS</v>
      </c>
      <c r="AJ311" s="154" t="s">
        <v>6</v>
      </c>
      <c r="AK311" s="53">
        <v>0.93763025750315265</v>
      </c>
      <c r="AL311" s="53" t="str" cm="1">
        <f t="array" ref="AL311">IF(OR(O311&lt;&gt;"", SUMPRODUCT(($AM$2:$AM$210=AM311)*($AK$2:$AK$210&lt;=AK311)) &lt;= (COUNTIF($AM$2:$AM$210,AM311)*0.1)), "SORTEADO", "-")</f>
        <v>SORTEADO</v>
      </c>
      <c r="AM311" s="53" t="str">
        <f t="shared" si="20"/>
        <v>21/04/2026</v>
      </c>
    </row>
    <row r="312" spans="1:39" ht="30" hidden="1" customHeight="1" x14ac:dyDescent="0.2">
      <c r="A312" s="230" t="s">
        <v>197</v>
      </c>
      <c r="B312" s="230">
        <v>2616536216</v>
      </c>
      <c r="C312" s="230" t="s">
        <v>138</v>
      </c>
      <c r="D312" s="230" t="s">
        <v>67</v>
      </c>
      <c r="E312" s="230" t="s">
        <v>198</v>
      </c>
      <c r="F312" s="230" t="s">
        <v>2511</v>
      </c>
      <c r="G312" s="230">
        <v>458</v>
      </c>
      <c r="H312" s="230" t="s">
        <v>213</v>
      </c>
      <c r="I312" s="230" t="s">
        <v>730</v>
      </c>
      <c r="J312" s="230" t="s">
        <v>4605</v>
      </c>
      <c r="K312" s="230" t="s">
        <v>4646</v>
      </c>
      <c r="L312" s="230" t="s">
        <v>1706</v>
      </c>
      <c r="M312" s="230" t="s">
        <v>4799</v>
      </c>
      <c r="N312" s="230" t="s">
        <v>4620</v>
      </c>
      <c r="O312" s="158"/>
      <c r="P312" s="92"/>
      <c r="Q312" s="146"/>
      <c r="R312" s="92"/>
      <c r="S312" s="146"/>
      <c r="T312" s="92"/>
      <c r="U312" s="146"/>
      <c r="V312" s="92"/>
      <c r="W312" s="146"/>
      <c r="X312" s="92"/>
      <c r="Y312" s="146"/>
      <c r="Z312" s="92"/>
      <c r="AA312" s="146"/>
      <c r="AB312" s="64"/>
      <c r="AC312" s="146"/>
      <c r="AD312" s="64"/>
      <c r="AE312" s="146"/>
      <c r="AF312" s="215" t="str">
        <f t="shared" si="19"/>
        <v/>
      </c>
      <c r="AG312" s="96" t="b">
        <f t="shared" si="18"/>
        <v>0</v>
      </c>
      <c r="AH312" s="9"/>
      <c r="AI312" s="151" t="str">
        <f t="shared" ref="AI312:AI374" si="21">E312</f>
        <v>GUARULHOS</v>
      </c>
      <c r="AJ312" s="154" t="s">
        <v>6</v>
      </c>
      <c r="AK312" s="53">
        <v>0.66609184797935417</v>
      </c>
      <c r="AL312" s="53" t="str" cm="1">
        <f t="array" ref="AL312">IF(OR(O312&lt;&gt;"", SUMPRODUCT(($AM$2:$AM$210=AM312)*($AK$2:$AK$210&lt;=AK312)) &lt;= (COUNTIF($AM$2:$AM$210,AM312)*0.1)), "SORTEADO", "-")</f>
        <v>SORTEADO</v>
      </c>
      <c r="AM312" s="53" t="str">
        <f t="shared" si="20"/>
        <v>21/04/2026</v>
      </c>
    </row>
    <row r="313" spans="1:39" ht="30" hidden="1" customHeight="1" x14ac:dyDescent="0.2">
      <c r="A313" s="230" t="s">
        <v>197</v>
      </c>
      <c r="B313" s="230">
        <v>2690989697</v>
      </c>
      <c r="C313" s="230" t="s">
        <v>138</v>
      </c>
      <c r="D313" s="230" t="s">
        <v>67</v>
      </c>
      <c r="E313" s="230" t="s">
        <v>198</v>
      </c>
      <c r="F313" s="230" t="s">
        <v>1475</v>
      </c>
      <c r="G313" s="230">
        <v>80</v>
      </c>
      <c r="H313" s="230"/>
      <c r="I313" s="230" t="s">
        <v>301</v>
      </c>
      <c r="J313" s="230" t="s">
        <v>4605</v>
      </c>
      <c r="K313" s="230"/>
      <c r="L313" s="230" t="s">
        <v>1706</v>
      </c>
      <c r="M313" s="230" t="s">
        <v>4800</v>
      </c>
      <c r="N313" s="230" t="s">
        <v>4620</v>
      </c>
      <c r="O313" s="158"/>
      <c r="P313" s="92"/>
      <c r="Q313" s="146"/>
      <c r="R313" s="92"/>
      <c r="S313" s="146"/>
      <c r="T313" s="92"/>
      <c r="U313" s="146"/>
      <c r="V313" s="92"/>
      <c r="W313" s="146"/>
      <c r="X313" s="92"/>
      <c r="Y313" s="146"/>
      <c r="Z313" s="92"/>
      <c r="AA313" s="146"/>
      <c r="AB313" s="64"/>
      <c r="AC313" s="146"/>
      <c r="AD313" s="64"/>
      <c r="AE313" s="146"/>
      <c r="AF313" s="215" t="str">
        <f t="shared" si="19"/>
        <v/>
      </c>
      <c r="AG313" s="96" t="b">
        <f t="shared" si="18"/>
        <v>0</v>
      </c>
      <c r="AH313" s="9"/>
      <c r="AI313" s="151" t="str">
        <f t="shared" si="21"/>
        <v>GUARULHOS</v>
      </c>
      <c r="AJ313" s="154" t="s">
        <v>6</v>
      </c>
      <c r="AK313" s="53">
        <v>0.43407371844168863</v>
      </c>
      <c r="AL313" s="53" t="str" cm="1">
        <f t="array" ref="AL313">IF(OR(O313&lt;&gt;"", SUMPRODUCT(($AM$2:$AM$210=AM313)*($AK$2:$AK$210&lt;=AK313)) &lt;= (COUNTIF($AM$2:$AM$210,AM313)*0.1)), "SORTEADO", "-")</f>
        <v>SORTEADO</v>
      </c>
      <c r="AM313" s="53" t="str">
        <f t="shared" si="20"/>
        <v>21/04/2026</v>
      </c>
    </row>
    <row r="314" spans="1:39" ht="30" hidden="1" customHeight="1" x14ac:dyDescent="0.2">
      <c r="A314" s="230" t="s">
        <v>197</v>
      </c>
      <c r="B314" s="230">
        <v>2690884590</v>
      </c>
      <c r="C314" s="230" t="s">
        <v>140</v>
      </c>
      <c r="D314" s="230" t="s">
        <v>67</v>
      </c>
      <c r="E314" s="230" t="s">
        <v>198</v>
      </c>
      <c r="F314" s="230" t="s">
        <v>1529</v>
      </c>
      <c r="G314" s="230">
        <v>41</v>
      </c>
      <c r="H314" s="230" t="s">
        <v>213</v>
      </c>
      <c r="I314" s="230" t="s">
        <v>368</v>
      </c>
      <c r="J314" s="230" t="s">
        <v>4605</v>
      </c>
      <c r="K314" s="230" t="s">
        <v>213</v>
      </c>
      <c r="L314" s="230" t="s">
        <v>1706</v>
      </c>
      <c r="M314" s="230" t="s">
        <v>1751</v>
      </c>
      <c r="N314" s="230" t="s">
        <v>4620</v>
      </c>
      <c r="O314" s="158"/>
      <c r="P314" s="92"/>
      <c r="Q314" s="146"/>
      <c r="R314" s="92"/>
      <c r="S314" s="146"/>
      <c r="T314" s="92"/>
      <c r="U314" s="146"/>
      <c r="V314" s="92"/>
      <c r="W314" s="146"/>
      <c r="X314" s="92"/>
      <c r="Y314" s="146"/>
      <c r="Z314" s="92"/>
      <c r="AA314" s="146"/>
      <c r="AB314" s="64"/>
      <c r="AC314" s="146"/>
      <c r="AD314" s="64"/>
      <c r="AE314" s="146"/>
      <c r="AF314" s="215" t="str">
        <f t="shared" si="19"/>
        <v/>
      </c>
      <c r="AG314" s="96" t="b">
        <f t="shared" si="18"/>
        <v>0</v>
      </c>
      <c r="AH314" s="9"/>
      <c r="AI314" s="151" t="str">
        <f t="shared" si="21"/>
        <v>GUARULHOS</v>
      </c>
      <c r="AJ314" s="154" t="s">
        <v>6</v>
      </c>
      <c r="AK314" s="53">
        <v>0.29708359422427222</v>
      </c>
      <c r="AL314" s="53" t="str" cm="1">
        <f t="array" ref="AL314">IF(OR(O314&lt;&gt;"", SUMPRODUCT(($AM$2:$AM$210=AM314)*($AK$2:$AK$210&lt;=AK314)) &lt;= (COUNTIF($AM$2:$AM$210,AM314)*0.1)), "SORTEADO", "-")</f>
        <v>SORTEADO</v>
      </c>
      <c r="AM314" s="53" t="str">
        <f t="shared" si="20"/>
        <v>21/04/2026</v>
      </c>
    </row>
    <row r="315" spans="1:39" ht="30" hidden="1" customHeight="1" x14ac:dyDescent="0.2">
      <c r="A315" s="230" t="s">
        <v>197</v>
      </c>
      <c r="B315" s="230">
        <v>2616457370</v>
      </c>
      <c r="C315" s="230" t="s">
        <v>138</v>
      </c>
      <c r="D315" s="230" t="s">
        <v>67</v>
      </c>
      <c r="E315" s="230" t="s">
        <v>198</v>
      </c>
      <c r="F315" s="230" t="s">
        <v>1555</v>
      </c>
      <c r="G315" s="230">
        <v>33</v>
      </c>
      <c r="H315" s="230" t="s">
        <v>1556</v>
      </c>
      <c r="I315" s="230" t="s">
        <v>269</v>
      </c>
      <c r="J315" s="230" t="s">
        <v>4605</v>
      </c>
      <c r="K315" s="230"/>
      <c r="L315" s="230" t="s">
        <v>1706</v>
      </c>
      <c r="M315" s="230" t="s">
        <v>4801</v>
      </c>
      <c r="N315" s="230" t="s">
        <v>4604</v>
      </c>
      <c r="O315" s="158"/>
      <c r="P315" s="92"/>
      <c r="Q315" s="146"/>
      <c r="R315" s="92"/>
      <c r="S315" s="146"/>
      <c r="T315" s="92"/>
      <c r="U315" s="146"/>
      <c r="V315" s="92"/>
      <c r="W315" s="146"/>
      <c r="X315" s="92"/>
      <c r="Y315" s="146"/>
      <c r="Z315" s="92"/>
      <c r="AA315" s="146"/>
      <c r="AB315" s="64"/>
      <c r="AC315" s="146"/>
      <c r="AD315" s="64"/>
      <c r="AE315" s="146"/>
      <c r="AF315" s="215" t="str">
        <f t="shared" si="19"/>
        <v/>
      </c>
      <c r="AG315" s="96" t="b">
        <f t="shared" si="18"/>
        <v>0</v>
      </c>
      <c r="AH315" s="9"/>
      <c r="AI315" s="151" t="str">
        <f t="shared" si="21"/>
        <v>GUARULHOS</v>
      </c>
      <c r="AJ315" s="154" t="s">
        <v>6</v>
      </c>
      <c r="AK315" s="53">
        <v>0.28516111593579119</v>
      </c>
      <c r="AL315" s="53" t="str" cm="1">
        <f t="array" ref="AL315">IF(OR(O315&lt;&gt;"", SUMPRODUCT(($AM$2:$AM$210=AM315)*($AK$2:$AK$210&lt;=AK315)) &lt;= (COUNTIF($AM$2:$AM$210,AM315)*0.1)), "SORTEADO", "-")</f>
        <v>SORTEADO</v>
      </c>
      <c r="AM315" s="53" t="str">
        <f t="shared" si="20"/>
        <v>21/04/2026</v>
      </c>
    </row>
    <row r="316" spans="1:39" ht="30" hidden="1" customHeight="1" x14ac:dyDescent="0.2">
      <c r="A316" s="230" t="s">
        <v>197</v>
      </c>
      <c r="B316" s="230">
        <v>2616390566</v>
      </c>
      <c r="C316" s="230" t="s">
        <v>138</v>
      </c>
      <c r="D316" s="230" t="s">
        <v>67</v>
      </c>
      <c r="E316" s="230" t="s">
        <v>198</v>
      </c>
      <c r="F316" s="230" t="s">
        <v>1524</v>
      </c>
      <c r="G316" s="230">
        <v>288</v>
      </c>
      <c r="H316" s="230" t="s">
        <v>211</v>
      </c>
      <c r="I316" s="230" t="s">
        <v>791</v>
      </c>
      <c r="J316" s="230" t="s">
        <v>4605</v>
      </c>
      <c r="K316" s="230" t="s">
        <v>213</v>
      </c>
      <c r="L316" s="230" t="s">
        <v>1706</v>
      </c>
      <c r="M316" s="230" t="s">
        <v>4802</v>
      </c>
      <c r="N316" s="230" t="s">
        <v>4604</v>
      </c>
      <c r="O316" s="158"/>
      <c r="P316" s="92"/>
      <c r="Q316" s="146"/>
      <c r="R316" s="92"/>
      <c r="S316" s="146"/>
      <c r="T316" s="92"/>
      <c r="U316" s="146"/>
      <c r="V316" s="92"/>
      <c r="W316" s="146"/>
      <c r="X316" s="92"/>
      <c r="Y316" s="146"/>
      <c r="Z316" s="92"/>
      <c r="AA316" s="146"/>
      <c r="AB316" s="64"/>
      <c r="AC316" s="146"/>
      <c r="AD316" s="64"/>
      <c r="AE316" s="146"/>
      <c r="AF316" s="215" t="str">
        <f t="shared" si="19"/>
        <v/>
      </c>
      <c r="AG316" s="96" t="b">
        <f t="shared" si="18"/>
        <v>0</v>
      </c>
      <c r="AH316" s="9"/>
      <c r="AI316" s="151" t="str">
        <f t="shared" si="21"/>
        <v>GUARULHOS</v>
      </c>
      <c r="AJ316" s="154" t="s">
        <v>6</v>
      </c>
      <c r="AK316" s="53">
        <v>0.3700778634154539</v>
      </c>
      <c r="AL316" s="53" t="str" cm="1">
        <f t="array" ref="AL316">IF(OR(O316&lt;&gt;"", SUMPRODUCT(($AM$2:$AM$210=AM316)*($AK$2:$AK$210&lt;=AK316)) &lt;= (COUNTIF($AM$2:$AM$210,AM316)*0.1)), "SORTEADO", "-")</f>
        <v>SORTEADO</v>
      </c>
      <c r="AM316" s="53" t="str">
        <f t="shared" si="20"/>
        <v>21/04/2026</v>
      </c>
    </row>
    <row r="317" spans="1:39" ht="30" hidden="1" customHeight="1" x14ac:dyDescent="0.2">
      <c r="A317" s="230" t="s">
        <v>197</v>
      </c>
      <c r="B317" s="230">
        <v>2616543038</v>
      </c>
      <c r="C317" s="230" t="s">
        <v>139</v>
      </c>
      <c r="D317" s="230" t="s">
        <v>67</v>
      </c>
      <c r="E317" s="230" t="s">
        <v>198</v>
      </c>
      <c r="F317" s="230" t="s">
        <v>1603</v>
      </c>
      <c r="G317" s="230">
        <v>419</v>
      </c>
      <c r="H317" s="230" t="s">
        <v>1606</v>
      </c>
      <c r="I317" s="230" t="s">
        <v>1277</v>
      </c>
      <c r="J317" s="230" t="s">
        <v>4603</v>
      </c>
      <c r="K317" s="230"/>
      <c r="L317" s="230" t="s">
        <v>1706</v>
      </c>
      <c r="M317" s="230" t="s">
        <v>4803</v>
      </c>
      <c r="N317" s="230" t="s">
        <v>4604</v>
      </c>
      <c r="O317" s="158"/>
      <c r="P317" s="92"/>
      <c r="Q317" s="146"/>
      <c r="R317" s="92"/>
      <c r="S317" s="146"/>
      <c r="T317" s="92"/>
      <c r="U317" s="146"/>
      <c r="V317" s="92"/>
      <c r="W317" s="146"/>
      <c r="X317" s="92"/>
      <c r="Y317" s="146"/>
      <c r="Z317" s="92"/>
      <c r="AA317" s="146"/>
      <c r="AB317" s="64"/>
      <c r="AC317" s="146"/>
      <c r="AD317" s="64"/>
      <c r="AE317" s="146"/>
      <c r="AF317" s="215" t="str">
        <f t="shared" si="19"/>
        <v/>
      </c>
      <c r="AG317" s="96" t="b">
        <f t="shared" si="18"/>
        <v>0</v>
      </c>
      <c r="AH317" s="9"/>
      <c r="AI317" s="151" t="str">
        <f t="shared" si="21"/>
        <v>GUARULHOS</v>
      </c>
      <c r="AJ317" s="154" t="s">
        <v>6</v>
      </c>
      <c r="AK317" s="53">
        <v>0.58043299993165842</v>
      </c>
      <c r="AL317" s="53" t="str" cm="1">
        <f t="array" ref="AL317">IF(OR(O317&lt;&gt;"", SUMPRODUCT(($AM$2:$AM$210=AM317)*($AK$2:$AK$210&lt;=AK317)) &lt;= (COUNTIF($AM$2:$AM$210,AM317)*0.1)), "SORTEADO", "-")</f>
        <v>SORTEADO</v>
      </c>
      <c r="AM317" s="53" t="str">
        <f t="shared" si="20"/>
        <v>21/04/2026</v>
      </c>
    </row>
    <row r="318" spans="1:39" ht="30" hidden="1" customHeight="1" x14ac:dyDescent="0.2">
      <c r="A318" s="230" t="s">
        <v>197</v>
      </c>
      <c r="B318" s="230">
        <v>2616567773</v>
      </c>
      <c r="C318" s="230" t="s">
        <v>138</v>
      </c>
      <c r="D318" s="230" t="s">
        <v>67</v>
      </c>
      <c r="E318" s="230" t="s">
        <v>198</v>
      </c>
      <c r="F318" s="230" t="s">
        <v>1570</v>
      </c>
      <c r="G318" s="230">
        <v>273</v>
      </c>
      <c r="H318" s="230" t="s">
        <v>1595</v>
      </c>
      <c r="I318" s="230" t="s">
        <v>411</v>
      </c>
      <c r="J318" s="230" t="s">
        <v>4605</v>
      </c>
      <c r="K318" s="230" t="s">
        <v>213</v>
      </c>
      <c r="L318" s="230" t="s">
        <v>1706</v>
      </c>
      <c r="M318" s="230" t="s">
        <v>4804</v>
      </c>
      <c r="N318" s="230" t="s">
        <v>4604</v>
      </c>
      <c r="O318" s="158"/>
      <c r="P318" s="92"/>
      <c r="Q318" s="146"/>
      <c r="R318" s="92"/>
      <c r="S318" s="146"/>
      <c r="T318" s="92"/>
      <c r="U318" s="146"/>
      <c r="V318" s="92"/>
      <c r="W318" s="146"/>
      <c r="X318" s="92"/>
      <c r="Y318" s="146"/>
      <c r="Z318" s="92"/>
      <c r="AA318" s="146"/>
      <c r="AB318" s="64"/>
      <c r="AC318" s="146"/>
      <c r="AD318" s="64"/>
      <c r="AE318" s="146"/>
      <c r="AF318" s="215" t="str">
        <f t="shared" si="19"/>
        <v/>
      </c>
      <c r="AG318" s="96" t="b">
        <f t="shared" si="18"/>
        <v>0</v>
      </c>
      <c r="AH318" s="9"/>
      <c r="AI318" s="151" t="str">
        <f t="shared" si="21"/>
        <v>GUARULHOS</v>
      </c>
      <c r="AJ318" s="154" t="s">
        <v>6</v>
      </c>
      <c r="AK318" s="53">
        <v>0.72618643768901481</v>
      </c>
      <c r="AL318" s="53" t="str" cm="1">
        <f t="array" ref="AL318">IF(OR(O318&lt;&gt;"", SUMPRODUCT(($AM$2:$AM$210=AM318)*($AK$2:$AK$210&lt;=AK318)) &lt;= (COUNTIF($AM$2:$AM$210,AM318)*0.1)), "SORTEADO", "-")</f>
        <v>SORTEADO</v>
      </c>
      <c r="AM318" s="53" t="str">
        <f t="shared" si="20"/>
        <v>21/04/2026</v>
      </c>
    </row>
    <row r="319" spans="1:39" ht="30" hidden="1" customHeight="1" x14ac:dyDescent="0.2">
      <c r="A319" s="230" t="s">
        <v>197</v>
      </c>
      <c r="B319" s="230">
        <v>2616393122</v>
      </c>
      <c r="C319" s="230" t="s">
        <v>141</v>
      </c>
      <c r="D319" s="230" t="s">
        <v>67</v>
      </c>
      <c r="E319" s="230" t="s">
        <v>198</v>
      </c>
      <c r="F319" s="230" t="s">
        <v>1669</v>
      </c>
      <c r="G319" s="230">
        <v>161</v>
      </c>
      <c r="H319" s="230" t="s">
        <v>1670</v>
      </c>
      <c r="I319" s="230" t="s">
        <v>1671</v>
      </c>
      <c r="J319" s="230" t="s">
        <v>4603</v>
      </c>
      <c r="K319" s="230"/>
      <c r="L319" s="230" t="s">
        <v>1785</v>
      </c>
      <c r="M319" s="230" t="s">
        <v>4805</v>
      </c>
      <c r="N319" s="230" t="s">
        <v>4620</v>
      </c>
      <c r="O319" s="158"/>
      <c r="P319" s="92"/>
      <c r="Q319" s="146"/>
      <c r="R319" s="92"/>
      <c r="S319" s="146"/>
      <c r="T319" s="92"/>
      <c r="U319" s="146"/>
      <c r="V319" s="92"/>
      <c r="W319" s="146"/>
      <c r="X319" s="92"/>
      <c r="Y319" s="146"/>
      <c r="Z319" s="92"/>
      <c r="AA319" s="146"/>
      <c r="AB319" s="64"/>
      <c r="AC319" s="146"/>
      <c r="AD319" s="64"/>
      <c r="AE319" s="146"/>
      <c r="AF319" s="215" t="str">
        <f t="shared" si="19"/>
        <v/>
      </c>
      <c r="AG319" s="96" t="b">
        <f t="shared" si="18"/>
        <v>0</v>
      </c>
      <c r="AH319" s="9"/>
      <c r="AI319" s="151" t="str">
        <f t="shared" si="21"/>
        <v>GUARULHOS</v>
      </c>
      <c r="AJ319" s="154" t="s">
        <v>6</v>
      </c>
      <c r="AK319" s="53">
        <v>0.85908667413303197</v>
      </c>
      <c r="AL319" s="53" t="str" cm="1">
        <f t="array" ref="AL319">IF(OR(O319&lt;&gt;"", SUMPRODUCT(($AM$2:$AM$210=AM319)*($AK$2:$AK$210&lt;=AK319)) &lt;= (COUNTIF($AM$2:$AM$210,AM319)*0.1)), "SORTEADO", "-")</f>
        <v>SORTEADO</v>
      </c>
      <c r="AM319" s="53" t="str">
        <f t="shared" si="20"/>
        <v>22/04/2026</v>
      </c>
    </row>
    <row r="320" spans="1:39" ht="30" hidden="1" customHeight="1" x14ac:dyDescent="0.2">
      <c r="A320" s="230" t="s">
        <v>197</v>
      </c>
      <c r="B320" s="230">
        <v>2691010374</v>
      </c>
      <c r="C320" s="230" t="s">
        <v>138</v>
      </c>
      <c r="D320" s="230" t="s">
        <v>67</v>
      </c>
      <c r="E320" s="230" t="s">
        <v>198</v>
      </c>
      <c r="F320" s="230" t="s">
        <v>1621</v>
      </c>
      <c r="G320" s="230">
        <v>31</v>
      </c>
      <c r="H320" s="230" t="s">
        <v>213</v>
      </c>
      <c r="I320" s="230" t="s">
        <v>683</v>
      </c>
      <c r="J320" s="230" t="s">
        <v>4605</v>
      </c>
      <c r="K320" s="230" t="s">
        <v>213</v>
      </c>
      <c r="L320" s="230" t="s">
        <v>1785</v>
      </c>
      <c r="M320" s="230" t="s">
        <v>4806</v>
      </c>
      <c r="N320" s="230" t="s">
        <v>4604</v>
      </c>
      <c r="O320" s="158"/>
      <c r="P320" s="92"/>
      <c r="Q320" s="146"/>
      <c r="R320" s="92"/>
      <c r="S320" s="146"/>
      <c r="T320" s="92"/>
      <c r="U320" s="146"/>
      <c r="V320" s="92"/>
      <c r="W320" s="146"/>
      <c r="X320" s="92"/>
      <c r="Y320" s="146"/>
      <c r="Z320" s="92"/>
      <c r="AA320" s="146"/>
      <c r="AB320" s="64"/>
      <c r="AC320" s="146"/>
      <c r="AD320" s="64"/>
      <c r="AE320" s="146"/>
      <c r="AF320" s="215" t="str">
        <f t="shared" si="19"/>
        <v/>
      </c>
      <c r="AG320" s="96" t="b">
        <f t="shared" si="18"/>
        <v>0</v>
      </c>
      <c r="AH320" s="9"/>
      <c r="AI320" s="151" t="str">
        <f t="shared" si="21"/>
        <v>GUARULHOS</v>
      </c>
      <c r="AJ320" s="154" t="s">
        <v>6</v>
      </c>
      <c r="AK320" s="53">
        <v>0.52346726982384728</v>
      </c>
      <c r="AL320" s="53" t="str" cm="1">
        <f t="array" ref="AL320">IF(OR(O320&lt;&gt;"", SUMPRODUCT(($AM$2:$AM$210=AM320)*($AK$2:$AK$210&lt;=AK320)) &lt;= (COUNTIF($AM$2:$AM$210,AM320)*0.1)), "SORTEADO", "-")</f>
        <v>SORTEADO</v>
      </c>
      <c r="AM320" s="53" t="str">
        <f t="shared" si="20"/>
        <v>22/04/2026</v>
      </c>
    </row>
    <row r="321" spans="1:39" ht="30" hidden="1" customHeight="1" x14ac:dyDescent="0.2">
      <c r="A321" s="230" t="s">
        <v>197</v>
      </c>
      <c r="B321" s="230">
        <v>2616404679</v>
      </c>
      <c r="C321" s="230" t="s">
        <v>141</v>
      </c>
      <c r="D321" s="230" t="s">
        <v>67</v>
      </c>
      <c r="E321" s="230" t="s">
        <v>198</v>
      </c>
      <c r="F321" s="230" t="s">
        <v>2942</v>
      </c>
      <c r="G321" s="230">
        <v>14</v>
      </c>
      <c r="H321" s="230" t="s">
        <v>1299</v>
      </c>
      <c r="I321" s="230" t="s">
        <v>559</v>
      </c>
      <c r="J321" s="230" t="s">
        <v>4603</v>
      </c>
      <c r="K321" s="230"/>
      <c r="L321" s="230" t="s">
        <v>1785</v>
      </c>
      <c r="M321" s="230" t="s">
        <v>4807</v>
      </c>
      <c r="N321" s="230" t="s">
        <v>4604</v>
      </c>
      <c r="O321" s="158"/>
      <c r="P321" s="92"/>
      <c r="Q321" s="146"/>
      <c r="R321" s="92"/>
      <c r="S321" s="146"/>
      <c r="T321" s="92"/>
      <c r="U321" s="146"/>
      <c r="V321" s="92"/>
      <c r="W321" s="146"/>
      <c r="X321" s="92"/>
      <c r="Y321" s="146"/>
      <c r="Z321" s="92"/>
      <c r="AA321" s="146"/>
      <c r="AB321" s="64"/>
      <c r="AC321" s="146"/>
      <c r="AD321" s="64"/>
      <c r="AE321" s="146"/>
      <c r="AF321" s="215" t="str">
        <f t="shared" si="19"/>
        <v/>
      </c>
      <c r="AG321" s="96" t="b">
        <f t="shared" ref="AG321:AG384" si="22">IF(AND(AE321="C",AF321="C"),"UTILIZOU O PDA CORRETAMENTE",IF(AND(AE321="C",AF321="NC"),"UTILIZOU O PDA CORRETAMENTE. NÃO HÁ FOTOS DE TODAS AS ETAPAS",IF(AND(AE321="NC",AF321="NC"),"NÃO UTILIZOU O PDA",IF(AND(AE321="NA",AF321="NA"),"NÃO AVALIADO POR FALHA DE SINCRONISMO"))))</f>
        <v>0</v>
      </c>
      <c r="AH321" s="9"/>
      <c r="AI321" s="151" t="str">
        <f t="shared" si="21"/>
        <v>GUARULHOS</v>
      </c>
      <c r="AJ321" s="154" t="s">
        <v>6</v>
      </c>
      <c r="AK321" s="53">
        <v>0.65738277897682529</v>
      </c>
      <c r="AL321" s="53" t="str" cm="1">
        <f t="array" ref="AL321">IF(OR(O321&lt;&gt;"", SUMPRODUCT(($AM$2:$AM$210=AM321)*($AK$2:$AK$210&lt;=AK321)) &lt;= (COUNTIF($AM$2:$AM$210,AM321)*0.1)), "SORTEADO", "-")</f>
        <v>SORTEADO</v>
      </c>
      <c r="AM321" s="53" t="str">
        <f t="shared" si="20"/>
        <v>22/04/2026</v>
      </c>
    </row>
    <row r="322" spans="1:39" ht="30" hidden="1" customHeight="1" x14ac:dyDescent="0.2">
      <c r="A322" s="230" t="s">
        <v>197</v>
      </c>
      <c r="B322" s="230">
        <v>2691013543</v>
      </c>
      <c r="C322" s="230" t="s">
        <v>141</v>
      </c>
      <c r="D322" s="230" t="s">
        <v>67</v>
      </c>
      <c r="E322" s="230" t="s">
        <v>198</v>
      </c>
      <c r="F322" s="230" t="s">
        <v>1673</v>
      </c>
      <c r="G322" s="230">
        <v>111</v>
      </c>
      <c r="H322" s="230" t="s">
        <v>276</v>
      </c>
      <c r="I322" s="230" t="s">
        <v>919</v>
      </c>
      <c r="J322" s="230" t="s">
        <v>4603</v>
      </c>
      <c r="K322" s="230" t="s">
        <v>213</v>
      </c>
      <c r="L322" s="230" t="s">
        <v>1785</v>
      </c>
      <c r="M322" s="230" t="s">
        <v>4808</v>
      </c>
      <c r="N322" s="230" t="s">
        <v>4604</v>
      </c>
      <c r="O322" s="158"/>
      <c r="P322" s="92"/>
      <c r="Q322" s="146"/>
      <c r="R322" s="92"/>
      <c r="S322" s="146"/>
      <c r="T322" s="92"/>
      <c r="U322" s="146"/>
      <c r="V322" s="92"/>
      <c r="W322" s="146"/>
      <c r="X322" s="92"/>
      <c r="Y322" s="146"/>
      <c r="Z322" s="92"/>
      <c r="AA322" s="146"/>
      <c r="AB322" s="64"/>
      <c r="AC322" s="146"/>
      <c r="AD322" s="64"/>
      <c r="AE322" s="146"/>
      <c r="AF322" s="215" t="str">
        <f t="shared" ref="AF322:AF385" si="23">IF(AND(O322="",Q322="",S322="",U322="",W322="",Y322="",AA322="",AC322=""),"",
IF(OR(    AND(O322&lt;&gt;"NA",O322&lt;&gt;"C",O322&lt;&gt;"NC",O322&lt;&gt;"SF",O322&lt;&gt;""),
    AND(Q322&lt;&gt;"NA",Q322&lt;&gt;"C",Q322&lt;&gt;"NC",Q322&lt;&gt;"SF",Q322&lt;&gt;""),
    AND(S322&lt;&gt;"NA",S322&lt;&gt;"C",S322&lt;&gt;"NC",S322&lt;&gt;"SF",S322&lt;&gt;""),
    AND(U322&lt;&gt;"NA",U322&lt;&gt;"C",U322&lt;&gt;"NC",U322&lt;&gt;"SF",U322&lt;&gt;""),
    AND(W322&lt;&gt;"NA",W322&lt;&gt;"C",W322&lt;&gt;"NC",W322&lt;&gt;"SF",W322&lt;&gt;""),
    AND(Y322&lt;&gt;"NA",Y322&lt;&gt;"C",Y322&lt;&gt;"NC",Y322&lt;&gt;"SF",Y322&lt;&gt;""),
    AND(AA322&lt;&gt;"NA",AA322&lt;&gt;"C",AA322&lt;&gt;"NC",AA322&lt;&gt;"SF",AA322&lt;&gt;""),
    AND(AC322&lt;&gt;"NA",AC322&lt;&gt;"C",AC322&lt;&gt;"NC",AC322&lt;&gt;"SF",AC322&lt;&gt;"")
),"FALSO",
IF(AND(O322="NA",Q322="NA",S322="NA",U322="NA",W322="NA",Y322="NA",AA322="NA",AC322="NA"),"NA",
IF(OR(O322="NC",Q322="NC",S322="NC",U322="NC",W322="NC",Y322="NC",AA322="NC",AC322="NC",
       O322="SF",Q322="SF",S322="SF",U322="SF",W322="SF",Y322="SF",AA322="SF",AC322="SF"),"NC",
IF(SUM(IF(O322="C",1,0),IF(Q322="C",1,0),IF(S322="C",1,0),IF(U322="C",1,0),IF(W322="C",1,0),IF(Y322="C",1,0),IF(AA322="C",1,0),IF(AC322="C",1,0))=1,"C","C")))))</f>
        <v/>
      </c>
      <c r="AG322" s="96" t="b">
        <f t="shared" si="22"/>
        <v>0</v>
      </c>
      <c r="AH322" s="9"/>
      <c r="AI322" s="151" t="str">
        <f t="shared" si="21"/>
        <v>GUARULHOS</v>
      </c>
      <c r="AJ322" s="154" t="s">
        <v>6</v>
      </c>
      <c r="AK322" s="53">
        <v>0.65085051529305293</v>
      </c>
      <c r="AL322" s="53" t="str" cm="1">
        <f t="array" ref="AL322">IF(OR(O322&lt;&gt;"", SUMPRODUCT(($AM$2:$AM$210=AM322)*($AK$2:$AK$210&lt;=AK322)) &lt;= (COUNTIF($AM$2:$AM$210,AM322)*0.1)), "SORTEADO", "-")</f>
        <v>SORTEADO</v>
      </c>
      <c r="AM322" s="53" t="str">
        <f t="shared" si="20"/>
        <v>22/04/2026</v>
      </c>
    </row>
    <row r="323" spans="1:39" ht="30" hidden="1" customHeight="1" x14ac:dyDescent="0.2">
      <c r="A323" s="230" t="s">
        <v>197</v>
      </c>
      <c r="B323" s="230">
        <v>2616608539</v>
      </c>
      <c r="C323" s="230" t="s">
        <v>138</v>
      </c>
      <c r="D323" s="230" t="s">
        <v>67</v>
      </c>
      <c r="E323" s="230" t="s">
        <v>198</v>
      </c>
      <c r="F323" s="230" t="s">
        <v>1657</v>
      </c>
      <c r="G323" s="230">
        <v>58</v>
      </c>
      <c r="H323" s="230" t="s">
        <v>1267</v>
      </c>
      <c r="I323" s="230" t="s">
        <v>269</v>
      </c>
      <c r="J323" s="230" t="s">
        <v>4605</v>
      </c>
      <c r="K323" s="230"/>
      <c r="L323" s="230" t="s">
        <v>1785</v>
      </c>
      <c r="M323" s="230" t="s">
        <v>4809</v>
      </c>
      <c r="N323" s="230" t="s">
        <v>4604</v>
      </c>
      <c r="O323" s="158"/>
      <c r="P323" s="92"/>
      <c r="Q323" s="146"/>
      <c r="R323" s="92"/>
      <c r="S323" s="146"/>
      <c r="T323" s="92"/>
      <c r="U323" s="146"/>
      <c r="V323" s="92"/>
      <c r="W323" s="146"/>
      <c r="X323" s="92"/>
      <c r="Y323" s="146"/>
      <c r="Z323" s="92"/>
      <c r="AA323" s="146"/>
      <c r="AB323" s="64"/>
      <c r="AC323" s="146"/>
      <c r="AD323" s="64"/>
      <c r="AE323" s="146"/>
      <c r="AF323" s="215" t="str">
        <f t="shared" si="23"/>
        <v/>
      </c>
      <c r="AG323" s="96" t="b">
        <f t="shared" si="22"/>
        <v>0</v>
      </c>
      <c r="AH323" s="9"/>
      <c r="AI323" s="151" t="str">
        <f t="shared" si="21"/>
        <v>GUARULHOS</v>
      </c>
      <c r="AJ323" s="154" t="s">
        <v>6</v>
      </c>
      <c r="AK323" s="53">
        <v>0.1002395694700734</v>
      </c>
      <c r="AL323" s="53" t="str" cm="1">
        <f t="array" ref="AL323">IF(OR(O323&lt;&gt;"", SUMPRODUCT(($AM$2:$AM$210=AM323)*($AK$2:$AK$210&lt;=AK323)) &lt;= (COUNTIF($AM$2:$AM$210,AM323)*0.1)), "SORTEADO", "-")</f>
        <v>SORTEADO</v>
      </c>
      <c r="AM323" s="53" t="str">
        <f t="shared" si="20"/>
        <v>22/04/2026</v>
      </c>
    </row>
    <row r="324" spans="1:39" ht="30" hidden="1" customHeight="1" x14ac:dyDescent="0.2">
      <c r="A324" s="230" t="s">
        <v>197</v>
      </c>
      <c r="B324" s="230">
        <v>2615567547</v>
      </c>
      <c r="C324" s="230" t="s">
        <v>139</v>
      </c>
      <c r="D324" s="230" t="s">
        <v>67</v>
      </c>
      <c r="E324" s="230" t="s">
        <v>198</v>
      </c>
      <c r="F324" s="230" t="s">
        <v>1639</v>
      </c>
      <c r="G324" s="230">
        <v>129</v>
      </c>
      <c r="H324" s="230" t="s">
        <v>1280</v>
      </c>
      <c r="I324" s="230" t="s">
        <v>207</v>
      </c>
      <c r="J324" s="230" t="s">
        <v>4603</v>
      </c>
      <c r="K324" s="230" t="s">
        <v>213</v>
      </c>
      <c r="L324" s="230" t="s">
        <v>1785</v>
      </c>
      <c r="M324" s="230" t="s">
        <v>4810</v>
      </c>
      <c r="N324" s="230" t="s">
        <v>4613</v>
      </c>
      <c r="O324" s="158"/>
      <c r="P324" s="92"/>
      <c r="Q324" s="146"/>
      <c r="R324" s="92"/>
      <c r="S324" s="146"/>
      <c r="T324" s="92"/>
      <c r="U324" s="146"/>
      <c r="V324" s="92"/>
      <c r="W324" s="146"/>
      <c r="X324" s="92"/>
      <c r="Y324" s="146"/>
      <c r="Z324" s="92"/>
      <c r="AA324" s="146"/>
      <c r="AB324" s="64"/>
      <c r="AC324" s="146"/>
      <c r="AD324" s="64"/>
      <c r="AE324" s="146"/>
      <c r="AF324" s="215" t="str">
        <f t="shared" si="23"/>
        <v/>
      </c>
      <c r="AG324" s="96" t="b">
        <f t="shared" si="22"/>
        <v>0</v>
      </c>
      <c r="AH324" s="9"/>
      <c r="AI324" s="151" t="str">
        <f t="shared" si="21"/>
        <v>GUARULHOS</v>
      </c>
      <c r="AJ324" s="154" t="s">
        <v>6</v>
      </c>
      <c r="AK324" s="53">
        <v>0.18808805570794984</v>
      </c>
      <c r="AL324" s="53" t="str" cm="1">
        <f t="array" ref="AL324">IF(OR(O324&lt;&gt;"", SUMPRODUCT(($AM$2:$AM$210=AM324)*($AK$2:$AK$210&lt;=AK324)) &lt;= (COUNTIF($AM$2:$AM$210,AM324)*0.1)), "SORTEADO", "-")</f>
        <v>SORTEADO</v>
      </c>
      <c r="AM324" s="53" t="str">
        <f t="shared" si="20"/>
        <v>22/04/2026</v>
      </c>
    </row>
    <row r="325" spans="1:39" ht="30" hidden="1" customHeight="1" x14ac:dyDescent="0.2">
      <c r="A325" s="230" t="s">
        <v>197</v>
      </c>
      <c r="B325" s="230">
        <v>2616231509</v>
      </c>
      <c r="C325" s="230" t="s">
        <v>141</v>
      </c>
      <c r="D325" s="230" t="s">
        <v>67</v>
      </c>
      <c r="E325" s="230" t="s">
        <v>198</v>
      </c>
      <c r="F325" s="230" t="s">
        <v>1643</v>
      </c>
      <c r="G325" s="230">
        <v>16</v>
      </c>
      <c r="H325" s="230" t="s">
        <v>206</v>
      </c>
      <c r="I325" s="230" t="s">
        <v>1644</v>
      </c>
      <c r="J325" s="230" t="s">
        <v>4603</v>
      </c>
      <c r="K325" s="230"/>
      <c r="L325" s="230" t="s">
        <v>1785</v>
      </c>
      <c r="M325" s="230" t="s">
        <v>4811</v>
      </c>
      <c r="N325" s="230" t="s">
        <v>4613</v>
      </c>
      <c r="O325" s="158"/>
      <c r="P325" s="92"/>
      <c r="Q325" s="146"/>
      <c r="R325" s="92"/>
      <c r="S325" s="146"/>
      <c r="T325" s="92"/>
      <c r="U325" s="146"/>
      <c r="V325" s="92"/>
      <c r="W325" s="146"/>
      <c r="X325" s="92"/>
      <c r="Y325" s="146"/>
      <c r="Z325" s="92"/>
      <c r="AA325" s="146"/>
      <c r="AB325" s="64"/>
      <c r="AC325" s="146"/>
      <c r="AD325" s="64"/>
      <c r="AE325" s="146"/>
      <c r="AF325" s="215" t="str">
        <f t="shared" si="23"/>
        <v/>
      </c>
      <c r="AG325" s="96" t="b">
        <f t="shared" si="22"/>
        <v>0</v>
      </c>
      <c r="AH325" s="9"/>
      <c r="AI325" s="151" t="str">
        <f t="shared" si="21"/>
        <v>GUARULHOS</v>
      </c>
      <c r="AJ325" s="154" t="s">
        <v>6</v>
      </c>
      <c r="AK325" s="53">
        <v>0.88806455519124006</v>
      </c>
      <c r="AL325" s="53" t="str" cm="1">
        <f t="array" ref="AL325">IF(OR(O325&lt;&gt;"", SUMPRODUCT(($AM$2:$AM$210=AM325)*($AK$2:$AK$210&lt;=AK325)) &lt;= (COUNTIF($AM$2:$AM$210,AM325)*0.1)), "SORTEADO", "-")</f>
        <v>SORTEADO</v>
      </c>
      <c r="AM325" s="53" t="str">
        <f t="shared" si="20"/>
        <v>22/04/2026</v>
      </c>
    </row>
    <row r="326" spans="1:39" ht="30" hidden="1" customHeight="1" x14ac:dyDescent="0.2">
      <c r="A326" s="230" t="s">
        <v>197</v>
      </c>
      <c r="B326" s="230">
        <v>2616643440</v>
      </c>
      <c r="C326" s="230" t="s">
        <v>138</v>
      </c>
      <c r="D326" s="230" t="s">
        <v>67</v>
      </c>
      <c r="E326" s="230" t="s">
        <v>198</v>
      </c>
      <c r="F326" s="230" t="s">
        <v>1676</v>
      </c>
      <c r="G326" s="230">
        <v>275</v>
      </c>
      <c r="H326" s="230" t="s">
        <v>213</v>
      </c>
      <c r="I326" s="230" t="s">
        <v>1677</v>
      </c>
      <c r="J326" s="230" t="s">
        <v>4605</v>
      </c>
      <c r="K326" s="230" t="s">
        <v>213</v>
      </c>
      <c r="L326" s="230" t="s">
        <v>1785</v>
      </c>
      <c r="M326" s="230" t="s">
        <v>4812</v>
      </c>
      <c r="N326" s="230" t="s">
        <v>4613</v>
      </c>
      <c r="O326" s="158"/>
      <c r="P326" s="92"/>
      <c r="Q326" s="146"/>
      <c r="R326" s="92"/>
      <c r="S326" s="146"/>
      <c r="T326" s="92"/>
      <c r="U326" s="146"/>
      <c r="V326" s="92"/>
      <c r="W326" s="146"/>
      <c r="X326" s="92"/>
      <c r="Y326" s="146"/>
      <c r="Z326" s="92"/>
      <c r="AA326" s="146"/>
      <c r="AB326" s="64"/>
      <c r="AC326" s="146"/>
      <c r="AD326" s="64"/>
      <c r="AE326" s="146"/>
      <c r="AF326" s="215" t="str">
        <f t="shared" si="23"/>
        <v/>
      </c>
      <c r="AG326" s="96" t="b">
        <f t="shared" si="22"/>
        <v>0</v>
      </c>
      <c r="AH326" s="9"/>
      <c r="AI326" s="151" t="str">
        <f t="shared" si="21"/>
        <v>GUARULHOS</v>
      </c>
      <c r="AJ326" s="154" t="s">
        <v>6</v>
      </c>
      <c r="AK326" s="53">
        <v>0.33137974587840635</v>
      </c>
      <c r="AL326" s="53" t="str" cm="1">
        <f t="array" ref="AL326">IF(OR(O326&lt;&gt;"", SUMPRODUCT(($AM$2:$AM$210=AM326)*($AK$2:$AK$210&lt;=AK326)) &lt;= (COUNTIF($AM$2:$AM$210,AM326)*0.1)), "SORTEADO", "-")</f>
        <v>SORTEADO</v>
      </c>
      <c r="AM326" s="53" t="str">
        <f t="shared" si="20"/>
        <v>22/04/2026</v>
      </c>
    </row>
    <row r="327" spans="1:39" ht="30" hidden="1" customHeight="1" x14ac:dyDescent="0.2">
      <c r="A327" s="242" t="s">
        <v>197</v>
      </c>
      <c r="B327" s="242">
        <v>2616543328</v>
      </c>
      <c r="C327" s="242" t="s">
        <v>138</v>
      </c>
      <c r="D327" s="242" t="s">
        <v>67</v>
      </c>
      <c r="E327" s="242" t="s">
        <v>198</v>
      </c>
      <c r="F327" s="242" t="s">
        <v>1663</v>
      </c>
      <c r="G327" s="242">
        <v>87</v>
      </c>
      <c r="H327" s="242" t="s">
        <v>1664</v>
      </c>
      <c r="I327" s="242" t="s">
        <v>650</v>
      </c>
      <c r="J327" s="242" t="s">
        <v>4605</v>
      </c>
      <c r="K327" s="242"/>
      <c r="L327" s="242" t="s">
        <v>1785</v>
      </c>
      <c r="M327" s="242" t="s">
        <v>4813</v>
      </c>
      <c r="N327" s="242" t="s">
        <v>4613</v>
      </c>
      <c r="O327" s="158"/>
      <c r="P327" s="92"/>
      <c r="Q327" s="146"/>
      <c r="R327" s="92"/>
      <c r="S327" s="146"/>
      <c r="T327" s="92"/>
      <c r="U327" s="146"/>
      <c r="V327" s="92"/>
      <c r="W327" s="146"/>
      <c r="X327" s="92"/>
      <c r="Y327" s="146"/>
      <c r="Z327" s="92"/>
      <c r="AA327" s="146"/>
      <c r="AB327" s="64"/>
      <c r="AC327" s="146"/>
      <c r="AD327" s="64"/>
      <c r="AE327" s="146"/>
      <c r="AF327" s="215" t="str">
        <f t="shared" si="23"/>
        <v/>
      </c>
      <c r="AG327" s="96" t="b">
        <f t="shared" si="22"/>
        <v>0</v>
      </c>
      <c r="AH327" s="9"/>
      <c r="AI327" s="151" t="str">
        <f t="shared" si="21"/>
        <v>GUARULHOS</v>
      </c>
      <c r="AJ327" s="154" t="s">
        <v>6</v>
      </c>
      <c r="AK327" s="53">
        <v>0.22615059835689333</v>
      </c>
      <c r="AL327" s="53" t="str" cm="1">
        <f t="array" ref="AL327">IF(OR(O327&lt;&gt;"", SUMPRODUCT(($AM$2:$AM$210=AM327)*($AK$2:$AK$210&lt;=AK327)) &lt;= (COUNTIF($AM$2:$AM$210,AM327)*0.1)), "SORTEADO", "-")</f>
        <v>SORTEADO</v>
      </c>
      <c r="AM327" s="53" t="str">
        <f t="shared" si="20"/>
        <v>22/04/2026</v>
      </c>
    </row>
    <row r="328" spans="1:39" ht="30" hidden="1" customHeight="1" x14ac:dyDescent="0.2">
      <c r="A328" s="230" t="s">
        <v>197</v>
      </c>
      <c r="B328" s="230">
        <v>2616631729</v>
      </c>
      <c r="C328" s="230" t="s">
        <v>140</v>
      </c>
      <c r="D328" s="230" t="s">
        <v>67</v>
      </c>
      <c r="E328" s="230" t="s">
        <v>198</v>
      </c>
      <c r="F328" s="230" t="s">
        <v>1096</v>
      </c>
      <c r="G328" s="230">
        <v>97</v>
      </c>
      <c r="H328" s="230" t="s">
        <v>1749</v>
      </c>
      <c r="I328" s="230" t="s">
        <v>1750</v>
      </c>
      <c r="J328" s="230" t="s">
        <v>4605</v>
      </c>
      <c r="K328" s="230"/>
      <c r="L328" s="230" t="s">
        <v>1888</v>
      </c>
      <c r="M328" s="230" t="s">
        <v>3001</v>
      </c>
      <c r="N328" s="230" t="s">
        <v>4620</v>
      </c>
      <c r="O328" s="158"/>
      <c r="P328" s="92"/>
      <c r="Q328" s="146"/>
      <c r="R328" s="92"/>
      <c r="S328" s="146"/>
      <c r="T328" s="92"/>
      <c r="U328" s="146"/>
      <c r="V328" s="92"/>
      <c r="W328" s="146"/>
      <c r="X328" s="92"/>
      <c r="Y328" s="146"/>
      <c r="Z328" s="92"/>
      <c r="AA328" s="146"/>
      <c r="AB328" s="64"/>
      <c r="AC328" s="146"/>
      <c r="AD328" s="64"/>
      <c r="AE328" s="146"/>
      <c r="AF328" s="215" t="str">
        <f t="shared" si="23"/>
        <v/>
      </c>
      <c r="AG328" s="96" t="b">
        <f t="shared" si="22"/>
        <v>0</v>
      </c>
      <c r="AH328" s="9"/>
      <c r="AI328" s="151" t="str">
        <f t="shared" si="21"/>
        <v>GUARULHOS</v>
      </c>
      <c r="AJ328" s="154" t="s">
        <v>6</v>
      </c>
      <c r="AK328" s="53">
        <v>0.63506051145569165</v>
      </c>
      <c r="AL328" s="53" t="str" cm="1">
        <f t="array" ref="AL328">IF(OR(O328&lt;&gt;"", SUMPRODUCT(($AM$2:$AM$210=AM328)*($AK$2:$AK$210&lt;=AK328)) &lt;= (COUNTIF($AM$2:$AM$210,AM328)*0.1)), "SORTEADO", "-")</f>
        <v>SORTEADO</v>
      </c>
      <c r="AM328" s="53" t="str">
        <f t="shared" si="20"/>
        <v>24/04/2026</v>
      </c>
    </row>
    <row r="329" spans="1:39" ht="30" customHeight="1" x14ac:dyDescent="0.2">
      <c r="A329" s="230" t="s">
        <v>197</v>
      </c>
      <c r="B329" s="244">
        <v>2691286731</v>
      </c>
      <c r="C329" s="230" t="s">
        <v>138</v>
      </c>
      <c r="D329" s="230" t="s">
        <v>67</v>
      </c>
      <c r="E329" s="230" t="s">
        <v>198</v>
      </c>
      <c r="F329" s="230" t="s">
        <v>1053</v>
      </c>
      <c r="G329" s="230">
        <v>87</v>
      </c>
      <c r="H329" s="230" t="s">
        <v>1054</v>
      </c>
      <c r="I329" s="230" t="s">
        <v>492</v>
      </c>
      <c r="J329" s="230" t="s">
        <v>4605</v>
      </c>
      <c r="K329" s="230" t="s">
        <v>213</v>
      </c>
      <c r="L329" s="230" t="s">
        <v>1888</v>
      </c>
      <c r="M329" s="230" t="s">
        <v>4814</v>
      </c>
      <c r="N329" s="230" t="s">
        <v>4620</v>
      </c>
      <c r="O329" s="158" t="s">
        <v>210</v>
      </c>
      <c r="P329" s="92"/>
      <c r="Q329" s="146" t="s">
        <v>210</v>
      </c>
      <c r="R329" s="92"/>
      <c r="S329" s="146" t="s">
        <v>210</v>
      </c>
      <c r="T329" s="92"/>
      <c r="U329" s="146" t="s">
        <v>210</v>
      </c>
      <c r="V329" s="92"/>
      <c r="W329" s="146" t="s">
        <v>210</v>
      </c>
      <c r="X329" s="92"/>
      <c r="Y329" s="146" t="s">
        <v>210</v>
      </c>
      <c r="Z329" s="92"/>
      <c r="AA329" s="146" t="s">
        <v>210</v>
      </c>
      <c r="AB329" s="64"/>
      <c r="AC329" s="146" t="s">
        <v>210</v>
      </c>
      <c r="AD329" s="64"/>
      <c r="AE329" s="146" t="s">
        <v>210</v>
      </c>
      <c r="AF329" s="215" t="str">
        <f t="shared" si="23"/>
        <v>NC</v>
      </c>
      <c r="AG329" s="96" t="str">
        <f t="shared" si="22"/>
        <v>NÃO UTILIZOU O PDA</v>
      </c>
      <c r="AH329" s="9" t="s">
        <v>39</v>
      </c>
      <c r="AI329" s="151" t="str">
        <f t="shared" si="21"/>
        <v>GUARULHOS</v>
      </c>
      <c r="AJ329" s="154" t="s">
        <v>6</v>
      </c>
      <c r="AK329" s="53">
        <v>-6.5600000000000006E-2</v>
      </c>
      <c r="AL329" s="53" t="str" cm="1">
        <f t="array" ref="AL329">IF(OR(O329&lt;&gt;"", SUMPRODUCT(($AM$2:$AM$210=AM329)*($AK$2:$AK$210&lt;=AK329)) &lt;= (COUNTIF($AM$2:$AM$210,AM329)*0.1)), "SORTEADO", "-")</f>
        <v>SORTEADO</v>
      </c>
      <c r="AM329" s="53" t="str">
        <f t="shared" si="20"/>
        <v>24/04/2026</v>
      </c>
    </row>
    <row r="330" spans="1:39" ht="30" customHeight="1" x14ac:dyDescent="0.2">
      <c r="A330" s="230" t="s">
        <v>197</v>
      </c>
      <c r="B330" s="230">
        <v>2617114765</v>
      </c>
      <c r="C330" s="230" t="s">
        <v>141</v>
      </c>
      <c r="D330" s="230" t="s">
        <v>67</v>
      </c>
      <c r="E330" s="230" t="s">
        <v>198</v>
      </c>
      <c r="F330" s="230" t="s">
        <v>1347</v>
      </c>
      <c r="G330" s="230">
        <v>4447</v>
      </c>
      <c r="H330" s="230" t="s">
        <v>1348</v>
      </c>
      <c r="I330" s="230" t="s">
        <v>394</v>
      </c>
      <c r="J330" s="230" t="s">
        <v>4603</v>
      </c>
      <c r="K330" s="230"/>
      <c r="L330" s="230" t="s">
        <v>1888</v>
      </c>
      <c r="M330" s="230" t="s">
        <v>4815</v>
      </c>
      <c r="N330" s="230" t="s">
        <v>4620</v>
      </c>
      <c r="O330" s="158" t="s">
        <v>210</v>
      </c>
      <c r="P330" s="92" t="s">
        <v>413</v>
      </c>
      <c r="Q330" s="146" t="s">
        <v>210</v>
      </c>
      <c r="R330" s="92" t="s">
        <v>413</v>
      </c>
      <c r="S330" s="146" t="s">
        <v>210</v>
      </c>
      <c r="T330" s="92" t="s">
        <v>413</v>
      </c>
      <c r="U330" s="146" t="s">
        <v>210</v>
      </c>
      <c r="V330" s="92" t="s">
        <v>413</v>
      </c>
      <c r="W330" s="146" t="s">
        <v>210</v>
      </c>
      <c r="X330" s="92" t="s">
        <v>413</v>
      </c>
      <c r="Y330" s="146" t="s">
        <v>210</v>
      </c>
      <c r="Z330" s="92" t="s">
        <v>413</v>
      </c>
      <c r="AA330" s="146" t="s">
        <v>210</v>
      </c>
      <c r="AB330" s="64" t="s">
        <v>413</v>
      </c>
      <c r="AC330" s="146" t="s">
        <v>210</v>
      </c>
      <c r="AD330" s="64" t="s">
        <v>413</v>
      </c>
      <c r="AE330" s="146" t="s">
        <v>210</v>
      </c>
      <c r="AF330" s="215" t="str">
        <f t="shared" si="23"/>
        <v>NC</v>
      </c>
      <c r="AG330" s="96" t="str">
        <f t="shared" si="22"/>
        <v>NÃO UTILIZOU O PDA</v>
      </c>
      <c r="AH330" s="9" t="s">
        <v>39</v>
      </c>
      <c r="AI330" s="151" t="str">
        <f t="shared" si="21"/>
        <v>GUARULHOS</v>
      </c>
      <c r="AJ330" s="154" t="s">
        <v>6</v>
      </c>
      <c r="AK330" s="53">
        <v>-6.5799999999999997E-2</v>
      </c>
      <c r="AL330" s="53" t="str" cm="1">
        <f t="array" ref="AL330">IF(OR(O330&lt;&gt;"", SUMPRODUCT(($AM$2:$AM$210=AM330)*($AK$2:$AK$210&lt;=AK330)) &lt;= (COUNTIF($AM$2:$AM$210,AM330)*0.1)), "SORTEADO", "-")</f>
        <v>SORTEADO</v>
      </c>
      <c r="AM330" s="53" t="str">
        <f t="shared" si="20"/>
        <v>24/04/2026</v>
      </c>
    </row>
    <row r="331" spans="1:39" ht="30" customHeight="1" x14ac:dyDescent="0.2">
      <c r="A331" s="230" t="s">
        <v>197</v>
      </c>
      <c r="B331" s="230">
        <v>2616746622</v>
      </c>
      <c r="C331" s="230" t="s">
        <v>139</v>
      </c>
      <c r="D331" s="230" t="s">
        <v>67</v>
      </c>
      <c r="E331" s="230" t="s">
        <v>198</v>
      </c>
      <c r="F331" s="230" t="s">
        <v>230</v>
      </c>
      <c r="G331" s="230">
        <v>125</v>
      </c>
      <c r="H331" s="230" t="s">
        <v>1762</v>
      </c>
      <c r="I331" s="230" t="s">
        <v>231</v>
      </c>
      <c r="J331" s="230" t="s">
        <v>4603</v>
      </c>
      <c r="K331" s="230" t="s">
        <v>213</v>
      </c>
      <c r="L331" s="230" t="s">
        <v>1888</v>
      </c>
      <c r="M331" s="230" t="s">
        <v>4816</v>
      </c>
      <c r="N331" s="230" t="s">
        <v>4620</v>
      </c>
      <c r="O331" s="158" t="s">
        <v>210</v>
      </c>
      <c r="P331" s="92"/>
      <c r="Q331" s="146" t="s">
        <v>210</v>
      </c>
      <c r="R331" s="92" t="s">
        <v>413</v>
      </c>
      <c r="S331" s="146" t="s">
        <v>210</v>
      </c>
      <c r="T331" s="92" t="s">
        <v>413</v>
      </c>
      <c r="U331" s="146" t="s">
        <v>210</v>
      </c>
      <c r="V331" s="92" t="s">
        <v>413</v>
      </c>
      <c r="W331" s="146" t="s">
        <v>210</v>
      </c>
      <c r="X331" s="92" t="s">
        <v>413</v>
      </c>
      <c r="Y331" s="146" t="s">
        <v>210</v>
      </c>
      <c r="Z331" s="92" t="s">
        <v>413</v>
      </c>
      <c r="AA331" s="146" t="s">
        <v>210</v>
      </c>
      <c r="AB331" s="64" t="s">
        <v>413</v>
      </c>
      <c r="AC331" s="146" t="s">
        <v>210</v>
      </c>
      <c r="AD331" s="64" t="s">
        <v>413</v>
      </c>
      <c r="AE331" s="146" t="s">
        <v>210</v>
      </c>
      <c r="AF331" s="215" t="str">
        <f t="shared" si="23"/>
        <v>NC</v>
      </c>
      <c r="AG331" s="96" t="str">
        <f t="shared" si="22"/>
        <v>NÃO UTILIZOU O PDA</v>
      </c>
      <c r="AH331" s="9" t="s">
        <v>39</v>
      </c>
      <c r="AI331" s="151" t="str">
        <f t="shared" si="21"/>
        <v>GUARULHOS</v>
      </c>
      <c r="AJ331" s="154" t="s">
        <v>6</v>
      </c>
      <c r="AK331" s="53">
        <v>-6.6000000000000003E-2</v>
      </c>
      <c r="AL331" s="53" t="str" cm="1">
        <f t="array" ref="AL331">IF(OR(O331&lt;&gt;"", SUMPRODUCT(($AM$2:$AM$210=AM331)*($AK$2:$AK$210&lt;=AK331)) &lt;= (COUNTIF($AM$2:$AM$210,AM331)*0.1)), "SORTEADO", "-")</f>
        <v>SORTEADO</v>
      </c>
      <c r="AM331" s="53" t="str">
        <f t="shared" si="20"/>
        <v>24/04/2026</v>
      </c>
    </row>
    <row r="332" spans="1:39" ht="30" customHeight="1" x14ac:dyDescent="0.2">
      <c r="A332" s="230" t="s">
        <v>197</v>
      </c>
      <c r="B332" s="230">
        <v>2616241316</v>
      </c>
      <c r="C332" s="230" t="s">
        <v>141</v>
      </c>
      <c r="D332" s="230" t="s">
        <v>67</v>
      </c>
      <c r="E332" s="230" t="s">
        <v>198</v>
      </c>
      <c r="F332" s="230" t="s">
        <v>1496</v>
      </c>
      <c r="G332" s="230">
        <v>310</v>
      </c>
      <c r="H332" s="230" t="s">
        <v>1747</v>
      </c>
      <c r="I332" s="230" t="s">
        <v>732</v>
      </c>
      <c r="J332" s="230" t="s">
        <v>4603</v>
      </c>
      <c r="K332" s="230"/>
      <c r="L332" s="230" t="s">
        <v>1888</v>
      </c>
      <c r="M332" s="230" t="s">
        <v>4817</v>
      </c>
      <c r="N332" s="230" t="s">
        <v>4620</v>
      </c>
      <c r="O332" s="158" t="s">
        <v>210</v>
      </c>
      <c r="P332" s="92" t="s">
        <v>413</v>
      </c>
      <c r="Q332" s="146" t="s">
        <v>210</v>
      </c>
      <c r="R332" s="92" t="s">
        <v>413</v>
      </c>
      <c r="S332" s="146" t="s">
        <v>210</v>
      </c>
      <c r="T332" s="92" t="s">
        <v>413</v>
      </c>
      <c r="U332" s="146" t="s">
        <v>210</v>
      </c>
      <c r="V332" s="92" t="s">
        <v>413</v>
      </c>
      <c r="W332" s="146" t="s">
        <v>210</v>
      </c>
      <c r="X332" s="92" t="s">
        <v>413</v>
      </c>
      <c r="Y332" s="146" t="s">
        <v>210</v>
      </c>
      <c r="Z332" s="92" t="s">
        <v>413</v>
      </c>
      <c r="AA332" s="146" t="s">
        <v>210</v>
      </c>
      <c r="AB332" s="64" t="s">
        <v>413</v>
      </c>
      <c r="AC332" s="146" t="s">
        <v>210</v>
      </c>
      <c r="AD332" s="64" t="s">
        <v>413</v>
      </c>
      <c r="AE332" s="146" t="s">
        <v>210</v>
      </c>
      <c r="AF332" s="215" t="str">
        <f t="shared" si="23"/>
        <v>NC</v>
      </c>
      <c r="AG332" s="96" t="str">
        <f t="shared" si="22"/>
        <v>NÃO UTILIZOU O PDA</v>
      </c>
      <c r="AH332" s="9" t="s">
        <v>39</v>
      </c>
      <c r="AI332" s="151" t="str">
        <f t="shared" si="21"/>
        <v>GUARULHOS</v>
      </c>
      <c r="AJ332" s="154" t="s">
        <v>6</v>
      </c>
      <c r="AK332" s="53">
        <v>-6.6199999999999995E-2</v>
      </c>
      <c r="AL332" s="53" t="str" cm="1">
        <f t="array" ref="AL332">IF(OR(O332&lt;&gt;"", SUMPRODUCT(($AM$2:$AM$210=AM332)*($AK$2:$AK$210&lt;=AK332)) &lt;= (COUNTIF($AM$2:$AM$210,AM332)*0.1)), "SORTEADO", "-")</f>
        <v>SORTEADO</v>
      </c>
      <c r="AM332" s="53" t="str">
        <f t="shared" si="20"/>
        <v>24/04/2026</v>
      </c>
    </row>
    <row r="333" spans="1:39" ht="30" customHeight="1" x14ac:dyDescent="0.2">
      <c r="A333" s="230" t="s">
        <v>197</v>
      </c>
      <c r="B333" s="230">
        <v>2691242980</v>
      </c>
      <c r="C333" s="230" t="s">
        <v>138</v>
      </c>
      <c r="D333" s="230" t="s">
        <v>67</v>
      </c>
      <c r="E333" s="230" t="s">
        <v>198</v>
      </c>
      <c r="F333" s="230" t="s">
        <v>4818</v>
      </c>
      <c r="G333" s="230">
        <v>23</v>
      </c>
      <c r="H333" s="230" t="s">
        <v>4819</v>
      </c>
      <c r="I333" s="230" t="s">
        <v>489</v>
      </c>
      <c r="J333" s="230" t="s">
        <v>4605</v>
      </c>
      <c r="K333" s="230" t="s">
        <v>213</v>
      </c>
      <c r="L333" s="230" t="s">
        <v>1888</v>
      </c>
      <c r="M333" s="230" t="s">
        <v>1902</v>
      </c>
      <c r="N333" s="230" t="s">
        <v>4620</v>
      </c>
      <c r="O333" s="158" t="s">
        <v>210</v>
      </c>
      <c r="P333" s="92" t="s">
        <v>413</v>
      </c>
      <c r="Q333" s="146" t="s">
        <v>210</v>
      </c>
      <c r="R333" s="92" t="s">
        <v>413</v>
      </c>
      <c r="S333" s="146" t="s">
        <v>210</v>
      </c>
      <c r="T333" s="92" t="s">
        <v>413</v>
      </c>
      <c r="U333" s="146" t="s">
        <v>210</v>
      </c>
      <c r="V333" s="92" t="s">
        <v>413</v>
      </c>
      <c r="W333" s="146" t="s">
        <v>210</v>
      </c>
      <c r="X333" s="92" t="s">
        <v>413</v>
      </c>
      <c r="Y333" s="146" t="s">
        <v>210</v>
      </c>
      <c r="Z333" s="92" t="s">
        <v>413</v>
      </c>
      <c r="AA333" s="146" t="s">
        <v>210</v>
      </c>
      <c r="AB333" s="64" t="s">
        <v>413</v>
      </c>
      <c r="AC333" s="146" t="s">
        <v>210</v>
      </c>
      <c r="AD333" s="64" t="s">
        <v>413</v>
      </c>
      <c r="AE333" s="146" t="s">
        <v>210</v>
      </c>
      <c r="AF333" s="215" t="str">
        <f t="shared" si="23"/>
        <v>NC</v>
      </c>
      <c r="AG333" s="96" t="str">
        <f t="shared" si="22"/>
        <v>NÃO UTILIZOU O PDA</v>
      </c>
      <c r="AH333" s="9" t="s">
        <v>39</v>
      </c>
      <c r="AI333" s="151" t="str">
        <f t="shared" si="21"/>
        <v>GUARULHOS</v>
      </c>
      <c r="AJ333" s="154" t="s">
        <v>6</v>
      </c>
      <c r="AK333" s="53">
        <v>-6.6400000000000001E-2</v>
      </c>
      <c r="AL333" s="53" t="str" cm="1">
        <f t="array" ref="AL333">IF(OR(O333&lt;&gt;"", SUMPRODUCT(($AM$2:$AM$210=AM333)*($AK$2:$AK$210&lt;=AK333)) &lt;= (COUNTIF($AM$2:$AM$210,AM333)*0.1)), "SORTEADO", "-")</f>
        <v>SORTEADO</v>
      </c>
      <c r="AM333" s="53" t="str">
        <f t="shared" si="20"/>
        <v>24/04/2026</v>
      </c>
    </row>
    <row r="334" spans="1:39" ht="30" customHeight="1" x14ac:dyDescent="0.2">
      <c r="A334" s="230" t="s">
        <v>197</v>
      </c>
      <c r="B334" s="230">
        <v>2616862038</v>
      </c>
      <c r="C334" s="230" t="s">
        <v>141</v>
      </c>
      <c r="D334" s="230" t="s">
        <v>67</v>
      </c>
      <c r="E334" s="230" t="s">
        <v>198</v>
      </c>
      <c r="F334" s="230" t="s">
        <v>4820</v>
      </c>
      <c r="G334" s="230">
        <v>30</v>
      </c>
      <c r="H334" s="230" t="s">
        <v>4821</v>
      </c>
      <c r="I334" s="230" t="s">
        <v>1760</v>
      </c>
      <c r="J334" s="230" t="s">
        <v>4603</v>
      </c>
      <c r="K334" s="230"/>
      <c r="L334" s="230" t="s">
        <v>1888</v>
      </c>
      <c r="M334" s="230" t="s">
        <v>4822</v>
      </c>
      <c r="N334" s="230" t="s">
        <v>4620</v>
      </c>
      <c r="O334" s="158" t="s">
        <v>210</v>
      </c>
      <c r="P334" s="92" t="s">
        <v>413</v>
      </c>
      <c r="Q334" s="146" t="s">
        <v>210</v>
      </c>
      <c r="R334" s="92" t="s">
        <v>413</v>
      </c>
      <c r="S334" s="146" t="s">
        <v>210</v>
      </c>
      <c r="T334" s="92" t="s">
        <v>413</v>
      </c>
      <c r="U334" s="146" t="s">
        <v>210</v>
      </c>
      <c r="V334" s="92" t="s">
        <v>413</v>
      </c>
      <c r="W334" s="146" t="s">
        <v>210</v>
      </c>
      <c r="X334" s="92" t="s">
        <v>413</v>
      </c>
      <c r="Y334" s="146" t="s">
        <v>210</v>
      </c>
      <c r="Z334" s="92" t="s">
        <v>413</v>
      </c>
      <c r="AA334" s="146" t="s">
        <v>210</v>
      </c>
      <c r="AB334" s="64" t="s">
        <v>413</v>
      </c>
      <c r="AC334" s="146" t="s">
        <v>210</v>
      </c>
      <c r="AD334" s="64" t="s">
        <v>413</v>
      </c>
      <c r="AE334" s="146" t="s">
        <v>210</v>
      </c>
      <c r="AF334" s="215" t="str">
        <f t="shared" si="23"/>
        <v>NC</v>
      </c>
      <c r="AG334" s="96" t="str">
        <f t="shared" si="22"/>
        <v>NÃO UTILIZOU O PDA</v>
      </c>
      <c r="AH334" s="9" t="s">
        <v>39</v>
      </c>
      <c r="AI334" s="151" t="str">
        <f t="shared" si="21"/>
        <v>GUARULHOS</v>
      </c>
      <c r="AJ334" s="154" t="s">
        <v>6</v>
      </c>
      <c r="AK334" s="53">
        <v>-6.6600000000000006E-2</v>
      </c>
      <c r="AL334" s="53" t="str" cm="1">
        <f t="array" ref="AL334">IF(OR(O334&lt;&gt;"", SUMPRODUCT(($AM$2:$AM$210=AM334)*($AK$2:$AK$210&lt;=AK334)) &lt;= (COUNTIF($AM$2:$AM$210,AM334)*0.1)), "SORTEADO", "-")</f>
        <v>SORTEADO</v>
      </c>
      <c r="AM334" s="53" t="str">
        <f t="shared" si="20"/>
        <v>24/04/2026</v>
      </c>
    </row>
    <row r="335" spans="1:39" ht="30" customHeight="1" x14ac:dyDescent="0.2">
      <c r="A335" s="230" t="s">
        <v>197</v>
      </c>
      <c r="B335" s="230">
        <v>2616853906</v>
      </c>
      <c r="C335" s="230" t="s">
        <v>138</v>
      </c>
      <c r="D335" s="230" t="s">
        <v>67</v>
      </c>
      <c r="E335" s="230" t="s">
        <v>198</v>
      </c>
      <c r="F335" s="230" t="s">
        <v>3448</v>
      </c>
      <c r="G335" s="230">
        <v>645</v>
      </c>
      <c r="H335" s="230" t="s">
        <v>4823</v>
      </c>
      <c r="I335" s="230" t="s">
        <v>411</v>
      </c>
      <c r="J335" s="230" t="s">
        <v>4605</v>
      </c>
      <c r="K335" s="230" t="s">
        <v>4610</v>
      </c>
      <c r="L335" s="230" t="s">
        <v>1888</v>
      </c>
      <c r="M335" s="230" t="s">
        <v>4824</v>
      </c>
      <c r="N335" s="230" t="s">
        <v>4604</v>
      </c>
      <c r="O335" s="158" t="s">
        <v>210</v>
      </c>
      <c r="P335" s="92" t="s">
        <v>413</v>
      </c>
      <c r="Q335" s="146" t="s">
        <v>210</v>
      </c>
      <c r="R335" s="92" t="s">
        <v>413</v>
      </c>
      <c r="S335" s="146" t="s">
        <v>210</v>
      </c>
      <c r="T335" s="92" t="s">
        <v>413</v>
      </c>
      <c r="U335" s="146" t="s">
        <v>210</v>
      </c>
      <c r="V335" s="92" t="s">
        <v>413</v>
      </c>
      <c r="W335" s="146" t="s">
        <v>210</v>
      </c>
      <c r="X335" s="92" t="s">
        <v>413</v>
      </c>
      <c r="Y335" s="146" t="s">
        <v>210</v>
      </c>
      <c r="Z335" s="92" t="s">
        <v>413</v>
      </c>
      <c r="AA335" s="146" t="s">
        <v>210</v>
      </c>
      <c r="AB335" s="64" t="s">
        <v>413</v>
      </c>
      <c r="AC335" s="146" t="s">
        <v>210</v>
      </c>
      <c r="AD335" s="64"/>
      <c r="AE335" s="146" t="s">
        <v>210</v>
      </c>
      <c r="AF335" s="215" t="str">
        <f t="shared" si="23"/>
        <v>NC</v>
      </c>
      <c r="AG335" s="96" t="str">
        <f t="shared" si="22"/>
        <v>NÃO UTILIZOU O PDA</v>
      </c>
      <c r="AH335" s="9" t="s">
        <v>39</v>
      </c>
      <c r="AI335" s="151" t="str">
        <f t="shared" si="21"/>
        <v>GUARULHOS</v>
      </c>
      <c r="AJ335" s="154" t="s">
        <v>6</v>
      </c>
      <c r="AK335" s="53">
        <v>-6.6799999999999998E-2</v>
      </c>
      <c r="AL335" s="53" t="str" cm="1">
        <f t="array" ref="AL335">IF(OR(O335&lt;&gt;"", SUMPRODUCT(($AM$2:$AM$210=AM335)*($AK$2:$AK$210&lt;=AK335)) &lt;= (COUNTIF($AM$2:$AM$210,AM335)*0.1)), "SORTEADO", "-")</f>
        <v>SORTEADO</v>
      </c>
      <c r="AM335" s="53" t="str">
        <f t="shared" si="20"/>
        <v>24/04/2026</v>
      </c>
    </row>
    <row r="336" spans="1:39" ht="30" customHeight="1" x14ac:dyDescent="0.2">
      <c r="A336" s="230" t="s">
        <v>197</v>
      </c>
      <c r="B336" s="230">
        <v>2691116361</v>
      </c>
      <c r="C336" s="230" t="s">
        <v>138</v>
      </c>
      <c r="D336" s="230" t="s">
        <v>67</v>
      </c>
      <c r="E336" s="230" t="s">
        <v>198</v>
      </c>
      <c r="F336" s="230" t="s">
        <v>1719</v>
      </c>
      <c r="G336" s="230">
        <v>10</v>
      </c>
      <c r="H336" s="230"/>
      <c r="I336" s="230" t="s">
        <v>791</v>
      </c>
      <c r="J336" s="230" t="s">
        <v>4605</v>
      </c>
      <c r="K336" s="230"/>
      <c r="L336" s="230" t="s">
        <v>1888</v>
      </c>
      <c r="M336" s="230" t="s">
        <v>4825</v>
      </c>
      <c r="N336" s="230" t="s">
        <v>4604</v>
      </c>
      <c r="O336" s="158" t="s">
        <v>210</v>
      </c>
      <c r="P336" s="92" t="s">
        <v>413</v>
      </c>
      <c r="Q336" s="146" t="s">
        <v>210</v>
      </c>
      <c r="R336" s="92" t="s">
        <v>413</v>
      </c>
      <c r="S336" s="146" t="s">
        <v>210</v>
      </c>
      <c r="T336" s="92" t="s">
        <v>413</v>
      </c>
      <c r="U336" s="146" t="s">
        <v>210</v>
      </c>
      <c r="V336" s="92" t="s">
        <v>413</v>
      </c>
      <c r="W336" s="146" t="s">
        <v>210</v>
      </c>
      <c r="X336" s="92" t="s">
        <v>413</v>
      </c>
      <c r="Y336" s="146" t="s">
        <v>210</v>
      </c>
      <c r="Z336" s="92" t="s">
        <v>413</v>
      </c>
      <c r="AA336" s="146" t="s">
        <v>210</v>
      </c>
      <c r="AB336" s="64" t="s">
        <v>413</v>
      </c>
      <c r="AC336" s="146" t="s">
        <v>210</v>
      </c>
      <c r="AD336" s="64" t="s">
        <v>413</v>
      </c>
      <c r="AE336" s="146" t="s">
        <v>210</v>
      </c>
      <c r="AF336" s="215" t="str">
        <f t="shared" si="23"/>
        <v>NC</v>
      </c>
      <c r="AG336" s="96" t="str">
        <f t="shared" si="22"/>
        <v>NÃO UTILIZOU O PDA</v>
      </c>
      <c r="AH336" s="9" t="s">
        <v>39</v>
      </c>
      <c r="AI336" s="151" t="str">
        <f t="shared" si="21"/>
        <v>GUARULHOS</v>
      </c>
      <c r="AJ336" s="154" t="s">
        <v>6</v>
      </c>
      <c r="AK336" s="53">
        <v>-6.7000000000000004E-2</v>
      </c>
      <c r="AL336" s="53" t="str" cm="1">
        <f t="array" ref="AL336">IF(OR(O336&lt;&gt;"", SUMPRODUCT(($AM$2:$AM$210=AM336)*($AK$2:$AK$210&lt;=AK336)) &lt;= (COUNTIF($AM$2:$AM$210,AM336)*0.1)), "SORTEADO", "-")</f>
        <v>SORTEADO</v>
      </c>
      <c r="AM336" s="53" t="str">
        <f t="shared" si="20"/>
        <v>24/04/2026</v>
      </c>
    </row>
    <row r="337" spans="1:39" ht="30" customHeight="1" x14ac:dyDescent="0.2">
      <c r="A337" s="230" t="s">
        <v>197</v>
      </c>
      <c r="B337" s="230">
        <v>2617109053</v>
      </c>
      <c r="C337" s="230" t="s">
        <v>141</v>
      </c>
      <c r="D337" s="230" t="s">
        <v>67</v>
      </c>
      <c r="E337" s="230" t="s">
        <v>198</v>
      </c>
      <c r="F337" s="230" t="s">
        <v>1654</v>
      </c>
      <c r="G337" s="230">
        <v>111</v>
      </c>
      <c r="H337" s="230" t="s">
        <v>213</v>
      </c>
      <c r="I337" s="230" t="s">
        <v>411</v>
      </c>
      <c r="J337" s="230" t="s">
        <v>4603</v>
      </c>
      <c r="K337" s="230" t="s">
        <v>213</v>
      </c>
      <c r="L337" s="230" t="s">
        <v>1888</v>
      </c>
      <c r="M337" s="230" t="s">
        <v>4826</v>
      </c>
      <c r="N337" s="230" t="s">
        <v>4604</v>
      </c>
      <c r="O337" s="158" t="s">
        <v>210</v>
      </c>
      <c r="P337" s="92" t="s">
        <v>413</v>
      </c>
      <c r="Q337" s="158" t="s">
        <v>210</v>
      </c>
      <c r="R337" s="92" t="s">
        <v>413</v>
      </c>
      <c r="S337" s="158" t="s">
        <v>210</v>
      </c>
      <c r="T337" s="92" t="s">
        <v>413</v>
      </c>
      <c r="U337" s="158" t="s">
        <v>210</v>
      </c>
      <c r="V337" s="92" t="s">
        <v>413</v>
      </c>
      <c r="W337" s="158" t="s">
        <v>210</v>
      </c>
      <c r="X337" s="92" t="s">
        <v>413</v>
      </c>
      <c r="Y337" s="158" t="s">
        <v>210</v>
      </c>
      <c r="Z337" s="92" t="s">
        <v>413</v>
      </c>
      <c r="AA337" s="158" t="s">
        <v>210</v>
      </c>
      <c r="AB337" s="64" t="s">
        <v>413</v>
      </c>
      <c r="AC337" s="158" t="s">
        <v>210</v>
      </c>
      <c r="AD337" s="64" t="s">
        <v>413</v>
      </c>
      <c r="AE337" s="158" t="s">
        <v>210</v>
      </c>
      <c r="AF337" s="215" t="str">
        <f t="shared" si="23"/>
        <v>NC</v>
      </c>
      <c r="AG337" s="96" t="str">
        <f t="shared" si="22"/>
        <v>NÃO UTILIZOU O PDA</v>
      </c>
      <c r="AH337" s="9" t="s">
        <v>39</v>
      </c>
      <c r="AI337" s="151" t="str">
        <f t="shared" si="21"/>
        <v>GUARULHOS</v>
      </c>
      <c r="AJ337" s="154" t="s">
        <v>6</v>
      </c>
      <c r="AK337" s="53">
        <v>-6.7199999999999996E-2</v>
      </c>
      <c r="AL337" s="53" t="str" cm="1">
        <f t="array" ref="AL337">IF(OR(O337&lt;&gt;"", SUMPRODUCT(($AM$2:$AM$210=AM337)*($AK$2:$AK$210&lt;=AK337)) &lt;= (COUNTIF($AM$2:$AM$210,AM337)*0.1)), "SORTEADO", "-")</f>
        <v>SORTEADO</v>
      </c>
      <c r="AM337" s="53" t="str">
        <f t="shared" si="20"/>
        <v>24/04/2026</v>
      </c>
    </row>
    <row r="338" spans="1:39" ht="30" hidden="1" customHeight="1" x14ac:dyDescent="0.2">
      <c r="A338" s="230" t="s">
        <v>197</v>
      </c>
      <c r="B338" s="230">
        <v>2691135564</v>
      </c>
      <c r="C338" s="230" t="s">
        <v>138</v>
      </c>
      <c r="D338" s="230" t="s">
        <v>67</v>
      </c>
      <c r="E338" s="230" t="s">
        <v>198</v>
      </c>
      <c r="F338" s="230" t="s">
        <v>1517</v>
      </c>
      <c r="G338" s="230">
        <v>231</v>
      </c>
      <c r="H338" s="230"/>
      <c r="I338" s="230" t="s">
        <v>893</v>
      </c>
      <c r="J338" s="230" t="s">
        <v>4605</v>
      </c>
      <c r="K338" s="230"/>
      <c r="L338" s="230" t="s">
        <v>1888</v>
      </c>
      <c r="M338" s="230" t="s">
        <v>4827</v>
      </c>
      <c r="N338" s="230" t="s">
        <v>4613</v>
      </c>
      <c r="O338" s="158" t="s">
        <v>204</v>
      </c>
      <c r="P338" s="92"/>
      <c r="Q338" s="146" t="s">
        <v>204</v>
      </c>
      <c r="R338" s="92"/>
      <c r="S338" s="146" t="s">
        <v>204</v>
      </c>
      <c r="T338" s="92"/>
      <c r="U338" s="146" t="s">
        <v>204</v>
      </c>
      <c r="V338" s="92"/>
      <c r="W338" s="146" t="s">
        <v>204</v>
      </c>
      <c r="X338" s="92"/>
      <c r="Y338" s="146" t="s">
        <v>204</v>
      </c>
      <c r="Z338" s="92"/>
      <c r="AA338" s="146" t="s">
        <v>204</v>
      </c>
      <c r="AB338" s="64"/>
      <c r="AC338" s="146" t="s">
        <v>204</v>
      </c>
      <c r="AD338" s="64"/>
      <c r="AE338" s="146" t="s">
        <v>204</v>
      </c>
      <c r="AF338" s="215" t="str">
        <f t="shared" si="23"/>
        <v>C</v>
      </c>
      <c r="AG338" s="96" t="str">
        <f t="shared" si="22"/>
        <v>UTILIZOU O PDA CORRETAMENTE</v>
      </c>
      <c r="AH338" s="9" t="s">
        <v>39</v>
      </c>
      <c r="AI338" s="151" t="str">
        <f t="shared" si="21"/>
        <v>GUARULHOS</v>
      </c>
      <c r="AJ338" s="154" t="s">
        <v>6</v>
      </c>
      <c r="AK338" s="53">
        <v>-6.7400000000000002E-2</v>
      </c>
      <c r="AL338" s="53" t="str" cm="1">
        <f t="array" ref="AL338">IF(OR(O338&lt;&gt;"", SUMPRODUCT(($AM$2:$AM$210=AM338)*($AK$2:$AK$210&lt;=AK338)) &lt;= (COUNTIF($AM$2:$AM$210,AM338)*0.1)), "SORTEADO", "-")</f>
        <v>SORTEADO</v>
      </c>
      <c r="AM338" s="53" t="str">
        <f t="shared" si="20"/>
        <v>24/04/2026</v>
      </c>
    </row>
    <row r="339" spans="1:39" ht="30" hidden="1" customHeight="1" x14ac:dyDescent="0.2">
      <c r="A339" s="230" t="s">
        <v>197</v>
      </c>
      <c r="B339" s="230">
        <v>2616396927</v>
      </c>
      <c r="C339" s="230" t="s">
        <v>139</v>
      </c>
      <c r="D339" s="230" t="s">
        <v>67</v>
      </c>
      <c r="E339" s="230" t="s">
        <v>198</v>
      </c>
      <c r="F339" s="230" t="s">
        <v>1743</v>
      </c>
      <c r="G339" s="230">
        <v>504</v>
      </c>
      <c r="H339" s="230" t="s">
        <v>206</v>
      </c>
      <c r="I339" s="230" t="s">
        <v>1744</v>
      </c>
      <c r="J339" s="230" t="s">
        <v>4603</v>
      </c>
      <c r="K339" s="230" t="s">
        <v>213</v>
      </c>
      <c r="L339" s="230" t="s">
        <v>1888</v>
      </c>
      <c r="M339" s="230" t="s">
        <v>4828</v>
      </c>
      <c r="N339" s="230" t="s">
        <v>4613</v>
      </c>
      <c r="O339" s="158" t="s">
        <v>204</v>
      </c>
      <c r="P339" s="92"/>
      <c r="Q339" s="146" t="s">
        <v>204</v>
      </c>
      <c r="R339" s="92"/>
      <c r="S339" s="146" t="s">
        <v>204</v>
      </c>
      <c r="T339" s="92"/>
      <c r="U339" s="146" t="s">
        <v>204</v>
      </c>
      <c r="V339" s="92"/>
      <c r="W339" s="146" t="s">
        <v>204</v>
      </c>
      <c r="X339" s="92"/>
      <c r="Y339" s="146" t="s">
        <v>204</v>
      </c>
      <c r="Z339" s="92"/>
      <c r="AA339" s="146" t="s">
        <v>204</v>
      </c>
      <c r="AB339" s="64"/>
      <c r="AC339" s="146" t="s">
        <v>204</v>
      </c>
      <c r="AD339" s="64"/>
      <c r="AE339" s="146" t="s">
        <v>204</v>
      </c>
      <c r="AF339" s="215" t="str">
        <f t="shared" si="23"/>
        <v>C</v>
      </c>
      <c r="AG339" s="96" t="str">
        <f t="shared" si="22"/>
        <v>UTILIZOU O PDA CORRETAMENTE</v>
      </c>
      <c r="AH339" s="9" t="s">
        <v>39</v>
      </c>
      <c r="AI339" s="151" t="str">
        <f t="shared" si="21"/>
        <v>GUARULHOS</v>
      </c>
      <c r="AJ339" s="154" t="s">
        <v>6</v>
      </c>
      <c r="AK339" s="53">
        <v>-6.7599999999999993E-2</v>
      </c>
      <c r="AL339" s="53" t="str" cm="1">
        <f t="array" ref="AL339">IF(OR(O339&lt;&gt;"", SUMPRODUCT(($AM$2:$AM$210=AM339)*($AK$2:$AK$210&lt;=AK339)) &lt;= (COUNTIF($AM$2:$AM$210,AM339)*0.1)), "SORTEADO", "-")</f>
        <v>SORTEADO</v>
      </c>
      <c r="AM339" s="53" t="str">
        <f t="shared" si="20"/>
        <v>24/04/2026</v>
      </c>
    </row>
    <row r="340" spans="1:39" ht="30" hidden="1" customHeight="1" x14ac:dyDescent="0.2">
      <c r="A340" s="230" t="s">
        <v>197</v>
      </c>
      <c r="B340" s="230">
        <v>2616341673</v>
      </c>
      <c r="C340" s="230" t="s">
        <v>139</v>
      </c>
      <c r="D340" s="230" t="s">
        <v>67</v>
      </c>
      <c r="E340" s="230" t="s">
        <v>198</v>
      </c>
      <c r="F340" s="230" t="s">
        <v>627</v>
      </c>
      <c r="G340" s="230">
        <v>2485</v>
      </c>
      <c r="H340" s="230"/>
      <c r="I340" s="230" t="s">
        <v>1677</v>
      </c>
      <c r="J340" s="230" t="s">
        <v>4603</v>
      </c>
      <c r="K340" s="230"/>
      <c r="L340" s="230" t="s">
        <v>1888</v>
      </c>
      <c r="M340" s="230" t="s">
        <v>4829</v>
      </c>
      <c r="N340" s="230" t="s">
        <v>4613</v>
      </c>
      <c r="O340" s="158" t="s">
        <v>204</v>
      </c>
      <c r="P340" s="92"/>
      <c r="Q340" s="146" t="s">
        <v>204</v>
      </c>
      <c r="R340" s="92"/>
      <c r="S340" s="146" t="s">
        <v>204</v>
      </c>
      <c r="T340" s="92"/>
      <c r="U340" s="146" t="s">
        <v>204</v>
      </c>
      <c r="V340" s="92"/>
      <c r="W340" s="146" t="s">
        <v>204</v>
      </c>
      <c r="X340" s="92"/>
      <c r="Y340" s="146" t="s">
        <v>204</v>
      </c>
      <c r="Z340" s="92"/>
      <c r="AA340" s="146" t="s">
        <v>204</v>
      </c>
      <c r="AB340" s="64"/>
      <c r="AC340" s="146" t="s">
        <v>204</v>
      </c>
      <c r="AD340" s="64"/>
      <c r="AE340" s="146" t="s">
        <v>204</v>
      </c>
      <c r="AF340" s="215" t="str">
        <f t="shared" si="23"/>
        <v>C</v>
      </c>
      <c r="AG340" s="96" t="str">
        <f t="shared" si="22"/>
        <v>UTILIZOU O PDA CORRETAMENTE</v>
      </c>
      <c r="AH340" s="9" t="s">
        <v>39</v>
      </c>
      <c r="AI340" s="151" t="str">
        <f t="shared" si="21"/>
        <v>GUARULHOS</v>
      </c>
      <c r="AJ340" s="154" t="s">
        <v>6</v>
      </c>
      <c r="AK340" s="53">
        <v>-6.7799999999999999E-2</v>
      </c>
      <c r="AL340" s="53" t="str" cm="1">
        <f t="array" ref="AL340">IF(OR(O340&lt;&gt;"", SUMPRODUCT(($AM$2:$AM$210=AM340)*($AK$2:$AK$210&lt;=AK340)) &lt;= (COUNTIF($AM$2:$AM$210,AM340)*0.1)), "SORTEADO", "-")</f>
        <v>SORTEADO</v>
      </c>
      <c r="AM340" s="53" t="str">
        <f t="shared" si="20"/>
        <v>24/04/2026</v>
      </c>
    </row>
    <row r="341" spans="1:39" ht="30" hidden="1" customHeight="1" x14ac:dyDescent="0.2">
      <c r="A341" s="230" t="s">
        <v>197</v>
      </c>
      <c r="B341" s="230">
        <v>2616642070</v>
      </c>
      <c r="C341" s="230" t="s">
        <v>139</v>
      </c>
      <c r="D341" s="230" t="s">
        <v>67</v>
      </c>
      <c r="E341" s="230" t="s">
        <v>198</v>
      </c>
      <c r="F341" s="230" t="s">
        <v>355</v>
      </c>
      <c r="G341" s="230">
        <v>349</v>
      </c>
      <c r="H341" s="230" t="s">
        <v>1725</v>
      </c>
      <c r="I341" s="230" t="s">
        <v>356</v>
      </c>
      <c r="J341" s="230" t="s">
        <v>4603</v>
      </c>
      <c r="K341" s="230" t="s">
        <v>213</v>
      </c>
      <c r="L341" s="230" t="s">
        <v>1888</v>
      </c>
      <c r="M341" s="230" t="s">
        <v>4830</v>
      </c>
      <c r="N341" s="230" t="s">
        <v>4613</v>
      </c>
      <c r="O341" s="158" t="s">
        <v>204</v>
      </c>
      <c r="P341" s="92"/>
      <c r="Q341" s="146" t="s">
        <v>204</v>
      </c>
      <c r="R341" s="92"/>
      <c r="S341" s="146" t="s">
        <v>204</v>
      </c>
      <c r="T341" s="92"/>
      <c r="U341" s="146" t="s">
        <v>204</v>
      </c>
      <c r="V341" s="92"/>
      <c r="W341" s="146" t="s">
        <v>204</v>
      </c>
      <c r="X341" s="92"/>
      <c r="Y341" s="146" t="s">
        <v>204</v>
      </c>
      <c r="Z341" s="92"/>
      <c r="AA341" s="146" t="s">
        <v>204</v>
      </c>
      <c r="AB341" s="64"/>
      <c r="AC341" s="146" t="s">
        <v>204</v>
      </c>
      <c r="AD341" s="64"/>
      <c r="AE341" s="146" t="s">
        <v>204</v>
      </c>
      <c r="AF341" s="215" t="str">
        <f t="shared" si="23"/>
        <v>C</v>
      </c>
      <c r="AG341" s="96" t="str">
        <f t="shared" si="22"/>
        <v>UTILIZOU O PDA CORRETAMENTE</v>
      </c>
      <c r="AH341" s="9" t="s">
        <v>39</v>
      </c>
      <c r="AI341" s="151" t="str">
        <f t="shared" si="21"/>
        <v>GUARULHOS</v>
      </c>
      <c r="AJ341" s="154" t="s">
        <v>6</v>
      </c>
      <c r="AK341" s="53">
        <v>-6.8000000000000005E-2</v>
      </c>
      <c r="AL341" s="53" t="str" cm="1">
        <f t="array" ref="AL341">IF(OR(O341&lt;&gt;"", SUMPRODUCT(($AM$2:$AM$210=AM341)*($AK$2:$AK$210&lt;=AK341)) &lt;= (COUNTIF($AM$2:$AM$210,AM341)*0.1)), "SORTEADO", "-")</f>
        <v>SORTEADO</v>
      </c>
      <c r="AM341" s="53" t="str">
        <f t="shared" si="20"/>
        <v>24/04/2026</v>
      </c>
    </row>
    <row r="342" spans="1:39" ht="30" hidden="1" customHeight="1" x14ac:dyDescent="0.2">
      <c r="A342" s="230" t="s">
        <v>197</v>
      </c>
      <c r="B342" s="230">
        <v>2616340615</v>
      </c>
      <c r="C342" s="230" t="s">
        <v>139</v>
      </c>
      <c r="D342" s="230" t="s">
        <v>67</v>
      </c>
      <c r="E342" s="230" t="s">
        <v>198</v>
      </c>
      <c r="F342" s="230" t="s">
        <v>627</v>
      </c>
      <c r="G342" s="230">
        <v>2451</v>
      </c>
      <c r="H342" s="230"/>
      <c r="I342" s="230" t="s">
        <v>285</v>
      </c>
      <c r="J342" s="230" t="s">
        <v>4603</v>
      </c>
      <c r="K342" s="230"/>
      <c r="L342" s="230" t="s">
        <v>1888</v>
      </c>
      <c r="M342" s="230" t="s">
        <v>4831</v>
      </c>
      <c r="N342" s="230" t="s">
        <v>4613</v>
      </c>
      <c r="O342" s="158" t="s">
        <v>204</v>
      </c>
      <c r="P342" s="92"/>
      <c r="Q342" s="146" t="s">
        <v>204</v>
      </c>
      <c r="R342" s="92"/>
      <c r="S342" s="146" t="s">
        <v>204</v>
      </c>
      <c r="T342" s="92"/>
      <c r="U342" s="146" t="s">
        <v>204</v>
      </c>
      <c r="V342" s="92"/>
      <c r="W342" s="146" t="s">
        <v>204</v>
      </c>
      <c r="X342" s="92"/>
      <c r="Y342" s="146" t="s">
        <v>204</v>
      </c>
      <c r="Z342" s="92"/>
      <c r="AA342" s="146" t="s">
        <v>204</v>
      </c>
      <c r="AB342" s="64"/>
      <c r="AC342" s="146" t="s">
        <v>204</v>
      </c>
      <c r="AD342" s="64"/>
      <c r="AE342" s="146" t="s">
        <v>204</v>
      </c>
      <c r="AF342" s="215" t="str">
        <f t="shared" si="23"/>
        <v>C</v>
      </c>
      <c r="AG342" s="96" t="str">
        <f t="shared" si="22"/>
        <v>UTILIZOU O PDA CORRETAMENTE</v>
      </c>
      <c r="AH342" s="9" t="s">
        <v>39</v>
      </c>
      <c r="AI342" s="151" t="str">
        <f t="shared" si="21"/>
        <v>GUARULHOS</v>
      </c>
      <c r="AJ342" s="154" t="s">
        <v>6</v>
      </c>
      <c r="AK342" s="53">
        <v>-6.8199999999999997E-2</v>
      </c>
      <c r="AL342" s="53" t="str" cm="1">
        <f t="array" ref="AL342">IF(OR(O342&lt;&gt;"", SUMPRODUCT(($AM$2:$AM$210=AM342)*($AK$2:$AK$210&lt;=AK342)) &lt;= (COUNTIF($AM$2:$AM$210,AM342)*0.1)), "SORTEADO", "-")</f>
        <v>SORTEADO</v>
      </c>
      <c r="AM342" s="53" t="str">
        <f t="shared" si="20"/>
        <v>24/04/2026</v>
      </c>
    </row>
    <row r="343" spans="1:39" ht="30" hidden="1" customHeight="1" x14ac:dyDescent="0.2">
      <c r="A343" s="230" t="s">
        <v>197</v>
      </c>
      <c r="B343" s="230">
        <v>2616754820</v>
      </c>
      <c r="C343" s="230" t="s">
        <v>139</v>
      </c>
      <c r="D343" s="230" t="s">
        <v>67</v>
      </c>
      <c r="E343" s="230" t="s">
        <v>198</v>
      </c>
      <c r="F343" s="230" t="s">
        <v>662</v>
      </c>
      <c r="G343" s="230">
        <v>365</v>
      </c>
      <c r="H343" s="230" t="s">
        <v>578</v>
      </c>
      <c r="I343" s="230" t="s">
        <v>664</v>
      </c>
      <c r="J343" s="230" t="s">
        <v>4603</v>
      </c>
      <c r="K343" s="230" t="s">
        <v>4832</v>
      </c>
      <c r="L343" s="230" t="s">
        <v>1888</v>
      </c>
      <c r="M343" s="230" t="s">
        <v>2021</v>
      </c>
      <c r="N343" s="230" t="s">
        <v>4613</v>
      </c>
      <c r="O343" s="158" t="s">
        <v>204</v>
      </c>
      <c r="P343" s="92"/>
      <c r="Q343" s="146" t="s">
        <v>204</v>
      </c>
      <c r="R343" s="92"/>
      <c r="S343" s="146" t="s">
        <v>204</v>
      </c>
      <c r="T343" s="92"/>
      <c r="U343" s="146" t="s">
        <v>204</v>
      </c>
      <c r="V343" s="92"/>
      <c r="W343" s="146" t="s">
        <v>204</v>
      </c>
      <c r="X343" s="92"/>
      <c r="Y343" s="146" t="s">
        <v>204</v>
      </c>
      <c r="Z343" s="92"/>
      <c r="AA343" s="146" t="s">
        <v>204</v>
      </c>
      <c r="AB343" s="64"/>
      <c r="AC343" s="146" t="s">
        <v>204</v>
      </c>
      <c r="AD343" s="64"/>
      <c r="AE343" s="146" t="s">
        <v>204</v>
      </c>
      <c r="AF343" s="215" t="str">
        <f t="shared" si="23"/>
        <v>C</v>
      </c>
      <c r="AG343" s="96" t="str">
        <f t="shared" si="22"/>
        <v>UTILIZOU O PDA CORRETAMENTE</v>
      </c>
      <c r="AH343" s="9" t="s">
        <v>59</v>
      </c>
      <c r="AI343" s="151" t="str">
        <f t="shared" si="21"/>
        <v>GUARULHOS</v>
      </c>
      <c r="AJ343" s="154" t="s">
        <v>6</v>
      </c>
      <c r="AK343" s="53">
        <v>-6.8400000000000002E-2</v>
      </c>
      <c r="AL343" s="53" t="str" cm="1">
        <f t="array" ref="AL343">IF(OR(O343&lt;&gt;"", SUMPRODUCT(($AM$2:$AM$210=AM343)*($AK$2:$AK$210&lt;=AK343)) &lt;= (COUNTIF($AM$2:$AM$210,AM343)*0.1)), "SORTEADO", "-")</f>
        <v>SORTEADO</v>
      </c>
      <c r="AM343" s="53" t="str">
        <f t="shared" si="20"/>
        <v>24/04/2026</v>
      </c>
    </row>
    <row r="344" spans="1:39" ht="30" hidden="1" customHeight="1" x14ac:dyDescent="0.2">
      <c r="A344" s="230" t="s">
        <v>197</v>
      </c>
      <c r="B344" s="230">
        <v>2616756631</v>
      </c>
      <c r="C344" s="230" t="s">
        <v>138</v>
      </c>
      <c r="D344" s="230" t="s">
        <v>67</v>
      </c>
      <c r="E344" s="230" t="s">
        <v>198</v>
      </c>
      <c r="F344" s="230" t="s">
        <v>662</v>
      </c>
      <c r="G344" s="230">
        <v>365</v>
      </c>
      <c r="H344" s="230" t="s">
        <v>578</v>
      </c>
      <c r="I344" s="230" t="s">
        <v>664</v>
      </c>
      <c r="J344" s="230" t="s">
        <v>4605</v>
      </c>
      <c r="K344" s="230" t="s">
        <v>4832</v>
      </c>
      <c r="L344" s="230" t="s">
        <v>1888</v>
      </c>
      <c r="M344" s="230" t="s">
        <v>4833</v>
      </c>
      <c r="N344" s="230" t="s">
        <v>4613</v>
      </c>
      <c r="O344" s="158" t="s">
        <v>204</v>
      </c>
      <c r="P344" s="92"/>
      <c r="Q344" s="146" t="s">
        <v>204</v>
      </c>
      <c r="R344" s="92"/>
      <c r="S344" s="146" t="s">
        <v>204</v>
      </c>
      <c r="T344" s="92"/>
      <c r="U344" s="146" t="s">
        <v>204</v>
      </c>
      <c r="V344" s="92"/>
      <c r="W344" s="146" t="s">
        <v>204</v>
      </c>
      <c r="X344" s="92"/>
      <c r="Y344" s="146" t="s">
        <v>204</v>
      </c>
      <c r="Z344" s="92"/>
      <c r="AA344" s="146" t="s">
        <v>204</v>
      </c>
      <c r="AB344" s="64"/>
      <c r="AC344" s="146" t="s">
        <v>204</v>
      </c>
      <c r="AD344" s="64"/>
      <c r="AE344" s="146" t="s">
        <v>204</v>
      </c>
      <c r="AF344" s="215" t="str">
        <f t="shared" si="23"/>
        <v>C</v>
      </c>
      <c r="AG344" s="96" t="str">
        <f t="shared" si="22"/>
        <v>UTILIZOU O PDA CORRETAMENTE</v>
      </c>
      <c r="AH344" s="9" t="s">
        <v>59</v>
      </c>
      <c r="AI344" s="151" t="str">
        <f t="shared" si="21"/>
        <v>GUARULHOS</v>
      </c>
      <c r="AJ344" s="154" t="s">
        <v>6</v>
      </c>
      <c r="AK344" s="53">
        <v>-6.8599999999999994E-2</v>
      </c>
      <c r="AL344" s="53" t="str" cm="1">
        <f t="array" ref="AL344">IF(OR(O344&lt;&gt;"", SUMPRODUCT(($AM$2:$AM$210=AM344)*($AK$2:$AK$210&lt;=AK344)) &lt;= (COUNTIF($AM$2:$AM$210,AM344)*0.1)), "SORTEADO", "-")</f>
        <v>SORTEADO</v>
      </c>
      <c r="AM344" s="53" t="str">
        <f t="shared" si="20"/>
        <v>24/04/2026</v>
      </c>
    </row>
    <row r="345" spans="1:39" ht="30" hidden="1" customHeight="1" x14ac:dyDescent="0.2">
      <c r="A345" s="230" t="s">
        <v>197</v>
      </c>
      <c r="B345" s="230">
        <v>2691177661</v>
      </c>
      <c r="C345" s="230" t="s">
        <v>138</v>
      </c>
      <c r="D345" s="230" t="s">
        <v>67</v>
      </c>
      <c r="E345" s="230" t="s">
        <v>198</v>
      </c>
      <c r="F345" s="230" t="s">
        <v>1829</v>
      </c>
      <c r="G345" s="230">
        <v>125</v>
      </c>
      <c r="H345" s="230" t="s">
        <v>1830</v>
      </c>
      <c r="I345" s="230" t="s">
        <v>1587</v>
      </c>
      <c r="J345" s="230" t="s">
        <v>4605</v>
      </c>
      <c r="K345" s="230" t="s">
        <v>213</v>
      </c>
      <c r="L345" s="230" t="s">
        <v>1888</v>
      </c>
      <c r="M345" s="230" t="s">
        <v>4834</v>
      </c>
      <c r="N345" s="230" t="s">
        <v>4613</v>
      </c>
      <c r="O345" s="158" t="s">
        <v>204</v>
      </c>
      <c r="P345" s="92"/>
      <c r="Q345" s="146" t="s">
        <v>204</v>
      </c>
      <c r="R345" s="92"/>
      <c r="S345" s="146" t="s">
        <v>204</v>
      </c>
      <c r="T345" s="92"/>
      <c r="U345" s="146" t="s">
        <v>204</v>
      </c>
      <c r="V345" s="92"/>
      <c r="W345" s="146" t="s">
        <v>204</v>
      </c>
      <c r="X345" s="92"/>
      <c r="Y345" s="146" t="s">
        <v>204</v>
      </c>
      <c r="Z345" s="92"/>
      <c r="AA345" s="146" t="s">
        <v>204</v>
      </c>
      <c r="AB345" s="64"/>
      <c r="AC345" s="146"/>
      <c r="AD345" s="64"/>
      <c r="AE345" s="146"/>
      <c r="AF345" s="215" t="str">
        <f t="shared" si="23"/>
        <v>C</v>
      </c>
      <c r="AG345" s="96" t="b">
        <f t="shared" si="22"/>
        <v>0</v>
      </c>
      <c r="AH345" s="9" t="s">
        <v>39</v>
      </c>
      <c r="AI345" s="151" t="str">
        <f t="shared" si="21"/>
        <v>GUARULHOS</v>
      </c>
      <c r="AJ345" s="154" t="s">
        <v>6</v>
      </c>
      <c r="AK345" s="53">
        <v>-6.88E-2</v>
      </c>
      <c r="AL345" s="53" t="str" cm="1">
        <f t="array" ref="AL345">IF(OR(O345&lt;&gt;"", SUMPRODUCT(($AM$2:$AM$210=AM345)*($AK$2:$AK$210&lt;=AK345)) &lt;= (COUNTIF($AM$2:$AM$210,AM345)*0.1)), "SORTEADO", "-")</f>
        <v>SORTEADO</v>
      </c>
      <c r="AM345" s="53" t="str">
        <f t="shared" si="20"/>
        <v>24/04/2026</v>
      </c>
    </row>
    <row r="346" spans="1:39" ht="30" hidden="1" customHeight="1" x14ac:dyDescent="0.2">
      <c r="A346" s="230" t="s">
        <v>197</v>
      </c>
      <c r="B346" s="230">
        <v>2616347886</v>
      </c>
      <c r="C346" s="230" t="s">
        <v>139</v>
      </c>
      <c r="D346" s="230" t="s">
        <v>67</v>
      </c>
      <c r="E346" s="230" t="s">
        <v>198</v>
      </c>
      <c r="F346" s="230" t="s">
        <v>1727</v>
      </c>
      <c r="G346" s="230">
        <v>198</v>
      </c>
      <c r="H346" s="230" t="s">
        <v>1728</v>
      </c>
      <c r="I346" s="230" t="s">
        <v>356</v>
      </c>
      <c r="J346" s="230" t="s">
        <v>4603</v>
      </c>
      <c r="K346" s="230" t="s">
        <v>4640</v>
      </c>
      <c r="L346" s="230" t="s">
        <v>1888</v>
      </c>
      <c r="M346" s="230" t="s">
        <v>4835</v>
      </c>
      <c r="N346" s="230" t="s">
        <v>4613</v>
      </c>
      <c r="O346" s="158" t="s">
        <v>61</v>
      </c>
      <c r="P346" s="92"/>
      <c r="Q346" s="158" t="s">
        <v>61</v>
      </c>
      <c r="R346" s="92"/>
      <c r="S346" s="158" t="s">
        <v>61</v>
      </c>
      <c r="T346" s="92"/>
      <c r="U346" s="158" t="s">
        <v>61</v>
      </c>
      <c r="V346" s="92"/>
      <c r="W346" s="158" t="s">
        <v>61</v>
      </c>
      <c r="X346" s="92"/>
      <c r="Y346" s="158" t="s">
        <v>61</v>
      </c>
      <c r="Z346" s="92"/>
      <c r="AA346" s="158" t="s">
        <v>61</v>
      </c>
      <c r="AB346" s="64"/>
      <c r="AC346" s="146" t="s">
        <v>61</v>
      </c>
      <c r="AD346" s="64"/>
      <c r="AE346" s="146" t="s">
        <v>61</v>
      </c>
      <c r="AF346" s="215" t="str">
        <f t="shared" si="23"/>
        <v>NA</v>
      </c>
      <c r="AG346" s="96" t="str">
        <f t="shared" si="22"/>
        <v>NÃO AVALIADO POR FALHA DE SINCRONISMO</v>
      </c>
      <c r="AH346" s="9" t="s">
        <v>39</v>
      </c>
      <c r="AI346" s="151" t="str">
        <f t="shared" si="21"/>
        <v>GUARULHOS</v>
      </c>
      <c r="AJ346" s="154" t="s">
        <v>6</v>
      </c>
      <c r="AK346" s="53">
        <v>-6.9000000000000006E-2</v>
      </c>
      <c r="AL346" s="53" t="str" cm="1">
        <f t="array" ref="AL346">IF(OR(O346&lt;&gt;"", SUMPRODUCT(($AM$2:$AM$210=AM346)*($AK$2:$AK$210&lt;=AK346)) &lt;= (COUNTIF($AM$2:$AM$210,AM346)*0.1)), "SORTEADO", "-")</f>
        <v>SORTEADO</v>
      </c>
      <c r="AM346" s="53" t="str">
        <f t="shared" si="20"/>
        <v>24/04/2026</v>
      </c>
    </row>
    <row r="347" spans="1:39" ht="30" hidden="1" customHeight="1" x14ac:dyDescent="0.2">
      <c r="A347" s="230" t="s">
        <v>197</v>
      </c>
      <c r="B347" s="230">
        <v>2616822493</v>
      </c>
      <c r="C347" s="230" t="s">
        <v>141</v>
      </c>
      <c r="D347" s="230" t="s">
        <v>67</v>
      </c>
      <c r="E347" s="230" t="s">
        <v>198</v>
      </c>
      <c r="F347" s="230" t="s">
        <v>662</v>
      </c>
      <c r="G347" s="230">
        <v>371</v>
      </c>
      <c r="H347" s="230" t="s">
        <v>1715</v>
      </c>
      <c r="I347" s="230" t="s">
        <v>664</v>
      </c>
      <c r="J347" s="230" t="s">
        <v>4603</v>
      </c>
      <c r="K347" s="230" t="s">
        <v>213</v>
      </c>
      <c r="L347" s="230" t="s">
        <v>1888</v>
      </c>
      <c r="M347" s="230" t="s">
        <v>4836</v>
      </c>
      <c r="N347" s="230" t="s">
        <v>4613</v>
      </c>
      <c r="O347" s="158" t="s">
        <v>204</v>
      </c>
      <c r="P347" s="92"/>
      <c r="Q347" s="146" t="s">
        <v>204</v>
      </c>
      <c r="R347" s="92"/>
      <c r="S347" s="146" t="s">
        <v>204</v>
      </c>
      <c r="T347" s="92"/>
      <c r="U347" s="146" t="s">
        <v>204</v>
      </c>
      <c r="V347" s="92"/>
      <c r="W347" s="146" t="s">
        <v>204</v>
      </c>
      <c r="X347" s="92"/>
      <c r="Y347" s="146" t="s">
        <v>204</v>
      </c>
      <c r="Z347" s="92"/>
      <c r="AA347" s="146" t="s">
        <v>204</v>
      </c>
      <c r="AB347" s="64"/>
      <c r="AC347" s="146" t="s">
        <v>204</v>
      </c>
      <c r="AD347" s="64"/>
      <c r="AE347" s="146" t="s">
        <v>204</v>
      </c>
      <c r="AF347" s="215" t="str">
        <f t="shared" si="23"/>
        <v>C</v>
      </c>
      <c r="AG347" s="96" t="str">
        <f t="shared" si="22"/>
        <v>UTILIZOU O PDA CORRETAMENTE</v>
      </c>
      <c r="AH347" s="9" t="s">
        <v>59</v>
      </c>
      <c r="AI347" s="151" t="str">
        <f t="shared" si="21"/>
        <v>GUARULHOS</v>
      </c>
      <c r="AJ347" s="154" t="s">
        <v>6</v>
      </c>
      <c r="AK347" s="53">
        <v>-6.9199999999999998E-2</v>
      </c>
      <c r="AL347" s="53" t="str" cm="1">
        <f t="array" ref="AL347">IF(OR(O347&lt;&gt;"", SUMPRODUCT(($AM$2:$AM$210=AM347)*($AK$2:$AK$210&lt;=AK347)) &lt;= (COUNTIF($AM$2:$AM$210,AM347)*0.1)), "SORTEADO", "-")</f>
        <v>SORTEADO</v>
      </c>
      <c r="AM347" s="53" t="str">
        <f t="shared" ref="AM347:AM410" si="24">TEXT(L347, "dd/mm/aaaa")</f>
        <v>24/04/2026</v>
      </c>
    </row>
    <row r="348" spans="1:39" ht="30" customHeight="1" x14ac:dyDescent="0.2">
      <c r="A348" s="230" t="s">
        <v>197</v>
      </c>
      <c r="B348" s="230">
        <v>2617107414</v>
      </c>
      <c r="C348" s="230" t="s">
        <v>141</v>
      </c>
      <c r="D348" s="230" t="s">
        <v>67</v>
      </c>
      <c r="E348" s="230" t="s">
        <v>198</v>
      </c>
      <c r="F348" s="230" t="s">
        <v>1034</v>
      </c>
      <c r="G348" s="230">
        <v>219</v>
      </c>
      <c r="H348" s="230" t="s">
        <v>1111</v>
      </c>
      <c r="I348" s="230" t="s">
        <v>708</v>
      </c>
      <c r="J348" s="230" t="s">
        <v>4603</v>
      </c>
      <c r="K348" s="230" t="s">
        <v>213</v>
      </c>
      <c r="L348" s="230" t="s">
        <v>1888</v>
      </c>
      <c r="M348" s="230" t="s">
        <v>4837</v>
      </c>
      <c r="N348" s="230" t="s">
        <v>4620</v>
      </c>
      <c r="O348" s="158" t="s">
        <v>210</v>
      </c>
      <c r="P348" s="92"/>
      <c r="Q348" s="158" t="s">
        <v>210</v>
      </c>
      <c r="R348" s="92"/>
      <c r="S348" s="158" t="s">
        <v>210</v>
      </c>
      <c r="T348" s="92"/>
      <c r="U348" s="158" t="s">
        <v>210</v>
      </c>
      <c r="V348" s="92"/>
      <c r="W348" s="158" t="s">
        <v>210</v>
      </c>
      <c r="X348" s="92"/>
      <c r="Y348" s="158" t="s">
        <v>210</v>
      </c>
      <c r="Z348" s="92"/>
      <c r="AA348" s="158" t="s">
        <v>210</v>
      </c>
      <c r="AB348" s="64"/>
      <c r="AC348" s="158" t="s">
        <v>210</v>
      </c>
      <c r="AD348" s="64"/>
      <c r="AE348" s="158" t="s">
        <v>210</v>
      </c>
      <c r="AF348" s="215" t="str">
        <f t="shared" si="23"/>
        <v>NC</v>
      </c>
      <c r="AG348" s="96" t="str">
        <f t="shared" si="22"/>
        <v>NÃO UTILIZOU O PDA</v>
      </c>
      <c r="AH348" s="9"/>
      <c r="AI348" s="151" t="str">
        <f t="shared" si="21"/>
        <v>GUARULHOS</v>
      </c>
      <c r="AJ348" s="154" t="s">
        <v>6</v>
      </c>
      <c r="AK348" s="53">
        <v>-6.9400000000000003E-2</v>
      </c>
      <c r="AL348" s="53" t="str" cm="1">
        <f t="array" ref="AL348">IF(OR(O348&lt;&gt;"", SUMPRODUCT(($AM$2:$AM$210=AM348)*($AK$2:$AK$210&lt;=AK348)) &lt;= (COUNTIF($AM$2:$AM$210,AM348)*0.1)), "SORTEADO", "-")</f>
        <v>SORTEADO</v>
      </c>
      <c r="AM348" s="53" t="str">
        <f t="shared" si="24"/>
        <v>24/04/2026</v>
      </c>
    </row>
    <row r="349" spans="1:39" ht="30" hidden="1" customHeight="1" x14ac:dyDescent="0.2">
      <c r="A349" s="230" t="s">
        <v>197</v>
      </c>
      <c r="B349" s="230">
        <v>2616245155</v>
      </c>
      <c r="C349" s="230" t="s">
        <v>139</v>
      </c>
      <c r="D349" s="230" t="s">
        <v>67</v>
      </c>
      <c r="E349" s="230" t="s">
        <v>198</v>
      </c>
      <c r="F349" s="230" t="s">
        <v>1782</v>
      </c>
      <c r="G349" s="230">
        <v>0</v>
      </c>
      <c r="H349" s="230" t="s">
        <v>4838</v>
      </c>
      <c r="I349" s="230" t="s">
        <v>301</v>
      </c>
      <c r="J349" s="230" t="s">
        <v>4603</v>
      </c>
      <c r="K349" s="230" t="s">
        <v>4839</v>
      </c>
      <c r="L349" s="230" t="s">
        <v>1888</v>
      </c>
      <c r="M349" s="230" t="s">
        <v>4840</v>
      </c>
      <c r="N349" s="230" t="s">
        <v>4689</v>
      </c>
      <c r="O349" s="158" t="s">
        <v>61</v>
      </c>
      <c r="P349" s="92"/>
      <c r="Q349" s="158" t="s">
        <v>61</v>
      </c>
      <c r="R349" s="92"/>
      <c r="S349" s="158" t="s">
        <v>61</v>
      </c>
      <c r="T349" s="92"/>
      <c r="U349" s="158" t="s">
        <v>61</v>
      </c>
      <c r="V349" s="92"/>
      <c r="W349" s="158" t="s">
        <v>61</v>
      </c>
      <c r="X349" s="92"/>
      <c r="Y349" s="158" t="s">
        <v>61</v>
      </c>
      <c r="Z349" s="92"/>
      <c r="AA349" s="158" t="s">
        <v>61</v>
      </c>
      <c r="AB349" s="64"/>
      <c r="AC349" s="158" t="s">
        <v>61</v>
      </c>
      <c r="AD349" s="64"/>
      <c r="AE349" s="158" t="s">
        <v>61</v>
      </c>
      <c r="AF349" s="215" t="str">
        <f t="shared" si="23"/>
        <v>NA</v>
      </c>
      <c r="AG349" s="96" t="str">
        <f t="shared" si="22"/>
        <v>NÃO AVALIADO POR FALHA DE SINCRONISMO</v>
      </c>
      <c r="AH349" s="9" t="s">
        <v>39</v>
      </c>
      <c r="AI349" s="151" t="str">
        <f t="shared" si="21"/>
        <v>GUARULHOS</v>
      </c>
      <c r="AJ349" s="154" t="s">
        <v>6</v>
      </c>
      <c r="AK349" s="53">
        <v>-6.9599999999999995E-2</v>
      </c>
      <c r="AL349" s="53" t="str" cm="1">
        <f t="array" ref="AL349">IF(OR(O349&lt;&gt;"", SUMPRODUCT(($AM$2:$AM$210=AM349)*($AK$2:$AK$210&lt;=AK349)) &lt;= (COUNTIF($AM$2:$AM$210,AM349)*0.1)), "SORTEADO", "-")</f>
        <v>SORTEADO</v>
      </c>
      <c r="AM349" s="53" t="str">
        <f t="shared" si="24"/>
        <v>24/04/2026</v>
      </c>
    </row>
    <row r="350" spans="1:39" ht="30" hidden="1" customHeight="1" x14ac:dyDescent="0.2">
      <c r="A350" s="230" t="s">
        <v>197</v>
      </c>
      <c r="B350" s="230">
        <v>2616190390</v>
      </c>
      <c r="C350" s="230" t="s">
        <v>139</v>
      </c>
      <c r="D350" s="230" t="s">
        <v>67</v>
      </c>
      <c r="E350" s="230" t="s">
        <v>198</v>
      </c>
      <c r="F350" s="230" t="s">
        <v>1782</v>
      </c>
      <c r="G350" s="230">
        <v>49</v>
      </c>
      <c r="H350" s="230" t="s">
        <v>276</v>
      </c>
      <c r="I350" s="230" t="s">
        <v>301</v>
      </c>
      <c r="J350" s="230" t="s">
        <v>4603</v>
      </c>
      <c r="K350" s="230" t="s">
        <v>4839</v>
      </c>
      <c r="L350" s="230" t="s">
        <v>1888</v>
      </c>
      <c r="M350" s="230" t="s">
        <v>1929</v>
      </c>
      <c r="N350" s="230" t="s">
        <v>4689</v>
      </c>
      <c r="O350" s="158" t="s">
        <v>61</v>
      </c>
      <c r="P350" s="92"/>
      <c r="Q350" s="158" t="s">
        <v>61</v>
      </c>
      <c r="R350" s="92"/>
      <c r="S350" s="158" t="s">
        <v>61</v>
      </c>
      <c r="T350" s="92"/>
      <c r="U350" s="158" t="s">
        <v>61</v>
      </c>
      <c r="V350" s="92"/>
      <c r="W350" s="158" t="s">
        <v>61</v>
      </c>
      <c r="X350" s="92"/>
      <c r="Y350" s="158" t="s">
        <v>61</v>
      </c>
      <c r="Z350" s="92"/>
      <c r="AA350" s="158" t="s">
        <v>61</v>
      </c>
      <c r="AB350" s="64"/>
      <c r="AC350" s="158" t="s">
        <v>61</v>
      </c>
      <c r="AD350" s="64"/>
      <c r="AE350" s="158" t="s">
        <v>61</v>
      </c>
      <c r="AF350" s="215" t="str">
        <f t="shared" si="23"/>
        <v>NA</v>
      </c>
      <c r="AG350" s="96" t="str">
        <f t="shared" si="22"/>
        <v>NÃO AVALIADO POR FALHA DE SINCRONISMO</v>
      </c>
      <c r="AH350" s="9" t="s">
        <v>39</v>
      </c>
      <c r="AI350" s="151" t="str">
        <f t="shared" si="21"/>
        <v>GUARULHOS</v>
      </c>
      <c r="AJ350" s="154" t="s">
        <v>6</v>
      </c>
      <c r="AK350" s="53">
        <v>-6.9800000000000001E-2</v>
      </c>
      <c r="AL350" s="53" t="str" cm="1">
        <f t="array" ref="AL350">IF(OR(O350&lt;&gt;"", SUMPRODUCT(($AM$2:$AM$210=AM350)*($AK$2:$AK$210&lt;=AK350)) &lt;= (COUNTIF($AM$2:$AM$210,AM350)*0.1)), "SORTEADO", "-")</f>
        <v>SORTEADO</v>
      </c>
      <c r="AM350" s="53" t="str">
        <f t="shared" si="24"/>
        <v>24/04/2026</v>
      </c>
    </row>
    <row r="351" spans="1:39" ht="30" hidden="1" customHeight="1" x14ac:dyDescent="0.2">
      <c r="A351" s="230" t="s">
        <v>197</v>
      </c>
      <c r="B351" s="230">
        <v>2616191237</v>
      </c>
      <c r="C351" s="230" t="s">
        <v>139</v>
      </c>
      <c r="D351" s="230" t="s">
        <v>67</v>
      </c>
      <c r="E351" s="230" t="s">
        <v>198</v>
      </c>
      <c r="F351" s="230" t="s">
        <v>1782</v>
      </c>
      <c r="G351" s="230">
        <v>55</v>
      </c>
      <c r="H351" s="230" t="s">
        <v>1790</v>
      </c>
      <c r="I351" s="230" t="s">
        <v>301</v>
      </c>
      <c r="J351" s="230" t="s">
        <v>4603</v>
      </c>
      <c r="K351" s="230" t="s">
        <v>4839</v>
      </c>
      <c r="L351" s="230" t="s">
        <v>1888</v>
      </c>
      <c r="M351" s="230" t="s">
        <v>1988</v>
      </c>
      <c r="N351" s="230" t="s">
        <v>4689</v>
      </c>
      <c r="O351" s="158" t="s">
        <v>61</v>
      </c>
      <c r="P351" s="92"/>
      <c r="Q351" s="158" t="s">
        <v>61</v>
      </c>
      <c r="R351" s="92"/>
      <c r="S351" s="158" t="s">
        <v>61</v>
      </c>
      <c r="T351" s="92"/>
      <c r="U351" s="158" t="s">
        <v>61</v>
      </c>
      <c r="V351" s="92"/>
      <c r="W351" s="158" t="s">
        <v>61</v>
      </c>
      <c r="X351" s="92"/>
      <c r="Y351" s="158" t="s">
        <v>61</v>
      </c>
      <c r="Z351" s="92"/>
      <c r="AA351" s="158" t="s">
        <v>61</v>
      </c>
      <c r="AB351" s="64"/>
      <c r="AC351" s="158" t="s">
        <v>61</v>
      </c>
      <c r="AD351" s="158"/>
      <c r="AE351" s="158" t="s">
        <v>61</v>
      </c>
      <c r="AF351" s="215" t="str">
        <f t="shared" si="23"/>
        <v>NA</v>
      </c>
      <c r="AG351" s="96" t="str">
        <f t="shared" si="22"/>
        <v>NÃO AVALIADO POR FALHA DE SINCRONISMO</v>
      </c>
      <c r="AH351" s="9" t="s">
        <v>39</v>
      </c>
      <c r="AI351" s="151" t="str">
        <f t="shared" si="21"/>
        <v>GUARULHOS</v>
      </c>
      <c r="AJ351" s="154" t="s">
        <v>6</v>
      </c>
      <c r="AK351" s="53">
        <v>-7.0000000000000007E-2</v>
      </c>
      <c r="AL351" s="53" t="str" cm="1">
        <f t="array" ref="AL351">IF(OR(O351&lt;&gt;"", SUMPRODUCT(($AM$2:$AM$210=AM351)*($AK$2:$AK$210&lt;=AK351)) &lt;= (COUNTIF($AM$2:$AM$210,AM351)*0.1)), "SORTEADO", "-")</f>
        <v>SORTEADO</v>
      </c>
      <c r="AM351" s="53" t="str">
        <f t="shared" si="24"/>
        <v>24/04/2026</v>
      </c>
    </row>
    <row r="352" spans="1:39" ht="30" hidden="1" customHeight="1" x14ac:dyDescent="0.2">
      <c r="A352" s="230" t="s">
        <v>197</v>
      </c>
      <c r="B352" s="230">
        <v>2616193194</v>
      </c>
      <c r="C352" s="230" t="s">
        <v>139</v>
      </c>
      <c r="D352" s="230" t="s">
        <v>67</v>
      </c>
      <c r="E352" s="230" t="s">
        <v>198</v>
      </c>
      <c r="F352" s="230" t="s">
        <v>1782</v>
      </c>
      <c r="G352" s="230">
        <v>85</v>
      </c>
      <c r="H352" s="230" t="s">
        <v>213</v>
      </c>
      <c r="I352" s="230" t="s">
        <v>301</v>
      </c>
      <c r="J352" s="230" t="s">
        <v>4603</v>
      </c>
      <c r="K352" s="230" t="s">
        <v>4839</v>
      </c>
      <c r="L352" s="230" t="s">
        <v>1888</v>
      </c>
      <c r="M352" s="230" t="s">
        <v>2005</v>
      </c>
      <c r="N352" s="230" t="s">
        <v>4689</v>
      </c>
      <c r="O352" s="158" t="s">
        <v>61</v>
      </c>
      <c r="P352" s="92"/>
      <c r="Q352" s="158" t="s">
        <v>61</v>
      </c>
      <c r="R352" s="92"/>
      <c r="S352" s="158" t="s">
        <v>61</v>
      </c>
      <c r="T352" s="92"/>
      <c r="U352" s="158" t="s">
        <v>61</v>
      </c>
      <c r="V352" s="92"/>
      <c r="W352" s="158" t="s">
        <v>61</v>
      </c>
      <c r="X352" s="92"/>
      <c r="Y352" s="158" t="s">
        <v>61</v>
      </c>
      <c r="Z352" s="92"/>
      <c r="AA352" s="158" t="s">
        <v>61</v>
      </c>
      <c r="AB352" s="64"/>
      <c r="AC352" s="158" t="s">
        <v>61</v>
      </c>
      <c r="AD352" s="64"/>
      <c r="AE352" s="158" t="s">
        <v>61</v>
      </c>
      <c r="AF352" s="215" t="str">
        <f t="shared" si="23"/>
        <v>NA</v>
      </c>
      <c r="AG352" s="96" t="str">
        <f t="shared" si="22"/>
        <v>NÃO AVALIADO POR FALHA DE SINCRONISMO</v>
      </c>
      <c r="AH352" s="9" t="s">
        <v>39</v>
      </c>
      <c r="AI352" s="151" t="str">
        <f t="shared" si="21"/>
        <v>GUARULHOS</v>
      </c>
      <c r="AJ352" s="154" t="s">
        <v>6</v>
      </c>
      <c r="AK352" s="53">
        <v>-7.0199999999999999E-2</v>
      </c>
      <c r="AL352" s="53" t="str" cm="1">
        <f t="array" ref="AL352">IF(OR(O352&lt;&gt;"", SUMPRODUCT(($AM$2:$AM$210=AM352)*($AK$2:$AK$210&lt;=AK352)) &lt;= (COUNTIF($AM$2:$AM$210,AM352)*0.1)), "SORTEADO", "-")</f>
        <v>SORTEADO</v>
      </c>
      <c r="AM352" s="53" t="str">
        <f t="shared" si="24"/>
        <v>24/04/2026</v>
      </c>
    </row>
    <row r="353" spans="1:39" ht="30" hidden="1" customHeight="1" x14ac:dyDescent="0.2">
      <c r="A353" s="230" t="s">
        <v>197</v>
      </c>
      <c r="B353" s="230">
        <v>2616220331</v>
      </c>
      <c r="C353" s="230" t="s">
        <v>139</v>
      </c>
      <c r="D353" s="230" t="s">
        <v>67</v>
      </c>
      <c r="E353" s="230" t="s">
        <v>198</v>
      </c>
      <c r="F353" s="230" t="s">
        <v>1126</v>
      </c>
      <c r="G353" s="230">
        <v>49</v>
      </c>
      <c r="H353" s="230" t="s">
        <v>854</v>
      </c>
      <c r="I353" s="230" t="s">
        <v>1128</v>
      </c>
      <c r="J353" s="230" t="s">
        <v>4603</v>
      </c>
      <c r="K353" s="230" t="s">
        <v>4839</v>
      </c>
      <c r="L353" s="230" t="s">
        <v>1888</v>
      </c>
      <c r="M353" s="230" t="s">
        <v>4841</v>
      </c>
      <c r="N353" s="230" t="s">
        <v>4689</v>
      </c>
      <c r="O353" s="158" t="s">
        <v>61</v>
      </c>
      <c r="P353" s="92"/>
      <c r="Q353" s="158" t="s">
        <v>61</v>
      </c>
      <c r="R353" s="92"/>
      <c r="S353" s="158" t="s">
        <v>61</v>
      </c>
      <c r="T353" s="92"/>
      <c r="U353" s="158" t="s">
        <v>61</v>
      </c>
      <c r="V353" s="92"/>
      <c r="W353" s="158" t="s">
        <v>61</v>
      </c>
      <c r="X353" s="92"/>
      <c r="Y353" s="158" t="s">
        <v>61</v>
      </c>
      <c r="Z353" s="92"/>
      <c r="AA353" s="158" t="s">
        <v>61</v>
      </c>
      <c r="AB353" s="64"/>
      <c r="AC353" s="158" t="s">
        <v>61</v>
      </c>
      <c r="AD353" s="64"/>
      <c r="AE353" s="158" t="s">
        <v>61</v>
      </c>
      <c r="AF353" s="215" t="str">
        <f t="shared" si="23"/>
        <v>NA</v>
      </c>
      <c r="AG353" s="96" t="str">
        <f t="shared" si="22"/>
        <v>NÃO AVALIADO POR FALHA DE SINCRONISMO</v>
      </c>
      <c r="AH353" s="9" t="s">
        <v>39</v>
      </c>
      <c r="AI353" s="151" t="str">
        <f t="shared" si="21"/>
        <v>GUARULHOS</v>
      </c>
      <c r="AJ353" s="154" t="s">
        <v>6</v>
      </c>
      <c r="AK353" s="53">
        <v>-7.0400000000000004E-2</v>
      </c>
      <c r="AL353" s="53" t="str" cm="1">
        <f t="array" ref="AL353">IF(OR(O353&lt;&gt;"", SUMPRODUCT(($AM$2:$AM$210=AM353)*($AK$2:$AK$210&lt;=AK353)) &lt;= (COUNTIF($AM$2:$AM$210,AM353)*0.1)), "SORTEADO", "-")</f>
        <v>SORTEADO</v>
      </c>
      <c r="AM353" s="53" t="str">
        <f t="shared" si="24"/>
        <v>24/04/2026</v>
      </c>
    </row>
    <row r="354" spans="1:39" ht="30" hidden="1" customHeight="1" x14ac:dyDescent="0.2">
      <c r="A354" s="230" t="s">
        <v>197</v>
      </c>
      <c r="B354" s="230">
        <v>2617107876</v>
      </c>
      <c r="C354" s="230" t="s">
        <v>141</v>
      </c>
      <c r="D354" s="230" t="s">
        <v>67</v>
      </c>
      <c r="E354" s="230" t="s">
        <v>198</v>
      </c>
      <c r="F354" s="230" t="s">
        <v>1126</v>
      </c>
      <c r="G354" s="230">
        <v>28</v>
      </c>
      <c r="H354" s="230" t="s">
        <v>1131</v>
      </c>
      <c r="I354" s="230" t="s">
        <v>1128</v>
      </c>
      <c r="J354" s="230" t="s">
        <v>4603</v>
      </c>
      <c r="K354" s="230" t="s">
        <v>4839</v>
      </c>
      <c r="L354" s="230" t="s">
        <v>1888</v>
      </c>
      <c r="M354" s="230" t="s">
        <v>4842</v>
      </c>
      <c r="N354" s="230" t="s">
        <v>4689</v>
      </c>
      <c r="O354" s="158" t="s">
        <v>61</v>
      </c>
      <c r="P354" s="92"/>
      <c r="Q354" s="158" t="s">
        <v>61</v>
      </c>
      <c r="R354" s="92"/>
      <c r="S354" s="158" t="s">
        <v>61</v>
      </c>
      <c r="T354" s="92"/>
      <c r="U354" s="158" t="s">
        <v>61</v>
      </c>
      <c r="V354" s="92"/>
      <c r="W354" s="158" t="s">
        <v>61</v>
      </c>
      <c r="X354" s="92"/>
      <c r="Y354" s="158" t="s">
        <v>61</v>
      </c>
      <c r="Z354" s="92"/>
      <c r="AA354" s="158" t="s">
        <v>61</v>
      </c>
      <c r="AB354" s="64"/>
      <c r="AC354" s="158" t="s">
        <v>61</v>
      </c>
      <c r="AD354" s="64"/>
      <c r="AE354" s="158" t="s">
        <v>61</v>
      </c>
      <c r="AF354" s="215" t="str">
        <f t="shared" si="23"/>
        <v>NA</v>
      </c>
      <c r="AG354" s="96" t="str">
        <f t="shared" si="22"/>
        <v>NÃO AVALIADO POR FALHA DE SINCRONISMO</v>
      </c>
      <c r="AH354" s="9"/>
      <c r="AI354" s="151" t="str">
        <f t="shared" si="21"/>
        <v>GUARULHOS</v>
      </c>
      <c r="AJ354" s="154" t="s">
        <v>6</v>
      </c>
      <c r="AK354" s="53">
        <v>-7.0599999999999996E-2</v>
      </c>
      <c r="AL354" s="53" t="str" cm="1">
        <f t="array" ref="AL354">IF(OR(O354&lt;&gt;"", SUMPRODUCT(($AM$2:$AM$210=AM354)*($AK$2:$AK$210&lt;=AK354)) &lt;= (COUNTIF($AM$2:$AM$210,AM354)*0.1)), "SORTEADO", "-")</f>
        <v>SORTEADO</v>
      </c>
      <c r="AM354" s="53" t="str">
        <f t="shared" si="24"/>
        <v>24/04/2026</v>
      </c>
    </row>
    <row r="355" spans="1:39" ht="30" customHeight="1" x14ac:dyDescent="0.2">
      <c r="A355" s="230" t="s">
        <v>197</v>
      </c>
      <c r="B355" s="230">
        <v>2617156958</v>
      </c>
      <c r="C355" s="230" t="s">
        <v>141</v>
      </c>
      <c r="D355" s="230" t="s">
        <v>67</v>
      </c>
      <c r="E355" s="230" t="s">
        <v>198</v>
      </c>
      <c r="F355" s="230" t="s">
        <v>1654</v>
      </c>
      <c r="G355" s="230">
        <v>107</v>
      </c>
      <c r="H355" s="230" t="s">
        <v>213</v>
      </c>
      <c r="I355" s="230" t="s">
        <v>411</v>
      </c>
      <c r="J355" s="230" t="s">
        <v>4603</v>
      </c>
      <c r="K355" s="230" t="s">
        <v>213</v>
      </c>
      <c r="L355" s="230" t="s">
        <v>2065</v>
      </c>
      <c r="M355" s="230" t="s">
        <v>4843</v>
      </c>
      <c r="N355" s="230" t="s">
        <v>4604</v>
      </c>
      <c r="O355" s="158" t="s">
        <v>210</v>
      </c>
      <c r="P355" s="92" t="s">
        <v>413</v>
      </c>
      <c r="Q355" s="158" t="s">
        <v>210</v>
      </c>
      <c r="R355" s="92" t="s">
        <v>413</v>
      </c>
      <c r="S355" s="158" t="s">
        <v>210</v>
      </c>
      <c r="T355" s="92" t="s">
        <v>413</v>
      </c>
      <c r="U355" s="158" t="s">
        <v>210</v>
      </c>
      <c r="V355" s="92" t="s">
        <v>413</v>
      </c>
      <c r="W355" s="158" t="s">
        <v>210</v>
      </c>
      <c r="X355" s="92" t="s">
        <v>413</v>
      </c>
      <c r="Y355" s="158" t="s">
        <v>210</v>
      </c>
      <c r="Z355" s="92" t="s">
        <v>413</v>
      </c>
      <c r="AA355" s="158" t="s">
        <v>210</v>
      </c>
      <c r="AB355" s="64" t="s">
        <v>413</v>
      </c>
      <c r="AC355" s="158" t="s">
        <v>210</v>
      </c>
      <c r="AD355" s="64" t="s">
        <v>413</v>
      </c>
      <c r="AE355" s="158" t="s">
        <v>210</v>
      </c>
      <c r="AF355" s="215" t="str">
        <f t="shared" si="23"/>
        <v>NC</v>
      </c>
      <c r="AG355" s="96" t="str">
        <f t="shared" si="22"/>
        <v>NÃO UTILIZOU O PDA</v>
      </c>
      <c r="AH355" s="9" t="s">
        <v>39</v>
      </c>
      <c r="AI355" s="151" t="str">
        <f t="shared" si="21"/>
        <v>GUARULHOS</v>
      </c>
      <c r="AJ355" s="154" t="s">
        <v>6</v>
      </c>
      <c r="AK355" s="53">
        <v>-7.0800000000000002E-2</v>
      </c>
      <c r="AL355" s="53" t="str" cm="1">
        <f t="array" ref="AL355">IF(OR(O355&lt;&gt;"", SUMPRODUCT(($AM$2:$AM$210=AM355)*($AK$2:$AK$210&lt;=AK355)) &lt;= (COUNTIF($AM$2:$AM$210,AM355)*0.1)), "SORTEADO", "-")</f>
        <v>SORTEADO</v>
      </c>
      <c r="AM355" s="53" t="str">
        <f t="shared" si="24"/>
        <v>25/04/2026</v>
      </c>
    </row>
    <row r="356" spans="1:39" ht="30" hidden="1" customHeight="1" x14ac:dyDescent="0.2">
      <c r="A356" s="230" t="s">
        <v>197</v>
      </c>
      <c r="B356" s="230">
        <v>2691200537</v>
      </c>
      <c r="C356" s="230" t="s">
        <v>138</v>
      </c>
      <c r="D356" s="230" t="s">
        <v>67</v>
      </c>
      <c r="E356" s="230" t="s">
        <v>198</v>
      </c>
      <c r="F356" s="230" t="s">
        <v>1851</v>
      </c>
      <c r="G356" s="230">
        <v>38</v>
      </c>
      <c r="H356" s="230" t="s">
        <v>1852</v>
      </c>
      <c r="I356" s="230" t="s">
        <v>411</v>
      </c>
      <c r="J356" s="230" t="s">
        <v>4605</v>
      </c>
      <c r="K356" s="230"/>
      <c r="L356" s="230" t="s">
        <v>2065</v>
      </c>
      <c r="M356" s="230" t="s">
        <v>4844</v>
      </c>
      <c r="N356" s="230" t="s">
        <v>4604</v>
      </c>
      <c r="O356" s="158" t="s">
        <v>204</v>
      </c>
      <c r="P356" s="92"/>
      <c r="Q356" s="146" t="s">
        <v>204</v>
      </c>
      <c r="R356" s="92"/>
      <c r="S356" s="146" t="s">
        <v>204</v>
      </c>
      <c r="T356" s="92"/>
      <c r="U356" s="146" t="s">
        <v>204</v>
      </c>
      <c r="V356" s="92"/>
      <c r="W356" s="146" t="s">
        <v>204</v>
      </c>
      <c r="X356" s="92"/>
      <c r="Y356" s="146" t="s">
        <v>204</v>
      </c>
      <c r="Z356" s="92"/>
      <c r="AA356" s="146" t="s">
        <v>204</v>
      </c>
      <c r="AB356" s="64"/>
      <c r="AC356" s="146" t="s">
        <v>204</v>
      </c>
      <c r="AD356" s="64"/>
      <c r="AE356" s="146" t="s">
        <v>204</v>
      </c>
      <c r="AF356" s="215" t="str">
        <f t="shared" si="23"/>
        <v>C</v>
      </c>
      <c r="AG356" s="96" t="str">
        <f t="shared" si="22"/>
        <v>UTILIZOU O PDA CORRETAMENTE</v>
      </c>
      <c r="AH356" s="9" t="s">
        <v>39</v>
      </c>
      <c r="AI356" s="151" t="str">
        <f t="shared" si="21"/>
        <v>GUARULHOS</v>
      </c>
      <c r="AJ356" s="154" t="s">
        <v>6</v>
      </c>
      <c r="AK356" s="53">
        <v>-7.0999999999999994E-2</v>
      </c>
      <c r="AL356" s="53" t="str" cm="1">
        <f t="array" ref="AL356">IF(OR(O356&lt;&gt;"", SUMPRODUCT(($AM$2:$AM$210=AM356)*($AK$2:$AK$210&lt;=AK356)) &lt;= (COUNTIF($AM$2:$AM$210,AM356)*0.1)), "SORTEADO", "-")</f>
        <v>SORTEADO</v>
      </c>
      <c r="AM356" s="53" t="str">
        <f t="shared" si="24"/>
        <v>25/04/2026</v>
      </c>
    </row>
    <row r="357" spans="1:39" ht="30" hidden="1" customHeight="1" x14ac:dyDescent="0.2">
      <c r="A357" s="230" t="s">
        <v>197</v>
      </c>
      <c r="B357" s="230">
        <v>2617163724</v>
      </c>
      <c r="C357" s="230" t="s">
        <v>138</v>
      </c>
      <c r="D357" s="230" t="s">
        <v>67</v>
      </c>
      <c r="E357" s="230" t="s">
        <v>198</v>
      </c>
      <c r="F357" s="230" t="s">
        <v>1966</v>
      </c>
      <c r="G357" s="230">
        <v>392</v>
      </c>
      <c r="H357" s="230" t="s">
        <v>1967</v>
      </c>
      <c r="I357" s="230" t="s">
        <v>1150</v>
      </c>
      <c r="J357" s="230" t="s">
        <v>4605</v>
      </c>
      <c r="K357" s="230" t="s">
        <v>4845</v>
      </c>
      <c r="L357" s="230" t="s">
        <v>2065</v>
      </c>
      <c r="M357" s="230" t="s">
        <v>4846</v>
      </c>
      <c r="N357" s="230" t="s">
        <v>4604</v>
      </c>
      <c r="O357" s="158" t="s">
        <v>204</v>
      </c>
      <c r="P357" s="92"/>
      <c r="Q357" s="146" t="s">
        <v>204</v>
      </c>
      <c r="R357" s="92"/>
      <c r="S357" s="146" t="s">
        <v>204</v>
      </c>
      <c r="T357" s="92"/>
      <c r="U357" s="146" t="s">
        <v>204</v>
      </c>
      <c r="V357" s="92"/>
      <c r="W357" s="146" t="s">
        <v>204</v>
      </c>
      <c r="X357" s="92"/>
      <c r="Y357" s="146" t="s">
        <v>328</v>
      </c>
      <c r="Z357" s="92"/>
      <c r="AA357" s="146" t="s">
        <v>204</v>
      </c>
      <c r="AB357" s="64"/>
      <c r="AC357" s="146" t="s">
        <v>204</v>
      </c>
      <c r="AD357" s="64"/>
      <c r="AE357" s="146" t="s">
        <v>204</v>
      </c>
      <c r="AF357" s="215" t="str">
        <f t="shared" si="23"/>
        <v>NC</v>
      </c>
      <c r="AG357" s="96" t="str">
        <f t="shared" si="22"/>
        <v>UTILIZOU O PDA CORRETAMENTE. NÃO HÁ FOTOS DE TODAS AS ETAPAS</v>
      </c>
      <c r="AH357" s="9" t="s">
        <v>39</v>
      </c>
      <c r="AI357" s="151" t="str">
        <f t="shared" si="21"/>
        <v>GUARULHOS</v>
      </c>
      <c r="AJ357" s="154" t="s">
        <v>6</v>
      </c>
      <c r="AK357" s="53">
        <v>-7.1199999999999999E-2</v>
      </c>
      <c r="AL357" s="53" t="str" cm="1">
        <f t="array" ref="AL357">IF(OR(O357&lt;&gt;"", SUMPRODUCT(($AM$2:$AM$210=AM357)*($AK$2:$AK$210&lt;=AK357)) &lt;= (COUNTIF($AM$2:$AM$210,AM357)*0.1)), "SORTEADO", "-")</f>
        <v>SORTEADO</v>
      </c>
      <c r="AM357" s="53" t="str">
        <f t="shared" si="24"/>
        <v>25/04/2026</v>
      </c>
    </row>
    <row r="358" spans="1:39" ht="30" customHeight="1" x14ac:dyDescent="0.2">
      <c r="A358" s="230" t="s">
        <v>197</v>
      </c>
      <c r="B358" s="230">
        <v>2617125387</v>
      </c>
      <c r="C358" s="230" t="s">
        <v>138</v>
      </c>
      <c r="D358" s="230" t="s">
        <v>67</v>
      </c>
      <c r="E358" s="230" t="s">
        <v>198</v>
      </c>
      <c r="F358" s="230" t="s">
        <v>2033</v>
      </c>
      <c r="G358" s="230">
        <v>126</v>
      </c>
      <c r="H358" s="230"/>
      <c r="I358" s="230" t="s">
        <v>797</v>
      </c>
      <c r="J358" s="230" t="s">
        <v>4605</v>
      </c>
      <c r="K358" s="230"/>
      <c r="L358" s="230" t="s">
        <v>2065</v>
      </c>
      <c r="M358" s="230" t="s">
        <v>4847</v>
      </c>
      <c r="N358" s="230" t="s">
        <v>4604</v>
      </c>
      <c r="O358" s="158" t="s">
        <v>210</v>
      </c>
      <c r="P358" s="92" t="s">
        <v>413</v>
      </c>
      <c r="Q358" s="158" t="s">
        <v>210</v>
      </c>
      <c r="R358" s="92" t="s">
        <v>413</v>
      </c>
      <c r="S358" s="158" t="s">
        <v>210</v>
      </c>
      <c r="T358" s="92" t="s">
        <v>413</v>
      </c>
      <c r="U358" s="158" t="s">
        <v>210</v>
      </c>
      <c r="V358" s="92" t="s">
        <v>413</v>
      </c>
      <c r="W358" s="158" t="s">
        <v>210</v>
      </c>
      <c r="X358" s="92" t="s">
        <v>413</v>
      </c>
      <c r="Y358" s="158" t="s">
        <v>210</v>
      </c>
      <c r="Z358" s="92" t="s">
        <v>413</v>
      </c>
      <c r="AA358" s="158" t="s">
        <v>210</v>
      </c>
      <c r="AB358" s="64" t="s">
        <v>413</v>
      </c>
      <c r="AC358" s="158" t="s">
        <v>210</v>
      </c>
      <c r="AD358" s="64" t="s">
        <v>413</v>
      </c>
      <c r="AE358" s="158" t="s">
        <v>210</v>
      </c>
      <c r="AF358" s="215" t="str">
        <f t="shared" si="23"/>
        <v>NC</v>
      </c>
      <c r="AG358" s="96" t="str">
        <f t="shared" si="22"/>
        <v>NÃO UTILIZOU O PDA</v>
      </c>
      <c r="AH358" s="9"/>
      <c r="AI358" s="151" t="str">
        <f t="shared" si="21"/>
        <v>GUARULHOS</v>
      </c>
      <c r="AJ358" s="154" t="s">
        <v>6</v>
      </c>
      <c r="AK358" s="53">
        <v>-7.1400000000000005E-2</v>
      </c>
      <c r="AL358" s="53" t="str" cm="1">
        <f t="array" ref="AL358">IF(OR(O358&lt;&gt;"", SUMPRODUCT(($AM$2:$AM$210=AM358)*($AK$2:$AK$210&lt;=AK358)) &lt;= (COUNTIF($AM$2:$AM$210,AM358)*0.1)), "SORTEADO", "-")</f>
        <v>SORTEADO</v>
      </c>
      <c r="AM358" s="53" t="str">
        <f t="shared" si="24"/>
        <v>25/04/2026</v>
      </c>
    </row>
    <row r="359" spans="1:39" ht="30" hidden="1" customHeight="1" x14ac:dyDescent="0.2">
      <c r="A359" s="230" t="s">
        <v>197</v>
      </c>
      <c r="B359" s="230">
        <v>2617163604</v>
      </c>
      <c r="C359" s="230" t="s">
        <v>138</v>
      </c>
      <c r="D359" s="230" t="s">
        <v>67</v>
      </c>
      <c r="E359" s="230" t="s">
        <v>198</v>
      </c>
      <c r="F359" s="230" t="s">
        <v>1962</v>
      </c>
      <c r="G359" s="230">
        <v>280</v>
      </c>
      <c r="H359" s="230" t="s">
        <v>1963</v>
      </c>
      <c r="I359" s="230" t="s">
        <v>1150</v>
      </c>
      <c r="J359" s="230" t="s">
        <v>4605</v>
      </c>
      <c r="K359" s="230" t="s">
        <v>213</v>
      </c>
      <c r="L359" s="230" t="s">
        <v>2065</v>
      </c>
      <c r="M359" s="230" t="s">
        <v>4848</v>
      </c>
      <c r="N359" s="230" t="s">
        <v>4604</v>
      </c>
      <c r="O359" s="158" t="s">
        <v>204</v>
      </c>
      <c r="P359" s="92"/>
      <c r="Q359" s="146" t="s">
        <v>204</v>
      </c>
      <c r="R359" s="92"/>
      <c r="S359" s="146" t="s">
        <v>204</v>
      </c>
      <c r="T359" s="92"/>
      <c r="U359" s="146" t="s">
        <v>61</v>
      </c>
      <c r="V359" s="92"/>
      <c r="W359" s="146" t="s">
        <v>204</v>
      </c>
      <c r="X359" s="92"/>
      <c r="Y359" s="146" t="s">
        <v>204</v>
      </c>
      <c r="Z359" s="92"/>
      <c r="AA359" s="146" t="s">
        <v>204</v>
      </c>
      <c r="AB359" s="64"/>
      <c r="AC359" s="146" t="s">
        <v>204</v>
      </c>
      <c r="AD359" s="64"/>
      <c r="AE359" s="146" t="s">
        <v>204</v>
      </c>
      <c r="AF359" s="215" t="str">
        <f t="shared" si="23"/>
        <v>C</v>
      </c>
      <c r="AG359" s="96" t="str">
        <f t="shared" si="22"/>
        <v>UTILIZOU O PDA CORRETAMENTE</v>
      </c>
      <c r="AH359" s="9"/>
      <c r="AI359" s="151" t="str">
        <f t="shared" si="21"/>
        <v>GUARULHOS</v>
      </c>
      <c r="AJ359" s="154" t="s">
        <v>6</v>
      </c>
      <c r="AK359" s="53">
        <v>-7.1599999999999997E-2</v>
      </c>
      <c r="AL359" s="53" t="str" cm="1">
        <f t="array" ref="AL359">IF(OR(O359&lt;&gt;"", SUMPRODUCT(($AM$2:$AM$210=AM359)*($AK$2:$AK$210&lt;=AK359)) &lt;= (COUNTIF($AM$2:$AM$210,AM359)*0.1)), "SORTEADO", "-")</f>
        <v>SORTEADO</v>
      </c>
      <c r="AM359" s="53" t="str">
        <f t="shared" si="24"/>
        <v>25/04/2026</v>
      </c>
    </row>
    <row r="360" spans="1:39" ht="30" hidden="1" customHeight="1" x14ac:dyDescent="0.2">
      <c r="A360" s="230" t="s">
        <v>197</v>
      </c>
      <c r="B360" s="230">
        <v>2614453026</v>
      </c>
      <c r="C360" s="230" t="s">
        <v>141</v>
      </c>
      <c r="D360" s="230" t="s">
        <v>67</v>
      </c>
      <c r="E360" s="230" t="s">
        <v>198</v>
      </c>
      <c r="F360" s="230" t="s">
        <v>2942</v>
      </c>
      <c r="G360" s="230">
        <v>14</v>
      </c>
      <c r="H360" s="230" t="s">
        <v>1299</v>
      </c>
      <c r="I360" s="230" t="s">
        <v>559</v>
      </c>
      <c r="J360" s="230" t="s">
        <v>4603</v>
      </c>
      <c r="K360" s="230"/>
      <c r="L360" s="230" t="s">
        <v>2065</v>
      </c>
      <c r="M360" s="230" t="s">
        <v>4849</v>
      </c>
      <c r="N360" s="230" t="s">
        <v>4604</v>
      </c>
      <c r="O360" s="158" t="s">
        <v>204</v>
      </c>
      <c r="P360" s="92"/>
      <c r="Q360" s="146" t="s">
        <v>204</v>
      </c>
      <c r="R360" s="92"/>
      <c r="S360" s="146" t="s">
        <v>204</v>
      </c>
      <c r="T360" s="92"/>
      <c r="U360" s="146" t="s">
        <v>204</v>
      </c>
      <c r="V360" s="92"/>
      <c r="W360" s="146" t="s">
        <v>204</v>
      </c>
      <c r="X360" s="92"/>
      <c r="Y360" s="146" t="s">
        <v>204</v>
      </c>
      <c r="Z360" s="92"/>
      <c r="AA360" s="146" t="s">
        <v>204</v>
      </c>
      <c r="AB360" s="64"/>
      <c r="AC360" s="146" t="s">
        <v>204</v>
      </c>
      <c r="AD360" s="64"/>
      <c r="AE360" s="146" t="s">
        <v>204</v>
      </c>
      <c r="AF360" s="215" t="str">
        <f t="shared" si="23"/>
        <v>C</v>
      </c>
      <c r="AG360" s="96" t="str">
        <f t="shared" si="22"/>
        <v>UTILIZOU O PDA CORRETAMENTE</v>
      </c>
      <c r="AH360" s="9"/>
      <c r="AI360" s="151" t="str">
        <f t="shared" si="21"/>
        <v>GUARULHOS</v>
      </c>
      <c r="AJ360" s="154" t="s">
        <v>6</v>
      </c>
      <c r="AK360" s="53">
        <v>-7.1800000000000003E-2</v>
      </c>
      <c r="AL360" s="53" t="str" cm="1">
        <f t="array" ref="AL360">IF(OR(O360&lt;&gt;"", SUMPRODUCT(($AM$2:$AM$210=AM360)*($AK$2:$AK$210&lt;=AK360)) &lt;= (COUNTIF($AM$2:$AM$210,AM360)*0.1)), "SORTEADO", "-")</f>
        <v>SORTEADO</v>
      </c>
      <c r="AM360" s="53" t="str">
        <f t="shared" si="24"/>
        <v>25/04/2026</v>
      </c>
    </row>
    <row r="361" spans="1:39" ht="30" hidden="1" customHeight="1" x14ac:dyDescent="0.2">
      <c r="A361" s="230" t="s">
        <v>197</v>
      </c>
      <c r="B361" s="230">
        <v>2616822426</v>
      </c>
      <c r="C361" s="230" t="s">
        <v>138</v>
      </c>
      <c r="D361" s="230" t="s">
        <v>67</v>
      </c>
      <c r="E361" s="230" t="s">
        <v>198</v>
      </c>
      <c r="F361" s="230" t="s">
        <v>4850</v>
      </c>
      <c r="G361" s="230">
        <v>35</v>
      </c>
      <c r="H361" s="230" t="s">
        <v>4851</v>
      </c>
      <c r="I361" s="230" t="s">
        <v>285</v>
      </c>
      <c r="J361" s="230" t="s">
        <v>4605</v>
      </c>
      <c r="K361" s="230"/>
      <c r="L361" s="230" t="s">
        <v>2065</v>
      </c>
      <c r="M361" s="230" t="s">
        <v>2108</v>
      </c>
      <c r="N361" s="230" t="s">
        <v>4613</v>
      </c>
      <c r="O361" s="158" t="s">
        <v>204</v>
      </c>
      <c r="P361" s="92"/>
      <c r="Q361" s="146" t="s">
        <v>204</v>
      </c>
      <c r="R361" s="92"/>
      <c r="S361" s="146" t="s">
        <v>204</v>
      </c>
      <c r="T361" s="92"/>
      <c r="U361" s="146" t="s">
        <v>204</v>
      </c>
      <c r="V361" s="92"/>
      <c r="W361" s="146" t="s">
        <v>204</v>
      </c>
      <c r="X361" s="92"/>
      <c r="Y361" s="146" t="s">
        <v>204</v>
      </c>
      <c r="Z361" s="92"/>
      <c r="AA361" s="146" t="s">
        <v>204</v>
      </c>
      <c r="AB361" s="64"/>
      <c r="AC361" s="146" t="s">
        <v>204</v>
      </c>
      <c r="AD361" s="64"/>
      <c r="AE361" s="146" t="s">
        <v>204</v>
      </c>
      <c r="AF361" s="215" t="str">
        <f t="shared" si="23"/>
        <v>C</v>
      </c>
      <c r="AG361" s="96" t="str">
        <f t="shared" si="22"/>
        <v>UTILIZOU O PDA CORRETAMENTE</v>
      </c>
      <c r="AH361" s="9"/>
      <c r="AI361" s="151" t="str">
        <f t="shared" si="21"/>
        <v>GUARULHOS</v>
      </c>
      <c r="AJ361" s="154" t="s">
        <v>6</v>
      </c>
      <c r="AK361" s="53">
        <v>-7.1999999999999995E-2</v>
      </c>
      <c r="AL361" s="53" t="str" cm="1">
        <f t="array" ref="AL361">IF(OR(O361&lt;&gt;"", SUMPRODUCT(($AM$2:$AM$210=AM361)*($AK$2:$AK$210&lt;=AK361)) &lt;= (COUNTIF($AM$2:$AM$210,AM361)*0.1)), "SORTEADO", "-")</f>
        <v>SORTEADO</v>
      </c>
      <c r="AM361" s="53" t="str">
        <f t="shared" si="24"/>
        <v>25/04/2026</v>
      </c>
    </row>
    <row r="362" spans="1:39" ht="30" hidden="1" customHeight="1" x14ac:dyDescent="0.2">
      <c r="A362" s="230" t="s">
        <v>197</v>
      </c>
      <c r="B362" s="230">
        <v>2616618296</v>
      </c>
      <c r="C362" s="230" t="s">
        <v>138</v>
      </c>
      <c r="D362" s="230" t="s">
        <v>67</v>
      </c>
      <c r="E362" s="230" t="s">
        <v>198</v>
      </c>
      <c r="F362" s="230" t="s">
        <v>4852</v>
      </c>
      <c r="G362" s="230">
        <v>1630</v>
      </c>
      <c r="H362" s="230" t="s">
        <v>4853</v>
      </c>
      <c r="I362" s="230" t="s">
        <v>2548</v>
      </c>
      <c r="J362" s="230" t="s">
        <v>4605</v>
      </c>
      <c r="K362" s="230" t="s">
        <v>4612</v>
      </c>
      <c r="L362" s="230" t="s">
        <v>2065</v>
      </c>
      <c r="M362" s="230" t="s">
        <v>4854</v>
      </c>
      <c r="N362" s="230" t="s">
        <v>4613</v>
      </c>
      <c r="O362" s="158" t="s">
        <v>204</v>
      </c>
      <c r="P362" s="92"/>
      <c r="Q362" s="146" t="s">
        <v>204</v>
      </c>
      <c r="R362" s="92"/>
      <c r="S362" s="146" t="s">
        <v>204</v>
      </c>
      <c r="T362" s="92"/>
      <c r="U362" s="146" t="s">
        <v>204</v>
      </c>
      <c r="V362" s="92"/>
      <c r="W362" s="146" t="s">
        <v>204</v>
      </c>
      <c r="X362" s="92"/>
      <c r="Y362" s="146" t="s">
        <v>61</v>
      </c>
      <c r="Z362" s="92"/>
      <c r="AA362" s="146" t="s">
        <v>204</v>
      </c>
      <c r="AB362" s="64"/>
      <c r="AC362" s="146" t="s">
        <v>204</v>
      </c>
      <c r="AD362" s="64"/>
      <c r="AE362" s="146" t="s">
        <v>204</v>
      </c>
      <c r="AF362" s="215" t="str">
        <f t="shared" si="23"/>
        <v>C</v>
      </c>
      <c r="AG362" s="96" t="str">
        <f t="shared" si="22"/>
        <v>UTILIZOU O PDA CORRETAMENTE</v>
      </c>
      <c r="AH362" s="9"/>
      <c r="AI362" s="151" t="str">
        <f t="shared" si="21"/>
        <v>GUARULHOS</v>
      </c>
      <c r="AJ362" s="154" t="s">
        <v>6</v>
      </c>
      <c r="AK362" s="53">
        <v>-7.22E-2</v>
      </c>
      <c r="AL362" s="53" t="str" cm="1">
        <f t="array" ref="AL362">IF(OR(O362&lt;&gt;"", SUMPRODUCT(($AM$2:$AM$210=AM362)*($AK$2:$AK$210&lt;=AK362)) &lt;= (COUNTIF($AM$2:$AM$210,AM362)*0.1)), "SORTEADO", "-")</f>
        <v>SORTEADO</v>
      </c>
      <c r="AM362" s="53" t="str">
        <f t="shared" si="24"/>
        <v>25/04/2026</v>
      </c>
    </row>
    <row r="363" spans="1:39" ht="30" hidden="1" customHeight="1" x14ac:dyDescent="0.2">
      <c r="A363" s="230" t="s">
        <v>197</v>
      </c>
      <c r="B363" s="230">
        <v>2691333350</v>
      </c>
      <c r="C363" s="230" t="s">
        <v>138</v>
      </c>
      <c r="D363" s="230" t="s">
        <v>67</v>
      </c>
      <c r="E363" s="230" t="s">
        <v>198</v>
      </c>
      <c r="F363" s="230" t="s">
        <v>4855</v>
      </c>
      <c r="G363" s="230">
        <v>186</v>
      </c>
      <c r="H363" s="230" t="s">
        <v>4856</v>
      </c>
      <c r="I363" s="230" t="s">
        <v>335</v>
      </c>
      <c r="J363" s="230" t="s">
        <v>4605</v>
      </c>
      <c r="K363" s="230"/>
      <c r="L363" s="230" t="s">
        <v>2065</v>
      </c>
      <c r="M363" s="230" t="s">
        <v>4857</v>
      </c>
      <c r="N363" s="230" t="s">
        <v>4613</v>
      </c>
      <c r="O363" s="158" t="s">
        <v>204</v>
      </c>
      <c r="P363" s="92"/>
      <c r="Q363" s="146" t="s">
        <v>204</v>
      </c>
      <c r="R363" s="92"/>
      <c r="S363" s="146" t="s">
        <v>204</v>
      </c>
      <c r="T363" s="92"/>
      <c r="U363" s="146" t="s">
        <v>204</v>
      </c>
      <c r="V363" s="92"/>
      <c r="W363" s="146" t="s">
        <v>204</v>
      </c>
      <c r="X363" s="92"/>
      <c r="Y363" s="146" t="s">
        <v>204</v>
      </c>
      <c r="Z363" s="92"/>
      <c r="AA363" s="146" t="s">
        <v>204</v>
      </c>
      <c r="AB363" s="64"/>
      <c r="AC363" s="146" t="s">
        <v>204</v>
      </c>
      <c r="AD363" s="64"/>
      <c r="AE363" s="146" t="s">
        <v>204</v>
      </c>
      <c r="AF363" s="215" t="str">
        <f t="shared" si="23"/>
        <v>C</v>
      </c>
      <c r="AG363" s="96" t="str">
        <f t="shared" si="22"/>
        <v>UTILIZOU O PDA CORRETAMENTE</v>
      </c>
      <c r="AH363" s="9"/>
      <c r="AI363" s="151" t="str">
        <f t="shared" si="21"/>
        <v>GUARULHOS</v>
      </c>
      <c r="AJ363" s="154" t="s">
        <v>6</v>
      </c>
      <c r="AK363" s="53">
        <v>-7.2400000000000006E-2</v>
      </c>
      <c r="AL363" s="53" t="str" cm="1">
        <f t="array" ref="AL363">IF(OR(O363&lt;&gt;"", SUMPRODUCT(($AM$2:$AM$210=AM363)*($AK$2:$AK$210&lt;=AK363)) &lt;= (COUNTIF($AM$2:$AM$210,AM363)*0.1)), "SORTEADO", "-")</f>
        <v>SORTEADO</v>
      </c>
      <c r="AM363" s="53" t="str">
        <f t="shared" si="24"/>
        <v>25/04/2026</v>
      </c>
    </row>
    <row r="364" spans="1:39" ht="30" hidden="1" customHeight="1" x14ac:dyDescent="0.2">
      <c r="A364" s="230" t="s">
        <v>197</v>
      </c>
      <c r="B364" s="230">
        <v>2616865917</v>
      </c>
      <c r="C364" s="230" t="s">
        <v>138</v>
      </c>
      <c r="D364" s="230" t="s">
        <v>67</v>
      </c>
      <c r="E364" s="230" t="s">
        <v>198</v>
      </c>
      <c r="F364" s="230" t="s">
        <v>1877</v>
      </c>
      <c r="G364" s="230">
        <v>258</v>
      </c>
      <c r="H364" s="230" t="s">
        <v>1878</v>
      </c>
      <c r="I364" s="230" t="s">
        <v>822</v>
      </c>
      <c r="J364" s="230" t="s">
        <v>4605</v>
      </c>
      <c r="K364" s="230" t="s">
        <v>213</v>
      </c>
      <c r="L364" s="230" t="s">
        <v>2065</v>
      </c>
      <c r="M364" s="230" t="s">
        <v>4858</v>
      </c>
      <c r="N364" s="230" t="s">
        <v>4613</v>
      </c>
      <c r="O364" s="158" t="s">
        <v>204</v>
      </c>
      <c r="P364" s="92"/>
      <c r="Q364" s="146" t="s">
        <v>204</v>
      </c>
      <c r="R364" s="92"/>
      <c r="S364" s="146" t="s">
        <v>204</v>
      </c>
      <c r="T364" s="92"/>
      <c r="U364" s="146" t="s">
        <v>204</v>
      </c>
      <c r="V364" s="92"/>
      <c r="W364" s="146" t="s">
        <v>204</v>
      </c>
      <c r="X364" s="92"/>
      <c r="Y364" s="146" t="s">
        <v>204</v>
      </c>
      <c r="Z364" s="92"/>
      <c r="AA364" s="146" t="s">
        <v>204</v>
      </c>
      <c r="AB364" s="64"/>
      <c r="AC364" s="146" t="s">
        <v>204</v>
      </c>
      <c r="AD364" s="64"/>
      <c r="AE364" s="146" t="s">
        <v>204</v>
      </c>
      <c r="AF364" s="215" t="str">
        <f t="shared" si="23"/>
        <v>C</v>
      </c>
      <c r="AG364" s="96" t="str">
        <f t="shared" si="22"/>
        <v>UTILIZOU O PDA CORRETAMENTE</v>
      </c>
      <c r="AH364" s="9"/>
      <c r="AI364" s="151" t="str">
        <f t="shared" si="21"/>
        <v>GUARULHOS</v>
      </c>
      <c r="AJ364" s="154" t="s">
        <v>6</v>
      </c>
      <c r="AK364" s="53">
        <v>-7.2599999999999998E-2</v>
      </c>
      <c r="AL364" s="53" t="str" cm="1">
        <f t="array" ref="AL364">IF(OR(O364&lt;&gt;"", SUMPRODUCT(($AM$2:$AM$210=AM364)*($AK$2:$AK$210&lt;=AK364)) &lt;= (COUNTIF($AM$2:$AM$210,AM364)*0.1)), "SORTEADO", "-")</f>
        <v>SORTEADO</v>
      </c>
      <c r="AM364" s="53" t="str">
        <f t="shared" si="24"/>
        <v>25/04/2026</v>
      </c>
    </row>
    <row r="365" spans="1:39" ht="30" hidden="1" customHeight="1" x14ac:dyDescent="0.2">
      <c r="A365" s="230" t="s">
        <v>197</v>
      </c>
      <c r="B365" s="230">
        <v>2617108482</v>
      </c>
      <c r="C365" s="230" t="s">
        <v>141</v>
      </c>
      <c r="D365" s="230" t="s">
        <v>67</v>
      </c>
      <c r="E365" s="230" t="s">
        <v>198</v>
      </c>
      <c r="F365" s="230" t="s">
        <v>1352</v>
      </c>
      <c r="G365" s="230">
        <v>853</v>
      </c>
      <c r="H365" s="230" t="s">
        <v>1353</v>
      </c>
      <c r="I365" s="230" t="s">
        <v>622</v>
      </c>
      <c r="J365" s="230" t="s">
        <v>4603</v>
      </c>
      <c r="K365" s="230"/>
      <c r="L365" s="230" t="s">
        <v>2065</v>
      </c>
      <c r="M365" s="230" t="s">
        <v>4859</v>
      </c>
      <c r="N365" s="230" t="s">
        <v>4613</v>
      </c>
      <c r="O365" s="158" t="s">
        <v>204</v>
      </c>
      <c r="P365" s="92"/>
      <c r="Q365" s="146" t="s">
        <v>204</v>
      </c>
      <c r="R365" s="92"/>
      <c r="S365" s="146" t="s">
        <v>204</v>
      </c>
      <c r="T365" s="92"/>
      <c r="U365" s="146" t="s">
        <v>204</v>
      </c>
      <c r="V365" s="92"/>
      <c r="W365" s="146" t="s">
        <v>204</v>
      </c>
      <c r="X365" s="92"/>
      <c r="Y365" s="146" t="s">
        <v>204</v>
      </c>
      <c r="Z365" s="92"/>
      <c r="AA365" s="146" t="s">
        <v>204</v>
      </c>
      <c r="AB365" s="64"/>
      <c r="AC365" s="146" t="s">
        <v>204</v>
      </c>
      <c r="AD365" s="64"/>
      <c r="AE365" s="146" t="s">
        <v>204</v>
      </c>
      <c r="AF365" s="215" t="str">
        <f t="shared" si="23"/>
        <v>C</v>
      </c>
      <c r="AG365" s="96" t="str">
        <f t="shared" si="22"/>
        <v>UTILIZOU O PDA CORRETAMENTE</v>
      </c>
      <c r="AH365" s="9"/>
      <c r="AI365" s="151" t="str">
        <f t="shared" si="21"/>
        <v>GUARULHOS</v>
      </c>
      <c r="AJ365" s="154" t="s">
        <v>6</v>
      </c>
      <c r="AK365" s="53">
        <v>-7.2800000000000004E-2</v>
      </c>
      <c r="AL365" s="53" t="str" cm="1">
        <f t="array" ref="AL365">IF(OR(O365&lt;&gt;"", SUMPRODUCT(($AM$2:$AM$210=AM365)*($AK$2:$AK$210&lt;=AK365)) &lt;= (COUNTIF($AM$2:$AM$210,AM365)*0.1)), "SORTEADO", "-")</f>
        <v>SORTEADO</v>
      </c>
      <c r="AM365" s="53" t="str">
        <f t="shared" si="24"/>
        <v>25/04/2026</v>
      </c>
    </row>
    <row r="366" spans="1:39" ht="30" hidden="1" customHeight="1" x14ac:dyDescent="0.2">
      <c r="A366" s="230" t="s">
        <v>197</v>
      </c>
      <c r="B366" s="230">
        <v>2616826985</v>
      </c>
      <c r="C366" s="230" t="s">
        <v>141</v>
      </c>
      <c r="D366" s="230" t="s">
        <v>67</v>
      </c>
      <c r="E366" s="230" t="s">
        <v>198</v>
      </c>
      <c r="F366" s="230" t="s">
        <v>283</v>
      </c>
      <c r="G366" s="230">
        <v>88</v>
      </c>
      <c r="H366" s="230" t="s">
        <v>4860</v>
      </c>
      <c r="I366" s="230" t="s">
        <v>285</v>
      </c>
      <c r="J366" s="230" t="s">
        <v>4603</v>
      </c>
      <c r="K366" s="230" t="s">
        <v>213</v>
      </c>
      <c r="L366" s="230" t="s">
        <v>2065</v>
      </c>
      <c r="M366" s="230" t="s">
        <v>4861</v>
      </c>
      <c r="N366" s="230" t="s">
        <v>4613</v>
      </c>
      <c r="O366" s="158" t="s">
        <v>204</v>
      </c>
      <c r="P366" s="92"/>
      <c r="Q366" s="146" t="s">
        <v>204</v>
      </c>
      <c r="R366" s="92"/>
      <c r="S366" s="146" t="s">
        <v>204</v>
      </c>
      <c r="T366" s="92"/>
      <c r="U366" s="146" t="s">
        <v>204</v>
      </c>
      <c r="V366" s="92"/>
      <c r="W366" s="146" t="s">
        <v>204</v>
      </c>
      <c r="X366" s="92"/>
      <c r="Y366" s="146" t="s">
        <v>204</v>
      </c>
      <c r="Z366" s="92"/>
      <c r="AA366" s="146" t="s">
        <v>204</v>
      </c>
      <c r="AB366" s="64"/>
      <c r="AC366" s="146" t="s">
        <v>204</v>
      </c>
      <c r="AD366" s="64"/>
      <c r="AE366" s="146" t="s">
        <v>204</v>
      </c>
      <c r="AF366" s="215" t="str">
        <f t="shared" si="23"/>
        <v>C</v>
      </c>
      <c r="AG366" s="96" t="str">
        <f t="shared" si="22"/>
        <v>UTILIZOU O PDA CORRETAMENTE</v>
      </c>
      <c r="AH366" s="9"/>
      <c r="AI366" s="151" t="str">
        <f t="shared" si="21"/>
        <v>GUARULHOS</v>
      </c>
      <c r="AJ366" s="154" t="s">
        <v>6</v>
      </c>
      <c r="AK366" s="53">
        <v>-7.2999999999999995E-2</v>
      </c>
      <c r="AL366" s="53" t="str" cm="1">
        <f t="array" ref="AL366">IF(OR(O366&lt;&gt;"", SUMPRODUCT(($AM$2:$AM$210=AM366)*($AK$2:$AK$210&lt;=AK366)) &lt;= (COUNTIF($AM$2:$AM$210,AM366)*0.1)), "SORTEADO", "-")</f>
        <v>SORTEADO</v>
      </c>
      <c r="AM366" s="53" t="str">
        <f t="shared" si="24"/>
        <v>25/04/2026</v>
      </c>
    </row>
    <row r="367" spans="1:39" ht="30" hidden="1" customHeight="1" x14ac:dyDescent="0.2">
      <c r="A367" s="230" t="s">
        <v>197</v>
      </c>
      <c r="B367" s="230">
        <v>2616856083</v>
      </c>
      <c r="C367" s="230" t="s">
        <v>141</v>
      </c>
      <c r="D367" s="230" t="s">
        <v>67</v>
      </c>
      <c r="E367" s="230" t="s">
        <v>198</v>
      </c>
      <c r="F367" s="230" t="s">
        <v>355</v>
      </c>
      <c r="G367" s="230">
        <v>223</v>
      </c>
      <c r="H367" s="230"/>
      <c r="I367" s="230" t="s">
        <v>356</v>
      </c>
      <c r="J367" s="230" t="s">
        <v>4603</v>
      </c>
      <c r="K367" s="230" t="s">
        <v>4640</v>
      </c>
      <c r="L367" s="230" t="s">
        <v>2065</v>
      </c>
      <c r="M367" s="230" t="s">
        <v>4862</v>
      </c>
      <c r="N367" s="230" t="s">
        <v>4613</v>
      </c>
      <c r="O367" s="158" t="s">
        <v>61</v>
      </c>
      <c r="P367" s="92"/>
      <c r="Q367" s="158" t="s">
        <v>61</v>
      </c>
      <c r="R367" s="92"/>
      <c r="S367" s="158" t="s">
        <v>61</v>
      </c>
      <c r="T367" s="92"/>
      <c r="U367" s="158" t="s">
        <v>61</v>
      </c>
      <c r="V367" s="92"/>
      <c r="W367" s="158" t="s">
        <v>61</v>
      </c>
      <c r="X367" s="92"/>
      <c r="Y367" s="158" t="s">
        <v>61</v>
      </c>
      <c r="Z367" s="92"/>
      <c r="AA367" s="158" t="s">
        <v>61</v>
      </c>
      <c r="AB367" s="64"/>
      <c r="AC367" s="158" t="s">
        <v>61</v>
      </c>
      <c r="AD367" s="64"/>
      <c r="AE367" s="158" t="s">
        <v>61</v>
      </c>
      <c r="AF367" s="215" t="str">
        <f t="shared" si="23"/>
        <v>NA</v>
      </c>
      <c r="AG367" s="96" t="str">
        <f t="shared" si="22"/>
        <v>NÃO AVALIADO POR FALHA DE SINCRONISMO</v>
      </c>
      <c r="AH367" s="9"/>
      <c r="AI367" s="151" t="str">
        <f t="shared" si="21"/>
        <v>GUARULHOS</v>
      </c>
      <c r="AJ367" s="154" t="s">
        <v>6</v>
      </c>
      <c r="AK367" s="53">
        <v>-7.3200000000000001E-2</v>
      </c>
      <c r="AL367" s="53" t="str" cm="1">
        <f t="array" ref="AL367">IF(OR(O367&lt;&gt;"", SUMPRODUCT(($AM$2:$AM$210=AM367)*($AK$2:$AK$210&lt;=AK367)) &lt;= (COUNTIF($AM$2:$AM$210,AM367)*0.1)), "SORTEADO", "-")</f>
        <v>SORTEADO</v>
      </c>
      <c r="AM367" s="53" t="str">
        <f t="shared" si="24"/>
        <v>25/04/2026</v>
      </c>
    </row>
    <row r="368" spans="1:39" ht="30" hidden="1" customHeight="1" x14ac:dyDescent="0.2">
      <c r="A368" s="230" t="s">
        <v>197</v>
      </c>
      <c r="B368" s="230">
        <v>2616875206</v>
      </c>
      <c r="C368" s="230" t="s">
        <v>138</v>
      </c>
      <c r="D368" s="230" t="s">
        <v>67</v>
      </c>
      <c r="E368" s="230" t="s">
        <v>198</v>
      </c>
      <c r="F368" s="230" t="s">
        <v>1930</v>
      </c>
      <c r="G368" s="230">
        <v>130</v>
      </c>
      <c r="H368" s="230" t="s">
        <v>252</v>
      </c>
      <c r="I368" s="230" t="s">
        <v>650</v>
      </c>
      <c r="J368" s="230" t="s">
        <v>4605</v>
      </c>
      <c r="K368" s="230" t="s">
        <v>4863</v>
      </c>
      <c r="L368" s="230" t="s">
        <v>2065</v>
      </c>
      <c r="M368" s="230" t="s">
        <v>4864</v>
      </c>
      <c r="N368" s="230" t="s">
        <v>4613</v>
      </c>
      <c r="O368" s="215" t="s">
        <v>61</v>
      </c>
      <c r="P368" s="92"/>
      <c r="Q368" s="215" t="s">
        <v>61</v>
      </c>
      <c r="R368" s="92"/>
      <c r="S368" s="215" t="s">
        <v>61</v>
      </c>
      <c r="T368" s="92"/>
      <c r="U368" s="215" t="s">
        <v>61</v>
      </c>
      <c r="V368" s="92"/>
      <c r="W368" s="215" t="s">
        <v>61</v>
      </c>
      <c r="X368" s="92"/>
      <c r="Y368" s="215" t="s">
        <v>61</v>
      </c>
      <c r="Z368" s="92"/>
      <c r="AA368" s="215" t="s">
        <v>61</v>
      </c>
      <c r="AB368" s="64"/>
      <c r="AC368" s="215" t="s">
        <v>61</v>
      </c>
      <c r="AD368" s="64"/>
      <c r="AE368" s="215" t="s">
        <v>61</v>
      </c>
      <c r="AF368" s="215" t="s">
        <v>61</v>
      </c>
      <c r="AG368" s="96" t="str">
        <f t="shared" si="22"/>
        <v>NÃO AVALIADO POR FALHA DE SINCRONISMO</v>
      </c>
      <c r="AH368" s="9"/>
      <c r="AI368" s="151" t="str">
        <f t="shared" si="21"/>
        <v>GUARULHOS</v>
      </c>
      <c r="AJ368" s="154" t="s">
        <v>6</v>
      </c>
      <c r="AK368" s="53">
        <v>-7.3400000000000007E-2</v>
      </c>
      <c r="AL368" s="53" t="str" cm="1">
        <f t="array" ref="AL368">IF(OR(O368&lt;&gt;"", SUMPRODUCT(($AM$2:$AM$210=AM368)*($AK$2:$AK$210&lt;=AK368)) &lt;= (COUNTIF($AM$2:$AM$210,AM368)*0.1)), "SORTEADO", "-")</f>
        <v>SORTEADO</v>
      </c>
      <c r="AM368" s="53" t="str">
        <f t="shared" si="24"/>
        <v>25/04/2026</v>
      </c>
    </row>
    <row r="369" spans="1:39" ht="30" hidden="1" customHeight="1" x14ac:dyDescent="0.2">
      <c r="A369" s="230" t="s">
        <v>197</v>
      </c>
      <c r="B369" s="230">
        <v>2617108678</v>
      </c>
      <c r="C369" s="230" t="s">
        <v>141</v>
      </c>
      <c r="D369" s="230" t="s">
        <v>67</v>
      </c>
      <c r="E369" s="230" t="s">
        <v>198</v>
      </c>
      <c r="F369" s="230" t="s">
        <v>1355</v>
      </c>
      <c r="G369" s="230">
        <v>136</v>
      </c>
      <c r="H369" s="230"/>
      <c r="I369" s="230" t="s">
        <v>588</v>
      </c>
      <c r="J369" s="230" t="s">
        <v>4603</v>
      </c>
      <c r="K369" s="230"/>
      <c r="L369" s="230" t="s">
        <v>2065</v>
      </c>
      <c r="M369" s="230" t="s">
        <v>4865</v>
      </c>
      <c r="N369" s="230" t="s">
        <v>4613</v>
      </c>
      <c r="O369" s="158" t="s">
        <v>204</v>
      </c>
      <c r="P369" s="92"/>
      <c r="Q369" s="146" t="s">
        <v>204</v>
      </c>
      <c r="R369" s="92"/>
      <c r="S369" s="146" t="s">
        <v>204</v>
      </c>
      <c r="T369" s="92"/>
      <c r="U369" s="146" t="s">
        <v>204</v>
      </c>
      <c r="V369" s="92"/>
      <c r="W369" s="146" t="s">
        <v>204</v>
      </c>
      <c r="X369" s="92"/>
      <c r="Y369" s="146" t="s">
        <v>204</v>
      </c>
      <c r="Z369" s="92"/>
      <c r="AA369" s="146" t="s">
        <v>204</v>
      </c>
      <c r="AB369" s="64"/>
      <c r="AC369" s="146" t="s">
        <v>204</v>
      </c>
      <c r="AD369" s="64"/>
      <c r="AE369" s="146" t="s">
        <v>204</v>
      </c>
      <c r="AF369" s="215" t="str">
        <f t="shared" si="23"/>
        <v>C</v>
      </c>
      <c r="AG369" s="96" t="str">
        <f t="shared" si="22"/>
        <v>UTILIZOU O PDA CORRETAMENTE</v>
      </c>
      <c r="AH369" s="9"/>
      <c r="AI369" s="151" t="str">
        <f t="shared" si="21"/>
        <v>GUARULHOS</v>
      </c>
      <c r="AJ369" s="154" t="s">
        <v>6</v>
      </c>
      <c r="AK369" s="53">
        <v>-7.3599999999999999E-2</v>
      </c>
      <c r="AL369" s="53" t="str" cm="1">
        <f t="array" ref="AL369">IF(OR(O369&lt;&gt;"", SUMPRODUCT(($AM$2:$AM$210=AM369)*($AK$2:$AK$210&lt;=AK369)) &lt;= (COUNTIF($AM$2:$AM$210,AM369)*0.1)), "SORTEADO", "-")</f>
        <v>SORTEADO</v>
      </c>
      <c r="AM369" s="53" t="str">
        <f t="shared" si="24"/>
        <v>25/04/2026</v>
      </c>
    </row>
    <row r="370" spans="1:39" ht="30" customHeight="1" x14ac:dyDescent="0.2">
      <c r="A370" s="230" t="s">
        <v>197</v>
      </c>
      <c r="B370" s="230">
        <v>2616901957</v>
      </c>
      <c r="C370" s="230" t="s">
        <v>138</v>
      </c>
      <c r="D370" s="230" t="s">
        <v>67</v>
      </c>
      <c r="E370" s="230" t="s">
        <v>198</v>
      </c>
      <c r="F370" s="230" t="s">
        <v>679</v>
      </c>
      <c r="G370" s="230">
        <v>485</v>
      </c>
      <c r="H370" s="230" t="s">
        <v>206</v>
      </c>
      <c r="I370" s="230" t="s">
        <v>1587</v>
      </c>
      <c r="J370" s="230" t="s">
        <v>4605</v>
      </c>
      <c r="K370" s="230" t="s">
        <v>213</v>
      </c>
      <c r="L370" s="230" t="s">
        <v>2065</v>
      </c>
      <c r="M370" s="230" t="s">
        <v>4866</v>
      </c>
      <c r="N370" s="230" t="s">
        <v>4620</v>
      </c>
      <c r="O370" s="158" t="s">
        <v>210</v>
      </c>
      <c r="P370" s="92" t="s">
        <v>413</v>
      </c>
      <c r="Q370" s="158" t="s">
        <v>210</v>
      </c>
      <c r="R370" s="92" t="s">
        <v>413</v>
      </c>
      <c r="S370" s="158" t="s">
        <v>210</v>
      </c>
      <c r="T370" s="92" t="s">
        <v>413</v>
      </c>
      <c r="U370" s="158" t="s">
        <v>210</v>
      </c>
      <c r="V370" s="92" t="s">
        <v>413</v>
      </c>
      <c r="W370" s="158" t="s">
        <v>210</v>
      </c>
      <c r="X370" s="92" t="s">
        <v>413</v>
      </c>
      <c r="Y370" s="158" t="s">
        <v>210</v>
      </c>
      <c r="Z370" s="92" t="s">
        <v>413</v>
      </c>
      <c r="AA370" s="158" t="s">
        <v>210</v>
      </c>
      <c r="AB370" s="64" t="s">
        <v>413</v>
      </c>
      <c r="AC370" s="158" t="s">
        <v>210</v>
      </c>
      <c r="AD370" s="64" t="s">
        <v>413</v>
      </c>
      <c r="AE370" s="158" t="s">
        <v>210</v>
      </c>
      <c r="AF370" s="215" t="str">
        <f t="shared" si="23"/>
        <v>NC</v>
      </c>
      <c r="AG370" s="96" t="str">
        <f t="shared" si="22"/>
        <v>NÃO UTILIZOU O PDA</v>
      </c>
      <c r="AH370" s="9"/>
      <c r="AI370" s="151" t="str">
        <f t="shared" si="21"/>
        <v>GUARULHOS</v>
      </c>
      <c r="AJ370" s="154" t="s">
        <v>6</v>
      </c>
      <c r="AK370" s="53">
        <v>-7.3800000000000004E-2</v>
      </c>
      <c r="AL370" s="53" t="str" cm="1">
        <f t="array" ref="AL370">IF(OR(O370&lt;&gt;"", SUMPRODUCT(($AM$2:$AM$210=AM370)*($AK$2:$AK$210&lt;=AK370)) &lt;= (COUNTIF($AM$2:$AM$210,AM370)*0.1)), "SORTEADO", "-")</f>
        <v>SORTEADO</v>
      </c>
      <c r="AM370" s="53" t="str">
        <f t="shared" si="24"/>
        <v>25/04/2026</v>
      </c>
    </row>
    <row r="371" spans="1:39" ht="30" customHeight="1" x14ac:dyDescent="0.2">
      <c r="A371" s="230" t="s">
        <v>197</v>
      </c>
      <c r="B371" s="230">
        <v>2617290312</v>
      </c>
      <c r="C371" s="230" t="s">
        <v>138</v>
      </c>
      <c r="D371" s="230" t="s">
        <v>67</v>
      </c>
      <c r="E371" s="230" t="s">
        <v>198</v>
      </c>
      <c r="F371" s="230" t="s">
        <v>2035</v>
      </c>
      <c r="G371" s="230">
        <v>159</v>
      </c>
      <c r="H371" s="230"/>
      <c r="I371" s="230" t="s">
        <v>730</v>
      </c>
      <c r="J371" s="230" t="s">
        <v>4605</v>
      </c>
      <c r="K371" s="230"/>
      <c r="L371" s="230" t="s">
        <v>2065</v>
      </c>
      <c r="M371" s="230" t="s">
        <v>4867</v>
      </c>
      <c r="N371" s="230" t="s">
        <v>4620</v>
      </c>
      <c r="O371" s="158" t="s">
        <v>210</v>
      </c>
      <c r="P371" s="92" t="s">
        <v>413</v>
      </c>
      <c r="Q371" s="158" t="s">
        <v>210</v>
      </c>
      <c r="R371" s="92" t="s">
        <v>413</v>
      </c>
      <c r="S371" s="158" t="s">
        <v>210</v>
      </c>
      <c r="T371" s="92" t="s">
        <v>413</v>
      </c>
      <c r="U371" s="158" t="s">
        <v>210</v>
      </c>
      <c r="V371" s="92" t="s">
        <v>413</v>
      </c>
      <c r="W371" s="158" t="s">
        <v>210</v>
      </c>
      <c r="X371" s="92" t="s">
        <v>413</v>
      </c>
      <c r="Y371" s="158" t="s">
        <v>210</v>
      </c>
      <c r="Z371" s="92" t="s">
        <v>413</v>
      </c>
      <c r="AA371" s="158" t="s">
        <v>210</v>
      </c>
      <c r="AB371" s="64" t="s">
        <v>413</v>
      </c>
      <c r="AC371" s="158" t="s">
        <v>210</v>
      </c>
      <c r="AD371" s="64" t="s">
        <v>413</v>
      </c>
      <c r="AE371" s="158" t="s">
        <v>210</v>
      </c>
      <c r="AF371" s="215" t="str">
        <f t="shared" si="23"/>
        <v>NC</v>
      </c>
      <c r="AG371" s="96" t="str">
        <f t="shared" si="22"/>
        <v>NÃO UTILIZOU O PDA</v>
      </c>
      <c r="AH371" s="9"/>
      <c r="AI371" s="151" t="str">
        <f t="shared" si="21"/>
        <v>GUARULHOS</v>
      </c>
      <c r="AJ371" s="154" t="s">
        <v>6</v>
      </c>
      <c r="AK371" s="53">
        <v>-7.3999999999999996E-2</v>
      </c>
      <c r="AL371" s="53" t="str" cm="1">
        <f t="array" ref="AL371">IF(OR(O371&lt;&gt;"", SUMPRODUCT(($AM$2:$AM$210=AM371)*($AK$2:$AK$210&lt;=AK371)) &lt;= (COUNTIF($AM$2:$AM$210,AM371)*0.1)), "SORTEADO", "-")</f>
        <v>SORTEADO</v>
      </c>
      <c r="AM371" s="53" t="str">
        <f t="shared" si="24"/>
        <v>25/04/2026</v>
      </c>
    </row>
    <row r="372" spans="1:39" ht="30" customHeight="1" x14ac:dyDescent="0.2">
      <c r="A372" s="230" t="s">
        <v>197</v>
      </c>
      <c r="B372" s="230">
        <v>2691275521</v>
      </c>
      <c r="C372" s="230" t="s">
        <v>138</v>
      </c>
      <c r="D372" s="230" t="s">
        <v>67</v>
      </c>
      <c r="E372" s="230" t="s">
        <v>198</v>
      </c>
      <c r="F372" s="230" t="s">
        <v>4868</v>
      </c>
      <c r="G372" s="230">
        <v>100</v>
      </c>
      <c r="H372" s="230" t="s">
        <v>4869</v>
      </c>
      <c r="I372" s="230" t="s">
        <v>1358</v>
      </c>
      <c r="J372" s="230" t="s">
        <v>4605</v>
      </c>
      <c r="K372" s="230" t="s">
        <v>213</v>
      </c>
      <c r="L372" s="230" t="s">
        <v>2065</v>
      </c>
      <c r="M372" s="230" t="s">
        <v>4870</v>
      </c>
      <c r="N372" s="230" t="s">
        <v>4620</v>
      </c>
      <c r="O372" s="158" t="s">
        <v>210</v>
      </c>
      <c r="P372" s="92" t="s">
        <v>413</v>
      </c>
      <c r="Q372" s="158" t="s">
        <v>210</v>
      </c>
      <c r="R372" s="92" t="s">
        <v>413</v>
      </c>
      <c r="S372" s="158" t="s">
        <v>210</v>
      </c>
      <c r="T372" s="92" t="s">
        <v>413</v>
      </c>
      <c r="U372" s="158" t="s">
        <v>210</v>
      </c>
      <c r="V372" s="92" t="s">
        <v>413</v>
      </c>
      <c r="W372" s="158" t="s">
        <v>210</v>
      </c>
      <c r="X372" s="92" t="s">
        <v>413</v>
      </c>
      <c r="Y372" s="158" t="s">
        <v>210</v>
      </c>
      <c r="Z372" s="92" t="s">
        <v>413</v>
      </c>
      <c r="AA372" s="158" t="s">
        <v>210</v>
      </c>
      <c r="AB372" s="64" t="s">
        <v>413</v>
      </c>
      <c r="AC372" s="158" t="s">
        <v>210</v>
      </c>
      <c r="AD372" s="64" t="s">
        <v>413</v>
      </c>
      <c r="AE372" s="158" t="s">
        <v>210</v>
      </c>
      <c r="AF372" s="215" t="str">
        <f t="shared" si="23"/>
        <v>NC</v>
      </c>
      <c r="AG372" s="96" t="str">
        <f t="shared" si="22"/>
        <v>NÃO UTILIZOU O PDA</v>
      </c>
      <c r="AH372" s="9"/>
      <c r="AI372" s="151" t="str">
        <f t="shared" si="21"/>
        <v>GUARULHOS</v>
      </c>
      <c r="AJ372" s="154" t="s">
        <v>6</v>
      </c>
      <c r="AK372" s="53">
        <v>-7.4200000000000002E-2</v>
      </c>
      <c r="AL372" s="53" t="str" cm="1">
        <f t="array" ref="AL372">IF(OR(O372&lt;&gt;"", SUMPRODUCT(($AM$2:$AM$210=AM372)*($AK$2:$AK$210&lt;=AK372)) &lt;= (COUNTIF($AM$2:$AM$210,AM372)*0.1)), "SORTEADO", "-")</f>
        <v>SORTEADO</v>
      </c>
      <c r="AM372" s="53" t="str">
        <f t="shared" si="24"/>
        <v>25/04/2026</v>
      </c>
    </row>
    <row r="373" spans="1:39" ht="30" customHeight="1" x14ac:dyDescent="0.2">
      <c r="A373" s="230" t="s">
        <v>197</v>
      </c>
      <c r="B373" s="230">
        <v>2691199989</v>
      </c>
      <c r="C373" s="230" t="s">
        <v>139</v>
      </c>
      <c r="D373" s="230" t="s">
        <v>67</v>
      </c>
      <c r="E373" s="230" t="s">
        <v>198</v>
      </c>
      <c r="F373" s="230" t="s">
        <v>2753</v>
      </c>
      <c r="G373" s="230">
        <v>577</v>
      </c>
      <c r="H373" s="230" t="s">
        <v>4871</v>
      </c>
      <c r="I373" s="230" t="s">
        <v>394</v>
      </c>
      <c r="J373" s="230" t="s">
        <v>4603</v>
      </c>
      <c r="K373" s="230"/>
      <c r="L373" s="230" t="s">
        <v>2065</v>
      </c>
      <c r="M373" s="230" t="s">
        <v>4872</v>
      </c>
      <c r="N373" s="230" t="s">
        <v>4620</v>
      </c>
      <c r="O373" s="158" t="s">
        <v>210</v>
      </c>
      <c r="P373" s="92" t="s">
        <v>413</v>
      </c>
      <c r="Q373" s="158" t="s">
        <v>210</v>
      </c>
      <c r="R373" s="92" t="s">
        <v>413</v>
      </c>
      <c r="S373" s="158" t="s">
        <v>210</v>
      </c>
      <c r="T373" s="92" t="s">
        <v>413</v>
      </c>
      <c r="U373" s="158" t="s">
        <v>210</v>
      </c>
      <c r="V373" s="92" t="s">
        <v>413</v>
      </c>
      <c r="W373" s="158" t="s">
        <v>210</v>
      </c>
      <c r="X373" s="92" t="s">
        <v>413</v>
      </c>
      <c r="Y373" s="158" t="s">
        <v>210</v>
      </c>
      <c r="Z373" s="92" t="s">
        <v>413</v>
      </c>
      <c r="AA373" s="158" t="s">
        <v>210</v>
      </c>
      <c r="AB373" s="64" t="s">
        <v>413</v>
      </c>
      <c r="AC373" s="158" t="s">
        <v>210</v>
      </c>
      <c r="AD373" s="64" t="s">
        <v>413</v>
      </c>
      <c r="AE373" s="158" t="s">
        <v>210</v>
      </c>
      <c r="AF373" s="215" t="str">
        <f t="shared" si="23"/>
        <v>NC</v>
      </c>
      <c r="AG373" s="96" t="str">
        <f t="shared" si="22"/>
        <v>NÃO UTILIZOU O PDA</v>
      </c>
      <c r="AH373" s="9"/>
      <c r="AI373" s="151" t="str">
        <f t="shared" si="21"/>
        <v>GUARULHOS</v>
      </c>
      <c r="AJ373" s="154" t="s">
        <v>6</v>
      </c>
      <c r="AK373" s="53">
        <v>-7.4399999999999994E-2</v>
      </c>
      <c r="AL373" s="53" t="str" cm="1">
        <f t="array" ref="AL373">IF(OR(O373&lt;&gt;"", SUMPRODUCT(($AM$2:$AM$210=AM373)*($AK$2:$AK$210&lt;=AK373)) &lt;= (COUNTIF($AM$2:$AM$210,AM373)*0.1)), "SORTEADO", "-")</f>
        <v>SORTEADO</v>
      </c>
      <c r="AM373" s="53" t="str">
        <f t="shared" si="24"/>
        <v>25/04/2026</v>
      </c>
    </row>
    <row r="374" spans="1:39" ht="30" customHeight="1" x14ac:dyDescent="0.2">
      <c r="A374" s="230" t="s">
        <v>197</v>
      </c>
      <c r="B374" s="230">
        <v>2616616637</v>
      </c>
      <c r="C374" s="230" t="s">
        <v>138</v>
      </c>
      <c r="D374" s="230" t="s">
        <v>67</v>
      </c>
      <c r="E374" s="230" t="s">
        <v>198</v>
      </c>
      <c r="F374" s="230" t="s">
        <v>737</v>
      </c>
      <c r="G374" s="230">
        <v>379</v>
      </c>
      <c r="H374" s="230" t="s">
        <v>1106</v>
      </c>
      <c r="I374" s="230" t="s">
        <v>394</v>
      </c>
      <c r="J374" s="230" t="s">
        <v>4605</v>
      </c>
      <c r="K374" s="230" t="s">
        <v>213</v>
      </c>
      <c r="L374" s="230" t="s">
        <v>2065</v>
      </c>
      <c r="M374" s="230" t="s">
        <v>4873</v>
      </c>
      <c r="N374" s="230" t="s">
        <v>4620</v>
      </c>
      <c r="O374" s="158" t="s">
        <v>210</v>
      </c>
      <c r="P374" s="92" t="s">
        <v>413</v>
      </c>
      <c r="Q374" s="158" t="s">
        <v>210</v>
      </c>
      <c r="R374" s="92" t="s">
        <v>413</v>
      </c>
      <c r="S374" s="158" t="s">
        <v>210</v>
      </c>
      <c r="T374" s="92" t="s">
        <v>413</v>
      </c>
      <c r="U374" s="158" t="s">
        <v>210</v>
      </c>
      <c r="V374" s="92" t="s">
        <v>413</v>
      </c>
      <c r="W374" s="158" t="s">
        <v>210</v>
      </c>
      <c r="X374" s="92" t="s">
        <v>413</v>
      </c>
      <c r="Y374" s="158" t="s">
        <v>210</v>
      </c>
      <c r="Z374" s="92" t="s">
        <v>413</v>
      </c>
      <c r="AA374" s="158" t="s">
        <v>210</v>
      </c>
      <c r="AB374" s="64" t="s">
        <v>413</v>
      </c>
      <c r="AC374" s="158" t="s">
        <v>210</v>
      </c>
      <c r="AD374" s="64" t="s">
        <v>413</v>
      </c>
      <c r="AE374" s="158" t="s">
        <v>210</v>
      </c>
      <c r="AF374" s="215" t="str">
        <f t="shared" si="23"/>
        <v>NC</v>
      </c>
      <c r="AG374" s="96" t="str">
        <f t="shared" si="22"/>
        <v>NÃO UTILIZOU O PDA</v>
      </c>
      <c r="AH374" s="9"/>
      <c r="AI374" s="151" t="str">
        <f t="shared" si="21"/>
        <v>GUARULHOS</v>
      </c>
      <c r="AJ374" s="154" t="s">
        <v>6</v>
      </c>
      <c r="AK374" s="53">
        <v>-7.46E-2</v>
      </c>
      <c r="AL374" s="53" t="str" cm="1">
        <f t="array" ref="AL374">IF(OR(O374&lt;&gt;"", SUMPRODUCT(($AM$2:$AM$210=AM374)*($AK$2:$AK$210&lt;=AK374)) &lt;= (COUNTIF($AM$2:$AM$210,AM374)*0.1)), "SORTEADO", "-")</f>
        <v>SORTEADO</v>
      </c>
      <c r="AM374" s="53" t="str">
        <f t="shared" si="24"/>
        <v>25/04/2026</v>
      </c>
    </row>
    <row r="375" spans="1:39" ht="30" customHeight="1" x14ac:dyDescent="0.2">
      <c r="A375" s="230" t="s">
        <v>197</v>
      </c>
      <c r="B375" s="230">
        <v>2617178649</v>
      </c>
      <c r="C375" s="230" t="s">
        <v>139</v>
      </c>
      <c r="D375" s="230" t="s">
        <v>67</v>
      </c>
      <c r="E375" s="230" t="s">
        <v>198</v>
      </c>
      <c r="F375" s="230" t="s">
        <v>737</v>
      </c>
      <c r="G375" s="230">
        <v>382</v>
      </c>
      <c r="H375" s="230"/>
      <c r="I375" s="230" t="s">
        <v>730</v>
      </c>
      <c r="J375" s="230" t="s">
        <v>4603</v>
      </c>
      <c r="K375" s="230"/>
      <c r="L375" s="230" t="s">
        <v>2065</v>
      </c>
      <c r="M375" s="230" t="s">
        <v>4874</v>
      </c>
      <c r="N375" s="230" t="s">
        <v>4620</v>
      </c>
      <c r="O375" s="158" t="s">
        <v>210</v>
      </c>
      <c r="P375" s="92" t="s">
        <v>413</v>
      </c>
      <c r="Q375" s="158" t="s">
        <v>210</v>
      </c>
      <c r="R375" s="92" t="s">
        <v>413</v>
      </c>
      <c r="S375" s="158" t="s">
        <v>210</v>
      </c>
      <c r="T375" s="92" t="s">
        <v>413</v>
      </c>
      <c r="U375" s="158" t="s">
        <v>210</v>
      </c>
      <c r="V375" s="92" t="s">
        <v>413</v>
      </c>
      <c r="W375" s="158" t="s">
        <v>210</v>
      </c>
      <c r="X375" s="92" t="s">
        <v>413</v>
      </c>
      <c r="Y375" s="158" t="s">
        <v>210</v>
      </c>
      <c r="Z375" s="92" t="s">
        <v>413</v>
      </c>
      <c r="AA375" s="158" t="s">
        <v>210</v>
      </c>
      <c r="AB375" s="64" t="s">
        <v>413</v>
      </c>
      <c r="AC375" s="158" t="s">
        <v>210</v>
      </c>
      <c r="AD375" s="64" t="s">
        <v>413</v>
      </c>
      <c r="AE375" s="158" t="s">
        <v>210</v>
      </c>
      <c r="AF375" s="215" t="str">
        <f t="shared" si="23"/>
        <v>NC</v>
      </c>
      <c r="AG375" s="96" t="str">
        <f t="shared" si="22"/>
        <v>NÃO UTILIZOU O PDA</v>
      </c>
      <c r="AH375" s="9"/>
      <c r="AI375" s="151" t="str">
        <f t="shared" ref="AI375:AI438" si="25">E375</f>
        <v>GUARULHOS</v>
      </c>
      <c r="AJ375" s="154" t="s">
        <v>6</v>
      </c>
      <c r="AK375" s="53">
        <v>-7.4800000000000005E-2</v>
      </c>
      <c r="AL375" s="53" t="str" cm="1">
        <f t="array" ref="AL375">IF(OR(O375&lt;&gt;"", SUMPRODUCT(($AM$2:$AM$210=AM375)*($AK$2:$AK$210&lt;=AK375)) &lt;= (COUNTIF($AM$2:$AM$210,AM375)*0.1)), "SORTEADO", "-")</f>
        <v>SORTEADO</v>
      </c>
      <c r="AM375" s="53" t="str">
        <f t="shared" si="24"/>
        <v>25/04/2026</v>
      </c>
    </row>
    <row r="376" spans="1:39" ht="30" customHeight="1" x14ac:dyDescent="0.2">
      <c r="A376" s="230" t="s">
        <v>197</v>
      </c>
      <c r="B376" s="230">
        <v>2616833839</v>
      </c>
      <c r="C376" s="230" t="s">
        <v>141</v>
      </c>
      <c r="D376" s="230" t="s">
        <v>67</v>
      </c>
      <c r="E376" s="230" t="s">
        <v>198</v>
      </c>
      <c r="F376" s="230" t="s">
        <v>1806</v>
      </c>
      <c r="G376" s="230">
        <v>822</v>
      </c>
      <c r="H376" s="230" t="s">
        <v>4875</v>
      </c>
      <c r="I376" s="230" t="s">
        <v>394</v>
      </c>
      <c r="J376" s="230" t="s">
        <v>4603</v>
      </c>
      <c r="K376" s="230" t="s">
        <v>213</v>
      </c>
      <c r="L376" s="230" t="s">
        <v>2065</v>
      </c>
      <c r="M376" s="230" t="s">
        <v>4876</v>
      </c>
      <c r="N376" s="230" t="s">
        <v>4620</v>
      </c>
      <c r="O376" s="158" t="s">
        <v>210</v>
      </c>
      <c r="P376" s="92" t="s">
        <v>413</v>
      </c>
      <c r="Q376" s="158" t="s">
        <v>210</v>
      </c>
      <c r="R376" s="92" t="s">
        <v>413</v>
      </c>
      <c r="S376" s="158" t="s">
        <v>210</v>
      </c>
      <c r="T376" s="92" t="s">
        <v>413</v>
      </c>
      <c r="U376" s="158" t="s">
        <v>210</v>
      </c>
      <c r="V376" s="92" t="s">
        <v>413</v>
      </c>
      <c r="W376" s="158" t="s">
        <v>210</v>
      </c>
      <c r="X376" s="92" t="s">
        <v>413</v>
      </c>
      <c r="Y376" s="158" t="s">
        <v>210</v>
      </c>
      <c r="Z376" s="92" t="s">
        <v>413</v>
      </c>
      <c r="AA376" s="158" t="s">
        <v>210</v>
      </c>
      <c r="AB376" s="64" t="s">
        <v>413</v>
      </c>
      <c r="AC376" s="158" t="s">
        <v>210</v>
      </c>
      <c r="AD376" s="64" t="s">
        <v>413</v>
      </c>
      <c r="AE376" s="158" t="s">
        <v>210</v>
      </c>
      <c r="AF376" s="215" t="str">
        <f t="shared" si="23"/>
        <v>NC</v>
      </c>
      <c r="AG376" s="96" t="str">
        <f t="shared" si="22"/>
        <v>NÃO UTILIZOU O PDA</v>
      </c>
      <c r="AH376" s="9"/>
      <c r="AI376" s="151" t="str">
        <f t="shared" si="25"/>
        <v>GUARULHOS</v>
      </c>
      <c r="AJ376" s="154" t="s">
        <v>6</v>
      </c>
      <c r="AK376" s="53">
        <v>-7.4999999999999997E-2</v>
      </c>
      <c r="AL376" s="53" t="str" cm="1">
        <f t="array" ref="AL376">IF(OR(O376&lt;&gt;"", SUMPRODUCT(($AM$2:$AM$210=AM376)*($AK$2:$AK$210&lt;=AK376)) &lt;= (COUNTIF($AM$2:$AM$210,AM376)*0.1)), "SORTEADO", "-")</f>
        <v>SORTEADO</v>
      </c>
      <c r="AM376" s="53" t="str">
        <f t="shared" si="24"/>
        <v>25/04/2026</v>
      </c>
    </row>
    <row r="377" spans="1:39" ht="30" customHeight="1" x14ac:dyDescent="0.2">
      <c r="A377" s="230" t="s">
        <v>197</v>
      </c>
      <c r="B377" s="230">
        <v>2616909281</v>
      </c>
      <c r="C377" s="230" t="s">
        <v>138</v>
      </c>
      <c r="D377" s="230" t="s">
        <v>67</v>
      </c>
      <c r="E377" s="230" t="s">
        <v>198</v>
      </c>
      <c r="F377" s="230" t="s">
        <v>1887</v>
      </c>
      <c r="G377" s="230">
        <v>325</v>
      </c>
      <c r="H377" s="230"/>
      <c r="I377" s="230" t="s">
        <v>1445</v>
      </c>
      <c r="J377" s="230" t="s">
        <v>4605</v>
      </c>
      <c r="K377" s="230"/>
      <c r="L377" s="230" t="s">
        <v>2065</v>
      </c>
      <c r="M377" s="230" t="s">
        <v>4877</v>
      </c>
      <c r="N377" s="230" t="s">
        <v>4620</v>
      </c>
      <c r="O377" s="158" t="s">
        <v>210</v>
      </c>
      <c r="P377" s="92" t="s">
        <v>413</v>
      </c>
      <c r="Q377" s="158" t="s">
        <v>210</v>
      </c>
      <c r="R377" s="92" t="s">
        <v>413</v>
      </c>
      <c r="S377" s="158" t="s">
        <v>210</v>
      </c>
      <c r="T377" s="92" t="s">
        <v>413</v>
      </c>
      <c r="U377" s="158" t="s">
        <v>210</v>
      </c>
      <c r="V377" s="92" t="s">
        <v>413</v>
      </c>
      <c r="W377" s="158" t="s">
        <v>210</v>
      </c>
      <c r="X377" s="92" t="s">
        <v>413</v>
      </c>
      <c r="Y377" s="158" t="s">
        <v>210</v>
      </c>
      <c r="Z377" s="92" t="s">
        <v>413</v>
      </c>
      <c r="AA377" s="158" t="s">
        <v>210</v>
      </c>
      <c r="AB377" s="64" t="s">
        <v>413</v>
      </c>
      <c r="AC377" s="158" t="s">
        <v>210</v>
      </c>
      <c r="AD377" s="64" t="s">
        <v>413</v>
      </c>
      <c r="AE377" s="158" t="s">
        <v>210</v>
      </c>
      <c r="AF377" s="215" t="str">
        <f t="shared" si="23"/>
        <v>NC</v>
      </c>
      <c r="AG377" s="96" t="str">
        <f t="shared" si="22"/>
        <v>NÃO UTILIZOU O PDA</v>
      </c>
      <c r="AH377" s="9"/>
      <c r="AI377" s="151" t="str">
        <f t="shared" si="25"/>
        <v>GUARULHOS</v>
      </c>
      <c r="AJ377" s="154" t="s">
        <v>6</v>
      </c>
      <c r="AK377" s="53">
        <v>-7.5200000000000003E-2</v>
      </c>
      <c r="AL377" s="53" t="str" cm="1">
        <f t="array" ref="AL377">IF(OR(O377&lt;&gt;"", SUMPRODUCT(($AM$2:$AM$210=AM377)*($AK$2:$AK$210&lt;=AK377)) &lt;= (COUNTIF($AM$2:$AM$210,AM377)*0.1)), "SORTEADO", "-")</f>
        <v>SORTEADO</v>
      </c>
      <c r="AM377" s="53" t="str">
        <f t="shared" si="24"/>
        <v>25/04/2026</v>
      </c>
    </row>
    <row r="378" spans="1:39" ht="30" customHeight="1" x14ac:dyDescent="0.2">
      <c r="A378" s="230" t="s">
        <v>197</v>
      </c>
      <c r="B378" s="230">
        <v>2617107181</v>
      </c>
      <c r="C378" s="230" t="s">
        <v>138</v>
      </c>
      <c r="D378" s="230" t="s">
        <v>67</v>
      </c>
      <c r="E378" s="230" t="s">
        <v>198</v>
      </c>
      <c r="F378" s="230" t="s">
        <v>4878</v>
      </c>
      <c r="G378" s="230">
        <v>155</v>
      </c>
      <c r="H378" s="230" t="s">
        <v>213</v>
      </c>
      <c r="I378" s="230" t="s">
        <v>368</v>
      </c>
      <c r="J378" s="230" t="s">
        <v>4605</v>
      </c>
      <c r="K378" s="230" t="s">
        <v>213</v>
      </c>
      <c r="L378" s="230" t="s">
        <v>2065</v>
      </c>
      <c r="M378" s="230" t="s">
        <v>4879</v>
      </c>
      <c r="N378" s="230" t="s">
        <v>4620</v>
      </c>
      <c r="O378" s="158" t="s">
        <v>210</v>
      </c>
      <c r="P378" s="92" t="s">
        <v>413</v>
      </c>
      <c r="Q378" s="158" t="s">
        <v>210</v>
      </c>
      <c r="R378" s="92" t="s">
        <v>413</v>
      </c>
      <c r="S378" s="158" t="s">
        <v>210</v>
      </c>
      <c r="T378" s="92" t="s">
        <v>413</v>
      </c>
      <c r="U378" s="158" t="s">
        <v>210</v>
      </c>
      <c r="V378" s="92" t="s">
        <v>413</v>
      </c>
      <c r="W378" s="158" t="s">
        <v>210</v>
      </c>
      <c r="X378" s="92" t="s">
        <v>413</v>
      </c>
      <c r="Y378" s="158" t="s">
        <v>210</v>
      </c>
      <c r="Z378" s="92" t="s">
        <v>413</v>
      </c>
      <c r="AA378" s="158" t="s">
        <v>210</v>
      </c>
      <c r="AB378" s="64" t="s">
        <v>413</v>
      </c>
      <c r="AC378" s="158" t="s">
        <v>210</v>
      </c>
      <c r="AD378" s="64" t="s">
        <v>413</v>
      </c>
      <c r="AE378" s="158" t="s">
        <v>210</v>
      </c>
      <c r="AF378" s="215" t="str">
        <f t="shared" si="23"/>
        <v>NC</v>
      </c>
      <c r="AG378" s="96" t="str">
        <f t="shared" si="22"/>
        <v>NÃO UTILIZOU O PDA</v>
      </c>
      <c r="AH378" s="9"/>
      <c r="AI378" s="151" t="str">
        <f t="shared" si="25"/>
        <v>GUARULHOS</v>
      </c>
      <c r="AJ378" s="154" t="s">
        <v>6</v>
      </c>
      <c r="AK378" s="53">
        <v>-7.5399999999999995E-2</v>
      </c>
      <c r="AL378" s="53" t="str" cm="1">
        <f t="array" ref="AL378">IF(OR(O378&lt;&gt;"", SUMPRODUCT(($AM$2:$AM$210=AM378)*($AK$2:$AK$210&lt;=AK378)) &lt;= (COUNTIF($AM$2:$AM$210,AM378)*0.1)), "SORTEADO", "-")</f>
        <v>SORTEADO</v>
      </c>
      <c r="AM378" s="53" t="str">
        <f t="shared" si="24"/>
        <v>25/04/2026</v>
      </c>
    </row>
    <row r="379" spans="1:39" ht="30" customHeight="1" x14ac:dyDescent="0.2">
      <c r="A379" s="230" t="s">
        <v>197</v>
      </c>
      <c r="B379" s="230">
        <v>2617121133</v>
      </c>
      <c r="C379" s="230" t="s">
        <v>140</v>
      </c>
      <c r="D379" s="230" t="s">
        <v>67</v>
      </c>
      <c r="E379" s="230" t="s">
        <v>198</v>
      </c>
      <c r="F379" s="230" t="s">
        <v>1901</v>
      </c>
      <c r="G379" s="230">
        <v>149</v>
      </c>
      <c r="H379" s="230" t="s">
        <v>479</v>
      </c>
      <c r="I379" s="230" t="s">
        <v>1445</v>
      </c>
      <c r="J379" s="230" t="s">
        <v>4605</v>
      </c>
      <c r="K379" s="230"/>
      <c r="L379" s="230" t="s">
        <v>2065</v>
      </c>
      <c r="M379" s="230" t="s">
        <v>4880</v>
      </c>
      <c r="N379" s="230" t="s">
        <v>4620</v>
      </c>
      <c r="O379" s="158" t="s">
        <v>210</v>
      </c>
      <c r="P379" s="92" t="s">
        <v>413</v>
      </c>
      <c r="Q379" s="146" t="s">
        <v>210</v>
      </c>
      <c r="R379" s="92" t="s">
        <v>413</v>
      </c>
      <c r="S379" s="146" t="s">
        <v>210</v>
      </c>
      <c r="T379" s="92" t="s">
        <v>413</v>
      </c>
      <c r="U379" s="146" t="s">
        <v>210</v>
      </c>
      <c r="V379" s="92" t="s">
        <v>413</v>
      </c>
      <c r="W379" s="146" t="s">
        <v>210</v>
      </c>
      <c r="X379" s="92" t="s">
        <v>413</v>
      </c>
      <c r="Y379" s="146" t="s">
        <v>210</v>
      </c>
      <c r="Z379" s="92" t="s">
        <v>413</v>
      </c>
      <c r="AA379" s="146" t="s">
        <v>210</v>
      </c>
      <c r="AB379" s="64" t="s">
        <v>413</v>
      </c>
      <c r="AC379" s="146" t="s">
        <v>210</v>
      </c>
      <c r="AD379" s="64" t="s">
        <v>413</v>
      </c>
      <c r="AE379" s="146" t="s">
        <v>210</v>
      </c>
      <c r="AF379" s="215" t="str">
        <f t="shared" si="23"/>
        <v>NC</v>
      </c>
      <c r="AG379" s="96" t="str">
        <f t="shared" si="22"/>
        <v>NÃO UTILIZOU O PDA</v>
      </c>
      <c r="AH379" s="9"/>
      <c r="AI379" s="151" t="str">
        <f t="shared" si="25"/>
        <v>GUARULHOS</v>
      </c>
      <c r="AJ379" s="154" t="s">
        <v>6</v>
      </c>
      <c r="AK379" s="53">
        <v>-7.5600000000000001E-2</v>
      </c>
      <c r="AL379" s="53" t="str" cm="1">
        <f t="array" ref="AL379">IF(OR(O379&lt;&gt;"", SUMPRODUCT(($AM$2:$AM$210=AM379)*($AK$2:$AK$210&lt;=AK379)) &lt;= (COUNTIF($AM$2:$AM$210,AM379)*0.1)), "SORTEADO", "-")</f>
        <v>SORTEADO</v>
      </c>
      <c r="AM379" s="53" t="str">
        <f t="shared" si="24"/>
        <v>25/04/2026</v>
      </c>
    </row>
    <row r="380" spans="1:39" ht="30" customHeight="1" x14ac:dyDescent="0.2">
      <c r="A380" s="230" t="s">
        <v>197</v>
      </c>
      <c r="B380" s="230">
        <v>2691264172</v>
      </c>
      <c r="C380" s="230" t="s">
        <v>140</v>
      </c>
      <c r="D380" s="230" t="s">
        <v>67</v>
      </c>
      <c r="E380" s="230" t="s">
        <v>198</v>
      </c>
      <c r="F380" s="230" t="s">
        <v>861</v>
      </c>
      <c r="G380" s="230">
        <v>382</v>
      </c>
      <c r="H380" s="230" t="s">
        <v>213</v>
      </c>
      <c r="I380" s="230" t="s">
        <v>411</v>
      </c>
      <c r="J380" s="230" t="s">
        <v>4605</v>
      </c>
      <c r="K380" s="230" t="s">
        <v>213</v>
      </c>
      <c r="L380" s="230" t="s">
        <v>2065</v>
      </c>
      <c r="M380" s="230" t="s">
        <v>4881</v>
      </c>
      <c r="N380" s="230" t="s">
        <v>4604</v>
      </c>
      <c r="O380" s="158" t="s">
        <v>210</v>
      </c>
      <c r="P380" s="92"/>
      <c r="Q380" s="158" t="s">
        <v>210</v>
      </c>
      <c r="R380" s="92"/>
      <c r="S380" s="158" t="s">
        <v>210</v>
      </c>
      <c r="T380" s="92"/>
      <c r="U380" s="158" t="s">
        <v>210</v>
      </c>
      <c r="V380" s="92"/>
      <c r="W380" s="158" t="s">
        <v>210</v>
      </c>
      <c r="X380" s="92"/>
      <c r="Y380" s="158" t="s">
        <v>210</v>
      </c>
      <c r="Z380" s="92"/>
      <c r="AA380" s="158" t="s">
        <v>210</v>
      </c>
      <c r="AB380" s="64" t="s">
        <v>413</v>
      </c>
      <c r="AC380" s="158" t="s">
        <v>210</v>
      </c>
      <c r="AD380" s="64"/>
      <c r="AE380" s="158" t="s">
        <v>210</v>
      </c>
      <c r="AF380" s="215" t="str">
        <f t="shared" si="23"/>
        <v>NC</v>
      </c>
      <c r="AG380" s="96" t="str">
        <f t="shared" si="22"/>
        <v>NÃO UTILIZOU O PDA</v>
      </c>
      <c r="AH380" s="9"/>
      <c r="AI380" s="151" t="str">
        <f t="shared" si="25"/>
        <v>GUARULHOS</v>
      </c>
      <c r="AJ380" s="154" t="s">
        <v>6</v>
      </c>
      <c r="AK380" s="53">
        <v>-7.5800000000000006E-2</v>
      </c>
      <c r="AL380" s="53" t="str" cm="1">
        <f t="array" ref="AL380">IF(OR(O380&lt;&gt;"", SUMPRODUCT(($AM$2:$AM$210=AM380)*($AK$2:$AK$210&lt;=AK380)) &lt;= (COUNTIF($AM$2:$AM$210,AM380)*0.1)), "SORTEADO", "-")</f>
        <v>SORTEADO</v>
      </c>
      <c r="AM380" s="53" t="str">
        <f t="shared" si="24"/>
        <v>25/04/2026</v>
      </c>
    </row>
    <row r="381" spans="1:39" ht="30" hidden="1" customHeight="1" x14ac:dyDescent="0.2">
      <c r="A381" s="230" t="s">
        <v>197</v>
      </c>
      <c r="B381" s="230">
        <v>2616337668</v>
      </c>
      <c r="C381" s="230" t="s">
        <v>141</v>
      </c>
      <c r="D381" s="230" t="s">
        <v>67</v>
      </c>
      <c r="E381" s="230" t="s">
        <v>198</v>
      </c>
      <c r="F381" s="230" t="s">
        <v>627</v>
      </c>
      <c r="G381" s="230">
        <v>2376</v>
      </c>
      <c r="H381" s="230"/>
      <c r="I381" s="230" t="s">
        <v>285</v>
      </c>
      <c r="J381" s="230" t="s">
        <v>4603</v>
      </c>
      <c r="K381" s="230"/>
      <c r="L381" s="230" t="s">
        <v>2065</v>
      </c>
      <c r="M381" s="230" t="s">
        <v>4882</v>
      </c>
      <c r="N381" s="230" t="s">
        <v>4613</v>
      </c>
      <c r="O381" s="158" t="s">
        <v>204</v>
      </c>
      <c r="P381" s="92"/>
      <c r="Q381" s="146" t="s">
        <v>204</v>
      </c>
      <c r="R381" s="92"/>
      <c r="S381" s="146" t="s">
        <v>204</v>
      </c>
      <c r="T381" s="92"/>
      <c r="U381" s="146" t="s">
        <v>204</v>
      </c>
      <c r="V381" s="92"/>
      <c r="W381" s="146" t="s">
        <v>204</v>
      </c>
      <c r="X381" s="92"/>
      <c r="Y381" s="146" t="s">
        <v>204</v>
      </c>
      <c r="Z381" s="92"/>
      <c r="AA381" s="146" t="s">
        <v>204</v>
      </c>
      <c r="AB381" s="64"/>
      <c r="AC381" s="146" t="s">
        <v>204</v>
      </c>
      <c r="AD381" s="64"/>
      <c r="AE381" s="146" t="s">
        <v>204</v>
      </c>
      <c r="AF381" s="215" t="str">
        <f t="shared" si="23"/>
        <v>C</v>
      </c>
      <c r="AG381" s="96" t="str">
        <f t="shared" si="22"/>
        <v>UTILIZOU O PDA CORRETAMENTE</v>
      </c>
      <c r="AH381" s="9"/>
      <c r="AI381" s="151" t="str">
        <f t="shared" si="25"/>
        <v>GUARULHOS</v>
      </c>
      <c r="AJ381" s="154" t="s">
        <v>6</v>
      </c>
      <c r="AK381" s="53">
        <v>-7.5999999999999998E-2</v>
      </c>
      <c r="AL381" s="53" t="str" cm="1">
        <f t="array" ref="AL381">IF(OR(O381&lt;&gt;"", SUMPRODUCT(($AM$2:$AM$210=AM381)*($AK$2:$AK$210&lt;=AK381)) &lt;= (COUNTIF($AM$2:$AM$210,AM381)*0.1)), "SORTEADO", "-")</f>
        <v>SORTEADO</v>
      </c>
      <c r="AM381" s="53" t="str">
        <f t="shared" si="24"/>
        <v>25/04/2026</v>
      </c>
    </row>
    <row r="382" spans="1:39" ht="30" customHeight="1" x14ac:dyDescent="0.2">
      <c r="A382" s="230" t="s">
        <v>197</v>
      </c>
      <c r="B382" s="230">
        <v>2613870195</v>
      </c>
      <c r="C382" s="230" t="s">
        <v>141</v>
      </c>
      <c r="D382" s="230" t="s">
        <v>67</v>
      </c>
      <c r="E382" s="230" t="s">
        <v>198</v>
      </c>
      <c r="F382" s="230" t="s">
        <v>386</v>
      </c>
      <c r="G382" s="230">
        <v>94</v>
      </c>
      <c r="H382" s="230" t="s">
        <v>2786</v>
      </c>
      <c r="I382" s="230" t="s">
        <v>262</v>
      </c>
      <c r="J382" s="230" t="s">
        <v>4603</v>
      </c>
      <c r="K382" s="230" t="s">
        <v>4883</v>
      </c>
      <c r="L382" s="230" t="s">
        <v>2065</v>
      </c>
      <c r="M382" s="230" t="s">
        <v>4884</v>
      </c>
      <c r="N382" s="230" t="s">
        <v>4613</v>
      </c>
      <c r="O382" s="158" t="s">
        <v>204</v>
      </c>
      <c r="P382" s="92"/>
      <c r="Q382" s="146" t="s">
        <v>328</v>
      </c>
      <c r="R382" s="92"/>
      <c r="S382" s="146" t="s">
        <v>328</v>
      </c>
      <c r="T382" s="92"/>
      <c r="U382" s="146" t="s">
        <v>328</v>
      </c>
      <c r="V382" s="92"/>
      <c r="W382" s="146" t="s">
        <v>328</v>
      </c>
      <c r="X382" s="92"/>
      <c r="Y382" s="146" t="s">
        <v>328</v>
      </c>
      <c r="Z382" s="92"/>
      <c r="AA382" s="146" t="s">
        <v>328</v>
      </c>
      <c r="AB382" s="64"/>
      <c r="AC382" s="146" t="s">
        <v>328</v>
      </c>
      <c r="AD382" s="64"/>
      <c r="AE382" s="146" t="s">
        <v>328</v>
      </c>
      <c r="AF382" s="215" t="str">
        <f t="shared" si="23"/>
        <v>NC</v>
      </c>
      <c r="AG382" s="96" t="b">
        <f t="shared" si="22"/>
        <v>0</v>
      </c>
      <c r="AH382" s="9"/>
      <c r="AI382" s="151" t="str">
        <f t="shared" si="25"/>
        <v>GUARULHOS</v>
      </c>
      <c r="AJ382" s="154" t="s">
        <v>6</v>
      </c>
      <c r="AK382" s="53">
        <v>-7.6200000000000004E-2</v>
      </c>
      <c r="AL382" s="53" t="str" cm="1">
        <f t="array" ref="AL382">IF(OR(O382&lt;&gt;"", SUMPRODUCT(($AM$2:$AM$210=AM382)*($AK$2:$AK$210&lt;=AK382)) &lt;= (COUNTIF($AM$2:$AM$210,AM382)*0.1)), "SORTEADO", "-")</f>
        <v>SORTEADO</v>
      </c>
      <c r="AM382" s="53" t="str">
        <f t="shared" si="24"/>
        <v>25/04/2026</v>
      </c>
    </row>
    <row r="383" spans="1:39" ht="30" hidden="1" customHeight="1" x14ac:dyDescent="0.2">
      <c r="A383" s="230" t="s">
        <v>197</v>
      </c>
      <c r="B383" s="230">
        <v>2616876075</v>
      </c>
      <c r="C383" s="230" t="s">
        <v>139</v>
      </c>
      <c r="D383" s="230" t="s">
        <v>67</v>
      </c>
      <c r="E383" s="230" t="s">
        <v>198</v>
      </c>
      <c r="F383" s="230" t="s">
        <v>1614</v>
      </c>
      <c r="G383" s="230">
        <v>72</v>
      </c>
      <c r="H383" s="230" t="s">
        <v>213</v>
      </c>
      <c r="I383" s="230" t="s">
        <v>997</v>
      </c>
      <c r="J383" s="230" t="s">
        <v>4657</v>
      </c>
      <c r="K383" s="230" t="s">
        <v>4885</v>
      </c>
      <c r="L383" s="230" t="s">
        <v>2065</v>
      </c>
      <c r="M383" s="230" t="s">
        <v>4886</v>
      </c>
      <c r="N383" s="230" t="s">
        <v>4689</v>
      </c>
      <c r="O383" s="158" t="s">
        <v>61</v>
      </c>
      <c r="P383" s="92"/>
      <c r="Q383" s="158" t="s">
        <v>61</v>
      </c>
      <c r="R383" s="92"/>
      <c r="S383" s="158" t="s">
        <v>61</v>
      </c>
      <c r="T383" s="92" t="s">
        <v>5003</v>
      </c>
      <c r="U383" s="158" t="s">
        <v>61</v>
      </c>
      <c r="V383" s="92"/>
      <c r="W383" s="158" t="s">
        <v>61</v>
      </c>
      <c r="X383" s="92"/>
      <c r="Y383" s="158" t="s">
        <v>61</v>
      </c>
      <c r="Z383" s="92"/>
      <c r="AA383" s="158" t="s">
        <v>61</v>
      </c>
      <c r="AB383" s="64"/>
      <c r="AC383" s="158" t="s">
        <v>61</v>
      </c>
      <c r="AD383" s="64"/>
      <c r="AE383" s="158" t="s">
        <v>61</v>
      </c>
      <c r="AF383" s="215" t="str">
        <f t="shared" si="23"/>
        <v>NA</v>
      </c>
      <c r="AG383" s="96" t="str">
        <f t="shared" si="22"/>
        <v>NÃO AVALIADO POR FALHA DE SINCRONISMO</v>
      </c>
      <c r="AH383" s="9"/>
      <c r="AI383" s="151" t="str">
        <f t="shared" si="25"/>
        <v>GUARULHOS</v>
      </c>
      <c r="AJ383" s="154" t="s">
        <v>6</v>
      </c>
      <c r="AK383" s="53">
        <v>-7.6399999999999996E-2</v>
      </c>
      <c r="AL383" s="53" t="str" cm="1">
        <f t="array" ref="AL383">IF(OR(O383&lt;&gt;"", SUMPRODUCT(($AM$2:$AM$210=AM383)*($AK$2:$AK$210&lt;=AK383)) &lt;= (COUNTIF($AM$2:$AM$210,AM383)*0.1)), "SORTEADO", "-")</f>
        <v>SORTEADO</v>
      </c>
      <c r="AM383" s="53" t="str">
        <f t="shared" si="24"/>
        <v>25/04/2026</v>
      </c>
    </row>
    <row r="384" spans="1:39" ht="30" hidden="1" customHeight="1" x14ac:dyDescent="0.2">
      <c r="A384" s="230" t="s">
        <v>197</v>
      </c>
      <c r="B384" s="230">
        <v>2617177687</v>
      </c>
      <c r="C384" s="230" t="s">
        <v>138</v>
      </c>
      <c r="D384" s="230" t="s">
        <v>67</v>
      </c>
      <c r="E384" s="230" t="s">
        <v>198</v>
      </c>
      <c r="F384" s="230" t="s">
        <v>1126</v>
      </c>
      <c r="G384" s="230">
        <v>67</v>
      </c>
      <c r="H384" s="230" t="s">
        <v>2022</v>
      </c>
      <c r="I384" s="230" t="s">
        <v>1128</v>
      </c>
      <c r="J384" s="230" t="s">
        <v>4605</v>
      </c>
      <c r="K384" s="230" t="s">
        <v>4885</v>
      </c>
      <c r="L384" s="230" t="s">
        <v>2065</v>
      </c>
      <c r="M384" s="230" t="s">
        <v>4886</v>
      </c>
      <c r="N384" s="230" t="s">
        <v>4689</v>
      </c>
      <c r="O384" s="158" t="s">
        <v>61</v>
      </c>
      <c r="P384" s="92"/>
      <c r="Q384" s="158" t="s">
        <v>61</v>
      </c>
      <c r="R384" s="92"/>
      <c r="S384" s="158" t="s">
        <v>61</v>
      </c>
      <c r="T384" s="92"/>
      <c r="U384" s="158" t="s">
        <v>61</v>
      </c>
      <c r="V384" s="92"/>
      <c r="W384" s="158" t="s">
        <v>61</v>
      </c>
      <c r="X384" s="92"/>
      <c r="Y384" s="158" t="s">
        <v>61</v>
      </c>
      <c r="Z384" s="92"/>
      <c r="AA384" s="158" t="s">
        <v>61</v>
      </c>
      <c r="AB384" s="64"/>
      <c r="AC384" s="158" t="s">
        <v>61</v>
      </c>
      <c r="AD384" s="64"/>
      <c r="AE384" s="158" t="s">
        <v>61</v>
      </c>
      <c r="AF384" s="215" t="str">
        <f t="shared" si="23"/>
        <v>NA</v>
      </c>
      <c r="AG384" s="96" t="str">
        <f t="shared" si="22"/>
        <v>NÃO AVALIADO POR FALHA DE SINCRONISMO</v>
      </c>
      <c r="AH384" s="9"/>
      <c r="AI384" s="151" t="str">
        <f t="shared" si="25"/>
        <v>GUARULHOS</v>
      </c>
      <c r="AJ384" s="154" t="s">
        <v>6</v>
      </c>
      <c r="AK384" s="53">
        <v>-7.6600000000000001E-2</v>
      </c>
      <c r="AL384" s="53" t="str" cm="1">
        <f t="array" ref="AL384">IF(OR(O384&lt;&gt;"", SUMPRODUCT(($AM$2:$AM$210=AM384)*($AK$2:$AK$210&lt;=AK384)) &lt;= (COUNTIF($AM$2:$AM$210,AM384)*0.1)), "SORTEADO", "-")</f>
        <v>SORTEADO</v>
      </c>
      <c r="AM384" s="53" t="str">
        <f t="shared" si="24"/>
        <v>25/04/2026</v>
      </c>
    </row>
    <row r="385" spans="1:39" ht="30" hidden="1" customHeight="1" x14ac:dyDescent="0.2">
      <c r="A385" s="230" t="s">
        <v>197</v>
      </c>
      <c r="B385" s="230">
        <v>2616219754</v>
      </c>
      <c r="C385" s="230" t="s">
        <v>139</v>
      </c>
      <c r="D385" s="230" t="s">
        <v>67</v>
      </c>
      <c r="E385" s="230" t="s">
        <v>198</v>
      </c>
      <c r="F385" s="230" t="s">
        <v>1126</v>
      </c>
      <c r="G385" s="230">
        <v>73</v>
      </c>
      <c r="H385" s="230" t="s">
        <v>213</v>
      </c>
      <c r="I385" s="230" t="s">
        <v>1128</v>
      </c>
      <c r="J385" s="230" t="s">
        <v>4603</v>
      </c>
      <c r="K385" s="230" t="s">
        <v>4885</v>
      </c>
      <c r="L385" s="230" t="s">
        <v>2065</v>
      </c>
      <c r="M385" s="230" t="s">
        <v>4886</v>
      </c>
      <c r="N385" s="230" t="s">
        <v>4689</v>
      </c>
      <c r="O385" s="158" t="s">
        <v>61</v>
      </c>
      <c r="P385" s="92"/>
      <c r="Q385" s="158" t="s">
        <v>61</v>
      </c>
      <c r="R385" s="92"/>
      <c r="S385" s="158" t="s">
        <v>61</v>
      </c>
      <c r="T385" s="92"/>
      <c r="U385" s="158" t="s">
        <v>61</v>
      </c>
      <c r="V385" s="92"/>
      <c r="W385" s="158" t="s">
        <v>61</v>
      </c>
      <c r="X385" s="92"/>
      <c r="Y385" s="158" t="s">
        <v>61</v>
      </c>
      <c r="Z385" s="92"/>
      <c r="AA385" s="158" t="s">
        <v>61</v>
      </c>
      <c r="AB385" s="64"/>
      <c r="AC385" s="158" t="s">
        <v>61</v>
      </c>
      <c r="AD385" s="64"/>
      <c r="AE385" s="158" t="s">
        <v>61</v>
      </c>
      <c r="AF385" s="215" t="str">
        <f t="shared" si="23"/>
        <v>NA</v>
      </c>
      <c r="AG385" s="96" t="str">
        <f t="shared" ref="AG385:AG448" si="26">IF(AND(AE385="C",AF385="C"),"UTILIZOU O PDA CORRETAMENTE",IF(AND(AE385="C",AF385="NC"),"UTILIZOU O PDA CORRETAMENTE. NÃO HÁ FOTOS DE TODAS AS ETAPAS",IF(AND(AE385="NC",AF385="NC"),"NÃO UTILIZOU O PDA",IF(AND(AE385="NA",AF385="NA"),"NÃO AVALIADO POR FALHA DE SINCRONISMO"))))</f>
        <v>NÃO AVALIADO POR FALHA DE SINCRONISMO</v>
      </c>
      <c r="AH385" s="9"/>
      <c r="AI385" s="151" t="str">
        <f t="shared" si="25"/>
        <v>GUARULHOS</v>
      </c>
      <c r="AJ385" s="154" t="s">
        <v>6</v>
      </c>
      <c r="AK385" s="53">
        <v>-7.6799999999999993E-2</v>
      </c>
      <c r="AL385" s="53" t="str" cm="1">
        <f t="array" ref="AL385">IF(OR(O385&lt;&gt;"", SUMPRODUCT(($AM$2:$AM$210=AM385)*($AK$2:$AK$210&lt;=AK385)) &lt;= (COUNTIF($AM$2:$AM$210,AM385)*0.1)), "SORTEADO", "-")</f>
        <v>SORTEADO</v>
      </c>
      <c r="AM385" s="53" t="str">
        <f t="shared" si="24"/>
        <v>25/04/2026</v>
      </c>
    </row>
    <row r="386" spans="1:39" ht="30" hidden="1" customHeight="1" x14ac:dyDescent="0.2">
      <c r="A386" s="230" t="s">
        <v>197</v>
      </c>
      <c r="B386" s="230">
        <v>2613828979</v>
      </c>
      <c r="C386" s="230" t="s">
        <v>139</v>
      </c>
      <c r="D386" s="230" t="s">
        <v>67</v>
      </c>
      <c r="E386" s="230" t="s">
        <v>198</v>
      </c>
      <c r="F386" s="230" t="s">
        <v>1126</v>
      </c>
      <c r="G386" s="230">
        <v>38</v>
      </c>
      <c r="H386" s="230" t="s">
        <v>1127</v>
      </c>
      <c r="I386" s="230" t="s">
        <v>1128</v>
      </c>
      <c r="J386" s="230" t="s">
        <v>4603</v>
      </c>
      <c r="K386" s="230" t="s">
        <v>4885</v>
      </c>
      <c r="L386" s="230" t="s">
        <v>2065</v>
      </c>
      <c r="M386" s="230" t="s">
        <v>4886</v>
      </c>
      <c r="N386" s="230" t="s">
        <v>4689</v>
      </c>
      <c r="O386" s="158" t="s">
        <v>61</v>
      </c>
      <c r="P386" s="92"/>
      <c r="Q386" s="158" t="s">
        <v>61</v>
      </c>
      <c r="R386" s="92"/>
      <c r="S386" s="158" t="s">
        <v>61</v>
      </c>
      <c r="T386" s="92"/>
      <c r="U386" s="158" t="s">
        <v>61</v>
      </c>
      <c r="V386" s="92"/>
      <c r="W386" s="158" t="s">
        <v>61</v>
      </c>
      <c r="X386" s="92"/>
      <c r="Y386" s="158" t="s">
        <v>61</v>
      </c>
      <c r="Z386" s="92"/>
      <c r="AA386" s="158" t="s">
        <v>61</v>
      </c>
      <c r="AB386" s="64"/>
      <c r="AC386" s="158" t="s">
        <v>61</v>
      </c>
      <c r="AD386" s="64"/>
      <c r="AE386" s="158" t="s">
        <v>61</v>
      </c>
      <c r="AF386" s="215" t="str">
        <f t="shared" ref="AF386:AF449" si="27">IF(AND(O386="",Q386="",S386="",U386="",W386="",Y386="",AA386="",AC386=""),"",
IF(OR(    AND(O386&lt;&gt;"NA",O386&lt;&gt;"C",O386&lt;&gt;"NC",O386&lt;&gt;"SF",O386&lt;&gt;""),
    AND(Q386&lt;&gt;"NA",Q386&lt;&gt;"C",Q386&lt;&gt;"NC",Q386&lt;&gt;"SF",Q386&lt;&gt;""),
    AND(S386&lt;&gt;"NA",S386&lt;&gt;"C",S386&lt;&gt;"NC",S386&lt;&gt;"SF",S386&lt;&gt;""),
    AND(U386&lt;&gt;"NA",U386&lt;&gt;"C",U386&lt;&gt;"NC",U386&lt;&gt;"SF",U386&lt;&gt;""),
    AND(W386&lt;&gt;"NA",W386&lt;&gt;"C",W386&lt;&gt;"NC",W386&lt;&gt;"SF",W386&lt;&gt;""),
    AND(Y386&lt;&gt;"NA",Y386&lt;&gt;"C",Y386&lt;&gt;"NC",Y386&lt;&gt;"SF",Y386&lt;&gt;""),
    AND(AA386&lt;&gt;"NA",AA386&lt;&gt;"C",AA386&lt;&gt;"NC",AA386&lt;&gt;"SF",AA386&lt;&gt;""),
    AND(AC386&lt;&gt;"NA",AC386&lt;&gt;"C",AC386&lt;&gt;"NC",AC386&lt;&gt;"SF",AC386&lt;&gt;"")
),"FALSO",
IF(AND(O386="NA",Q386="NA",S386="NA",U386="NA",W386="NA",Y386="NA",AA386="NA",AC386="NA"),"NA",
IF(OR(O386="NC",Q386="NC",S386="NC",U386="NC",W386="NC",Y386="NC",AA386="NC",AC386="NC",
       O386="SF",Q386="SF",S386="SF",U386="SF",W386="SF",Y386="SF",AA386="SF",AC386="SF"),"NC",
IF(SUM(IF(O386="C",1,0),IF(Q386="C",1,0),IF(S386="C",1,0),IF(U386="C",1,0),IF(W386="C",1,0),IF(Y386="C",1,0),IF(AA386="C",1,0),IF(AC386="C",1,0))=1,"C","C")))))</f>
        <v>NA</v>
      </c>
      <c r="AG386" s="96" t="str">
        <f t="shared" si="26"/>
        <v>NÃO AVALIADO POR FALHA DE SINCRONISMO</v>
      </c>
      <c r="AH386" s="9"/>
      <c r="AI386" s="151" t="str">
        <f t="shared" si="25"/>
        <v>GUARULHOS</v>
      </c>
      <c r="AJ386" s="154" t="s">
        <v>6</v>
      </c>
      <c r="AK386" s="53">
        <v>-7.6999999999999999E-2</v>
      </c>
      <c r="AL386" s="53" t="str" cm="1">
        <f t="array" ref="AL386">IF(OR(O386&lt;&gt;"", SUMPRODUCT(($AM$2:$AM$210=AM386)*($AK$2:$AK$210&lt;=AK386)) &lt;= (COUNTIF($AM$2:$AM$210,AM386)*0.1)), "SORTEADO", "-")</f>
        <v>SORTEADO</v>
      </c>
      <c r="AM386" s="53" t="str">
        <f t="shared" si="24"/>
        <v>25/04/2026</v>
      </c>
    </row>
    <row r="387" spans="1:39" ht="30" hidden="1" customHeight="1" x14ac:dyDescent="0.2">
      <c r="A387" s="230" t="s">
        <v>197</v>
      </c>
      <c r="B387" s="230">
        <v>2616220798</v>
      </c>
      <c r="C387" s="230" t="s">
        <v>139</v>
      </c>
      <c r="D387" s="230" t="s">
        <v>67</v>
      </c>
      <c r="E387" s="230" t="s">
        <v>198</v>
      </c>
      <c r="F387" s="230" t="s">
        <v>1126</v>
      </c>
      <c r="G387" s="230">
        <v>28</v>
      </c>
      <c r="H387" s="230" t="s">
        <v>1131</v>
      </c>
      <c r="I387" s="230" t="s">
        <v>1128</v>
      </c>
      <c r="J387" s="230" t="s">
        <v>4657</v>
      </c>
      <c r="K387" s="230" t="s">
        <v>4885</v>
      </c>
      <c r="L387" s="230" t="s">
        <v>2065</v>
      </c>
      <c r="M387" s="230" t="s">
        <v>4886</v>
      </c>
      <c r="N387" s="230" t="s">
        <v>4689</v>
      </c>
      <c r="O387" s="158" t="s">
        <v>61</v>
      </c>
      <c r="P387" s="92"/>
      <c r="Q387" s="158" t="s">
        <v>61</v>
      </c>
      <c r="R387" s="92"/>
      <c r="S387" s="158" t="s">
        <v>61</v>
      </c>
      <c r="T387" s="92"/>
      <c r="U387" s="158" t="s">
        <v>61</v>
      </c>
      <c r="V387" s="92"/>
      <c r="W387" s="158" t="s">
        <v>61</v>
      </c>
      <c r="X387" s="92"/>
      <c r="Y387" s="158" t="s">
        <v>61</v>
      </c>
      <c r="Z387" s="92"/>
      <c r="AA387" s="158" t="s">
        <v>61</v>
      </c>
      <c r="AB387" s="64"/>
      <c r="AC387" s="158" t="s">
        <v>61</v>
      </c>
      <c r="AD387" s="64"/>
      <c r="AE387" s="158" t="s">
        <v>61</v>
      </c>
      <c r="AF387" s="215" t="str">
        <f t="shared" si="27"/>
        <v>NA</v>
      </c>
      <c r="AG387" s="96" t="str">
        <f t="shared" si="26"/>
        <v>NÃO AVALIADO POR FALHA DE SINCRONISMO</v>
      </c>
      <c r="AH387" s="9"/>
      <c r="AI387" s="151" t="str">
        <f t="shared" si="25"/>
        <v>GUARULHOS</v>
      </c>
      <c r="AJ387" s="154" t="s">
        <v>6</v>
      </c>
      <c r="AK387" s="53">
        <v>-7.7200000000000005E-2</v>
      </c>
      <c r="AL387" s="53" t="str" cm="1">
        <f t="array" ref="AL387">IF(OR(O387&lt;&gt;"", SUMPRODUCT(($AM$2:$AM$210=AM387)*($AK$2:$AK$210&lt;=AK387)) &lt;= (COUNTIF($AM$2:$AM$210,AM387)*0.1)), "SORTEADO", "-")</f>
        <v>SORTEADO</v>
      </c>
      <c r="AM387" s="53" t="str">
        <f t="shared" si="24"/>
        <v>25/04/2026</v>
      </c>
    </row>
    <row r="388" spans="1:39" ht="30" hidden="1" customHeight="1" x14ac:dyDescent="0.2">
      <c r="A388" s="242" t="s">
        <v>197</v>
      </c>
      <c r="B388" s="242">
        <v>2613869942</v>
      </c>
      <c r="C388" s="242" t="s">
        <v>141</v>
      </c>
      <c r="D388" s="242" t="s">
        <v>67</v>
      </c>
      <c r="E388" s="242" t="s">
        <v>198</v>
      </c>
      <c r="F388" s="242" t="s">
        <v>308</v>
      </c>
      <c r="G388" s="242">
        <v>535</v>
      </c>
      <c r="H388" s="242" t="s">
        <v>2002</v>
      </c>
      <c r="I388" s="242" t="s">
        <v>262</v>
      </c>
      <c r="J388" s="242" t="s">
        <v>4603</v>
      </c>
      <c r="K388" s="242" t="s">
        <v>4887</v>
      </c>
      <c r="L388" s="242" t="s">
        <v>2165</v>
      </c>
      <c r="M388" s="242" t="s">
        <v>3059</v>
      </c>
      <c r="N388" s="242" t="s">
        <v>4689</v>
      </c>
      <c r="O388" s="158" t="s">
        <v>61</v>
      </c>
      <c r="P388" s="92"/>
      <c r="Q388" s="158" t="s">
        <v>61</v>
      </c>
      <c r="R388" s="92"/>
      <c r="S388" s="158" t="s">
        <v>61</v>
      </c>
      <c r="T388" s="92"/>
      <c r="U388" s="158" t="s">
        <v>61</v>
      </c>
      <c r="V388" s="92"/>
      <c r="W388" s="158" t="s">
        <v>61</v>
      </c>
      <c r="X388" s="92"/>
      <c r="Y388" s="158" t="s">
        <v>61</v>
      </c>
      <c r="Z388" s="92"/>
      <c r="AA388" s="158" t="s">
        <v>61</v>
      </c>
      <c r="AB388" s="64"/>
      <c r="AC388" s="158" t="s">
        <v>61</v>
      </c>
      <c r="AD388" s="64"/>
      <c r="AE388" s="158" t="s">
        <v>61</v>
      </c>
      <c r="AF388" s="215" t="str">
        <f t="shared" si="27"/>
        <v>NA</v>
      </c>
      <c r="AG388" s="96" t="str">
        <f t="shared" si="26"/>
        <v>NÃO AVALIADO POR FALHA DE SINCRONISMO</v>
      </c>
      <c r="AH388" s="9"/>
      <c r="AI388" s="151" t="str">
        <f t="shared" si="25"/>
        <v>GUARULHOS</v>
      </c>
      <c r="AJ388" s="154" t="s">
        <v>6</v>
      </c>
      <c r="AK388" s="53">
        <v>-7.7399999999999997E-2</v>
      </c>
      <c r="AL388" s="53" t="str" cm="1">
        <f t="array" ref="AL388">IF(OR(O388&lt;&gt;"", SUMPRODUCT(($AM$2:$AM$210=AM388)*($AK$2:$AK$210&lt;=AK388)) &lt;= (COUNTIF($AM$2:$AM$210,AM388)*0.1)), "SORTEADO", "-")</f>
        <v>SORTEADO</v>
      </c>
      <c r="AM388" s="53" t="str">
        <f t="shared" si="24"/>
        <v>27/04/2026</v>
      </c>
    </row>
    <row r="389" spans="1:39" ht="30" hidden="1" customHeight="1" x14ac:dyDescent="0.2">
      <c r="A389" s="230" t="s">
        <v>197</v>
      </c>
      <c r="B389" s="230">
        <v>2615899717</v>
      </c>
      <c r="C389" s="230" t="s">
        <v>139</v>
      </c>
      <c r="D389" s="230" t="s">
        <v>67</v>
      </c>
      <c r="E389" s="230" t="s">
        <v>198</v>
      </c>
      <c r="F389" s="230" t="s">
        <v>759</v>
      </c>
      <c r="G389" s="230">
        <v>1405</v>
      </c>
      <c r="H389" s="230" t="s">
        <v>213</v>
      </c>
      <c r="I389" s="230" t="s">
        <v>761</v>
      </c>
      <c r="J389" s="230" t="s">
        <v>4603</v>
      </c>
      <c r="K389" s="230" t="s">
        <v>4888</v>
      </c>
      <c r="L389" s="230" t="s">
        <v>2165</v>
      </c>
      <c r="M389" s="230" t="s">
        <v>4889</v>
      </c>
      <c r="N389" s="230" t="s">
        <v>4604</v>
      </c>
      <c r="O389" s="158" t="s">
        <v>61</v>
      </c>
      <c r="P389" s="92"/>
      <c r="Q389" s="146" t="s">
        <v>61</v>
      </c>
      <c r="R389" s="92"/>
      <c r="S389" s="146" t="s">
        <v>61</v>
      </c>
      <c r="T389" s="92"/>
      <c r="U389" s="146" t="s">
        <v>61</v>
      </c>
      <c r="V389" s="92"/>
      <c r="W389" s="146" t="s">
        <v>61</v>
      </c>
      <c r="X389" s="92"/>
      <c r="Y389" s="146" t="s">
        <v>61</v>
      </c>
      <c r="Z389" s="92"/>
      <c r="AA389" s="146" t="s">
        <v>61</v>
      </c>
      <c r="AB389" s="64"/>
      <c r="AC389" s="146" t="s">
        <v>61</v>
      </c>
      <c r="AD389" s="64"/>
      <c r="AE389" s="146" t="s">
        <v>61</v>
      </c>
      <c r="AF389" s="215" t="str">
        <f t="shared" si="27"/>
        <v>NA</v>
      </c>
      <c r="AG389" s="96" t="str">
        <f t="shared" si="26"/>
        <v>NÃO AVALIADO POR FALHA DE SINCRONISMO</v>
      </c>
      <c r="AH389" s="9"/>
      <c r="AI389" s="151" t="str">
        <f t="shared" si="25"/>
        <v>GUARULHOS</v>
      </c>
      <c r="AJ389" s="154" t="s">
        <v>6</v>
      </c>
      <c r="AK389" s="53">
        <v>-7.7600000000000002E-2</v>
      </c>
      <c r="AL389" s="53" t="str" cm="1">
        <f t="array" ref="AL389">IF(OR(O389&lt;&gt;"", SUMPRODUCT(($AM$2:$AM$210=AM389)*($AK$2:$AK$210&lt;=AK389)) &lt;= (COUNTIF($AM$2:$AM$210,AM389)*0.1)), "SORTEADO", "-")</f>
        <v>SORTEADO</v>
      </c>
      <c r="AM389" s="53" t="str">
        <f t="shared" si="24"/>
        <v>27/04/2026</v>
      </c>
    </row>
    <row r="390" spans="1:39" ht="30" customHeight="1" x14ac:dyDescent="0.2">
      <c r="A390" s="230" t="s">
        <v>197</v>
      </c>
      <c r="B390" s="230">
        <v>2617314887</v>
      </c>
      <c r="C390" s="230" t="s">
        <v>138</v>
      </c>
      <c r="D390" s="230" t="s">
        <v>67</v>
      </c>
      <c r="E390" s="230" t="s">
        <v>198</v>
      </c>
      <c r="F390" s="230" t="s">
        <v>2051</v>
      </c>
      <c r="G390" s="230">
        <v>442</v>
      </c>
      <c r="H390" s="230" t="s">
        <v>633</v>
      </c>
      <c r="I390" s="230" t="s">
        <v>453</v>
      </c>
      <c r="J390" s="230" t="s">
        <v>4605</v>
      </c>
      <c r="K390" s="230" t="s">
        <v>4890</v>
      </c>
      <c r="L390" s="230" t="s">
        <v>2165</v>
      </c>
      <c r="M390" s="230" t="s">
        <v>4891</v>
      </c>
      <c r="N390" s="230" t="s">
        <v>4604</v>
      </c>
      <c r="O390" s="158" t="s">
        <v>204</v>
      </c>
      <c r="P390" s="92"/>
      <c r="Q390" s="146" t="s">
        <v>328</v>
      </c>
      <c r="R390" s="92"/>
      <c r="S390" s="146" t="s">
        <v>328</v>
      </c>
      <c r="T390" s="92"/>
      <c r="U390" s="146" t="s">
        <v>328</v>
      </c>
      <c r="V390" s="92"/>
      <c r="W390" s="146" t="s">
        <v>328</v>
      </c>
      <c r="X390" s="92"/>
      <c r="Y390" s="146" t="s">
        <v>328</v>
      </c>
      <c r="Z390" s="92"/>
      <c r="AA390" s="146" t="s">
        <v>328</v>
      </c>
      <c r="AB390" s="64"/>
      <c r="AC390" s="146" t="s">
        <v>204</v>
      </c>
      <c r="AD390" s="64"/>
      <c r="AE390" s="146" t="s">
        <v>204</v>
      </c>
      <c r="AF390" s="215" t="str">
        <f t="shared" si="27"/>
        <v>NC</v>
      </c>
      <c r="AG390" s="96" t="str">
        <f t="shared" si="26"/>
        <v>UTILIZOU O PDA CORRETAMENTE. NÃO HÁ FOTOS DE TODAS AS ETAPAS</v>
      </c>
      <c r="AH390" s="9"/>
      <c r="AI390" s="151" t="str">
        <f t="shared" si="25"/>
        <v>GUARULHOS</v>
      </c>
      <c r="AJ390" s="154" t="s">
        <v>6</v>
      </c>
      <c r="AK390" s="53">
        <v>-7.7799999999999994E-2</v>
      </c>
      <c r="AL390" s="53" t="str" cm="1">
        <f t="array" ref="AL390">IF(OR(O390&lt;&gt;"", SUMPRODUCT(($AM$2:$AM$210=AM390)*($AK$2:$AK$210&lt;=AK390)) &lt;= (COUNTIF($AM$2:$AM$210,AM390)*0.1)), "SORTEADO", "-")</f>
        <v>SORTEADO</v>
      </c>
      <c r="AM390" s="53" t="str">
        <f t="shared" si="24"/>
        <v>27/04/2026</v>
      </c>
    </row>
    <row r="391" spans="1:39" ht="30" customHeight="1" x14ac:dyDescent="0.2">
      <c r="A391" s="230" t="s">
        <v>197</v>
      </c>
      <c r="B391" s="230">
        <v>2614471690</v>
      </c>
      <c r="C391" s="230" t="s">
        <v>139</v>
      </c>
      <c r="D391" s="230" t="s">
        <v>67</v>
      </c>
      <c r="E391" s="230" t="s">
        <v>198</v>
      </c>
      <c r="F391" s="230" t="s">
        <v>1991</v>
      </c>
      <c r="G391" s="230">
        <v>169</v>
      </c>
      <c r="H391" s="230" t="s">
        <v>1992</v>
      </c>
      <c r="I391" s="230" t="s">
        <v>531</v>
      </c>
      <c r="J391" s="230" t="s">
        <v>4603</v>
      </c>
      <c r="K391" s="230"/>
      <c r="L391" s="230" t="s">
        <v>2165</v>
      </c>
      <c r="M391" s="230" t="s">
        <v>4892</v>
      </c>
      <c r="N391" s="230" t="s">
        <v>4604</v>
      </c>
      <c r="O391" s="158" t="s">
        <v>210</v>
      </c>
      <c r="P391" s="92" t="s">
        <v>413</v>
      </c>
      <c r="Q391" s="146" t="s">
        <v>210</v>
      </c>
      <c r="R391" s="92" t="s">
        <v>413</v>
      </c>
      <c r="S391" s="146" t="s">
        <v>210</v>
      </c>
      <c r="T391" s="92" t="s">
        <v>413</v>
      </c>
      <c r="U391" s="146" t="s">
        <v>210</v>
      </c>
      <c r="V391" s="92" t="s">
        <v>413</v>
      </c>
      <c r="W391" s="146" t="s">
        <v>210</v>
      </c>
      <c r="X391" s="92" t="s">
        <v>413</v>
      </c>
      <c r="Y391" s="146" t="s">
        <v>210</v>
      </c>
      <c r="Z391" s="92" t="s">
        <v>413</v>
      </c>
      <c r="AA391" s="146" t="s">
        <v>210</v>
      </c>
      <c r="AB391" s="64" t="s">
        <v>413</v>
      </c>
      <c r="AC391" s="146" t="s">
        <v>210</v>
      </c>
      <c r="AD391" s="64" t="s">
        <v>413</v>
      </c>
      <c r="AE391" s="146" t="s">
        <v>210</v>
      </c>
      <c r="AF391" s="215" t="str">
        <f t="shared" si="27"/>
        <v>NC</v>
      </c>
      <c r="AG391" s="96" t="str">
        <f t="shared" si="26"/>
        <v>NÃO UTILIZOU O PDA</v>
      </c>
      <c r="AH391" s="9"/>
      <c r="AI391" s="151" t="str">
        <f t="shared" si="25"/>
        <v>GUARULHOS</v>
      </c>
      <c r="AJ391" s="154" t="s">
        <v>6</v>
      </c>
      <c r="AK391" s="53">
        <v>-7.8E-2</v>
      </c>
      <c r="AL391" s="53" t="str" cm="1">
        <f t="array" ref="AL391">IF(OR(O391&lt;&gt;"", SUMPRODUCT(($AM$2:$AM$210=AM391)*($AK$2:$AK$210&lt;=AK391)) &lt;= (COUNTIF($AM$2:$AM$210,AM391)*0.1)), "SORTEADO", "-")</f>
        <v>SORTEADO</v>
      </c>
      <c r="AM391" s="53" t="str">
        <f t="shared" si="24"/>
        <v>27/04/2026</v>
      </c>
    </row>
    <row r="392" spans="1:39" ht="30" customHeight="1" x14ac:dyDescent="0.2">
      <c r="A392" s="230" t="s">
        <v>197</v>
      </c>
      <c r="B392" s="230">
        <v>2617133799</v>
      </c>
      <c r="C392" s="230" t="s">
        <v>139</v>
      </c>
      <c r="D392" s="230" t="s">
        <v>67</v>
      </c>
      <c r="E392" s="230" t="s">
        <v>198</v>
      </c>
      <c r="F392" s="230" t="s">
        <v>2992</v>
      </c>
      <c r="G392" s="230">
        <v>125</v>
      </c>
      <c r="H392" s="230"/>
      <c r="I392" s="230" t="s">
        <v>509</v>
      </c>
      <c r="J392" s="230" t="s">
        <v>4603</v>
      </c>
      <c r="K392" s="230"/>
      <c r="L392" s="230" t="s">
        <v>2165</v>
      </c>
      <c r="M392" s="230" t="s">
        <v>4893</v>
      </c>
      <c r="N392" s="230" t="s">
        <v>4604</v>
      </c>
      <c r="O392" s="158" t="s">
        <v>210</v>
      </c>
      <c r="P392" s="92" t="s">
        <v>413</v>
      </c>
      <c r="Q392" s="158" t="s">
        <v>210</v>
      </c>
      <c r="R392" s="92" t="s">
        <v>413</v>
      </c>
      <c r="S392" s="158" t="s">
        <v>210</v>
      </c>
      <c r="T392" s="92" t="s">
        <v>413</v>
      </c>
      <c r="U392" s="158" t="s">
        <v>210</v>
      </c>
      <c r="V392" s="92" t="s">
        <v>413</v>
      </c>
      <c r="W392" s="158" t="s">
        <v>210</v>
      </c>
      <c r="X392" s="92" t="s">
        <v>413</v>
      </c>
      <c r="Y392" s="158" t="s">
        <v>210</v>
      </c>
      <c r="Z392" s="92" t="s">
        <v>413</v>
      </c>
      <c r="AA392" s="158" t="s">
        <v>210</v>
      </c>
      <c r="AB392" s="64" t="s">
        <v>413</v>
      </c>
      <c r="AC392" s="158" t="s">
        <v>210</v>
      </c>
      <c r="AD392" s="64" t="s">
        <v>413</v>
      </c>
      <c r="AE392" s="158" t="s">
        <v>210</v>
      </c>
      <c r="AF392" s="215" t="str">
        <f t="shared" si="27"/>
        <v>NC</v>
      </c>
      <c r="AG392" s="96" t="str">
        <f t="shared" si="26"/>
        <v>NÃO UTILIZOU O PDA</v>
      </c>
      <c r="AH392" s="9"/>
      <c r="AI392" s="151" t="str">
        <f t="shared" si="25"/>
        <v>GUARULHOS</v>
      </c>
      <c r="AJ392" s="154" t="s">
        <v>6</v>
      </c>
      <c r="AK392" s="53">
        <v>-7.8200000000000006E-2</v>
      </c>
      <c r="AL392" s="53" t="str" cm="1">
        <f t="array" ref="AL392">IF(OR(O392&lt;&gt;"", SUMPRODUCT(($AM$2:$AM$210=AM392)*($AK$2:$AK$210&lt;=AK392)) &lt;= (COUNTIF($AM$2:$AM$210,AM392)*0.1)), "SORTEADO", "-")</f>
        <v>SORTEADO</v>
      </c>
      <c r="AM392" s="53" t="str">
        <f t="shared" si="24"/>
        <v>27/04/2026</v>
      </c>
    </row>
    <row r="393" spans="1:39" ht="30" hidden="1" customHeight="1" x14ac:dyDescent="0.2">
      <c r="A393" s="230" t="s">
        <v>197</v>
      </c>
      <c r="B393" s="230">
        <v>2691373308</v>
      </c>
      <c r="C393" s="230" t="s">
        <v>140</v>
      </c>
      <c r="D393" s="230" t="s">
        <v>67</v>
      </c>
      <c r="E393" s="230" t="s">
        <v>198</v>
      </c>
      <c r="F393" s="230" t="s">
        <v>1916</v>
      </c>
      <c r="G393" s="230">
        <v>21</v>
      </c>
      <c r="H393" s="230" t="s">
        <v>1917</v>
      </c>
      <c r="I393" s="230" t="s">
        <v>411</v>
      </c>
      <c r="J393" s="230" t="s">
        <v>4605</v>
      </c>
      <c r="K393" s="230" t="s">
        <v>213</v>
      </c>
      <c r="L393" s="230" t="s">
        <v>2165</v>
      </c>
      <c r="M393" s="230" t="s">
        <v>4894</v>
      </c>
      <c r="N393" s="230" t="s">
        <v>4604</v>
      </c>
      <c r="O393" s="158" t="s">
        <v>204</v>
      </c>
      <c r="P393" s="92"/>
      <c r="Q393" s="146" t="s">
        <v>204</v>
      </c>
      <c r="R393" s="92"/>
      <c r="S393" s="146" t="s">
        <v>204</v>
      </c>
      <c r="T393" s="92"/>
      <c r="U393" s="146" t="s">
        <v>204</v>
      </c>
      <c r="V393" s="92"/>
      <c r="W393" s="146" t="s">
        <v>204</v>
      </c>
      <c r="X393" s="92"/>
      <c r="Y393" s="146" t="s">
        <v>204</v>
      </c>
      <c r="Z393" s="92"/>
      <c r="AA393" s="146" t="s">
        <v>204</v>
      </c>
      <c r="AB393" s="64"/>
      <c r="AC393" s="146" t="s">
        <v>204</v>
      </c>
      <c r="AD393" s="64"/>
      <c r="AE393" s="146" t="s">
        <v>204</v>
      </c>
      <c r="AF393" s="215" t="str">
        <f t="shared" si="27"/>
        <v>C</v>
      </c>
      <c r="AG393" s="96" t="str">
        <f t="shared" si="26"/>
        <v>UTILIZOU O PDA CORRETAMENTE</v>
      </c>
      <c r="AH393" s="9"/>
      <c r="AI393" s="151" t="str">
        <f t="shared" si="25"/>
        <v>GUARULHOS</v>
      </c>
      <c r="AJ393" s="154" t="s">
        <v>6</v>
      </c>
      <c r="AK393" s="53">
        <v>-7.8399999999999997E-2</v>
      </c>
      <c r="AL393" s="53" t="str" cm="1">
        <f t="array" ref="AL393">IF(OR(O393&lt;&gt;"", SUMPRODUCT(($AM$2:$AM$210=AM393)*($AK$2:$AK$210&lt;=AK393)) &lt;= (COUNTIF($AM$2:$AM$210,AM393)*0.1)), "SORTEADO", "-")</f>
        <v>SORTEADO</v>
      </c>
      <c r="AM393" s="53" t="str">
        <f t="shared" si="24"/>
        <v>27/04/2026</v>
      </c>
    </row>
    <row r="394" spans="1:39" ht="30" customHeight="1" x14ac:dyDescent="0.2">
      <c r="A394" s="230" t="s">
        <v>197</v>
      </c>
      <c r="B394" s="230">
        <v>2617312754</v>
      </c>
      <c r="C394" s="230" t="s">
        <v>138</v>
      </c>
      <c r="D394" s="230" t="s">
        <v>67</v>
      </c>
      <c r="E394" s="230" t="s">
        <v>198</v>
      </c>
      <c r="F394" s="230" t="s">
        <v>1148</v>
      </c>
      <c r="G394" s="230">
        <v>455</v>
      </c>
      <c r="H394" s="230"/>
      <c r="I394" s="230" t="s">
        <v>1150</v>
      </c>
      <c r="J394" s="230" t="s">
        <v>4605</v>
      </c>
      <c r="K394" s="230"/>
      <c r="L394" s="230" t="s">
        <v>2165</v>
      </c>
      <c r="M394" s="230" t="s">
        <v>4895</v>
      </c>
      <c r="N394" s="230" t="s">
        <v>4604</v>
      </c>
      <c r="O394" s="158" t="s">
        <v>210</v>
      </c>
      <c r="P394" s="92" t="s">
        <v>413</v>
      </c>
      <c r="Q394" s="146" t="s">
        <v>210</v>
      </c>
      <c r="R394" s="92" t="s">
        <v>413</v>
      </c>
      <c r="S394" s="146" t="s">
        <v>210</v>
      </c>
      <c r="T394" s="92" t="s">
        <v>413</v>
      </c>
      <c r="U394" s="146" t="s">
        <v>210</v>
      </c>
      <c r="V394" s="92" t="s">
        <v>413</v>
      </c>
      <c r="W394" s="146" t="s">
        <v>210</v>
      </c>
      <c r="X394" s="92" t="s">
        <v>413</v>
      </c>
      <c r="Y394" s="146" t="s">
        <v>210</v>
      </c>
      <c r="Z394" s="92" t="s">
        <v>413</v>
      </c>
      <c r="AA394" s="146" t="s">
        <v>210</v>
      </c>
      <c r="AB394" s="64" t="s">
        <v>413</v>
      </c>
      <c r="AC394" s="146" t="s">
        <v>210</v>
      </c>
      <c r="AD394" s="64" t="s">
        <v>413</v>
      </c>
      <c r="AE394" s="146" t="s">
        <v>210</v>
      </c>
      <c r="AF394" s="215" t="str">
        <f t="shared" si="27"/>
        <v>NC</v>
      </c>
      <c r="AG394" s="96" t="str">
        <f t="shared" si="26"/>
        <v>NÃO UTILIZOU O PDA</v>
      </c>
      <c r="AH394" s="9"/>
      <c r="AI394" s="151" t="str">
        <f t="shared" si="25"/>
        <v>GUARULHOS</v>
      </c>
      <c r="AJ394" s="154" t="s">
        <v>6</v>
      </c>
      <c r="AK394" s="53">
        <v>-7.8600000000000003E-2</v>
      </c>
      <c r="AL394" s="53" t="str" cm="1">
        <f t="array" ref="AL394">IF(OR(O394&lt;&gt;"", SUMPRODUCT(($AM$2:$AM$210=AM394)*($AK$2:$AK$210&lt;=AK394)) &lt;= (COUNTIF($AM$2:$AM$210,AM394)*0.1)), "SORTEADO", "-")</f>
        <v>SORTEADO</v>
      </c>
      <c r="AM394" s="53" t="str">
        <f t="shared" si="24"/>
        <v>27/04/2026</v>
      </c>
    </row>
    <row r="395" spans="1:39" ht="30" hidden="1" customHeight="1" x14ac:dyDescent="0.2">
      <c r="A395" s="230" t="s">
        <v>197</v>
      </c>
      <c r="B395" s="230">
        <v>2691442523</v>
      </c>
      <c r="C395" s="230" t="s">
        <v>140</v>
      </c>
      <c r="D395" s="230" t="s">
        <v>67</v>
      </c>
      <c r="E395" s="230" t="s">
        <v>198</v>
      </c>
      <c r="F395" s="230" t="s">
        <v>2103</v>
      </c>
      <c r="G395" s="230">
        <v>239</v>
      </c>
      <c r="H395" s="230" t="s">
        <v>2104</v>
      </c>
      <c r="I395" s="230" t="s">
        <v>2105</v>
      </c>
      <c r="J395" s="230" t="s">
        <v>4605</v>
      </c>
      <c r="K395" s="230"/>
      <c r="L395" s="230" t="s">
        <v>2165</v>
      </c>
      <c r="M395" s="230" t="s">
        <v>4896</v>
      </c>
      <c r="N395" s="230" t="s">
        <v>4613</v>
      </c>
      <c r="O395" s="158" t="s">
        <v>204</v>
      </c>
      <c r="P395" s="92"/>
      <c r="Q395" s="146" t="s">
        <v>204</v>
      </c>
      <c r="R395" s="92"/>
      <c r="S395" s="146" t="s">
        <v>204</v>
      </c>
      <c r="T395" s="92"/>
      <c r="U395" s="146" t="s">
        <v>204</v>
      </c>
      <c r="V395" s="92"/>
      <c r="W395" s="146" t="s">
        <v>204</v>
      </c>
      <c r="X395" s="92"/>
      <c r="Y395" s="146" t="s">
        <v>204</v>
      </c>
      <c r="Z395" s="92"/>
      <c r="AA395" s="146" t="s">
        <v>204</v>
      </c>
      <c r="AB395" s="64"/>
      <c r="AC395" s="146" t="s">
        <v>204</v>
      </c>
      <c r="AD395" s="64"/>
      <c r="AE395" s="146" t="s">
        <v>204</v>
      </c>
      <c r="AF395" s="215" t="str">
        <f t="shared" si="27"/>
        <v>C</v>
      </c>
      <c r="AG395" s="96" t="str">
        <f t="shared" si="26"/>
        <v>UTILIZOU O PDA CORRETAMENTE</v>
      </c>
      <c r="AH395" s="9"/>
      <c r="AI395" s="151" t="str">
        <f t="shared" si="25"/>
        <v>GUARULHOS</v>
      </c>
      <c r="AJ395" s="154" t="s">
        <v>6</v>
      </c>
      <c r="AK395" s="53">
        <v>-7.8799999999999995E-2</v>
      </c>
      <c r="AL395" s="53" t="str" cm="1">
        <f t="array" ref="AL395">IF(OR(O395&lt;&gt;"", SUMPRODUCT(($AM$2:$AM$210=AM395)*($AK$2:$AK$210&lt;=AK395)) &lt;= (COUNTIF($AM$2:$AM$210,AM395)*0.1)), "SORTEADO", "-")</f>
        <v>SORTEADO</v>
      </c>
      <c r="AM395" s="53" t="str">
        <f t="shared" si="24"/>
        <v>27/04/2026</v>
      </c>
    </row>
    <row r="396" spans="1:39" ht="30" hidden="1" customHeight="1" x14ac:dyDescent="0.2">
      <c r="A396" s="230" t="s">
        <v>197</v>
      </c>
      <c r="B396" s="230">
        <v>2691515653</v>
      </c>
      <c r="C396" s="230" t="s">
        <v>138</v>
      </c>
      <c r="D396" s="230" t="s">
        <v>67</v>
      </c>
      <c r="E396" s="230" t="s">
        <v>198</v>
      </c>
      <c r="F396" s="230" t="s">
        <v>966</v>
      </c>
      <c r="G396" s="230">
        <v>911</v>
      </c>
      <c r="H396" s="230" t="s">
        <v>2097</v>
      </c>
      <c r="I396" s="230" t="s">
        <v>588</v>
      </c>
      <c r="J396" s="230" t="s">
        <v>4605</v>
      </c>
      <c r="K396" s="230" t="s">
        <v>213</v>
      </c>
      <c r="L396" s="230" t="s">
        <v>2165</v>
      </c>
      <c r="M396" s="230" t="s">
        <v>4897</v>
      </c>
      <c r="N396" s="230" t="s">
        <v>4613</v>
      </c>
      <c r="O396" s="158" t="s">
        <v>204</v>
      </c>
      <c r="P396" s="92"/>
      <c r="Q396" s="146" t="s">
        <v>204</v>
      </c>
      <c r="R396" s="92"/>
      <c r="S396" s="146" t="s">
        <v>204</v>
      </c>
      <c r="T396" s="92"/>
      <c r="U396" s="146" t="s">
        <v>204</v>
      </c>
      <c r="V396" s="92"/>
      <c r="W396" s="146" t="s">
        <v>204</v>
      </c>
      <c r="X396" s="92"/>
      <c r="Y396" s="146" t="s">
        <v>204</v>
      </c>
      <c r="Z396" s="92"/>
      <c r="AA396" s="146" t="s">
        <v>204</v>
      </c>
      <c r="AB396" s="64"/>
      <c r="AC396" s="146" t="s">
        <v>204</v>
      </c>
      <c r="AD396" s="64"/>
      <c r="AE396" s="146" t="s">
        <v>204</v>
      </c>
      <c r="AF396" s="215" t="str">
        <f t="shared" si="27"/>
        <v>C</v>
      </c>
      <c r="AG396" s="96" t="str">
        <f t="shared" si="26"/>
        <v>UTILIZOU O PDA CORRETAMENTE</v>
      </c>
      <c r="AH396" s="9"/>
      <c r="AI396" s="151" t="str">
        <f t="shared" si="25"/>
        <v>GUARULHOS</v>
      </c>
      <c r="AJ396" s="154" t="s">
        <v>6</v>
      </c>
      <c r="AK396" s="53">
        <v>-7.9000000000000001E-2</v>
      </c>
      <c r="AL396" s="53" t="str" cm="1">
        <f t="array" ref="AL396">IF(OR(O396&lt;&gt;"", SUMPRODUCT(($AM$2:$AM$210=AM396)*($AK$2:$AK$210&lt;=AK396)) &lt;= (COUNTIF($AM$2:$AM$210,AM396)*0.1)), "SORTEADO", "-")</f>
        <v>SORTEADO</v>
      </c>
      <c r="AM396" s="53" t="str">
        <f t="shared" si="24"/>
        <v>27/04/2026</v>
      </c>
    </row>
    <row r="397" spans="1:39" ht="30" customHeight="1" x14ac:dyDescent="0.2">
      <c r="A397" s="230" t="s">
        <v>197</v>
      </c>
      <c r="B397" s="230">
        <v>2617118673</v>
      </c>
      <c r="C397" s="230" t="s">
        <v>139</v>
      </c>
      <c r="D397" s="230" t="s">
        <v>67</v>
      </c>
      <c r="E397" s="230" t="s">
        <v>198</v>
      </c>
      <c r="F397" s="230" t="s">
        <v>2091</v>
      </c>
      <c r="G397" s="230">
        <v>53</v>
      </c>
      <c r="H397" s="230" t="s">
        <v>2092</v>
      </c>
      <c r="I397" s="230" t="s">
        <v>436</v>
      </c>
      <c r="J397" s="230" t="s">
        <v>4603</v>
      </c>
      <c r="K397" s="230"/>
      <c r="L397" s="230" t="s">
        <v>2165</v>
      </c>
      <c r="M397" s="230" t="s">
        <v>4898</v>
      </c>
      <c r="N397" s="230" t="s">
        <v>4613</v>
      </c>
      <c r="O397" s="158" t="s">
        <v>204</v>
      </c>
      <c r="P397" s="92"/>
      <c r="Q397" s="146" t="s">
        <v>328</v>
      </c>
      <c r="R397" s="92"/>
      <c r="S397" s="146" t="s">
        <v>328</v>
      </c>
      <c r="T397" s="92"/>
      <c r="U397" s="146" t="s">
        <v>328</v>
      </c>
      <c r="V397" s="92"/>
      <c r="W397" s="146" t="s">
        <v>328</v>
      </c>
      <c r="X397" s="92"/>
      <c r="Y397" s="146" t="s">
        <v>328</v>
      </c>
      <c r="Z397" s="92"/>
      <c r="AA397" s="146" t="s">
        <v>328</v>
      </c>
      <c r="AB397" s="64"/>
      <c r="AC397" s="146" t="s">
        <v>210</v>
      </c>
      <c r="AD397" s="64" t="s">
        <v>4899</v>
      </c>
      <c r="AE397" s="146" t="s">
        <v>204</v>
      </c>
      <c r="AF397" s="215" t="str">
        <f t="shared" si="27"/>
        <v>NC</v>
      </c>
      <c r="AG397" s="96" t="str">
        <f t="shared" si="26"/>
        <v>UTILIZOU O PDA CORRETAMENTE. NÃO HÁ FOTOS DE TODAS AS ETAPAS</v>
      </c>
      <c r="AH397" s="9"/>
      <c r="AI397" s="151" t="str">
        <f t="shared" si="25"/>
        <v>GUARULHOS</v>
      </c>
      <c r="AJ397" s="154" t="s">
        <v>6</v>
      </c>
      <c r="AK397" s="53">
        <v>-7.9200000000000007E-2</v>
      </c>
      <c r="AL397" s="53" t="str" cm="1">
        <f t="array" ref="AL397">IF(OR(O397&lt;&gt;"", SUMPRODUCT(($AM$2:$AM$210=AM397)*($AK$2:$AK$210&lt;=AK397)) &lt;= (COUNTIF($AM$2:$AM$210,AM397)*0.1)), "SORTEADO", "-")</f>
        <v>SORTEADO</v>
      </c>
      <c r="AM397" s="53" t="str">
        <f t="shared" si="24"/>
        <v>27/04/2026</v>
      </c>
    </row>
    <row r="398" spans="1:39" ht="30" customHeight="1" x14ac:dyDescent="0.2">
      <c r="A398" s="230" t="s">
        <v>197</v>
      </c>
      <c r="B398" s="230">
        <v>2617308286</v>
      </c>
      <c r="C398" s="230" t="s">
        <v>139</v>
      </c>
      <c r="D398" s="230" t="s">
        <v>67</v>
      </c>
      <c r="E398" s="230" t="s">
        <v>198</v>
      </c>
      <c r="F398" s="230" t="s">
        <v>2101</v>
      </c>
      <c r="G398" s="230">
        <v>13</v>
      </c>
      <c r="H398" s="230" t="s">
        <v>213</v>
      </c>
      <c r="I398" s="230" t="s">
        <v>356</v>
      </c>
      <c r="J398" s="230" t="s">
        <v>4603</v>
      </c>
      <c r="K398" s="230" t="s">
        <v>4640</v>
      </c>
      <c r="L398" s="230" t="s">
        <v>2165</v>
      </c>
      <c r="M398" s="230" t="s">
        <v>4900</v>
      </c>
      <c r="N398" s="230" t="s">
        <v>4613</v>
      </c>
      <c r="O398" s="158" t="s">
        <v>204</v>
      </c>
      <c r="P398" s="92"/>
      <c r="Q398" s="146" t="s">
        <v>328</v>
      </c>
      <c r="R398" s="92"/>
      <c r="S398" s="146" t="s">
        <v>328</v>
      </c>
      <c r="T398" s="92"/>
      <c r="U398" s="146" t="s">
        <v>328</v>
      </c>
      <c r="V398" s="92"/>
      <c r="W398" s="146" t="s">
        <v>328</v>
      </c>
      <c r="X398" s="92"/>
      <c r="Y398" s="146" t="s">
        <v>328</v>
      </c>
      <c r="Z398" s="92"/>
      <c r="AA398" s="146" t="s">
        <v>328</v>
      </c>
      <c r="AB398" s="64"/>
      <c r="AC398" s="146" t="s">
        <v>210</v>
      </c>
      <c r="AD398" s="64" t="s">
        <v>4899</v>
      </c>
      <c r="AE398" s="146" t="s">
        <v>204</v>
      </c>
      <c r="AF398" s="215" t="str">
        <f t="shared" si="27"/>
        <v>NC</v>
      </c>
      <c r="AG398" s="96" t="str">
        <f t="shared" si="26"/>
        <v>UTILIZOU O PDA CORRETAMENTE. NÃO HÁ FOTOS DE TODAS AS ETAPAS</v>
      </c>
      <c r="AH398" s="9"/>
      <c r="AI398" s="151" t="str">
        <f t="shared" si="25"/>
        <v>GUARULHOS</v>
      </c>
      <c r="AJ398" s="154" t="s">
        <v>6</v>
      </c>
      <c r="AK398" s="53">
        <v>-7.9399999999999998E-2</v>
      </c>
      <c r="AL398" s="53" t="str" cm="1">
        <f t="array" ref="AL398">IF(OR(O398&lt;&gt;"", SUMPRODUCT(($AM$2:$AM$210=AM398)*($AK$2:$AK$210&lt;=AK398)) &lt;= (COUNTIF($AM$2:$AM$210,AM398)*0.1)), "SORTEADO", "-")</f>
        <v>SORTEADO</v>
      </c>
      <c r="AM398" s="53" t="str">
        <f t="shared" si="24"/>
        <v>27/04/2026</v>
      </c>
    </row>
    <row r="399" spans="1:39" ht="30" hidden="1" customHeight="1" x14ac:dyDescent="0.2">
      <c r="A399" s="230" t="s">
        <v>197</v>
      </c>
      <c r="B399" s="230">
        <v>2617307754</v>
      </c>
      <c r="C399" s="230" t="s">
        <v>138</v>
      </c>
      <c r="D399" s="230" t="s">
        <v>67</v>
      </c>
      <c r="E399" s="230" t="s">
        <v>198</v>
      </c>
      <c r="F399" s="230" t="s">
        <v>1038</v>
      </c>
      <c r="G399" s="230">
        <v>378</v>
      </c>
      <c r="H399" s="230" t="s">
        <v>276</v>
      </c>
      <c r="I399" s="230" t="s">
        <v>1039</v>
      </c>
      <c r="J399" s="230" t="s">
        <v>4605</v>
      </c>
      <c r="K399" s="230"/>
      <c r="L399" s="230" t="s">
        <v>2165</v>
      </c>
      <c r="M399" s="230" t="s">
        <v>4901</v>
      </c>
      <c r="N399" s="230" t="s">
        <v>4613</v>
      </c>
      <c r="O399" s="158" t="s">
        <v>204</v>
      </c>
      <c r="P399" s="92"/>
      <c r="Q399" s="146" t="s">
        <v>204</v>
      </c>
      <c r="R399" s="92"/>
      <c r="S399" s="146" t="s">
        <v>204</v>
      </c>
      <c r="T399" s="92"/>
      <c r="U399" s="146" t="s">
        <v>204</v>
      </c>
      <c r="V399" s="92"/>
      <c r="W399" s="146" t="s">
        <v>204</v>
      </c>
      <c r="X399" s="92"/>
      <c r="Y399" s="146" t="s">
        <v>204</v>
      </c>
      <c r="Z399" s="92"/>
      <c r="AA399" s="146" t="s">
        <v>204</v>
      </c>
      <c r="AB399" s="64"/>
      <c r="AC399" s="146" t="s">
        <v>204</v>
      </c>
      <c r="AD399" s="64"/>
      <c r="AE399" s="146" t="s">
        <v>204</v>
      </c>
      <c r="AF399" s="215" t="str">
        <f t="shared" si="27"/>
        <v>C</v>
      </c>
      <c r="AG399" s="96" t="str">
        <f t="shared" si="26"/>
        <v>UTILIZOU O PDA CORRETAMENTE</v>
      </c>
      <c r="AH399" s="9"/>
      <c r="AI399" s="151" t="str">
        <f t="shared" si="25"/>
        <v>GUARULHOS</v>
      </c>
      <c r="AJ399" s="154" t="s">
        <v>6</v>
      </c>
      <c r="AK399" s="53">
        <v>-7.9600000000000004E-2</v>
      </c>
      <c r="AL399" s="53" t="str" cm="1">
        <f t="array" ref="AL399">IF(OR(O399&lt;&gt;"", SUMPRODUCT(($AM$2:$AM$210=AM399)*($AK$2:$AK$210&lt;=AK399)) &lt;= (COUNTIF($AM$2:$AM$210,AM399)*0.1)), "SORTEADO", "-")</f>
        <v>SORTEADO</v>
      </c>
      <c r="AM399" s="53" t="str">
        <f t="shared" si="24"/>
        <v>27/04/2026</v>
      </c>
    </row>
    <row r="400" spans="1:39" ht="30" hidden="1" customHeight="1" x14ac:dyDescent="0.2">
      <c r="A400" s="230" t="s">
        <v>197</v>
      </c>
      <c r="B400" s="230">
        <v>2691390660</v>
      </c>
      <c r="C400" s="230" t="s">
        <v>138</v>
      </c>
      <c r="D400" s="230" t="s">
        <v>67</v>
      </c>
      <c r="E400" s="230" t="s">
        <v>198</v>
      </c>
      <c r="F400" s="230" t="s">
        <v>1903</v>
      </c>
      <c r="G400" s="230">
        <v>65</v>
      </c>
      <c r="H400" s="230" t="s">
        <v>1904</v>
      </c>
      <c r="I400" s="230" t="s">
        <v>1905</v>
      </c>
      <c r="J400" s="230" t="s">
        <v>4605</v>
      </c>
      <c r="K400" s="230" t="s">
        <v>213</v>
      </c>
      <c r="L400" s="230" t="s">
        <v>2165</v>
      </c>
      <c r="M400" s="230" t="s">
        <v>4902</v>
      </c>
      <c r="N400" s="230" t="s">
        <v>4613</v>
      </c>
      <c r="O400" s="158" t="s">
        <v>204</v>
      </c>
      <c r="P400" s="92"/>
      <c r="Q400" s="146" t="s">
        <v>204</v>
      </c>
      <c r="R400" s="92"/>
      <c r="S400" s="146" t="s">
        <v>204</v>
      </c>
      <c r="T400" s="92"/>
      <c r="U400" s="146" t="s">
        <v>204</v>
      </c>
      <c r="V400" s="92"/>
      <c r="W400" s="146" t="s">
        <v>204</v>
      </c>
      <c r="X400" s="92"/>
      <c r="Y400" s="146" t="s">
        <v>204</v>
      </c>
      <c r="Z400" s="92"/>
      <c r="AA400" s="146" t="s">
        <v>204</v>
      </c>
      <c r="AB400" s="64"/>
      <c r="AC400" s="146" t="s">
        <v>204</v>
      </c>
      <c r="AD400" s="64"/>
      <c r="AE400" s="146" t="s">
        <v>204</v>
      </c>
      <c r="AF400" s="215" t="str">
        <f t="shared" si="27"/>
        <v>C</v>
      </c>
      <c r="AG400" s="96" t="str">
        <f t="shared" si="26"/>
        <v>UTILIZOU O PDA CORRETAMENTE</v>
      </c>
      <c r="AH400" s="9"/>
      <c r="AI400" s="151" t="str">
        <f t="shared" si="25"/>
        <v>GUARULHOS</v>
      </c>
      <c r="AJ400" s="154" t="s">
        <v>6</v>
      </c>
      <c r="AK400" s="53">
        <v>-7.9799999999999996E-2</v>
      </c>
      <c r="AL400" s="53" t="str" cm="1">
        <f t="array" ref="AL400">IF(OR(O400&lt;&gt;"", SUMPRODUCT(($AM$2:$AM$210=AM400)*($AK$2:$AK$210&lt;=AK400)) &lt;= (COUNTIF($AM$2:$AM$210,AM400)*0.1)), "SORTEADO", "-")</f>
        <v>SORTEADO</v>
      </c>
      <c r="AM400" s="53" t="str">
        <f t="shared" si="24"/>
        <v>27/04/2026</v>
      </c>
    </row>
    <row r="401" spans="1:39" ht="30" hidden="1" customHeight="1" x14ac:dyDescent="0.2">
      <c r="A401" s="230" t="s">
        <v>197</v>
      </c>
      <c r="B401" s="230">
        <v>2691385610</v>
      </c>
      <c r="C401" s="230" t="s">
        <v>138</v>
      </c>
      <c r="D401" s="230" t="s">
        <v>67</v>
      </c>
      <c r="E401" s="230" t="s">
        <v>198</v>
      </c>
      <c r="F401" s="230" t="s">
        <v>718</v>
      </c>
      <c r="G401" s="230">
        <v>171</v>
      </c>
      <c r="H401" s="230" t="s">
        <v>2043</v>
      </c>
      <c r="I401" s="230" t="s">
        <v>315</v>
      </c>
      <c r="J401" s="230" t="s">
        <v>4605</v>
      </c>
      <c r="K401" s="230"/>
      <c r="L401" s="230" t="s">
        <v>2165</v>
      </c>
      <c r="M401" s="230" t="s">
        <v>4903</v>
      </c>
      <c r="N401" s="230" t="s">
        <v>4613</v>
      </c>
      <c r="O401" s="158" t="s">
        <v>204</v>
      </c>
      <c r="P401" s="92"/>
      <c r="Q401" s="146" t="s">
        <v>204</v>
      </c>
      <c r="R401" s="92"/>
      <c r="S401" s="146" t="s">
        <v>204</v>
      </c>
      <c r="T401" s="92"/>
      <c r="U401" s="146" t="s">
        <v>204</v>
      </c>
      <c r="V401" s="92"/>
      <c r="W401" s="146" t="s">
        <v>204</v>
      </c>
      <c r="X401" s="92"/>
      <c r="Y401" s="146" t="s">
        <v>204</v>
      </c>
      <c r="Z401" s="92"/>
      <c r="AA401" s="146" t="s">
        <v>204</v>
      </c>
      <c r="AB401" s="64"/>
      <c r="AC401" s="146" t="s">
        <v>204</v>
      </c>
      <c r="AD401" s="64"/>
      <c r="AE401" s="146" t="s">
        <v>204</v>
      </c>
      <c r="AF401" s="215" t="str">
        <f t="shared" si="27"/>
        <v>C</v>
      </c>
      <c r="AG401" s="96" t="str">
        <f t="shared" si="26"/>
        <v>UTILIZOU O PDA CORRETAMENTE</v>
      </c>
      <c r="AH401" s="9"/>
      <c r="AI401" s="151" t="str">
        <f t="shared" si="25"/>
        <v>GUARULHOS</v>
      </c>
      <c r="AJ401" s="154" t="s">
        <v>6</v>
      </c>
      <c r="AK401" s="53">
        <v>-0.08</v>
      </c>
      <c r="AL401" s="53" t="str" cm="1">
        <f t="array" ref="AL401">IF(OR(O401&lt;&gt;"", SUMPRODUCT(($AM$2:$AM$210=AM401)*($AK$2:$AK$210&lt;=AK401)) &lt;= (COUNTIF($AM$2:$AM$210,AM401)*0.1)), "SORTEADO", "-")</f>
        <v>SORTEADO</v>
      </c>
      <c r="AM401" s="53" t="str">
        <f t="shared" si="24"/>
        <v>27/04/2026</v>
      </c>
    </row>
    <row r="402" spans="1:39" ht="30" hidden="1" customHeight="1" x14ac:dyDescent="0.2">
      <c r="A402" s="230" t="s">
        <v>197</v>
      </c>
      <c r="B402" s="230">
        <v>2691454497</v>
      </c>
      <c r="C402" s="230" t="s">
        <v>138</v>
      </c>
      <c r="D402" s="230" t="s">
        <v>67</v>
      </c>
      <c r="E402" s="230" t="s">
        <v>198</v>
      </c>
      <c r="F402" s="230" t="s">
        <v>1913</v>
      </c>
      <c r="G402" s="230">
        <v>189</v>
      </c>
      <c r="H402" s="230" t="s">
        <v>2107</v>
      </c>
      <c r="I402" s="230" t="s">
        <v>1744</v>
      </c>
      <c r="J402" s="230" t="s">
        <v>4605</v>
      </c>
      <c r="K402" s="230" t="s">
        <v>213</v>
      </c>
      <c r="L402" s="230" t="s">
        <v>2165</v>
      </c>
      <c r="M402" s="230" t="s">
        <v>4904</v>
      </c>
      <c r="N402" s="230" t="s">
        <v>4613</v>
      </c>
      <c r="O402" s="158" t="s">
        <v>204</v>
      </c>
      <c r="P402" s="92"/>
      <c r="Q402" s="146" t="s">
        <v>204</v>
      </c>
      <c r="R402" s="92"/>
      <c r="S402" s="146" t="s">
        <v>204</v>
      </c>
      <c r="T402" s="92"/>
      <c r="U402" s="146" t="s">
        <v>204</v>
      </c>
      <c r="V402" s="92"/>
      <c r="W402" s="146" t="s">
        <v>204</v>
      </c>
      <c r="X402" s="92"/>
      <c r="Y402" s="146" t="s">
        <v>204</v>
      </c>
      <c r="Z402" s="92"/>
      <c r="AA402" s="146" t="s">
        <v>204</v>
      </c>
      <c r="AB402" s="64"/>
      <c r="AC402" s="146" t="s">
        <v>204</v>
      </c>
      <c r="AD402" s="64"/>
      <c r="AE402" s="146" t="s">
        <v>204</v>
      </c>
      <c r="AF402" s="215" t="str">
        <f t="shared" si="27"/>
        <v>C</v>
      </c>
      <c r="AG402" s="96" t="str">
        <f t="shared" si="26"/>
        <v>UTILIZOU O PDA CORRETAMENTE</v>
      </c>
      <c r="AH402" s="9"/>
      <c r="AI402" s="151" t="str">
        <f t="shared" si="25"/>
        <v>GUARULHOS</v>
      </c>
      <c r="AJ402" s="154" t="s">
        <v>6</v>
      </c>
      <c r="AK402" s="53">
        <v>-8.0199999999999994E-2</v>
      </c>
      <c r="AL402" s="53" t="str" cm="1">
        <f t="array" ref="AL402">IF(OR(O402&lt;&gt;"", SUMPRODUCT(($AM$2:$AM$210=AM402)*($AK$2:$AK$210&lt;=AK402)) &lt;= (COUNTIF($AM$2:$AM$210,AM402)*0.1)), "SORTEADO", "-")</f>
        <v>SORTEADO</v>
      </c>
      <c r="AM402" s="53" t="str">
        <f t="shared" si="24"/>
        <v>27/04/2026</v>
      </c>
    </row>
    <row r="403" spans="1:39" ht="30" customHeight="1" x14ac:dyDescent="0.2">
      <c r="A403" s="230" t="s">
        <v>197</v>
      </c>
      <c r="B403" s="244">
        <v>2617315805</v>
      </c>
      <c r="C403" s="230" t="s">
        <v>139</v>
      </c>
      <c r="D403" s="230" t="s">
        <v>67</v>
      </c>
      <c r="E403" s="230" t="s">
        <v>198</v>
      </c>
      <c r="F403" s="230" t="s">
        <v>1782</v>
      </c>
      <c r="G403" s="230">
        <v>59</v>
      </c>
      <c r="H403" s="230" t="s">
        <v>276</v>
      </c>
      <c r="I403" s="230" t="s">
        <v>301</v>
      </c>
      <c r="J403" s="230" t="s">
        <v>4603</v>
      </c>
      <c r="K403" s="230" t="s">
        <v>213</v>
      </c>
      <c r="L403" s="230" t="s">
        <v>2165</v>
      </c>
      <c r="M403" s="230" t="s">
        <v>4905</v>
      </c>
      <c r="N403" s="230" t="s">
        <v>4620</v>
      </c>
      <c r="O403" s="158" t="s">
        <v>210</v>
      </c>
      <c r="P403" s="92"/>
      <c r="Q403" s="158" t="s">
        <v>210</v>
      </c>
      <c r="R403" s="92"/>
      <c r="S403" s="158" t="s">
        <v>210</v>
      </c>
      <c r="T403" s="92"/>
      <c r="U403" s="158" t="s">
        <v>210</v>
      </c>
      <c r="V403" s="92"/>
      <c r="W403" s="158" t="s">
        <v>210</v>
      </c>
      <c r="X403" s="92"/>
      <c r="Y403" s="158" t="s">
        <v>210</v>
      </c>
      <c r="Z403" s="92"/>
      <c r="AA403" s="158" t="s">
        <v>210</v>
      </c>
      <c r="AB403" s="64"/>
      <c r="AC403" s="158" t="s">
        <v>210</v>
      </c>
      <c r="AD403" s="64"/>
      <c r="AE403" s="158" t="s">
        <v>210</v>
      </c>
      <c r="AF403" s="215" t="str">
        <f t="shared" si="27"/>
        <v>NC</v>
      </c>
      <c r="AG403" s="96" t="str">
        <f t="shared" si="26"/>
        <v>NÃO UTILIZOU O PDA</v>
      </c>
      <c r="AH403" s="9"/>
      <c r="AI403" s="151" t="str">
        <f t="shared" si="25"/>
        <v>GUARULHOS</v>
      </c>
      <c r="AJ403" s="154" t="s">
        <v>6</v>
      </c>
      <c r="AK403" s="53">
        <v>-8.0399999999999999E-2</v>
      </c>
      <c r="AL403" s="53" t="str" cm="1">
        <f t="array" ref="AL403">IF(OR(O403&lt;&gt;"", SUMPRODUCT(($AM$2:$AM$210=AM403)*($AK$2:$AK$210&lt;=AK403)) &lt;= (COUNTIF($AM$2:$AM$210,AM403)*0.1)), "SORTEADO", "-")</f>
        <v>SORTEADO</v>
      </c>
      <c r="AM403" s="53" t="str">
        <f t="shared" si="24"/>
        <v>27/04/2026</v>
      </c>
    </row>
    <row r="404" spans="1:39" ht="30" customHeight="1" x14ac:dyDescent="0.2">
      <c r="A404" s="230" t="s">
        <v>197</v>
      </c>
      <c r="B404" s="244">
        <v>2613831015</v>
      </c>
      <c r="C404" s="230" t="s">
        <v>139</v>
      </c>
      <c r="D404" s="230" t="s">
        <v>67</v>
      </c>
      <c r="E404" s="230" t="s">
        <v>198</v>
      </c>
      <c r="F404" s="230" t="s">
        <v>1782</v>
      </c>
      <c r="G404" s="230">
        <v>85</v>
      </c>
      <c r="H404" s="230"/>
      <c r="I404" s="230" t="s">
        <v>301</v>
      </c>
      <c r="J404" s="230" t="s">
        <v>4603</v>
      </c>
      <c r="K404" s="230"/>
      <c r="L404" s="230" t="s">
        <v>2165</v>
      </c>
      <c r="M404" s="230" t="s">
        <v>4906</v>
      </c>
      <c r="N404" s="230" t="s">
        <v>4620</v>
      </c>
      <c r="O404" s="158" t="s">
        <v>210</v>
      </c>
      <c r="P404" s="92"/>
      <c r="Q404" s="158" t="s">
        <v>210</v>
      </c>
      <c r="R404" s="92"/>
      <c r="S404" s="158" t="s">
        <v>210</v>
      </c>
      <c r="T404" s="92"/>
      <c r="U404" s="158" t="s">
        <v>210</v>
      </c>
      <c r="V404" s="92"/>
      <c r="W404" s="158" t="s">
        <v>210</v>
      </c>
      <c r="X404" s="92"/>
      <c r="Y404" s="158" t="s">
        <v>210</v>
      </c>
      <c r="Z404" s="92"/>
      <c r="AA404" s="158" t="s">
        <v>210</v>
      </c>
      <c r="AB404" s="64"/>
      <c r="AC404" s="146" t="s">
        <v>210</v>
      </c>
      <c r="AD404" s="64"/>
      <c r="AE404" s="146" t="s">
        <v>210</v>
      </c>
      <c r="AF404" s="215" t="str">
        <f t="shared" si="27"/>
        <v>NC</v>
      </c>
      <c r="AG404" s="96" t="str">
        <f t="shared" si="26"/>
        <v>NÃO UTILIZOU O PDA</v>
      </c>
      <c r="AH404" s="9"/>
      <c r="AI404" s="151" t="str">
        <f t="shared" si="25"/>
        <v>GUARULHOS</v>
      </c>
      <c r="AJ404" s="154" t="s">
        <v>6</v>
      </c>
      <c r="AK404" s="53">
        <v>-8.0600000000000005E-2</v>
      </c>
      <c r="AL404" s="53" t="str" cm="1">
        <f t="array" ref="AL404">IF(OR(O404&lt;&gt;"", SUMPRODUCT(($AM$2:$AM$210=AM404)*($AK$2:$AK$210&lt;=AK404)) &lt;= (COUNTIF($AM$2:$AM$210,AM404)*0.1)), "SORTEADO", "-")</f>
        <v>SORTEADO</v>
      </c>
      <c r="AM404" s="53" t="str">
        <f t="shared" si="24"/>
        <v>27/04/2026</v>
      </c>
    </row>
    <row r="405" spans="1:39" ht="30" customHeight="1" x14ac:dyDescent="0.2">
      <c r="A405" s="230" t="s">
        <v>197</v>
      </c>
      <c r="B405" s="244">
        <v>2617181655</v>
      </c>
      <c r="C405" s="230" t="s">
        <v>138</v>
      </c>
      <c r="D405" s="230" t="s">
        <v>67</v>
      </c>
      <c r="E405" s="230" t="s">
        <v>198</v>
      </c>
      <c r="F405" s="230" t="s">
        <v>1890</v>
      </c>
      <c r="G405" s="230">
        <v>17</v>
      </c>
      <c r="H405" s="230" t="s">
        <v>1891</v>
      </c>
      <c r="I405" s="230" t="s">
        <v>1892</v>
      </c>
      <c r="J405" s="230" t="s">
        <v>4605</v>
      </c>
      <c r="K405" s="230" t="s">
        <v>213</v>
      </c>
      <c r="L405" s="230" t="s">
        <v>2165</v>
      </c>
      <c r="M405" s="230" t="s">
        <v>4907</v>
      </c>
      <c r="N405" s="230" t="s">
        <v>4620</v>
      </c>
      <c r="O405" s="158" t="s">
        <v>210</v>
      </c>
      <c r="P405" s="92"/>
      <c r="Q405" s="146" t="s">
        <v>210</v>
      </c>
      <c r="R405" s="92"/>
      <c r="S405" s="146" t="s">
        <v>210</v>
      </c>
      <c r="T405" s="92"/>
      <c r="U405" s="146" t="s">
        <v>210</v>
      </c>
      <c r="V405" s="92"/>
      <c r="W405" s="146" t="s">
        <v>210</v>
      </c>
      <c r="X405" s="92"/>
      <c r="Y405" s="146" t="s">
        <v>210</v>
      </c>
      <c r="Z405" s="92"/>
      <c r="AA405" s="146" t="s">
        <v>210</v>
      </c>
      <c r="AB405" s="64"/>
      <c r="AC405" s="146" t="s">
        <v>210</v>
      </c>
      <c r="AD405" s="64"/>
      <c r="AE405" s="146" t="s">
        <v>210</v>
      </c>
      <c r="AF405" s="215" t="str">
        <f t="shared" si="27"/>
        <v>NC</v>
      </c>
      <c r="AG405" s="96" t="str">
        <f t="shared" si="26"/>
        <v>NÃO UTILIZOU O PDA</v>
      </c>
      <c r="AH405" s="9"/>
      <c r="AI405" s="151" t="str">
        <f t="shared" si="25"/>
        <v>GUARULHOS</v>
      </c>
      <c r="AJ405" s="154" t="s">
        <v>6</v>
      </c>
      <c r="AK405" s="53">
        <v>-8.0799999999999997E-2</v>
      </c>
      <c r="AL405" s="53" t="str" cm="1">
        <f t="array" ref="AL405">IF(OR(O405&lt;&gt;"", SUMPRODUCT(($AM$2:$AM$210=AM405)*($AK$2:$AK$210&lt;=AK405)) &lt;= (COUNTIF($AM$2:$AM$210,AM405)*0.1)), "SORTEADO", "-")</f>
        <v>SORTEADO</v>
      </c>
      <c r="AM405" s="53" t="str">
        <f t="shared" si="24"/>
        <v>27/04/2026</v>
      </c>
    </row>
    <row r="406" spans="1:39" ht="30" customHeight="1" x14ac:dyDescent="0.2">
      <c r="A406" s="230" t="s">
        <v>197</v>
      </c>
      <c r="B406" s="244">
        <v>2617321146</v>
      </c>
      <c r="C406" s="230" t="s">
        <v>138</v>
      </c>
      <c r="D406" s="230" t="s">
        <v>67</v>
      </c>
      <c r="E406" s="230" t="s">
        <v>198</v>
      </c>
      <c r="F406" s="230" t="s">
        <v>1924</v>
      </c>
      <c r="G406" s="230">
        <v>115</v>
      </c>
      <c r="H406" s="230"/>
      <c r="I406" s="230" t="s">
        <v>277</v>
      </c>
      <c r="J406" s="230" t="s">
        <v>4605</v>
      </c>
      <c r="K406" s="230"/>
      <c r="L406" s="230" t="s">
        <v>2165</v>
      </c>
      <c r="M406" s="230" t="s">
        <v>4908</v>
      </c>
      <c r="N406" s="230" t="s">
        <v>4620</v>
      </c>
      <c r="O406" s="158" t="s">
        <v>210</v>
      </c>
      <c r="P406" s="92"/>
      <c r="Q406" s="158" t="s">
        <v>210</v>
      </c>
      <c r="R406" s="92"/>
      <c r="S406" s="158" t="s">
        <v>210</v>
      </c>
      <c r="T406" s="92"/>
      <c r="U406" s="158" t="s">
        <v>210</v>
      </c>
      <c r="V406" s="92"/>
      <c r="W406" s="158" t="s">
        <v>210</v>
      </c>
      <c r="X406" s="92"/>
      <c r="Y406" s="158" t="s">
        <v>210</v>
      </c>
      <c r="Z406" s="92"/>
      <c r="AA406" s="158" t="s">
        <v>210</v>
      </c>
      <c r="AB406" s="64"/>
      <c r="AC406" s="158" t="s">
        <v>210</v>
      </c>
      <c r="AD406" s="64"/>
      <c r="AE406" s="158" t="s">
        <v>210</v>
      </c>
      <c r="AF406" s="215" t="str">
        <f t="shared" si="27"/>
        <v>NC</v>
      </c>
      <c r="AG406" s="96" t="str">
        <f t="shared" si="26"/>
        <v>NÃO UTILIZOU O PDA</v>
      </c>
      <c r="AH406" s="9"/>
      <c r="AI406" s="151" t="str">
        <f t="shared" si="25"/>
        <v>GUARULHOS</v>
      </c>
      <c r="AJ406" s="154" t="s">
        <v>6</v>
      </c>
      <c r="AK406" s="53">
        <v>-8.1000000000000003E-2</v>
      </c>
      <c r="AL406" s="53" t="str" cm="1">
        <f t="array" ref="AL406">IF(OR(O406&lt;&gt;"", SUMPRODUCT(($AM$2:$AM$210=AM406)*($AK$2:$AK$210&lt;=AK406)) &lt;= (COUNTIF($AM$2:$AM$210,AM406)*0.1)), "SORTEADO", "-")</f>
        <v>SORTEADO</v>
      </c>
      <c r="AM406" s="53" t="str">
        <f t="shared" si="24"/>
        <v>27/04/2026</v>
      </c>
    </row>
    <row r="407" spans="1:39" ht="30" customHeight="1" x14ac:dyDescent="0.2">
      <c r="A407" s="230" t="s">
        <v>197</v>
      </c>
      <c r="B407" s="244">
        <v>2616901844</v>
      </c>
      <c r="C407" s="230" t="s">
        <v>139</v>
      </c>
      <c r="D407" s="230" t="s">
        <v>67</v>
      </c>
      <c r="E407" s="230" t="s">
        <v>198</v>
      </c>
      <c r="F407" s="230" t="s">
        <v>2997</v>
      </c>
      <c r="G407" s="230">
        <v>142</v>
      </c>
      <c r="H407" s="230" t="s">
        <v>213</v>
      </c>
      <c r="I407" s="230" t="s">
        <v>683</v>
      </c>
      <c r="J407" s="230" t="s">
        <v>4603</v>
      </c>
      <c r="K407" s="230" t="s">
        <v>213</v>
      </c>
      <c r="L407" s="230" t="s">
        <v>2165</v>
      </c>
      <c r="M407" s="230" t="s">
        <v>4909</v>
      </c>
      <c r="N407" s="230" t="s">
        <v>4620</v>
      </c>
      <c r="O407" s="158" t="s">
        <v>210</v>
      </c>
      <c r="P407" s="92"/>
      <c r="Q407" s="146" t="s">
        <v>210</v>
      </c>
      <c r="R407" s="92"/>
      <c r="S407" s="146" t="s">
        <v>210</v>
      </c>
      <c r="T407" s="92"/>
      <c r="U407" s="146" t="s">
        <v>210</v>
      </c>
      <c r="V407" s="92"/>
      <c r="W407" s="146" t="s">
        <v>210</v>
      </c>
      <c r="X407" s="92"/>
      <c r="Y407" s="146" t="s">
        <v>210</v>
      </c>
      <c r="Z407" s="92"/>
      <c r="AA407" s="146" t="s">
        <v>210</v>
      </c>
      <c r="AB407" s="64"/>
      <c r="AC407" s="146" t="s">
        <v>210</v>
      </c>
      <c r="AD407" s="64"/>
      <c r="AE407" s="146" t="s">
        <v>210</v>
      </c>
      <c r="AF407" s="215" t="str">
        <f t="shared" si="27"/>
        <v>NC</v>
      </c>
      <c r="AG407" s="96" t="str">
        <f t="shared" si="26"/>
        <v>NÃO UTILIZOU O PDA</v>
      </c>
      <c r="AH407" s="9"/>
      <c r="AI407" s="151" t="str">
        <f t="shared" si="25"/>
        <v>GUARULHOS</v>
      </c>
      <c r="AJ407" s="154" t="s">
        <v>6</v>
      </c>
      <c r="AK407" s="53">
        <v>-8.1199999999999994E-2</v>
      </c>
      <c r="AL407" s="53" t="str" cm="1">
        <f t="array" ref="AL407">IF(OR(O407&lt;&gt;"", SUMPRODUCT(($AM$2:$AM$210=AM407)*($AK$2:$AK$210&lt;=AK407)) &lt;= (COUNTIF($AM$2:$AM$210,AM407)*0.1)), "SORTEADO", "-")</f>
        <v>SORTEADO</v>
      </c>
      <c r="AM407" s="53" t="str">
        <f t="shared" si="24"/>
        <v>27/04/2026</v>
      </c>
    </row>
    <row r="408" spans="1:39" ht="30" customHeight="1" x14ac:dyDescent="0.2">
      <c r="A408" s="230" t="s">
        <v>197</v>
      </c>
      <c r="B408" s="244">
        <v>2691481239</v>
      </c>
      <c r="C408" s="230" t="s">
        <v>138</v>
      </c>
      <c r="D408" s="230" t="s">
        <v>67</v>
      </c>
      <c r="E408" s="230" t="s">
        <v>198</v>
      </c>
      <c r="F408" s="230" t="s">
        <v>2019</v>
      </c>
      <c r="G408" s="230">
        <v>267</v>
      </c>
      <c r="H408" s="230"/>
      <c r="I408" s="230" t="s">
        <v>445</v>
      </c>
      <c r="J408" s="230" t="s">
        <v>4605</v>
      </c>
      <c r="K408" s="230"/>
      <c r="L408" s="230" t="s">
        <v>2165</v>
      </c>
      <c r="M408" s="230" t="s">
        <v>2273</v>
      </c>
      <c r="N408" s="230" t="s">
        <v>4620</v>
      </c>
      <c r="O408" s="158" t="s">
        <v>210</v>
      </c>
      <c r="P408" s="92"/>
      <c r="Q408" s="158" t="s">
        <v>210</v>
      </c>
      <c r="R408" s="92"/>
      <c r="S408" s="158" t="s">
        <v>210</v>
      </c>
      <c r="T408" s="92"/>
      <c r="U408" s="158" t="s">
        <v>210</v>
      </c>
      <c r="V408" s="92"/>
      <c r="W408" s="158" t="s">
        <v>210</v>
      </c>
      <c r="X408" s="92"/>
      <c r="Y408" s="158" t="s">
        <v>210</v>
      </c>
      <c r="Z408" s="92"/>
      <c r="AA408" s="158" t="s">
        <v>210</v>
      </c>
      <c r="AB408" s="64"/>
      <c r="AC408" s="158" t="s">
        <v>210</v>
      </c>
      <c r="AD408" s="64"/>
      <c r="AE408" s="158" t="s">
        <v>210</v>
      </c>
      <c r="AF408" s="215" t="str">
        <f t="shared" si="27"/>
        <v>NC</v>
      </c>
      <c r="AG408" s="96" t="str">
        <f t="shared" si="26"/>
        <v>NÃO UTILIZOU O PDA</v>
      </c>
      <c r="AH408" s="9"/>
      <c r="AI408" s="151" t="str">
        <f t="shared" si="25"/>
        <v>GUARULHOS</v>
      </c>
      <c r="AJ408" s="154" t="s">
        <v>6</v>
      </c>
      <c r="AK408" s="53">
        <v>-8.14E-2</v>
      </c>
      <c r="AL408" s="53" t="str" cm="1">
        <f t="array" ref="AL408">IF(OR(O408&lt;&gt;"", SUMPRODUCT(($AM$2:$AM$210=AM408)*($AK$2:$AK$210&lt;=AK408)) &lt;= (COUNTIF($AM$2:$AM$210,AM408)*0.1)), "SORTEADO", "-")</f>
        <v>SORTEADO</v>
      </c>
      <c r="AM408" s="53" t="str">
        <f t="shared" si="24"/>
        <v>27/04/2026</v>
      </c>
    </row>
    <row r="409" spans="1:39" ht="30" customHeight="1" x14ac:dyDescent="0.2">
      <c r="A409" s="230" t="s">
        <v>197</v>
      </c>
      <c r="B409" s="244">
        <v>2617139878</v>
      </c>
      <c r="C409" s="230" t="s">
        <v>139</v>
      </c>
      <c r="D409" s="230" t="s">
        <v>67</v>
      </c>
      <c r="E409" s="230" t="s">
        <v>198</v>
      </c>
      <c r="F409" s="230" t="s">
        <v>842</v>
      </c>
      <c r="G409" s="230">
        <v>95</v>
      </c>
      <c r="H409" s="230" t="s">
        <v>213</v>
      </c>
      <c r="I409" s="230" t="s">
        <v>301</v>
      </c>
      <c r="J409" s="230" t="s">
        <v>4603</v>
      </c>
      <c r="K409" s="230" t="s">
        <v>213</v>
      </c>
      <c r="L409" s="230" t="s">
        <v>2165</v>
      </c>
      <c r="M409" s="230" t="s">
        <v>4910</v>
      </c>
      <c r="N409" s="230" t="s">
        <v>4620</v>
      </c>
      <c r="O409" s="158" t="s">
        <v>210</v>
      </c>
      <c r="P409" s="92"/>
      <c r="Q409" s="158" t="s">
        <v>210</v>
      </c>
      <c r="R409" s="92"/>
      <c r="S409" s="158" t="s">
        <v>210</v>
      </c>
      <c r="T409" s="92"/>
      <c r="U409" s="158" t="s">
        <v>210</v>
      </c>
      <c r="V409" s="92"/>
      <c r="W409" s="158" t="s">
        <v>210</v>
      </c>
      <c r="X409" s="92"/>
      <c r="Y409" s="158" t="s">
        <v>210</v>
      </c>
      <c r="Z409" s="92"/>
      <c r="AA409" s="158" t="s">
        <v>210</v>
      </c>
      <c r="AB409" s="64"/>
      <c r="AC409" s="158" t="s">
        <v>210</v>
      </c>
      <c r="AD409" s="64"/>
      <c r="AE409" s="158" t="s">
        <v>210</v>
      </c>
      <c r="AF409" s="215" t="str">
        <f t="shared" si="27"/>
        <v>NC</v>
      </c>
      <c r="AG409" s="96" t="str">
        <f t="shared" si="26"/>
        <v>NÃO UTILIZOU O PDA</v>
      </c>
      <c r="AH409" s="9"/>
      <c r="AI409" s="151" t="str">
        <f t="shared" si="25"/>
        <v>GUARULHOS</v>
      </c>
      <c r="AJ409" s="154" t="s">
        <v>6</v>
      </c>
      <c r="AK409" s="53">
        <v>-8.1600000000000006E-2</v>
      </c>
      <c r="AL409" s="53" t="str" cm="1">
        <f t="array" ref="AL409">IF(OR(O409&lt;&gt;"", SUMPRODUCT(($AM$2:$AM$210=AM409)*($AK$2:$AK$210&lt;=AK409)) &lt;= (COUNTIF($AM$2:$AM$210,AM409)*0.1)), "SORTEADO", "-")</f>
        <v>SORTEADO</v>
      </c>
      <c r="AM409" s="53" t="str">
        <f t="shared" si="24"/>
        <v>27/04/2026</v>
      </c>
    </row>
    <row r="410" spans="1:39" ht="30" customHeight="1" x14ac:dyDescent="0.2">
      <c r="A410" s="230" t="s">
        <v>197</v>
      </c>
      <c r="B410" s="244">
        <v>2616243665</v>
      </c>
      <c r="C410" s="230" t="s">
        <v>139</v>
      </c>
      <c r="D410" s="230" t="s">
        <v>67</v>
      </c>
      <c r="E410" s="230" t="s">
        <v>198</v>
      </c>
      <c r="F410" s="230" t="s">
        <v>1782</v>
      </c>
      <c r="G410" s="230">
        <v>49</v>
      </c>
      <c r="H410" s="230" t="s">
        <v>2011</v>
      </c>
      <c r="I410" s="230" t="s">
        <v>301</v>
      </c>
      <c r="J410" s="230" t="s">
        <v>4603</v>
      </c>
      <c r="K410" s="230"/>
      <c r="L410" s="230" t="s">
        <v>2165</v>
      </c>
      <c r="M410" s="230" t="s">
        <v>4911</v>
      </c>
      <c r="N410" s="230" t="s">
        <v>4620</v>
      </c>
      <c r="O410" s="158" t="s">
        <v>210</v>
      </c>
      <c r="P410" s="92"/>
      <c r="Q410" s="146" t="s">
        <v>210</v>
      </c>
      <c r="R410" s="92"/>
      <c r="S410" s="146" t="s">
        <v>210</v>
      </c>
      <c r="T410" s="92"/>
      <c r="U410" s="146" t="s">
        <v>210</v>
      </c>
      <c r="V410" s="92"/>
      <c r="W410" s="146" t="s">
        <v>210</v>
      </c>
      <c r="X410" s="92"/>
      <c r="Y410" s="146" t="s">
        <v>210</v>
      </c>
      <c r="Z410" s="92"/>
      <c r="AA410" s="146" t="s">
        <v>210</v>
      </c>
      <c r="AB410" s="64"/>
      <c r="AC410" s="146" t="s">
        <v>210</v>
      </c>
      <c r="AD410" s="64"/>
      <c r="AE410" s="146" t="s">
        <v>210</v>
      </c>
      <c r="AF410" s="215" t="str">
        <f t="shared" si="27"/>
        <v>NC</v>
      </c>
      <c r="AG410" s="96" t="str">
        <f t="shared" si="26"/>
        <v>NÃO UTILIZOU O PDA</v>
      </c>
      <c r="AH410" s="9"/>
      <c r="AI410" s="151" t="str">
        <f t="shared" si="25"/>
        <v>GUARULHOS</v>
      </c>
      <c r="AJ410" s="154" t="s">
        <v>6</v>
      </c>
      <c r="AK410" s="53">
        <v>-8.1799999999999998E-2</v>
      </c>
      <c r="AL410" s="53" t="str" cm="1">
        <f t="array" ref="AL410">IF(OR(O410&lt;&gt;"", SUMPRODUCT(($AM$2:$AM$210=AM410)*($AK$2:$AK$210&lt;=AK410)) &lt;= (COUNTIF($AM$2:$AM$210,AM410)*0.1)), "SORTEADO", "-")</f>
        <v>SORTEADO</v>
      </c>
      <c r="AM410" s="53" t="str">
        <f t="shared" si="24"/>
        <v>27/04/2026</v>
      </c>
    </row>
    <row r="411" spans="1:39" ht="30" customHeight="1" x14ac:dyDescent="0.2">
      <c r="A411" s="230" t="s">
        <v>197</v>
      </c>
      <c r="B411" s="244">
        <v>2617315090</v>
      </c>
      <c r="C411" s="230" t="s">
        <v>139</v>
      </c>
      <c r="D411" s="230" t="s">
        <v>67</v>
      </c>
      <c r="E411" s="230" t="s">
        <v>198</v>
      </c>
      <c r="F411" s="230" t="s">
        <v>1782</v>
      </c>
      <c r="G411" s="230">
        <v>49</v>
      </c>
      <c r="H411" s="230" t="s">
        <v>235</v>
      </c>
      <c r="I411" s="230" t="s">
        <v>301</v>
      </c>
      <c r="J411" s="230" t="s">
        <v>4603</v>
      </c>
      <c r="K411" s="230" t="s">
        <v>213</v>
      </c>
      <c r="L411" s="230" t="s">
        <v>2165</v>
      </c>
      <c r="M411" s="230" t="s">
        <v>4912</v>
      </c>
      <c r="N411" s="230" t="s">
        <v>4620</v>
      </c>
      <c r="O411" s="158" t="s">
        <v>210</v>
      </c>
      <c r="P411" s="92"/>
      <c r="Q411" s="146" t="s">
        <v>210</v>
      </c>
      <c r="R411" s="92" t="s">
        <v>413</v>
      </c>
      <c r="S411" s="146" t="s">
        <v>210</v>
      </c>
      <c r="T411" s="92" t="s">
        <v>413</v>
      </c>
      <c r="U411" s="146" t="s">
        <v>328</v>
      </c>
      <c r="V411" s="92"/>
      <c r="W411" s="146" t="s">
        <v>210</v>
      </c>
      <c r="X411" s="92" t="s">
        <v>413</v>
      </c>
      <c r="Y411" s="146" t="s">
        <v>210</v>
      </c>
      <c r="Z411" s="92" t="s">
        <v>413</v>
      </c>
      <c r="AA411" s="146" t="s">
        <v>210</v>
      </c>
      <c r="AB411" s="64" t="s">
        <v>413</v>
      </c>
      <c r="AC411" s="146" t="s">
        <v>210</v>
      </c>
      <c r="AD411" s="64" t="s">
        <v>413</v>
      </c>
      <c r="AE411" s="146" t="s">
        <v>210</v>
      </c>
      <c r="AF411" s="215" t="str">
        <f t="shared" si="27"/>
        <v>NC</v>
      </c>
      <c r="AG411" s="96" t="str">
        <f t="shared" si="26"/>
        <v>NÃO UTILIZOU O PDA</v>
      </c>
      <c r="AH411" s="9"/>
      <c r="AI411" s="151" t="str">
        <f t="shared" si="25"/>
        <v>GUARULHOS</v>
      </c>
      <c r="AJ411" s="154" t="s">
        <v>6</v>
      </c>
      <c r="AK411" s="53">
        <v>-8.2000000000000003E-2</v>
      </c>
      <c r="AL411" s="53" t="str" cm="1">
        <f t="array" ref="AL411">IF(OR(O411&lt;&gt;"", SUMPRODUCT(($AM$2:$AM$210=AM411)*($AK$2:$AK$210&lt;=AK411)) &lt;= (COUNTIF($AM$2:$AM$210,AM411)*0.1)), "SORTEADO", "-")</f>
        <v>SORTEADO</v>
      </c>
      <c r="AM411" s="53" t="str">
        <f t="shared" ref="AM411:AM474" si="28">TEXT(L411, "dd/mm/aaaa")</f>
        <v>27/04/2026</v>
      </c>
    </row>
    <row r="412" spans="1:39" ht="30" hidden="1" customHeight="1" x14ac:dyDescent="0.2">
      <c r="A412" s="242" t="s">
        <v>197</v>
      </c>
      <c r="B412" s="242">
        <v>2613869942</v>
      </c>
      <c r="C412" s="242" t="s">
        <v>141</v>
      </c>
      <c r="D412" s="242" t="s">
        <v>67</v>
      </c>
      <c r="E412" s="242" t="s">
        <v>198</v>
      </c>
      <c r="F412" s="242" t="s">
        <v>308</v>
      </c>
      <c r="G412" s="242">
        <v>535</v>
      </c>
      <c r="H412" s="242" t="s">
        <v>2002</v>
      </c>
      <c r="I412" s="242" t="s">
        <v>262</v>
      </c>
      <c r="J412" s="242" t="s">
        <v>4603</v>
      </c>
      <c r="K412" s="242" t="s">
        <v>4887</v>
      </c>
      <c r="L412" s="242" t="s">
        <v>2165</v>
      </c>
      <c r="M412" s="242" t="s">
        <v>3059</v>
      </c>
      <c r="N412" s="242" t="s">
        <v>4689</v>
      </c>
      <c r="O412" s="158" t="s">
        <v>61</v>
      </c>
      <c r="P412" s="92"/>
      <c r="Q412" s="146" t="s">
        <v>61</v>
      </c>
      <c r="R412" s="92"/>
      <c r="S412" s="146" t="s">
        <v>61</v>
      </c>
      <c r="T412" s="92"/>
      <c r="U412" s="146" t="s">
        <v>61</v>
      </c>
      <c r="V412" s="92"/>
      <c r="W412" s="146" t="s">
        <v>61</v>
      </c>
      <c r="X412" s="92"/>
      <c r="Y412" s="146" t="s">
        <v>61</v>
      </c>
      <c r="Z412" s="92"/>
      <c r="AA412" s="146" t="s">
        <v>61</v>
      </c>
      <c r="AB412" s="64"/>
      <c r="AC412" s="146" t="s">
        <v>61</v>
      </c>
      <c r="AD412" s="64"/>
      <c r="AE412" s="146" t="s">
        <v>61</v>
      </c>
      <c r="AF412" s="215" t="s">
        <v>61</v>
      </c>
      <c r="AG412" s="96" t="str">
        <f t="shared" si="26"/>
        <v>NÃO AVALIADO POR FALHA DE SINCRONISMO</v>
      </c>
      <c r="AH412" s="9"/>
      <c r="AI412" s="151" t="str">
        <f t="shared" si="25"/>
        <v>GUARULHOS</v>
      </c>
      <c r="AJ412" s="154" t="s">
        <v>6</v>
      </c>
      <c r="AK412" s="53">
        <v>-8.2199999999999995E-2</v>
      </c>
      <c r="AL412" s="53" t="str" cm="1">
        <f t="array" ref="AL412">IF(OR(O412&lt;&gt;"", SUMPRODUCT(($AM$2:$AM$210=AM412)*($AK$2:$AK$210&lt;=AK412)) &lt;= (COUNTIF($AM$2:$AM$210,AM412)*0.1)), "SORTEADO", "-")</f>
        <v>SORTEADO</v>
      </c>
      <c r="AM412" s="53" t="str">
        <f t="shared" si="28"/>
        <v>27/04/2026</v>
      </c>
    </row>
    <row r="413" spans="1:39" ht="30" hidden="1" customHeight="1" x14ac:dyDescent="0.2">
      <c r="A413" s="245" t="s">
        <v>197</v>
      </c>
      <c r="B413" s="245">
        <v>2617459395</v>
      </c>
      <c r="C413" s="245" t="s">
        <v>138</v>
      </c>
      <c r="D413" s="245" t="s">
        <v>67</v>
      </c>
      <c r="E413" s="245" t="s">
        <v>198</v>
      </c>
      <c r="F413" s="245" t="s">
        <v>2136</v>
      </c>
      <c r="G413" s="245">
        <v>13</v>
      </c>
      <c r="H413" s="245" t="s">
        <v>213</v>
      </c>
      <c r="I413" s="245" t="s">
        <v>859</v>
      </c>
      <c r="J413" s="245" t="s">
        <v>4605</v>
      </c>
      <c r="K413" s="245" t="s">
        <v>213</v>
      </c>
      <c r="L413" s="245" t="s">
        <v>2294</v>
      </c>
      <c r="M413" s="245" t="s">
        <v>4913</v>
      </c>
      <c r="N413" s="245" t="s">
        <v>4620</v>
      </c>
      <c r="O413" s="158"/>
      <c r="P413" s="92"/>
      <c r="Q413" s="146"/>
      <c r="R413" s="92"/>
      <c r="S413" s="146"/>
      <c r="T413" s="92"/>
      <c r="U413" s="146"/>
      <c r="V413" s="92"/>
      <c r="W413" s="146"/>
      <c r="X413" s="92"/>
      <c r="Y413" s="146"/>
      <c r="Z413" s="92"/>
      <c r="AA413" s="146"/>
      <c r="AB413" s="64"/>
      <c r="AC413" s="146"/>
      <c r="AD413" s="64"/>
      <c r="AE413" s="146"/>
      <c r="AF413" s="215" t="str">
        <f t="shared" si="27"/>
        <v/>
      </c>
      <c r="AG413" s="96" t="b">
        <f t="shared" si="26"/>
        <v>0</v>
      </c>
      <c r="AH413" s="9"/>
      <c r="AI413" s="151" t="str">
        <f t="shared" si="25"/>
        <v>GUARULHOS</v>
      </c>
      <c r="AJ413" s="154" t="s">
        <v>6</v>
      </c>
      <c r="AK413" s="53">
        <v>0.20167112547873367</v>
      </c>
      <c r="AL413" s="53" t="str" cm="1">
        <f t="array" ref="AL413">IF(OR(O413&lt;&gt;"", SUMPRODUCT(($AM$2:$AM$210=AM413)*($AK$2:$AK$210&lt;=AK413)) &lt;= (COUNTIF($AM$2:$AM$210,AM413)*0.1)), "SORTEADO", "-")</f>
        <v>SORTEADO</v>
      </c>
      <c r="AM413" s="53" t="str">
        <f t="shared" si="28"/>
        <v>28/04/2026</v>
      </c>
    </row>
    <row r="414" spans="1:39" ht="30" hidden="1" customHeight="1" x14ac:dyDescent="0.2">
      <c r="A414" s="245" t="s">
        <v>197</v>
      </c>
      <c r="B414" s="245">
        <v>2691575432</v>
      </c>
      <c r="C414" s="245" t="s">
        <v>138</v>
      </c>
      <c r="D414" s="245" t="s">
        <v>67</v>
      </c>
      <c r="E414" s="245" t="s">
        <v>198</v>
      </c>
      <c r="F414" s="245" t="s">
        <v>1654</v>
      </c>
      <c r="G414" s="245">
        <v>298</v>
      </c>
      <c r="H414" s="245" t="s">
        <v>827</v>
      </c>
      <c r="I414" s="245" t="s">
        <v>411</v>
      </c>
      <c r="J414" s="245" t="s">
        <v>4605</v>
      </c>
      <c r="K414" s="245"/>
      <c r="L414" s="245" t="s">
        <v>2294</v>
      </c>
      <c r="M414" s="245" t="s">
        <v>4914</v>
      </c>
      <c r="N414" s="245" t="s">
        <v>4620</v>
      </c>
      <c r="O414" s="158"/>
      <c r="P414" s="92"/>
      <c r="Q414" s="146"/>
      <c r="R414" s="92"/>
      <c r="S414" s="146"/>
      <c r="T414" s="92"/>
      <c r="U414" s="146"/>
      <c r="V414" s="92"/>
      <c r="W414" s="146"/>
      <c r="X414" s="92"/>
      <c r="Y414" s="146"/>
      <c r="Z414" s="92"/>
      <c r="AA414" s="146"/>
      <c r="AB414" s="64"/>
      <c r="AC414" s="146"/>
      <c r="AD414" s="64"/>
      <c r="AE414" s="146"/>
      <c r="AF414" s="215" t="str">
        <f t="shared" si="27"/>
        <v/>
      </c>
      <c r="AG414" s="96" t="b">
        <f t="shared" si="26"/>
        <v>0</v>
      </c>
      <c r="AH414" s="9"/>
      <c r="AI414" s="151" t="str">
        <f t="shared" si="25"/>
        <v>GUARULHOS</v>
      </c>
      <c r="AJ414" s="154" t="s">
        <v>6</v>
      </c>
      <c r="AK414" s="53">
        <v>0.74821220096655283</v>
      </c>
      <c r="AL414" s="53" t="str" cm="1">
        <f t="array" ref="AL414">IF(OR(O414&lt;&gt;"", SUMPRODUCT(($AM$2:$AM$210=AM414)*($AK$2:$AK$210&lt;=AK414)) &lt;= (COUNTIF($AM$2:$AM$210,AM414)*0.1)), "SORTEADO", "-")</f>
        <v>SORTEADO</v>
      </c>
      <c r="AM414" s="53" t="str">
        <f t="shared" si="28"/>
        <v>28/04/2026</v>
      </c>
    </row>
    <row r="415" spans="1:39" ht="30" hidden="1" customHeight="1" x14ac:dyDescent="0.2">
      <c r="A415" s="245" t="s">
        <v>197</v>
      </c>
      <c r="B415" s="245">
        <v>2614198020</v>
      </c>
      <c r="C415" s="245" t="s">
        <v>141</v>
      </c>
      <c r="D415" s="245" t="s">
        <v>67</v>
      </c>
      <c r="E415" s="245" t="s">
        <v>198</v>
      </c>
      <c r="F415" s="245" t="s">
        <v>2067</v>
      </c>
      <c r="G415" s="245">
        <v>239</v>
      </c>
      <c r="H415" s="245" t="s">
        <v>2074</v>
      </c>
      <c r="I415" s="245" t="s">
        <v>411</v>
      </c>
      <c r="J415" s="245" t="s">
        <v>4603</v>
      </c>
      <c r="K415" s="245" t="s">
        <v>213</v>
      </c>
      <c r="L415" s="245" t="s">
        <v>2294</v>
      </c>
      <c r="M415" s="245" t="s">
        <v>3099</v>
      </c>
      <c r="N415" s="245" t="s">
        <v>4620</v>
      </c>
      <c r="O415" s="158"/>
      <c r="P415" s="92"/>
      <c r="Q415" s="146"/>
      <c r="R415" s="92"/>
      <c r="S415" s="146"/>
      <c r="T415" s="92"/>
      <c r="U415" s="146"/>
      <c r="V415" s="92"/>
      <c r="W415" s="146"/>
      <c r="X415" s="92"/>
      <c r="Y415" s="146"/>
      <c r="Z415" s="92"/>
      <c r="AA415" s="146"/>
      <c r="AB415" s="64"/>
      <c r="AC415" s="146"/>
      <c r="AD415" s="64"/>
      <c r="AE415" s="146"/>
      <c r="AF415" s="215" t="str">
        <f t="shared" si="27"/>
        <v/>
      </c>
      <c r="AG415" s="96" t="b">
        <f t="shared" si="26"/>
        <v>0</v>
      </c>
      <c r="AH415" s="9"/>
      <c r="AI415" s="151" t="str">
        <f t="shared" si="25"/>
        <v>GUARULHOS</v>
      </c>
      <c r="AJ415" s="154" t="s">
        <v>6</v>
      </c>
      <c r="AK415" s="53">
        <v>0.39909229678163249</v>
      </c>
      <c r="AL415" s="53" t="str" cm="1">
        <f t="array" ref="AL415">IF(OR(O415&lt;&gt;"", SUMPRODUCT(($AM$2:$AM$210=AM415)*($AK$2:$AK$210&lt;=AK415)) &lt;= (COUNTIF($AM$2:$AM$210,AM415)*0.1)), "SORTEADO", "-")</f>
        <v>SORTEADO</v>
      </c>
      <c r="AM415" s="53" t="str">
        <f t="shared" si="28"/>
        <v>28/04/2026</v>
      </c>
    </row>
    <row r="416" spans="1:39" ht="30" hidden="1" customHeight="1" x14ac:dyDescent="0.2">
      <c r="A416" s="245" t="s">
        <v>197</v>
      </c>
      <c r="B416" s="245">
        <v>2617585890</v>
      </c>
      <c r="C416" s="245" t="s">
        <v>141</v>
      </c>
      <c r="D416" s="245" t="s">
        <v>67</v>
      </c>
      <c r="E416" s="245" t="s">
        <v>198</v>
      </c>
      <c r="F416" s="245" t="s">
        <v>1842</v>
      </c>
      <c r="G416" s="245">
        <v>369</v>
      </c>
      <c r="H416" s="245" t="s">
        <v>1843</v>
      </c>
      <c r="I416" s="245" t="s">
        <v>1445</v>
      </c>
      <c r="J416" s="245" t="s">
        <v>4603</v>
      </c>
      <c r="K416" s="245"/>
      <c r="L416" s="245" t="s">
        <v>2294</v>
      </c>
      <c r="M416" s="245" t="s">
        <v>4915</v>
      </c>
      <c r="N416" s="245" t="s">
        <v>4620</v>
      </c>
      <c r="O416" s="158"/>
      <c r="P416" s="92"/>
      <c r="Q416" s="146"/>
      <c r="R416" s="92"/>
      <c r="S416" s="146"/>
      <c r="T416" s="92"/>
      <c r="U416" s="146"/>
      <c r="V416" s="92"/>
      <c r="W416" s="146"/>
      <c r="X416" s="92"/>
      <c r="Y416" s="146"/>
      <c r="Z416" s="92"/>
      <c r="AA416" s="146"/>
      <c r="AB416" s="64"/>
      <c r="AC416" s="146"/>
      <c r="AD416" s="64"/>
      <c r="AE416" s="146"/>
      <c r="AF416" s="215" t="str">
        <f t="shared" si="27"/>
        <v/>
      </c>
      <c r="AG416" s="96" t="b">
        <f t="shared" si="26"/>
        <v>0</v>
      </c>
      <c r="AH416" s="9"/>
      <c r="AI416" s="151" t="str">
        <f t="shared" si="25"/>
        <v>GUARULHOS</v>
      </c>
      <c r="AJ416" s="154" t="s">
        <v>6</v>
      </c>
      <c r="AK416" s="53">
        <v>0.30895900952275823</v>
      </c>
      <c r="AL416" s="53" t="str" cm="1">
        <f t="array" ref="AL416">IF(OR(O416&lt;&gt;"", SUMPRODUCT(($AM$2:$AM$210=AM416)*($AK$2:$AK$210&lt;=AK416)) &lt;= (COUNTIF($AM$2:$AM$210,AM416)*0.1)), "SORTEADO", "-")</f>
        <v>SORTEADO</v>
      </c>
      <c r="AM416" s="53" t="str">
        <f t="shared" si="28"/>
        <v>28/04/2026</v>
      </c>
    </row>
    <row r="417" spans="1:39" ht="30" hidden="1" customHeight="1" x14ac:dyDescent="0.2">
      <c r="A417" s="245" t="s">
        <v>197</v>
      </c>
      <c r="B417" s="245">
        <v>2617564211</v>
      </c>
      <c r="C417" s="245" t="s">
        <v>141</v>
      </c>
      <c r="D417" s="245" t="s">
        <v>67</v>
      </c>
      <c r="E417" s="245" t="s">
        <v>198</v>
      </c>
      <c r="F417" s="245" t="s">
        <v>3642</v>
      </c>
      <c r="G417" s="245">
        <v>283</v>
      </c>
      <c r="H417" s="245" t="s">
        <v>213</v>
      </c>
      <c r="I417" s="245" t="s">
        <v>531</v>
      </c>
      <c r="J417" s="245" t="s">
        <v>4603</v>
      </c>
      <c r="K417" s="245" t="s">
        <v>4916</v>
      </c>
      <c r="L417" s="245" t="s">
        <v>2294</v>
      </c>
      <c r="M417" s="245" t="s">
        <v>4917</v>
      </c>
      <c r="N417" s="245" t="s">
        <v>4620</v>
      </c>
      <c r="O417" s="158"/>
      <c r="P417" s="92"/>
      <c r="Q417" s="146"/>
      <c r="R417" s="92"/>
      <c r="S417" s="146"/>
      <c r="T417" s="92"/>
      <c r="U417" s="146"/>
      <c r="V417" s="92"/>
      <c r="W417" s="146"/>
      <c r="X417" s="92"/>
      <c r="Y417" s="146"/>
      <c r="Z417" s="92"/>
      <c r="AA417" s="146"/>
      <c r="AB417" s="64"/>
      <c r="AC417" s="146"/>
      <c r="AD417" s="64"/>
      <c r="AE417" s="146"/>
      <c r="AF417" s="215" t="str">
        <f t="shared" si="27"/>
        <v/>
      </c>
      <c r="AG417" s="96" t="b">
        <f t="shared" si="26"/>
        <v>0</v>
      </c>
      <c r="AH417" s="9"/>
      <c r="AI417" s="151" t="str">
        <f t="shared" si="25"/>
        <v>GUARULHOS</v>
      </c>
      <c r="AJ417" s="154" t="s">
        <v>6</v>
      </c>
      <c r="AK417" s="53">
        <v>0.98414624068376721</v>
      </c>
      <c r="AL417" s="53" t="str" cm="1">
        <f t="array" ref="AL417">IF(OR(O417&lt;&gt;"", SUMPRODUCT(($AM$2:$AM$210=AM417)*($AK$2:$AK$210&lt;=AK417)) &lt;= (COUNTIF($AM$2:$AM$210,AM417)*0.1)), "SORTEADO", "-")</f>
        <v>SORTEADO</v>
      </c>
      <c r="AM417" s="53" t="str">
        <f t="shared" si="28"/>
        <v>28/04/2026</v>
      </c>
    </row>
    <row r="418" spans="1:39" ht="30" hidden="1" customHeight="1" x14ac:dyDescent="0.2">
      <c r="A418" s="245" t="s">
        <v>197</v>
      </c>
      <c r="B418" s="245">
        <v>2691531894</v>
      </c>
      <c r="C418" s="245" t="s">
        <v>138</v>
      </c>
      <c r="D418" s="245" t="s">
        <v>67</v>
      </c>
      <c r="E418" s="245" t="s">
        <v>198</v>
      </c>
      <c r="F418" s="245" t="s">
        <v>2158</v>
      </c>
      <c r="G418" s="245">
        <v>111</v>
      </c>
      <c r="H418" s="245" t="s">
        <v>2159</v>
      </c>
      <c r="I418" s="245" t="s">
        <v>447</v>
      </c>
      <c r="J418" s="245" t="s">
        <v>4605</v>
      </c>
      <c r="K418" s="245"/>
      <c r="L418" s="245" t="s">
        <v>2294</v>
      </c>
      <c r="M418" s="245" t="s">
        <v>4918</v>
      </c>
      <c r="N418" s="245" t="s">
        <v>4620</v>
      </c>
      <c r="O418" s="158"/>
      <c r="P418" s="92"/>
      <c r="Q418" s="146"/>
      <c r="R418" s="92"/>
      <c r="S418" s="146"/>
      <c r="T418" s="92"/>
      <c r="U418" s="146"/>
      <c r="V418" s="92"/>
      <c r="W418" s="146"/>
      <c r="X418" s="92"/>
      <c r="Y418" s="146"/>
      <c r="Z418" s="92"/>
      <c r="AA418" s="146"/>
      <c r="AB418" s="64"/>
      <c r="AC418" s="146"/>
      <c r="AD418" s="64"/>
      <c r="AE418" s="146"/>
      <c r="AF418" s="215" t="str">
        <f t="shared" si="27"/>
        <v/>
      </c>
      <c r="AG418" s="96" t="b">
        <f t="shared" si="26"/>
        <v>0</v>
      </c>
      <c r="AH418" s="9"/>
      <c r="AI418" s="151" t="str">
        <f t="shared" si="25"/>
        <v>GUARULHOS</v>
      </c>
      <c r="AJ418" s="154" t="s">
        <v>6</v>
      </c>
      <c r="AK418" s="53">
        <v>0.46955625041850835</v>
      </c>
      <c r="AL418" s="53" t="str" cm="1">
        <f t="array" ref="AL418">IF(OR(O418&lt;&gt;"", SUMPRODUCT(($AM$2:$AM$210=AM418)*($AK$2:$AK$210&lt;=AK418)) &lt;= (COUNTIF($AM$2:$AM$210,AM418)*0.1)), "SORTEADO", "-")</f>
        <v>SORTEADO</v>
      </c>
      <c r="AM418" s="53" t="str">
        <f t="shared" si="28"/>
        <v>28/04/2026</v>
      </c>
    </row>
    <row r="419" spans="1:39" ht="30" hidden="1" customHeight="1" x14ac:dyDescent="0.2">
      <c r="A419" s="245" t="s">
        <v>197</v>
      </c>
      <c r="B419" s="245">
        <v>2616219227</v>
      </c>
      <c r="C419" s="245" t="s">
        <v>139</v>
      </c>
      <c r="D419" s="245" t="s">
        <v>67</v>
      </c>
      <c r="E419" s="245" t="s">
        <v>198</v>
      </c>
      <c r="F419" s="245" t="s">
        <v>1126</v>
      </c>
      <c r="G419" s="245">
        <v>93</v>
      </c>
      <c r="H419" s="245" t="s">
        <v>213</v>
      </c>
      <c r="I419" s="245" t="s">
        <v>1128</v>
      </c>
      <c r="J419" s="245" t="s">
        <v>4603</v>
      </c>
      <c r="K419" s="245" t="s">
        <v>4919</v>
      </c>
      <c r="L419" s="245" t="s">
        <v>2294</v>
      </c>
      <c r="M419" s="245" t="s">
        <v>4920</v>
      </c>
      <c r="N419" s="245" t="s">
        <v>4604</v>
      </c>
      <c r="O419" s="158"/>
      <c r="P419" s="92"/>
      <c r="Q419" s="146"/>
      <c r="R419" s="92"/>
      <c r="S419" s="146"/>
      <c r="T419" s="92"/>
      <c r="U419" s="146"/>
      <c r="V419" s="92"/>
      <c r="W419" s="146"/>
      <c r="X419" s="92"/>
      <c r="Y419" s="146"/>
      <c r="Z419" s="92"/>
      <c r="AA419" s="146"/>
      <c r="AB419" s="64"/>
      <c r="AC419" s="146"/>
      <c r="AD419" s="64"/>
      <c r="AE419" s="146"/>
      <c r="AF419" s="215" t="str">
        <f t="shared" si="27"/>
        <v/>
      </c>
      <c r="AG419" s="96" t="b">
        <f t="shared" si="26"/>
        <v>0</v>
      </c>
      <c r="AH419" s="9"/>
      <c r="AI419" s="151" t="str">
        <f t="shared" si="25"/>
        <v>GUARULHOS</v>
      </c>
      <c r="AJ419" s="154" t="s">
        <v>6</v>
      </c>
      <c r="AK419" s="53">
        <v>0.80201208294614601</v>
      </c>
      <c r="AL419" s="53" t="str" cm="1">
        <f t="array" ref="AL419">IF(OR(O419&lt;&gt;"", SUMPRODUCT(($AM$2:$AM$210=AM419)*($AK$2:$AK$210&lt;=AK419)) &lt;= (COUNTIF($AM$2:$AM$210,AM419)*0.1)), "SORTEADO", "-")</f>
        <v>SORTEADO</v>
      </c>
      <c r="AM419" s="53" t="str">
        <f t="shared" si="28"/>
        <v>28/04/2026</v>
      </c>
    </row>
    <row r="420" spans="1:39" ht="30" hidden="1" customHeight="1" x14ac:dyDescent="0.2">
      <c r="A420" s="245" t="s">
        <v>197</v>
      </c>
      <c r="B420" s="245">
        <v>2617460114</v>
      </c>
      <c r="C420" s="245" t="s">
        <v>140</v>
      </c>
      <c r="D420" s="245" t="s">
        <v>67</v>
      </c>
      <c r="E420" s="245" t="s">
        <v>198</v>
      </c>
      <c r="F420" s="245" t="s">
        <v>2146</v>
      </c>
      <c r="G420" s="245">
        <v>437</v>
      </c>
      <c r="H420" s="245" t="s">
        <v>2147</v>
      </c>
      <c r="I420" s="245" t="s">
        <v>453</v>
      </c>
      <c r="J420" s="245" t="s">
        <v>4605</v>
      </c>
      <c r="K420" s="245"/>
      <c r="L420" s="245" t="s">
        <v>2294</v>
      </c>
      <c r="M420" s="245" t="s">
        <v>4921</v>
      </c>
      <c r="N420" s="245" t="s">
        <v>4604</v>
      </c>
      <c r="O420" s="158"/>
      <c r="P420" s="92"/>
      <c r="Q420" s="146"/>
      <c r="R420" s="92"/>
      <c r="S420" s="146"/>
      <c r="T420" s="92"/>
      <c r="U420" s="146"/>
      <c r="V420" s="92"/>
      <c r="W420" s="146"/>
      <c r="X420" s="92"/>
      <c r="Y420" s="146"/>
      <c r="Z420" s="92"/>
      <c r="AA420" s="146"/>
      <c r="AB420" s="64"/>
      <c r="AC420" s="146"/>
      <c r="AD420" s="64"/>
      <c r="AE420" s="146"/>
      <c r="AF420" s="215" t="str">
        <f t="shared" si="27"/>
        <v/>
      </c>
      <c r="AG420" s="96" t="b">
        <f t="shared" si="26"/>
        <v>0</v>
      </c>
      <c r="AH420" s="9"/>
      <c r="AI420" s="151" t="str">
        <f t="shared" si="25"/>
        <v>GUARULHOS</v>
      </c>
      <c r="AJ420" s="154" t="s">
        <v>6</v>
      </c>
      <c r="AK420" s="53">
        <v>0.9822349763748589</v>
      </c>
      <c r="AL420" s="53" t="str" cm="1">
        <f t="array" ref="AL420">IF(OR(O420&lt;&gt;"", SUMPRODUCT(($AM$2:$AM$210=AM420)*($AK$2:$AK$210&lt;=AK420)) &lt;= (COUNTIF($AM$2:$AM$210,AM420)*0.1)), "SORTEADO", "-")</f>
        <v>SORTEADO</v>
      </c>
      <c r="AM420" s="53" t="str">
        <f t="shared" si="28"/>
        <v>28/04/2026</v>
      </c>
    </row>
    <row r="421" spans="1:39" ht="30" hidden="1" customHeight="1" x14ac:dyDescent="0.2">
      <c r="A421" s="245" t="s">
        <v>197</v>
      </c>
      <c r="B421" s="245">
        <v>2617564328</v>
      </c>
      <c r="C421" s="245" t="s">
        <v>141</v>
      </c>
      <c r="D421" s="245" t="s">
        <v>67</v>
      </c>
      <c r="E421" s="245" t="s">
        <v>198</v>
      </c>
      <c r="F421" s="245" t="s">
        <v>1614</v>
      </c>
      <c r="G421" s="245">
        <v>40</v>
      </c>
      <c r="H421" s="245" t="s">
        <v>1299</v>
      </c>
      <c r="I421" s="245" t="s">
        <v>997</v>
      </c>
      <c r="J421" s="245" t="s">
        <v>4603</v>
      </c>
      <c r="K421" s="245" t="s">
        <v>4922</v>
      </c>
      <c r="L421" s="245" t="s">
        <v>2294</v>
      </c>
      <c r="M421" s="245" t="s">
        <v>4923</v>
      </c>
      <c r="N421" s="245" t="s">
        <v>4604</v>
      </c>
      <c r="O421" s="158"/>
      <c r="P421" s="92"/>
      <c r="Q421" s="146"/>
      <c r="R421" s="92"/>
      <c r="S421" s="146"/>
      <c r="T421" s="92"/>
      <c r="U421" s="146"/>
      <c r="V421" s="92"/>
      <c r="W421" s="146"/>
      <c r="X421" s="92"/>
      <c r="Y421" s="146"/>
      <c r="Z421" s="92"/>
      <c r="AA421" s="146"/>
      <c r="AB421" s="64"/>
      <c r="AC421" s="146"/>
      <c r="AD421" s="64"/>
      <c r="AE421" s="146"/>
      <c r="AF421" s="215" t="str">
        <f t="shared" si="27"/>
        <v/>
      </c>
      <c r="AG421" s="96" t="b">
        <f t="shared" si="26"/>
        <v>0</v>
      </c>
      <c r="AH421" s="9"/>
      <c r="AI421" s="151" t="str">
        <f t="shared" si="25"/>
        <v>GUARULHOS</v>
      </c>
      <c r="AJ421" s="154" t="s">
        <v>6</v>
      </c>
      <c r="AK421" s="53">
        <v>0.35144775124638128</v>
      </c>
      <c r="AL421" s="53" t="str" cm="1">
        <f t="array" ref="AL421">IF(OR(O421&lt;&gt;"", SUMPRODUCT(($AM$2:$AM$210=AM421)*($AK$2:$AK$210&lt;=AK421)) &lt;= (COUNTIF($AM$2:$AM$210,AM421)*0.1)), "SORTEADO", "-")</f>
        <v>SORTEADO</v>
      </c>
      <c r="AM421" s="53" t="str">
        <f t="shared" si="28"/>
        <v>28/04/2026</v>
      </c>
    </row>
    <row r="422" spans="1:39" ht="30" hidden="1" customHeight="1" x14ac:dyDescent="0.2">
      <c r="A422" s="245" t="s">
        <v>197</v>
      </c>
      <c r="B422" s="245">
        <v>2617178264</v>
      </c>
      <c r="C422" s="245" t="s">
        <v>138</v>
      </c>
      <c r="D422" s="245" t="s">
        <v>67</v>
      </c>
      <c r="E422" s="245" t="s">
        <v>198</v>
      </c>
      <c r="F422" s="245" t="s">
        <v>3032</v>
      </c>
      <c r="G422" s="245">
        <v>8</v>
      </c>
      <c r="H422" s="245" t="s">
        <v>3035</v>
      </c>
      <c r="I422" s="245" t="s">
        <v>1921</v>
      </c>
      <c r="J422" s="245" t="s">
        <v>4605</v>
      </c>
      <c r="K422" s="245" t="s">
        <v>4610</v>
      </c>
      <c r="L422" s="245" t="s">
        <v>2294</v>
      </c>
      <c r="M422" s="245" t="s">
        <v>4924</v>
      </c>
      <c r="N422" s="245" t="s">
        <v>4604</v>
      </c>
      <c r="O422" s="158"/>
      <c r="P422" s="92"/>
      <c r="Q422" s="146"/>
      <c r="R422" s="92"/>
      <c r="S422" s="146"/>
      <c r="T422" s="92"/>
      <c r="U422" s="146"/>
      <c r="V422" s="92"/>
      <c r="W422" s="146"/>
      <c r="X422" s="92"/>
      <c r="Y422" s="146"/>
      <c r="Z422" s="92"/>
      <c r="AA422" s="146"/>
      <c r="AB422" s="64"/>
      <c r="AC422" s="146"/>
      <c r="AD422" s="64"/>
      <c r="AE422" s="146"/>
      <c r="AF422" s="215" t="str">
        <f t="shared" si="27"/>
        <v/>
      </c>
      <c r="AG422" s="96" t="b">
        <f t="shared" si="26"/>
        <v>0</v>
      </c>
      <c r="AH422" s="9"/>
      <c r="AI422" s="151" t="str">
        <f t="shared" si="25"/>
        <v>GUARULHOS</v>
      </c>
      <c r="AJ422" s="154" t="s">
        <v>6</v>
      </c>
      <c r="AK422" s="53">
        <v>0.6188261348476215</v>
      </c>
      <c r="AL422" s="53" t="str" cm="1">
        <f t="array" ref="AL422">IF(OR(O422&lt;&gt;"", SUMPRODUCT(($AM$2:$AM$210=AM422)*($AK$2:$AK$210&lt;=AK422)) &lt;= (COUNTIF($AM$2:$AM$210,AM422)*0.1)), "SORTEADO", "-")</f>
        <v>SORTEADO</v>
      </c>
      <c r="AM422" s="53" t="str">
        <f t="shared" si="28"/>
        <v>28/04/2026</v>
      </c>
    </row>
    <row r="423" spans="1:39" ht="30" hidden="1" customHeight="1" x14ac:dyDescent="0.2">
      <c r="A423" s="245" t="s">
        <v>197</v>
      </c>
      <c r="B423" s="245">
        <v>2617564437</v>
      </c>
      <c r="C423" s="245" t="s">
        <v>141</v>
      </c>
      <c r="D423" s="245" t="s">
        <v>67</v>
      </c>
      <c r="E423" s="245" t="s">
        <v>198</v>
      </c>
      <c r="F423" s="245" t="s">
        <v>1614</v>
      </c>
      <c r="G423" s="245">
        <v>24</v>
      </c>
      <c r="H423" s="245" t="s">
        <v>213</v>
      </c>
      <c r="I423" s="245" t="s">
        <v>1939</v>
      </c>
      <c r="J423" s="245" t="s">
        <v>4603</v>
      </c>
      <c r="K423" s="245" t="s">
        <v>4925</v>
      </c>
      <c r="L423" s="245" t="s">
        <v>2294</v>
      </c>
      <c r="M423" s="245" t="s">
        <v>4926</v>
      </c>
      <c r="N423" s="245" t="s">
        <v>4604</v>
      </c>
      <c r="O423" s="158"/>
      <c r="P423" s="92"/>
      <c r="Q423" s="146"/>
      <c r="R423" s="92"/>
      <c r="S423" s="146"/>
      <c r="T423" s="92"/>
      <c r="U423" s="146"/>
      <c r="V423" s="92"/>
      <c r="W423" s="146"/>
      <c r="X423" s="92"/>
      <c r="Y423" s="146"/>
      <c r="Z423" s="92"/>
      <c r="AA423" s="146"/>
      <c r="AB423" s="64"/>
      <c r="AC423" s="146"/>
      <c r="AD423" s="64"/>
      <c r="AE423" s="146"/>
      <c r="AF423" s="215" t="str">
        <f t="shared" si="27"/>
        <v/>
      </c>
      <c r="AG423" s="96" t="b">
        <f t="shared" si="26"/>
        <v>0</v>
      </c>
      <c r="AH423" s="9"/>
      <c r="AI423" s="151" t="str">
        <f t="shared" si="25"/>
        <v>GUARULHOS</v>
      </c>
      <c r="AJ423" s="154" t="s">
        <v>6</v>
      </c>
      <c r="AK423" s="53">
        <v>0.51563310885463876</v>
      </c>
      <c r="AL423" s="53" t="str" cm="1">
        <f t="array" ref="AL423">IF(OR(O423&lt;&gt;"", SUMPRODUCT(($AM$2:$AM$210=AM423)*($AK$2:$AK$210&lt;=AK423)) &lt;= (COUNTIF($AM$2:$AM$210,AM423)*0.1)), "SORTEADO", "-")</f>
        <v>SORTEADO</v>
      </c>
      <c r="AM423" s="53" t="str">
        <f t="shared" si="28"/>
        <v>28/04/2026</v>
      </c>
    </row>
    <row r="424" spans="1:39" ht="30" hidden="1" customHeight="1" x14ac:dyDescent="0.2">
      <c r="A424" s="245" t="s">
        <v>197</v>
      </c>
      <c r="B424" s="245">
        <v>2616219460</v>
      </c>
      <c r="C424" s="245" t="s">
        <v>139</v>
      </c>
      <c r="D424" s="245" t="s">
        <v>67</v>
      </c>
      <c r="E424" s="245" t="s">
        <v>198</v>
      </c>
      <c r="F424" s="245" t="s">
        <v>1126</v>
      </c>
      <c r="G424" s="245">
        <v>77</v>
      </c>
      <c r="H424" s="245"/>
      <c r="I424" s="245" t="s">
        <v>1128</v>
      </c>
      <c r="J424" s="245" t="s">
        <v>4603</v>
      </c>
      <c r="K424" s="245" t="s">
        <v>4927</v>
      </c>
      <c r="L424" s="245" t="s">
        <v>2294</v>
      </c>
      <c r="M424" s="245" t="s">
        <v>4928</v>
      </c>
      <c r="N424" s="245" t="s">
        <v>4604</v>
      </c>
      <c r="O424" s="158"/>
      <c r="P424" s="92"/>
      <c r="Q424" s="146"/>
      <c r="R424" s="92"/>
      <c r="S424" s="146"/>
      <c r="T424" s="92"/>
      <c r="U424" s="146"/>
      <c r="V424" s="92"/>
      <c r="W424" s="146"/>
      <c r="X424" s="92"/>
      <c r="Y424" s="146"/>
      <c r="Z424" s="92"/>
      <c r="AA424" s="146"/>
      <c r="AB424" s="64"/>
      <c r="AC424" s="146"/>
      <c r="AD424" s="64"/>
      <c r="AE424" s="146"/>
      <c r="AF424" s="215" t="str">
        <f t="shared" si="27"/>
        <v/>
      </c>
      <c r="AG424" s="96" t="b">
        <f t="shared" si="26"/>
        <v>0</v>
      </c>
      <c r="AH424" s="9"/>
      <c r="AI424" s="151" t="str">
        <f t="shared" si="25"/>
        <v>GUARULHOS</v>
      </c>
      <c r="AJ424" s="154" t="s">
        <v>6</v>
      </c>
      <c r="AK424" s="53">
        <v>0.66158011856980137</v>
      </c>
      <c r="AL424" s="53" t="str" cm="1">
        <f t="array" ref="AL424">IF(OR(O424&lt;&gt;"", SUMPRODUCT(($AM$2:$AM$210=AM424)*($AK$2:$AK$210&lt;=AK424)) &lt;= (COUNTIF($AM$2:$AM$210,AM424)*0.1)), "SORTEADO", "-")</f>
        <v>SORTEADO</v>
      </c>
      <c r="AM424" s="53" t="str">
        <f t="shared" si="28"/>
        <v>28/04/2026</v>
      </c>
    </row>
    <row r="425" spans="1:39" ht="30" hidden="1" customHeight="1" x14ac:dyDescent="0.2">
      <c r="A425" s="245" t="s">
        <v>197</v>
      </c>
      <c r="B425" s="245">
        <v>2617178716</v>
      </c>
      <c r="C425" s="245" t="s">
        <v>138</v>
      </c>
      <c r="D425" s="245" t="s">
        <v>67</v>
      </c>
      <c r="E425" s="245" t="s">
        <v>198</v>
      </c>
      <c r="F425" s="245" t="s">
        <v>3032</v>
      </c>
      <c r="G425" s="245">
        <v>128</v>
      </c>
      <c r="H425" s="245" t="s">
        <v>211</v>
      </c>
      <c r="I425" s="245" t="s">
        <v>1921</v>
      </c>
      <c r="J425" s="245" t="s">
        <v>4605</v>
      </c>
      <c r="K425" s="245" t="s">
        <v>4610</v>
      </c>
      <c r="L425" s="245" t="s">
        <v>2294</v>
      </c>
      <c r="M425" s="245" t="s">
        <v>4929</v>
      </c>
      <c r="N425" s="245" t="s">
        <v>4604</v>
      </c>
      <c r="O425" s="158"/>
      <c r="P425" s="92"/>
      <c r="Q425" s="146"/>
      <c r="R425" s="92"/>
      <c r="S425" s="146"/>
      <c r="T425" s="92"/>
      <c r="U425" s="146"/>
      <c r="V425" s="92"/>
      <c r="W425" s="146"/>
      <c r="X425" s="92"/>
      <c r="Y425" s="146"/>
      <c r="Z425" s="92"/>
      <c r="AA425" s="146"/>
      <c r="AB425" s="64"/>
      <c r="AC425" s="146"/>
      <c r="AD425" s="64"/>
      <c r="AE425" s="146"/>
      <c r="AF425" s="215" t="str">
        <f t="shared" si="27"/>
        <v/>
      </c>
      <c r="AG425" s="96" t="b">
        <f t="shared" si="26"/>
        <v>0</v>
      </c>
      <c r="AH425" s="9"/>
      <c r="AI425" s="151" t="str">
        <f t="shared" si="25"/>
        <v>GUARULHOS</v>
      </c>
      <c r="AJ425" s="154" t="s">
        <v>6</v>
      </c>
      <c r="AK425" s="53">
        <v>0.21599428632521889</v>
      </c>
      <c r="AL425" s="53" t="str" cm="1">
        <f t="array" ref="AL425">IF(OR(O425&lt;&gt;"", SUMPRODUCT(($AM$2:$AM$210=AM425)*($AK$2:$AK$210&lt;=AK425)) &lt;= (COUNTIF($AM$2:$AM$210,AM425)*0.1)), "SORTEADO", "-")</f>
        <v>SORTEADO</v>
      </c>
      <c r="AM425" s="53" t="str">
        <f t="shared" si="28"/>
        <v>28/04/2026</v>
      </c>
    </row>
    <row r="426" spans="1:39" ht="30" hidden="1" customHeight="1" x14ac:dyDescent="0.2">
      <c r="A426" s="245" t="s">
        <v>197</v>
      </c>
      <c r="B426" s="245">
        <v>2617584962</v>
      </c>
      <c r="C426" s="245" t="s">
        <v>141</v>
      </c>
      <c r="D426" s="245" t="s">
        <v>67</v>
      </c>
      <c r="E426" s="245" t="s">
        <v>198</v>
      </c>
      <c r="F426" s="245" t="s">
        <v>2951</v>
      </c>
      <c r="G426" s="245">
        <v>62</v>
      </c>
      <c r="H426" s="245" t="s">
        <v>2952</v>
      </c>
      <c r="I426" s="245" t="s">
        <v>1150</v>
      </c>
      <c r="J426" s="245" t="s">
        <v>4603</v>
      </c>
      <c r="K426" s="245"/>
      <c r="L426" s="245" t="s">
        <v>2294</v>
      </c>
      <c r="M426" s="245" t="s">
        <v>2316</v>
      </c>
      <c r="N426" s="245" t="s">
        <v>4604</v>
      </c>
      <c r="O426" s="158"/>
      <c r="P426" s="92"/>
      <c r="Q426" s="146"/>
      <c r="R426" s="92"/>
      <c r="S426" s="146"/>
      <c r="T426" s="92"/>
      <c r="U426" s="146"/>
      <c r="V426" s="92"/>
      <c r="W426" s="146"/>
      <c r="X426" s="92"/>
      <c r="Y426" s="146"/>
      <c r="Z426" s="92"/>
      <c r="AA426" s="146"/>
      <c r="AB426" s="64"/>
      <c r="AC426" s="146"/>
      <c r="AD426" s="64"/>
      <c r="AE426" s="146"/>
      <c r="AF426" s="215" t="str">
        <f t="shared" si="27"/>
        <v/>
      </c>
      <c r="AG426" s="96" t="b">
        <f t="shared" si="26"/>
        <v>0</v>
      </c>
      <c r="AH426" s="9"/>
      <c r="AI426" s="151" t="str">
        <f t="shared" si="25"/>
        <v>GUARULHOS</v>
      </c>
      <c r="AJ426" s="154" t="s">
        <v>6</v>
      </c>
      <c r="AK426" s="53">
        <v>0.16627748758989602</v>
      </c>
      <c r="AL426" s="53" t="str" cm="1">
        <f t="array" ref="AL426">IF(OR(O426&lt;&gt;"", SUMPRODUCT(($AM$2:$AM$210=AM426)*($AK$2:$AK$210&lt;=AK426)) &lt;= (COUNTIF($AM$2:$AM$210,AM426)*0.1)), "SORTEADO", "-")</f>
        <v>SORTEADO</v>
      </c>
      <c r="AM426" s="53" t="str">
        <f t="shared" si="28"/>
        <v>28/04/2026</v>
      </c>
    </row>
    <row r="427" spans="1:39" ht="30" hidden="1" customHeight="1" x14ac:dyDescent="0.2">
      <c r="A427" s="245" t="s">
        <v>197</v>
      </c>
      <c r="B427" s="245">
        <v>2617362850</v>
      </c>
      <c r="C427" s="245" t="s">
        <v>138</v>
      </c>
      <c r="D427" s="245" t="s">
        <v>67</v>
      </c>
      <c r="E427" s="245" t="s">
        <v>198</v>
      </c>
      <c r="F427" s="245" t="s">
        <v>1141</v>
      </c>
      <c r="G427" s="245">
        <v>543</v>
      </c>
      <c r="H427" s="245" t="s">
        <v>2095</v>
      </c>
      <c r="I427" s="245" t="s">
        <v>893</v>
      </c>
      <c r="J427" s="245" t="s">
        <v>4605</v>
      </c>
      <c r="K427" s="245" t="s">
        <v>4930</v>
      </c>
      <c r="L427" s="245" t="s">
        <v>2294</v>
      </c>
      <c r="M427" s="245" t="s">
        <v>3099</v>
      </c>
      <c r="N427" s="245" t="s">
        <v>4613</v>
      </c>
      <c r="O427" s="158"/>
      <c r="P427" s="92"/>
      <c r="Q427" s="146"/>
      <c r="R427" s="92"/>
      <c r="S427" s="146"/>
      <c r="T427" s="92"/>
      <c r="U427" s="146"/>
      <c r="V427" s="92"/>
      <c r="W427" s="146"/>
      <c r="X427" s="92"/>
      <c r="Y427" s="146"/>
      <c r="Z427" s="92"/>
      <c r="AA427" s="146"/>
      <c r="AB427" s="64"/>
      <c r="AC427" s="146"/>
      <c r="AD427" s="64"/>
      <c r="AE427" s="146"/>
      <c r="AF427" s="215" t="str">
        <f t="shared" si="27"/>
        <v/>
      </c>
      <c r="AG427" s="96" t="b">
        <f t="shared" si="26"/>
        <v>0</v>
      </c>
      <c r="AH427" s="9"/>
      <c r="AI427" s="151" t="str">
        <f t="shared" si="25"/>
        <v>GUARULHOS</v>
      </c>
      <c r="AJ427" s="154" t="s">
        <v>6</v>
      </c>
      <c r="AK427" s="53">
        <v>0.64620374094573751</v>
      </c>
      <c r="AL427" s="53" t="str" cm="1">
        <f t="array" ref="AL427">IF(OR(O427&lt;&gt;"", SUMPRODUCT(($AM$2:$AM$210=AM427)*($AK$2:$AK$210&lt;=AK427)) &lt;= (COUNTIF($AM$2:$AM$210,AM427)*0.1)), "SORTEADO", "-")</f>
        <v>SORTEADO</v>
      </c>
      <c r="AM427" s="53" t="str">
        <f t="shared" si="28"/>
        <v>28/04/2026</v>
      </c>
    </row>
    <row r="428" spans="1:39" ht="30" hidden="1" customHeight="1" x14ac:dyDescent="0.2">
      <c r="A428" s="245" t="s">
        <v>197</v>
      </c>
      <c r="B428" s="245">
        <v>2691532863</v>
      </c>
      <c r="C428" s="245" t="s">
        <v>138</v>
      </c>
      <c r="D428" s="245" t="s">
        <v>67</v>
      </c>
      <c r="E428" s="245" t="s">
        <v>198</v>
      </c>
      <c r="F428" s="245" t="s">
        <v>2120</v>
      </c>
      <c r="G428" s="245">
        <v>170</v>
      </c>
      <c r="H428" s="245" t="s">
        <v>2121</v>
      </c>
      <c r="I428" s="245" t="s">
        <v>285</v>
      </c>
      <c r="J428" s="245" t="s">
        <v>4605</v>
      </c>
      <c r="K428" s="245"/>
      <c r="L428" s="245" t="s">
        <v>2294</v>
      </c>
      <c r="M428" s="245" t="s">
        <v>4931</v>
      </c>
      <c r="N428" s="245" t="s">
        <v>4613</v>
      </c>
      <c r="O428" s="158"/>
      <c r="P428" s="92"/>
      <c r="Q428" s="146"/>
      <c r="R428" s="92"/>
      <c r="S428" s="146"/>
      <c r="T428" s="92"/>
      <c r="U428" s="146"/>
      <c r="V428" s="92"/>
      <c r="W428" s="146"/>
      <c r="X428" s="92"/>
      <c r="Y428" s="146"/>
      <c r="Z428" s="92"/>
      <c r="AA428" s="146"/>
      <c r="AB428" s="64"/>
      <c r="AC428" s="146"/>
      <c r="AD428" s="64"/>
      <c r="AE428" s="146"/>
      <c r="AF428" s="215" t="str">
        <f t="shared" si="27"/>
        <v/>
      </c>
      <c r="AG428" s="96" t="b">
        <f t="shared" si="26"/>
        <v>0</v>
      </c>
      <c r="AH428" s="9"/>
      <c r="AI428" s="151" t="str">
        <f t="shared" si="25"/>
        <v>GUARULHOS</v>
      </c>
      <c r="AJ428" s="154" t="s">
        <v>6</v>
      </c>
      <c r="AK428" s="53">
        <v>0.26319847232944216</v>
      </c>
      <c r="AL428" s="53" t="str" cm="1">
        <f t="array" ref="AL428">IF(OR(O428&lt;&gt;"", SUMPRODUCT(($AM$2:$AM$210=AM428)*($AK$2:$AK$210&lt;=AK428)) &lt;= (COUNTIF($AM$2:$AM$210,AM428)*0.1)), "SORTEADO", "-")</f>
        <v>SORTEADO</v>
      </c>
      <c r="AM428" s="53" t="str">
        <f t="shared" si="28"/>
        <v>28/04/2026</v>
      </c>
    </row>
    <row r="429" spans="1:39" ht="30" hidden="1" customHeight="1" x14ac:dyDescent="0.2">
      <c r="A429" s="245" t="s">
        <v>197</v>
      </c>
      <c r="B429" s="245">
        <v>2617325125</v>
      </c>
      <c r="C429" s="245" t="s">
        <v>138</v>
      </c>
      <c r="D429" s="245" t="s">
        <v>67</v>
      </c>
      <c r="E429" s="245" t="s">
        <v>198</v>
      </c>
      <c r="F429" s="245" t="s">
        <v>1501</v>
      </c>
      <c r="G429" s="245">
        <v>396</v>
      </c>
      <c r="H429" s="245" t="s">
        <v>213</v>
      </c>
      <c r="I429" s="245" t="s">
        <v>480</v>
      </c>
      <c r="J429" s="245" t="s">
        <v>4605</v>
      </c>
      <c r="K429" s="245" t="s">
        <v>213</v>
      </c>
      <c r="L429" s="245" t="s">
        <v>2294</v>
      </c>
      <c r="M429" s="245" t="s">
        <v>4932</v>
      </c>
      <c r="N429" s="245" t="s">
        <v>4613</v>
      </c>
      <c r="O429" s="158"/>
      <c r="P429" s="92"/>
      <c r="Q429" s="146"/>
      <c r="R429" s="92"/>
      <c r="S429" s="146"/>
      <c r="T429" s="92"/>
      <c r="U429" s="146"/>
      <c r="V429" s="92"/>
      <c r="W429" s="146"/>
      <c r="X429" s="92"/>
      <c r="Y429" s="146"/>
      <c r="Z429" s="92"/>
      <c r="AA429" s="146"/>
      <c r="AB429" s="64"/>
      <c r="AC429" s="146"/>
      <c r="AD429" s="64"/>
      <c r="AE429" s="146"/>
      <c r="AF429" s="215" t="str">
        <f t="shared" si="27"/>
        <v/>
      </c>
      <c r="AG429" s="96" t="b">
        <f t="shared" si="26"/>
        <v>0</v>
      </c>
      <c r="AH429" s="9"/>
      <c r="AI429" s="151" t="str">
        <f t="shared" si="25"/>
        <v>GUARULHOS</v>
      </c>
      <c r="AJ429" s="154" t="s">
        <v>6</v>
      </c>
      <c r="AK429" s="53">
        <v>0.94568982984724304</v>
      </c>
      <c r="AL429" s="53" t="str" cm="1">
        <f t="array" ref="AL429">IF(OR(O429&lt;&gt;"", SUMPRODUCT(($AM$2:$AM$210=AM429)*($AK$2:$AK$210&lt;=AK429)) &lt;= (COUNTIF($AM$2:$AM$210,AM429)*0.1)), "SORTEADO", "-")</f>
        <v>SORTEADO</v>
      </c>
      <c r="AM429" s="53" t="str">
        <f t="shared" si="28"/>
        <v>28/04/2026</v>
      </c>
    </row>
    <row r="430" spans="1:39" ht="30" hidden="1" customHeight="1" x14ac:dyDescent="0.2">
      <c r="A430" s="245" t="s">
        <v>197</v>
      </c>
      <c r="B430" s="245">
        <v>2617586290</v>
      </c>
      <c r="C430" s="245" t="s">
        <v>141</v>
      </c>
      <c r="D430" s="245" t="s">
        <v>67</v>
      </c>
      <c r="E430" s="245" t="s">
        <v>198</v>
      </c>
      <c r="F430" s="245" t="s">
        <v>4533</v>
      </c>
      <c r="G430" s="245">
        <v>13</v>
      </c>
      <c r="H430" s="245" t="s">
        <v>3595</v>
      </c>
      <c r="I430" s="245" t="s">
        <v>2548</v>
      </c>
      <c r="J430" s="245" t="s">
        <v>4603</v>
      </c>
      <c r="K430" s="245"/>
      <c r="L430" s="245" t="s">
        <v>2294</v>
      </c>
      <c r="M430" s="245" t="s">
        <v>4933</v>
      </c>
      <c r="N430" s="245" t="s">
        <v>4613</v>
      </c>
      <c r="O430" s="158"/>
      <c r="P430" s="92"/>
      <c r="Q430" s="146"/>
      <c r="R430" s="92"/>
      <c r="S430" s="146"/>
      <c r="T430" s="92"/>
      <c r="U430" s="146"/>
      <c r="V430" s="92"/>
      <c r="W430" s="146"/>
      <c r="X430" s="92"/>
      <c r="Y430" s="146"/>
      <c r="Z430" s="92"/>
      <c r="AA430" s="146"/>
      <c r="AB430" s="64"/>
      <c r="AC430" s="146"/>
      <c r="AD430" s="64"/>
      <c r="AE430" s="146"/>
      <c r="AF430" s="215" t="str">
        <f t="shared" si="27"/>
        <v/>
      </c>
      <c r="AG430" s="96" t="b">
        <f t="shared" si="26"/>
        <v>0</v>
      </c>
      <c r="AH430" s="9"/>
      <c r="AI430" s="151" t="str">
        <f t="shared" si="25"/>
        <v>GUARULHOS</v>
      </c>
      <c r="AJ430" s="154" t="s">
        <v>6</v>
      </c>
      <c r="AK430" s="53">
        <v>0.69923126708379413</v>
      </c>
      <c r="AL430" s="53" t="str" cm="1">
        <f t="array" ref="AL430">IF(OR(O430&lt;&gt;"", SUMPRODUCT(($AM$2:$AM$210=AM430)*($AK$2:$AK$210&lt;=AK430)) &lt;= (COUNTIF($AM$2:$AM$210,AM430)*0.1)), "SORTEADO", "-")</f>
        <v>SORTEADO</v>
      </c>
      <c r="AM430" s="53" t="str">
        <f t="shared" si="28"/>
        <v>28/04/2026</v>
      </c>
    </row>
    <row r="431" spans="1:39" ht="30" hidden="1" customHeight="1" x14ac:dyDescent="0.2">
      <c r="A431" s="245" t="s">
        <v>197</v>
      </c>
      <c r="B431" s="245">
        <v>2617186297</v>
      </c>
      <c r="C431" s="245" t="s">
        <v>141</v>
      </c>
      <c r="D431" s="245" t="s">
        <v>67</v>
      </c>
      <c r="E431" s="245" t="s">
        <v>198</v>
      </c>
      <c r="F431" s="245" t="s">
        <v>1478</v>
      </c>
      <c r="G431" s="245">
        <v>391</v>
      </c>
      <c r="H431" s="245" t="s">
        <v>213</v>
      </c>
      <c r="I431" s="245" t="s">
        <v>253</v>
      </c>
      <c r="J431" s="245" t="s">
        <v>4603</v>
      </c>
      <c r="K431" s="245" t="s">
        <v>213</v>
      </c>
      <c r="L431" s="245" t="s">
        <v>2294</v>
      </c>
      <c r="M431" s="245" t="s">
        <v>4934</v>
      </c>
      <c r="N431" s="245" t="s">
        <v>4613</v>
      </c>
      <c r="O431" s="158"/>
      <c r="P431" s="92"/>
      <c r="Q431" s="146"/>
      <c r="R431" s="92"/>
      <c r="S431" s="146"/>
      <c r="T431" s="92"/>
      <c r="U431" s="146"/>
      <c r="V431" s="92"/>
      <c r="W431" s="146"/>
      <c r="X431" s="92"/>
      <c r="Y431" s="146"/>
      <c r="Z431" s="92"/>
      <c r="AA431" s="146"/>
      <c r="AB431" s="64"/>
      <c r="AC431" s="146"/>
      <c r="AD431" s="64"/>
      <c r="AE431" s="146"/>
      <c r="AF431" s="215" t="str">
        <f t="shared" si="27"/>
        <v/>
      </c>
      <c r="AG431" s="96" t="b">
        <f t="shared" si="26"/>
        <v>0</v>
      </c>
      <c r="AH431" s="9"/>
      <c r="AI431" s="151" t="str">
        <f t="shared" si="25"/>
        <v>GUARULHOS</v>
      </c>
      <c r="AJ431" s="154" t="s">
        <v>6</v>
      </c>
      <c r="AK431" s="53">
        <v>0.98104453739888042</v>
      </c>
      <c r="AL431" s="53" t="str" cm="1">
        <f t="array" ref="AL431">IF(OR(O431&lt;&gt;"", SUMPRODUCT(($AM$2:$AM$210=AM431)*($AK$2:$AK$210&lt;=AK431)) &lt;= (COUNTIF($AM$2:$AM$210,AM431)*0.1)), "SORTEADO", "-")</f>
        <v>SORTEADO</v>
      </c>
      <c r="AM431" s="53" t="str">
        <f t="shared" si="28"/>
        <v>28/04/2026</v>
      </c>
    </row>
    <row r="432" spans="1:39" ht="30" hidden="1" customHeight="1" x14ac:dyDescent="0.2">
      <c r="A432" s="245" t="s">
        <v>197</v>
      </c>
      <c r="B432" s="245">
        <v>2617330291</v>
      </c>
      <c r="C432" s="245" t="s">
        <v>140</v>
      </c>
      <c r="D432" s="245" t="s">
        <v>67</v>
      </c>
      <c r="E432" s="245" t="s">
        <v>198</v>
      </c>
      <c r="F432" s="245" t="s">
        <v>585</v>
      </c>
      <c r="G432" s="245">
        <v>1050</v>
      </c>
      <c r="H432" s="245" t="s">
        <v>3023</v>
      </c>
      <c r="I432" s="245" t="s">
        <v>247</v>
      </c>
      <c r="J432" s="245" t="s">
        <v>4605</v>
      </c>
      <c r="K432" s="245" t="s">
        <v>4612</v>
      </c>
      <c r="L432" s="245" t="s">
        <v>2294</v>
      </c>
      <c r="M432" s="245" t="s">
        <v>4935</v>
      </c>
      <c r="N432" s="245" t="s">
        <v>4613</v>
      </c>
      <c r="O432" s="158"/>
      <c r="P432" s="92"/>
      <c r="Q432" s="146"/>
      <c r="R432" s="92"/>
      <c r="S432" s="146"/>
      <c r="T432" s="92"/>
      <c r="U432" s="146"/>
      <c r="V432" s="92"/>
      <c r="W432" s="146"/>
      <c r="X432" s="92"/>
      <c r="Y432" s="146"/>
      <c r="Z432" s="92"/>
      <c r="AA432" s="146"/>
      <c r="AB432" s="64"/>
      <c r="AC432" s="146"/>
      <c r="AD432" s="64"/>
      <c r="AE432" s="146"/>
      <c r="AF432" s="215" t="str">
        <f t="shared" si="27"/>
        <v/>
      </c>
      <c r="AG432" s="96" t="b">
        <f t="shared" si="26"/>
        <v>0</v>
      </c>
      <c r="AH432" s="9"/>
      <c r="AI432" s="151" t="str">
        <f t="shared" si="25"/>
        <v>GUARULHOS</v>
      </c>
      <c r="AJ432" s="154" t="s">
        <v>6</v>
      </c>
      <c r="AK432" s="53">
        <v>0.22519238743996417</v>
      </c>
      <c r="AL432" s="53" t="str" cm="1">
        <f t="array" ref="AL432">IF(OR(O432&lt;&gt;"", SUMPRODUCT(($AM$2:$AM$210=AM432)*($AK$2:$AK$210&lt;=AK432)) &lt;= (COUNTIF($AM$2:$AM$210,AM432)*0.1)), "SORTEADO", "-")</f>
        <v>SORTEADO</v>
      </c>
      <c r="AM432" s="53" t="str">
        <f t="shared" si="28"/>
        <v>28/04/2026</v>
      </c>
    </row>
    <row r="433" spans="1:39" ht="30" hidden="1" customHeight="1" x14ac:dyDescent="0.2">
      <c r="A433" s="245" t="s">
        <v>197</v>
      </c>
      <c r="B433" s="245">
        <v>2616348546</v>
      </c>
      <c r="C433" s="245" t="s">
        <v>141</v>
      </c>
      <c r="D433" s="245" t="s">
        <v>67</v>
      </c>
      <c r="E433" s="245" t="s">
        <v>198</v>
      </c>
      <c r="F433" s="245" t="s">
        <v>3062</v>
      </c>
      <c r="G433" s="245">
        <v>0</v>
      </c>
      <c r="H433" s="245" t="s">
        <v>3063</v>
      </c>
      <c r="I433" s="245" t="s">
        <v>3064</v>
      </c>
      <c r="J433" s="245" t="s">
        <v>4603</v>
      </c>
      <c r="K433" s="245" t="s">
        <v>4936</v>
      </c>
      <c r="L433" s="245" t="s">
        <v>2294</v>
      </c>
      <c r="M433" s="245" t="s">
        <v>3126</v>
      </c>
      <c r="N433" s="245" t="s">
        <v>4689</v>
      </c>
      <c r="O433" s="158"/>
      <c r="P433" s="92"/>
      <c r="Q433" s="146"/>
      <c r="R433" s="92"/>
      <c r="S433" s="146"/>
      <c r="T433" s="92"/>
      <c r="U433" s="146"/>
      <c r="V433" s="92"/>
      <c r="W433" s="146"/>
      <c r="X433" s="92"/>
      <c r="Y433" s="146"/>
      <c r="Z433" s="92"/>
      <c r="AA433" s="146"/>
      <c r="AB433" s="64"/>
      <c r="AC433" s="146"/>
      <c r="AD433" s="64"/>
      <c r="AE433" s="146"/>
      <c r="AF433" s="215" t="str">
        <f t="shared" si="27"/>
        <v/>
      </c>
      <c r="AG433" s="96" t="b">
        <f t="shared" si="26"/>
        <v>0</v>
      </c>
      <c r="AH433" s="9"/>
      <c r="AI433" s="151" t="str">
        <f t="shared" si="25"/>
        <v>GUARULHOS</v>
      </c>
      <c r="AJ433" s="154" t="s">
        <v>6</v>
      </c>
      <c r="AK433" s="53">
        <v>6.8355597946671343E-2</v>
      </c>
      <c r="AL433" s="53" t="str" cm="1">
        <f t="array" ref="AL433">IF(OR(O433&lt;&gt;"", SUMPRODUCT(($AM$2:$AM$210=AM433)*($AK$2:$AK$210&lt;=AK433)) &lt;= (COUNTIF($AM$2:$AM$210,AM433)*0.1)), "SORTEADO", "-")</f>
        <v>SORTEADO</v>
      </c>
      <c r="AM433" s="53" t="str">
        <f t="shared" si="28"/>
        <v>28/04/2026</v>
      </c>
    </row>
    <row r="434" spans="1:39" ht="30" hidden="1" customHeight="1" x14ac:dyDescent="0.2">
      <c r="A434" s="245" t="s">
        <v>197</v>
      </c>
      <c r="B434" s="245">
        <v>2616348310</v>
      </c>
      <c r="C434" s="245" t="s">
        <v>141</v>
      </c>
      <c r="D434" s="245" t="s">
        <v>67</v>
      </c>
      <c r="E434" s="245" t="s">
        <v>198</v>
      </c>
      <c r="F434" s="245" t="s">
        <v>3062</v>
      </c>
      <c r="G434" s="245">
        <v>0</v>
      </c>
      <c r="H434" s="245" t="s">
        <v>3063</v>
      </c>
      <c r="I434" s="245" t="s">
        <v>3064</v>
      </c>
      <c r="J434" s="245" t="s">
        <v>4603</v>
      </c>
      <c r="K434" s="245" t="s">
        <v>4887</v>
      </c>
      <c r="L434" s="245" t="s">
        <v>2294</v>
      </c>
      <c r="M434" s="245" t="s">
        <v>3126</v>
      </c>
      <c r="N434" s="245" t="s">
        <v>4689</v>
      </c>
      <c r="O434" s="158"/>
      <c r="P434" s="92"/>
      <c r="Q434" s="146"/>
      <c r="R434" s="92"/>
      <c r="S434" s="146"/>
      <c r="T434" s="92"/>
      <c r="U434" s="146"/>
      <c r="V434" s="92"/>
      <c r="W434" s="146"/>
      <c r="X434" s="92"/>
      <c r="Y434" s="146"/>
      <c r="Z434" s="92"/>
      <c r="AA434" s="146"/>
      <c r="AB434" s="64"/>
      <c r="AC434" s="146"/>
      <c r="AD434" s="64"/>
      <c r="AE434" s="146"/>
      <c r="AF434" s="215" t="str">
        <f t="shared" si="27"/>
        <v/>
      </c>
      <c r="AG434" s="96" t="b">
        <f t="shared" si="26"/>
        <v>0</v>
      </c>
      <c r="AH434" s="9"/>
      <c r="AI434" s="151" t="str">
        <f t="shared" si="25"/>
        <v>GUARULHOS</v>
      </c>
      <c r="AJ434" s="154" t="s">
        <v>6</v>
      </c>
      <c r="AK434" s="53">
        <v>0.1870618268230223</v>
      </c>
      <c r="AL434" s="53" t="str" cm="1">
        <f t="array" ref="AL434">IF(OR(O434&lt;&gt;"", SUMPRODUCT(($AM$2:$AM$210=AM434)*($AK$2:$AK$210&lt;=AK434)) &lt;= (COUNTIF($AM$2:$AM$210,AM434)*0.1)), "SORTEADO", "-")</f>
        <v>SORTEADO</v>
      </c>
      <c r="AM434" s="53" t="str">
        <f t="shared" si="28"/>
        <v>28/04/2026</v>
      </c>
    </row>
    <row r="435" spans="1:39" ht="30" hidden="1" customHeight="1" x14ac:dyDescent="0.2">
      <c r="A435" s="245" t="s">
        <v>197</v>
      </c>
      <c r="B435" s="245">
        <v>2617748399</v>
      </c>
      <c r="C435" s="245" t="s">
        <v>141</v>
      </c>
      <c r="D435" s="245" t="s">
        <v>67</v>
      </c>
      <c r="E435" s="245" t="s">
        <v>198</v>
      </c>
      <c r="F435" s="245" t="s">
        <v>1743</v>
      </c>
      <c r="G435" s="245">
        <v>504</v>
      </c>
      <c r="H435" s="245" t="s">
        <v>206</v>
      </c>
      <c r="I435" s="245" t="s">
        <v>1744</v>
      </c>
      <c r="J435" s="245" t="s">
        <v>4603</v>
      </c>
      <c r="K435" s="245" t="s">
        <v>4937</v>
      </c>
      <c r="L435" s="245" t="s">
        <v>2294</v>
      </c>
      <c r="M435" s="245" t="s">
        <v>4938</v>
      </c>
      <c r="N435" s="245" t="s">
        <v>4613</v>
      </c>
      <c r="O435" s="158"/>
      <c r="P435" s="92"/>
      <c r="Q435" s="146"/>
      <c r="R435" s="92"/>
      <c r="S435" s="146"/>
      <c r="T435" s="92"/>
      <c r="U435" s="146"/>
      <c r="V435" s="92"/>
      <c r="W435" s="146"/>
      <c r="X435" s="92"/>
      <c r="Y435" s="146"/>
      <c r="Z435" s="92"/>
      <c r="AA435" s="146"/>
      <c r="AB435" s="64"/>
      <c r="AC435" s="146"/>
      <c r="AD435" s="64"/>
      <c r="AE435" s="146"/>
      <c r="AF435" s="215" t="str">
        <f t="shared" si="27"/>
        <v/>
      </c>
      <c r="AG435" s="96" t="b">
        <f t="shared" si="26"/>
        <v>0</v>
      </c>
      <c r="AH435" s="9"/>
      <c r="AI435" s="151" t="str">
        <f t="shared" si="25"/>
        <v>GUARULHOS</v>
      </c>
      <c r="AJ435" s="154" t="s">
        <v>6</v>
      </c>
      <c r="AK435" s="53">
        <v>0.14865628681847709</v>
      </c>
      <c r="AL435" s="53" t="str" cm="1">
        <f t="array" ref="AL435">IF(OR(O435&lt;&gt;"", SUMPRODUCT(($AM$2:$AM$210=AM435)*($AK$2:$AK$210&lt;=AK435)) &lt;= (COUNTIF($AM$2:$AM$210,AM435)*0.1)), "SORTEADO", "-")</f>
        <v>SORTEADO</v>
      </c>
      <c r="AM435" s="53" t="str">
        <f t="shared" si="28"/>
        <v>28/04/2026</v>
      </c>
    </row>
    <row r="436" spans="1:39" ht="30" hidden="1" customHeight="1" x14ac:dyDescent="0.2">
      <c r="A436" s="245" t="s">
        <v>197</v>
      </c>
      <c r="B436" s="245">
        <v>2615285368</v>
      </c>
      <c r="C436" s="245" t="s">
        <v>141</v>
      </c>
      <c r="D436" s="245" t="s">
        <v>67</v>
      </c>
      <c r="E436" s="245" t="s">
        <v>198</v>
      </c>
      <c r="F436" s="245" t="s">
        <v>3127</v>
      </c>
      <c r="G436" s="245">
        <v>132</v>
      </c>
      <c r="H436" s="245" t="s">
        <v>3128</v>
      </c>
      <c r="I436" s="245" t="s">
        <v>1677</v>
      </c>
      <c r="J436" s="245" t="s">
        <v>4603</v>
      </c>
      <c r="K436" s="245" t="s">
        <v>4887</v>
      </c>
      <c r="L436" s="245" t="s">
        <v>2294</v>
      </c>
      <c r="M436" s="245" t="s">
        <v>4939</v>
      </c>
      <c r="N436" s="245" t="s">
        <v>4689</v>
      </c>
      <c r="O436" s="158"/>
      <c r="P436" s="92"/>
      <c r="Q436" s="146"/>
      <c r="R436" s="92"/>
      <c r="S436" s="146"/>
      <c r="T436" s="92"/>
      <c r="U436" s="146"/>
      <c r="V436" s="92"/>
      <c r="W436" s="146"/>
      <c r="X436" s="92"/>
      <c r="Y436" s="146"/>
      <c r="Z436" s="92"/>
      <c r="AA436" s="146"/>
      <c r="AB436" s="64"/>
      <c r="AC436" s="146"/>
      <c r="AD436" s="64"/>
      <c r="AE436" s="146"/>
      <c r="AF436" s="215" t="str">
        <f t="shared" si="27"/>
        <v/>
      </c>
      <c r="AG436" s="96" t="b">
        <f t="shared" si="26"/>
        <v>0</v>
      </c>
      <c r="AH436" s="9"/>
      <c r="AI436" s="151" t="str">
        <f t="shared" si="25"/>
        <v>GUARULHOS</v>
      </c>
      <c r="AJ436" s="154" t="s">
        <v>6</v>
      </c>
      <c r="AK436" s="53">
        <v>0.19681846136557046</v>
      </c>
      <c r="AL436" s="53" t="str" cm="1">
        <f t="array" ref="AL436">IF(OR(O436&lt;&gt;"", SUMPRODUCT(($AM$2:$AM$210=AM436)*($AK$2:$AK$210&lt;=AK436)) &lt;= (COUNTIF($AM$2:$AM$210,AM436)*0.1)), "SORTEADO", "-")</f>
        <v>SORTEADO</v>
      </c>
      <c r="AM436" s="53" t="str">
        <f t="shared" si="28"/>
        <v>28/04/2026</v>
      </c>
    </row>
    <row r="437" spans="1:39" ht="30" hidden="1" customHeight="1" x14ac:dyDescent="0.2">
      <c r="A437" s="245" t="s">
        <v>197</v>
      </c>
      <c r="B437" s="245">
        <v>2614793765</v>
      </c>
      <c r="C437" s="245" t="s">
        <v>141</v>
      </c>
      <c r="D437" s="245" t="s">
        <v>67</v>
      </c>
      <c r="E437" s="245" t="s">
        <v>198</v>
      </c>
      <c r="F437" s="245" t="s">
        <v>261</v>
      </c>
      <c r="G437" s="245">
        <v>419</v>
      </c>
      <c r="H437" s="245" t="s">
        <v>675</v>
      </c>
      <c r="I437" s="245" t="s">
        <v>262</v>
      </c>
      <c r="J437" s="245" t="s">
        <v>4603</v>
      </c>
      <c r="K437" s="245" t="s">
        <v>4887</v>
      </c>
      <c r="L437" s="245" t="s">
        <v>2294</v>
      </c>
      <c r="M437" s="245" t="s">
        <v>3126</v>
      </c>
      <c r="N437" s="245" t="s">
        <v>4689</v>
      </c>
      <c r="O437" s="158"/>
      <c r="P437" s="92"/>
      <c r="Q437" s="146"/>
      <c r="R437" s="92"/>
      <c r="S437" s="146"/>
      <c r="T437" s="92"/>
      <c r="U437" s="146"/>
      <c r="V437" s="92"/>
      <c r="W437" s="146"/>
      <c r="X437" s="92"/>
      <c r="Y437" s="146"/>
      <c r="Z437" s="92"/>
      <c r="AA437" s="146"/>
      <c r="AB437" s="64"/>
      <c r="AC437" s="146"/>
      <c r="AD437" s="64"/>
      <c r="AE437" s="146"/>
      <c r="AF437" s="215" t="str">
        <f t="shared" si="27"/>
        <v/>
      </c>
      <c r="AG437" s="96" t="b">
        <f t="shared" si="26"/>
        <v>0</v>
      </c>
      <c r="AH437" s="9"/>
      <c r="AI437" s="151" t="str">
        <f t="shared" si="25"/>
        <v>GUARULHOS</v>
      </c>
      <c r="AJ437" s="154" t="s">
        <v>6</v>
      </c>
      <c r="AK437" s="53">
        <v>0.24827554340778324</v>
      </c>
      <c r="AL437" s="53" t="str" cm="1">
        <f t="array" ref="AL437">IF(OR(O437&lt;&gt;"", SUMPRODUCT(($AM$2:$AM$210=AM437)*($AK$2:$AK$210&lt;=AK437)) &lt;= (COUNTIF($AM$2:$AM$210,AM437)*0.1)), "SORTEADO", "-")</f>
        <v>SORTEADO</v>
      </c>
      <c r="AM437" s="53" t="str">
        <f t="shared" si="28"/>
        <v>28/04/2026</v>
      </c>
    </row>
    <row r="438" spans="1:39" ht="30" hidden="1" customHeight="1" x14ac:dyDescent="0.2">
      <c r="A438" s="245" t="s">
        <v>197</v>
      </c>
      <c r="B438" s="245">
        <v>2617316540</v>
      </c>
      <c r="C438" s="245" t="s">
        <v>141</v>
      </c>
      <c r="D438" s="245" t="s">
        <v>67</v>
      </c>
      <c r="E438" s="245" t="s">
        <v>198</v>
      </c>
      <c r="F438" s="245" t="s">
        <v>261</v>
      </c>
      <c r="G438" s="245">
        <v>381</v>
      </c>
      <c r="H438" s="245"/>
      <c r="I438" s="245" t="s">
        <v>262</v>
      </c>
      <c r="J438" s="245" t="s">
        <v>4603</v>
      </c>
      <c r="K438" s="245" t="s">
        <v>4887</v>
      </c>
      <c r="L438" s="245" t="s">
        <v>2294</v>
      </c>
      <c r="M438" s="245" t="s">
        <v>4939</v>
      </c>
      <c r="N438" s="245" t="s">
        <v>4689</v>
      </c>
      <c r="O438" s="158"/>
      <c r="P438" s="92"/>
      <c r="Q438" s="146"/>
      <c r="R438" s="92"/>
      <c r="S438" s="146"/>
      <c r="T438" s="92"/>
      <c r="U438" s="146"/>
      <c r="V438" s="92"/>
      <c r="W438" s="146"/>
      <c r="X438" s="92"/>
      <c r="Y438" s="146"/>
      <c r="Z438" s="92"/>
      <c r="AA438" s="146"/>
      <c r="AB438" s="64"/>
      <c r="AC438" s="146"/>
      <c r="AD438" s="64"/>
      <c r="AE438" s="146"/>
      <c r="AF438" s="215" t="str">
        <f t="shared" si="27"/>
        <v/>
      </c>
      <c r="AG438" s="96" t="b">
        <f t="shared" si="26"/>
        <v>0</v>
      </c>
      <c r="AH438" s="9"/>
      <c r="AI438" s="151" t="str">
        <f t="shared" si="25"/>
        <v>GUARULHOS</v>
      </c>
      <c r="AJ438" s="154" t="s">
        <v>6</v>
      </c>
      <c r="AK438" s="53">
        <v>0.68227752378987383</v>
      </c>
      <c r="AL438" s="53" t="str" cm="1">
        <f t="array" ref="AL438">IF(OR(O438&lt;&gt;"", SUMPRODUCT(($AM$2:$AM$210=AM438)*($AK$2:$AK$210&lt;=AK438)) &lt;= (COUNTIF($AM$2:$AM$210,AM438)*0.1)), "SORTEADO", "-")</f>
        <v>SORTEADO</v>
      </c>
      <c r="AM438" s="53" t="str">
        <f t="shared" si="28"/>
        <v>28/04/2026</v>
      </c>
    </row>
    <row r="439" spans="1:39" ht="30" hidden="1" customHeight="1" x14ac:dyDescent="0.2">
      <c r="A439" s="253" t="s">
        <v>197</v>
      </c>
      <c r="B439" s="253">
        <v>2617316492</v>
      </c>
      <c r="C439" s="253" t="s">
        <v>141</v>
      </c>
      <c r="D439" s="253" t="s">
        <v>67</v>
      </c>
      <c r="E439" s="253" t="s">
        <v>198</v>
      </c>
      <c r="F439" s="253" t="s">
        <v>261</v>
      </c>
      <c r="G439" s="253">
        <v>415</v>
      </c>
      <c r="H439" s="253"/>
      <c r="I439" s="253" t="s">
        <v>262</v>
      </c>
      <c r="J439" s="253" t="s">
        <v>4603</v>
      </c>
      <c r="K439" s="253" t="s">
        <v>4887</v>
      </c>
      <c r="L439" s="253" t="s">
        <v>2294</v>
      </c>
      <c r="M439" s="253" t="s">
        <v>3126</v>
      </c>
      <c r="N439" s="253" t="s">
        <v>4689</v>
      </c>
      <c r="O439" s="158"/>
      <c r="P439" s="92"/>
      <c r="Q439" s="146"/>
      <c r="R439" s="92"/>
      <c r="S439" s="146"/>
      <c r="T439" s="92"/>
      <c r="U439" s="146"/>
      <c r="V439" s="92"/>
      <c r="W439" s="146"/>
      <c r="X439" s="92"/>
      <c r="Y439" s="146"/>
      <c r="Z439" s="92"/>
      <c r="AA439" s="146"/>
      <c r="AB439" s="64"/>
      <c r="AC439" s="146"/>
      <c r="AD439" s="64"/>
      <c r="AE439" s="146"/>
      <c r="AF439" s="215" t="str">
        <f t="shared" si="27"/>
        <v/>
      </c>
      <c r="AG439" s="96" t="b">
        <f t="shared" si="26"/>
        <v>0</v>
      </c>
      <c r="AH439" s="9"/>
      <c r="AI439" s="151" t="str">
        <f t="shared" ref="AI439:AI501" si="29">E439</f>
        <v>GUARULHOS</v>
      </c>
      <c r="AJ439" s="154" t="s">
        <v>6</v>
      </c>
      <c r="AK439" s="53">
        <v>0.57993036733245007</v>
      </c>
      <c r="AL439" s="53" t="str" cm="1">
        <f t="array" ref="AL439">IF(OR(O439&lt;&gt;"", SUMPRODUCT(($AM$2:$AM$210=AM439)*($AK$2:$AK$210&lt;=AK439)) &lt;= (COUNTIF($AM$2:$AM$210,AM439)*0.1)), "SORTEADO", "-")</f>
        <v>SORTEADO</v>
      </c>
      <c r="AM439" s="53" t="str">
        <f t="shared" si="28"/>
        <v>28/04/2026</v>
      </c>
    </row>
    <row r="440" spans="1:39" ht="30" hidden="1" customHeight="1" x14ac:dyDescent="0.2">
      <c r="A440" s="245" t="s">
        <v>197</v>
      </c>
      <c r="B440" s="245">
        <v>2617603004</v>
      </c>
      <c r="C440" s="245" t="s">
        <v>138</v>
      </c>
      <c r="D440" s="245" t="s">
        <v>67</v>
      </c>
      <c r="E440" s="245" t="s">
        <v>198</v>
      </c>
      <c r="F440" s="245" t="s">
        <v>2305</v>
      </c>
      <c r="G440" s="245">
        <v>66</v>
      </c>
      <c r="H440" s="245" t="s">
        <v>2306</v>
      </c>
      <c r="I440" s="245" t="s">
        <v>538</v>
      </c>
      <c r="J440" s="245" t="s">
        <v>4605</v>
      </c>
      <c r="K440" s="245"/>
      <c r="L440" s="245" t="s">
        <v>2396</v>
      </c>
      <c r="M440" s="245" t="s">
        <v>4940</v>
      </c>
      <c r="N440" s="245" t="s">
        <v>4620</v>
      </c>
      <c r="O440" s="158"/>
      <c r="P440" s="92"/>
      <c r="Q440" s="146"/>
      <c r="R440" s="92"/>
      <c r="S440" s="146"/>
      <c r="T440" s="92"/>
      <c r="U440" s="146"/>
      <c r="V440" s="92"/>
      <c r="W440" s="146"/>
      <c r="X440" s="92"/>
      <c r="Y440" s="146"/>
      <c r="Z440" s="92"/>
      <c r="AA440" s="146"/>
      <c r="AB440" s="64"/>
      <c r="AC440" s="146"/>
      <c r="AD440" s="64"/>
      <c r="AE440" s="146"/>
      <c r="AF440" s="215" t="str">
        <f t="shared" si="27"/>
        <v/>
      </c>
      <c r="AG440" s="96" t="b">
        <f t="shared" si="26"/>
        <v>0</v>
      </c>
      <c r="AH440" s="9"/>
      <c r="AI440" s="151" t="str">
        <f t="shared" si="29"/>
        <v>GUARULHOS</v>
      </c>
      <c r="AJ440" s="154" t="s">
        <v>6</v>
      </c>
      <c r="AK440" s="53">
        <v>0.70769404998916718</v>
      </c>
      <c r="AL440" s="53" t="str" cm="1">
        <f t="array" ref="AL440">IF(OR(O440&lt;&gt;"", SUMPRODUCT(($AM$2:$AM$210=AM440)*($AK$2:$AK$210&lt;=AK440)) &lt;= (COUNTIF($AM$2:$AM$210,AM440)*0.1)), "SORTEADO", "-")</f>
        <v>SORTEADO</v>
      </c>
      <c r="AM440" s="53" t="str">
        <f t="shared" si="28"/>
        <v>29/04/2026</v>
      </c>
    </row>
    <row r="441" spans="1:39" ht="30" hidden="1" customHeight="1" x14ac:dyDescent="0.2">
      <c r="A441" s="245" t="s">
        <v>197</v>
      </c>
      <c r="B441" s="245">
        <v>2617624103</v>
      </c>
      <c r="C441" s="245" t="s">
        <v>139</v>
      </c>
      <c r="D441" s="245" t="s">
        <v>67</v>
      </c>
      <c r="E441" s="245" t="s">
        <v>198</v>
      </c>
      <c r="F441" s="245" t="s">
        <v>2139</v>
      </c>
      <c r="G441" s="245">
        <v>145</v>
      </c>
      <c r="H441" s="245" t="s">
        <v>362</v>
      </c>
      <c r="I441" s="245" t="s">
        <v>1358</v>
      </c>
      <c r="J441" s="245" t="s">
        <v>4603</v>
      </c>
      <c r="K441" s="245" t="s">
        <v>213</v>
      </c>
      <c r="L441" s="245" t="s">
        <v>2396</v>
      </c>
      <c r="M441" s="245" t="s">
        <v>2448</v>
      </c>
      <c r="N441" s="245" t="s">
        <v>4620</v>
      </c>
      <c r="O441" s="158"/>
      <c r="P441" s="92"/>
      <c r="Q441" s="146"/>
      <c r="R441" s="92"/>
      <c r="S441" s="146"/>
      <c r="T441" s="92"/>
      <c r="U441" s="146"/>
      <c r="V441" s="92"/>
      <c r="W441" s="146"/>
      <c r="X441" s="92"/>
      <c r="Y441" s="146"/>
      <c r="Z441" s="92"/>
      <c r="AA441" s="146"/>
      <c r="AB441" s="64"/>
      <c r="AC441" s="146"/>
      <c r="AD441" s="64"/>
      <c r="AE441" s="146"/>
      <c r="AF441" s="215" t="str">
        <f t="shared" si="27"/>
        <v/>
      </c>
      <c r="AG441" s="96" t="b">
        <f t="shared" si="26"/>
        <v>0</v>
      </c>
      <c r="AH441" s="9"/>
      <c r="AI441" s="151" t="str">
        <f t="shared" si="29"/>
        <v>GUARULHOS</v>
      </c>
      <c r="AJ441" s="154" t="s">
        <v>6</v>
      </c>
      <c r="AK441" s="53">
        <v>0.4603740684477724</v>
      </c>
      <c r="AL441" s="53" t="str" cm="1">
        <f t="array" ref="AL441">IF(OR(O441&lt;&gt;"", SUMPRODUCT(($AM$2:$AM$210=AM441)*($AK$2:$AK$210&lt;=AK441)) &lt;= (COUNTIF($AM$2:$AM$210,AM441)*0.1)), "SORTEADO", "-")</f>
        <v>SORTEADO</v>
      </c>
      <c r="AM441" s="53" t="str">
        <f t="shared" si="28"/>
        <v>29/04/2026</v>
      </c>
    </row>
    <row r="442" spans="1:39" ht="30" hidden="1" customHeight="1" x14ac:dyDescent="0.2">
      <c r="A442" s="245" t="s">
        <v>197</v>
      </c>
      <c r="B442" s="245">
        <v>2617591441</v>
      </c>
      <c r="C442" s="245" t="s">
        <v>139</v>
      </c>
      <c r="D442" s="245" t="s">
        <v>67</v>
      </c>
      <c r="E442" s="245" t="s">
        <v>198</v>
      </c>
      <c r="F442" s="245" t="s">
        <v>2139</v>
      </c>
      <c r="G442" s="245">
        <v>146</v>
      </c>
      <c r="H442" s="245" t="s">
        <v>2140</v>
      </c>
      <c r="I442" s="245" t="s">
        <v>1358</v>
      </c>
      <c r="J442" s="245" t="s">
        <v>4603</v>
      </c>
      <c r="K442" s="245"/>
      <c r="L442" s="245" t="s">
        <v>2396</v>
      </c>
      <c r="M442" s="245" t="s">
        <v>4941</v>
      </c>
      <c r="N442" s="245" t="s">
        <v>4620</v>
      </c>
      <c r="O442" s="158"/>
      <c r="P442" s="92"/>
      <c r="Q442" s="146"/>
      <c r="R442" s="92"/>
      <c r="S442" s="146"/>
      <c r="T442" s="92"/>
      <c r="U442" s="146"/>
      <c r="V442" s="92"/>
      <c r="W442" s="146"/>
      <c r="X442" s="92"/>
      <c r="Y442" s="146"/>
      <c r="Z442" s="92"/>
      <c r="AA442" s="146"/>
      <c r="AB442" s="64"/>
      <c r="AC442" s="146"/>
      <c r="AD442" s="64"/>
      <c r="AE442" s="146"/>
      <c r="AF442" s="215" t="str">
        <f t="shared" si="27"/>
        <v/>
      </c>
      <c r="AG442" s="96" t="b">
        <f t="shared" si="26"/>
        <v>0</v>
      </c>
      <c r="AH442" s="9"/>
      <c r="AI442" s="151" t="str">
        <f t="shared" si="29"/>
        <v>GUARULHOS</v>
      </c>
      <c r="AJ442" s="154" t="s">
        <v>6</v>
      </c>
      <c r="AK442" s="53">
        <v>4.7714606509909441E-2</v>
      </c>
      <c r="AL442" s="53" t="str" cm="1">
        <f t="array" ref="AL442">IF(OR(O442&lt;&gt;"", SUMPRODUCT(($AM$2:$AM$210=AM442)*($AK$2:$AK$210&lt;=AK442)) &lt;= (COUNTIF($AM$2:$AM$210,AM442)*0.1)), "SORTEADO", "-")</f>
        <v>SORTEADO</v>
      </c>
      <c r="AM442" s="53" t="str">
        <f t="shared" si="28"/>
        <v>29/04/2026</v>
      </c>
    </row>
    <row r="443" spans="1:39" ht="30" hidden="1" customHeight="1" x14ac:dyDescent="0.2">
      <c r="A443" s="245" t="s">
        <v>197</v>
      </c>
      <c r="B443" s="245">
        <v>2691610027</v>
      </c>
      <c r="C443" s="245" t="s">
        <v>138</v>
      </c>
      <c r="D443" s="245" t="s">
        <v>67</v>
      </c>
      <c r="E443" s="245" t="s">
        <v>198</v>
      </c>
      <c r="F443" s="245" t="s">
        <v>2230</v>
      </c>
      <c r="G443" s="245">
        <v>227</v>
      </c>
      <c r="H443" s="245" t="s">
        <v>2231</v>
      </c>
      <c r="I443" s="245" t="s">
        <v>2232</v>
      </c>
      <c r="J443" s="245" t="s">
        <v>4605</v>
      </c>
      <c r="K443" s="245" t="s">
        <v>213</v>
      </c>
      <c r="L443" s="245" t="s">
        <v>2396</v>
      </c>
      <c r="M443" s="245" t="s">
        <v>4942</v>
      </c>
      <c r="N443" s="245" t="s">
        <v>4620</v>
      </c>
      <c r="O443" s="158"/>
      <c r="P443" s="92"/>
      <c r="Q443" s="146"/>
      <c r="R443" s="92"/>
      <c r="S443" s="146"/>
      <c r="T443" s="92"/>
      <c r="U443" s="146"/>
      <c r="V443" s="92"/>
      <c r="W443" s="146"/>
      <c r="X443" s="92"/>
      <c r="Y443" s="146"/>
      <c r="Z443" s="92"/>
      <c r="AA443" s="146"/>
      <c r="AB443" s="64"/>
      <c r="AC443" s="146"/>
      <c r="AD443" s="64"/>
      <c r="AE443" s="146"/>
      <c r="AF443" s="215" t="str">
        <f t="shared" si="27"/>
        <v/>
      </c>
      <c r="AG443" s="96" t="b">
        <f t="shared" si="26"/>
        <v>0</v>
      </c>
      <c r="AH443" s="9"/>
      <c r="AI443" s="151" t="str">
        <f t="shared" si="29"/>
        <v>GUARULHOS</v>
      </c>
      <c r="AJ443" s="154" t="s">
        <v>6</v>
      </c>
      <c r="AK443" s="53">
        <v>0.13710513559072701</v>
      </c>
      <c r="AL443" s="53" t="str" cm="1">
        <f t="array" ref="AL443">IF(OR(O443&lt;&gt;"", SUMPRODUCT(($AM$2:$AM$210=AM443)*($AK$2:$AK$210&lt;=AK443)) &lt;= (COUNTIF($AM$2:$AM$210,AM443)*0.1)), "SORTEADO", "-")</f>
        <v>SORTEADO</v>
      </c>
      <c r="AM443" s="53" t="str">
        <f t="shared" si="28"/>
        <v>29/04/2026</v>
      </c>
    </row>
    <row r="444" spans="1:39" ht="30" hidden="1" customHeight="1" x14ac:dyDescent="0.2">
      <c r="A444" s="245" t="s">
        <v>197</v>
      </c>
      <c r="B444" s="245">
        <v>2617756183</v>
      </c>
      <c r="C444" s="245" t="s">
        <v>141</v>
      </c>
      <c r="D444" s="245" t="s">
        <v>67</v>
      </c>
      <c r="E444" s="245" t="s">
        <v>198</v>
      </c>
      <c r="F444" s="245" t="s">
        <v>1897</v>
      </c>
      <c r="G444" s="245">
        <v>110</v>
      </c>
      <c r="H444" s="245" t="s">
        <v>1898</v>
      </c>
      <c r="I444" s="245" t="s">
        <v>207</v>
      </c>
      <c r="J444" s="245" t="s">
        <v>4603</v>
      </c>
      <c r="K444" s="245"/>
      <c r="L444" s="245" t="s">
        <v>2396</v>
      </c>
      <c r="M444" s="245" t="s">
        <v>4943</v>
      </c>
      <c r="N444" s="245" t="s">
        <v>4620</v>
      </c>
      <c r="O444" s="158"/>
      <c r="P444" s="92"/>
      <c r="Q444" s="146"/>
      <c r="R444" s="92"/>
      <c r="S444" s="146"/>
      <c r="T444" s="92"/>
      <c r="U444" s="146"/>
      <c r="V444" s="92"/>
      <c r="W444" s="146"/>
      <c r="X444" s="92"/>
      <c r="Y444" s="146"/>
      <c r="Z444" s="92"/>
      <c r="AA444" s="146"/>
      <c r="AB444" s="64"/>
      <c r="AC444" s="146"/>
      <c r="AD444" s="64"/>
      <c r="AE444" s="146"/>
      <c r="AF444" s="215" t="str">
        <f t="shared" si="27"/>
        <v/>
      </c>
      <c r="AG444" s="96" t="b">
        <f t="shared" si="26"/>
        <v>0</v>
      </c>
      <c r="AH444" s="9"/>
      <c r="AI444" s="151" t="str">
        <f t="shared" si="29"/>
        <v>GUARULHOS</v>
      </c>
      <c r="AJ444" s="154" t="s">
        <v>6</v>
      </c>
      <c r="AK444" s="53">
        <v>0.20320691543642222</v>
      </c>
      <c r="AL444" s="53" t="str" cm="1">
        <f t="array" ref="AL444">IF(OR(O444&lt;&gt;"", SUMPRODUCT(($AM$2:$AM$210=AM444)*($AK$2:$AK$210&lt;=AK444)) &lt;= (COUNTIF($AM$2:$AM$210,AM444)*0.1)), "SORTEADO", "-")</f>
        <v>SORTEADO</v>
      </c>
      <c r="AM444" s="53" t="str">
        <f t="shared" si="28"/>
        <v>29/04/2026</v>
      </c>
    </row>
    <row r="445" spans="1:39" ht="30" hidden="1" customHeight="1" x14ac:dyDescent="0.2">
      <c r="A445" s="245" t="s">
        <v>197</v>
      </c>
      <c r="B445" s="245">
        <v>2617591171</v>
      </c>
      <c r="C445" s="245" t="s">
        <v>140</v>
      </c>
      <c r="D445" s="245" t="s">
        <v>67</v>
      </c>
      <c r="E445" s="245" t="s">
        <v>198</v>
      </c>
      <c r="F445" s="245" t="s">
        <v>2951</v>
      </c>
      <c r="G445" s="245">
        <v>382</v>
      </c>
      <c r="H445" s="245" t="s">
        <v>534</v>
      </c>
      <c r="I445" s="245" t="s">
        <v>1150</v>
      </c>
      <c r="J445" s="245" t="s">
        <v>4605</v>
      </c>
      <c r="K445" s="245" t="s">
        <v>213</v>
      </c>
      <c r="L445" s="245" t="s">
        <v>2396</v>
      </c>
      <c r="M445" s="245" t="s">
        <v>4944</v>
      </c>
      <c r="N445" s="245" t="s">
        <v>4620</v>
      </c>
      <c r="O445" s="158"/>
      <c r="P445" s="92"/>
      <c r="Q445" s="146"/>
      <c r="R445" s="92"/>
      <c r="S445" s="146"/>
      <c r="T445" s="92"/>
      <c r="U445" s="146"/>
      <c r="V445" s="92"/>
      <c r="W445" s="146"/>
      <c r="X445" s="92"/>
      <c r="Y445" s="146"/>
      <c r="Z445" s="92"/>
      <c r="AA445" s="146"/>
      <c r="AB445" s="64"/>
      <c r="AC445" s="146"/>
      <c r="AD445" s="64"/>
      <c r="AE445" s="146"/>
      <c r="AF445" s="215" t="str">
        <f t="shared" si="27"/>
        <v/>
      </c>
      <c r="AG445" s="96" t="b">
        <f t="shared" si="26"/>
        <v>0</v>
      </c>
      <c r="AH445" s="9"/>
      <c r="AI445" s="151" t="str">
        <f t="shared" si="29"/>
        <v>GUARULHOS</v>
      </c>
      <c r="AJ445" s="154" t="s">
        <v>6</v>
      </c>
      <c r="AK445" s="53">
        <v>0.62349131196344398</v>
      </c>
      <c r="AL445" s="53" t="str" cm="1">
        <f t="array" ref="AL445">IF(OR(O445&lt;&gt;"", SUMPRODUCT(($AM$2:$AM$210=AM445)*($AK$2:$AK$210&lt;=AK445)) &lt;= (COUNTIF($AM$2:$AM$210,AM445)*0.1)), "SORTEADO", "-")</f>
        <v>SORTEADO</v>
      </c>
      <c r="AM445" s="53" t="str">
        <f t="shared" si="28"/>
        <v>29/04/2026</v>
      </c>
    </row>
    <row r="446" spans="1:39" ht="30" hidden="1" customHeight="1" x14ac:dyDescent="0.2">
      <c r="A446" s="245" t="s">
        <v>197</v>
      </c>
      <c r="B446" s="245">
        <v>2617633797</v>
      </c>
      <c r="C446" s="245" t="s">
        <v>138</v>
      </c>
      <c r="D446" s="245" t="s">
        <v>67</v>
      </c>
      <c r="E446" s="245" t="s">
        <v>198</v>
      </c>
      <c r="F446" s="245" t="s">
        <v>2292</v>
      </c>
      <c r="G446" s="245">
        <v>144</v>
      </c>
      <c r="H446" s="245" t="s">
        <v>235</v>
      </c>
      <c r="I446" s="245" t="s">
        <v>2293</v>
      </c>
      <c r="J446" s="245" t="s">
        <v>4605</v>
      </c>
      <c r="K446" s="245"/>
      <c r="L446" s="245" t="s">
        <v>2396</v>
      </c>
      <c r="M446" s="245" t="s">
        <v>4945</v>
      </c>
      <c r="N446" s="245" t="s">
        <v>4620</v>
      </c>
      <c r="O446" s="158"/>
      <c r="P446" s="92"/>
      <c r="Q446" s="146"/>
      <c r="R446" s="92"/>
      <c r="S446" s="146"/>
      <c r="T446" s="92"/>
      <c r="U446" s="146"/>
      <c r="V446" s="92"/>
      <c r="W446" s="146"/>
      <c r="X446" s="92"/>
      <c r="Y446" s="146"/>
      <c r="Z446" s="92"/>
      <c r="AA446" s="146"/>
      <c r="AB446" s="64"/>
      <c r="AC446" s="146"/>
      <c r="AD446" s="64"/>
      <c r="AE446" s="146"/>
      <c r="AF446" s="215" t="str">
        <f t="shared" si="27"/>
        <v/>
      </c>
      <c r="AG446" s="96" t="b">
        <f t="shared" si="26"/>
        <v>0</v>
      </c>
      <c r="AH446" s="9"/>
      <c r="AI446" s="151" t="str">
        <f t="shared" si="29"/>
        <v>GUARULHOS</v>
      </c>
      <c r="AJ446" s="154" t="s">
        <v>6</v>
      </c>
      <c r="AK446" s="53">
        <v>0.26731180246185016</v>
      </c>
      <c r="AL446" s="53" t="str" cm="1">
        <f t="array" ref="AL446">IF(OR(O446&lt;&gt;"", SUMPRODUCT(($AM$2:$AM$210=AM446)*($AK$2:$AK$210&lt;=AK446)) &lt;= (COUNTIF($AM$2:$AM$210,AM446)*0.1)), "SORTEADO", "-")</f>
        <v>SORTEADO</v>
      </c>
      <c r="AM446" s="53" t="str">
        <f t="shared" si="28"/>
        <v>29/04/2026</v>
      </c>
    </row>
    <row r="447" spans="1:39" ht="30" hidden="1" customHeight="1" x14ac:dyDescent="0.2">
      <c r="A447" s="245" t="s">
        <v>197</v>
      </c>
      <c r="B447" s="245">
        <v>2617750887</v>
      </c>
      <c r="C447" s="245" t="s">
        <v>141</v>
      </c>
      <c r="D447" s="245" t="s">
        <v>67</v>
      </c>
      <c r="E447" s="245" t="s">
        <v>198</v>
      </c>
      <c r="F447" s="245" t="s">
        <v>1927</v>
      </c>
      <c r="G447" s="245">
        <v>374</v>
      </c>
      <c r="H447" s="245" t="s">
        <v>4946</v>
      </c>
      <c r="I447" s="245" t="s">
        <v>436</v>
      </c>
      <c r="J447" s="245" t="s">
        <v>4603</v>
      </c>
      <c r="K447" s="245" t="s">
        <v>213</v>
      </c>
      <c r="L447" s="245" t="s">
        <v>2396</v>
      </c>
      <c r="M447" s="245" t="s">
        <v>4947</v>
      </c>
      <c r="N447" s="245" t="s">
        <v>4620</v>
      </c>
      <c r="O447" s="158"/>
      <c r="P447" s="92"/>
      <c r="Q447" s="146"/>
      <c r="R447" s="92"/>
      <c r="S447" s="146"/>
      <c r="T447" s="92"/>
      <c r="U447" s="146"/>
      <c r="V447" s="92"/>
      <c r="W447" s="146"/>
      <c r="X447" s="92"/>
      <c r="Y447" s="146"/>
      <c r="Z447" s="92"/>
      <c r="AA447" s="146"/>
      <c r="AB447" s="64"/>
      <c r="AC447" s="146"/>
      <c r="AD447" s="64"/>
      <c r="AE447" s="146"/>
      <c r="AF447" s="215" t="str">
        <f t="shared" si="27"/>
        <v/>
      </c>
      <c r="AG447" s="96" t="b">
        <f t="shared" si="26"/>
        <v>0</v>
      </c>
      <c r="AH447" s="9"/>
      <c r="AI447" s="151" t="str">
        <f t="shared" si="29"/>
        <v>GUARULHOS</v>
      </c>
      <c r="AJ447" s="154" t="s">
        <v>6</v>
      </c>
      <c r="AK447" s="53">
        <v>0.9726491541569765</v>
      </c>
      <c r="AL447" s="53" t="str" cm="1">
        <f t="array" ref="AL447">IF(OR(O447&lt;&gt;"", SUMPRODUCT(($AM$2:$AM$210=AM447)*($AK$2:$AK$210&lt;=AK447)) &lt;= (COUNTIF($AM$2:$AM$210,AM447)*0.1)), "SORTEADO", "-")</f>
        <v>SORTEADO</v>
      </c>
      <c r="AM447" s="53" t="str">
        <f t="shared" si="28"/>
        <v>29/04/2026</v>
      </c>
    </row>
    <row r="448" spans="1:39" ht="30" hidden="1" customHeight="1" x14ac:dyDescent="0.2">
      <c r="A448" s="245" t="s">
        <v>197</v>
      </c>
      <c r="B448" s="245">
        <v>2691644312</v>
      </c>
      <c r="C448" s="245" t="s">
        <v>138</v>
      </c>
      <c r="D448" s="245" t="s">
        <v>67</v>
      </c>
      <c r="E448" s="245" t="s">
        <v>198</v>
      </c>
      <c r="F448" s="245" t="s">
        <v>2311</v>
      </c>
      <c r="G448" s="245">
        <v>515</v>
      </c>
      <c r="H448" s="245" t="s">
        <v>2312</v>
      </c>
      <c r="I448" s="245" t="s">
        <v>368</v>
      </c>
      <c r="J448" s="245" t="s">
        <v>4605</v>
      </c>
      <c r="K448" s="245"/>
      <c r="L448" s="245" t="s">
        <v>2396</v>
      </c>
      <c r="M448" s="245" t="s">
        <v>4948</v>
      </c>
      <c r="N448" s="245" t="s">
        <v>4604</v>
      </c>
      <c r="O448" s="158"/>
      <c r="P448" s="92"/>
      <c r="Q448" s="146"/>
      <c r="R448" s="92"/>
      <c r="S448" s="146"/>
      <c r="T448" s="92"/>
      <c r="U448" s="146"/>
      <c r="V448" s="92"/>
      <c r="W448" s="146"/>
      <c r="X448" s="92"/>
      <c r="Y448" s="146"/>
      <c r="Z448" s="92"/>
      <c r="AA448" s="146"/>
      <c r="AB448" s="64"/>
      <c r="AC448" s="146"/>
      <c r="AD448" s="64"/>
      <c r="AE448" s="146"/>
      <c r="AF448" s="215" t="str">
        <f t="shared" si="27"/>
        <v/>
      </c>
      <c r="AG448" s="96" t="b">
        <f t="shared" si="26"/>
        <v>0</v>
      </c>
      <c r="AH448" s="9"/>
      <c r="AI448" s="151" t="str">
        <f t="shared" si="29"/>
        <v>GUARULHOS</v>
      </c>
      <c r="AJ448" s="154" t="s">
        <v>6</v>
      </c>
      <c r="AK448" s="53">
        <v>0.10824249990397106</v>
      </c>
      <c r="AL448" s="53" t="str" cm="1">
        <f t="array" ref="AL448">IF(OR(O448&lt;&gt;"", SUMPRODUCT(($AM$2:$AM$210=AM448)*($AK$2:$AK$210&lt;=AK448)) &lt;= (COUNTIF($AM$2:$AM$210,AM448)*0.1)), "SORTEADO", "-")</f>
        <v>SORTEADO</v>
      </c>
      <c r="AM448" s="53" t="str">
        <f t="shared" si="28"/>
        <v>29/04/2026</v>
      </c>
    </row>
    <row r="449" spans="1:39" ht="30" hidden="1" customHeight="1" x14ac:dyDescent="0.2">
      <c r="A449" s="245" t="s">
        <v>197</v>
      </c>
      <c r="B449" s="245">
        <v>2617757908</v>
      </c>
      <c r="C449" s="245" t="s">
        <v>141</v>
      </c>
      <c r="D449" s="245" t="s">
        <v>67</v>
      </c>
      <c r="E449" s="245" t="s">
        <v>198</v>
      </c>
      <c r="F449" s="245" t="s">
        <v>238</v>
      </c>
      <c r="G449" s="245">
        <v>1475</v>
      </c>
      <c r="H449" s="245" t="s">
        <v>213</v>
      </c>
      <c r="I449" s="245" t="s">
        <v>1137</v>
      </c>
      <c r="J449" s="245" t="s">
        <v>4603</v>
      </c>
      <c r="K449" s="245" t="s">
        <v>4949</v>
      </c>
      <c r="L449" s="245" t="s">
        <v>2396</v>
      </c>
      <c r="M449" s="245" t="s">
        <v>4950</v>
      </c>
      <c r="N449" s="245" t="s">
        <v>4604</v>
      </c>
      <c r="O449" s="158"/>
      <c r="P449" s="92"/>
      <c r="Q449" s="146"/>
      <c r="R449" s="92"/>
      <c r="S449" s="146"/>
      <c r="T449" s="92"/>
      <c r="U449" s="146"/>
      <c r="V449" s="92"/>
      <c r="W449" s="146"/>
      <c r="X449" s="92"/>
      <c r="Y449" s="146"/>
      <c r="Z449" s="92"/>
      <c r="AA449" s="146"/>
      <c r="AB449" s="64"/>
      <c r="AC449" s="146"/>
      <c r="AD449" s="64"/>
      <c r="AE449" s="146"/>
      <c r="AF449" s="215" t="str">
        <f t="shared" si="27"/>
        <v/>
      </c>
      <c r="AG449" s="96" t="b">
        <f t="shared" ref="AG449:AG511" si="30">IF(AND(AE449="C",AF449="C"),"UTILIZOU O PDA CORRETAMENTE",IF(AND(AE449="C",AF449="NC"),"UTILIZOU O PDA CORRETAMENTE. NÃO HÁ FOTOS DE TODAS AS ETAPAS",IF(AND(AE449="NC",AF449="NC"),"NÃO UTILIZOU O PDA",IF(AND(AE449="NA",AF449="NA"),"NÃO AVALIADO POR FALHA DE SINCRONISMO"))))</f>
        <v>0</v>
      </c>
      <c r="AH449" s="9"/>
      <c r="AI449" s="151" t="str">
        <f t="shared" si="29"/>
        <v>GUARULHOS</v>
      </c>
      <c r="AJ449" s="154" t="s">
        <v>6</v>
      </c>
      <c r="AK449" s="53">
        <v>0.90299475870841284</v>
      </c>
      <c r="AL449" s="53" t="str" cm="1">
        <f t="array" ref="AL449">IF(OR(O449&lt;&gt;"", SUMPRODUCT(($AM$2:$AM$210=AM449)*($AK$2:$AK$210&lt;=AK449)) &lt;= (COUNTIF($AM$2:$AM$210,AM449)*0.1)), "SORTEADO", "-")</f>
        <v>SORTEADO</v>
      </c>
      <c r="AM449" s="53" t="str">
        <f t="shared" si="28"/>
        <v>29/04/2026</v>
      </c>
    </row>
    <row r="450" spans="1:39" ht="30" hidden="1" customHeight="1" x14ac:dyDescent="0.2">
      <c r="A450" s="245" t="s">
        <v>197</v>
      </c>
      <c r="B450" s="245">
        <v>2617750266</v>
      </c>
      <c r="C450" s="245" t="s">
        <v>141</v>
      </c>
      <c r="D450" s="245" t="s">
        <v>67</v>
      </c>
      <c r="E450" s="245" t="s">
        <v>198</v>
      </c>
      <c r="F450" s="245" t="s">
        <v>2044</v>
      </c>
      <c r="G450" s="245">
        <v>30</v>
      </c>
      <c r="H450" s="245" t="s">
        <v>1360</v>
      </c>
      <c r="I450" s="245" t="s">
        <v>301</v>
      </c>
      <c r="J450" s="245" t="s">
        <v>4603</v>
      </c>
      <c r="K450" s="245"/>
      <c r="L450" s="245" t="s">
        <v>2396</v>
      </c>
      <c r="M450" s="245" t="s">
        <v>4951</v>
      </c>
      <c r="N450" s="245" t="s">
        <v>4604</v>
      </c>
      <c r="O450" s="158"/>
      <c r="P450" s="92"/>
      <c r="Q450" s="146"/>
      <c r="R450" s="92"/>
      <c r="S450" s="146"/>
      <c r="T450" s="92"/>
      <c r="U450" s="146"/>
      <c r="V450" s="92"/>
      <c r="W450" s="146"/>
      <c r="X450" s="92"/>
      <c r="Y450" s="146"/>
      <c r="Z450" s="92"/>
      <c r="AA450" s="146"/>
      <c r="AB450" s="64"/>
      <c r="AC450" s="146"/>
      <c r="AD450" s="64"/>
      <c r="AE450" s="146"/>
      <c r="AF450" s="215" t="str">
        <f t="shared" ref="AF450:AF512" si="31">IF(AND(O450="",Q450="",S450="",U450="",W450="",Y450="",AA450="",AC450=""),"",
IF(OR(    AND(O450&lt;&gt;"NA",O450&lt;&gt;"C",O450&lt;&gt;"NC",O450&lt;&gt;"SF",O450&lt;&gt;""),
    AND(Q450&lt;&gt;"NA",Q450&lt;&gt;"C",Q450&lt;&gt;"NC",Q450&lt;&gt;"SF",Q450&lt;&gt;""),
    AND(S450&lt;&gt;"NA",S450&lt;&gt;"C",S450&lt;&gt;"NC",S450&lt;&gt;"SF",S450&lt;&gt;""),
    AND(U450&lt;&gt;"NA",U450&lt;&gt;"C",U450&lt;&gt;"NC",U450&lt;&gt;"SF",U450&lt;&gt;""),
    AND(W450&lt;&gt;"NA",W450&lt;&gt;"C",W450&lt;&gt;"NC",W450&lt;&gt;"SF",W450&lt;&gt;""),
    AND(Y450&lt;&gt;"NA",Y450&lt;&gt;"C",Y450&lt;&gt;"NC",Y450&lt;&gt;"SF",Y450&lt;&gt;""),
    AND(AA450&lt;&gt;"NA",AA450&lt;&gt;"C",AA450&lt;&gt;"NC",AA450&lt;&gt;"SF",AA450&lt;&gt;""),
    AND(AC450&lt;&gt;"NA",AC450&lt;&gt;"C",AC450&lt;&gt;"NC",AC450&lt;&gt;"SF",AC450&lt;&gt;"")
),"FALSO",
IF(AND(O450="NA",Q450="NA",S450="NA",U450="NA",W450="NA",Y450="NA",AA450="NA",AC450="NA"),"NA",
IF(OR(O450="NC",Q450="NC",S450="NC",U450="NC",W450="NC",Y450="NC",AA450="NC",AC450="NC",
       O450="SF",Q450="SF",S450="SF",U450="SF",W450="SF",Y450="SF",AA450="SF",AC450="SF"),"NC",
IF(SUM(IF(O450="C",1,0),IF(Q450="C",1,0),IF(S450="C",1,0),IF(U450="C",1,0),IF(W450="C",1,0),IF(Y450="C",1,0),IF(AA450="C",1,0),IF(AC450="C",1,0))=1,"C","C")))))</f>
        <v/>
      </c>
      <c r="AG450" s="96" t="b">
        <f t="shared" si="30"/>
        <v>0</v>
      </c>
      <c r="AH450" s="9"/>
      <c r="AI450" s="151" t="str">
        <f t="shared" si="29"/>
        <v>GUARULHOS</v>
      </c>
      <c r="AJ450" s="154" t="s">
        <v>6</v>
      </c>
      <c r="AK450" s="53">
        <v>0.10218168819450646</v>
      </c>
      <c r="AL450" s="53" t="str" cm="1">
        <f t="array" ref="AL450">IF(OR(O450&lt;&gt;"", SUMPRODUCT(($AM$2:$AM$210=AM450)*($AK$2:$AK$210&lt;=AK450)) &lt;= (COUNTIF($AM$2:$AM$210,AM450)*0.1)), "SORTEADO", "-")</f>
        <v>SORTEADO</v>
      </c>
      <c r="AM450" s="53" t="str">
        <f t="shared" si="28"/>
        <v>29/04/2026</v>
      </c>
    </row>
    <row r="451" spans="1:39" ht="30" hidden="1" customHeight="1" x14ac:dyDescent="0.2">
      <c r="A451" s="245" t="s">
        <v>197</v>
      </c>
      <c r="B451" s="245">
        <v>2617460355</v>
      </c>
      <c r="C451" s="245" t="s">
        <v>139</v>
      </c>
      <c r="D451" s="245" t="s">
        <v>67</v>
      </c>
      <c r="E451" s="245" t="s">
        <v>198</v>
      </c>
      <c r="F451" s="245" t="s">
        <v>3070</v>
      </c>
      <c r="G451" s="245">
        <v>13</v>
      </c>
      <c r="H451" s="245" t="s">
        <v>3071</v>
      </c>
      <c r="I451" s="245" t="s">
        <v>1768</v>
      </c>
      <c r="J451" s="245" t="s">
        <v>4603</v>
      </c>
      <c r="K451" s="245" t="s">
        <v>213</v>
      </c>
      <c r="L451" s="245" t="s">
        <v>2396</v>
      </c>
      <c r="M451" s="245" t="s">
        <v>4952</v>
      </c>
      <c r="N451" s="245" t="s">
        <v>4604</v>
      </c>
      <c r="O451" s="158"/>
      <c r="P451" s="92"/>
      <c r="Q451" s="146"/>
      <c r="R451" s="92"/>
      <c r="S451" s="146"/>
      <c r="T451" s="92"/>
      <c r="U451" s="146"/>
      <c r="V451" s="92"/>
      <c r="W451" s="146"/>
      <c r="X451" s="92"/>
      <c r="Y451" s="146"/>
      <c r="Z451" s="92"/>
      <c r="AA451" s="146"/>
      <c r="AB451" s="64"/>
      <c r="AC451" s="146"/>
      <c r="AD451" s="64"/>
      <c r="AE451" s="146"/>
      <c r="AF451" s="215" t="str">
        <f t="shared" si="31"/>
        <v/>
      </c>
      <c r="AG451" s="96" t="b">
        <f t="shared" si="30"/>
        <v>0</v>
      </c>
      <c r="AH451" s="9"/>
      <c r="AI451" s="151" t="str">
        <f t="shared" si="29"/>
        <v>GUARULHOS</v>
      </c>
      <c r="AJ451" s="154" t="s">
        <v>6</v>
      </c>
      <c r="AK451" s="53">
        <v>0.7532398906711103</v>
      </c>
      <c r="AL451" s="53" t="str" cm="1">
        <f t="array" ref="AL451">IF(OR(O451&lt;&gt;"", SUMPRODUCT(($AM$2:$AM$210=AM451)*($AK$2:$AK$210&lt;=AK451)) &lt;= (COUNTIF($AM$2:$AM$210,AM451)*0.1)), "SORTEADO", "-")</f>
        <v>SORTEADO</v>
      </c>
      <c r="AM451" s="53" t="str">
        <f t="shared" si="28"/>
        <v>29/04/2026</v>
      </c>
    </row>
    <row r="452" spans="1:39" ht="30" hidden="1" customHeight="1" x14ac:dyDescent="0.2">
      <c r="A452" s="245" t="s">
        <v>197</v>
      </c>
      <c r="B452" s="245">
        <v>2617537491</v>
      </c>
      <c r="C452" s="245" t="s">
        <v>138</v>
      </c>
      <c r="D452" s="245" t="s">
        <v>67</v>
      </c>
      <c r="E452" s="245" t="s">
        <v>198</v>
      </c>
      <c r="F452" s="245" t="s">
        <v>2225</v>
      </c>
      <c r="G452" s="245">
        <v>272</v>
      </c>
      <c r="H452" s="245"/>
      <c r="I452" s="245" t="s">
        <v>772</v>
      </c>
      <c r="J452" s="245" t="s">
        <v>4605</v>
      </c>
      <c r="K452" s="245"/>
      <c r="L452" s="245" t="s">
        <v>2396</v>
      </c>
      <c r="M452" s="245" t="s">
        <v>4953</v>
      </c>
      <c r="N452" s="245" t="s">
        <v>4604</v>
      </c>
      <c r="O452" s="158"/>
      <c r="P452" s="92"/>
      <c r="Q452" s="146"/>
      <c r="R452" s="92"/>
      <c r="S452" s="146"/>
      <c r="T452" s="92"/>
      <c r="U452" s="146"/>
      <c r="V452" s="92"/>
      <c r="W452" s="146"/>
      <c r="X452" s="92"/>
      <c r="Y452" s="146"/>
      <c r="Z452" s="92"/>
      <c r="AA452" s="146"/>
      <c r="AB452" s="64"/>
      <c r="AC452" s="146"/>
      <c r="AD452" s="64"/>
      <c r="AE452" s="146"/>
      <c r="AF452" s="215" t="str">
        <f t="shared" si="31"/>
        <v/>
      </c>
      <c r="AG452" s="96" t="b">
        <f t="shared" si="30"/>
        <v>0</v>
      </c>
      <c r="AH452" s="9"/>
      <c r="AI452" s="151" t="str">
        <f t="shared" si="29"/>
        <v>GUARULHOS</v>
      </c>
      <c r="AJ452" s="154" t="s">
        <v>6</v>
      </c>
      <c r="AK452" s="53">
        <v>0.2864117432592711</v>
      </c>
      <c r="AL452" s="53" t="str" cm="1">
        <f t="array" ref="AL452">IF(OR(O452&lt;&gt;"", SUMPRODUCT(($AM$2:$AM$210=AM452)*($AK$2:$AK$210&lt;=AK452)) &lt;= (COUNTIF($AM$2:$AM$210,AM452)*0.1)), "SORTEADO", "-")</f>
        <v>SORTEADO</v>
      </c>
      <c r="AM452" s="53" t="str">
        <f t="shared" si="28"/>
        <v>29/04/2026</v>
      </c>
    </row>
    <row r="453" spans="1:39" ht="30" hidden="1" customHeight="1" x14ac:dyDescent="0.2">
      <c r="A453" s="245" t="s">
        <v>197</v>
      </c>
      <c r="B453" s="245">
        <v>2617140946</v>
      </c>
      <c r="C453" s="245" t="s">
        <v>139</v>
      </c>
      <c r="D453" s="245" t="s">
        <v>67</v>
      </c>
      <c r="E453" s="245" t="s">
        <v>198</v>
      </c>
      <c r="F453" s="245" t="s">
        <v>1782</v>
      </c>
      <c r="G453" s="245">
        <v>51</v>
      </c>
      <c r="H453" s="245" t="s">
        <v>1790</v>
      </c>
      <c r="I453" s="245" t="s">
        <v>301</v>
      </c>
      <c r="J453" s="245" t="s">
        <v>4603</v>
      </c>
      <c r="K453" s="245" t="s">
        <v>4954</v>
      </c>
      <c r="L453" s="245" t="s">
        <v>2396</v>
      </c>
      <c r="M453" s="245" t="s">
        <v>4955</v>
      </c>
      <c r="N453" s="245" t="s">
        <v>4604</v>
      </c>
      <c r="O453" s="158"/>
      <c r="P453" s="92"/>
      <c r="Q453" s="146"/>
      <c r="R453" s="92"/>
      <c r="S453" s="146"/>
      <c r="T453" s="92"/>
      <c r="U453" s="146"/>
      <c r="V453" s="92"/>
      <c r="W453" s="146"/>
      <c r="X453" s="92"/>
      <c r="Y453" s="146"/>
      <c r="Z453" s="92"/>
      <c r="AA453" s="146"/>
      <c r="AB453" s="64"/>
      <c r="AC453" s="146"/>
      <c r="AD453" s="64"/>
      <c r="AE453" s="146"/>
      <c r="AF453" s="215" t="str">
        <f t="shared" si="31"/>
        <v/>
      </c>
      <c r="AG453" s="96" t="b">
        <f t="shared" si="30"/>
        <v>0</v>
      </c>
      <c r="AH453" s="9"/>
      <c r="AI453" s="151" t="str">
        <f t="shared" si="29"/>
        <v>GUARULHOS</v>
      </c>
      <c r="AJ453" s="154" t="s">
        <v>6</v>
      </c>
      <c r="AK453" s="53">
        <v>0.3058586987822457</v>
      </c>
      <c r="AL453" s="53" t="str" cm="1">
        <f t="array" ref="AL453">IF(OR(O453&lt;&gt;"", SUMPRODUCT(($AM$2:$AM$210=AM453)*($AK$2:$AK$210&lt;=AK453)) &lt;= (COUNTIF($AM$2:$AM$210,AM453)*0.1)), "SORTEADO", "-")</f>
        <v>SORTEADO</v>
      </c>
      <c r="AM453" s="53" t="str">
        <f t="shared" si="28"/>
        <v>29/04/2026</v>
      </c>
    </row>
    <row r="454" spans="1:39" ht="30" hidden="1" customHeight="1" x14ac:dyDescent="0.2">
      <c r="A454" s="245" t="s">
        <v>197</v>
      </c>
      <c r="B454" s="245">
        <v>2617750675</v>
      </c>
      <c r="C454" s="245" t="s">
        <v>141</v>
      </c>
      <c r="D454" s="245" t="s">
        <v>67</v>
      </c>
      <c r="E454" s="245" t="s">
        <v>198</v>
      </c>
      <c r="F454" s="245" t="s">
        <v>1208</v>
      </c>
      <c r="G454" s="245">
        <v>326</v>
      </c>
      <c r="H454" s="245" t="s">
        <v>508</v>
      </c>
      <c r="I454" s="245" t="s">
        <v>1210</v>
      </c>
      <c r="J454" s="245" t="s">
        <v>4603</v>
      </c>
      <c r="K454" s="245" t="s">
        <v>4612</v>
      </c>
      <c r="L454" s="245" t="s">
        <v>2396</v>
      </c>
      <c r="M454" s="245" t="s">
        <v>4956</v>
      </c>
      <c r="N454" s="245" t="s">
        <v>4613</v>
      </c>
      <c r="O454" s="158"/>
      <c r="P454" s="92"/>
      <c r="Q454" s="146"/>
      <c r="R454" s="92"/>
      <c r="S454" s="146"/>
      <c r="T454" s="92"/>
      <c r="U454" s="146"/>
      <c r="V454" s="92"/>
      <c r="W454" s="146"/>
      <c r="X454" s="92"/>
      <c r="Y454" s="146"/>
      <c r="Z454" s="92"/>
      <c r="AA454" s="146"/>
      <c r="AB454" s="64"/>
      <c r="AC454" s="146"/>
      <c r="AD454" s="64"/>
      <c r="AE454" s="146"/>
      <c r="AF454" s="215" t="str">
        <f t="shared" si="31"/>
        <v/>
      </c>
      <c r="AG454" s="96" t="b">
        <f t="shared" si="30"/>
        <v>0</v>
      </c>
      <c r="AH454" s="9"/>
      <c r="AI454" s="151" t="str">
        <f t="shared" si="29"/>
        <v>GUARULHOS</v>
      </c>
      <c r="AJ454" s="154" t="s">
        <v>6</v>
      </c>
      <c r="AK454" s="53">
        <v>0.97947078879244753</v>
      </c>
      <c r="AL454" s="53" t="str" cm="1">
        <f t="array" ref="AL454">IF(OR(O454&lt;&gt;"", SUMPRODUCT(($AM$2:$AM$210=AM454)*($AK$2:$AK$210&lt;=AK454)) &lt;= (COUNTIF($AM$2:$AM$210,AM454)*0.1)), "SORTEADO", "-")</f>
        <v>SORTEADO</v>
      </c>
      <c r="AM454" s="53" t="str">
        <f t="shared" si="28"/>
        <v>29/04/2026</v>
      </c>
    </row>
    <row r="455" spans="1:39" ht="30" hidden="1" customHeight="1" x14ac:dyDescent="0.2">
      <c r="A455" s="245" t="s">
        <v>197</v>
      </c>
      <c r="B455" s="245">
        <v>2616394268</v>
      </c>
      <c r="C455" s="245" t="s">
        <v>139</v>
      </c>
      <c r="D455" s="245" t="s">
        <v>67</v>
      </c>
      <c r="E455" s="245" t="s">
        <v>198</v>
      </c>
      <c r="F455" s="245" t="s">
        <v>1727</v>
      </c>
      <c r="G455" s="245">
        <v>51</v>
      </c>
      <c r="H455" s="245" t="s">
        <v>2204</v>
      </c>
      <c r="I455" s="245" t="s">
        <v>356</v>
      </c>
      <c r="J455" s="245" t="s">
        <v>4603</v>
      </c>
      <c r="K455" s="245" t="s">
        <v>4957</v>
      </c>
      <c r="L455" s="245" t="s">
        <v>2396</v>
      </c>
      <c r="M455" s="245" t="s">
        <v>4958</v>
      </c>
      <c r="N455" s="245" t="s">
        <v>4613</v>
      </c>
      <c r="O455" s="158"/>
      <c r="P455" s="92"/>
      <c r="Q455" s="146"/>
      <c r="R455" s="92"/>
      <c r="S455" s="146"/>
      <c r="T455" s="92"/>
      <c r="U455" s="146"/>
      <c r="V455" s="92"/>
      <c r="W455" s="146"/>
      <c r="X455" s="92"/>
      <c r="Y455" s="146"/>
      <c r="Z455" s="92"/>
      <c r="AA455" s="146"/>
      <c r="AB455" s="64"/>
      <c r="AC455" s="146"/>
      <c r="AD455" s="64"/>
      <c r="AE455" s="146"/>
      <c r="AF455" s="215" t="str">
        <f t="shared" si="31"/>
        <v/>
      </c>
      <c r="AG455" s="96" t="b">
        <f t="shared" si="30"/>
        <v>0</v>
      </c>
      <c r="AH455" s="9"/>
      <c r="AI455" s="151" t="str">
        <f t="shared" si="29"/>
        <v>GUARULHOS</v>
      </c>
      <c r="AJ455" s="154" t="s">
        <v>6</v>
      </c>
      <c r="AK455" s="53">
        <v>0.36387642956633626</v>
      </c>
      <c r="AL455" s="53" t="str" cm="1">
        <f t="array" ref="AL455">IF(OR(O455&lt;&gt;"", SUMPRODUCT(($AM$2:$AM$210=AM455)*($AK$2:$AK$210&lt;=AK455)) &lt;= (COUNTIF($AM$2:$AM$210,AM455)*0.1)), "SORTEADO", "-")</f>
        <v>SORTEADO</v>
      </c>
      <c r="AM455" s="53" t="str">
        <f t="shared" si="28"/>
        <v>29/04/2026</v>
      </c>
    </row>
    <row r="456" spans="1:39" ht="30" hidden="1" customHeight="1" x14ac:dyDescent="0.2">
      <c r="A456" s="245" t="s">
        <v>197</v>
      </c>
      <c r="B456" s="245">
        <v>2617567456</v>
      </c>
      <c r="C456" s="245" t="s">
        <v>138</v>
      </c>
      <c r="D456" s="245" t="s">
        <v>67</v>
      </c>
      <c r="E456" s="245" t="s">
        <v>198</v>
      </c>
      <c r="F456" s="245" t="s">
        <v>2235</v>
      </c>
      <c r="G456" s="245">
        <v>459</v>
      </c>
      <c r="H456" s="245"/>
      <c r="I456" s="245" t="s">
        <v>398</v>
      </c>
      <c r="J456" s="245" t="s">
        <v>4605</v>
      </c>
      <c r="K456" s="245" t="s">
        <v>4654</v>
      </c>
      <c r="L456" s="245" t="s">
        <v>2396</v>
      </c>
      <c r="M456" s="245" t="s">
        <v>4959</v>
      </c>
      <c r="N456" s="245" t="s">
        <v>4613</v>
      </c>
      <c r="O456" s="158"/>
      <c r="P456" s="92"/>
      <c r="Q456" s="146"/>
      <c r="R456" s="92"/>
      <c r="S456" s="146"/>
      <c r="T456" s="92"/>
      <c r="U456" s="146"/>
      <c r="V456" s="92"/>
      <c r="W456" s="146"/>
      <c r="X456" s="92"/>
      <c r="Y456" s="146"/>
      <c r="Z456" s="92"/>
      <c r="AA456" s="146"/>
      <c r="AB456" s="64"/>
      <c r="AC456" s="146"/>
      <c r="AD456" s="64"/>
      <c r="AE456" s="146"/>
      <c r="AF456" s="215" t="str">
        <f t="shared" si="31"/>
        <v/>
      </c>
      <c r="AG456" s="96" t="b">
        <f t="shared" si="30"/>
        <v>0</v>
      </c>
      <c r="AH456" s="9"/>
      <c r="AI456" s="151" t="str">
        <f t="shared" si="29"/>
        <v>GUARULHOS</v>
      </c>
      <c r="AJ456" s="154" t="s">
        <v>6</v>
      </c>
      <c r="AK456" s="53">
        <v>0.91055110586220611</v>
      </c>
      <c r="AL456" s="53" t="str" cm="1">
        <f t="array" ref="AL456">IF(OR(O456&lt;&gt;"", SUMPRODUCT(($AM$2:$AM$210=AM456)*($AK$2:$AK$210&lt;=AK456)) &lt;= (COUNTIF($AM$2:$AM$210,AM456)*0.1)), "SORTEADO", "-")</f>
        <v>SORTEADO</v>
      </c>
      <c r="AM456" s="53" t="str">
        <f t="shared" si="28"/>
        <v>29/04/2026</v>
      </c>
    </row>
    <row r="457" spans="1:39" ht="30" hidden="1" customHeight="1" x14ac:dyDescent="0.2">
      <c r="A457" s="245" t="s">
        <v>197</v>
      </c>
      <c r="B457" s="245">
        <v>2615071873</v>
      </c>
      <c r="C457" s="245" t="s">
        <v>141</v>
      </c>
      <c r="D457" s="245" t="s">
        <v>67</v>
      </c>
      <c r="E457" s="245" t="s">
        <v>198</v>
      </c>
      <c r="F457" s="245" t="s">
        <v>3025</v>
      </c>
      <c r="G457" s="245">
        <v>310</v>
      </c>
      <c r="H457" s="245" t="s">
        <v>3026</v>
      </c>
      <c r="I457" s="245" t="s">
        <v>1546</v>
      </c>
      <c r="J457" s="245" t="s">
        <v>4603</v>
      </c>
      <c r="K457" s="245" t="s">
        <v>4960</v>
      </c>
      <c r="L457" s="245" t="s">
        <v>2396</v>
      </c>
      <c r="M457" s="245" t="s">
        <v>4961</v>
      </c>
      <c r="N457" s="245" t="s">
        <v>4613</v>
      </c>
      <c r="O457" s="158"/>
      <c r="P457" s="92"/>
      <c r="Q457" s="146"/>
      <c r="R457" s="92"/>
      <c r="S457" s="146"/>
      <c r="T457" s="92"/>
      <c r="U457" s="146"/>
      <c r="V457" s="92"/>
      <c r="W457" s="146"/>
      <c r="X457" s="92"/>
      <c r="Y457" s="146"/>
      <c r="Z457" s="92"/>
      <c r="AA457" s="146"/>
      <c r="AB457" s="64"/>
      <c r="AC457" s="146"/>
      <c r="AD457" s="64"/>
      <c r="AE457" s="146"/>
      <c r="AF457" s="215" t="str">
        <f t="shared" si="31"/>
        <v/>
      </c>
      <c r="AG457" s="96" t="b">
        <f t="shared" si="30"/>
        <v>0</v>
      </c>
      <c r="AH457" s="9"/>
      <c r="AI457" s="151" t="str">
        <f t="shared" si="29"/>
        <v>GUARULHOS</v>
      </c>
      <c r="AJ457" s="154" t="s">
        <v>6</v>
      </c>
      <c r="AK457" s="53">
        <v>0.96901969656492071</v>
      </c>
      <c r="AL457" s="53" t="str" cm="1">
        <f t="array" ref="AL457">IF(OR(O457&lt;&gt;"", SUMPRODUCT(($AM$2:$AM$210=AM457)*($AK$2:$AK$210&lt;=AK457)) &lt;= (COUNTIF($AM$2:$AM$210,AM457)*0.1)), "SORTEADO", "-")</f>
        <v>SORTEADO</v>
      </c>
      <c r="AM457" s="53" t="str">
        <f t="shared" si="28"/>
        <v>29/04/2026</v>
      </c>
    </row>
    <row r="458" spans="1:39" ht="30" hidden="1" customHeight="1" x14ac:dyDescent="0.2">
      <c r="A458" s="245" t="s">
        <v>197</v>
      </c>
      <c r="B458" s="245">
        <v>2617610714</v>
      </c>
      <c r="C458" s="245" t="s">
        <v>141</v>
      </c>
      <c r="D458" s="245" t="s">
        <v>67</v>
      </c>
      <c r="E458" s="245" t="s">
        <v>198</v>
      </c>
      <c r="F458" s="245" t="s">
        <v>966</v>
      </c>
      <c r="G458" s="245">
        <v>1628</v>
      </c>
      <c r="H458" s="245" t="s">
        <v>2277</v>
      </c>
      <c r="I458" s="245" t="s">
        <v>588</v>
      </c>
      <c r="J458" s="245" t="s">
        <v>4603</v>
      </c>
      <c r="K458" s="245"/>
      <c r="L458" s="245" t="s">
        <v>2396</v>
      </c>
      <c r="M458" s="245" t="s">
        <v>4962</v>
      </c>
      <c r="N458" s="245" t="s">
        <v>4613</v>
      </c>
      <c r="O458" s="158"/>
      <c r="P458" s="92"/>
      <c r="Q458" s="146"/>
      <c r="R458" s="92"/>
      <c r="S458" s="146"/>
      <c r="T458" s="92"/>
      <c r="U458" s="146"/>
      <c r="V458" s="92"/>
      <c r="W458" s="146"/>
      <c r="X458" s="92"/>
      <c r="Y458" s="146"/>
      <c r="Z458" s="92"/>
      <c r="AA458" s="146"/>
      <c r="AB458" s="64"/>
      <c r="AC458" s="146"/>
      <c r="AD458" s="64"/>
      <c r="AE458" s="146"/>
      <c r="AF458" s="215" t="str">
        <f t="shared" si="31"/>
        <v/>
      </c>
      <c r="AG458" s="96" t="b">
        <f t="shared" si="30"/>
        <v>0</v>
      </c>
      <c r="AH458" s="9"/>
      <c r="AI458" s="151" t="str">
        <f t="shared" si="29"/>
        <v>GUARULHOS</v>
      </c>
      <c r="AJ458" s="154" t="s">
        <v>6</v>
      </c>
      <c r="AK458" s="53">
        <v>0.29363751807244109</v>
      </c>
      <c r="AL458" s="53" t="str" cm="1">
        <f t="array" ref="AL458">IF(OR(O458&lt;&gt;"", SUMPRODUCT(($AM$2:$AM$210=AM458)*($AK$2:$AK$210&lt;=AK458)) &lt;= (COUNTIF($AM$2:$AM$210,AM458)*0.1)), "SORTEADO", "-")</f>
        <v>SORTEADO</v>
      </c>
      <c r="AM458" s="53" t="str">
        <f t="shared" si="28"/>
        <v>29/04/2026</v>
      </c>
    </row>
    <row r="459" spans="1:39" ht="30" hidden="1" customHeight="1" x14ac:dyDescent="0.2">
      <c r="A459" s="245" t="s">
        <v>197</v>
      </c>
      <c r="B459" s="245">
        <v>2616898324</v>
      </c>
      <c r="C459" s="245" t="s">
        <v>139</v>
      </c>
      <c r="D459" s="245" t="s">
        <v>67</v>
      </c>
      <c r="E459" s="245" t="s">
        <v>198</v>
      </c>
      <c r="F459" s="245" t="s">
        <v>2198</v>
      </c>
      <c r="G459" s="245">
        <v>307</v>
      </c>
      <c r="H459" s="245" t="s">
        <v>206</v>
      </c>
      <c r="I459" s="245" t="s">
        <v>2199</v>
      </c>
      <c r="J459" s="245" t="s">
        <v>4603</v>
      </c>
      <c r="K459" s="245" t="s">
        <v>213</v>
      </c>
      <c r="L459" s="245" t="s">
        <v>2396</v>
      </c>
      <c r="M459" s="245" t="s">
        <v>4963</v>
      </c>
      <c r="N459" s="245" t="s">
        <v>4613</v>
      </c>
      <c r="O459" s="158"/>
      <c r="P459" s="92"/>
      <c r="Q459" s="146"/>
      <c r="R459" s="92"/>
      <c r="S459" s="146"/>
      <c r="T459" s="92"/>
      <c r="U459" s="146"/>
      <c r="V459" s="92"/>
      <c r="W459" s="146"/>
      <c r="X459" s="92"/>
      <c r="Y459" s="146"/>
      <c r="Z459" s="92"/>
      <c r="AA459" s="146"/>
      <c r="AB459" s="64"/>
      <c r="AC459" s="146"/>
      <c r="AD459" s="64"/>
      <c r="AE459" s="146"/>
      <c r="AF459" s="215" t="str">
        <f t="shared" si="31"/>
        <v/>
      </c>
      <c r="AG459" s="96" t="b">
        <f t="shared" si="30"/>
        <v>0</v>
      </c>
      <c r="AH459" s="9"/>
      <c r="AI459" s="151" t="str">
        <f t="shared" si="29"/>
        <v>GUARULHOS</v>
      </c>
      <c r="AJ459" s="154" t="s">
        <v>6</v>
      </c>
      <c r="AK459" s="53">
        <v>0.53868035506246925</v>
      </c>
      <c r="AL459" s="53" t="str" cm="1">
        <f t="array" ref="AL459">IF(OR(O459&lt;&gt;"", SUMPRODUCT(($AM$2:$AM$210=AM459)*($AK$2:$AK$210&lt;=AK459)) &lt;= (COUNTIF($AM$2:$AM$210,AM459)*0.1)), "SORTEADO", "-")</f>
        <v>SORTEADO</v>
      </c>
      <c r="AM459" s="53" t="str">
        <f t="shared" si="28"/>
        <v>29/04/2026</v>
      </c>
    </row>
    <row r="460" spans="1:39" ht="30" hidden="1" customHeight="1" x14ac:dyDescent="0.2">
      <c r="A460" s="245" t="s">
        <v>197</v>
      </c>
      <c r="B460" s="245">
        <v>2617758417</v>
      </c>
      <c r="C460" s="245" t="s">
        <v>138</v>
      </c>
      <c r="D460" s="245" t="s">
        <v>67</v>
      </c>
      <c r="E460" s="245" t="s">
        <v>198</v>
      </c>
      <c r="F460" s="245" t="s">
        <v>829</v>
      </c>
      <c r="G460" s="245">
        <v>801</v>
      </c>
      <c r="H460" s="245"/>
      <c r="I460" s="245" t="s">
        <v>247</v>
      </c>
      <c r="J460" s="245" t="s">
        <v>4605</v>
      </c>
      <c r="K460" s="245" t="s">
        <v>4612</v>
      </c>
      <c r="L460" s="245" t="s">
        <v>2396</v>
      </c>
      <c r="M460" s="245" t="s">
        <v>4964</v>
      </c>
      <c r="N460" s="245" t="s">
        <v>4613</v>
      </c>
      <c r="O460" s="158"/>
      <c r="P460" s="92"/>
      <c r="Q460" s="146"/>
      <c r="R460" s="92"/>
      <c r="S460" s="146"/>
      <c r="T460" s="92"/>
      <c r="U460" s="146"/>
      <c r="V460" s="92"/>
      <c r="W460" s="146"/>
      <c r="X460" s="92"/>
      <c r="Y460" s="146"/>
      <c r="Z460" s="92"/>
      <c r="AA460" s="146"/>
      <c r="AB460" s="64"/>
      <c r="AC460" s="146"/>
      <c r="AD460" s="64"/>
      <c r="AE460" s="146"/>
      <c r="AF460" s="215" t="str">
        <f t="shared" si="31"/>
        <v/>
      </c>
      <c r="AG460" s="96" t="b">
        <f t="shared" si="30"/>
        <v>0</v>
      </c>
      <c r="AH460" s="9"/>
      <c r="AI460" s="151" t="str">
        <f t="shared" si="29"/>
        <v>GUARULHOS</v>
      </c>
      <c r="AJ460" s="154" t="s">
        <v>6</v>
      </c>
      <c r="AK460" s="53">
        <v>0.40309705588777867</v>
      </c>
      <c r="AL460" s="53" t="str" cm="1">
        <f t="array" ref="AL460">IF(OR(O460&lt;&gt;"", SUMPRODUCT(($AM$2:$AM$210=AM460)*($AK$2:$AK$210&lt;=AK460)) &lt;= (COUNTIF($AM$2:$AM$210,AM460)*0.1)), "SORTEADO", "-")</f>
        <v>SORTEADO</v>
      </c>
      <c r="AM460" s="53" t="str">
        <f t="shared" si="28"/>
        <v>29/04/2026</v>
      </c>
    </row>
    <row r="461" spans="1:39" ht="30" hidden="1" customHeight="1" x14ac:dyDescent="0.2">
      <c r="A461" s="245" t="s">
        <v>197</v>
      </c>
      <c r="B461" s="245">
        <v>2691652140</v>
      </c>
      <c r="C461" s="245" t="s">
        <v>140</v>
      </c>
      <c r="D461" s="245" t="s">
        <v>67</v>
      </c>
      <c r="E461" s="245" t="s">
        <v>198</v>
      </c>
      <c r="F461" s="245" t="s">
        <v>2264</v>
      </c>
      <c r="G461" s="245">
        <v>199</v>
      </c>
      <c r="H461" s="245" t="s">
        <v>2265</v>
      </c>
      <c r="I461" s="245" t="s">
        <v>231</v>
      </c>
      <c r="J461" s="245" t="s">
        <v>4605</v>
      </c>
      <c r="K461" s="245" t="s">
        <v>213</v>
      </c>
      <c r="L461" s="245" t="s">
        <v>2396</v>
      </c>
      <c r="M461" s="245" t="s">
        <v>4965</v>
      </c>
      <c r="N461" s="245" t="s">
        <v>4613</v>
      </c>
      <c r="O461" s="158"/>
      <c r="P461" s="92"/>
      <c r="Q461" s="146"/>
      <c r="R461" s="92"/>
      <c r="S461" s="146"/>
      <c r="T461" s="92"/>
      <c r="U461" s="146"/>
      <c r="V461" s="92"/>
      <c r="W461" s="146"/>
      <c r="X461" s="92"/>
      <c r="Y461" s="146"/>
      <c r="Z461" s="92"/>
      <c r="AA461" s="146"/>
      <c r="AB461" s="64"/>
      <c r="AC461" s="146"/>
      <c r="AD461" s="64"/>
      <c r="AE461" s="146"/>
      <c r="AF461" s="215" t="str">
        <f t="shared" si="31"/>
        <v/>
      </c>
      <c r="AG461" s="96" t="b">
        <f t="shared" si="30"/>
        <v>0</v>
      </c>
      <c r="AH461" s="9"/>
      <c r="AI461" s="151" t="str">
        <f t="shared" si="29"/>
        <v>GUARULHOS</v>
      </c>
      <c r="AJ461" s="154" t="s">
        <v>6</v>
      </c>
      <c r="AK461" s="53">
        <v>6.6887568675750297E-2</v>
      </c>
      <c r="AL461" s="53" t="str" cm="1">
        <f t="array" ref="AL461">IF(OR(O461&lt;&gt;"", SUMPRODUCT(($AM$2:$AM$210=AM461)*($AK$2:$AK$210&lt;=AK461)) &lt;= (COUNTIF($AM$2:$AM$210,AM461)*0.1)), "SORTEADO", "-")</f>
        <v>SORTEADO</v>
      </c>
      <c r="AM461" s="53" t="str">
        <f t="shared" si="28"/>
        <v>29/04/2026</v>
      </c>
    </row>
    <row r="462" spans="1:39" ht="30" hidden="1" customHeight="1" x14ac:dyDescent="0.2">
      <c r="A462" s="245" t="s">
        <v>197</v>
      </c>
      <c r="B462" s="245">
        <v>2617599733</v>
      </c>
      <c r="C462" s="245" t="s">
        <v>140</v>
      </c>
      <c r="D462" s="245" t="s">
        <v>67</v>
      </c>
      <c r="E462" s="245" t="s">
        <v>198</v>
      </c>
      <c r="F462" s="245" t="s">
        <v>2394</v>
      </c>
      <c r="G462" s="245">
        <v>33</v>
      </c>
      <c r="H462" s="245"/>
      <c r="I462" s="245" t="s">
        <v>1575</v>
      </c>
      <c r="J462" s="245" t="s">
        <v>4605</v>
      </c>
      <c r="K462" s="245"/>
      <c r="L462" s="245" t="s">
        <v>2396</v>
      </c>
      <c r="M462" s="245" t="s">
        <v>4940</v>
      </c>
      <c r="N462" s="245" t="s">
        <v>4613</v>
      </c>
      <c r="O462" s="158"/>
      <c r="P462" s="92"/>
      <c r="Q462" s="146"/>
      <c r="R462" s="92"/>
      <c r="S462" s="146"/>
      <c r="T462" s="92"/>
      <c r="U462" s="146"/>
      <c r="V462" s="92"/>
      <c r="W462" s="146"/>
      <c r="X462" s="92"/>
      <c r="Y462" s="146"/>
      <c r="Z462" s="92"/>
      <c r="AA462" s="146"/>
      <c r="AB462" s="64"/>
      <c r="AC462" s="146"/>
      <c r="AD462" s="64"/>
      <c r="AE462" s="146"/>
      <c r="AF462" s="215" t="str">
        <f t="shared" si="31"/>
        <v/>
      </c>
      <c r="AG462" s="96" t="b">
        <f t="shared" si="30"/>
        <v>0</v>
      </c>
      <c r="AH462" s="9"/>
      <c r="AI462" s="151" t="str">
        <f t="shared" si="29"/>
        <v>GUARULHOS</v>
      </c>
      <c r="AJ462" s="154" t="s">
        <v>6</v>
      </c>
      <c r="AK462" s="53">
        <v>0.73553576035922963</v>
      </c>
      <c r="AL462" s="53" t="str" cm="1">
        <f t="array" ref="AL462">IF(OR(O462&lt;&gt;"", SUMPRODUCT(($AM$2:$AM$210=AM462)*($AK$2:$AK$210&lt;=AK462)) &lt;= (COUNTIF($AM$2:$AM$210,AM462)*0.1)), "SORTEADO", "-")</f>
        <v>SORTEADO</v>
      </c>
      <c r="AM462" s="53" t="str">
        <f t="shared" si="28"/>
        <v>29/04/2026</v>
      </c>
    </row>
    <row r="463" spans="1:39" ht="30" hidden="1" customHeight="1" x14ac:dyDescent="0.2">
      <c r="A463" s="245" t="s">
        <v>197</v>
      </c>
      <c r="B463" s="245">
        <v>2617303300</v>
      </c>
      <c r="C463" s="245" t="s">
        <v>141</v>
      </c>
      <c r="D463" s="245" t="s">
        <v>67</v>
      </c>
      <c r="E463" s="245" t="s">
        <v>198</v>
      </c>
      <c r="F463" s="245" t="s">
        <v>1727</v>
      </c>
      <c r="G463" s="245">
        <v>124</v>
      </c>
      <c r="H463" s="245" t="s">
        <v>213</v>
      </c>
      <c r="I463" s="245" t="s">
        <v>356</v>
      </c>
      <c r="J463" s="245" t="s">
        <v>4603</v>
      </c>
      <c r="K463" s="245" t="s">
        <v>4887</v>
      </c>
      <c r="L463" s="245" t="s">
        <v>2396</v>
      </c>
      <c r="M463" s="245" t="s">
        <v>3149</v>
      </c>
      <c r="N463" s="245" t="s">
        <v>4689</v>
      </c>
      <c r="O463" s="158"/>
      <c r="P463" s="92"/>
      <c r="Q463" s="146"/>
      <c r="R463" s="92"/>
      <c r="S463" s="146"/>
      <c r="T463" s="92"/>
      <c r="U463" s="146"/>
      <c r="V463" s="92"/>
      <c r="W463" s="146"/>
      <c r="X463" s="92"/>
      <c r="Y463" s="146"/>
      <c r="Z463" s="92"/>
      <c r="AA463" s="146"/>
      <c r="AB463" s="64"/>
      <c r="AC463" s="146"/>
      <c r="AD463" s="64"/>
      <c r="AE463" s="146"/>
      <c r="AF463" s="215" t="str">
        <f t="shared" si="31"/>
        <v/>
      </c>
      <c r="AG463" s="96" t="b">
        <f t="shared" si="30"/>
        <v>0</v>
      </c>
      <c r="AH463" s="9"/>
      <c r="AI463" s="151" t="str">
        <f t="shared" si="29"/>
        <v>GUARULHOS</v>
      </c>
      <c r="AJ463" s="154" t="s">
        <v>6</v>
      </c>
      <c r="AK463" s="53">
        <v>0.70521066699699197</v>
      </c>
      <c r="AL463" s="53" t="str" cm="1">
        <f t="array" ref="AL463">IF(OR(O463&lt;&gt;"", SUMPRODUCT(($AM$2:$AM$210=AM463)*($AK$2:$AK$210&lt;=AK463)) &lt;= (COUNTIF($AM$2:$AM$210,AM463)*0.1)), "SORTEADO", "-")</f>
        <v>SORTEADO</v>
      </c>
      <c r="AM463" s="53" t="str">
        <f t="shared" si="28"/>
        <v>29/04/2026</v>
      </c>
    </row>
    <row r="464" spans="1:39" ht="30" hidden="1" customHeight="1" x14ac:dyDescent="0.2">
      <c r="A464" s="245" t="s">
        <v>197</v>
      </c>
      <c r="B464" s="245">
        <v>2617272541</v>
      </c>
      <c r="C464" s="245" t="s">
        <v>141</v>
      </c>
      <c r="D464" s="245" t="s">
        <v>67</v>
      </c>
      <c r="E464" s="245" t="s">
        <v>198</v>
      </c>
      <c r="F464" s="245" t="s">
        <v>3067</v>
      </c>
      <c r="G464" s="245">
        <v>170</v>
      </c>
      <c r="H464" s="245"/>
      <c r="I464" s="245" t="s">
        <v>1397</v>
      </c>
      <c r="J464" s="245" t="s">
        <v>4603</v>
      </c>
      <c r="K464" s="245" t="s">
        <v>4887</v>
      </c>
      <c r="L464" s="245" t="s">
        <v>2396</v>
      </c>
      <c r="M464" s="245" t="s">
        <v>4966</v>
      </c>
      <c r="N464" s="245" t="s">
        <v>4689</v>
      </c>
      <c r="O464" s="158"/>
      <c r="P464" s="92"/>
      <c r="Q464" s="146"/>
      <c r="R464" s="92"/>
      <c r="S464" s="146"/>
      <c r="T464" s="92"/>
      <c r="U464" s="146"/>
      <c r="V464" s="92"/>
      <c r="W464" s="146"/>
      <c r="X464" s="92"/>
      <c r="Y464" s="146"/>
      <c r="Z464" s="92"/>
      <c r="AA464" s="146"/>
      <c r="AB464" s="64"/>
      <c r="AC464" s="146"/>
      <c r="AD464" s="64"/>
      <c r="AE464" s="146"/>
      <c r="AF464" s="215" t="str">
        <f t="shared" si="31"/>
        <v/>
      </c>
      <c r="AG464" s="96" t="b">
        <f t="shared" si="30"/>
        <v>0</v>
      </c>
      <c r="AH464" s="9"/>
      <c r="AI464" s="151" t="str">
        <f t="shared" si="29"/>
        <v>GUARULHOS</v>
      </c>
      <c r="AJ464" s="154" t="s">
        <v>6</v>
      </c>
      <c r="AK464" s="53">
        <v>0.38556970959530301</v>
      </c>
      <c r="AL464" s="53" t="str" cm="1">
        <f t="array" ref="AL464">IF(OR(O464&lt;&gt;"", SUMPRODUCT(($AM$2:$AM$210=AM464)*($AK$2:$AK$210&lt;=AK464)) &lt;= (COUNTIF($AM$2:$AM$210,AM464)*0.1)), "SORTEADO", "-")</f>
        <v>SORTEADO</v>
      </c>
      <c r="AM464" s="53" t="str">
        <f t="shared" si="28"/>
        <v>29/04/2026</v>
      </c>
    </row>
    <row r="465" spans="1:39" ht="30" hidden="1" customHeight="1" x14ac:dyDescent="0.2">
      <c r="A465" s="245" t="s">
        <v>197</v>
      </c>
      <c r="B465" s="245">
        <v>2617289849</v>
      </c>
      <c r="C465" s="245" t="s">
        <v>140</v>
      </c>
      <c r="D465" s="245" t="s">
        <v>67</v>
      </c>
      <c r="E465" s="245" t="s">
        <v>198</v>
      </c>
      <c r="F465" s="245" t="s">
        <v>3067</v>
      </c>
      <c r="G465" s="245">
        <v>170</v>
      </c>
      <c r="H465" s="245"/>
      <c r="I465" s="245" t="s">
        <v>1397</v>
      </c>
      <c r="J465" s="245" t="s">
        <v>4605</v>
      </c>
      <c r="K465" s="245" t="s">
        <v>4967</v>
      </c>
      <c r="L465" s="245" t="s">
        <v>2396</v>
      </c>
      <c r="M465" s="245" t="s">
        <v>4966</v>
      </c>
      <c r="N465" s="245" t="s">
        <v>4689</v>
      </c>
      <c r="O465" s="158"/>
      <c r="P465" s="92"/>
      <c r="Q465" s="146"/>
      <c r="R465" s="92"/>
      <c r="S465" s="146"/>
      <c r="T465" s="92"/>
      <c r="U465" s="146"/>
      <c r="V465" s="92"/>
      <c r="W465" s="146"/>
      <c r="X465" s="92"/>
      <c r="Y465" s="146"/>
      <c r="Z465" s="92"/>
      <c r="AA465" s="146"/>
      <c r="AB465" s="64"/>
      <c r="AC465" s="146"/>
      <c r="AD465" s="64"/>
      <c r="AE465" s="146"/>
      <c r="AF465" s="215" t="str">
        <f t="shared" si="31"/>
        <v/>
      </c>
      <c r="AG465" s="96" t="b">
        <f t="shared" si="30"/>
        <v>0</v>
      </c>
      <c r="AH465" s="9"/>
      <c r="AI465" s="151" t="str">
        <f t="shared" si="29"/>
        <v>GUARULHOS</v>
      </c>
      <c r="AJ465" s="154" t="s">
        <v>6</v>
      </c>
      <c r="AK465" s="53">
        <v>0.74695100793639324</v>
      </c>
      <c r="AL465" s="53" t="str" cm="1">
        <f t="array" ref="AL465">IF(OR(O465&lt;&gt;"", SUMPRODUCT(($AM$2:$AM$210=AM465)*($AK$2:$AK$210&lt;=AK465)) &lt;= (COUNTIF($AM$2:$AM$210,AM465)*0.1)), "SORTEADO", "-")</f>
        <v>SORTEADO</v>
      </c>
      <c r="AM465" s="53" t="str">
        <f t="shared" si="28"/>
        <v>29/04/2026</v>
      </c>
    </row>
    <row r="466" spans="1:39" ht="30" hidden="1" customHeight="1" x14ac:dyDescent="0.2">
      <c r="A466" s="245" t="s">
        <v>197</v>
      </c>
      <c r="B466" s="245">
        <v>2614627408</v>
      </c>
      <c r="C466" s="245" t="s">
        <v>141</v>
      </c>
      <c r="D466" s="245" t="s">
        <v>67</v>
      </c>
      <c r="E466" s="245" t="s">
        <v>198</v>
      </c>
      <c r="F466" s="245" t="s">
        <v>1727</v>
      </c>
      <c r="G466" s="245">
        <v>34</v>
      </c>
      <c r="H466" s="245" t="s">
        <v>3006</v>
      </c>
      <c r="I466" s="245" t="s">
        <v>356</v>
      </c>
      <c r="J466" s="245" t="s">
        <v>4603</v>
      </c>
      <c r="K466" s="245" t="s">
        <v>4887</v>
      </c>
      <c r="L466" s="245" t="s">
        <v>2396</v>
      </c>
      <c r="M466" s="245" t="s">
        <v>4966</v>
      </c>
      <c r="N466" s="245" t="s">
        <v>4689</v>
      </c>
      <c r="O466" s="158"/>
      <c r="P466" s="92"/>
      <c r="Q466" s="146"/>
      <c r="R466" s="92"/>
      <c r="S466" s="146"/>
      <c r="T466" s="92"/>
      <c r="U466" s="146"/>
      <c r="V466" s="92"/>
      <c r="W466" s="146"/>
      <c r="X466" s="92"/>
      <c r="Y466" s="146"/>
      <c r="Z466" s="92"/>
      <c r="AA466" s="146"/>
      <c r="AB466" s="64"/>
      <c r="AC466" s="146"/>
      <c r="AD466" s="64"/>
      <c r="AE466" s="146"/>
      <c r="AF466" s="215" t="str">
        <f t="shared" si="31"/>
        <v/>
      </c>
      <c r="AG466" s="96" t="b">
        <f t="shared" si="30"/>
        <v>0</v>
      </c>
      <c r="AH466" s="9"/>
      <c r="AI466" s="151" t="str">
        <f t="shared" si="29"/>
        <v>GUARULHOS</v>
      </c>
      <c r="AJ466" s="154" t="s">
        <v>6</v>
      </c>
      <c r="AK466" s="53">
        <v>0.9559682489810486</v>
      </c>
      <c r="AL466" s="53" t="str" cm="1">
        <f t="array" ref="AL466">IF(OR(O466&lt;&gt;"", SUMPRODUCT(($AM$2:$AM$210=AM466)*($AK$2:$AK$210&lt;=AK466)) &lt;= (COUNTIF($AM$2:$AM$210,AM466)*0.1)), "SORTEADO", "-")</f>
        <v>SORTEADO</v>
      </c>
      <c r="AM466" s="53" t="str">
        <f t="shared" si="28"/>
        <v>29/04/2026</v>
      </c>
    </row>
    <row r="467" spans="1:39" ht="30" hidden="1" customHeight="1" x14ac:dyDescent="0.2">
      <c r="A467" s="245" t="s">
        <v>197</v>
      </c>
      <c r="B467" s="245">
        <v>2616329834</v>
      </c>
      <c r="C467" s="245" t="s">
        <v>141</v>
      </c>
      <c r="D467" s="245" t="s">
        <v>67</v>
      </c>
      <c r="E467" s="245" t="s">
        <v>198</v>
      </c>
      <c r="F467" s="245" t="s">
        <v>1817</v>
      </c>
      <c r="G467" s="245">
        <v>184</v>
      </c>
      <c r="H467" s="245"/>
      <c r="I467" s="245" t="s">
        <v>772</v>
      </c>
      <c r="J467" s="245" t="s">
        <v>4603</v>
      </c>
      <c r="K467" s="245" t="s">
        <v>4887</v>
      </c>
      <c r="L467" s="245" t="s">
        <v>2396</v>
      </c>
      <c r="M467" s="245" t="s">
        <v>4966</v>
      </c>
      <c r="N467" s="245" t="s">
        <v>4689</v>
      </c>
      <c r="O467" s="158"/>
      <c r="P467" s="92"/>
      <c r="Q467" s="146"/>
      <c r="R467" s="92"/>
      <c r="S467" s="146"/>
      <c r="T467" s="92"/>
      <c r="U467" s="146"/>
      <c r="V467" s="92"/>
      <c r="W467" s="146"/>
      <c r="X467" s="92"/>
      <c r="Y467" s="146"/>
      <c r="Z467" s="92"/>
      <c r="AA467" s="146"/>
      <c r="AB467" s="64"/>
      <c r="AC467" s="146"/>
      <c r="AD467" s="64"/>
      <c r="AE467" s="146"/>
      <c r="AF467" s="215" t="str">
        <f t="shared" si="31"/>
        <v/>
      </c>
      <c r="AG467" s="96" t="b">
        <f t="shared" si="30"/>
        <v>0</v>
      </c>
      <c r="AH467" s="9"/>
      <c r="AI467" s="151" t="str">
        <f t="shared" si="29"/>
        <v>GUARULHOS</v>
      </c>
      <c r="AJ467" s="154" t="s">
        <v>6</v>
      </c>
      <c r="AK467" s="53">
        <v>0.30400117280142769</v>
      </c>
      <c r="AL467" s="53" t="str" cm="1">
        <f t="array" ref="AL467">IF(OR(O467&lt;&gt;"", SUMPRODUCT(($AM$2:$AM$210=AM467)*($AK$2:$AK$210&lt;=AK467)) &lt;= (COUNTIF($AM$2:$AM$210,AM467)*0.1)), "SORTEADO", "-")</f>
        <v>SORTEADO</v>
      </c>
      <c r="AM467" s="53" t="str">
        <f t="shared" si="28"/>
        <v>29/04/2026</v>
      </c>
    </row>
    <row r="468" spans="1:39" ht="30" hidden="1" customHeight="1" x14ac:dyDescent="0.2">
      <c r="A468" s="245" t="s">
        <v>197</v>
      </c>
      <c r="B468" s="245">
        <v>2613869556</v>
      </c>
      <c r="C468" s="245" t="s">
        <v>141</v>
      </c>
      <c r="D468" s="245" t="s">
        <v>67</v>
      </c>
      <c r="E468" s="245" t="s">
        <v>198</v>
      </c>
      <c r="F468" s="245" t="s">
        <v>688</v>
      </c>
      <c r="G468" s="245">
        <v>277</v>
      </c>
      <c r="H468" s="245" t="s">
        <v>700</v>
      </c>
      <c r="I468" s="245" t="s">
        <v>356</v>
      </c>
      <c r="J468" s="245" t="s">
        <v>4603</v>
      </c>
      <c r="K468" s="245" t="s">
        <v>4887</v>
      </c>
      <c r="L468" s="245" t="s">
        <v>2396</v>
      </c>
      <c r="M468" s="245" t="s">
        <v>4966</v>
      </c>
      <c r="N468" s="245" t="s">
        <v>4689</v>
      </c>
      <c r="O468" s="158"/>
      <c r="P468" s="92"/>
      <c r="Q468" s="146"/>
      <c r="R468" s="92"/>
      <c r="S468" s="146"/>
      <c r="T468" s="92"/>
      <c r="U468" s="146"/>
      <c r="V468" s="92"/>
      <c r="W468" s="146"/>
      <c r="X468" s="92"/>
      <c r="Y468" s="146"/>
      <c r="Z468" s="92"/>
      <c r="AA468" s="146"/>
      <c r="AB468" s="64"/>
      <c r="AC468" s="146"/>
      <c r="AD468" s="64"/>
      <c r="AE468" s="146"/>
      <c r="AF468" s="215" t="str">
        <f t="shared" si="31"/>
        <v/>
      </c>
      <c r="AG468" s="96" t="b">
        <f t="shared" si="30"/>
        <v>0</v>
      </c>
      <c r="AH468" s="9"/>
      <c r="AI468" s="151" t="str">
        <f t="shared" si="29"/>
        <v>GUARULHOS</v>
      </c>
      <c r="AJ468" s="154" t="s">
        <v>6</v>
      </c>
      <c r="AK468" s="53">
        <v>0.29296483044541755</v>
      </c>
      <c r="AL468" s="53" t="str" cm="1">
        <f t="array" ref="AL468">IF(OR(O468&lt;&gt;"", SUMPRODUCT(($AM$2:$AM$210=AM468)*($AK$2:$AK$210&lt;=AK468)) &lt;= (COUNTIF($AM$2:$AM$210,AM468)*0.1)), "SORTEADO", "-")</f>
        <v>SORTEADO</v>
      </c>
      <c r="AM468" s="53" t="str">
        <f t="shared" si="28"/>
        <v>29/04/2026</v>
      </c>
    </row>
    <row r="469" spans="1:39" ht="30" hidden="1" customHeight="1" x14ac:dyDescent="0.2">
      <c r="A469" s="245" t="s">
        <v>197</v>
      </c>
      <c r="B469" s="245">
        <v>2617307037</v>
      </c>
      <c r="C469" s="245" t="s">
        <v>141</v>
      </c>
      <c r="D469" s="245" t="s">
        <v>67</v>
      </c>
      <c r="E469" s="245" t="s">
        <v>198</v>
      </c>
      <c r="F469" s="245" t="s">
        <v>688</v>
      </c>
      <c r="G469" s="245">
        <v>338</v>
      </c>
      <c r="H469" s="245" t="s">
        <v>3175</v>
      </c>
      <c r="I469" s="245" t="s">
        <v>356</v>
      </c>
      <c r="J469" s="245" t="s">
        <v>4603</v>
      </c>
      <c r="K469" s="245" t="s">
        <v>4887</v>
      </c>
      <c r="L469" s="245" t="s">
        <v>2396</v>
      </c>
      <c r="M469" s="245" t="s">
        <v>4966</v>
      </c>
      <c r="N469" s="245" t="s">
        <v>4689</v>
      </c>
      <c r="O469" s="158"/>
      <c r="P469" s="92"/>
      <c r="Q469" s="146"/>
      <c r="R469" s="92"/>
      <c r="S469" s="146"/>
      <c r="T469" s="92"/>
      <c r="U469" s="146"/>
      <c r="V469" s="92"/>
      <c r="W469" s="146"/>
      <c r="X469" s="92"/>
      <c r="Y469" s="146"/>
      <c r="Z469" s="92"/>
      <c r="AA469" s="146"/>
      <c r="AB469" s="64"/>
      <c r="AC469" s="146"/>
      <c r="AD469" s="64"/>
      <c r="AE469" s="146"/>
      <c r="AF469" s="215" t="str">
        <f t="shared" si="31"/>
        <v/>
      </c>
      <c r="AG469" s="96" t="b">
        <f t="shared" si="30"/>
        <v>0</v>
      </c>
      <c r="AH469" s="9"/>
      <c r="AI469" s="151" t="str">
        <f t="shared" si="29"/>
        <v>GUARULHOS</v>
      </c>
      <c r="AJ469" s="154" t="s">
        <v>6</v>
      </c>
      <c r="AK469" s="53">
        <v>0.89680782470983889</v>
      </c>
      <c r="AL469" s="53" t="str" cm="1">
        <f t="array" ref="AL469">IF(OR(O469&lt;&gt;"", SUMPRODUCT(($AM$2:$AM$210=AM469)*($AK$2:$AK$210&lt;=AK469)) &lt;= (COUNTIF($AM$2:$AM$210,AM469)*0.1)), "SORTEADO", "-")</f>
        <v>SORTEADO</v>
      </c>
      <c r="AM469" s="53" t="str">
        <f t="shared" si="28"/>
        <v>29/04/2026</v>
      </c>
    </row>
    <row r="470" spans="1:39" ht="30" hidden="1" customHeight="1" x14ac:dyDescent="0.2">
      <c r="A470" s="245" t="s">
        <v>197</v>
      </c>
      <c r="B470" s="245">
        <v>2617307245</v>
      </c>
      <c r="C470" s="245" t="s">
        <v>141</v>
      </c>
      <c r="D470" s="245" t="s">
        <v>67</v>
      </c>
      <c r="E470" s="245" t="s">
        <v>198</v>
      </c>
      <c r="F470" s="245" t="s">
        <v>688</v>
      </c>
      <c r="G470" s="245">
        <v>401</v>
      </c>
      <c r="H470" s="245" t="s">
        <v>3177</v>
      </c>
      <c r="I470" s="245" t="s">
        <v>356</v>
      </c>
      <c r="J470" s="245" t="s">
        <v>4603</v>
      </c>
      <c r="K470" s="245" t="s">
        <v>4887</v>
      </c>
      <c r="L470" s="245" t="s">
        <v>2396</v>
      </c>
      <c r="M470" s="245" t="s">
        <v>4966</v>
      </c>
      <c r="N470" s="245" t="s">
        <v>4689</v>
      </c>
      <c r="O470" s="158"/>
      <c r="P470" s="92"/>
      <c r="Q470" s="146"/>
      <c r="R470" s="92"/>
      <c r="S470" s="146"/>
      <c r="T470" s="92"/>
      <c r="U470" s="146"/>
      <c r="V470" s="92"/>
      <c r="W470" s="146"/>
      <c r="X470" s="92"/>
      <c r="Y470" s="146"/>
      <c r="Z470" s="92"/>
      <c r="AA470" s="146"/>
      <c r="AB470" s="64"/>
      <c r="AC470" s="146"/>
      <c r="AD470" s="64"/>
      <c r="AE470" s="146"/>
      <c r="AF470" s="215" t="str">
        <f t="shared" si="31"/>
        <v/>
      </c>
      <c r="AG470" s="96" t="b">
        <f t="shared" si="30"/>
        <v>0</v>
      </c>
      <c r="AH470" s="9"/>
      <c r="AI470" s="151" t="str">
        <f t="shared" si="29"/>
        <v>GUARULHOS</v>
      </c>
      <c r="AJ470" s="154" t="s">
        <v>6</v>
      </c>
      <c r="AK470" s="53">
        <v>0.1587521240530112</v>
      </c>
      <c r="AL470" s="53" t="str" cm="1">
        <f t="array" ref="AL470">IF(OR(O470&lt;&gt;"", SUMPRODUCT(($AM$2:$AM$210=AM470)*($AK$2:$AK$210&lt;=AK470)) &lt;= (COUNTIF($AM$2:$AM$210,AM470)*0.1)), "SORTEADO", "-")</f>
        <v>SORTEADO</v>
      </c>
      <c r="AM470" s="53" t="str">
        <f t="shared" si="28"/>
        <v>29/04/2026</v>
      </c>
    </row>
    <row r="471" spans="1:39" ht="30" hidden="1" customHeight="1" x14ac:dyDescent="0.2">
      <c r="A471" s="245" t="s">
        <v>197</v>
      </c>
      <c r="B471" s="245">
        <v>2614794053</v>
      </c>
      <c r="C471" s="245" t="s">
        <v>141</v>
      </c>
      <c r="D471" s="245" t="s">
        <v>67</v>
      </c>
      <c r="E471" s="245" t="s">
        <v>198</v>
      </c>
      <c r="F471" s="245" t="s">
        <v>2718</v>
      </c>
      <c r="G471" s="245">
        <v>60</v>
      </c>
      <c r="H471" s="245" t="s">
        <v>235</v>
      </c>
      <c r="I471" s="245" t="s">
        <v>262</v>
      </c>
      <c r="J471" s="245" t="s">
        <v>4603</v>
      </c>
      <c r="K471" s="245" t="s">
        <v>4887</v>
      </c>
      <c r="L471" s="245" t="s">
        <v>2396</v>
      </c>
      <c r="M471" s="245" t="s">
        <v>3149</v>
      </c>
      <c r="N471" s="245" t="s">
        <v>4689</v>
      </c>
      <c r="O471" s="158"/>
      <c r="P471" s="92"/>
      <c r="Q471" s="146"/>
      <c r="R471" s="92"/>
      <c r="S471" s="146"/>
      <c r="T471" s="92"/>
      <c r="U471" s="146"/>
      <c r="V471" s="92"/>
      <c r="W471" s="146"/>
      <c r="X471" s="92"/>
      <c r="Y471" s="146"/>
      <c r="Z471" s="92"/>
      <c r="AA471" s="146"/>
      <c r="AB471" s="64"/>
      <c r="AC471" s="146"/>
      <c r="AD471" s="64"/>
      <c r="AE471" s="146"/>
      <c r="AF471" s="215" t="str">
        <f t="shared" si="31"/>
        <v/>
      </c>
      <c r="AG471" s="96" t="b">
        <f t="shared" si="30"/>
        <v>0</v>
      </c>
      <c r="AH471" s="9"/>
      <c r="AI471" s="151" t="str">
        <f t="shared" si="29"/>
        <v>GUARULHOS</v>
      </c>
      <c r="AJ471" s="154" t="s">
        <v>6</v>
      </c>
      <c r="AK471" s="53">
        <v>0.92064922742429434</v>
      </c>
      <c r="AL471" s="53" t="str" cm="1">
        <f t="array" ref="AL471">IF(OR(O471&lt;&gt;"", SUMPRODUCT(($AM$2:$AM$210=AM471)*($AK$2:$AK$210&lt;=AK471)) &lt;= (COUNTIF($AM$2:$AM$210,AM471)*0.1)), "SORTEADO", "-")</f>
        <v>SORTEADO</v>
      </c>
      <c r="AM471" s="53" t="str">
        <f t="shared" si="28"/>
        <v>29/04/2026</v>
      </c>
    </row>
    <row r="472" spans="1:39" ht="30" hidden="1" customHeight="1" x14ac:dyDescent="0.2">
      <c r="A472" s="245" t="s">
        <v>197</v>
      </c>
      <c r="B472" s="245">
        <v>2617316777</v>
      </c>
      <c r="C472" s="245" t="s">
        <v>141</v>
      </c>
      <c r="D472" s="245" t="s">
        <v>67</v>
      </c>
      <c r="E472" s="245" t="s">
        <v>198</v>
      </c>
      <c r="F472" s="245" t="s">
        <v>2718</v>
      </c>
      <c r="G472" s="245">
        <v>50</v>
      </c>
      <c r="H472" s="245" t="s">
        <v>3179</v>
      </c>
      <c r="I472" s="245" t="s">
        <v>262</v>
      </c>
      <c r="J472" s="245" t="s">
        <v>4603</v>
      </c>
      <c r="K472" s="245" t="s">
        <v>4887</v>
      </c>
      <c r="L472" s="245" t="s">
        <v>2396</v>
      </c>
      <c r="M472" s="245" t="s">
        <v>4968</v>
      </c>
      <c r="N472" s="245" t="s">
        <v>4689</v>
      </c>
      <c r="O472" s="158"/>
      <c r="P472" s="92"/>
      <c r="Q472" s="146"/>
      <c r="R472" s="92"/>
      <c r="S472" s="146"/>
      <c r="T472" s="92"/>
      <c r="U472" s="146"/>
      <c r="V472" s="92"/>
      <c r="W472" s="146"/>
      <c r="X472" s="92"/>
      <c r="Y472" s="146"/>
      <c r="Z472" s="92"/>
      <c r="AA472" s="146"/>
      <c r="AB472" s="64"/>
      <c r="AC472" s="146"/>
      <c r="AD472" s="64"/>
      <c r="AE472" s="146"/>
      <c r="AF472" s="215" t="str">
        <f t="shared" si="31"/>
        <v/>
      </c>
      <c r="AG472" s="96" t="b">
        <f t="shared" si="30"/>
        <v>0</v>
      </c>
      <c r="AH472" s="9"/>
      <c r="AI472" s="151" t="str">
        <f t="shared" si="29"/>
        <v>GUARULHOS</v>
      </c>
      <c r="AJ472" s="154" t="s">
        <v>6</v>
      </c>
      <c r="AK472" s="53">
        <v>1.9616835854792458E-2</v>
      </c>
      <c r="AL472" s="53" t="str" cm="1">
        <f t="array" ref="AL472">IF(OR(O472&lt;&gt;"", SUMPRODUCT(($AM$2:$AM$210=AM472)*($AK$2:$AK$210&lt;=AK472)) &lt;= (COUNTIF($AM$2:$AM$210,AM472)*0.1)), "SORTEADO", "-")</f>
        <v>SORTEADO</v>
      </c>
      <c r="AM472" s="53" t="str">
        <f t="shared" si="28"/>
        <v>29/04/2026</v>
      </c>
    </row>
    <row r="473" spans="1:39" ht="30" hidden="1" customHeight="1" x14ac:dyDescent="0.2">
      <c r="A473" s="253" t="s">
        <v>197</v>
      </c>
      <c r="B473" s="253">
        <v>2617316908</v>
      </c>
      <c r="C473" s="253" t="s">
        <v>141</v>
      </c>
      <c r="D473" s="253" t="s">
        <v>67</v>
      </c>
      <c r="E473" s="253" t="s">
        <v>198</v>
      </c>
      <c r="F473" s="253" t="s">
        <v>2718</v>
      </c>
      <c r="G473" s="253">
        <v>88</v>
      </c>
      <c r="H473" s="253" t="s">
        <v>3181</v>
      </c>
      <c r="I473" s="253" t="s">
        <v>262</v>
      </c>
      <c r="J473" s="253" t="s">
        <v>4603</v>
      </c>
      <c r="K473" s="253" t="s">
        <v>4887</v>
      </c>
      <c r="L473" s="253" t="s">
        <v>2396</v>
      </c>
      <c r="M473" s="253" t="s">
        <v>4966</v>
      </c>
      <c r="N473" s="253" t="s">
        <v>4689</v>
      </c>
      <c r="O473" s="158"/>
      <c r="P473" s="92"/>
      <c r="Q473" s="146"/>
      <c r="R473" s="92"/>
      <c r="S473" s="146"/>
      <c r="T473" s="92"/>
      <c r="U473" s="146"/>
      <c r="V473" s="92"/>
      <c r="W473" s="146"/>
      <c r="X473" s="92"/>
      <c r="Y473" s="146"/>
      <c r="Z473" s="92"/>
      <c r="AA473" s="146"/>
      <c r="AB473" s="64"/>
      <c r="AC473" s="146"/>
      <c r="AD473" s="64"/>
      <c r="AE473" s="146"/>
      <c r="AF473" s="215" t="str">
        <f t="shared" si="31"/>
        <v/>
      </c>
      <c r="AG473" s="96" t="b">
        <f t="shared" si="30"/>
        <v>0</v>
      </c>
      <c r="AH473" s="9"/>
      <c r="AI473" s="151" t="str">
        <f t="shared" si="29"/>
        <v>GUARULHOS</v>
      </c>
      <c r="AJ473" s="154" t="s">
        <v>6</v>
      </c>
      <c r="AK473" s="53">
        <v>0.20029033042928679</v>
      </c>
      <c r="AL473" s="53" t="str" cm="1">
        <f t="array" ref="AL473">IF(OR(O473&lt;&gt;"", SUMPRODUCT(($AM$2:$AM$210=AM473)*($AK$2:$AK$210&lt;=AK473)) &lt;= (COUNTIF($AM$2:$AM$210,AM473)*0.1)), "SORTEADO", "-")</f>
        <v>SORTEADO</v>
      </c>
      <c r="AM473" s="53" t="str">
        <f t="shared" si="28"/>
        <v>29/04/2026</v>
      </c>
    </row>
    <row r="474" spans="1:39" ht="30" hidden="1" customHeight="1" x14ac:dyDescent="0.2">
      <c r="A474" s="245" t="s">
        <v>197</v>
      </c>
      <c r="B474" s="245">
        <v>2691781695</v>
      </c>
      <c r="C474" s="245" t="s">
        <v>138</v>
      </c>
      <c r="D474" s="245" t="s">
        <v>67</v>
      </c>
      <c r="E474" s="245" t="s">
        <v>198</v>
      </c>
      <c r="F474" s="245" t="s">
        <v>2409</v>
      </c>
      <c r="G474" s="245">
        <v>38</v>
      </c>
      <c r="H474" s="245" t="s">
        <v>2107</v>
      </c>
      <c r="I474" s="245" t="s">
        <v>730</v>
      </c>
      <c r="J474" s="245" t="s">
        <v>4605</v>
      </c>
      <c r="K474" s="245" t="s">
        <v>213</v>
      </c>
      <c r="L474" s="245" t="s">
        <v>2516</v>
      </c>
      <c r="M474" s="245" t="s">
        <v>4969</v>
      </c>
      <c r="N474" s="245" t="s">
        <v>4620</v>
      </c>
      <c r="O474" s="158"/>
      <c r="P474" s="92"/>
      <c r="Q474" s="146"/>
      <c r="R474" s="92"/>
      <c r="S474" s="146"/>
      <c r="T474" s="92"/>
      <c r="U474" s="146"/>
      <c r="V474" s="92"/>
      <c r="W474" s="146"/>
      <c r="X474" s="92"/>
      <c r="Y474" s="146"/>
      <c r="Z474" s="92"/>
      <c r="AA474" s="146"/>
      <c r="AB474" s="64"/>
      <c r="AC474" s="146"/>
      <c r="AD474" s="64"/>
      <c r="AE474" s="146"/>
      <c r="AF474" s="215" t="str">
        <f t="shared" si="31"/>
        <v/>
      </c>
      <c r="AG474" s="96" t="b">
        <f t="shared" si="30"/>
        <v>0</v>
      </c>
      <c r="AH474" s="9"/>
      <c r="AI474" s="151" t="str">
        <f t="shared" si="29"/>
        <v>GUARULHOS</v>
      </c>
      <c r="AJ474" s="154" t="s">
        <v>6</v>
      </c>
      <c r="AK474" s="53">
        <v>0.72355411262618319</v>
      </c>
      <c r="AL474" s="53" t="str" cm="1">
        <f t="array" ref="AL474">IF(OR(O474&lt;&gt;"", SUMPRODUCT(($AM$2:$AM$210=AM474)*($AK$2:$AK$210&lt;=AK474)) &lt;= (COUNTIF($AM$2:$AM$210,AM474)*0.1)), "SORTEADO", "-")</f>
        <v>SORTEADO</v>
      </c>
      <c r="AM474" s="53" t="str">
        <f t="shared" si="28"/>
        <v>30/04/2026</v>
      </c>
    </row>
    <row r="475" spans="1:39" ht="30" hidden="1" customHeight="1" x14ac:dyDescent="0.2">
      <c r="A475" s="245" t="s">
        <v>197</v>
      </c>
      <c r="B475" s="245">
        <v>2614164004</v>
      </c>
      <c r="C475" s="245" t="s">
        <v>141</v>
      </c>
      <c r="D475" s="245" t="s">
        <v>67</v>
      </c>
      <c r="E475" s="245" t="s">
        <v>198</v>
      </c>
      <c r="F475" s="245" t="s">
        <v>2342</v>
      </c>
      <c r="G475" s="245">
        <v>29</v>
      </c>
      <c r="H475" s="245" t="s">
        <v>235</v>
      </c>
      <c r="I475" s="245" t="s">
        <v>366</v>
      </c>
      <c r="J475" s="245" t="s">
        <v>4603</v>
      </c>
      <c r="K475" s="245"/>
      <c r="L475" s="245" t="s">
        <v>2516</v>
      </c>
      <c r="M475" s="245" t="s">
        <v>4970</v>
      </c>
      <c r="N475" s="245" t="s">
        <v>4620</v>
      </c>
      <c r="O475" s="158"/>
      <c r="P475" s="92"/>
      <c r="Q475" s="146"/>
      <c r="R475" s="92"/>
      <c r="S475" s="146"/>
      <c r="T475" s="92"/>
      <c r="U475" s="146"/>
      <c r="V475" s="92"/>
      <c r="W475" s="146"/>
      <c r="X475" s="92"/>
      <c r="Y475" s="146"/>
      <c r="Z475" s="92"/>
      <c r="AA475" s="146"/>
      <c r="AB475" s="64"/>
      <c r="AC475" s="146"/>
      <c r="AD475" s="64"/>
      <c r="AE475" s="146"/>
      <c r="AF475" s="215" t="str">
        <f t="shared" si="31"/>
        <v/>
      </c>
      <c r="AG475" s="96" t="b">
        <f t="shared" si="30"/>
        <v>0</v>
      </c>
      <c r="AH475" s="9"/>
      <c r="AI475" s="151" t="str">
        <f t="shared" si="29"/>
        <v>GUARULHOS</v>
      </c>
      <c r="AJ475" s="154" t="s">
        <v>6</v>
      </c>
      <c r="AK475" s="53">
        <v>0.32917280602407628</v>
      </c>
      <c r="AL475" s="53" t="str" cm="1">
        <f t="array" ref="AL475">IF(OR(O475&lt;&gt;"", SUMPRODUCT(($AM$2:$AM$210=AM475)*($AK$2:$AK$210&lt;=AK475)) &lt;= (COUNTIF($AM$2:$AM$210,AM475)*0.1)), "SORTEADO", "-")</f>
        <v>SORTEADO</v>
      </c>
      <c r="AM475" s="53" t="str">
        <f t="shared" ref="AM475:AM513" si="32">TEXT(L475, "dd/mm/aaaa")</f>
        <v>30/04/2026</v>
      </c>
    </row>
    <row r="476" spans="1:39" ht="30" hidden="1" customHeight="1" x14ac:dyDescent="0.2">
      <c r="A476" s="245" t="s">
        <v>197</v>
      </c>
      <c r="B476" s="245">
        <v>2617565946</v>
      </c>
      <c r="C476" s="245" t="s">
        <v>140</v>
      </c>
      <c r="D476" s="245" t="s">
        <v>67</v>
      </c>
      <c r="E476" s="245" t="s">
        <v>198</v>
      </c>
      <c r="F476" s="245" t="s">
        <v>2227</v>
      </c>
      <c r="G476" s="245">
        <v>184</v>
      </c>
      <c r="H476" s="245" t="s">
        <v>2267</v>
      </c>
      <c r="I476" s="245" t="s">
        <v>730</v>
      </c>
      <c r="J476" s="245" t="s">
        <v>4605</v>
      </c>
      <c r="K476" s="245" t="s">
        <v>213</v>
      </c>
      <c r="L476" s="245" t="s">
        <v>2516</v>
      </c>
      <c r="M476" s="245" t="s">
        <v>4971</v>
      </c>
      <c r="N476" s="245" t="s">
        <v>4620</v>
      </c>
      <c r="O476" s="158"/>
      <c r="P476" s="92"/>
      <c r="Q476" s="146"/>
      <c r="R476" s="92"/>
      <c r="S476" s="146"/>
      <c r="T476" s="92"/>
      <c r="U476" s="146"/>
      <c r="V476" s="92"/>
      <c r="W476" s="146"/>
      <c r="X476" s="92"/>
      <c r="Y476" s="146"/>
      <c r="Z476" s="92"/>
      <c r="AA476" s="146"/>
      <c r="AB476" s="64"/>
      <c r="AC476" s="146"/>
      <c r="AD476" s="64"/>
      <c r="AE476" s="146"/>
      <c r="AF476" s="215" t="str">
        <f t="shared" si="31"/>
        <v/>
      </c>
      <c r="AG476" s="96" t="b">
        <f t="shared" si="30"/>
        <v>0</v>
      </c>
      <c r="AH476" s="9"/>
      <c r="AI476" s="151" t="str">
        <f t="shared" si="29"/>
        <v>GUARULHOS</v>
      </c>
      <c r="AJ476" s="154" t="s">
        <v>6</v>
      </c>
      <c r="AK476" s="53">
        <v>0.7814488574395112</v>
      </c>
      <c r="AL476" s="53" t="str" cm="1">
        <f t="array" ref="AL476">IF(OR(O476&lt;&gt;"", SUMPRODUCT(($AM$2:$AM$210=AM476)*($AK$2:$AK$210&lt;=AK476)) &lt;= (COUNTIF($AM$2:$AM$210,AM476)*0.1)), "SORTEADO", "-")</f>
        <v>SORTEADO</v>
      </c>
      <c r="AM476" s="53" t="str">
        <f t="shared" si="32"/>
        <v>30/04/2026</v>
      </c>
    </row>
    <row r="477" spans="1:39" ht="30" hidden="1" customHeight="1" x14ac:dyDescent="0.2">
      <c r="A477" s="245" t="s">
        <v>197</v>
      </c>
      <c r="B477" s="245">
        <v>2617604056</v>
      </c>
      <c r="C477" s="245" t="s">
        <v>138</v>
      </c>
      <c r="D477" s="245" t="s">
        <v>67</v>
      </c>
      <c r="E477" s="245" t="s">
        <v>198</v>
      </c>
      <c r="F477" s="245" t="s">
        <v>2317</v>
      </c>
      <c r="G477" s="245">
        <v>52</v>
      </c>
      <c r="H477" s="245" t="s">
        <v>2318</v>
      </c>
      <c r="I477" s="245" t="s">
        <v>207</v>
      </c>
      <c r="J477" s="245" t="s">
        <v>4605</v>
      </c>
      <c r="K477" s="245"/>
      <c r="L477" s="245" t="s">
        <v>2516</v>
      </c>
      <c r="M477" s="245" t="s">
        <v>4972</v>
      </c>
      <c r="N477" s="245" t="s">
        <v>4620</v>
      </c>
      <c r="O477" s="158"/>
      <c r="P477" s="92"/>
      <c r="Q477" s="146"/>
      <c r="R477" s="92"/>
      <c r="S477" s="146"/>
      <c r="T477" s="92"/>
      <c r="U477" s="146"/>
      <c r="V477" s="92"/>
      <c r="W477" s="146"/>
      <c r="X477" s="92"/>
      <c r="Y477" s="146"/>
      <c r="Z477" s="92"/>
      <c r="AA477" s="146"/>
      <c r="AB477" s="64"/>
      <c r="AC477" s="146"/>
      <c r="AD477" s="64"/>
      <c r="AE477" s="146"/>
      <c r="AF477" s="215" t="str">
        <f t="shared" si="31"/>
        <v/>
      </c>
      <c r="AG477" s="96" t="b">
        <f t="shared" si="30"/>
        <v>0</v>
      </c>
      <c r="AH477" s="9"/>
      <c r="AI477" s="151" t="str">
        <f t="shared" si="29"/>
        <v>GUARULHOS</v>
      </c>
      <c r="AJ477" s="154" t="s">
        <v>6</v>
      </c>
      <c r="AK477" s="53">
        <v>0.69440251696532496</v>
      </c>
      <c r="AL477" s="53" t="str" cm="1">
        <f t="array" ref="AL477">IF(OR(O477&lt;&gt;"", SUMPRODUCT(($AM$2:$AM$210=AM477)*($AK$2:$AK$210&lt;=AK477)) &lt;= (COUNTIF($AM$2:$AM$210,AM477)*0.1)), "SORTEADO", "-")</f>
        <v>SORTEADO</v>
      </c>
      <c r="AM477" s="53" t="str">
        <f t="shared" si="32"/>
        <v>30/04/2026</v>
      </c>
    </row>
    <row r="478" spans="1:39" ht="30" hidden="1" customHeight="1" x14ac:dyDescent="0.2">
      <c r="A478" s="245" t="s">
        <v>197</v>
      </c>
      <c r="B478" s="245">
        <v>2617729140</v>
      </c>
      <c r="C478" s="245" t="s">
        <v>139</v>
      </c>
      <c r="D478" s="245" t="s">
        <v>67</v>
      </c>
      <c r="E478" s="245" t="s">
        <v>198</v>
      </c>
      <c r="F478" s="245" t="s">
        <v>2478</v>
      </c>
      <c r="G478" s="245">
        <v>219</v>
      </c>
      <c r="H478" s="245" t="s">
        <v>415</v>
      </c>
      <c r="I478" s="245" t="s">
        <v>2479</v>
      </c>
      <c r="J478" s="245" t="s">
        <v>4603</v>
      </c>
      <c r="K478" s="245" t="s">
        <v>213</v>
      </c>
      <c r="L478" s="245" t="s">
        <v>2516</v>
      </c>
      <c r="M478" s="245" t="s">
        <v>4973</v>
      </c>
      <c r="N478" s="245" t="s">
        <v>4620</v>
      </c>
      <c r="O478" s="158"/>
      <c r="P478" s="92"/>
      <c r="Q478" s="146"/>
      <c r="R478" s="92"/>
      <c r="S478" s="146"/>
      <c r="T478" s="92"/>
      <c r="U478" s="146"/>
      <c r="V478" s="92"/>
      <c r="W478" s="146"/>
      <c r="X478" s="92"/>
      <c r="Y478" s="146"/>
      <c r="Z478" s="92"/>
      <c r="AA478" s="146"/>
      <c r="AB478" s="64"/>
      <c r="AC478" s="146"/>
      <c r="AD478" s="64"/>
      <c r="AE478" s="146"/>
      <c r="AF478" s="215" t="str">
        <f t="shared" si="31"/>
        <v/>
      </c>
      <c r="AG478" s="96" t="b">
        <f t="shared" si="30"/>
        <v>0</v>
      </c>
      <c r="AH478" s="9"/>
      <c r="AI478" s="151" t="str">
        <f t="shared" si="29"/>
        <v>GUARULHOS</v>
      </c>
      <c r="AJ478" s="154" t="s">
        <v>6</v>
      </c>
      <c r="AK478" s="53">
        <v>0.28317711081590213</v>
      </c>
      <c r="AL478" s="53" t="str" cm="1">
        <f t="array" ref="AL478">IF(OR(O478&lt;&gt;"", SUMPRODUCT(($AM$2:$AM$210=AM478)*($AK$2:$AK$210&lt;=AK478)) &lt;= (COUNTIF($AM$2:$AM$210,AM478)*0.1)), "SORTEADO", "-")</f>
        <v>SORTEADO</v>
      </c>
      <c r="AM478" s="53" t="str">
        <f t="shared" si="32"/>
        <v>30/04/2026</v>
      </c>
    </row>
    <row r="479" spans="1:39" ht="30" hidden="1" customHeight="1" x14ac:dyDescent="0.2">
      <c r="A479" s="245" t="s">
        <v>197</v>
      </c>
      <c r="B479" s="245">
        <v>2617591876</v>
      </c>
      <c r="C479" s="245" t="s">
        <v>138</v>
      </c>
      <c r="D479" s="245" t="s">
        <v>67</v>
      </c>
      <c r="E479" s="245" t="s">
        <v>198</v>
      </c>
      <c r="F479" s="245" t="s">
        <v>2296</v>
      </c>
      <c r="G479" s="245">
        <v>23</v>
      </c>
      <c r="H479" s="245" t="s">
        <v>206</v>
      </c>
      <c r="I479" s="245" t="s">
        <v>1744</v>
      </c>
      <c r="J479" s="245" t="s">
        <v>4605</v>
      </c>
      <c r="K479" s="245"/>
      <c r="L479" s="245" t="s">
        <v>2516</v>
      </c>
      <c r="M479" s="245" t="s">
        <v>4974</v>
      </c>
      <c r="N479" s="245" t="s">
        <v>4620</v>
      </c>
      <c r="O479" s="158"/>
      <c r="P479" s="92"/>
      <c r="Q479" s="146"/>
      <c r="R479" s="92"/>
      <c r="S479" s="146"/>
      <c r="T479" s="92"/>
      <c r="U479" s="146"/>
      <c r="V479" s="92"/>
      <c r="W479" s="146"/>
      <c r="X479" s="92"/>
      <c r="Y479" s="146"/>
      <c r="Z479" s="92"/>
      <c r="AA479" s="146"/>
      <c r="AB479" s="64"/>
      <c r="AC479" s="146"/>
      <c r="AD479" s="64"/>
      <c r="AE479" s="146"/>
      <c r="AF479" s="215" t="str">
        <f t="shared" si="31"/>
        <v/>
      </c>
      <c r="AG479" s="96" t="b">
        <f t="shared" si="30"/>
        <v>0</v>
      </c>
      <c r="AH479" s="9"/>
      <c r="AI479" s="151" t="str">
        <f t="shared" si="29"/>
        <v>GUARULHOS</v>
      </c>
      <c r="AJ479" s="154" t="s">
        <v>6</v>
      </c>
      <c r="AK479" s="53">
        <v>2.8237497025002556E-2</v>
      </c>
      <c r="AL479" s="53" t="str" cm="1">
        <f t="array" ref="AL479">IF(OR(O479&lt;&gt;"", SUMPRODUCT(($AM$2:$AM$210=AM479)*($AK$2:$AK$210&lt;=AK479)) &lt;= (COUNTIF($AM$2:$AM$210,AM479)*0.1)), "SORTEADO", "-")</f>
        <v>SORTEADO</v>
      </c>
      <c r="AM479" s="53" t="str">
        <f t="shared" si="32"/>
        <v>30/04/2026</v>
      </c>
    </row>
    <row r="480" spans="1:39" ht="30" hidden="1" customHeight="1" x14ac:dyDescent="0.2">
      <c r="A480" s="245" t="s">
        <v>197</v>
      </c>
      <c r="B480" s="245">
        <v>2617754628</v>
      </c>
      <c r="C480" s="245" t="s">
        <v>138</v>
      </c>
      <c r="D480" s="245" t="s">
        <v>67</v>
      </c>
      <c r="E480" s="245" t="s">
        <v>198</v>
      </c>
      <c r="F480" s="245" t="s">
        <v>2370</v>
      </c>
      <c r="G480" s="245">
        <v>86</v>
      </c>
      <c r="H480" s="245" t="s">
        <v>2371</v>
      </c>
      <c r="I480" s="245" t="s">
        <v>356</v>
      </c>
      <c r="J480" s="245" t="s">
        <v>4605</v>
      </c>
      <c r="K480" s="245" t="s">
        <v>213</v>
      </c>
      <c r="L480" s="245" t="s">
        <v>2516</v>
      </c>
      <c r="M480" s="245" t="s">
        <v>4975</v>
      </c>
      <c r="N480" s="245" t="s">
        <v>4620</v>
      </c>
      <c r="O480" s="158"/>
      <c r="P480" s="92"/>
      <c r="Q480" s="146"/>
      <c r="R480" s="92"/>
      <c r="S480" s="146"/>
      <c r="T480" s="92"/>
      <c r="U480" s="146"/>
      <c r="V480" s="92"/>
      <c r="W480" s="146"/>
      <c r="X480" s="92"/>
      <c r="Y480" s="146"/>
      <c r="Z480" s="92"/>
      <c r="AA480" s="146"/>
      <c r="AB480" s="64"/>
      <c r="AC480" s="146"/>
      <c r="AD480" s="64"/>
      <c r="AE480" s="146"/>
      <c r="AF480" s="215" t="str">
        <f t="shared" si="31"/>
        <v/>
      </c>
      <c r="AG480" s="96" t="b">
        <f t="shared" si="30"/>
        <v>0</v>
      </c>
      <c r="AH480" s="9"/>
      <c r="AI480" s="151" t="str">
        <f t="shared" si="29"/>
        <v>GUARULHOS</v>
      </c>
      <c r="AJ480" s="154" t="s">
        <v>6</v>
      </c>
      <c r="AK480" s="53">
        <v>0.78620499647244768</v>
      </c>
      <c r="AL480" s="53" t="str" cm="1">
        <f t="array" ref="AL480">IF(OR(O480&lt;&gt;"", SUMPRODUCT(($AM$2:$AM$210=AM480)*($AK$2:$AK$210&lt;=AK480)) &lt;= (COUNTIF($AM$2:$AM$210,AM480)*0.1)), "SORTEADO", "-")</f>
        <v>SORTEADO</v>
      </c>
      <c r="AM480" s="53" t="str">
        <f t="shared" si="32"/>
        <v>30/04/2026</v>
      </c>
    </row>
    <row r="481" spans="1:39" ht="30" hidden="1" customHeight="1" x14ac:dyDescent="0.2">
      <c r="A481" s="245" t="s">
        <v>197</v>
      </c>
      <c r="B481" s="245">
        <v>2617751500</v>
      </c>
      <c r="C481" s="245" t="s">
        <v>138</v>
      </c>
      <c r="D481" s="245" t="s">
        <v>67</v>
      </c>
      <c r="E481" s="245" t="s">
        <v>198</v>
      </c>
      <c r="F481" s="245" t="s">
        <v>3122</v>
      </c>
      <c r="G481" s="245">
        <v>388</v>
      </c>
      <c r="H481" s="245" t="s">
        <v>3123</v>
      </c>
      <c r="I481" s="245" t="s">
        <v>521</v>
      </c>
      <c r="J481" s="245" t="s">
        <v>4605</v>
      </c>
      <c r="K481" s="245"/>
      <c r="L481" s="245" t="s">
        <v>2516</v>
      </c>
      <c r="M481" s="245" t="s">
        <v>4976</v>
      </c>
      <c r="N481" s="245" t="s">
        <v>4604</v>
      </c>
      <c r="O481" s="158"/>
      <c r="P481" s="92"/>
      <c r="Q481" s="146"/>
      <c r="R481" s="92"/>
      <c r="S481" s="146"/>
      <c r="T481" s="92"/>
      <c r="U481" s="146"/>
      <c r="V481" s="92"/>
      <c r="W481" s="146"/>
      <c r="X481" s="92"/>
      <c r="Y481" s="146"/>
      <c r="Z481" s="92"/>
      <c r="AA481" s="146"/>
      <c r="AB481" s="64"/>
      <c r="AC481" s="146"/>
      <c r="AD481" s="64"/>
      <c r="AE481" s="146"/>
      <c r="AF481" s="215" t="str">
        <f t="shared" si="31"/>
        <v/>
      </c>
      <c r="AG481" s="96" t="b">
        <f t="shared" si="30"/>
        <v>0</v>
      </c>
      <c r="AH481" s="9"/>
      <c r="AI481" s="151" t="str">
        <f t="shared" si="29"/>
        <v>GUARULHOS</v>
      </c>
      <c r="AJ481" s="154" t="s">
        <v>6</v>
      </c>
      <c r="AK481" s="53">
        <v>0.9630061702828987</v>
      </c>
      <c r="AL481" s="53" t="str" cm="1">
        <f t="array" ref="AL481">IF(OR(O481&lt;&gt;"", SUMPRODUCT(($AM$2:$AM$210=AM481)*($AK$2:$AK$210&lt;=AK481)) &lt;= (COUNTIF($AM$2:$AM$210,AM481)*0.1)), "SORTEADO", "-")</f>
        <v>SORTEADO</v>
      </c>
      <c r="AM481" s="53" t="str">
        <f t="shared" si="32"/>
        <v>30/04/2026</v>
      </c>
    </row>
    <row r="482" spans="1:39" ht="30" hidden="1" customHeight="1" x14ac:dyDescent="0.2">
      <c r="A482" s="245" t="s">
        <v>197</v>
      </c>
      <c r="B482" s="245">
        <v>2617536782</v>
      </c>
      <c r="C482" s="245" t="s">
        <v>139</v>
      </c>
      <c r="D482" s="245" t="s">
        <v>67</v>
      </c>
      <c r="E482" s="245" t="s">
        <v>198</v>
      </c>
      <c r="F482" s="245" t="s">
        <v>2269</v>
      </c>
      <c r="G482" s="245">
        <v>197</v>
      </c>
      <c r="H482" s="245" t="s">
        <v>213</v>
      </c>
      <c r="I482" s="245" t="s">
        <v>509</v>
      </c>
      <c r="J482" s="245" t="s">
        <v>4603</v>
      </c>
      <c r="K482" s="245" t="s">
        <v>213</v>
      </c>
      <c r="L482" s="245" t="s">
        <v>2516</v>
      </c>
      <c r="M482" s="245" t="s">
        <v>3212</v>
      </c>
      <c r="N482" s="245" t="s">
        <v>4604</v>
      </c>
      <c r="O482" s="158"/>
      <c r="P482" s="92"/>
      <c r="Q482" s="146"/>
      <c r="R482" s="92"/>
      <c r="S482" s="146"/>
      <c r="T482" s="92"/>
      <c r="U482" s="146"/>
      <c r="V482" s="92"/>
      <c r="W482" s="146"/>
      <c r="X482" s="92"/>
      <c r="Y482" s="146"/>
      <c r="Z482" s="92"/>
      <c r="AA482" s="146"/>
      <c r="AB482" s="64"/>
      <c r="AC482" s="146"/>
      <c r="AD482" s="64"/>
      <c r="AE482" s="146"/>
      <c r="AF482" s="215" t="str">
        <f t="shared" si="31"/>
        <v/>
      </c>
      <c r="AG482" s="96" t="b">
        <f t="shared" si="30"/>
        <v>0</v>
      </c>
      <c r="AH482" s="9"/>
      <c r="AI482" s="151" t="str">
        <f t="shared" si="29"/>
        <v>GUARULHOS</v>
      </c>
      <c r="AJ482" s="154" t="s">
        <v>6</v>
      </c>
      <c r="AK482" s="53">
        <v>7.0375520120111612E-2</v>
      </c>
      <c r="AL482" s="53" t="str" cm="1">
        <f t="array" ref="AL482">IF(OR(O482&lt;&gt;"", SUMPRODUCT(($AM$2:$AM$210=AM482)*($AK$2:$AK$210&lt;=AK482)) &lt;= (COUNTIF($AM$2:$AM$210,AM482)*0.1)), "SORTEADO", "-")</f>
        <v>SORTEADO</v>
      </c>
      <c r="AM482" s="53" t="str">
        <f t="shared" si="32"/>
        <v>30/04/2026</v>
      </c>
    </row>
    <row r="483" spans="1:39" ht="30" hidden="1" customHeight="1" x14ac:dyDescent="0.2">
      <c r="A483" s="245" t="s">
        <v>197</v>
      </c>
      <c r="B483" s="245">
        <v>2617751127</v>
      </c>
      <c r="C483" s="245" t="s">
        <v>138</v>
      </c>
      <c r="D483" s="245" t="s">
        <v>67</v>
      </c>
      <c r="E483" s="245" t="s">
        <v>198</v>
      </c>
      <c r="F483" s="245" t="s">
        <v>3118</v>
      </c>
      <c r="G483" s="245">
        <v>55</v>
      </c>
      <c r="H483" s="245" t="s">
        <v>1599</v>
      </c>
      <c r="I483" s="245" t="s">
        <v>1163</v>
      </c>
      <c r="J483" s="245" t="s">
        <v>4605</v>
      </c>
      <c r="K483" s="245"/>
      <c r="L483" s="245" t="s">
        <v>2516</v>
      </c>
      <c r="M483" s="245" t="s">
        <v>4974</v>
      </c>
      <c r="N483" s="245" t="s">
        <v>4604</v>
      </c>
      <c r="O483" s="158"/>
      <c r="P483" s="92"/>
      <c r="Q483" s="146"/>
      <c r="R483" s="92"/>
      <c r="S483" s="146"/>
      <c r="T483" s="92"/>
      <c r="U483" s="146"/>
      <c r="V483" s="92"/>
      <c r="W483" s="146"/>
      <c r="X483" s="92"/>
      <c r="Y483" s="146"/>
      <c r="Z483" s="92"/>
      <c r="AA483" s="146"/>
      <c r="AB483" s="64"/>
      <c r="AC483" s="146"/>
      <c r="AD483" s="64"/>
      <c r="AE483" s="146"/>
      <c r="AF483" s="215" t="str">
        <f t="shared" si="31"/>
        <v/>
      </c>
      <c r="AG483" s="96" t="b">
        <f t="shared" si="30"/>
        <v>0</v>
      </c>
      <c r="AH483" s="9"/>
      <c r="AI483" s="151" t="str">
        <f t="shared" si="29"/>
        <v>GUARULHOS</v>
      </c>
      <c r="AJ483" s="154" t="s">
        <v>6</v>
      </c>
      <c r="AK483" s="53">
        <v>0.18897496340991726</v>
      </c>
      <c r="AL483" s="53" t="str" cm="1">
        <f t="array" ref="AL483">IF(OR(O483&lt;&gt;"", SUMPRODUCT(($AM$2:$AM$210=AM483)*($AK$2:$AK$210&lt;=AK483)) &lt;= (COUNTIF($AM$2:$AM$210,AM483)*0.1)), "SORTEADO", "-")</f>
        <v>SORTEADO</v>
      </c>
      <c r="AM483" s="53" t="str">
        <f t="shared" si="32"/>
        <v>30/04/2026</v>
      </c>
    </row>
    <row r="484" spans="1:39" ht="30" hidden="1" customHeight="1" x14ac:dyDescent="0.2">
      <c r="A484" s="245" t="s">
        <v>197</v>
      </c>
      <c r="B484" s="245">
        <v>2691641310</v>
      </c>
      <c r="C484" s="245" t="s">
        <v>138</v>
      </c>
      <c r="D484" s="245" t="s">
        <v>67</v>
      </c>
      <c r="E484" s="245" t="s">
        <v>198</v>
      </c>
      <c r="F484" s="245" t="s">
        <v>796</v>
      </c>
      <c r="G484" s="245">
        <v>122</v>
      </c>
      <c r="H484" s="245" t="s">
        <v>235</v>
      </c>
      <c r="I484" s="245" t="s">
        <v>797</v>
      </c>
      <c r="J484" s="245" t="s">
        <v>4605</v>
      </c>
      <c r="K484" s="245" t="s">
        <v>4977</v>
      </c>
      <c r="L484" s="245" t="s">
        <v>2516</v>
      </c>
      <c r="M484" s="245" t="s">
        <v>4978</v>
      </c>
      <c r="N484" s="245" t="s">
        <v>4604</v>
      </c>
      <c r="O484" s="158"/>
      <c r="P484" s="92"/>
      <c r="Q484" s="146"/>
      <c r="R484" s="92"/>
      <c r="S484" s="146"/>
      <c r="T484" s="92"/>
      <c r="U484" s="146"/>
      <c r="V484" s="92"/>
      <c r="W484" s="146"/>
      <c r="X484" s="92"/>
      <c r="Y484" s="146"/>
      <c r="Z484" s="92"/>
      <c r="AA484" s="146"/>
      <c r="AB484" s="64"/>
      <c r="AC484" s="146"/>
      <c r="AD484" s="64"/>
      <c r="AE484" s="146"/>
      <c r="AF484" s="215" t="str">
        <f t="shared" si="31"/>
        <v/>
      </c>
      <c r="AG484" s="96" t="b">
        <f t="shared" si="30"/>
        <v>0</v>
      </c>
      <c r="AH484" s="9"/>
      <c r="AI484" s="151" t="str">
        <f t="shared" si="29"/>
        <v>GUARULHOS</v>
      </c>
      <c r="AJ484" s="154" t="s">
        <v>6</v>
      </c>
      <c r="AK484" s="53">
        <v>0.31497934419701912</v>
      </c>
      <c r="AL484" s="53" t="str" cm="1">
        <f t="array" ref="AL484">IF(OR(O484&lt;&gt;"", SUMPRODUCT(($AM$2:$AM$210=AM484)*($AK$2:$AK$210&lt;=AK484)) &lt;= (COUNTIF($AM$2:$AM$210,AM484)*0.1)), "SORTEADO", "-")</f>
        <v>SORTEADO</v>
      </c>
      <c r="AM484" s="53" t="str">
        <f t="shared" si="32"/>
        <v>30/04/2026</v>
      </c>
    </row>
    <row r="485" spans="1:39" ht="30" hidden="1" customHeight="1" x14ac:dyDescent="0.2">
      <c r="A485" s="245" t="s">
        <v>197</v>
      </c>
      <c r="B485" s="245">
        <v>2691801827</v>
      </c>
      <c r="C485" s="245" t="s">
        <v>140</v>
      </c>
      <c r="D485" s="245" t="s">
        <v>67</v>
      </c>
      <c r="E485" s="245" t="s">
        <v>198</v>
      </c>
      <c r="F485" s="245" t="s">
        <v>861</v>
      </c>
      <c r="G485" s="245">
        <v>245</v>
      </c>
      <c r="H485" s="245" t="s">
        <v>2384</v>
      </c>
      <c r="I485" s="245" t="s">
        <v>411</v>
      </c>
      <c r="J485" s="245" t="s">
        <v>4605</v>
      </c>
      <c r="K485" s="245"/>
      <c r="L485" s="245" t="s">
        <v>2516</v>
      </c>
      <c r="M485" s="245" t="s">
        <v>2541</v>
      </c>
      <c r="N485" s="245" t="s">
        <v>4604</v>
      </c>
      <c r="O485" s="158"/>
      <c r="P485" s="92"/>
      <c r="Q485" s="146"/>
      <c r="R485" s="92"/>
      <c r="S485" s="146"/>
      <c r="T485" s="92"/>
      <c r="U485" s="146"/>
      <c r="V485" s="92"/>
      <c r="W485" s="146"/>
      <c r="X485" s="92"/>
      <c r="Y485" s="146"/>
      <c r="Z485" s="92"/>
      <c r="AA485" s="146"/>
      <c r="AB485" s="64"/>
      <c r="AC485" s="146"/>
      <c r="AD485" s="64"/>
      <c r="AE485" s="146"/>
      <c r="AF485" s="215" t="str">
        <f t="shared" si="31"/>
        <v/>
      </c>
      <c r="AG485" s="96" t="b">
        <f t="shared" si="30"/>
        <v>0</v>
      </c>
      <c r="AH485" s="9"/>
      <c r="AI485" s="151" t="str">
        <f t="shared" si="29"/>
        <v>GUARULHOS</v>
      </c>
      <c r="AJ485" s="154" t="s">
        <v>6</v>
      </c>
      <c r="AK485" s="53">
        <v>0.16838062334954251</v>
      </c>
      <c r="AL485" s="53" t="str" cm="1">
        <f t="array" ref="AL485">IF(OR(O485&lt;&gt;"", SUMPRODUCT(($AM$2:$AM$210=AM485)*($AK$2:$AK$210&lt;=AK485)) &lt;= (COUNTIF($AM$2:$AM$210,AM485)*0.1)), "SORTEADO", "-")</f>
        <v>SORTEADO</v>
      </c>
      <c r="AM485" s="53" t="str">
        <f t="shared" si="32"/>
        <v>30/04/2026</v>
      </c>
    </row>
    <row r="486" spans="1:39" ht="30" hidden="1" customHeight="1" x14ac:dyDescent="0.2">
      <c r="A486" s="245" t="s">
        <v>197</v>
      </c>
      <c r="B486" s="245">
        <v>2617736699</v>
      </c>
      <c r="C486" s="245" t="s">
        <v>140</v>
      </c>
      <c r="D486" s="245" t="s">
        <v>67</v>
      </c>
      <c r="E486" s="245" t="s">
        <v>198</v>
      </c>
      <c r="F486" s="245" t="s">
        <v>1248</v>
      </c>
      <c r="G486" s="245">
        <v>138</v>
      </c>
      <c r="H486" s="245" t="s">
        <v>1249</v>
      </c>
      <c r="I486" s="245" t="s">
        <v>791</v>
      </c>
      <c r="J486" s="245" t="s">
        <v>4605</v>
      </c>
      <c r="K486" s="245" t="s">
        <v>4845</v>
      </c>
      <c r="L486" s="245" t="s">
        <v>2516</v>
      </c>
      <c r="M486" s="245" t="s">
        <v>4979</v>
      </c>
      <c r="N486" s="245" t="s">
        <v>4604</v>
      </c>
      <c r="O486" s="158"/>
      <c r="P486" s="92"/>
      <c r="Q486" s="146"/>
      <c r="R486" s="92"/>
      <c r="S486" s="146"/>
      <c r="T486" s="92"/>
      <c r="U486" s="146"/>
      <c r="V486" s="92"/>
      <c r="W486" s="146"/>
      <c r="X486" s="92"/>
      <c r="Y486" s="146"/>
      <c r="Z486" s="92"/>
      <c r="AA486" s="146"/>
      <c r="AB486" s="64"/>
      <c r="AC486" s="146"/>
      <c r="AD486" s="64"/>
      <c r="AE486" s="146"/>
      <c r="AF486" s="215" t="str">
        <f t="shared" si="31"/>
        <v/>
      </c>
      <c r="AG486" s="96" t="b">
        <f t="shared" si="30"/>
        <v>0</v>
      </c>
      <c r="AH486" s="9"/>
      <c r="AI486" s="151" t="str">
        <f t="shared" si="29"/>
        <v>GUARULHOS</v>
      </c>
      <c r="AJ486" s="154" t="s">
        <v>6</v>
      </c>
      <c r="AK486" s="53">
        <v>1.9503654250309643E-2</v>
      </c>
      <c r="AL486" s="53" t="str" cm="1">
        <f t="array" ref="AL486">IF(OR(O486&lt;&gt;"", SUMPRODUCT(($AM$2:$AM$210=AM486)*($AK$2:$AK$210&lt;=AK486)) &lt;= (COUNTIF($AM$2:$AM$210,AM486)*0.1)), "SORTEADO", "-")</f>
        <v>SORTEADO</v>
      </c>
      <c r="AM486" s="53" t="str">
        <f t="shared" si="32"/>
        <v>30/04/2026</v>
      </c>
    </row>
    <row r="487" spans="1:39" ht="30" hidden="1" customHeight="1" x14ac:dyDescent="0.2">
      <c r="A487" s="245" t="s">
        <v>197</v>
      </c>
      <c r="B487" s="245">
        <v>2617590503</v>
      </c>
      <c r="C487" s="245" t="s">
        <v>138</v>
      </c>
      <c r="D487" s="245" t="s">
        <v>67</v>
      </c>
      <c r="E487" s="245" t="s">
        <v>198</v>
      </c>
      <c r="F487" s="245" t="s">
        <v>4980</v>
      </c>
      <c r="G487" s="245">
        <v>6</v>
      </c>
      <c r="H487" s="245" t="s">
        <v>4981</v>
      </c>
      <c r="I487" s="245" t="s">
        <v>331</v>
      </c>
      <c r="J487" s="245" t="s">
        <v>4605</v>
      </c>
      <c r="K487" s="245"/>
      <c r="L487" s="245" t="s">
        <v>2516</v>
      </c>
      <c r="M487" s="245" t="s">
        <v>4982</v>
      </c>
      <c r="N487" s="245" t="s">
        <v>4604</v>
      </c>
      <c r="O487" s="158"/>
      <c r="P487" s="92"/>
      <c r="Q487" s="146"/>
      <c r="R487" s="92"/>
      <c r="S487" s="146"/>
      <c r="T487" s="92"/>
      <c r="U487" s="146"/>
      <c r="V487" s="92"/>
      <c r="W487" s="146"/>
      <c r="X487" s="92"/>
      <c r="Y487" s="146"/>
      <c r="Z487" s="92"/>
      <c r="AA487" s="146"/>
      <c r="AB487" s="64"/>
      <c r="AC487" s="146"/>
      <c r="AD487" s="64"/>
      <c r="AE487" s="146"/>
      <c r="AF487" s="215" t="str">
        <f t="shared" si="31"/>
        <v/>
      </c>
      <c r="AG487" s="96" t="b">
        <f t="shared" si="30"/>
        <v>0</v>
      </c>
      <c r="AH487" s="9"/>
      <c r="AI487" s="151" t="str">
        <f t="shared" si="29"/>
        <v>GUARULHOS</v>
      </c>
      <c r="AJ487" s="154" t="s">
        <v>6</v>
      </c>
      <c r="AK487" s="53">
        <v>0.67406340772010453</v>
      </c>
      <c r="AL487" s="53" t="str" cm="1">
        <f t="array" ref="AL487">IF(OR(O487&lt;&gt;"", SUMPRODUCT(($AM$2:$AM$210=AM487)*($AK$2:$AK$210&lt;=AK487)) &lt;= (COUNTIF($AM$2:$AM$210,AM487)*0.1)), "SORTEADO", "-")</f>
        <v>SORTEADO</v>
      </c>
      <c r="AM487" s="53" t="str">
        <f t="shared" si="32"/>
        <v>30/04/2026</v>
      </c>
    </row>
    <row r="488" spans="1:39" ht="30" hidden="1" customHeight="1" x14ac:dyDescent="0.2">
      <c r="A488" s="245" t="s">
        <v>197</v>
      </c>
      <c r="B488" s="245">
        <v>2617733344</v>
      </c>
      <c r="C488" s="245" t="s">
        <v>138</v>
      </c>
      <c r="D488" s="245" t="s">
        <v>67</v>
      </c>
      <c r="E488" s="245" t="s">
        <v>198</v>
      </c>
      <c r="F488" s="245" t="s">
        <v>838</v>
      </c>
      <c r="G488" s="245">
        <v>137</v>
      </c>
      <c r="H488" s="245" t="s">
        <v>235</v>
      </c>
      <c r="I488" s="245" t="s">
        <v>277</v>
      </c>
      <c r="J488" s="245" t="s">
        <v>4605</v>
      </c>
      <c r="K488" s="245" t="s">
        <v>4610</v>
      </c>
      <c r="L488" s="245" t="s">
        <v>2516</v>
      </c>
      <c r="M488" s="245" t="s">
        <v>4983</v>
      </c>
      <c r="N488" s="245" t="s">
        <v>4604</v>
      </c>
      <c r="O488" s="158"/>
      <c r="P488" s="92"/>
      <c r="Q488" s="146"/>
      <c r="R488" s="92"/>
      <c r="S488" s="146"/>
      <c r="T488" s="92"/>
      <c r="U488" s="146"/>
      <c r="V488" s="92"/>
      <c r="W488" s="146"/>
      <c r="X488" s="92"/>
      <c r="Y488" s="146"/>
      <c r="Z488" s="92"/>
      <c r="AA488" s="146"/>
      <c r="AB488" s="64"/>
      <c r="AC488" s="146"/>
      <c r="AD488" s="64"/>
      <c r="AE488" s="146"/>
      <c r="AF488" s="215" t="str">
        <f t="shared" si="31"/>
        <v/>
      </c>
      <c r="AG488" s="96" t="b">
        <f t="shared" si="30"/>
        <v>0</v>
      </c>
      <c r="AH488" s="9"/>
      <c r="AI488" s="151" t="str">
        <f t="shared" si="29"/>
        <v>GUARULHOS</v>
      </c>
      <c r="AJ488" s="154" t="s">
        <v>6</v>
      </c>
      <c r="AK488" s="53">
        <v>0.61300060169167536</v>
      </c>
      <c r="AL488" s="53" t="str" cm="1">
        <f t="array" ref="AL488">IF(OR(O488&lt;&gt;"", SUMPRODUCT(($AM$2:$AM$210=AM488)*($AK$2:$AK$210&lt;=AK488)) &lt;= (COUNTIF($AM$2:$AM$210,AM488)*0.1)), "SORTEADO", "-")</f>
        <v>SORTEADO</v>
      </c>
      <c r="AM488" s="53" t="str">
        <f t="shared" si="32"/>
        <v>30/04/2026</v>
      </c>
    </row>
    <row r="489" spans="1:39" ht="30" hidden="1" customHeight="1" x14ac:dyDescent="0.2">
      <c r="A489" s="245" t="s">
        <v>197</v>
      </c>
      <c r="B489" s="245">
        <v>2617789540</v>
      </c>
      <c r="C489" s="245" t="s">
        <v>138</v>
      </c>
      <c r="D489" s="245" t="s">
        <v>67</v>
      </c>
      <c r="E489" s="245" t="s">
        <v>198</v>
      </c>
      <c r="F489" s="245" t="s">
        <v>2427</v>
      </c>
      <c r="G489" s="245">
        <v>973</v>
      </c>
      <c r="H489" s="245" t="s">
        <v>2428</v>
      </c>
      <c r="I489" s="245" t="s">
        <v>1150</v>
      </c>
      <c r="J489" s="245" t="s">
        <v>4605</v>
      </c>
      <c r="K489" s="245"/>
      <c r="L489" s="245" t="s">
        <v>2516</v>
      </c>
      <c r="M489" s="245" t="s">
        <v>4984</v>
      </c>
      <c r="N489" s="245" t="s">
        <v>4604</v>
      </c>
      <c r="O489" s="158"/>
      <c r="P489" s="92"/>
      <c r="Q489" s="146"/>
      <c r="R489" s="92"/>
      <c r="S489" s="146"/>
      <c r="T489" s="92"/>
      <c r="U489" s="146"/>
      <c r="V489" s="92"/>
      <c r="W489" s="146"/>
      <c r="X489" s="92"/>
      <c r="Y489" s="146"/>
      <c r="Z489" s="92"/>
      <c r="AA489" s="146"/>
      <c r="AB489" s="64"/>
      <c r="AC489" s="146"/>
      <c r="AD489" s="64"/>
      <c r="AE489" s="146"/>
      <c r="AF489" s="215" t="str">
        <f t="shared" si="31"/>
        <v/>
      </c>
      <c r="AG489" s="96" t="b">
        <f t="shared" si="30"/>
        <v>0</v>
      </c>
      <c r="AH489" s="9"/>
      <c r="AI489" s="151" t="str">
        <f t="shared" si="29"/>
        <v>GUARULHOS</v>
      </c>
      <c r="AJ489" s="154" t="s">
        <v>6</v>
      </c>
      <c r="AK489" s="53">
        <v>0.29826692168583013</v>
      </c>
      <c r="AL489" s="53" t="str" cm="1">
        <f t="array" ref="AL489">IF(OR(O489&lt;&gt;"", SUMPRODUCT(($AM$2:$AM$210=AM489)*($AK$2:$AK$210&lt;=AK489)) &lt;= (COUNTIF($AM$2:$AM$210,AM489)*0.1)), "SORTEADO", "-")</f>
        <v>SORTEADO</v>
      </c>
      <c r="AM489" s="53" t="str">
        <f t="shared" si="32"/>
        <v>30/04/2026</v>
      </c>
    </row>
    <row r="490" spans="1:39" ht="30" hidden="1" customHeight="1" x14ac:dyDescent="0.2">
      <c r="A490" s="245" t="s">
        <v>197</v>
      </c>
      <c r="B490" s="245">
        <v>2617567514</v>
      </c>
      <c r="C490" s="245" t="s">
        <v>139</v>
      </c>
      <c r="D490" s="245" t="s">
        <v>67</v>
      </c>
      <c r="E490" s="245" t="s">
        <v>198</v>
      </c>
      <c r="F490" s="245" t="s">
        <v>3067</v>
      </c>
      <c r="G490" s="245">
        <v>170</v>
      </c>
      <c r="H490" s="245" t="s">
        <v>213</v>
      </c>
      <c r="I490" s="245" t="s">
        <v>1397</v>
      </c>
      <c r="J490" s="245" t="s">
        <v>4603</v>
      </c>
      <c r="K490" s="245" t="s">
        <v>213</v>
      </c>
      <c r="L490" s="245" t="s">
        <v>2516</v>
      </c>
      <c r="M490" s="245" t="s">
        <v>4985</v>
      </c>
      <c r="N490" s="245" t="s">
        <v>4613</v>
      </c>
      <c r="O490" s="158"/>
      <c r="P490" s="92"/>
      <c r="Q490" s="146"/>
      <c r="R490" s="92"/>
      <c r="S490" s="146"/>
      <c r="T490" s="92"/>
      <c r="U490" s="146"/>
      <c r="V490" s="92"/>
      <c r="W490" s="146"/>
      <c r="X490" s="92"/>
      <c r="Y490" s="146"/>
      <c r="Z490" s="92"/>
      <c r="AA490" s="146"/>
      <c r="AB490" s="64"/>
      <c r="AC490" s="146"/>
      <c r="AD490" s="64"/>
      <c r="AE490" s="146"/>
      <c r="AF490" s="215" t="str">
        <f t="shared" si="31"/>
        <v/>
      </c>
      <c r="AG490" s="96" t="b">
        <f t="shared" si="30"/>
        <v>0</v>
      </c>
      <c r="AH490" s="9"/>
      <c r="AI490" s="151" t="str">
        <f t="shared" si="29"/>
        <v>GUARULHOS</v>
      </c>
      <c r="AJ490" s="154" t="s">
        <v>6</v>
      </c>
      <c r="AK490" s="53">
        <v>0.24019382178990722</v>
      </c>
      <c r="AL490" s="53" t="str" cm="1">
        <f t="array" ref="AL490">IF(OR(O490&lt;&gt;"", SUMPRODUCT(($AM$2:$AM$210=AM490)*($AK$2:$AK$210&lt;=AK490)) &lt;= (COUNTIF($AM$2:$AM$210,AM490)*0.1)), "SORTEADO", "-")</f>
        <v>SORTEADO</v>
      </c>
      <c r="AM490" s="53" t="str">
        <f t="shared" si="32"/>
        <v>30/04/2026</v>
      </c>
    </row>
    <row r="491" spans="1:39" ht="30" hidden="1" customHeight="1" x14ac:dyDescent="0.2">
      <c r="A491" s="245" t="s">
        <v>197</v>
      </c>
      <c r="B491" s="245">
        <v>2617743128</v>
      </c>
      <c r="C491" s="245" t="s">
        <v>138</v>
      </c>
      <c r="D491" s="245" t="s">
        <v>67</v>
      </c>
      <c r="E491" s="245" t="s">
        <v>198</v>
      </c>
      <c r="F491" s="245" t="s">
        <v>829</v>
      </c>
      <c r="G491" s="245">
        <v>775</v>
      </c>
      <c r="H491" s="245"/>
      <c r="I491" s="245" t="s">
        <v>664</v>
      </c>
      <c r="J491" s="245" t="s">
        <v>4605</v>
      </c>
      <c r="K491" s="245" t="s">
        <v>4986</v>
      </c>
      <c r="L491" s="245" t="s">
        <v>2516</v>
      </c>
      <c r="M491" s="245" t="s">
        <v>4987</v>
      </c>
      <c r="N491" s="245" t="s">
        <v>4613</v>
      </c>
      <c r="O491" s="158"/>
      <c r="P491" s="92"/>
      <c r="Q491" s="146"/>
      <c r="R491" s="92"/>
      <c r="S491" s="146"/>
      <c r="T491" s="92"/>
      <c r="U491" s="146"/>
      <c r="V491" s="92"/>
      <c r="W491" s="146"/>
      <c r="X491" s="92"/>
      <c r="Y491" s="146"/>
      <c r="Z491" s="92"/>
      <c r="AA491" s="146"/>
      <c r="AB491" s="64"/>
      <c r="AC491" s="146"/>
      <c r="AD491" s="64"/>
      <c r="AE491" s="146"/>
      <c r="AF491" s="215" t="str">
        <f t="shared" si="31"/>
        <v/>
      </c>
      <c r="AG491" s="96" t="b">
        <f t="shared" si="30"/>
        <v>0</v>
      </c>
      <c r="AH491" s="9"/>
      <c r="AI491" s="151" t="str">
        <f t="shared" si="29"/>
        <v>GUARULHOS</v>
      </c>
      <c r="AJ491" s="154" t="s">
        <v>6</v>
      </c>
      <c r="AK491" s="53">
        <v>8.7080996536732624E-2</v>
      </c>
      <c r="AL491" s="53" t="str" cm="1">
        <f t="array" ref="AL491">IF(OR(O491&lt;&gt;"", SUMPRODUCT(($AM$2:$AM$210=AM491)*($AK$2:$AK$210&lt;=AK491)) &lt;= (COUNTIF($AM$2:$AM$210,AM491)*0.1)), "SORTEADO", "-")</f>
        <v>SORTEADO</v>
      </c>
      <c r="AM491" s="53" t="str">
        <f t="shared" si="32"/>
        <v>30/04/2026</v>
      </c>
    </row>
    <row r="492" spans="1:39" ht="30" hidden="1" customHeight="1" x14ac:dyDescent="0.2">
      <c r="A492" s="245" t="s">
        <v>197</v>
      </c>
      <c r="B492" s="245">
        <v>2617782851</v>
      </c>
      <c r="C492" s="245" t="s">
        <v>139</v>
      </c>
      <c r="D492" s="245" t="s">
        <v>67</v>
      </c>
      <c r="E492" s="245" t="s">
        <v>198</v>
      </c>
      <c r="F492" s="245" t="s">
        <v>2394</v>
      </c>
      <c r="G492" s="245">
        <v>33</v>
      </c>
      <c r="H492" s="245" t="s">
        <v>213</v>
      </c>
      <c r="I492" s="245" t="s">
        <v>1575</v>
      </c>
      <c r="J492" s="245" t="s">
        <v>4603</v>
      </c>
      <c r="K492" s="245" t="s">
        <v>4988</v>
      </c>
      <c r="L492" s="245" t="s">
        <v>2516</v>
      </c>
      <c r="M492" s="245" t="s">
        <v>4989</v>
      </c>
      <c r="N492" s="245" t="s">
        <v>4613</v>
      </c>
      <c r="O492" s="158"/>
      <c r="P492" s="92"/>
      <c r="Q492" s="146"/>
      <c r="R492" s="92"/>
      <c r="S492" s="146"/>
      <c r="T492" s="92"/>
      <c r="U492" s="146"/>
      <c r="V492" s="92"/>
      <c r="W492" s="146"/>
      <c r="X492" s="92"/>
      <c r="Y492" s="146"/>
      <c r="Z492" s="92"/>
      <c r="AA492" s="146"/>
      <c r="AB492" s="64"/>
      <c r="AC492" s="146"/>
      <c r="AD492" s="64"/>
      <c r="AE492" s="146"/>
      <c r="AF492" s="215" t="str">
        <f t="shared" si="31"/>
        <v/>
      </c>
      <c r="AG492" s="96" t="b">
        <f t="shared" si="30"/>
        <v>0</v>
      </c>
      <c r="AH492" s="9"/>
      <c r="AI492" s="151" t="str">
        <f t="shared" si="29"/>
        <v>GUARULHOS</v>
      </c>
      <c r="AJ492" s="154" t="s">
        <v>6</v>
      </c>
      <c r="AK492" s="53">
        <v>0.37641410390706376</v>
      </c>
      <c r="AL492" s="53" t="str" cm="1">
        <f t="array" ref="AL492">IF(OR(O492&lt;&gt;"", SUMPRODUCT(($AM$2:$AM$210=AM492)*($AK$2:$AK$210&lt;=AK492)) &lt;= (COUNTIF($AM$2:$AM$210,AM492)*0.1)), "SORTEADO", "-")</f>
        <v>SORTEADO</v>
      </c>
      <c r="AM492" s="53" t="str">
        <f t="shared" si="32"/>
        <v>30/04/2026</v>
      </c>
    </row>
    <row r="493" spans="1:39" ht="30" hidden="1" customHeight="1" x14ac:dyDescent="0.2">
      <c r="A493" s="245" t="s">
        <v>197</v>
      </c>
      <c r="B493" s="245">
        <v>2617525297</v>
      </c>
      <c r="C493" s="245" t="s">
        <v>139</v>
      </c>
      <c r="D493" s="245" t="s">
        <v>67</v>
      </c>
      <c r="E493" s="245" t="s">
        <v>198</v>
      </c>
      <c r="F493" s="245" t="s">
        <v>781</v>
      </c>
      <c r="G493" s="245">
        <v>85</v>
      </c>
      <c r="H493" s="245" t="s">
        <v>2193</v>
      </c>
      <c r="I493" s="245" t="s">
        <v>262</v>
      </c>
      <c r="J493" s="245" t="s">
        <v>4603</v>
      </c>
      <c r="K493" s="245" t="s">
        <v>4990</v>
      </c>
      <c r="L493" s="245" t="s">
        <v>2516</v>
      </c>
      <c r="M493" s="245" t="s">
        <v>3185</v>
      </c>
      <c r="N493" s="245" t="s">
        <v>4613</v>
      </c>
      <c r="O493" s="158"/>
      <c r="P493" s="92"/>
      <c r="Q493" s="146"/>
      <c r="R493" s="92"/>
      <c r="S493" s="146"/>
      <c r="T493" s="92"/>
      <c r="U493" s="146"/>
      <c r="V493" s="92"/>
      <c r="W493" s="146"/>
      <c r="X493" s="92"/>
      <c r="Y493" s="146"/>
      <c r="Z493" s="92"/>
      <c r="AA493" s="146"/>
      <c r="AB493" s="64"/>
      <c r="AC493" s="146"/>
      <c r="AD493" s="64"/>
      <c r="AE493" s="146"/>
      <c r="AF493" s="215" t="str">
        <f t="shared" si="31"/>
        <v/>
      </c>
      <c r="AG493" s="96" t="b">
        <f t="shared" si="30"/>
        <v>0</v>
      </c>
      <c r="AH493" s="9"/>
      <c r="AI493" s="151" t="str">
        <f t="shared" si="29"/>
        <v>GUARULHOS</v>
      </c>
      <c r="AJ493" s="154" t="s">
        <v>6</v>
      </c>
      <c r="AK493" s="53">
        <v>0.96984791664649095</v>
      </c>
      <c r="AL493" s="53" t="str" cm="1">
        <f t="array" ref="AL493">IF(OR(O493&lt;&gt;"", SUMPRODUCT(($AM$2:$AM$210=AM493)*($AK$2:$AK$210&lt;=AK493)) &lt;= (COUNTIF($AM$2:$AM$210,AM493)*0.1)), "SORTEADO", "-")</f>
        <v>SORTEADO</v>
      </c>
      <c r="AM493" s="53" t="str">
        <f t="shared" si="32"/>
        <v>30/04/2026</v>
      </c>
    </row>
    <row r="494" spans="1:39" ht="30" hidden="1" customHeight="1" x14ac:dyDescent="0.2">
      <c r="A494" s="245" t="s">
        <v>197</v>
      </c>
      <c r="B494" s="245">
        <v>2617523881</v>
      </c>
      <c r="C494" s="245" t="s">
        <v>139</v>
      </c>
      <c r="D494" s="245" t="s">
        <v>67</v>
      </c>
      <c r="E494" s="245" t="s">
        <v>198</v>
      </c>
      <c r="F494" s="245" t="s">
        <v>781</v>
      </c>
      <c r="G494" s="245">
        <v>95</v>
      </c>
      <c r="H494" s="245" t="s">
        <v>2190</v>
      </c>
      <c r="I494" s="245" t="s">
        <v>262</v>
      </c>
      <c r="J494" s="245" t="s">
        <v>4603</v>
      </c>
      <c r="K494" s="245" t="s">
        <v>4991</v>
      </c>
      <c r="L494" s="245" t="s">
        <v>2516</v>
      </c>
      <c r="M494" s="245" t="s">
        <v>4992</v>
      </c>
      <c r="N494" s="245" t="s">
        <v>4613</v>
      </c>
      <c r="O494" s="158"/>
      <c r="P494" s="92"/>
      <c r="Q494" s="146"/>
      <c r="R494" s="92"/>
      <c r="S494" s="146"/>
      <c r="T494" s="92"/>
      <c r="U494" s="146"/>
      <c r="V494" s="92"/>
      <c r="W494" s="146"/>
      <c r="X494" s="92"/>
      <c r="Y494" s="146"/>
      <c r="Z494" s="92"/>
      <c r="AA494" s="146"/>
      <c r="AB494" s="64"/>
      <c r="AC494" s="146"/>
      <c r="AD494" s="64"/>
      <c r="AE494" s="146"/>
      <c r="AF494" s="215" t="str">
        <f t="shared" si="31"/>
        <v/>
      </c>
      <c r="AG494" s="96" t="b">
        <f t="shared" si="30"/>
        <v>0</v>
      </c>
      <c r="AH494" s="9"/>
      <c r="AI494" s="151" t="str">
        <f t="shared" si="29"/>
        <v>GUARULHOS</v>
      </c>
      <c r="AJ494" s="154" t="s">
        <v>6</v>
      </c>
      <c r="AK494" s="53">
        <v>0.80312497463290167</v>
      </c>
      <c r="AL494" s="53" t="str" cm="1">
        <f t="array" ref="AL494">IF(OR(O494&lt;&gt;"", SUMPRODUCT(($AM$2:$AM$210=AM494)*($AK$2:$AK$210&lt;=AK494)) &lt;= (COUNTIF($AM$2:$AM$210,AM494)*0.1)), "SORTEADO", "-")</f>
        <v>SORTEADO</v>
      </c>
      <c r="AM494" s="53" t="str">
        <f t="shared" si="32"/>
        <v>30/04/2026</v>
      </c>
    </row>
    <row r="495" spans="1:39" ht="30" hidden="1" customHeight="1" x14ac:dyDescent="0.2">
      <c r="A495" s="245" t="s">
        <v>197</v>
      </c>
      <c r="B495" s="245">
        <v>2617783118</v>
      </c>
      <c r="C495" s="245" t="s">
        <v>138</v>
      </c>
      <c r="D495" s="245" t="s">
        <v>67</v>
      </c>
      <c r="E495" s="245" t="s">
        <v>198</v>
      </c>
      <c r="F495" s="245" t="s">
        <v>2394</v>
      </c>
      <c r="G495" s="245">
        <v>33</v>
      </c>
      <c r="H495" s="245"/>
      <c r="I495" s="245" t="s">
        <v>1575</v>
      </c>
      <c r="J495" s="245" t="s">
        <v>4605</v>
      </c>
      <c r="K495" s="245" t="s">
        <v>4993</v>
      </c>
      <c r="L495" s="245" t="s">
        <v>2516</v>
      </c>
      <c r="M495" s="245" t="s">
        <v>2522</v>
      </c>
      <c r="N495" s="245" t="s">
        <v>4613</v>
      </c>
      <c r="O495" s="158"/>
      <c r="P495" s="92"/>
      <c r="Q495" s="146"/>
      <c r="R495" s="92"/>
      <c r="S495" s="146"/>
      <c r="T495" s="92"/>
      <c r="U495" s="146"/>
      <c r="V495" s="92"/>
      <c r="W495" s="146"/>
      <c r="X495" s="92"/>
      <c r="Y495" s="146"/>
      <c r="Z495" s="92"/>
      <c r="AA495" s="146"/>
      <c r="AB495" s="64"/>
      <c r="AC495" s="146"/>
      <c r="AD495" s="64"/>
      <c r="AE495" s="146"/>
      <c r="AF495" s="215" t="str">
        <f t="shared" si="31"/>
        <v/>
      </c>
      <c r="AG495" s="96" t="b">
        <f t="shared" si="30"/>
        <v>0</v>
      </c>
      <c r="AH495" s="9"/>
      <c r="AI495" s="151" t="str">
        <f t="shared" si="29"/>
        <v>GUARULHOS</v>
      </c>
      <c r="AJ495" s="154" t="s">
        <v>6</v>
      </c>
      <c r="AK495" s="53">
        <v>0.54639634010324056</v>
      </c>
      <c r="AL495" s="53" t="str" cm="1">
        <f t="array" ref="AL495">IF(OR(O495&lt;&gt;"", SUMPRODUCT(($AM$2:$AM$210=AM495)*($AK$2:$AK$210&lt;=AK495)) &lt;= (COUNTIF($AM$2:$AM$210,AM495)*0.1)), "SORTEADO", "-")</f>
        <v>SORTEADO</v>
      </c>
      <c r="AM495" s="53" t="str">
        <f t="shared" si="32"/>
        <v>30/04/2026</v>
      </c>
    </row>
    <row r="496" spans="1:39" ht="30" hidden="1" customHeight="1" x14ac:dyDescent="0.2">
      <c r="A496" s="245" t="s">
        <v>197</v>
      </c>
      <c r="B496" s="245">
        <v>2617621738</v>
      </c>
      <c r="C496" s="245" t="s">
        <v>138</v>
      </c>
      <c r="D496" s="245" t="s">
        <v>67</v>
      </c>
      <c r="E496" s="245" t="s">
        <v>198</v>
      </c>
      <c r="F496" s="245" t="s">
        <v>781</v>
      </c>
      <c r="G496" s="245">
        <v>220</v>
      </c>
      <c r="H496" s="245" t="s">
        <v>2358</v>
      </c>
      <c r="I496" s="245" t="s">
        <v>262</v>
      </c>
      <c r="J496" s="245" t="s">
        <v>4605</v>
      </c>
      <c r="K496" s="245" t="s">
        <v>4957</v>
      </c>
      <c r="L496" s="245" t="s">
        <v>2516</v>
      </c>
      <c r="M496" s="245" t="s">
        <v>4994</v>
      </c>
      <c r="N496" s="245" t="s">
        <v>4613</v>
      </c>
      <c r="O496" s="158"/>
      <c r="P496" s="92"/>
      <c r="Q496" s="146"/>
      <c r="R496" s="92"/>
      <c r="S496" s="146"/>
      <c r="T496" s="92"/>
      <c r="U496" s="146"/>
      <c r="V496" s="92"/>
      <c r="W496" s="146"/>
      <c r="X496" s="92"/>
      <c r="Y496" s="146"/>
      <c r="Z496" s="92"/>
      <c r="AA496" s="146"/>
      <c r="AB496" s="64"/>
      <c r="AC496" s="146"/>
      <c r="AD496" s="64"/>
      <c r="AE496" s="146"/>
      <c r="AF496" s="215" t="str">
        <f t="shared" si="31"/>
        <v/>
      </c>
      <c r="AG496" s="96" t="b">
        <f t="shared" si="30"/>
        <v>0</v>
      </c>
      <c r="AH496" s="9"/>
      <c r="AI496" s="151" t="str">
        <f t="shared" si="29"/>
        <v>GUARULHOS</v>
      </c>
      <c r="AJ496" s="154" t="s">
        <v>6</v>
      </c>
      <c r="AK496" s="53">
        <v>4.6490146378406427E-2</v>
      </c>
      <c r="AL496" s="53" t="str" cm="1">
        <f t="array" ref="AL496">IF(OR(O496&lt;&gt;"", SUMPRODUCT(($AM$2:$AM$210=AM496)*($AK$2:$AK$210&lt;=AK496)) &lt;= (COUNTIF($AM$2:$AM$210,AM496)*0.1)), "SORTEADO", "-")</f>
        <v>SORTEADO</v>
      </c>
      <c r="AM496" s="53" t="str">
        <f t="shared" si="32"/>
        <v>30/04/2026</v>
      </c>
    </row>
    <row r="497" spans="1:39" ht="30" hidden="1" customHeight="1" x14ac:dyDescent="0.2">
      <c r="A497" s="245" t="s">
        <v>197</v>
      </c>
      <c r="B497" s="245">
        <v>2617599954</v>
      </c>
      <c r="C497" s="245" t="s">
        <v>141</v>
      </c>
      <c r="D497" s="245" t="s">
        <v>67</v>
      </c>
      <c r="E497" s="245" t="s">
        <v>198</v>
      </c>
      <c r="F497" s="245" t="s">
        <v>1233</v>
      </c>
      <c r="G497" s="245">
        <v>402</v>
      </c>
      <c r="H497" s="245" t="s">
        <v>2298</v>
      </c>
      <c r="I497" s="245" t="s">
        <v>801</v>
      </c>
      <c r="J497" s="245" t="s">
        <v>4603</v>
      </c>
      <c r="K497" s="245" t="s">
        <v>4957</v>
      </c>
      <c r="L497" s="245" t="s">
        <v>2516</v>
      </c>
      <c r="M497" s="245" t="s">
        <v>4995</v>
      </c>
      <c r="N497" s="245" t="s">
        <v>4613</v>
      </c>
      <c r="O497" s="158"/>
      <c r="P497" s="92"/>
      <c r="Q497" s="146"/>
      <c r="R497" s="92"/>
      <c r="S497" s="146"/>
      <c r="T497" s="92"/>
      <c r="U497" s="146"/>
      <c r="V497" s="92"/>
      <c r="W497" s="146"/>
      <c r="X497" s="92"/>
      <c r="Y497" s="146"/>
      <c r="Z497" s="92"/>
      <c r="AA497" s="146"/>
      <c r="AB497" s="64"/>
      <c r="AC497" s="146"/>
      <c r="AD497" s="64"/>
      <c r="AE497" s="146"/>
      <c r="AF497" s="215" t="str">
        <f t="shared" si="31"/>
        <v/>
      </c>
      <c r="AG497" s="96" t="b">
        <f t="shared" si="30"/>
        <v>0</v>
      </c>
      <c r="AH497" s="9"/>
      <c r="AI497" s="151" t="str">
        <f t="shared" si="29"/>
        <v>GUARULHOS</v>
      </c>
      <c r="AJ497" s="154" t="s">
        <v>6</v>
      </c>
      <c r="AK497" s="53">
        <v>0.96577119358145591</v>
      </c>
      <c r="AL497" s="53" t="str" cm="1">
        <f t="array" ref="AL497">IF(OR(O497&lt;&gt;"", SUMPRODUCT(($AM$2:$AM$210=AM497)*($AK$2:$AK$210&lt;=AK497)) &lt;= (COUNTIF($AM$2:$AM$210,AM497)*0.1)), "SORTEADO", "-")</f>
        <v>SORTEADO</v>
      </c>
      <c r="AM497" s="53" t="str">
        <f t="shared" si="32"/>
        <v>30/04/2026</v>
      </c>
    </row>
    <row r="498" spans="1:39" ht="30" hidden="1" customHeight="1" x14ac:dyDescent="0.2">
      <c r="A498" s="245" t="s">
        <v>197</v>
      </c>
      <c r="B498" s="245">
        <v>2617525508</v>
      </c>
      <c r="C498" s="245" t="s">
        <v>139</v>
      </c>
      <c r="D498" s="245" t="s">
        <v>67</v>
      </c>
      <c r="E498" s="245" t="s">
        <v>198</v>
      </c>
      <c r="F498" s="245" t="s">
        <v>781</v>
      </c>
      <c r="G498" s="245">
        <v>78</v>
      </c>
      <c r="H498" s="245" t="s">
        <v>213</v>
      </c>
      <c r="I498" s="245" t="s">
        <v>262</v>
      </c>
      <c r="J498" s="245" t="s">
        <v>4603</v>
      </c>
      <c r="K498" s="245" t="s">
        <v>4640</v>
      </c>
      <c r="L498" s="245" t="s">
        <v>2516</v>
      </c>
      <c r="M498" s="245" t="s">
        <v>4996</v>
      </c>
      <c r="N498" s="245" t="s">
        <v>4613</v>
      </c>
      <c r="O498" s="158"/>
      <c r="P498" s="92"/>
      <c r="Q498" s="146"/>
      <c r="R498" s="92"/>
      <c r="S498" s="146"/>
      <c r="T498" s="92"/>
      <c r="U498" s="146"/>
      <c r="V498" s="92"/>
      <c r="W498" s="146"/>
      <c r="X498" s="92"/>
      <c r="Y498" s="146"/>
      <c r="Z498" s="92"/>
      <c r="AA498" s="146"/>
      <c r="AB498" s="64"/>
      <c r="AC498" s="146"/>
      <c r="AD498" s="64"/>
      <c r="AE498" s="146"/>
      <c r="AF498" s="215" t="str">
        <f t="shared" si="31"/>
        <v/>
      </c>
      <c r="AG498" s="96" t="b">
        <f t="shared" si="30"/>
        <v>0</v>
      </c>
      <c r="AH498" s="9"/>
      <c r="AI498" s="151" t="str">
        <f t="shared" si="29"/>
        <v>GUARULHOS</v>
      </c>
      <c r="AJ498" s="154" t="s">
        <v>6</v>
      </c>
      <c r="AK498" s="53">
        <v>0.36235301900225736</v>
      </c>
      <c r="AL498" s="53" t="str" cm="1">
        <f t="array" ref="AL498">IF(OR(O498&lt;&gt;"", SUMPRODUCT(($AM$2:$AM$210=AM498)*($AK$2:$AK$210&lt;=AK498)) &lt;= (COUNTIF($AM$2:$AM$210,AM498)*0.1)), "SORTEADO", "-")</f>
        <v>SORTEADO</v>
      </c>
      <c r="AM498" s="53" t="str">
        <f t="shared" si="32"/>
        <v>30/04/2026</v>
      </c>
    </row>
    <row r="499" spans="1:39" ht="30" hidden="1" customHeight="1" x14ac:dyDescent="0.2">
      <c r="A499" s="245" t="s">
        <v>197</v>
      </c>
      <c r="B499" s="245">
        <v>2614794424</v>
      </c>
      <c r="C499" s="245" t="s">
        <v>141</v>
      </c>
      <c r="D499" s="245" t="s">
        <v>67</v>
      </c>
      <c r="E499" s="245" t="s">
        <v>198</v>
      </c>
      <c r="F499" s="245" t="s">
        <v>781</v>
      </c>
      <c r="G499" s="245">
        <v>153</v>
      </c>
      <c r="H499" s="245" t="s">
        <v>2985</v>
      </c>
      <c r="I499" s="245" t="s">
        <v>262</v>
      </c>
      <c r="J499" s="245" t="s">
        <v>4603</v>
      </c>
      <c r="K499" s="245" t="s">
        <v>4997</v>
      </c>
      <c r="L499" s="245" t="s">
        <v>2516</v>
      </c>
      <c r="M499" s="245" t="s">
        <v>3185</v>
      </c>
      <c r="N499" s="245" t="s">
        <v>4689</v>
      </c>
      <c r="O499" s="158"/>
      <c r="P499" s="92"/>
      <c r="Q499" s="146"/>
      <c r="R499" s="92"/>
      <c r="S499" s="146"/>
      <c r="T499" s="92"/>
      <c r="U499" s="146"/>
      <c r="V499" s="92"/>
      <c r="W499" s="146"/>
      <c r="X499" s="92"/>
      <c r="Y499" s="146"/>
      <c r="Z499" s="92"/>
      <c r="AA499" s="146"/>
      <c r="AB499" s="64"/>
      <c r="AC499" s="146"/>
      <c r="AD499" s="64"/>
      <c r="AE499" s="146"/>
      <c r="AF499" s="215" t="str">
        <f t="shared" si="31"/>
        <v/>
      </c>
      <c r="AG499" s="96" t="b">
        <f t="shared" si="30"/>
        <v>0</v>
      </c>
      <c r="AH499" s="9"/>
      <c r="AI499" s="151" t="str">
        <f t="shared" si="29"/>
        <v>GUARULHOS</v>
      </c>
      <c r="AJ499" s="154" t="s">
        <v>6</v>
      </c>
      <c r="AK499" s="53">
        <v>0.71643421754706638</v>
      </c>
      <c r="AL499" s="53" t="str" cm="1">
        <f t="array" ref="AL499">IF(OR(O499&lt;&gt;"", SUMPRODUCT(($AM$2:$AM$210=AM499)*($AK$2:$AK$210&lt;=AK499)) &lt;= (COUNTIF($AM$2:$AM$210,AM499)*0.1)), "SORTEADO", "-")</f>
        <v>SORTEADO</v>
      </c>
      <c r="AM499" s="53" t="str">
        <f t="shared" si="32"/>
        <v>30/04/2026</v>
      </c>
    </row>
    <row r="500" spans="1:39" ht="30" hidden="1" customHeight="1" x14ac:dyDescent="0.2">
      <c r="A500" s="245" t="s">
        <v>197</v>
      </c>
      <c r="B500" s="245">
        <v>2613869365</v>
      </c>
      <c r="C500" s="245" t="s">
        <v>141</v>
      </c>
      <c r="D500" s="245" t="s">
        <v>67</v>
      </c>
      <c r="E500" s="245" t="s">
        <v>198</v>
      </c>
      <c r="F500" s="245" t="s">
        <v>355</v>
      </c>
      <c r="G500" s="245">
        <v>259</v>
      </c>
      <c r="H500" s="245" t="s">
        <v>3186</v>
      </c>
      <c r="I500" s="245" t="s">
        <v>356</v>
      </c>
      <c r="J500" s="245" t="s">
        <v>4603</v>
      </c>
      <c r="K500" s="245" t="s">
        <v>4997</v>
      </c>
      <c r="L500" s="245" t="s">
        <v>2516</v>
      </c>
      <c r="M500" s="245" t="s">
        <v>3185</v>
      </c>
      <c r="N500" s="245" t="s">
        <v>4689</v>
      </c>
      <c r="O500" s="158"/>
      <c r="P500" s="92"/>
      <c r="Q500" s="146"/>
      <c r="R500" s="92"/>
      <c r="S500" s="146"/>
      <c r="T500" s="92"/>
      <c r="U500" s="146"/>
      <c r="V500" s="92"/>
      <c r="W500" s="146"/>
      <c r="X500" s="92"/>
      <c r="Y500" s="146"/>
      <c r="Z500" s="92"/>
      <c r="AA500" s="146"/>
      <c r="AB500" s="64"/>
      <c r="AC500" s="146"/>
      <c r="AD500" s="64"/>
      <c r="AE500" s="146"/>
      <c r="AF500" s="215" t="str">
        <f t="shared" si="31"/>
        <v/>
      </c>
      <c r="AG500" s="96" t="b">
        <f t="shared" si="30"/>
        <v>0</v>
      </c>
      <c r="AH500" s="9"/>
      <c r="AI500" s="151" t="str">
        <f t="shared" si="29"/>
        <v>GUARULHOS</v>
      </c>
      <c r="AJ500" s="154" t="s">
        <v>6</v>
      </c>
      <c r="AK500" s="53">
        <v>0.86678476849846919</v>
      </c>
      <c r="AL500" s="53" t="str" cm="1">
        <f t="array" ref="AL500">IF(OR(O500&lt;&gt;"", SUMPRODUCT(($AM$2:$AM$210=AM500)*($AK$2:$AK$210&lt;=AK500)) &lt;= (COUNTIF($AM$2:$AM$210,AM500)*0.1)), "SORTEADO", "-")</f>
        <v>SORTEADO</v>
      </c>
      <c r="AM500" s="53" t="str">
        <f t="shared" si="32"/>
        <v>30/04/2026</v>
      </c>
    </row>
    <row r="501" spans="1:39" ht="30" hidden="1" customHeight="1" x14ac:dyDescent="0.2">
      <c r="A501" s="245" t="s">
        <v>197</v>
      </c>
      <c r="B501" s="245">
        <v>2617307420</v>
      </c>
      <c r="C501" s="245" t="s">
        <v>141</v>
      </c>
      <c r="D501" s="245" t="s">
        <v>67</v>
      </c>
      <c r="E501" s="245" t="s">
        <v>198</v>
      </c>
      <c r="F501" s="245" t="s">
        <v>355</v>
      </c>
      <c r="G501" s="245">
        <v>414</v>
      </c>
      <c r="H501" s="245" t="s">
        <v>3110</v>
      </c>
      <c r="I501" s="245" t="s">
        <v>356</v>
      </c>
      <c r="J501" s="245" t="s">
        <v>4603</v>
      </c>
      <c r="K501" s="245" t="s">
        <v>4998</v>
      </c>
      <c r="L501" s="245" t="s">
        <v>2516</v>
      </c>
      <c r="M501" s="245" t="s">
        <v>3213</v>
      </c>
      <c r="N501" s="245" t="s">
        <v>4689</v>
      </c>
      <c r="O501" s="158"/>
      <c r="P501" s="92"/>
      <c r="Q501" s="146"/>
      <c r="R501" s="92"/>
      <c r="S501" s="146"/>
      <c r="T501" s="92"/>
      <c r="U501" s="146"/>
      <c r="V501" s="92"/>
      <c r="W501" s="146"/>
      <c r="X501" s="92"/>
      <c r="Y501" s="146"/>
      <c r="Z501" s="92"/>
      <c r="AA501" s="146"/>
      <c r="AB501" s="64"/>
      <c r="AC501" s="146"/>
      <c r="AD501" s="64"/>
      <c r="AE501" s="146"/>
      <c r="AF501" s="215" t="str">
        <f t="shared" si="31"/>
        <v/>
      </c>
      <c r="AG501" s="96" t="b">
        <f t="shared" si="30"/>
        <v>0</v>
      </c>
      <c r="AH501" s="9"/>
      <c r="AI501" s="151" t="str">
        <f t="shared" si="29"/>
        <v>GUARULHOS</v>
      </c>
      <c r="AJ501" s="154" t="s">
        <v>6</v>
      </c>
      <c r="AK501" s="53">
        <v>0.99558718882409147</v>
      </c>
      <c r="AL501" s="53" t="str" cm="1">
        <f t="array" ref="AL501">IF(OR(O501&lt;&gt;"", SUMPRODUCT(($AM$2:$AM$210=AM501)*($AK$2:$AK$210&lt;=AK501)) &lt;= (COUNTIF($AM$2:$AM$210,AM501)*0.1)), "SORTEADO", "-")</f>
        <v>SORTEADO</v>
      </c>
      <c r="AM501" s="53" t="str">
        <f t="shared" si="32"/>
        <v>30/04/2026</v>
      </c>
    </row>
    <row r="502" spans="1:39" ht="30" hidden="1" customHeight="1" x14ac:dyDescent="0.2">
      <c r="A502" s="245" t="s">
        <v>197</v>
      </c>
      <c r="B502" s="245">
        <v>2617307661</v>
      </c>
      <c r="C502" s="245" t="s">
        <v>141</v>
      </c>
      <c r="D502" s="245" t="s">
        <v>67</v>
      </c>
      <c r="E502" s="245" t="s">
        <v>198</v>
      </c>
      <c r="F502" s="245" t="s">
        <v>355</v>
      </c>
      <c r="G502" s="245">
        <v>325</v>
      </c>
      <c r="H502" s="245"/>
      <c r="I502" s="245" t="s">
        <v>356</v>
      </c>
      <c r="J502" s="245" t="s">
        <v>4603</v>
      </c>
      <c r="K502" s="245" t="s">
        <v>4997</v>
      </c>
      <c r="L502" s="245" t="s">
        <v>2516</v>
      </c>
      <c r="M502" s="245" t="s">
        <v>3249</v>
      </c>
      <c r="N502" s="245" t="s">
        <v>4689</v>
      </c>
      <c r="O502" s="158"/>
      <c r="P502" s="92"/>
      <c r="Q502" s="146"/>
      <c r="R502" s="92"/>
      <c r="S502" s="146"/>
      <c r="T502" s="92"/>
      <c r="U502" s="146"/>
      <c r="V502" s="92"/>
      <c r="W502" s="146"/>
      <c r="X502" s="92"/>
      <c r="Y502" s="146"/>
      <c r="Z502" s="92"/>
      <c r="AA502" s="146"/>
      <c r="AB502" s="64"/>
      <c r="AC502" s="146"/>
      <c r="AD502" s="64"/>
      <c r="AE502" s="146"/>
      <c r="AF502" s="215" t="str">
        <f t="shared" si="31"/>
        <v/>
      </c>
      <c r="AG502" s="96" t="b">
        <f t="shared" si="30"/>
        <v>0</v>
      </c>
      <c r="AH502" s="9"/>
      <c r="AI502" s="151" t="str">
        <f t="shared" ref="AI502:AI513" si="33">E502</f>
        <v>GUARULHOS</v>
      </c>
      <c r="AJ502" s="154" t="s">
        <v>6</v>
      </c>
      <c r="AK502" s="53">
        <v>0.42371424654750611</v>
      </c>
      <c r="AL502" s="53" t="str" cm="1">
        <f t="array" ref="AL502">IF(OR(O502&lt;&gt;"", SUMPRODUCT(($AM$2:$AM$210=AM502)*($AK$2:$AK$210&lt;=AK502)) &lt;= (COUNTIF($AM$2:$AM$210,AM502)*0.1)), "SORTEADO", "-")</f>
        <v>SORTEADO</v>
      </c>
      <c r="AM502" s="53" t="str">
        <f t="shared" si="32"/>
        <v>30/04/2026</v>
      </c>
    </row>
    <row r="503" spans="1:39" ht="30" hidden="1" customHeight="1" x14ac:dyDescent="0.2">
      <c r="A503" s="245" t="s">
        <v>197</v>
      </c>
      <c r="B503" s="245">
        <v>2617316338</v>
      </c>
      <c r="C503" s="245" t="s">
        <v>141</v>
      </c>
      <c r="D503" s="245" t="s">
        <v>67</v>
      </c>
      <c r="E503" s="245" t="s">
        <v>198</v>
      </c>
      <c r="F503" s="245" t="s">
        <v>1233</v>
      </c>
      <c r="G503" s="245">
        <v>599</v>
      </c>
      <c r="H503" s="245" t="s">
        <v>213</v>
      </c>
      <c r="I503" s="245" t="s">
        <v>801</v>
      </c>
      <c r="J503" s="245" t="s">
        <v>4603</v>
      </c>
      <c r="K503" s="245" t="s">
        <v>4998</v>
      </c>
      <c r="L503" s="245" t="s">
        <v>2516</v>
      </c>
      <c r="M503" s="245" t="s">
        <v>3185</v>
      </c>
      <c r="N503" s="245" t="s">
        <v>4689</v>
      </c>
      <c r="O503" s="158"/>
      <c r="P503" s="92"/>
      <c r="Q503" s="146"/>
      <c r="R503" s="92"/>
      <c r="S503" s="146"/>
      <c r="T503" s="92"/>
      <c r="U503" s="146"/>
      <c r="V503" s="92"/>
      <c r="W503" s="146"/>
      <c r="X503" s="92"/>
      <c r="Y503" s="146"/>
      <c r="Z503" s="92"/>
      <c r="AA503" s="146"/>
      <c r="AB503" s="64"/>
      <c r="AC503" s="146"/>
      <c r="AD503" s="64"/>
      <c r="AE503" s="146"/>
      <c r="AF503" s="215" t="str">
        <f t="shared" si="31"/>
        <v/>
      </c>
      <c r="AG503" s="96" t="b">
        <f t="shared" si="30"/>
        <v>0</v>
      </c>
      <c r="AH503" s="9"/>
      <c r="AI503" s="151" t="str">
        <f t="shared" si="33"/>
        <v>GUARULHOS</v>
      </c>
      <c r="AJ503" s="154" t="s">
        <v>6</v>
      </c>
      <c r="AK503" s="53">
        <v>0.62407618289792999</v>
      </c>
      <c r="AL503" s="53" t="str" cm="1">
        <f t="array" ref="AL503">IF(OR(O503&lt;&gt;"", SUMPRODUCT(($AM$2:$AM$210=AM503)*($AK$2:$AK$210&lt;=AK503)) &lt;= (COUNTIF($AM$2:$AM$210,AM503)*0.1)), "SORTEADO", "-")</f>
        <v>SORTEADO</v>
      </c>
      <c r="AM503" s="53" t="str">
        <f t="shared" si="32"/>
        <v>30/04/2026</v>
      </c>
    </row>
    <row r="504" spans="1:39" ht="30" hidden="1" customHeight="1" x14ac:dyDescent="0.2">
      <c r="A504" s="245" t="s">
        <v>197</v>
      </c>
      <c r="B504" s="245">
        <v>2617634754</v>
      </c>
      <c r="C504" s="245" t="s">
        <v>141</v>
      </c>
      <c r="D504" s="245" t="s">
        <v>67</v>
      </c>
      <c r="E504" s="245" t="s">
        <v>198</v>
      </c>
      <c r="F504" s="245" t="s">
        <v>1727</v>
      </c>
      <c r="G504" s="245">
        <v>190</v>
      </c>
      <c r="H504" s="245" t="s">
        <v>213</v>
      </c>
      <c r="I504" s="245" t="s">
        <v>356</v>
      </c>
      <c r="J504" s="245" t="s">
        <v>4603</v>
      </c>
      <c r="K504" s="245" t="s">
        <v>4998</v>
      </c>
      <c r="L504" s="245" t="s">
        <v>2516</v>
      </c>
      <c r="M504" s="245" t="s">
        <v>3185</v>
      </c>
      <c r="N504" s="245" t="s">
        <v>4689</v>
      </c>
      <c r="O504" s="158"/>
      <c r="P504" s="92"/>
      <c r="Q504" s="146"/>
      <c r="R504" s="92"/>
      <c r="S504" s="146"/>
      <c r="T504" s="92"/>
      <c r="U504" s="146"/>
      <c r="V504" s="92"/>
      <c r="W504" s="146"/>
      <c r="X504" s="92"/>
      <c r="Y504" s="146"/>
      <c r="Z504" s="92"/>
      <c r="AA504" s="146"/>
      <c r="AB504" s="64"/>
      <c r="AC504" s="146"/>
      <c r="AD504" s="64"/>
      <c r="AE504" s="146"/>
      <c r="AF504" s="215" t="str">
        <f t="shared" si="31"/>
        <v/>
      </c>
      <c r="AG504" s="96" t="b">
        <f t="shared" si="30"/>
        <v>0</v>
      </c>
      <c r="AH504" s="9"/>
      <c r="AI504" s="151" t="str">
        <f t="shared" si="33"/>
        <v>GUARULHOS</v>
      </c>
      <c r="AJ504" s="154" t="s">
        <v>6</v>
      </c>
      <c r="AK504" s="53">
        <v>0.54918840593615514</v>
      </c>
      <c r="AL504" s="53" t="str" cm="1">
        <f t="array" ref="AL504">IF(OR(O504&lt;&gt;"", SUMPRODUCT(($AM$2:$AM$210=AM504)*($AK$2:$AK$210&lt;=AK504)) &lt;= (COUNTIF($AM$2:$AM$210,AM504)*0.1)), "SORTEADO", "-")</f>
        <v>SORTEADO</v>
      </c>
      <c r="AM504" s="53" t="str">
        <f t="shared" si="32"/>
        <v>30/04/2026</v>
      </c>
    </row>
    <row r="505" spans="1:39" ht="30" hidden="1" customHeight="1" x14ac:dyDescent="0.2">
      <c r="A505" s="245" t="s">
        <v>197</v>
      </c>
      <c r="B505" s="245">
        <v>2616751999</v>
      </c>
      <c r="C505" s="245" t="s">
        <v>141</v>
      </c>
      <c r="D505" s="245" t="s">
        <v>67</v>
      </c>
      <c r="E505" s="245" t="s">
        <v>198</v>
      </c>
      <c r="F505" s="245" t="s">
        <v>1233</v>
      </c>
      <c r="G505" s="245">
        <v>583</v>
      </c>
      <c r="H505" s="245" t="s">
        <v>213</v>
      </c>
      <c r="I505" s="245" t="s">
        <v>801</v>
      </c>
      <c r="J505" s="245" t="s">
        <v>4603</v>
      </c>
      <c r="K505" s="245" t="s">
        <v>4999</v>
      </c>
      <c r="L505" s="245" t="s">
        <v>2516</v>
      </c>
      <c r="M505" s="245" t="s">
        <v>3249</v>
      </c>
      <c r="N505" s="245" t="s">
        <v>4689</v>
      </c>
      <c r="O505" s="158"/>
      <c r="P505" s="92"/>
      <c r="Q505" s="146"/>
      <c r="R505" s="92"/>
      <c r="S505" s="146"/>
      <c r="T505" s="92"/>
      <c r="U505" s="146"/>
      <c r="V505" s="92"/>
      <c r="W505" s="146"/>
      <c r="X505" s="92"/>
      <c r="Y505" s="146"/>
      <c r="Z505" s="92"/>
      <c r="AA505" s="146"/>
      <c r="AB505" s="64"/>
      <c r="AC505" s="146"/>
      <c r="AD505" s="64"/>
      <c r="AE505" s="146"/>
      <c r="AF505" s="215" t="str">
        <f t="shared" si="31"/>
        <v/>
      </c>
      <c r="AG505" s="96" t="b">
        <f t="shared" si="30"/>
        <v>0</v>
      </c>
      <c r="AH505" s="9"/>
      <c r="AI505" s="151" t="str">
        <f t="shared" si="33"/>
        <v>GUARULHOS</v>
      </c>
      <c r="AJ505" s="154" t="s">
        <v>6</v>
      </c>
      <c r="AK505" s="53">
        <v>0.69884783113293425</v>
      </c>
      <c r="AL505" s="53" t="str" cm="1">
        <f t="array" ref="AL505">IF(OR(O505&lt;&gt;"", SUMPRODUCT(($AM$2:$AM$210=AM505)*($AK$2:$AK$210&lt;=AK505)) &lt;= (COUNTIF($AM$2:$AM$210,AM505)*0.1)), "SORTEADO", "-")</f>
        <v>SORTEADO</v>
      </c>
      <c r="AM505" s="53" t="str">
        <f t="shared" si="32"/>
        <v>30/04/2026</v>
      </c>
    </row>
    <row r="506" spans="1:39" ht="30" hidden="1" customHeight="1" x14ac:dyDescent="0.2">
      <c r="A506" s="245" t="s">
        <v>197</v>
      </c>
      <c r="B506" s="245">
        <v>2617323993</v>
      </c>
      <c r="C506" s="245" t="s">
        <v>141</v>
      </c>
      <c r="D506" s="245" t="s">
        <v>67</v>
      </c>
      <c r="E506" s="245" t="s">
        <v>198</v>
      </c>
      <c r="F506" s="245" t="s">
        <v>3041</v>
      </c>
      <c r="G506" s="245">
        <v>101</v>
      </c>
      <c r="H506" s="245" t="s">
        <v>878</v>
      </c>
      <c r="I506" s="245" t="s">
        <v>356</v>
      </c>
      <c r="J506" s="245" t="s">
        <v>4603</v>
      </c>
      <c r="K506" s="245" t="s">
        <v>4998</v>
      </c>
      <c r="L506" s="245" t="s">
        <v>2516</v>
      </c>
      <c r="M506" s="245" t="s">
        <v>3185</v>
      </c>
      <c r="N506" s="245" t="s">
        <v>4689</v>
      </c>
      <c r="O506" s="158"/>
      <c r="P506" s="92"/>
      <c r="Q506" s="146"/>
      <c r="R506" s="92"/>
      <c r="S506" s="146"/>
      <c r="T506" s="92"/>
      <c r="U506" s="146"/>
      <c r="V506" s="92"/>
      <c r="W506" s="146"/>
      <c r="X506" s="92"/>
      <c r="Y506" s="146"/>
      <c r="Z506" s="92"/>
      <c r="AA506" s="146"/>
      <c r="AB506" s="64"/>
      <c r="AC506" s="146"/>
      <c r="AD506" s="64"/>
      <c r="AE506" s="146"/>
      <c r="AF506" s="215" t="str">
        <f t="shared" si="31"/>
        <v/>
      </c>
      <c r="AG506" s="96" t="b">
        <f t="shared" si="30"/>
        <v>0</v>
      </c>
      <c r="AH506" s="9"/>
      <c r="AI506" s="151" t="str">
        <f t="shared" si="33"/>
        <v>GUARULHOS</v>
      </c>
      <c r="AJ506" s="154" t="s">
        <v>6</v>
      </c>
      <c r="AK506" s="53">
        <v>4.3643775652607131E-2</v>
      </c>
      <c r="AL506" s="53" t="str" cm="1">
        <f t="array" ref="AL506">IF(OR(O506&lt;&gt;"", SUMPRODUCT(($AM$2:$AM$210=AM506)*($AK$2:$AK$210&lt;=AK506)) &lt;= (COUNTIF($AM$2:$AM$210,AM506)*0.1)), "SORTEADO", "-")</f>
        <v>SORTEADO</v>
      </c>
      <c r="AM506" s="53" t="str">
        <f t="shared" si="32"/>
        <v>30/04/2026</v>
      </c>
    </row>
    <row r="507" spans="1:39" ht="30" hidden="1" customHeight="1" x14ac:dyDescent="0.2">
      <c r="A507" s="245" t="s">
        <v>197</v>
      </c>
      <c r="B507" s="245">
        <v>2617323963</v>
      </c>
      <c r="C507" s="245" t="s">
        <v>141</v>
      </c>
      <c r="D507" s="245" t="s">
        <v>67</v>
      </c>
      <c r="E507" s="245" t="s">
        <v>198</v>
      </c>
      <c r="F507" s="245" t="s">
        <v>3041</v>
      </c>
      <c r="G507" s="245">
        <v>146</v>
      </c>
      <c r="H507" s="245" t="s">
        <v>213</v>
      </c>
      <c r="I507" s="245" t="s">
        <v>356</v>
      </c>
      <c r="J507" s="245" t="s">
        <v>4603</v>
      </c>
      <c r="K507" s="245" t="s">
        <v>4998</v>
      </c>
      <c r="L507" s="245" t="s">
        <v>2516</v>
      </c>
      <c r="M507" s="245" t="s">
        <v>3249</v>
      </c>
      <c r="N507" s="245" t="s">
        <v>4689</v>
      </c>
      <c r="O507" s="158"/>
      <c r="P507" s="92"/>
      <c r="Q507" s="146"/>
      <c r="R507" s="92"/>
      <c r="S507" s="146"/>
      <c r="T507" s="92"/>
      <c r="U507" s="146"/>
      <c r="V507" s="92"/>
      <c r="W507" s="146"/>
      <c r="X507" s="92"/>
      <c r="Y507" s="146"/>
      <c r="Z507" s="92"/>
      <c r="AA507" s="146"/>
      <c r="AB507" s="64"/>
      <c r="AC507" s="146"/>
      <c r="AD507" s="64"/>
      <c r="AE507" s="146"/>
      <c r="AF507" s="215" t="str">
        <f t="shared" si="31"/>
        <v/>
      </c>
      <c r="AG507" s="96" t="b">
        <f t="shared" si="30"/>
        <v>0</v>
      </c>
      <c r="AH507" s="9"/>
      <c r="AI507" s="151" t="str">
        <f t="shared" si="33"/>
        <v>GUARULHOS</v>
      </c>
      <c r="AJ507" s="154" t="s">
        <v>6</v>
      </c>
      <c r="AK507" s="53">
        <v>5.6847111947963547E-2</v>
      </c>
      <c r="AL507" s="53" t="str" cm="1">
        <f t="array" ref="AL507">IF(OR(O507&lt;&gt;"", SUMPRODUCT(($AM$2:$AM$210=AM507)*($AK$2:$AK$210&lt;=AK507)) &lt;= (COUNTIF($AM$2:$AM$210,AM507)*0.1)), "SORTEADO", "-")</f>
        <v>SORTEADO</v>
      </c>
      <c r="AM507" s="53" t="str">
        <f t="shared" si="32"/>
        <v>30/04/2026</v>
      </c>
    </row>
    <row r="508" spans="1:39" ht="30" hidden="1" customHeight="1" x14ac:dyDescent="0.2">
      <c r="A508" s="245" t="s">
        <v>197</v>
      </c>
      <c r="B508" s="245">
        <v>2617324127</v>
      </c>
      <c r="C508" s="245" t="s">
        <v>141</v>
      </c>
      <c r="D508" s="245" t="s">
        <v>67</v>
      </c>
      <c r="E508" s="245" t="s">
        <v>198</v>
      </c>
      <c r="F508" s="245" t="s">
        <v>3041</v>
      </c>
      <c r="G508" s="245">
        <v>177</v>
      </c>
      <c r="H508" s="245" t="s">
        <v>555</v>
      </c>
      <c r="I508" s="245" t="s">
        <v>356</v>
      </c>
      <c r="J508" s="245" t="s">
        <v>4603</v>
      </c>
      <c r="K508" s="245" t="s">
        <v>4998</v>
      </c>
      <c r="L508" s="245" t="s">
        <v>2516</v>
      </c>
      <c r="M508" s="245" t="s">
        <v>3249</v>
      </c>
      <c r="N508" s="245" t="s">
        <v>5000</v>
      </c>
      <c r="O508" s="158"/>
      <c r="P508" s="92"/>
      <c r="Q508" s="146"/>
      <c r="R508" s="92"/>
      <c r="S508" s="146"/>
      <c r="T508" s="92"/>
      <c r="U508" s="146"/>
      <c r="V508" s="92"/>
      <c r="W508" s="146"/>
      <c r="X508" s="92"/>
      <c r="Y508" s="146"/>
      <c r="Z508" s="92"/>
      <c r="AA508" s="146"/>
      <c r="AB508" s="64"/>
      <c r="AC508" s="146"/>
      <c r="AD508" s="64"/>
      <c r="AE508" s="146"/>
      <c r="AF508" s="215" t="str">
        <f t="shared" si="31"/>
        <v/>
      </c>
      <c r="AG508" s="96" t="b">
        <f t="shared" si="30"/>
        <v>0</v>
      </c>
      <c r="AH508" s="9"/>
      <c r="AI508" s="151" t="str">
        <f t="shared" si="33"/>
        <v>GUARULHOS</v>
      </c>
      <c r="AJ508" s="154" t="s">
        <v>6</v>
      </c>
      <c r="AK508" s="53">
        <v>0.68948944830677683</v>
      </c>
      <c r="AL508" s="53" t="str" cm="1">
        <f t="array" ref="AL508">IF(OR(O508&lt;&gt;"", SUMPRODUCT(($AM$2:$AM$210=AM508)*($AK$2:$AK$210&lt;=AK508)) &lt;= (COUNTIF($AM$2:$AM$210,AM508)*0.1)), "SORTEADO", "-")</f>
        <v>SORTEADO</v>
      </c>
      <c r="AM508" s="53" t="str">
        <f t="shared" si="32"/>
        <v>30/04/2026</v>
      </c>
    </row>
    <row r="509" spans="1:39" ht="30" hidden="1" customHeight="1" x14ac:dyDescent="0.2">
      <c r="A509" s="245" t="s">
        <v>197</v>
      </c>
      <c r="B509" s="245">
        <v>2615685588</v>
      </c>
      <c r="C509" s="245" t="s">
        <v>141</v>
      </c>
      <c r="D509" s="245" t="s">
        <v>67</v>
      </c>
      <c r="E509" s="245" t="s">
        <v>198</v>
      </c>
      <c r="F509" s="245" t="s">
        <v>3041</v>
      </c>
      <c r="G509" s="245">
        <v>88</v>
      </c>
      <c r="H509" s="245" t="s">
        <v>1749</v>
      </c>
      <c r="I509" s="245" t="s">
        <v>356</v>
      </c>
      <c r="J509" s="245" t="s">
        <v>4603</v>
      </c>
      <c r="K509" s="245" t="s">
        <v>4998</v>
      </c>
      <c r="L509" s="245" t="s">
        <v>2516</v>
      </c>
      <c r="M509" s="245" t="s">
        <v>3249</v>
      </c>
      <c r="N509" s="245" t="s">
        <v>4689</v>
      </c>
      <c r="O509" s="158"/>
      <c r="P509" s="92"/>
      <c r="Q509" s="146"/>
      <c r="R509" s="92"/>
      <c r="S509" s="146"/>
      <c r="T509" s="92"/>
      <c r="U509" s="146"/>
      <c r="V509" s="92"/>
      <c r="W509" s="146"/>
      <c r="X509" s="92"/>
      <c r="Y509" s="146"/>
      <c r="Z509" s="92"/>
      <c r="AA509" s="146"/>
      <c r="AB509" s="64"/>
      <c r="AC509" s="146"/>
      <c r="AD509" s="64"/>
      <c r="AE509" s="146"/>
      <c r="AF509" s="215" t="str">
        <f t="shared" si="31"/>
        <v/>
      </c>
      <c r="AG509" s="96" t="b">
        <f t="shared" si="30"/>
        <v>0</v>
      </c>
      <c r="AH509" s="9"/>
      <c r="AI509" s="151" t="str">
        <f t="shared" si="33"/>
        <v>GUARULHOS</v>
      </c>
      <c r="AJ509" s="154" t="s">
        <v>6</v>
      </c>
      <c r="AK509" s="53">
        <v>0.20921799549905307</v>
      </c>
      <c r="AL509" s="53" t="str" cm="1">
        <f t="array" ref="AL509">IF(OR(O509&lt;&gt;"", SUMPRODUCT(($AM$2:$AM$210=AM509)*($AK$2:$AK$210&lt;=AK509)) &lt;= (COUNTIF($AM$2:$AM$210,AM509)*0.1)), "SORTEADO", "-")</f>
        <v>SORTEADO</v>
      </c>
      <c r="AM509" s="53" t="str">
        <f t="shared" si="32"/>
        <v>30/04/2026</v>
      </c>
    </row>
    <row r="510" spans="1:39" ht="30" hidden="1" customHeight="1" x14ac:dyDescent="0.2">
      <c r="A510" s="245" t="s">
        <v>197</v>
      </c>
      <c r="B510" s="245">
        <v>2618034227</v>
      </c>
      <c r="C510" s="245" t="s">
        <v>141</v>
      </c>
      <c r="D510" s="245" t="s">
        <v>67</v>
      </c>
      <c r="E510" s="245" t="s">
        <v>198</v>
      </c>
      <c r="F510" s="245" t="s">
        <v>3188</v>
      </c>
      <c r="G510" s="245">
        <v>236</v>
      </c>
      <c r="H510" s="245" t="s">
        <v>3258</v>
      </c>
      <c r="I510" s="245" t="s">
        <v>356</v>
      </c>
      <c r="J510" s="245" t="s">
        <v>4603</v>
      </c>
      <c r="K510" s="245" t="s">
        <v>4998</v>
      </c>
      <c r="L510" s="245" t="s">
        <v>2516</v>
      </c>
      <c r="M510" s="245" t="s">
        <v>3185</v>
      </c>
      <c r="N510" s="245" t="s">
        <v>4689</v>
      </c>
      <c r="O510" s="158"/>
      <c r="P510" s="92"/>
      <c r="Q510" s="146"/>
      <c r="R510" s="92"/>
      <c r="S510" s="146"/>
      <c r="T510" s="92"/>
      <c r="U510" s="146"/>
      <c r="V510" s="92"/>
      <c r="W510" s="146"/>
      <c r="X510" s="92"/>
      <c r="Y510" s="146"/>
      <c r="Z510" s="92"/>
      <c r="AA510" s="146"/>
      <c r="AB510" s="64"/>
      <c r="AC510" s="146"/>
      <c r="AD510" s="64"/>
      <c r="AE510" s="146"/>
      <c r="AF510" s="215" t="str">
        <f t="shared" si="31"/>
        <v/>
      </c>
      <c r="AG510" s="96" t="b">
        <f t="shared" si="30"/>
        <v>0</v>
      </c>
      <c r="AH510" s="9"/>
      <c r="AI510" s="151" t="str">
        <f t="shared" si="33"/>
        <v>GUARULHOS</v>
      </c>
      <c r="AJ510" s="154" t="s">
        <v>6</v>
      </c>
      <c r="AK510" s="53">
        <v>0.41296078916877943</v>
      </c>
      <c r="AL510" s="53" t="str" cm="1">
        <f t="array" ref="AL510">IF(OR(O510&lt;&gt;"", SUMPRODUCT(($AM$2:$AM$210=AM510)*($AK$2:$AK$210&lt;=AK510)) &lt;= (COUNTIF($AM$2:$AM$210,AM510)*0.1)), "SORTEADO", "-")</f>
        <v>SORTEADO</v>
      </c>
      <c r="AM510" s="53" t="str">
        <f t="shared" si="32"/>
        <v>30/04/2026</v>
      </c>
    </row>
    <row r="511" spans="1:39" ht="30" hidden="1" customHeight="1" x14ac:dyDescent="0.2">
      <c r="A511" s="245" t="s">
        <v>197</v>
      </c>
      <c r="B511" s="245">
        <v>2617316186</v>
      </c>
      <c r="C511" s="245" t="s">
        <v>141</v>
      </c>
      <c r="D511" s="245" t="s">
        <v>67</v>
      </c>
      <c r="E511" s="245" t="s">
        <v>198</v>
      </c>
      <c r="F511" s="245" t="s">
        <v>3188</v>
      </c>
      <c r="G511" s="245">
        <v>296</v>
      </c>
      <c r="H511" s="245" t="s">
        <v>362</v>
      </c>
      <c r="I511" s="245" t="s">
        <v>356</v>
      </c>
      <c r="J511" s="245" t="s">
        <v>4603</v>
      </c>
      <c r="K511" s="245" t="s">
        <v>4998</v>
      </c>
      <c r="L511" s="245" t="s">
        <v>2516</v>
      </c>
      <c r="M511" s="245" t="s">
        <v>3249</v>
      </c>
      <c r="N511" s="245" t="s">
        <v>4689</v>
      </c>
      <c r="O511" s="158"/>
      <c r="P511" s="92"/>
      <c r="Q511" s="146"/>
      <c r="R511" s="92"/>
      <c r="S511" s="146"/>
      <c r="T511" s="92"/>
      <c r="U511" s="146"/>
      <c r="V511" s="92"/>
      <c r="W511" s="146"/>
      <c r="X511" s="92"/>
      <c r="Y511" s="146"/>
      <c r="Z511" s="92"/>
      <c r="AA511" s="146"/>
      <c r="AB511" s="64"/>
      <c r="AC511" s="146"/>
      <c r="AD511" s="64"/>
      <c r="AE511" s="146"/>
      <c r="AF511" s="215" t="str">
        <f t="shared" si="31"/>
        <v/>
      </c>
      <c r="AG511" s="96" t="b">
        <f t="shared" si="30"/>
        <v>0</v>
      </c>
      <c r="AH511" s="9"/>
      <c r="AI511" s="151" t="str">
        <f t="shared" si="33"/>
        <v>GUARULHOS</v>
      </c>
      <c r="AJ511" s="154" t="s">
        <v>6</v>
      </c>
      <c r="AK511" s="53">
        <v>3.1237884640344049E-2</v>
      </c>
      <c r="AL511" s="53" t="str" cm="1">
        <f t="array" ref="AL511">IF(OR(O511&lt;&gt;"", SUMPRODUCT(($AM$2:$AM$210=AM511)*($AK$2:$AK$210&lt;=AK511)) &lt;= (COUNTIF($AM$2:$AM$210,AM511)*0.1)), "SORTEADO", "-")</f>
        <v>SORTEADO</v>
      </c>
      <c r="AM511" s="53" t="str">
        <f t="shared" si="32"/>
        <v>30/04/2026</v>
      </c>
    </row>
    <row r="512" spans="1:39" ht="30" hidden="1" customHeight="1" x14ac:dyDescent="0.2">
      <c r="A512" s="245" t="s">
        <v>197</v>
      </c>
      <c r="B512" s="245">
        <v>2617948163</v>
      </c>
      <c r="C512" s="245" t="s">
        <v>141</v>
      </c>
      <c r="D512" s="245" t="s">
        <v>67</v>
      </c>
      <c r="E512" s="245" t="s">
        <v>198</v>
      </c>
      <c r="F512" s="245" t="s">
        <v>2101</v>
      </c>
      <c r="G512" s="245">
        <v>56</v>
      </c>
      <c r="H512" s="245" t="s">
        <v>213</v>
      </c>
      <c r="I512" s="245" t="s">
        <v>356</v>
      </c>
      <c r="J512" s="245" t="s">
        <v>4603</v>
      </c>
      <c r="K512" s="245" t="s">
        <v>4998</v>
      </c>
      <c r="L512" s="245" t="s">
        <v>2516</v>
      </c>
      <c r="M512" s="245" t="s">
        <v>3249</v>
      </c>
      <c r="N512" s="245" t="s">
        <v>4689</v>
      </c>
      <c r="O512" s="158"/>
      <c r="P512" s="92"/>
      <c r="Q512" s="146"/>
      <c r="R512" s="92"/>
      <c r="S512" s="146"/>
      <c r="T512" s="92"/>
      <c r="U512" s="146"/>
      <c r="V512" s="92"/>
      <c r="W512" s="146"/>
      <c r="X512" s="92"/>
      <c r="Y512" s="146"/>
      <c r="Z512" s="92"/>
      <c r="AA512" s="146"/>
      <c r="AB512" s="64"/>
      <c r="AC512" s="146"/>
      <c r="AD512" s="64"/>
      <c r="AE512" s="146"/>
      <c r="AF512" s="215" t="str">
        <f t="shared" si="31"/>
        <v/>
      </c>
      <c r="AG512" s="96" t="b">
        <f t="shared" ref="AG512:AG513" si="34">IF(AND(AE512="C",AF512="C"),"UTILIZOU O PDA CORRETAMENTE",IF(AND(AE512="C",AF512="NC"),"UTILIZOU O PDA CORRETAMENTE. NÃO HÁ FOTOS DE TODAS AS ETAPAS",IF(AND(AE512="NC",AF512="NC"),"NÃO UTILIZOU O PDA",IF(AND(AE512="NA",AF512="NA"),"NÃO AVALIADO POR FALHA DE SINCRONISMO"))))</f>
        <v>0</v>
      </c>
      <c r="AH512" s="9"/>
      <c r="AI512" s="151" t="str">
        <f t="shared" si="33"/>
        <v>GUARULHOS</v>
      </c>
      <c r="AJ512" s="154" t="s">
        <v>6</v>
      </c>
      <c r="AK512" s="53">
        <v>0.42417404451474938</v>
      </c>
      <c r="AL512" s="53" t="str" cm="1">
        <f t="array" ref="AL512">IF(OR(O512&lt;&gt;"", SUMPRODUCT(($AM$2:$AM$210=AM512)*($AK$2:$AK$210&lt;=AK512)) &lt;= (COUNTIF($AM$2:$AM$210,AM512)*0.1)), "SORTEADO", "-")</f>
        <v>SORTEADO</v>
      </c>
      <c r="AM512" s="53" t="str">
        <f t="shared" si="32"/>
        <v>30/04/2026</v>
      </c>
    </row>
    <row r="513" spans="1:39" ht="30" hidden="1" customHeight="1" x14ac:dyDescent="0.2">
      <c r="A513" s="245" t="s">
        <v>197</v>
      </c>
      <c r="B513" s="245">
        <v>2617152433</v>
      </c>
      <c r="C513" s="245" t="s">
        <v>141</v>
      </c>
      <c r="D513" s="245" t="s">
        <v>67</v>
      </c>
      <c r="E513" s="245" t="s">
        <v>198</v>
      </c>
      <c r="F513" s="245" t="s">
        <v>2101</v>
      </c>
      <c r="G513" s="245">
        <v>17</v>
      </c>
      <c r="H513" s="245" t="s">
        <v>213</v>
      </c>
      <c r="I513" s="245" t="s">
        <v>356</v>
      </c>
      <c r="J513" s="245" t="s">
        <v>4603</v>
      </c>
      <c r="K513" s="245" t="s">
        <v>5001</v>
      </c>
      <c r="L513" s="245" t="s">
        <v>2516</v>
      </c>
      <c r="M513" s="245" t="s">
        <v>3185</v>
      </c>
      <c r="N513" s="245" t="s">
        <v>4689</v>
      </c>
      <c r="O513" s="158"/>
      <c r="P513" s="92"/>
      <c r="Q513" s="146"/>
      <c r="R513" s="92"/>
      <c r="S513" s="146"/>
      <c r="T513" s="92"/>
      <c r="U513" s="146"/>
      <c r="V513" s="92"/>
      <c r="W513" s="146"/>
      <c r="X513" s="92"/>
      <c r="Y513" s="146"/>
      <c r="Z513" s="92"/>
      <c r="AA513" s="146"/>
      <c r="AB513" s="64"/>
      <c r="AC513" s="146"/>
      <c r="AD513" s="64"/>
      <c r="AE513" s="146"/>
      <c r="AF513" s="215" t="str">
        <f t="shared" ref="AF513" si="35">IF(AND(O513="",Q513="",S513="",U513="",W513="",Y513="",AA513="",AC513=""),"",
IF(OR(    AND(O513&lt;&gt;"NA",O513&lt;&gt;"C",O513&lt;&gt;"NC",O513&lt;&gt;"SF",O513&lt;&gt;""),
    AND(Q513&lt;&gt;"NA",Q513&lt;&gt;"C",Q513&lt;&gt;"NC",Q513&lt;&gt;"SF",Q513&lt;&gt;""),
    AND(S513&lt;&gt;"NA",S513&lt;&gt;"C",S513&lt;&gt;"NC",S513&lt;&gt;"SF",S513&lt;&gt;""),
    AND(U513&lt;&gt;"NA",U513&lt;&gt;"C",U513&lt;&gt;"NC",U513&lt;&gt;"SF",U513&lt;&gt;""),
    AND(W513&lt;&gt;"NA",W513&lt;&gt;"C",W513&lt;&gt;"NC",W513&lt;&gt;"SF",W513&lt;&gt;""),
    AND(Y513&lt;&gt;"NA",Y513&lt;&gt;"C",Y513&lt;&gt;"NC",Y513&lt;&gt;"SF",Y513&lt;&gt;""),
    AND(AA513&lt;&gt;"NA",AA513&lt;&gt;"C",AA513&lt;&gt;"NC",AA513&lt;&gt;"SF",AA513&lt;&gt;""),
    AND(AC513&lt;&gt;"NA",AC513&lt;&gt;"C",AC513&lt;&gt;"NC",AC513&lt;&gt;"SF",AC513&lt;&gt;"")
),"FALSO",
IF(AND(O513="NA",Q513="NA",S513="NA",U513="NA",W513="NA",Y513="NA",AA513="NA",AC513="NA"),"NA",
IF(OR(O513="NC",Q513="NC",S513="NC",U513="NC",W513="NC",Y513="NC",AA513="NC",AC513="NC",
       O513="SF",Q513="SF",S513="SF",U513="SF",W513="SF",Y513="SF",AA513="SF",AC513="SF"),"NC",
IF(SUM(IF(O513="C",1,0),IF(Q513="C",1,0),IF(S513="C",1,0),IF(U513="C",1,0),IF(W513="C",1,0),IF(Y513="C",1,0),IF(AA513="C",1,0),IF(AC513="C",1,0))=1,"C","C")))))</f>
        <v/>
      </c>
      <c r="AG513" s="96" t="b">
        <f t="shared" si="34"/>
        <v>0</v>
      </c>
      <c r="AH513" s="9"/>
      <c r="AI513" s="151" t="str">
        <f t="shared" si="33"/>
        <v>GUARULHOS</v>
      </c>
      <c r="AJ513" s="154" t="s">
        <v>6</v>
      </c>
      <c r="AK513" s="53">
        <v>8.1296038668717818E-3</v>
      </c>
      <c r="AL513" s="53" t="str" cm="1">
        <f t="array" ref="AL513">IF(OR(O513&lt;&gt;"", SUMPRODUCT(($AM$2:$AM$210=AM513)*($AK$2:$AK$210&lt;=AK513)) &lt;= (COUNTIF($AM$2:$AM$210,AM513)*0.1)), "SORTEADO", "-")</f>
        <v>SORTEADO</v>
      </c>
      <c r="AM513" s="53" t="str">
        <f t="shared" si="32"/>
        <v>30/04/2026</v>
      </c>
    </row>
  </sheetData>
  <autoFilter ref="A1:AM513" xr:uid="{00000000-0001-0000-0E00-000000000000}">
    <filterColumn colId="20">
      <filters>
        <filter val="NC"/>
        <filter val="SF"/>
      </filters>
    </filterColumn>
  </autoFilter>
  <conditionalFormatting sqref="A1 C1:E1">
    <cfRule type="duplicateValues" dxfId="21" priority="61" stopIfTrue="1"/>
    <cfRule type="duplicateValues" dxfId="20" priority="62"/>
  </conditionalFormatting>
  <conditionalFormatting sqref="O2:O85 AF2:AF513 AE3:AF4 AE5:AE11 AE12:AF23 AE24:AE29 AE27:AF115 O101:O513 AE116:AE118 AE118:AF143 AE144:AE146 AE147:AF150 AE151 AE152:AF165 AE166 AE167:AF173 AE174 AE175:AF179 AE180 AE181:AF188 AE189 AE190:AF202 AE203:AE204 AE205:AF207 AE208 AE209:AF222 AE223 AE224:AF228 AE229 AE230:AF235 AE236 AE237:AF239 AE240 AE241:AF272 AE273 AE274:AF303 AE304 AE305:AF342 AE343:AE344 AE345:AF513">
    <cfRule type="expression" dxfId="19" priority="59">
      <formula>O2=""</formula>
    </cfRule>
    <cfRule type="expression" dxfId="18" priority="60" stopIfTrue="1">
      <formula>NOT(OR(O2="C",O2="NC",O2="SF",O2="NA"))</formula>
    </cfRule>
  </conditionalFormatting>
  <conditionalFormatting sqref="Q2:Q513">
    <cfRule type="expression" dxfId="17" priority="5">
      <formula>Q2=""</formula>
    </cfRule>
    <cfRule type="expression" dxfId="16" priority="6" stopIfTrue="1">
      <formula>NOT(OR(Q2="C",Q2="NC",Q2="SF",Q2="NA"))</formula>
    </cfRule>
  </conditionalFormatting>
  <conditionalFormatting sqref="S2:S513">
    <cfRule type="expression" dxfId="15" priority="3">
      <formula>S2=""</formula>
    </cfRule>
    <cfRule type="expression" dxfId="14" priority="4" stopIfTrue="1">
      <formula>NOT(OR(S2="C",S2="NC",S2="SF",S2="NA"))</formula>
    </cfRule>
  </conditionalFormatting>
  <conditionalFormatting sqref="U2:U513">
    <cfRule type="expression" dxfId="13" priority="1">
      <formula>U2=""</formula>
    </cfRule>
    <cfRule type="expression" dxfId="12" priority="2" stopIfTrue="1">
      <formula>NOT(OR(U2="C",U2="NC",U2="SF",U2="NA"))</formula>
    </cfRule>
  </conditionalFormatting>
  <conditionalFormatting sqref="W2:W513">
    <cfRule type="expression" dxfId="11" priority="45">
      <formula>W2=""</formula>
    </cfRule>
    <cfRule type="expression" dxfId="10" priority="46" stopIfTrue="1">
      <formula>NOT(OR(W2="C",W2="NC",W2="SF",W2="NA"))</formula>
    </cfRule>
  </conditionalFormatting>
  <conditionalFormatting sqref="Y2:Y513">
    <cfRule type="expression" dxfId="9" priority="41">
      <formula>Y2=""</formula>
    </cfRule>
    <cfRule type="expression" dxfId="8" priority="42" stopIfTrue="1">
      <formula>NOT(OR(Y2="C",Y2="NC",Y2="SF",Y2="NA"))</formula>
    </cfRule>
  </conditionalFormatting>
  <conditionalFormatting sqref="AA2:AA513">
    <cfRule type="expression" dxfId="7" priority="37">
      <formula>AA2=""</formula>
    </cfRule>
    <cfRule type="expression" dxfId="6" priority="38" stopIfTrue="1">
      <formula>NOT(OR(AA2="C",AA2="NC",AA2="SF",AA2="NA"))</formula>
    </cfRule>
  </conditionalFormatting>
  <conditionalFormatting sqref="AC2:AC513">
    <cfRule type="expression" dxfId="5" priority="25">
      <formula>AC2=""</formula>
    </cfRule>
    <cfRule type="expression" dxfId="4" priority="26" stopIfTrue="1">
      <formula>NOT(OR(AC2="C",AC2="NC",AC2="SF",AC2="NA"))</formula>
    </cfRule>
  </conditionalFormatting>
  <conditionalFormatting sqref="AD351">
    <cfRule type="expression" dxfId="3" priority="19">
      <formula>AD351=""</formula>
    </cfRule>
    <cfRule type="expression" dxfId="2" priority="20" stopIfTrue="1">
      <formula>NOT(OR(AD351="C",AD351="NC",AD351="SF",AD351="NA"))</formula>
    </cfRule>
  </conditionalFormatting>
  <conditionalFormatting sqref="AE2">
    <cfRule type="expression" dxfId="1" priority="33">
      <formula>AE2=""</formula>
    </cfRule>
    <cfRule type="expression" dxfId="0" priority="34" stopIfTrue="1">
      <formula>NOT(OR(AE2="C",AE2="NC",AE2="SF",AE2="NA"))</formula>
    </cfRule>
  </conditionalFormatting>
  <pageMargins left="0.511811024" right="0.511811024" top="0.78740157499999996" bottom="0.78740157499999996" header="0.31496062000000002" footer="0.31496062000000002"/>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2" tint="-0.249977111117893"/>
    <pageSetUpPr fitToPage="1"/>
  </sheetPr>
  <dimension ref="A1:H14"/>
  <sheetViews>
    <sheetView zoomScale="70" zoomScaleNormal="70" zoomScaleSheetLayoutView="70" workbookViewId="0">
      <selection activeCell="B32" sqref="B32"/>
    </sheetView>
  </sheetViews>
  <sheetFormatPr defaultColWidth="9.140625" defaultRowHeight="21" customHeight="1" x14ac:dyDescent="0.3"/>
  <cols>
    <col min="1" max="1" width="5.7109375" style="100" customWidth="1"/>
    <col min="2" max="2" width="30.7109375" style="100" customWidth="1"/>
    <col min="3" max="3" width="34.7109375" style="100" customWidth="1"/>
    <col min="4" max="7" width="30.7109375" style="100" customWidth="1"/>
    <col min="8" max="8" width="5.7109375" style="100" customWidth="1"/>
    <col min="9" max="12" width="9.140625" style="100" bestFit="1" customWidth="1"/>
    <col min="13" max="16384" width="9.140625" style="100"/>
  </cols>
  <sheetData>
    <row r="1" spans="1:8" s="30" customFormat="1" ht="35.1" customHeight="1" x14ac:dyDescent="0.25">
      <c r="A1" s="340" t="s">
        <v>67</v>
      </c>
      <c r="B1" s="340"/>
      <c r="C1" s="340"/>
      <c r="D1" s="340"/>
      <c r="E1" s="340"/>
      <c r="F1" s="340"/>
      <c r="G1" s="340"/>
      <c r="H1" s="340"/>
    </row>
    <row r="2" spans="1:8" s="31" customFormat="1" ht="20.100000000000001" customHeight="1" x14ac:dyDescent="0.25">
      <c r="A2" s="44"/>
      <c r="B2" s="44"/>
      <c r="C2" s="44"/>
      <c r="D2" s="44"/>
      <c r="E2" s="44"/>
      <c r="F2" s="44"/>
      <c r="G2" s="44"/>
      <c r="H2" s="45"/>
    </row>
    <row r="3" spans="1:8" s="29" customFormat="1" ht="20.100000000000001" customHeight="1" x14ac:dyDescent="0.25">
      <c r="A3" s="346" t="s">
        <v>2623</v>
      </c>
      <c r="B3" s="346"/>
      <c r="C3" s="346"/>
      <c r="D3" s="346"/>
      <c r="E3" s="346"/>
      <c r="F3" s="346"/>
      <c r="G3" s="346"/>
      <c r="H3" s="346"/>
    </row>
    <row r="5" spans="1:8" ht="21" customHeight="1" x14ac:dyDescent="0.3">
      <c r="B5" s="347" t="e">
        <f>'DADOS - GOPOÚVA'!#REF!</f>
        <v>#REF!</v>
      </c>
      <c r="C5" s="347"/>
      <c r="D5" s="347"/>
      <c r="E5" s="347"/>
      <c r="F5" s="347"/>
      <c r="G5" s="347"/>
    </row>
    <row r="6" spans="1:8" ht="21" customHeight="1" x14ac:dyDescent="0.3">
      <c r="B6" s="348" t="s">
        <v>2624</v>
      </c>
      <c r="C6" s="348"/>
      <c r="D6" s="130" t="s">
        <v>56</v>
      </c>
      <c r="E6" s="130" t="s">
        <v>2625</v>
      </c>
      <c r="F6" s="130" t="s">
        <v>41</v>
      </c>
      <c r="G6" s="130" t="s">
        <v>42</v>
      </c>
    </row>
    <row r="7" spans="1:8" ht="21" customHeight="1" x14ac:dyDescent="0.3">
      <c r="B7" s="353" t="s">
        <v>46</v>
      </c>
      <c r="C7" s="353"/>
      <c r="D7" s="102">
        <f t="shared" ref="D7:D14" si="0">F7+G7+E7</f>
        <v>0</v>
      </c>
      <c r="E7" s="102">
        <f>COUNTIFS(REPOSIÇÃO!N:N,'EQUIPES - REPOSIÇÃO'!B5,REPOSIÇÃO!O:O,"SF")</f>
        <v>0</v>
      </c>
      <c r="F7" s="102">
        <f>COUNTIFS(REPOSIÇÃO!N:N,'EQUIPES - REPOSIÇÃO'!B5,REPOSIÇÃO!O:O,"c")</f>
        <v>0</v>
      </c>
      <c r="G7" s="102">
        <f>COUNTIFS(REPOSIÇÃO!N:N,'EQUIPES - REPOSIÇÃO'!B5,REPOSIÇÃO!O:O,"Nc")</f>
        <v>0</v>
      </c>
    </row>
    <row r="8" spans="1:8" ht="21" customHeight="1" x14ac:dyDescent="0.3">
      <c r="B8" s="353" t="s">
        <v>47</v>
      </c>
      <c r="C8" s="353"/>
      <c r="D8" s="102">
        <f t="shared" si="0"/>
        <v>0</v>
      </c>
      <c r="E8" s="102">
        <f>COUNTIFS(REPOSIÇÃO!N:N,'EQUIPES - REPOSIÇÃO'!B5,REPOSIÇÃO!Q:Q,"SF")</f>
        <v>0</v>
      </c>
      <c r="F8" s="102">
        <f>COUNTIFS(REPOSIÇÃO!N:N,'EQUIPES - REPOSIÇÃO'!B5,REPOSIÇÃO!Q:Q,"c")</f>
        <v>0</v>
      </c>
      <c r="G8" s="102">
        <f>COUNTIFS(REPOSIÇÃO!N:N,'EQUIPES - REPOSIÇÃO'!B5,REPOSIÇÃO!Q:Q,"Nc")</f>
        <v>0</v>
      </c>
    </row>
    <row r="9" spans="1:8" ht="21" customHeight="1" x14ac:dyDescent="0.3">
      <c r="B9" s="353" t="s">
        <v>68</v>
      </c>
      <c r="C9" s="353"/>
      <c r="D9" s="102">
        <f t="shared" si="0"/>
        <v>0</v>
      </c>
      <c r="E9" s="102">
        <f>COUNTIFS(REPOSIÇÃO!N:N,'EQUIPES - REPOSIÇÃO'!B5,REPOSIÇÃO!S:S,"SF")</f>
        <v>0</v>
      </c>
      <c r="F9" s="102">
        <f>COUNTIFS(REPOSIÇÃO!N:N,'EQUIPES - REPOSIÇÃO'!B5,REPOSIÇÃO!S:S,"c")</f>
        <v>0</v>
      </c>
      <c r="G9" s="102">
        <f>COUNTIFS(REPOSIÇÃO!N:N,'EQUIPES - REPOSIÇÃO'!B5,REPOSIÇÃO!S:S,"Nc")</f>
        <v>0</v>
      </c>
    </row>
    <row r="10" spans="1:8" ht="21" customHeight="1" x14ac:dyDescent="0.3">
      <c r="B10" s="353" t="s">
        <v>69</v>
      </c>
      <c r="C10" s="353"/>
      <c r="D10" s="102">
        <f t="shared" si="0"/>
        <v>0</v>
      </c>
      <c r="E10" s="102">
        <f>COUNTIFS(REPOSIÇÃO!N:N,'EQUIPES - REPOSIÇÃO'!B5,REPOSIÇÃO!U:U,"SF")</f>
        <v>0</v>
      </c>
      <c r="F10" s="102">
        <f>COUNTIFS(REPOSIÇÃO!N:N,'EQUIPES - REPOSIÇÃO'!B5,REPOSIÇÃO!U:U,"c")</f>
        <v>0</v>
      </c>
      <c r="G10" s="102">
        <f>COUNTIFS(REPOSIÇÃO!N:N,'EQUIPES - REPOSIÇÃO'!B5,REPOSIÇÃO!U:U,"Nc")</f>
        <v>0</v>
      </c>
    </row>
    <row r="11" spans="1:8" ht="21" customHeight="1" x14ac:dyDescent="0.3">
      <c r="B11" s="353" t="s">
        <v>70</v>
      </c>
      <c r="C11" s="353"/>
      <c r="D11" s="102">
        <f t="shared" si="0"/>
        <v>0</v>
      </c>
      <c r="E11" s="102">
        <f>COUNTIFS(REPOSIÇÃO!N:N,'EQUIPES - REPOSIÇÃO'!B5,REPOSIÇÃO!W:W,"SF")</f>
        <v>0</v>
      </c>
      <c r="F11" s="102">
        <f>COUNTIFS(REPOSIÇÃO!N:N,'EQUIPES - REPOSIÇÃO'!B5,REPOSIÇÃO!W:W,"c")</f>
        <v>0</v>
      </c>
      <c r="G11" s="102">
        <f>COUNTIFS(REPOSIÇÃO!N:N,'EQUIPES - REPOSIÇÃO'!B5,REPOSIÇÃO!W:W,"Nc")</f>
        <v>0</v>
      </c>
    </row>
    <row r="12" spans="1:8" ht="21" customHeight="1" x14ac:dyDescent="0.3">
      <c r="B12" s="353" t="s">
        <v>71</v>
      </c>
      <c r="C12" s="353"/>
      <c r="D12" s="102">
        <f t="shared" si="0"/>
        <v>0</v>
      </c>
      <c r="E12" s="102">
        <f>COUNTIFS(REPOSIÇÃO!N:N,'EQUIPES - REPOSIÇÃO'!B5,REPOSIÇÃO!Y:Y,"SF")</f>
        <v>0</v>
      </c>
      <c r="F12" s="102">
        <f>COUNTIFS(REPOSIÇÃO!N:N,'EQUIPES - REPOSIÇÃO'!B5,REPOSIÇÃO!Y:Y,"c")</f>
        <v>0</v>
      </c>
      <c r="G12" s="102">
        <f>COUNTIFS(REPOSIÇÃO!N:N,'EQUIPES - REPOSIÇÃO'!B5,REPOSIÇÃO!Y:Y,"Nc")</f>
        <v>0</v>
      </c>
    </row>
    <row r="13" spans="1:8" ht="21" customHeight="1" x14ac:dyDescent="0.3">
      <c r="B13" s="353" t="s">
        <v>72</v>
      </c>
      <c r="C13" s="353"/>
      <c r="D13" s="102">
        <f t="shared" si="0"/>
        <v>0</v>
      </c>
      <c r="E13" s="102">
        <f>COUNTIFS(REPOSIÇÃO!N:N,'EQUIPES - REPOSIÇÃO'!B5,REPOSIÇÃO!AA:AA,"SF")</f>
        <v>0</v>
      </c>
      <c r="F13" s="102">
        <f>COUNTIFS(REPOSIÇÃO!N:N,'EQUIPES - REPOSIÇÃO'!B5,REPOSIÇÃO!AA:AA,"c")</f>
        <v>0</v>
      </c>
      <c r="G13" s="102">
        <f>COUNTIFS(REPOSIÇÃO!N:N,'EQUIPES - REPOSIÇÃO'!B5,REPOSIÇÃO!AA:AA,"Nc")</f>
        <v>0</v>
      </c>
    </row>
    <row r="14" spans="1:8" ht="21" customHeight="1" x14ac:dyDescent="0.3">
      <c r="B14" s="353" t="s">
        <v>53</v>
      </c>
      <c r="C14" s="353"/>
      <c r="D14" s="102">
        <f t="shared" si="0"/>
        <v>0</v>
      </c>
      <c r="E14" s="102">
        <f>COUNTIFS(REPOSIÇÃO!N:N,'EQUIPES - REPOSIÇÃO'!B5,REPOSIÇÃO!AC:AC,"SF")</f>
        <v>0</v>
      </c>
      <c r="F14" s="102">
        <f>COUNTIFS(REPOSIÇÃO!N:N,'EQUIPES - REPOSIÇÃO'!B5,REPOSIÇÃO!AC:AC,"c")</f>
        <v>0</v>
      </c>
      <c r="G14" s="102">
        <f>COUNTIFS(REPOSIÇÃO!N:N,'EQUIPES - REPOSIÇÃO'!B5,REPOSIÇÃO!AC:AC,"Nc")</f>
        <v>0</v>
      </c>
    </row>
  </sheetData>
  <mergeCells count="12">
    <mergeCell ref="B12:C12"/>
    <mergeCell ref="B13:C13"/>
    <mergeCell ref="B14:C14"/>
    <mergeCell ref="B11:C11"/>
    <mergeCell ref="A1:H1"/>
    <mergeCell ref="A3:H3"/>
    <mergeCell ref="B5:G5"/>
    <mergeCell ref="B6:C6"/>
    <mergeCell ref="B7:C7"/>
    <mergeCell ref="B8:C8"/>
    <mergeCell ref="B9:C9"/>
    <mergeCell ref="B10:C10"/>
  </mergeCells>
  <pageMargins left="0.511811024" right="0.14000000000000001" top="0.78740157499999996" bottom="0.78740157499999996" header="0.31496062000000002" footer="0.31496062000000002"/>
  <pageSetup paperSize="9" scale="47"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15</vt:i4>
      </vt:variant>
      <vt:variant>
        <vt:lpstr>Intervalos Nomeados</vt:lpstr>
      </vt:variant>
      <vt:variant>
        <vt:i4>10</vt:i4>
      </vt:variant>
    </vt:vector>
  </HeadingPairs>
  <TitlesOfParts>
    <vt:vector size="25" baseType="lpstr">
      <vt:lpstr>CAPA</vt:lpstr>
      <vt:lpstr>DADOS - GOPOÚVA</vt:lpstr>
      <vt:lpstr>GRÁFICOS - GOPOÚVA</vt:lpstr>
      <vt:lpstr>GRÁFICOS - ÁGUA</vt:lpstr>
      <vt:lpstr>ÁGUA</vt:lpstr>
      <vt:lpstr>EQUIPES - ÁGUA</vt:lpstr>
      <vt:lpstr>GRÁFICOS - ESGOTO</vt:lpstr>
      <vt:lpstr>ESGOTO</vt:lpstr>
      <vt:lpstr>EQUIPES - ESGOTO</vt:lpstr>
      <vt:lpstr>GRÁFICOS - CAVALETE</vt:lpstr>
      <vt:lpstr>CAVALETE</vt:lpstr>
      <vt:lpstr>EQUIPES - CAVALETE </vt:lpstr>
      <vt:lpstr>GRÁFICOS - REPOSIÇÃO</vt:lpstr>
      <vt:lpstr>REPOSIÇÃO</vt:lpstr>
      <vt:lpstr>EQUIPES - REPOSIÇÃO</vt:lpstr>
      <vt:lpstr>CAPA!Area_de_impressao</vt:lpstr>
      <vt:lpstr>'EQUIPES - ÁGUA'!Area_de_impressao</vt:lpstr>
      <vt:lpstr>'EQUIPES - CAVALETE '!Area_de_impressao</vt:lpstr>
      <vt:lpstr>'EQUIPES - ESGOTO'!Area_de_impressao</vt:lpstr>
      <vt:lpstr>'EQUIPES - REPOSIÇÃO'!Area_de_impressao</vt:lpstr>
      <vt:lpstr>'GRÁFICOS - ÁGUA'!Area_de_impressao</vt:lpstr>
      <vt:lpstr>'GRÁFICOS - CAVALETE'!Area_de_impressao</vt:lpstr>
      <vt:lpstr>'GRÁFICOS - ESGOTO'!Area_de_impressao</vt:lpstr>
      <vt:lpstr>'GRÁFICOS - GOPOÚVA'!Area_de_impressao</vt:lpstr>
      <vt:lpstr>'GRÁFICOS - REPOSIÇÃO'!Area_de_impressao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Greiciele Prado</dc:creator>
  <cp:keywords/>
  <dc:description/>
  <cp:lastModifiedBy>Vinicius Justino Silva</cp:lastModifiedBy>
  <cp:revision/>
  <dcterms:created xsi:type="dcterms:W3CDTF">2025-04-21T18:20:23Z</dcterms:created>
  <dcterms:modified xsi:type="dcterms:W3CDTF">2026-05-18T17:10:01Z</dcterms:modified>
  <cp:category/>
  <cp:contentStatus/>
</cp:coreProperties>
</file>